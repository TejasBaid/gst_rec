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 3B" sheetId="1" r:id="rId5"/>
    <sheet state="visible" name="ITC REVERSAL" sheetId="2" r:id="rId6"/>
    <sheet state="hidden" name="ITC Revers - 180 Days" sheetId="3" r:id="rId7"/>
    <sheet state="hidden" name="ITC Revers &amp; Reclaim - 180 Days" sheetId="4" r:id="rId8"/>
    <sheet state="visible" name="Outward" sheetId="5" r:id="rId9"/>
    <sheet state="visible" name="Pivat" sheetId="6" r:id="rId10"/>
    <sheet state="visible" name="Inward" sheetId="7" r:id="rId11"/>
    <sheet state="visible" name="NOT CONSIDER" sheetId="8" r:id="rId12"/>
  </sheets>
  <definedNames/>
  <calcPr/>
</workbook>
</file>

<file path=xl/sharedStrings.xml><?xml version="1.0" encoding="utf-8"?>
<sst xmlns="http://schemas.openxmlformats.org/spreadsheetml/2006/main" count="12146" uniqueCount="1102">
  <si>
    <r>
      <rPr>
        <rFont val="Calibri"/>
        <b/>
        <color theme="1"/>
        <sz val="24.0"/>
      </rPr>
      <t xml:space="preserve">GSTR-3B
</t>
    </r>
    <r>
      <rPr>
        <rFont val="Calibri"/>
        <b/>
        <color theme="1"/>
        <sz val="14.0"/>
      </rPr>
      <t>[See rule 61(5)]</t>
    </r>
  </si>
  <si>
    <t>GSTIN</t>
  </si>
  <si>
    <t>07AABCG4768K1Z9</t>
  </si>
  <si>
    <t>Year</t>
  </si>
  <si>
    <t>2026-27</t>
  </si>
  <si>
    <t>Legal name of the registered person</t>
  </si>
  <si>
    <t>Godfrey Phillips India Limited</t>
  </si>
  <si>
    <t>Month</t>
  </si>
  <si>
    <t>Apr-26</t>
  </si>
  <si>
    <t>3.1 Details of Outward Supplies and inward supplies liable to reverse charge</t>
  </si>
  <si>
    <t>Nature of Supplies</t>
  </si>
  <si>
    <t>Total Taxable value</t>
  </si>
  <si>
    <t>Integrated Tax</t>
  </si>
  <si>
    <t>Central Tax</t>
  </si>
  <si>
    <t>State/UT Tax</t>
  </si>
  <si>
    <t>Cess</t>
  </si>
  <si>
    <t>(a) Outward Taxable  supplies  (other than zero rated, nil rated and exempted)</t>
  </si>
  <si>
    <t>(b) Outward Taxable  supplies  (zero rated )</t>
  </si>
  <si>
    <t>(c) Other Outward Taxable  supplies (Nil rated, exempted)</t>
  </si>
  <si>
    <t xml:space="preserve">(d) Inward supplies (liable to reverse charge) </t>
  </si>
  <si>
    <t>Y</t>
  </si>
  <si>
    <t>(e) Non-GST Outward supplies</t>
  </si>
  <si>
    <t>Total</t>
  </si>
  <si>
    <t>4. Eligible ITC</t>
  </si>
  <si>
    <t>Details</t>
  </si>
  <si>
    <t>(A) ITC Available (Whether in full or part)</t>
  </si>
  <si>
    <t xml:space="preserve">(1)   Import of goods </t>
  </si>
  <si>
    <t>(2)   Import of services</t>
  </si>
  <si>
    <t>(3)   Inward supplies liable to reverse charge
        (other than 1 &amp;2 above)</t>
  </si>
  <si>
    <t>(4)   Inward supplies from ISD</t>
  </si>
  <si>
    <t>(5)   All other ITC</t>
  </si>
  <si>
    <t>N</t>
  </si>
  <si>
    <t>TOTAL ITC A</t>
  </si>
  <si>
    <r>
      <rPr>
        <rFont val="Calibri"/>
        <color theme="1"/>
        <sz val="10.0"/>
      </rPr>
      <t xml:space="preserve"> (</t>
    </r>
    <r>
      <rPr>
        <rFont val="Calibri"/>
        <b/>
        <color theme="1"/>
        <sz val="10.0"/>
      </rPr>
      <t>B) ITC Reversed</t>
    </r>
  </si>
  <si>
    <t xml:space="preserve">(1)   As per Rule 42 &amp; 43 of SGST/CGST rules </t>
  </si>
  <si>
    <t>(2)   Others</t>
  </si>
  <si>
    <t>STT Reversal &amp; Other</t>
  </si>
  <si>
    <t>TOTAL ITC B</t>
  </si>
  <si>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(C) Net ITC Available (A)-(B)</t>
    </r>
  </si>
  <si>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(D) Ineligible ITC</t>
    </r>
  </si>
  <si>
    <t>(1)   As per section 17(5) of CGST//SGST Act</t>
  </si>
  <si>
    <t>5. Values of exempt, Nil-rated and non-GST inward supplies</t>
  </si>
  <si>
    <t>Nature of supplies</t>
  </si>
  <si>
    <t>Inter-State supplies</t>
  </si>
  <si>
    <t>Intra-state supplies</t>
  </si>
  <si>
    <t>From a supplier under composition scheme, Exempt  and Nil rated supply</t>
  </si>
  <si>
    <t>Non GST supply</t>
  </si>
  <si>
    <t>5.1 Interest &amp; late fee payable</t>
  </si>
  <si>
    <t>Description</t>
  </si>
  <si>
    <t>Interest</t>
  </si>
  <si>
    <t>Interest on ITC Reversal for non payment of 180days</t>
  </si>
  <si>
    <t>Late fee</t>
  </si>
  <si>
    <t>3.2  Of the supplies shown in 3.1 (a), details of inter-state supplies made to unregistered persons, composition taxable person and UIN holders</t>
  </si>
  <si>
    <t>Place of Supply(State/UT)</t>
  </si>
  <si>
    <t>Supplies made to Unregistered Persons</t>
  </si>
  <si>
    <t>Supplies made to Composition Taxable Persons</t>
  </si>
  <si>
    <t>Supplies made to UIN holders</t>
  </si>
  <si>
    <t>Amount of Integrated Tax</t>
  </si>
  <si>
    <t xml:space="preserve">ITC Reversal on Security Transaction </t>
  </si>
  <si>
    <t>ITC Reversal  - Non Recov Trx claimed in 3b as Recov now Reversed</t>
  </si>
  <si>
    <t>IGST</t>
  </si>
  <si>
    <t>CGST</t>
  </si>
  <si>
    <t>SGST</t>
  </si>
  <si>
    <t>Mar</t>
  </si>
  <si>
    <t>Document Type</t>
  </si>
  <si>
    <t>Trx Category</t>
  </si>
  <si>
    <t>Org Id</t>
  </si>
  <si>
    <t>Rec OU</t>
  </si>
  <si>
    <t>IO Name</t>
  </si>
  <si>
    <t>GST Inv No</t>
  </si>
  <si>
    <t>IO Location</t>
  </si>
  <si>
    <t>FP REGN</t>
  </si>
  <si>
    <t>ENTITY CODE</t>
  </si>
  <si>
    <t>EVENT TYPE CODE</t>
  </si>
  <si>
    <t>SOURCE</t>
  </si>
  <si>
    <t>TRX TYPE</t>
  </si>
  <si>
    <t>ACCOUNTING DATE</t>
  </si>
  <si>
    <t>TRX NUMBER</t>
  </si>
  <si>
    <t>TRX ID</t>
  </si>
  <si>
    <t>TRX DATE</t>
  </si>
  <si>
    <t>PARTY TYPE</t>
  </si>
  <si>
    <t>PARTY NUMBER</t>
  </si>
  <si>
    <t>PARTY NAME</t>
  </si>
  <si>
    <t>PARTY SITE NAME</t>
  </si>
  <si>
    <t>TP REGNNO</t>
  </si>
  <si>
    <t>TRX UOM</t>
  </si>
  <si>
    <t>UNIT PRICE</t>
  </si>
  <si>
    <t>TRX QTY</t>
  </si>
  <si>
    <t>LINE AMT</t>
  </si>
  <si>
    <t>REGIME</t>
  </si>
  <si>
    <t>SUPPLIER INVOICE NUM</t>
  </si>
  <si>
    <t>SUPPLIER INVOICE DATE</t>
  </si>
  <si>
    <t>ITEM CODE</t>
  </si>
  <si>
    <t>HSN/SACCODE</t>
  </si>
  <si>
    <t>ITEM DES</t>
  </si>
  <si>
    <t>GST TAXABLE AMT</t>
  </si>
  <si>
    <t>GST TAX RATE</t>
  </si>
  <si>
    <t>IGST IMPORT</t>
  </si>
  <si>
    <t>UTGST</t>
  </si>
  <si>
    <t>CESS1 RATE</t>
  </si>
  <si>
    <t>CESS1</t>
  </si>
  <si>
    <t>CESS2 RATE</t>
  </si>
  <si>
    <t>CESS2</t>
  </si>
  <si>
    <t>TCS RATE/ADHOC</t>
  </si>
  <si>
    <t>TCS AMOUNT</t>
  </si>
  <si>
    <t>OTHER TAX</t>
  </si>
  <si>
    <t>TOTAL AMT</t>
  </si>
  <si>
    <t>TRX REC</t>
  </si>
  <si>
    <t>TRX SELF</t>
  </si>
  <si>
    <t>EXPENSE</t>
  </si>
  <si>
    <t>VOUCHARNO</t>
  </si>
  <si>
    <t>TAX CATEGORY</t>
  </si>
  <si>
    <t>ITC CATEGORY</t>
  </si>
  <si>
    <t>Custom BOE No</t>
  </si>
  <si>
    <t>Custom BOE Date</t>
  </si>
  <si>
    <t>Port Code</t>
  </si>
  <si>
    <t>IRN Status</t>
  </si>
  <si>
    <t>State Code</t>
  </si>
  <si>
    <t>State Name</t>
  </si>
  <si>
    <t>GSTIN &amp; INV</t>
  </si>
  <si>
    <t>Total Tax</t>
  </si>
  <si>
    <t>V-Lookuop</t>
  </si>
  <si>
    <t>Diff</t>
  </si>
  <si>
    <t>Remark</t>
  </si>
  <si>
    <t>ITC Type</t>
  </si>
  <si>
    <t>Inv Year</t>
  </si>
  <si>
    <t>2B Year</t>
  </si>
  <si>
    <t>EXC Inv No</t>
  </si>
  <si>
    <t>APPLICATION NAME</t>
  </si>
  <si>
    <t>TP REGNNAME</t>
  </si>
  <si>
    <t>MRP</t>
  </si>
  <si>
    <t>ITEM DESCRIPTION</t>
  </si>
  <si>
    <t>CIGARETTE LENGTH</t>
  </si>
  <si>
    <t>NCCD</t>
  </si>
  <si>
    <t>BED</t>
  </si>
  <si>
    <t>Deemed Taxable Value Per "M"</t>
  </si>
  <si>
    <t>Tax Type</t>
  </si>
  <si>
    <t>TOTAL INVOICE AMOUNT</t>
  </si>
  <si>
    <t>REVENUE</t>
  </si>
  <si>
    <t>CREDITNOTE INV NUM</t>
  </si>
  <si>
    <t>EWAY BILL NUM</t>
  </si>
  <si>
    <t>EWAY BILL DATE</t>
  </si>
  <si>
    <t>IRN NUMBER</t>
  </si>
  <si>
    <t>IRN DATE</t>
  </si>
  <si>
    <t>Tax Invoice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</si>
  <si>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</si>
  <si>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Godfrey_Phillips_India_Limited_HO</t>
  </si>
  <si>
    <t>GPIL_HO_New_Delhi(Services)</t>
  </si>
  <si>
    <t>GPI-HOC260300032</t>
  </si>
  <si>
    <t>HO New Friends Colony</t>
  </si>
  <si>
    <t>TRANSACTIONS</t>
  </si>
  <si>
    <t>Receivables</t>
  </si>
  <si>
    <t>INV_COMPLETE</t>
  </si>
  <si>
    <t> 11263000032</t>
  </si>
  <si>
    <t>Customer</t>
  </si>
  <si>
    <t>GPI -CUTTAK</t>
  </si>
  <si>
    <t>21AABCG4768K1ZJ</t>
  </si>
  <si>
    <t>GST_India</t>
  </si>
  <si>
    <t>BUSINESS SUPPORT SERVICES CROSS CHARGED FOR THE PERIOD MAR-26</t>
  </si>
  <si>
    <t>Normal</t>
  </si>
  <si>
    <t>11.7100.111.512110.0000.000000.0000.000000.000000.00000000</t>
  </si>
  <si>
    <t>HO_INTER-STATE_OTH_REC_18%</t>
  </si>
  <si>
    <t>INPUT_SERVICE</t>
  </si>
  <si>
    <t>90ee7e29ba933c98780c9a9fe543aa5ba4b47efcc0666108cb4a627bc9f84b99</t>
  </si>
  <si>
    <t>B2B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</si>
  <si>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</si>
  <si>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GPI-HOC260300042</t>
  </si>
  <si>
    <t> 11263000042</t>
  </si>
  <si>
    <t>Godfrey Phillips India Limited, Chandigarh</t>
  </si>
  <si>
    <t>I112101</t>
  </si>
  <si>
    <t>04AABCG4768K1ZF</t>
  </si>
  <si>
    <t>fa1944df608de037db4e0ebe405f00213244878d26b739a443e1d58dbf941b14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</si>
  <si>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</si>
  <si>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GPI-HOC260300038</t>
  </si>
  <si>
    <t> 11263000038</t>
  </si>
  <si>
    <t>GODFREY PHILLIPS INDIA LIMITED</t>
  </si>
  <si>
    <t>GPI TAMIL NADU</t>
  </si>
  <si>
    <t>33AABCG4768K1ZE</t>
  </si>
  <si>
    <t>0269c8365b7deac9cfdcf8c5611795bf1b73cf88592f09a278f8d0e30ec3f843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</si>
  <si>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</si>
  <si>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GPI-HOC260300020</t>
  </si>
  <si>
    <t> 11263000020</t>
  </si>
  <si>
    <t>MODI STRATFORD ENTERPRISE MANAGEMENT PRIVATE LIMITED</t>
  </si>
  <si>
    <t>DELHI-24</t>
  </si>
  <si>
    <t>07AAGCM2799F1Z6</t>
  </si>
  <si>
    <t>RENT PREMISES FOR 49,2 ND Floor, COMMUNITY CENTRE,FRIENDS COLONY, NEW DELHI FOR THE M/O APR-'26</t>
  </si>
  <si>
    <t>11.7100.111.321110.2900.000000.0000.000000.000000.00000000</t>
  </si>
  <si>
    <t>HO_INTRA-STATE_OTH_REC_18%</t>
  </si>
  <si>
    <t>412b6dbe20b3dd9dd49460f857a82465e70a1c73695ec895a389b4180eb680d3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</si>
  <si>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</si>
  <si>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GPI-HOC260300009</t>
  </si>
  <si>
    <t> 11263000009</t>
  </si>
  <si>
    <t>PHILIP MORRIS INDIA TRADING PRIVATE LIMITED (FORMERLY IPM INDIA WHOLESALE TRADING PVT. LTD.)</t>
  </si>
  <si>
    <t>08EB_CIG_GURUG_0001</t>
  </si>
  <si>
    <t>06AACCI0642K2ZQ</t>
  </si>
  <si>
    <t>Being amount of AVF styudy 17 additional cities q1</t>
  </si>
  <si>
    <t>11.7100.111.416101.2500.000000.0000.000000.000000.00000000</t>
  </si>
  <si>
    <t>a0b2e6bd10d57b94df969e33db9198e583cd8804785eecc23e3811e4bcf2a0a7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</si>
  <si>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</si>
  <si>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GPI-HOC260300024</t>
  </si>
  <si>
    <t> 11263000024</t>
  </si>
  <si>
    <t>GPI UTTARKHAND</t>
  </si>
  <si>
    <t>05AABCG4768K1ZD</t>
  </si>
  <si>
    <t>c860f615853261f188f1c404191373b9e3ef5bb45cc2c0e0683b8e3ed3e7d889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</si>
  <si>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</si>
  <si>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GPI-HOC260300033</t>
  </si>
  <si>
    <t> 11263000033</t>
  </si>
  <si>
    <t>Godfrey Phillips India Limited, Chhattisgarh</t>
  </si>
  <si>
    <t>Chhattisgarh_HO</t>
  </si>
  <si>
    <t>22AABCG4768K1ZH</t>
  </si>
  <si>
    <t>b11c81bfd051685118061537a33378085dd099874934b2e26748da9c2ac1e20a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</si>
  <si>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</si>
  <si>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GPI-HOC260300039</t>
  </si>
  <si>
    <t> 11263000039</t>
  </si>
  <si>
    <t>Godfrey Phillips India Limited, Hyderabad</t>
  </si>
  <si>
    <t>I112001</t>
  </si>
  <si>
    <t>36AABCG4768K1Z8</t>
  </si>
  <si>
    <t>cf63d7b74bb26569ab0910c6e6b4c7e48020d1c35e7f801e71cc4b87d97de310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</si>
  <si>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</si>
  <si>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GPI-HOC260300043</t>
  </si>
  <si>
    <t> 11263000043</t>
  </si>
  <si>
    <t>GODFREY PHILLIPS INDIA LIMITED (HR)</t>
  </si>
  <si>
    <t>08EB_ALL_DELHI_0004</t>
  </si>
  <si>
    <t>06AABCG4768K1ZB</t>
  </si>
  <si>
    <t>683241a1e4737ca483c28547f9b7401d539cb1ef305c31be28b2e77e6c008af4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</si>
  <si>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</si>
  <si>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GPI-HOC260300017</t>
  </si>
  <si>
    <t> 11263000017</t>
  </si>
  <si>
    <t>Bina Fashion N Food (P) Ltd</t>
  </si>
  <si>
    <t>Ho45</t>
  </si>
  <si>
    <t>07AABCB5582A1Z1</t>
  </si>
  <si>
    <t>RENT PREMISES FOR GROUND FLOOR,4,COMMUNITY CENTRE,FRIENDS COLONY,NEW DELHI-110025 2465 SQ.FT FOR THE M/O APR-'26</t>
  </si>
  <si>
    <t>8483eb2ee008d604d62eb296a596609f01c6f41996cd78330bf9c3231458be73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</si>
  <si>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</si>
  <si>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GPI-HOC260300008</t>
  </si>
  <si>
    <t> 11263000008</t>
  </si>
  <si>
    <t>Being amount of AVF Study 5FC Q1JFM</t>
  </si>
  <si>
    <t>b4bfe34d16f4e5b2e17d203831a50dce31440e36f90d67945e9c9da29e0e8d8b</t>
  </si>
  <si>
    <t>Manual Regime Entry</t>
  </si>
  <si>
    <r>
      <rPr>
        <rFont val="Calibri"/>
        <color rgb="FF000000"/>
        <sz val="11.0"/>
      </rPr>
      <t>MANUAL_ENTRY</t>
    </r>
    <r>
      <rPr>
        <rFont val="Calibri"/>
        <b/>
        <color rgb="FF000000"/>
        <sz val="11.0"/>
      </rPr>
      <t xml:space="preserve"> </t>
    </r>
  </si>
  <si>
    <t>GPI-HOC260300066</t>
  </si>
  <si>
    <t>MANUAL_ENTRY</t>
  </si>
  <si>
    <t>Asia/Pacific Localizations</t>
  </si>
  <si>
    <t>MANUAL_ENTRY_CREATE</t>
  </si>
  <si>
    <t>Form Entry</t>
  </si>
  <si>
    <t>LIABILITY</t>
  </si>
  <si>
    <t> 108621355</t>
  </si>
  <si>
    <t>CUSTOMER</t>
  </si>
  <si>
    <t>Godfrey Phillips India Limited, Ho</t>
  </si>
  <si>
    <t>HOC_ISD</t>
  </si>
  <si>
    <t>07AABCG4768K3Z7</t>
  </si>
  <si>
    <t>Services_ISD</t>
  </si>
  <si>
    <t>11.7100.111.512120.0000.000000.0000.000000.000000.00000000</t>
  </si>
  <si>
    <t>a541de5602a0b6a8e2003437be64d0e2e63b3ff9065d1760969b1bab75b9f4d0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</si>
  <si>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</si>
  <si>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GPI-HOC260300031</t>
  </si>
  <si>
    <t> 11263000031</t>
  </si>
  <si>
    <t>GPI-JHARKHAND</t>
  </si>
  <si>
    <t>20AABCG4768K1ZL</t>
  </si>
  <si>
    <t>ebd7cf4d39f52b49f38c34188d5cf8ce4452b6144ded985de6b759edda3a3af7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</si>
  <si>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</si>
  <si>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GPI-HOC260300001</t>
  </si>
  <si>
    <t> 11263000001</t>
  </si>
  <si>
    <t>Godfrey Phillips India Limited, Jaipur</t>
  </si>
  <si>
    <t>HOJGM</t>
  </si>
  <si>
    <t>23AABCG4768K1ZF</t>
  </si>
  <si>
    <t>Dell laptop vide asset no.227618 (S.NO.17W3TB4)</t>
  </si>
  <si>
    <t>11.7100.111.511050.0000.000000.0000.000000.000000.00000000</t>
  </si>
  <si>
    <t>CAPITAL_GOODS</t>
  </si>
  <si>
    <t>6bad53248db99ce5a76d4107c44cb79180273639c0af18f5c9955f81584a64ae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</si>
  <si>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</si>
  <si>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GPI-HOC260300005</t>
  </si>
  <si>
    <t> 11263000005</t>
  </si>
  <si>
    <t>EMPLOYEE</t>
  </si>
  <si>
    <t>EMPLOYEE- DELHI</t>
  </si>
  <si>
    <t>Dell Latitude Asset no.111591 Mr.Ashutosh (gst assessable value Rs.13500</t>
  </si>
  <si>
    <t>11.7100.111.511500.0000.000000.0000.000000.000000.00000000</t>
  </si>
  <si>
    <t>B2CS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</si>
  <si>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</si>
  <si>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GPI-HOC260300018</t>
  </si>
  <si>
    <t> 11263000018</t>
  </si>
  <si>
    <t>RENT PREMISES FOR GROUND FLOOR,49, COMMUNITY CENTRE, NEW FRIENDS COLONY, NEW DELHI-110025 AREA 1900 SQFT FOR THE M/O APR-'26</t>
  </si>
  <si>
    <t>addb2878081b8fa351cfce675717d9baa8278c22fb874fa2c45162140cd74ac6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</si>
  <si>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</si>
  <si>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GPI-HOC260300030</t>
  </si>
  <si>
    <t> 11263000030</t>
  </si>
  <si>
    <t>Godfrey Phillips India Limited, Kolkata</t>
  </si>
  <si>
    <t>I111601</t>
  </si>
  <si>
    <t>19AABCG4768K1Z4</t>
  </si>
  <si>
    <t>4db2621fcb42dab14cb2b6f13655acda3666344b3c592e41099df98540e0f855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</si>
  <si>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</si>
  <si>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GPI-HOC260300040</t>
  </si>
  <si>
    <t> 11263000040</t>
  </si>
  <si>
    <t>GODFREY PHILLIPS INDIA LIMITED, GUNTUR</t>
  </si>
  <si>
    <t>I111401</t>
  </si>
  <si>
    <t>37AABCG4768K1Z6</t>
  </si>
  <si>
    <t>fdd6fdeba31ee4f01676945f84c3b967d0cc6975723786eb7e4c036ccad2f75d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</si>
  <si>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</si>
  <si>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GPI-HOC260300029</t>
  </si>
  <si>
    <t> 11263000029</t>
  </si>
  <si>
    <t>GPI -ASSAM</t>
  </si>
  <si>
    <t>18AABCG4768K1Z6</t>
  </si>
  <si>
    <t>27bbf7a0070406f35b823b2d097dcd71978d6d8027de59ab1bfc311e621b80c5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</si>
  <si>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</si>
  <si>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GPI-HOC260300011</t>
  </si>
  <si>
    <t> 11263000011</t>
  </si>
  <si>
    <t>INTERNATIONAL RESEARCH PARK LABORATORIES LTD</t>
  </si>
  <si>
    <t>INT4CC</t>
  </si>
  <si>
    <t>RENT PREMISES FOR IST FLOOR, 4,COMMMUNITY CENTRE,NFC,N.DELHI FOR THE M/O APR-'26</t>
  </si>
  <si>
    <t>B2C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</si>
  <si>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</si>
  <si>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GPI-HOC260300004</t>
  </si>
  <si>
    <t> 11263000004</t>
  </si>
  <si>
    <t>HP LAPTOP S.NO.5CD6106BJ0 (ASSET NO.278586)</t>
  </si>
  <si>
    <t>11.7100.111.511100.0000.000000.0000.000000.000000.00000000</t>
  </si>
  <si>
    <t>f3e10e29f82bb3b9a53b56bb22a49de1eba23d8154b2d1289272b5848803356d</t>
  </si>
  <si>
    <t>Credit Memo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</si>
  <si>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</si>
  <si>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GPI-HOC260300001-01-APR-26</t>
  </si>
  <si>
    <t>CM_COMPLETE</t>
  </si>
  <si>
    <t> 11261000001</t>
  </si>
  <si>
    <t>CANCELLATION OF INVOICE NO.GPI/HOC260300001 (ASSET NO.227618)</t>
  </si>
  <si>
    <t>GPI-HOC260200001</t>
  </si>
  <si>
    <t>8060ffbe52f2cc7c64cd919d7d678517a205864fd9793b127d837e0fc9c1b456</t>
  </si>
  <si>
    <t>B2B-CN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</si>
  <si>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</si>
  <si>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GPI-HOC260300021</t>
  </si>
  <si>
    <t> 11263000021</t>
  </si>
  <si>
    <t>A AND V ZIPPERS PVT. LIMITED</t>
  </si>
  <si>
    <t>08EB_ALL_DELHI_0007</t>
  </si>
  <si>
    <t>07AADCA3655R1Z7</t>
  </si>
  <si>
    <t>RENT PREMISES FOR 2ND FLOOR,49, COMMUNITY CENTRE,NFC,N.DELHI 40 SQFT@125/- FOR THE M/O APR-'26</t>
  </si>
  <si>
    <t>e8e37ff586f2aab0e14f38d9b3bd4f473d3024f751fb6ae5783d79a5998c5fba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</si>
  <si>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</si>
  <si>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GPI-HOC260300019</t>
  </si>
  <si>
    <t> 11263000019</t>
  </si>
  <si>
    <t>RENT PREMISES FOR 2ND &amp; 3RD FLOOR, 49, COMMUNITY CENTRE,FRIENDS COLONY , NEW DELHI-110025 AREA 4000 SQFT FOR THE M/O APR-'26</t>
  </si>
  <si>
    <t>bbf022a3da0bdd7fb98cfea252dce2c9fee214d3a6169a56eb4b9c0d4765bda1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</si>
  <si>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</si>
  <si>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GPI-HOC260300002</t>
  </si>
  <si>
    <t> 11263000002</t>
  </si>
  <si>
    <t>Godfrey Phillips India Limited, Jammu</t>
  </si>
  <si>
    <t>HOJBG</t>
  </si>
  <si>
    <t>01AABCG4768K1ZL</t>
  </si>
  <si>
    <t>Being amount of dell laptop vide asset no.201615 (Nitin Gupta)</t>
  </si>
  <si>
    <t>11.7100.111.511250.0000.000000.0000.000000.000000.00000000</t>
  </si>
  <si>
    <t>1d0f50957afc2bbf15981ceefdf6919df62eb1aa189ff407681f554b1fdaea8c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</si>
  <si>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</si>
  <si>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GPI-HOC260300035</t>
  </si>
  <si>
    <t> 11263000035</t>
  </si>
  <si>
    <t>GPI GOA</t>
  </si>
  <si>
    <t>30AABCG4768K1ZK</t>
  </si>
  <si>
    <t>ab165f6a9243ab3283f5013b6586a65b4d06b7fe408b230d392ebd7250e08445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</si>
  <si>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</si>
  <si>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GPI-HOC260300012</t>
  </si>
  <si>
    <t> 11263000012</t>
  </si>
  <si>
    <t>RAJPUTANA DEVELOPERS LIMITED</t>
  </si>
  <si>
    <t>53 CC</t>
  </si>
  <si>
    <t>07AAECR2482G1ZD</t>
  </si>
  <si>
    <t>RENT PREMISES FOR 14,OMAXE SQAURE, JASOLA, NEW DELHI FOR THE M/O APR-'26</t>
  </si>
  <si>
    <t>5158c19577192d526170ffe5a5f51a18273f61bbe5cf3d68b4522f8d9185b506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</si>
  <si>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</si>
  <si>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GPI-HOC260300041</t>
  </si>
  <si>
    <t> 11263000041</t>
  </si>
  <si>
    <t>GPI MOHALI</t>
  </si>
  <si>
    <t>03AABCG4768K1ZH</t>
  </si>
  <si>
    <t>672bd21e04b274039757f9ef2196cba8edad1f325101a1fdd8748915be5bd8f0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</si>
  <si>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</si>
  <si>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GPI-HOC260300006</t>
  </si>
  <si>
    <t> 11263000006</t>
  </si>
  <si>
    <t>FERRERO INDIA PVT LTD-PUNE</t>
  </si>
  <si>
    <t>08EB_ALL_PUNE_0001</t>
  </si>
  <si>
    <t>27AAACF8110B1Z8</t>
  </si>
  <si>
    <t>Being amount of other support services for ferrero fusion Q4 FY26</t>
  </si>
  <si>
    <t>11.7100.371.416101.2500.000000.0000.000000.000000.00000000</t>
  </si>
  <si>
    <t>eb694a307d43ef7c9ad79cd32033351d2c065acd2740bf9b9b2352c292a8d475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</si>
  <si>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</si>
  <si>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GPI-HOC260300025</t>
  </si>
  <si>
    <t> 11263000025</t>
  </si>
  <si>
    <t>GPI JAIPUR</t>
  </si>
  <si>
    <t>08AABCG4768K1Z7</t>
  </si>
  <si>
    <t>6d4f37769b8339f491f3b3d120057f66cdf1131907f50cc3e5652c35d04ab850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</si>
  <si>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</si>
  <si>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GPI-HOC260300034</t>
  </si>
  <si>
    <t> 11263000034</t>
  </si>
  <si>
    <t>GPI INDORE</t>
  </si>
  <si>
    <t>3287af05dc718a3825d3212fb712505177eabc9b6b6e4bd8f2ebbf0f4c626a52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</si>
  <si>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</si>
  <si>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GPI-HOC260300022</t>
  </si>
  <si>
    <t> 11263000022</t>
  </si>
  <si>
    <t>jammu</t>
  </si>
  <si>
    <t>354f0f0e296b7f1b3388a52b8a97e1998d0a082eabf1a913480fabcef6664bfa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</si>
  <si>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</si>
  <si>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GPI-HOC260300016</t>
  </si>
  <si>
    <t> 11263000016</t>
  </si>
  <si>
    <t>RENT PREMISES FOR GROUND FLOOR, 14,OMAXE SQAURE, JASOLA, NEW DELHI 1500 SQ.FT FOR THE M/O APR-'26</t>
  </si>
  <si>
    <t>ef4dac0144838d00579b5830ae90da0c791a21a1484f6ca1e489583b65af79ac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</si>
  <si>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</si>
  <si>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GPI-HOC260300036</t>
  </si>
  <si>
    <t> 11263000036</t>
  </si>
  <si>
    <t>Godfrey Phillips India Limited, Rabale</t>
  </si>
  <si>
    <t>I112501</t>
  </si>
  <si>
    <t>27AABCG4768K1Z7</t>
  </si>
  <si>
    <t>d277bc226fe77b0aeff55601d5138752bdd1ab9bd55b7fe2b93be33ed0289db4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</si>
  <si>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</si>
  <si>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GPI-HOC260300028</t>
  </si>
  <si>
    <t> 11263000028</t>
  </si>
  <si>
    <t>GPI PATNA</t>
  </si>
  <si>
    <t>10AABCG4768K1ZM</t>
  </si>
  <si>
    <t>0576b9a3b764ed7072a308dfa8ac8b294559155243605b93716d49de347d28b1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</si>
  <si>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</si>
  <si>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GPI-HOC260300003</t>
  </si>
  <si>
    <t> 11263000003</t>
  </si>
  <si>
    <t>1da0d8816f8825604c84b997009537c2b660b95b02b7708e287462fb040c3737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</si>
  <si>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</si>
  <si>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GPI-HOC260300013</t>
  </si>
  <si>
    <t> 11263000013</t>
  </si>
  <si>
    <t>Beacon Travels Pvt. Ltd.</t>
  </si>
  <si>
    <t>H044</t>
  </si>
  <si>
    <t>07AAACB0272G1Z5</t>
  </si>
  <si>
    <t>RENT PREMISES FOR 1ST FLOOR,49, COMMUNITY CENTRE,NFC,N.DELHI FOR THE M/O APR-'26</t>
  </si>
  <si>
    <t>1f2feef12c38e752817ee25109569663e0c632135d6b72e072fdbd4c6dbcbe93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</si>
  <si>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</si>
  <si>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GPI-HOC260300027</t>
  </si>
  <si>
    <t> 11263000027</t>
  </si>
  <si>
    <t>Godfrey Phillips India Limited, Guldhar</t>
  </si>
  <si>
    <t>I111301</t>
  </si>
  <si>
    <t>09AABCG4768K1Z5</t>
  </si>
  <si>
    <t>44e8508256fdb4605cc4d9e3c2802f1c4f9b9009db1e4e889a30d27d08d368e1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</si>
  <si>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</si>
  <si>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GPI-HOC260300023</t>
  </si>
  <si>
    <t> 11263000023</t>
  </si>
  <si>
    <t>GODFREY-LADAKH</t>
  </si>
  <si>
    <t>38AABCG4768K1Z4</t>
  </si>
  <si>
    <t>753a435e541c04fac29f51fc211127f1e8448773e9b2971650aea831823b00e5</t>
  </si>
  <si>
    <r>
      <rPr>
        <rFont val="Calibri"/>
        <color rgb="FF000000"/>
        <sz val="11.0"/>
      </rPr>
      <t>MANUAL_ENTRY</t>
    </r>
    <r>
      <rPr>
        <rFont val="Calibri"/>
        <b/>
        <color rgb="FF000000"/>
        <sz val="11.0"/>
      </rPr>
      <t xml:space="preserve"> </t>
    </r>
  </si>
  <si>
    <t>GPI-HOC260300070</t>
  </si>
  <si>
    <t> 108636040</t>
  </si>
  <si>
    <t>8a08358c4e559433d403614a5c015a88e36c840b1de36ce67db84028b2f70e7e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</si>
  <si>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</si>
  <si>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GPI-HOC260300007</t>
  </si>
  <si>
    <t> 11263000007</t>
  </si>
  <si>
    <t>Being amount of cost of credit m/o feb-26</t>
  </si>
  <si>
    <t>11.7100.111.321912.2900.000000.0000.000000.000000.00000000</t>
  </si>
  <si>
    <t>9397213257517241871f6c5dca7c4b2c5974c24da4e19df228f454630610056c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</si>
  <si>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</si>
  <si>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GPI-HOC260300010</t>
  </si>
  <si>
    <t> 11263000010</t>
  </si>
  <si>
    <t>Being amount of reimbursement of cost of credit M/O April-26</t>
  </si>
  <si>
    <t>f1f23a362dc5166de5a5c5399e4ec3f84f728480c1066368fe7558bfbc42582e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</si>
  <si>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</si>
  <si>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GPI-HOC260300026</t>
  </si>
  <si>
    <t> 11263000026</t>
  </si>
  <si>
    <t>Godfrey Phillips India Limited, Ahmedabad</t>
  </si>
  <si>
    <t>I111901</t>
  </si>
  <si>
    <t>24AABCG4768K1ZD</t>
  </si>
  <si>
    <t>9676d458cd4b6a7741a07c71e3761152179b1f6802ebe1f89f030f7f22947400</t>
  </si>
  <si>
    <r>
      <rPr>
        <rFont val="Calibri"/>
        <color rgb="FF000000"/>
        <sz val="11.0"/>
      </rPr>
      <t>AR_INVOICE</t>
    </r>
    <r>
      <rPr>
        <rFont val="Calibri"/>
        <b/>
        <color rgb="FF000000"/>
        <sz val="11.0"/>
      </rPr>
      <t xml:space="preserve"> </t>
    </r>
  </si>
  <si>
    <t>GPI-HOC260300037</t>
  </si>
  <si>
    <t> 11263000037</t>
  </si>
  <si>
    <t>GPI BANGLORE</t>
  </si>
  <si>
    <t>29AABCG4768K2Z2</t>
  </si>
  <si>
    <t>0c4a8c9290d108b1b25069c56bb6cdb6c971115061bb4c9a0dd797e8b4c84aed</t>
  </si>
  <si>
    <t>PR</t>
  </si>
  <si>
    <t>2B</t>
  </si>
  <si>
    <t>DIFF</t>
  </si>
  <si>
    <t>06AACCL4494J1Z8LNC/25-26/5110</t>
  </si>
  <si>
    <t>Row Labels</t>
  </si>
  <si>
    <t>Sum of IGST</t>
  </si>
  <si>
    <t>Sum of SGST</t>
  </si>
  <si>
    <t>Sum of CGST</t>
  </si>
  <si>
    <t>Sum of CESS1</t>
  </si>
  <si>
    <t>YEAR</t>
  </si>
  <si>
    <t>Amount</t>
  </si>
  <si>
    <t>27AACCN6194P1ZP272612BP05AFT995</t>
  </si>
  <si>
    <t>RCM-Not Matched</t>
  </si>
  <si>
    <t>FY 2025-26</t>
  </si>
  <si>
    <t>07AACCN6194P2ZQ072612BP04ACB413</t>
  </si>
  <si>
    <t>RCM Non Rec</t>
  </si>
  <si>
    <t>FY 2026-27</t>
  </si>
  <si>
    <t>07AAACB2894G1ZPMF2707I000063444</t>
  </si>
  <si>
    <t>RCM Rec</t>
  </si>
  <si>
    <t>Fwd - Matched</t>
  </si>
  <si>
    <t>Fwd Rec</t>
  </si>
  <si>
    <t>Fwd Non Rec</t>
  </si>
  <si>
    <t>Grand Total</t>
  </si>
  <si>
    <t>Total - Difference</t>
  </si>
  <si>
    <t>As per Books</t>
  </si>
  <si>
    <t>As per 2B</t>
  </si>
  <si>
    <t>Diffrence</t>
  </si>
  <si>
    <t>Refer O12</t>
  </si>
  <si>
    <t>BED/CVD</t>
  </si>
  <si>
    <t>TAX TYPE</t>
  </si>
  <si>
    <t>Payable Invoice</t>
  </si>
  <si>
    <t xml:space="preserve">AP_INVOICE </t>
  </si>
  <si>
    <t>AP_INVOICES</t>
  </si>
  <si>
    <t>STANDARD CREATED</t>
  </si>
  <si>
    <t>Manual Invoice Entry</t>
  </si>
  <si>
    <t>STANDARD</t>
  </si>
  <si>
    <t>DFSI2600000412</t>
  </si>
  <si>
    <t>Supplier</t>
  </si>
  <si>
    <t>DEUTSCHE CARS PRIVATE LIMITED</t>
  </si>
  <si>
    <t>Faridabad-OFF</t>
  </si>
  <si>
    <t>06AAGCD4246E1ZX</t>
  </si>
  <si>
    <t>NOS</t>
  </si>
  <si>
    <t>BUDMINTIND</t>
  </si>
  <si>
    <t>INTERIOR BEAUTIFICATION AND ENRICHMENT</t>
  </si>
  <si>
    <t>11.7100.111.414301.1011.111636.0007.000000.000000.00000000</t>
  </si>
  <si>
    <t>HO_INTER-STATE_OTH_NON_REC_18%</t>
  </si>
  <si>
    <t>INPUT_TDS_194C</t>
  </si>
  <si>
    <t>Yes</t>
  </si>
  <si>
    <t>07</t>
  </si>
  <si>
    <t>Delhi</t>
  </si>
  <si>
    <t>06AAGCD4246E1ZXDFSI2600000412</t>
  </si>
  <si>
    <t>Matched</t>
  </si>
  <si>
    <t>OZONIZER</t>
  </si>
  <si>
    <t>DFSI2600000751</t>
  </si>
  <si>
    <t>MECH CARE</t>
  </si>
  <si>
    <t>11.7100.111.414301.1000.100007.0007.000000.000000.00000000</t>
  </si>
  <si>
    <t>06AAGCD4246E1ZXDFSI2600000751</t>
  </si>
  <si>
    <t>MF2707I00063444</t>
  </si>
  <si>
    <t>BHARTI AIRTEL LIMITED</t>
  </si>
  <si>
    <t>HO</t>
  </si>
  <si>
    <t>07AAACB2894G1ZP</t>
  </si>
  <si>
    <t>MF2707I000063444</t>
  </si>
  <si>
    <t>MISCELLENS</t>
  </si>
  <si>
    <t>AIRTEL MOBILE BILLS FOR THE MONTH OF MAR 2026</t>
  </si>
  <si>
    <t>11.7100.111.420803.1000.000000.0007.000000.000000.00000000</t>
  </si>
  <si>
    <t>STANDARD VALIDATED TAX</t>
  </si>
  <si>
    <t>IA</t>
  </si>
  <si>
    <t>DLS2627000000593</t>
  </si>
  <si>
    <t>CANON INDIA PVT. LTD.</t>
  </si>
  <si>
    <t>OKHLA</t>
  </si>
  <si>
    <t>07AAACC4175D1Z0</t>
  </si>
  <si>
    <t>Supply of Tonernnk Spares along with Support Services</t>
  </si>
  <si>
    <t>11.7100.111.234010.0000.000000.0007.000000.000000.00000000</t>
  </si>
  <si>
    <t>07AAACC4175D1Z0DLS2627000000593</t>
  </si>
  <si>
    <t>SME/26-27/98</t>
  </si>
  <si>
    <t>SREE MAHAVIR ENTERPRISES</t>
  </si>
  <si>
    <t>NEW DELHI</t>
  </si>
  <si>
    <t>07AAOFS6787Q1ZV</t>
  </si>
  <si>
    <t>Annual Maintainance Contract No. NEC SL2100 (38) EPABX System 2 Nos. Key Phone Period 01.04.2026 to 31.03.2027</t>
  </si>
  <si>
    <t>11.7100.111.414401.1010.000000.0007.000000.000000.00000000</t>
  </si>
  <si>
    <t>07AAAFL1585H1ZDLKS01-2627-001470</t>
  </si>
  <si>
    <t>RCM</t>
  </si>
  <si>
    <t>DLS2627000000653</t>
  </si>
  <si>
    <t>Supply of Toner ink and Spares along with Support Services</t>
  </si>
  <si>
    <t>07AAOFS6787Q1ZVSME/26-27/98</t>
  </si>
  <si>
    <t>SURFACE REFINEMENT</t>
  </si>
  <si>
    <t>27AABCT3784C1ZDGLMS000000059723</t>
  </si>
  <si>
    <t>07AAACC4175D1Z0DLS2627000000653</t>
  </si>
  <si>
    <t>TXA26-00607</t>
  </si>
  <si>
    <t>SPIRITED AUTO CARS (I) LTD.</t>
  </si>
  <si>
    <t>07AANCS0651B1ZM</t>
  </si>
  <si>
    <t>FILTER ASSY OIL</t>
  </si>
  <si>
    <t>11.7100.111.414301.1009.110908.0007.000000.000000.00000000</t>
  </si>
  <si>
    <t>HO_INTRA-STATE_OTH_NON_REC_18%</t>
  </si>
  <si>
    <t>SQUA/27/T000001</t>
  </si>
  <si>
    <t>SHANVI ESTATE MANAGEMENT SERVICES PRIVATE LIMITED</t>
  </si>
  <si>
    <t>07AAJCS4628Q1ZM</t>
  </si>
  <si>
    <t>MAINTENANCE CHARGES</t>
  </si>
  <si>
    <t>11.7100.111.413703.1010.000000.0007.000000.000000.00000000</t>
  </si>
  <si>
    <t>COMBO 2</t>
  </si>
  <si>
    <t>07AANCS0651B1ZMTXA26-00607</t>
  </si>
  <si>
    <t>DLS2627000000590</t>
  </si>
  <si>
    <t>Supply of Tonerink and Spares along with Support Services</t>
  </si>
  <si>
    <t>07AAJCS4628Q1ZMSQUA/27/T000001</t>
  </si>
  <si>
    <t>Supply of TonerInk Spares along Support Services</t>
  </si>
  <si>
    <t>Supply of TonerInk and Spares along with Support Services</t>
  </si>
  <si>
    <t>07AAACC4175D1Z0DLS2627000000590</t>
  </si>
  <si>
    <t>DLS2627000000660</t>
  </si>
  <si>
    <t>HRF2627000000683</t>
  </si>
  <si>
    <t>GURGAON-1A</t>
  </si>
  <si>
    <t>06AAACC4175D1Z2</t>
  </si>
  <si>
    <t>Rental Charges For iR-ADV</t>
  </si>
  <si>
    <t>11.7100.111.414703.1000.000000.0007.000000.000000.00000000</t>
  </si>
  <si>
    <t>COMBO 1</t>
  </si>
  <si>
    <t>07AAACC4175D1Z0DLS2627000000660</t>
  </si>
  <si>
    <t>RADIATOR ANT</t>
  </si>
  <si>
    <t>06AAACC4175D1Z2HRF2627000000683</t>
  </si>
  <si>
    <t>VEHICLE CHECK FOR EXTENDED CAR</t>
  </si>
  <si>
    <t>NC/26-27/0162</t>
  </si>
  <si>
    <t>NAF COMPUTERS</t>
  </si>
  <si>
    <t>07AATPA1288M1Z9</t>
  </si>
  <si>
    <t>HP Black Cartridge 965XL</t>
  </si>
  <si>
    <t>11.7100.111.420604.1010.000000.0007.000000.000000.00000000</t>
  </si>
  <si>
    <t>INPUT</t>
  </si>
  <si>
    <t>No</t>
  </si>
  <si>
    <t>HP Colour Cartridge 965XL Cyan</t>
  </si>
  <si>
    <t>GPI-HOC260400005</t>
  </si>
  <si>
    <t>GST/DL/2627/021</t>
  </si>
  <si>
    <t>LGA TECHNOLOGY PRIVATE LIMITED</t>
  </si>
  <si>
    <t>07AADCL9190Q1ZO</t>
  </si>
  <si>
    <t>BUDITMINTIND</t>
  </si>
  <si>
    <t>HP KB CL KM260 KM260251243052</t>
  </si>
  <si>
    <t>11.7100.111.414701.1013.000000.0007.000000.000000.00000000</t>
  </si>
  <si>
    <t>07AADCL9190Q1ZOGST/DL/2627/021</t>
  </si>
  <si>
    <t>ARSHAD KHAN ENTERPRISES</t>
  </si>
  <si>
    <t>07AVQPK8011N2Z1</t>
  </si>
  <si>
    <t>Gazebo Ceiling Cane Light</t>
  </si>
  <si>
    <t>11.7100.111.424156.1000.100007.0007.000000.000000.00000000</t>
  </si>
  <si>
    <t>07AVQPK8011N2Z1612</t>
  </si>
  <si>
    <t>SET OF WIPER</t>
  </si>
  <si>
    <t>SET MICROFI</t>
  </si>
  <si>
    <t>C07E262700010044</t>
  </si>
  <si>
    <t>RELIANCE JIO INFOCOMM LIMITED</t>
  </si>
  <si>
    <t>07AABCI6363G1ZL</t>
  </si>
  <si>
    <t>RELIANCE JIO MOBILE BILL FOR THE MONTH OF MAR 2026</t>
  </si>
  <si>
    <t>07AABCI6363G1ZLC07E262700010044</t>
  </si>
  <si>
    <t>TATA TELESERVICES  LIMITED</t>
  </si>
  <si>
    <t>07AAACT2438A1ZV</t>
  </si>
  <si>
    <t>TATA PRI bill for the period of 13-03-2026  to 12.04.2026– Jasola Office</t>
  </si>
  <si>
    <t>11.7100.111.420801.1010.000000.0007.000000.000000.00000000</t>
  </si>
  <si>
    <t>07AAACT2438A1ZV3473457367</t>
  </si>
  <si>
    <t>BMW GROUP GL</t>
  </si>
  <si>
    <t>SPARK PLUG</t>
  </si>
  <si>
    <t>JOB TIME WITHOUT ALLOWANCE FOR / ELECTRICAL SYSTEM</t>
  </si>
  <si>
    <t>ANS COMPUTERS AND PERIPHERALS</t>
  </si>
  <si>
    <t>DELHI</t>
  </si>
  <si>
    <t>07ACBPV7574P1ZN</t>
  </si>
  <si>
    <t>RJ-45 CONNECTORS DLINK</t>
  </si>
  <si>
    <t>07ACBPV7574P1ZN3</t>
  </si>
  <si>
    <t>AIR FILTER E</t>
  </si>
  <si>
    <t>738/2025-2026</t>
  </si>
  <si>
    <t>WINDSHIELD WASHER FLUID</t>
  </si>
  <si>
    <t>HP Colour Cartridge 965XL Magenta</t>
  </si>
  <si>
    <t>CONVERSION</t>
  </si>
  <si>
    <t>HF2707I000137674</t>
  </si>
  <si>
    <t>GPI JASOLA OFFICE AIRTEL - LANDLINE TELEPHONE EXPENSES FOR THE MONTH OF March-2026 -  - ADMN</t>
  </si>
  <si>
    <t>07AAACB2894G1ZPHF2707I000137674</t>
  </si>
  <si>
    <t>130/26-27</t>
  </si>
  <si>
    <t>NIYOGI OFFSET PVT.LTD.</t>
  </si>
  <si>
    <t>07AAACN0474C1ZX</t>
  </si>
  <si>
    <t>Envelope (HSN 49090010 Womens Dday Appreciation Card</t>
  </si>
  <si>
    <t>11.7100.111.420602.1011.000000.0007.000000.000000.00000000</t>
  </si>
  <si>
    <t>07AAACN0474C1ZX130/26-27</t>
  </si>
  <si>
    <t>STELLAR ENTERPRISES</t>
  </si>
  <si>
    <t>DELHI-OFF</t>
  </si>
  <si>
    <t>07AFGFS5626D1Z0</t>
  </si>
  <si>
    <t>Machine Service  Rental Charges Month of April OODG trtin 1500 CST per month Machine 4 Machines the</t>
  </si>
  <si>
    <t>11.7100.111.412401.1010.000000.0007.000000.000000.00000000</t>
  </si>
  <si>
    <t>07AFGFS5626D1Z076</t>
  </si>
  <si>
    <t>CI1001100320</t>
  </si>
  <si>
    <t>THE OBEROI</t>
  </si>
  <si>
    <t>07AAACE6898B4ZH</t>
  </si>
  <si>
    <t>BELVEDERE MEM RENEWAL FEES APRIL 2026 TO MARCH 2027 DR BINA MODI</t>
  </si>
  <si>
    <t>11.7100.111.420501.1000.100005.0007.000000.000000.00000000</t>
  </si>
  <si>
    <t>07AAACE6898B4ZHCI1001100320</t>
  </si>
  <si>
    <t>MAINTENANACE OF VEHICLE REG. NO. DL 14 CL 2371 USER CHANDER SHEKHAR SHARMA</t>
  </si>
  <si>
    <t>HO_GST_Not_Applicable</t>
  </si>
  <si>
    <t>07AAACB2894G1ZPMF2707I000130888</t>
  </si>
  <si>
    <t>MF2707I000130888</t>
  </si>
  <si>
    <t>AIRTEL MOBILE BILLS FOR THE MONTH OF MAR 2026-SHABAD KALRA</t>
  </si>
  <si>
    <t>11.7100.111.420803.1013.000000.0007.000000.000000.00000000</t>
  </si>
  <si>
    <t>CLEANER INJECTOR</t>
  </si>
  <si>
    <t>07AAACB2894G1ZPHF2707I000101334</t>
  </si>
  <si>
    <t>HF2707I000101334</t>
  </si>
  <si>
    <t>PRESIDENT OFF.( A-1) AIRTEL - LANDLINE TELEPHONE EXPENSES FOR THE MONTH OF March-2026 -  - CM</t>
  </si>
  <si>
    <t>11.7100.111.420801.1000.000000.0007.000000.000000.00000000</t>
  </si>
  <si>
    <t>07AAACC4175D1Z0DLS2627000000643</t>
  </si>
  <si>
    <t>DLS2627000000643</t>
  </si>
  <si>
    <t>Supply of Tonerilnk Spares along With Support Services</t>
  </si>
  <si>
    <t>07ACBPV7574P1ZN4</t>
  </si>
  <si>
    <t>HDD-1 TB WD EXTERNAL USB</t>
  </si>
  <si>
    <t>07AADCA3655R1Z7AVZ/274/2025-26</t>
  </si>
  <si>
    <t>Supply of TonerInk Spares along with Support Services</t>
  </si>
  <si>
    <t>VEHICLE CARE SET 1 VEHICLE</t>
  </si>
  <si>
    <t>27AABCT3518Q1ZWMH25I00004429548</t>
  </si>
  <si>
    <t>CERAMIC COAT</t>
  </si>
  <si>
    <t>ENGINE OIL SERVICE</t>
  </si>
  <si>
    <t>MF2707I000063997</t>
  </si>
  <si>
    <t>AIRTEL MOBILE BILLS FOR THE MONTH OF MAR 2026-CHANDRA SHEKHAR SHARMA</t>
  </si>
  <si>
    <t>11.7100.111.420803.1009.110908.0007.000000.000000.00000000</t>
  </si>
  <si>
    <t>07AAACB2894G1ZPMF2707I000063997</t>
  </si>
  <si>
    <t>WHEEL ALIGNMENT INSP</t>
  </si>
  <si>
    <t>KINEMATICS DIAGNOSIS SYSTEM WHEEL ALIGNMENT WITH RIDE HEIGHT MEASUREMENT WITHOUT LOADING THE VEHICLE</t>
  </si>
  <si>
    <t>DLS2627000000355</t>
  </si>
  <si>
    <t>07AAACC4175D1Z0DLS2627000000355</t>
  </si>
  <si>
    <t>DLS2627000000642</t>
  </si>
  <si>
    <t>07AAACC4175D1Z0DLS2627000000642</t>
  </si>
  <si>
    <t>DLS2627000000644</t>
  </si>
  <si>
    <t>07AAACC4175D1Z0DLS2627000000644</t>
  </si>
  <si>
    <t>HRF2627000000686</t>
  </si>
  <si>
    <t>Rental Charges For iR-ADV DX C</t>
  </si>
  <si>
    <t>11.7100.111.414703.2700.000000.0007.000000.000000.00000000</t>
  </si>
  <si>
    <t>06AAACC4175D1Z2HRF2627000000686</t>
  </si>
  <si>
    <t>07AAACT2438A1ZV3473455437</t>
  </si>
  <si>
    <t>AIR CONDITIO</t>
  </si>
  <si>
    <t>JOB TIME WITHOUT ALLOWANCE FOR WHEELS</t>
  </si>
  <si>
    <t>REMOVING AND INSTALLING INTAKE MANIFOLD</t>
  </si>
  <si>
    <t>DLS2627000000354</t>
  </si>
  <si>
    <t>GPI-HOC250400365</t>
  </si>
  <si>
    <t>Supply at-Tonerink and Spares along with Support Services</t>
  </si>
  <si>
    <t>741/2025-2026</t>
  </si>
  <si>
    <t>Supply ofTonerAnk and Spares along with Support Services</t>
  </si>
  <si>
    <t>07AAACC4175D1Z0DLS2627000000354</t>
  </si>
  <si>
    <t>BDLI000511/26-27</t>
  </si>
  <si>
    <t>SHYAM SPECTRA PVT. LTD.</t>
  </si>
  <si>
    <t>9018866A</t>
  </si>
  <si>
    <t>07AADCC3694E1ZP</t>
  </si>
  <si>
    <t>ARC charges for NFC 15 Mb Internet link Circuit Id 9018866 from 01-Apr-26 to 30-Jun-26</t>
  </si>
  <si>
    <t>11.7100.111.421415.1013.000000.0007.000000.000000.00000000</t>
  </si>
  <si>
    <t>SET OIL FILT</t>
  </si>
  <si>
    <t>07AADCC3694E1ZPBDLI000511/26-27</t>
  </si>
  <si>
    <t>BRAKE FLUID</t>
  </si>
  <si>
    <t>RNT ENTERPRISES</t>
  </si>
  <si>
    <t>BADARPUR</t>
  </si>
  <si>
    <t>07AELPT6048J2ZV</t>
  </si>
  <si>
    <t>JOB</t>
  </si>
  <si>
    <t>Misc Civil Work at Jasola Office (3rd Floor, 4th Floor, 5th Floor &amp; Basement 2)</t>
  </si>
  <si>
    <t>11.7100.111.413701.1010.000000.0007.000000.000000.00000000</t>
  </si>
  <si>
    <t>107/2026-27</t>
  </si>
  <si>
    <t>GOEL ENTERPRISES BHANGEL</t>
  </si>
  <si>
    <t>NEW DELHI-OFF</t>
  </si>
  <si>
    <t>09ACTPG0935H1ZE</t>
  </si>
  <si>
    <t>FUNDA PAAN(675GM)</t>
  </si>
  <si>
    <t>HO_INTER-STATE_OTH_NON_REC_5%</t>
  </si>
  <si>
    <t>HEADLIGHT RESTORATION</t>
  </si>
  <si>
    <t>07AELPT6048J2ZV446</t>
  </si>
  <si>
    <t>SERVICE AIR FILTER ELEMENT</t>
  </si>
  <si>
    <t>09ACTPG0935H1ZE107/2026-27</t>
  </si>
  <si>
    <t>AIR CONDITIONING</t>
  </si>
  <si>
    <t>BMW CAR CARE</t>
  </si>
  <si>
    <t>TGLOSS PLASTIC CARE</t>
  </si>
  <si>
    <t>HRF2627000000687</t>
  </si>
  <si>
    <t>Rental Charges For iR-ADV C</t>
  </si>
  <si>
    <t>11.7100.111.414703.1006.000000.0007.000000.000000.00000000</t>
  </si>
  <si>
    <t>CI1001100173</t>
  </si>
  <si>
    <t>BUSINESS MEAL CHARU MODI</t>
  </si>
  <si>
    <t>11.7100.111.420201.1000.100007.0007.000000.000000.00000000</t>
  </si>
  <si>
    <t>DESTILLED WA</t>
  </si>
  <si>
    <t>06AAACC4175D1Z2HRF2627000000687</t>
  </si>
  <si>
    <t>HF2707I000134626</t>
  </si>
  <si>
    <t>07AABCT3518Q1ZYDE25C00000031991</t>
  </si>
  <si>
    <t>HEADPHONE HP USB H120</t>
  </si>
  <si>
    <t>07AAACE6898B4ZHCI1001100173</t>
  </si>
  <si>
    <t>DLS2627000000120</t>
  </si>
  <si>
    <t>Supply of TonerInK and Spares along with Support Services</t>
  </si>
  <si>
    <t>GPI-HOC260400001</t>
  </si>
  <si>
    <t>LCARE CHILLMATE LAPTOP STAND ( LOSPCM6130 ) LB38862135 LB3886234 LB690842500</t>
  </si>
  <si>
    <t>HRF2627000000684</t>
  </si>
  <si>
    <t>07AAACB2894G1ZPHF2707I000134626</t>
  </si>
  <si>
    <t>ADJUSTING REAR AXLE</t>
  </si>
  <si>
    <t>737/2025-2026</t>
  </si>
  <si>
    <t>TGLOSS MECH CARE</t>
  </si>
  <si>
    <t>HF2707I000137673</t>
  </si>
  <si>
    <t>07AADCA3655R1Z7AVZ/272/2025-26</t>
  </si>
  <si>
    <t>HRF2627000000691</t>
  </si>
  <si>
    <t>07AAACC4175D1Z0DLS2627000000120</t>
  </si>
  <si>
    <t>NC/26-27/0140</t>
  </si>
  <si>
    <t>EXPENSEIND</t>
  </si>
  <si>
    <t>A-4 Paper JK</t>
  </si>
  <si>
    <t>11.7100.111.420603.1010.000000.0007.000000.000000.00000000</t>
  </si>
  <si>
    <t>06AAACC4175D1Z2HRF2627000000684</t>
  </si>
  <si>
    <t>CLEANING ENGINE AND ENGINE</t>
  </si>
  <si>
    <t>GPI-HOC260400003</t>
  </si>
  <si>
    <t>TGLOSS AC DUCT CLEANING AND DISINFECTANT</t>
  </si>
  <si>
    <t>Supply of TonernnK Spares along Support Services</t>
  </si>
  <si>
    <t>CARRIER AIRCONDITIONING AND REFRIGERATION LTD</t>
  </si>
  <si>
    <t>07AAACC8414B1Z6</t>
  </si>
  <si>
    <t>VRF SPMS-Carrier SPMS-Other</t>
  </si>
  <si>
    <t>HRF2627000001499</t>
  </si>
  <si>
    <t>07AAACB2894G1ZPHF2707I000137673</t>
  </si>
  <si>
    <t xml:space="preserve">MANUAL_ENTRY </t>
  </si>
  <si>
    <t>RECOVERY</t>
  </si>
  <si>
    <t>SUPPLIER</t>
  </si>
  <si>
    <t>CONTRANS CARGO PRIVATE LIMITE</t>
  </si>
  <si>
    <t>07AAECC1851C1Z5</t>
  </si>
  <si>
    <t>CC/GN/0001/26-27</t>
  </si>
  <si>
    <t>AIRGST9964</t>
  </si>
  <si>
    <t>Monthly rent for Okhla Godown of Apr-26</t>
  </si>
  <si>
    <t>11.7100.111.414801.1010.000000.0000.000000.000000.00000000</t>
  </si>
  <si>
    <t>06AAACC4175D1Z2HRF2627000000691</t>
  </si>
  <si>
    <t>07AATPA1288M1Z9NC/26-27/0140</t>
  </si>
  <si>
    <t>Envelope (HSN 49090010 18) Womens Dday Appreciation Envelope</t>
  </si>
  <si>
    <t>07AABCT3518Q1ZYDE25I00001476977</t>
  </si>
  <si>
    <t>CI1001100092</t>
  </si>
  <si>
    <t>BELVEDRE MEETING</t>
  </si>
  <si>
    <t>11.7100.111.422201.1000.100005.0007.000000.000000.00000000</t>
  </si>
  <si>
    <t>Cartage</t>
  </si>
  <si>
    <t>BRAKE FLUID SERVICE</t>
  </si>
  <si>
    <t>LTR</t>
  </si>
  <si>
    <t>ENGINE OIL TWINPOWER LL01 0W30</t>
  </si>
  <si>
    <t>GASKET</t>
  </si>
  <si>
    <t>07AAACC8414B1Z67026000049</t>
  </si>
  <si>
    <t>FILTER S/ASSY</t>
  </si>
  <si>
    <t>06AAACC4175D1Z2HRF2627000001499</t>
  </si>
  <si>
    <t>REPAIR KIT</t>
  </si>
  <si>
    <t>07IQYPS6937J1ZH70</t>
  </si>
  <si>
    <t>TGLOSS SUNROOF MAINTENANCE</t>
  </si>
  <si>
    <t>HF2707I000130293</t>
  </si>
  <si>
    <t>HF2707I000137672</t>
  </si>
  <si>
    <t>07AAACE6898B4ZHCI1001100092</t>
  </si>
  <si>
    <t>TWIN POWER T</t>
  </si>
  <si>
    <t>BALANCING FRONT AND REAR WHEELS STATIONARY</t>
  </si>
  <si>
    <t>20000 KM SERVICE INSP</t>
  </si>
  <si>
    <t>HIGH POWER BRAKE CLEANER 75G</t>
  </si>
  <si>
    <t>07AAACB2894G1ZPHF2707I000130293</t>
  </si>
  <si>
    <t>Supply arrow. and Spares along with Support Services</t>
  </si>
  <si>
    <t>07AAACB2894G1ZPHF2707I000137672</t>
  </si>
  <si>
    <t>DLS2627000000641</t>
  </si>
  <si>
    <t>Supply of ToneninK Spares along Support Services</t>
  </si>
  <si>
    <t>GPI-HOC250400366</t>
  </si>
  <si>
    <t>CI1001100350</t>
  </si>
  <si>
    <t>BELVEDERE MEM RENEWAL FEES APRIL 2026 TO MARCH 2027 FOR CHARU MODI</t>
  </si>
  <si>
    <t>11.7100.111.420501.1000.000000.0007.000000.000000.00000000</t>
  </si>
  <si>
    <t>HDMI SWITCH 3X1 STECKER</t>
  </si>
  <si>
    <t>Supply TonerInk Spares along Support Services</t>
  </si>
  <si>
    <t>HEXA2026-27/3289</t>
  </si>
  <si>
    <t>HEXADECIMAL SYSTEMS AND SERVICES</t>
  </si>
  <si>
    <t>07AFCPB1962P1ZC</t>
  </si>
  <si>
    <t>SERVICE MAINTENANCE  REPAIRS OF OFFICE MACHINERY COMB BINDING MACHINE MODEL FELLOWES GALAXY 500 SERIAL No.</t>
  </si>
  <si>
    <t>HRF2627000000685</t>
  </si>
  <si>
    <t>Rental Charges For IR-ADV DX C</t>
  </si>
  <si>
    <t>11.7100.111.414703.0001.000000.0007.000000.000000.00000000</t>
  </si>
  <si>
    <t>HRF2627000000692</t>
  </si>
  <si>
    <t>Rental Charges For iRC3326</t>
  </si>
  <si>
    <t>11.7100.111.414703.1010.000000.0007.000000.000000.00000000</t>
  </si>
  <si>
    <t>SQUA/27/E000001</t>
  </si>
  <si>
    <t>FIXED ENERGY CHARGES</t>
  </si>
  <si>
    <t>supply of Toneninic Spares along Support Services</t>
  </si>
  <si>
    <t>BDLI000510/26-27</t>
  </si>
  <si>
    <t>9077415A</t>
  </si>
  <si>
    <t>ARC charges for Jasola 35 Mb Internet link  Circuit Id 9077415 from 01-Apr-26 to 30-Jun-26</t>
  </si>
  <si>
    <t>07AAACC4175D1Z0DLS2627000000641</t>
  </si>
  <si>
    <t>07AAACE6898B4ZHCI1001100350</t>
  </si>
  <si>
    <t>RIM PREPARATION</t>
  </si>
  <si>
    <t>SPARK PLUG SERVIE</t>
  </si>
  <si>
    <t>JOB TIME WITHOUT ALLOWANCE FOR ELECTRICAL SYSTEM</t>
  </si>
  <si>
    <t>07AFCPB1962P1ZCHEXA2026-27/3289</t>
  </si>
  <si>
    <t>Card With Envelope (HSN 49090010 18) Card Envelope A2    .</t>
  </si>
  <si>
    <t>27AABCT3518Q1ZWMH25I00004400331</t>
  </si>
  <si>
    <t>HDD-2 TB WD EXTERNAL USB</t>
  </si>
  <si>
    <t>07ALWPT1567E1ZJ252601606</t>
  </si>
  <si>
    <t>SERVICE MAINTENANCE  REPAIRS OF OFFICE MACHINERY ELECTRIC SPIRAL BINDING MACHINE MODEL ANT1VA KOILMASTER E SERIAL No.</t>
  </si>
  <si>
    <t>KC/B2B/26-27/010</t>
  </si>
  <si>
    <t>KINGS COURT CONDOMINIUM ASSOCIATION</t>
  </si>
  <si>
    <t>New Delhi</t>
  </si>
  <si>
    <t>07AAHAK7428G1ZH</t>
  </si>
  <si>
    <t>KC/B2B26-27/010</t>
  </si>
  <si>
    <t>B) Maintenance  Upkeep Charges for Parking  450 per slotper month</t>
  </si>
  <si>
    <t>11.7100.111.424051.1000.000000.0007.000000.000000.00000000</t>
  </si>
  <si>
    <t>AIRTEL MOBILE BILLS FOR THE MONTH OF MAR 2026-IT DATA CARD</t>
  </si>
  <si>
    <t>06AAACC4175D1Z2HRF2627000000685</t>
  </si>
  <si>
    <t>ENGINE FLUSH</t>
  </si>
  <si>
    <t>06AAACC4175D1Z2HRF2627000000692</t>
  </si>
  <si>
    <t>LP WHEEL WEIGHT</t>
  </si>
  <si>
    <t>HF2707I000129884</t>
  </si>
  <si>
    <t>DP TO HDMI CABLE 1.8 M NEXTECH</t>
  </si>
  <si>
    <t>07AADCC3694E1ZPBDLI000510/26-27</t>
  </si>
  <si>
    <t>Supply ononertinK and Spares along with Support Services</t>
  </si>
  <si>
    <t>FUNDA NATURALZ IMLI POUCH 126GM</t>
  </si>
  <si>
    <t>DELHI TENT AND DECORATORS</t>
  </si>
  <si>
    <t>delhi-OFF</t>
  </si>
  <si>
    <t>07AAAFD3228M1ZI</t>
  </si>
  <si>
    <t>for the Erection and Dismentaling of the Center Canopy Bhalla Stalls Round Tables with Overley and Underley stalls Bill</t>
  </si>
  <si>
    <t>Rental Income</t>
  </si>
  <si>
    <t>11.7100.111.414801.1010.000000.0007.000000.000000.00000000</t>
  </si>
  <si>
    <t>DLS2627000000119</t>
  </si>
  <si>
    <t>Supply of ToneoinK and Spares along with Support Services</t>
  </si>
  <si>
    <t>SERVICE MAINTENANCE  REPAIRS OF OFFICE MACHINERY PAPER SHREDDER MACHINE MODEL AVANTI PS 300 HD</t>
  </si>
  <si>
    <t>HF2707I000097242</t>
  </si>
  <si>
    <t>GPI JASOLA OFFICE (FAX NO) AIRTEL - LANDLINE TELEPHONE EXPENSES FOR THE MONTH OF March-2026 -  - ADMN</t>
  </si>
  <si>
    <t>Card (HSN 49090010 18) Appreciation Envelope</t>
  </si>
  <si>
    <t>07AAHAK7428G1ZHKC/B2B26-27/010</t>
  </si>
  <si>
    <t>Card (HSN 49090010 18) Womens Dday Appreciation Card</t>
  </si>
  <si>
    <t>18A</t>
  </si>
  <si>
    <t>JAGDAMBA SINGH</t>
  </si>
  <si>
    <t>07ANXPS5012J2ZF</t>
  </si>
  <si>
    <t>Car Parking Charges April 2026</t>
  </si>
  <si>
    <t>11.7100.111.420301.1010.000000.0007.000000.000000.00000000</t>
  </si>
  <si>
    <t>Tetley - Assam Tea (100 Bags)</t>
  </si>
  <si>
    <t>HO_INTRA-STATE_OTH_NON_REC_5%</t>
  </si>
  <si>
    <t>Inverter -Carrier SPMS-Other</t>
  </si>
  <si>
    <t>07AAACB2894G1ZPHF2707I000129884</t>
  </si>
  <si>
    <t>Gazebo Full Electrical Wiring</t>
  </si>
  <si>
    <t>GASKET (14X20X1.5)</t>
  </si>
  <si>
    <t>07AAAFD3228M1ZI78</t>
  </si>
  <si>
    <t>GPIL/26-27/01</t>
  </si>
  <si>
    <t>HIMANGINI SINGH</t>
  </si>
  <si>
    <t>07AFTPC4142H1ZH</t>
  </si>
  <si>
    <t>RENT FOR THE MONTH APRIL -2026</t>
  </si>
  <si>
    <t>07AAECC1851C1Z5CC/GN/0001/26-27</t>
  </si>
  <si>
    <t>Supply of Toneriink and Spares along with Support Services</t>
  </si>
  <si>
    <t>07AAACC4175D1Z0DLS2627000000119</t>
  </si>
  <si>
    <t>Supply of TonerilnK- and Spares along with Support Services</t>
  </si>
  <si>
    <t>27AABCT3518Q1ZWMH25I00004428853</t>
  </si>
  <si>
    <t>A) Common Area Maintenance  Upkeep Charges 15.56 per Sq.ftper month</t>
  </si>
  <si>
    <t>ENG OIL PETROL LL01 5W40 MOBI</t>
  </si>
  <si>
    <t>ADJUSTING TOE IN ON FRONT AXLE</t>
  </si>
  <si>
    <t>07AAACB2894G1ZPHF2707I000097242</t>
  </si>
  <si>
    <t>REPLACE LEFT AND RIGHT WIPER BLADE</t>
  </si>
  <si>
    <t>07ANXPS5012J2ZF18A</t>
  </si>
  <si>
    <t>07AFGFS5626D1Z03</t>
  </si>
  <si>
    <t>JOB TIME WITHOUT ALLOWANCE FOR BODY EQUIPMENT</t>
  </si>
  <si>
    <t>HF2707I000136786</t>
  </si>
  <si>
    <t>Tetley - Green Tea ( 100 Sachets)</t>
  </si>
  <si>
    <t>Supply of lonerInk Spares along Support Services</t>
  </si>
  <si>
    <t>BALANCE WEIGHT 35GM (BALANCE WEIGHT 35GM)</t>
  </si>
  <si>
    <t>WB (OFF VEHICLE TWO WHEELS) ADJUST</t>
  </si>
  <si>
    <t>SERVICE STANDARD SCOPE</t>
  </si>
  <si>
    <t>07AFTPC4142H1ZHGPIL/26-27/01</t>
  </si>
  <si>
    <t>TGLOSS LOGO CLEANING</t>
  </si>
  <si>
    <t>FUNDA BURST KACCHA MM 615 GM</t>
  </si>
  <si>
    <t>ADJUSTING TOE-IN ON FRONT AXLE</t>
  </si>
  <si>
    <t>TMO (0W-16) 3.3 LTR</t>
  </si>
  <si>
    <t>HF2707I000022064</t>
  </si>
  <si>
    <t>GPI 49;CC; NFC AIRTEL - LANDLINE TELEPHONE EXPENSES FOR THE MONTH OF March-2026 -  - ADMN</t>
  </si>
  <si>
    <t>DLS2627000000348</t>
  </si>
  <si>
    <t>Supply or TonerInk and Spares along with Support Services</t>
  </si>
  <si>
    <t>HRF2627000000341</t>
  </si>
  <si>
    <t>BDLI000509/26-27</t>
  </si>
  <si>
    <t>ARC charges for President house (A1) 15 Mb Internet link Circuit Id 9053500 from 01-Apr-26 to 30-Jun-26</t>
  </si>
  <si>
    <t>Supply of TonerInK Spares along Support Services</t>
  </si>
  <si>
    <t>07AAACB2894G1ZPHF2707I000136786</t>
  </si>
  <si>
    <t>HRF2627000000689</t>
  </si>
  <si>
    <t>Rental Charges For IR-ADV DXC3</t>
  </si>
  <si>
    <t>HRF2627000001072</t>
  </si>
  <si>
    <t>11.7100.111.414703.1011.000000.0007.000000.000000.00000000</t>
  </si>
  <si>
    <t>GPI-HOC250400361</t>
  </si>
  <si>
    <t>ENERGY CHARGES</t>
  </si>
  <si>
    <t>KLIMA FRESH</t>
  </si>
  <si>
    <t>MICROFILTER SERVICE</t>
  </si>
  <si>
    <t>HP Colour Cartridge 965XL Yellow</t>
  </si>
  <si>
    <t>HF2707I000131905</t>
  </si>
  <si>
    <t>Photo (HSN 49090010 18) Photo Print A5</t>
  </si>
  <si>
    <t>UJJAWAL TRADEX PRIVATE LIMITED</t>
  </si>
  <si>
    <t>07AABCU0270A1ZZ</t>
  </si>
  <si>
    <t>Sale service SOLUTION 997329 From  01.04.2026 to 30.04.2026 Maint.  Repair Charges for Machine QTY - 2 Amt  900TAX 2</t>
  </si>
  <si>
    <t>Supply at TonerFmk Spares along Support Services</t>
  </si>
  <si>
    <t>JOB TIME WITHOUT ALLOWANCE FOR MAINTENANCE</t>
  </si>
  <si>
    <t>TATA Coffee Grand</t>
  </si>
  <si>
    <t>07AAACB2894G1ZPHF2707I000022064</t>
  </si>
  <si>
    <t>ALLOY WHEEL PROTECTION</t>
  </si>
  <si>
    <t>07AAACC4175D1Z0DLS2627000000348</t>
  </si>
  <si>
    <t>GPI-HOC260400002</t>
  </si>
  <si>
    <t>07AADCC3694E1ZPBDLI000509/26-27</t>
  </si>
  <si>
    <t>Supply of TonerMK Spares along Support Services</t>
  </si>
  <si>
    <t>SERVICE MAINTENANCE MAINTENANCE  REPAIRS OF OFFICE MACHINERY PAPER SHREDDER MACHINE MODEL GBC 2240S</t>
  </si>
  <si>
    <t>07AAACB2894G1ZPHF2707I000131905</t>
  </si>
  <si>
    <t>HRF2627000000690</t>
  </si>
  <si>
    <t>11.7100.111.414703.1013.000000.0007.000000.000000.00000000</t>
  </si>
  <si>
    <t>NC/26-27/0105</t>
  </si>
  <si>
    <t>HDMI Switcher U Green Sin lout SNo-SN2400400758970</t>
  </si>
  <si>
    <t>07AABCU0270A1ZZ47</t>
  </si>
  <si>
    <t>CARRY OUT KINEMATICS DIAGNOSIS SYSTEM WHEEL ALIGNMENT WITH VEHICLE LOAD UP TO DESIGN POSITION</t>
  </si>
  <si>
    <t>HRF2627000000688</t>
  </si>
  <si>
    <t>Electricity bill for the period 01.03-2026 to 31.03.2026-Jasola office</t>
  </si>
  <si>
    <t>SEAL FOR INT</t>
  </si>
  <si>
    <t>HF2707I000130245</t>
  </si>
  <si>
    <t>A-101 NFC ( GPI GUEST HOUSE) AIRTEL - LANDLINE TELEPHONE EXPENSES FOR THE MONTH OF March-2026 -  - ADMN</t>
  </si>
  <si>
    <t>11.7100.111.423704.1010.000000.0007.000000.000000.00000000</t>
  </si>
  <si>
    <t>06AAACC4175D1Z2HRF2627000000690</t>
  </si>
  <si>
    <t>SHARMA ELECTRICAL COMPANY</t>
  </si>
  <si>
    <t>07BGQPS0312G1ZF</t>
  </si>
  <si>
    <t>50W LED SHEET</t>
  </si>
  <si>
    <t>07AATPA1288M1Z9NC/26-27/0105</t>
  </si>
  <si>
    <t>6M CPL BOX</t>
  </si>
  <si>
    <t>GPI-HOC260400004</t>
  </si>
  <si>
    <t>W/SR/2526/233837</t>
  </si>
  <si>
    <t>WAE LIMITED</t>
  </si>
  <si>
    <t>NOIDA</t>
  </si>
  <si>
    <t>09AABCW0017F1ZQ</t>
  </si>
  <si>
    <t>AMC CHARGES FOR RO NOS RO MACHINES FROM JAN26 TO DEC26</t>
  </si>
  <si>
    <t>IMPORT_SERVICE</t>
  </si>
  <si>
    <t>07ANHPK8321J2ZT447/2025-26</t>
  </si>
  <si>
    <t>4M PVC BOX</t>
  </si>
  <si>
    <t>63AMP MCB TP</t>
  </si>
  <si>
    <t>12 WAY MCB BOX</t>
  </si>
  <si>
    <t>5*3 REO SHEET</t>
  </si>
  <si>
    <t>20 MM PVC PIPE</t>
  </si>
  <si>
    <t>SP 10 AMP MCB</t>
  </si>
  <si>
    <t>12W LED GARDEN LIGHT</t>
  </si>
  <si>
    <t>5W GARDEN LIGHT</t>
  </si>
  <si>
    <t>20W LED BULKET</t>
  </si>
  <si>
    <t>06AAACC4175D1Z2HRF2627000000688</t>
  </si>
  <si>
    <t>2.5 SQ MM WIRE</t>
  </si>
  <si>
    <t>4W FILAMENT BULB</t>
  </si>
  <si>
    <t>20 MM BEND</t>
  </si>
  <si>
    <t>07AAACB2894G1ZPHF2707I000130245</t>
  </si>
  <si>
    <t>6W SHEET RED</t>
  </si>
  <si>
    <t>16 AMP COMBIAND BOX</t>
  </si>
  <si>
    <t>6 M PVC BOX</t>
  </si>
  <si>
    <t>3W LED BULB</t>
  </si>
  <si>
    <t>07BGQPS0312G1ZF5500</t>
  </si>
  <si>
    <t>16A SWITCH</t>
  </si>
  <si>
    <t>3 M PVC BOX</t>
  </si>
  <si>
    <t>09AABCW0017F1ZQW/SR/2526/233837</t>
  </si>
  <si>
    <t>20 MM FLEXIBLE PIPE</t>
  </si>
  <si>
    <t>07BGQPS0312G1ZF5501</t>
  </si>
  <si>
    <t>16 A SWTICH</t>
  </si>
  <si>
    <t>16 A SOCKET</t>
  </si>
  <si>
    <t>MTR</t>
  </si>
  <si>
    <t>2*2.5 MM MULTI STAND WIRE</t>
  </si>
  <si>
    <t>HIGH COOL HVAC AIR CONDITIONING SYSTEMS</t>
  </si>
  <si>
    <t>GODFREY PHILLIP</t>
  </si>
  <si>
    <t>07CNVPS1539L1Z4</t>
  </si>
  <si>
    <t xml:space="preserve">4th Floor Duct Band Dismantling &amp; Fixing </t>
  </si>
  <si>
    <t>11.7100.111.413901.1010.000000.0007.000000.000000.00000000</t>
  </si>
  <si>
    <t xml:space="preserve">10 mm Nut Bolt (SS Type). </t>
  </si>
  <si>
    <t xml:space="preserve">Ball Valve (3/8 size). </t>
  </si>
  <si>
    <t xml:space="preserve">Pressure Guage (3/8 size). </t>
  </si>
  <si>
    <t>Tempratur Meter (1/2 size)</t>
  </si>
  <si>
    <t>07AACCG5199H1ZCDELI/25-26/03624</t>
  </si>
  <si>
    <t xml:space="preserve">125 mm Butterfly Valve (Zoloto or Adco Make). </t>
  </si>
  <si>
    <t>Ball Valve (1/2 size)..</t>
  </si>
  <si>
    <t xml:space="preserve">Syfone Pipe (3/8 size). </t>
  </si>
  <si>
    <t>1122-2656-2657</t>
  </si>
  <si>
    <t>VIKAS KRISHI STORE</t>
  </si>
  <si>
    <t>07ASGPB8163K1ZK</t>
  </si>
  <si>
    <t>Wheel barro</t>
  </si>
  <si>
    <t>2 nos. ADAPTER 5V -1A ERD for VC Support</t>
  </si>
  <si>
    <t>LOT</t>
  </si>
  <si>
    <t>LIVING PLANTS, SEEDS, COMPOST &amp; ETC</t>
  </si>
  <si>
    <t>S.K. PRINTERS</t>
  </si>
  <si>
    <t>07BQUPK1146E2ZR</t>
  </si>
  <si>
    <t>BUDMINTIMP</t>
  </si>
  <si>
    <t>Transformer &amp; Energy meter readinglog books printng and binding  for Jasola Office</t>
  </si>
  <si>
    <t>11.7100.111.420602.1010.000000.0007.000000.000000.00000000</t>
  </si>
  <si>
    <t>LKS01-2627-00147</t>
  </si>
  <si>
    <t>LAKSHMI KUMARAN AND SRIDHARAN</t>
  </si>
  <si>
    <t>07AAAFL1585H1ZD</t>
  </si>
  <si>
    <t>Towards professional fee for legal advice on the applicability of BIS- and EPR-related compliances to imports of primary AA and AAA alkaline batteries.</t>
  </si>
  <si>
    <t>11.7100.111.416001.1009.000000.0007.000000.000000.00000000</t>
  </si>
  <si>
    <t>HO_REV_CHARGE_REC_18%</t>
  </si>
  <si>
    <t>A AND V ZIPPERS PVT.LTD.</t>
  </si>
  <si>
    <t>AVZ/248/2025-26</t>
  </si>
  <si>
    <t>Salary of  Cook  Pantry boy deployed at A-101  NFC Guest House-February 2026</t>
  </si>
  <si>
    <t>11.7100.111.423701.1010.000000.0007.000000.000000.00000000</t>
  </si>
  <si>
    <t>07AADCA3655R1Z7AVZ/248/2025-26</t>
  </si>
  <si>
    <t>HRF2528000074941</t>
  </si>
  <si>
    <t>HRF2526000074941</t>
  </si>
  <si>
    <t>Photocopying rental charges - for the month of March  2026-Finance - 3rd Floor</t>
  </si>
  <si>
    <t>06AAACC4175D1Z2HRF2526000074941</t>
  </si>
  <si>
    <t>07CNVPS1539L1Z41791</t>
  </si>
  <si>
    <t>LNC/25-26/5110</t>
  </si>
  <si>
    <t>LIFE N COLORS PRIVATE LIMITED</t>
  </si>
  <si>
    <t>GURGAON-OFF</t>
  </si>
  <si>
    <t>06AACCL4494J1Z8</t>
  </si>
  <si>
    <t>SQF</t>
  </si>
  <si>
    <t>Customised Wallpaper Canvas Paper</t>
  </si>
  <si>
    <t>11.7100.111.413701.1000.000000.0007.000000.000000.00000000</t>
  </si>
  <si>
    <t>AIR INDIA LIMITED</t>
  </si>
  <si>
    <t>MAHARASHTRA_1</t>
  </si>
  <si>
    <t>27AACCN6194P1ZP</t>
  </si>
  <si>
    <t>272612BP05AFT995</t>
  </si>
  <si>
    <t>AIRGST996425</t>
  </si>
  <si>
    <t>69K54A;MATTU NIKHAR MR;BOMDELAI;D2500612</t>
  </si>
  <si>
    <t>11.7100.111.418801.2700.111372.0000.000000.000000.00000000</t>
  </si>
  <si>
    <t>07AACCN6194P2ZQ</t>
  </si>
  <si>
    <t>072612BP04AGO519</t>
  </si>
  <si>
    <t>JXEIPJ;SAHNI ROHIT MR;DELPNQAI;D2500371</t>
  </si>
  <si>
    <t>11.7100.111.418801.2600.200011.0000.000000.000000.00000000</t>
  </si>
  <si>
    <t>07AACCN6194P2ZQ072612BP04AGO519</t>
  </si>
  <si>
    <t>07ASGPB8163K1ZK1131</t>
  </si>
  <si>
    <t>WEST BENGAL</t>
  </si>
  <si>
    <t>19AACCN6194P1ZM</t>
  </si>
  <si>
    <t>192622BP05AAI362</t>
  </si>
  <si>
    <t>7AU6H5;BHASIN LALIT MR;CCUDELAI;D2500630</t>
  </si>
  <si>
    <t>11.7100.111.416001.1009.000000.0000.000000.000000.00000000</t>
  </si>
  <si>
    <t>19AACCN6194P1ZM192622BP05AAI362</t>
  </si>
  <si>
    <t>072622BP06AAI495</t>
  </si>
  <si>
    <t>8RKKTT;SHARMA SACHIN MR;DELBLRAI;D2500681</t>
  </si>
  <si>
    <t>11.7100.111.418801.0003.111207.0000.000000.000000.00000000</t>
  </si>
  <si>
    <t>07AACCN6194P2ZQ072622BP06AAI495</t>
  </si>
  <si>
    <t>072612BP04ACB413</t>
  </si>
  <si>
    <t>LTY9JT;KUMAR SAMEER MR;DELRPRAI;D2500059</t>
  </si>
  <si>
    <t>11.7100.111.418801.1015.150153.0000.000000.000000.00000000</t>
  </si>
  <si>
    <t>TAMIL NADU</t>
  </si>
  <si>
    <t>33AACCN6194P2ZV</t>
  </si>
  <si>
    <t>332612BP04AAO103</t>
  </si>
  <si>
    <t>KDTMPB;SINGH SUNIL KUMAR MR;MAADELAI;D2500123</t>
  </si>
  <si>
    <t>11.7100.111.418801.1013.150104.0000.000000.000000.00000000</t>
  </si>
  <si>
    <t>33AACCN6194P2ZV332612BP04AAO103</t>
  </si>
  <si>
    <t>26307S000096</t>
  </si>
  <si>
    <t>BLUE DART EXPRESS LTD</t>
  </si>
  <si>
    <t>07AAACB0446L1ZU</t>
  </si>
  <si>
    <t>Ground - Credit ODA NOT BILLED EARLIER 519164972861M0 FEB26</t>
  </si>
  <si>
    <t>11.7100.112.420702.2601.000000.0007.000000.000000.00000000</t>
  </si>
  <si>
    <t>07AAACB0446L1ZU26307S000096</t>
  </si>
  <si>
    <t>D2403378</t>
  </si>
  <si>
    <t>CREDIT</t>
  </si>
  <si>
    <t>CD250107/A</t>
  </si>
  <si>
    <t>BEACON TRAVELS PVT LTD</t>
  </si>
  <si>
    <t>DOMESTIC</t>
  </si>
  <si>
    <t>CD250107</t>
  </si>
  <si>
    <t>Credit note against D2403378-LALIT BHASIN-BOM/DEL</t>
  </si>
  <si>
    <t>07AAACB0272G1Z5CD250107</t>
  </si>
  <si>
    <t>2026307R00005230</t>
  </si>
  <si>
    <t>INTERNATIONAL</t>
  </si>
  <si>
    <t>Freight  VAS</t>
  </si>
  <si>
    <t>07AAACB0446L1ZU2026307R00005230</t>
  </si>
  <si>
    <t>26307S000132</t>
  </si>
  <si>
    <t>International WPX Credit</t>
  </si>
  <si>
    <t>07AAACB0446L1ZU26307S000132</t>
  </si>
  <si>
    <t>2026327R00021506</t>
  </si>
  <si>
    <t>MUMBAI</t>
  </si>
  <si>
    <t>27AAACB0446L1ZS</t>
  </si>
  <si>
    <t>27AAACB0446L1ZS2026327R00021506</t>
  </si>
  <si>
    <t>ITC TYPE</t>
  </si>
  <si>
    <t>2B MONTH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</si>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</sst>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-4009] #,##0.00"/>
    <numFmt numFmtId="165" formatCode="_(* #,##0_);_(* (#,##0);_(* &quot;-&quot;??_);_(@_)"/>
    <numFmt numFmtId="166" formatCode="_ * #,##0.00_ ;_ * -#,##0.00_ ;_ * &quot;-&quot;??_ ;_ @_ "/>
  </numFmts>
  <fonts count="24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2B0749"/>
      <name val="Calibri"/>
    </font>
    <font>
      <sz val="10.0"/>
      <color theme="0"/>
      <name val="Calibri"/>
    </font>
    <font>
      <b/>
      <sz val="10.0"/>
      <color theme="0"/>
      <name val="Calibri"/>
    </font>
    <font>
      <sz val="11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9.0"/>
      <color rgb="FF000000"/>
      <name val="Calibri"/>
    </font>
    <font>
      <b/>
      <sz val="9.0"/>
      <color theme="1"/>
      <name val="Calibri"/>
    </font>
    <font>
      <sz val="9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0.0"/>
      <color rgb="FF000000"/>
      <name val="Arial"/>
    </font>
    <font>
      <color theme="1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EE598"/>
        <bgColor rgb="FFFEE598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BF9000"/>
        <bgColor rgb="FFBF9000"/>
      </patternFill>
    </fill>
    <fill>
      <patternFill patternType="solid">
        <fgColor rgb="FFB3A3E1"/>
        <bgColor rgb="FFB3A3E1"/>
      </patternFill>
    </fill>
    <fill>
      <patternFill patternType="solid">
        <fgColor rgb="FF7030A0"/>
        <bgColor rgb="FF7030A0"/>
      </patternFill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</fills>
  <borders count="8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1F3864"/>
      </bottom>
    </border>
    <border>
      <left/>
      <top style="medium">
        <color rgb="FF000000"/>
      </top>
      <bottom style="double">
        <color rgb="FF1F3864"/>
      </bottom>
    </border>
    <border>
      <right/>
      <top style="medium">
        <color rgb="FF000000"/>
      </top>
      <bottom style="double">
        <color rgb="FF1F3864"/>
      </bottom>
    </border>
    <border>
      <left style="thin">
        <color rgb="FF000000"/>
      </left>
      <top style="medium">
        <color rgb="FF000000"/>
      </top>
      <bottom style="double">
        <color rgb="FF1F3864"/>
      </bottom>
    </border>
    <border>
      <right style="thin">
        <color rgb="FF000000"/>
      </right>
      <top style="medium">
        <color rgb="FF000000"/>
      </top>
      <bottom style="double">
        <color rgb="FF1F3864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1F3864"/>
      </top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 style="double">
        <color rgb="FF1F3864"/>
      </top>
      <bottom style="medium">
        <color rgb="FF000000"/>
      </bottom>
    </border>
    <border>
      <right style="thin">
        <color rgb="FF000000"/>
      </right>
      <top style="double">
        <color rgb="FF1F3864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1F3864"/>
      </bottom>
    </border>
    <border>
      <top style="medium">
        <color rgb="FF000000"/>
      </top>
      <bottom style="medium">
        <color rgb="FF1F3864"/>
      </bottom>
    </border>
    <border>
      <right style="medium">
        <color rgb="FF000000"/>
      </right>
      <top style="medium">
        <color rgb="FF000000"/>
      </top>
      <bottom style="medium">
        <color rgb="FF1F3864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222A35"/>
      </left>
      <right style="medium">
        <color rgb="FF000000"/>
      </right>
      <top style="medium">
        <color rgb="FF222A35"/>
      </top>
      <bottom style="medium">
        <color rgb="FF222A35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222A35"/>
      </left>
      <bottom style="thin">
        <color rgb="FF1F3864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222A35"/>
      </left>
      <top style="thin">
        <color rgb="FF1F3864"/>
      </top>
      <bottom style="thin">
        <color rgb="FF1F38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222A35"/>
      </left>
      <top style="thin">
        <color rgb="FF1F3864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1F3864"/>
      </right>
      <bottom style="thin">
        <color rgb="FF1F3864"/>
      </bottom>
    </border>
    <border>
      <left style="medium">
        <color rgb="FF000000"/>
      </left>
      <right style="medium">
        <color rgb="FF1F3864"/>
      </right>
      <top style="thin">
        <color rgb="FF1F3864"/>
      </top>
      <bottom style="thin">
        <color rgb="FF1F3864"/>
      </bottom>
    </border>
    <border>
      <left style="medium">
        <color rgb="FF000000"/>
      </left>
      <right style="medium">
        <color rgb="FF1F3864"/>
      </right>
      <top style="thin">
        <color rgb="FF1F3864"/>
      </top>
      <bottom style="medium">
        <color rgb="FF000000"/>
      </bottom>
    </border>
    <border>
      <left style="medium">
        <color rgb="FF000000"/>
      </left>
      <right style="medium">
        <color rgb="FF1F3864"/>
      </right>
      <top/>
      <bottom/>
    </border>
    <border>
      <left style="medium">
        <color rgb="FF000000"/>
      </left>
      <right style="medium">
        <color rgb="FF1F3864"/>
      </right>
      <top style="medium">
        <color rgb="FF000000"/>
      </top>
      <bottom style="thin">
        <color rgb="FF1F3864"/>
      </bottom>
    </border>
    <border>
      <right style="thin">
        <color rgb="FF1F3864"/>
      </right>
      <top style="medium">
        <color rgb="FF000000"/>
      </top>
      <bottom style="thin">
        <color rgb="FF1F3864"/>
      </bottom>
    </border>
    <border>
      <left style="thin">
        <color rgb="FF1F3864"/>
      </left>
      <right style="thin">
        <color rgb="FF1F3864"/>
      </right>
      <top style="medium">
        <color rgb="FF000000"/>
      </top>
      <bottom style="thin">
        <color rgb="FF1F3864"/>
      </bottom>
    </border>
    <border>
      <left style="thin">
        <color rgb="FF1F3864"/>
      </left>
      <right style="medium">
        <color rgb="FF000000"/>
      </right>
      <top style="medium">
        <color rgb="FF000000"/>
      </top>
      <bottom style="thin">
        <color rgb="FF1F3864"/>
      </bottom>
    </border>
    <border>
      <left style="medium">
        <color rgb="FF000000"/>
      </left>
      <right style="medium">
        <color rgb="FF1F3864"/>
      </right>
      <top style="thin">
        <color rgb="FF1F3864"/>
      </top>
      <bottom style="medium">
        <color rgb="FF1F3864"/>
      </bottom>
    </border>
    <border>
      <left style="medium">
        <color rgb="FF000000"/>
      </left>
      <right style="medium">
        <color rgb="FF1F3864"/>
      </right>
      <top style="medium">
        <color rgb="FF1F3864"/>
      </top>
      <bottom style="medium">
        <color rgb="FF1F3864"/>
      </bottom>
    </border>
    <border>
      <right style="thin">
        <color rgb="FF1F3864"/>
      </right>
      <bottom style="thin">
        <color rgb="FF1F3864"/>
      </bottom>
    </border>
    <border>
      <left style="thin">
        <color rgb="FF1F3864"/>
      </left>
      <right style="thin">
        <color rgb="FF1F3864"/>
      </right>
      <bottom style="thin">
        <color rgb="FF1F3864"/>
      </bottom>
    </border>
    <border>
      <left style="thin">
        <color rgb="FF1F3864"/>
      </left>
      <right style="medium">
        <color rgb="FF000000"/>
      </right>
      <bottom style="thin">
        <color rgb="FF1F3864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1F3864"/>
      </top>
      <bottom style="thin">
        <color rgb="FF1F3864"/>
      </bottom>
    </border>
    <border>
      <right style="thin">
        <color rgb="FF1F3864"/>
      </right>
      <top style="medium">
        <color rgb="FF1F3864"/>
      </top>
      <bottom style="thin">
        <color rgb="FF1F3864"/>
      </bottom>
    </border>
    <border>
      <left style="medium">
        <color rgb="FF000000"/>
      </left>
      <top style="thin">
        <color rgb="FF1F3864"/>
      </top>
    </border>
    <border>
      <right style="thin">
        <color rgb="FF1F3864"/>
      </right>
      <top style="thin">
        <color rgb="FF1F3864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1F3864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1F3864"/>
      </left>
      <right style="thin">
        <color rgb="FF1F3864"/>
      </right>
      <bottom style="thin">
        <color rgb="FF1F3864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thin">
        <color rgb="FF9CC2E5"/>
      </bottom>
    </border>
    <border>
      <left/>
      <right/>
      <top style="thin">
        <color rgb="FF9CC2E5"/>
      </top>
      <bottom/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vertical="center"/>
    </xf>
    <xf borderId="7" fillId="3" fontId="4" numFmtId="0" xfId="0" applyAlignment="1" applyBorder="1" applyFill="1" applyFont="1">
      <alignment horizontal="center" vertical="center"/>
    </xf>
    <xf borderId="8" fillId="4" fontId="5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5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4" fontId="5" numFmtId="0" xfId="0" applyAlignment="1" applyBorder="1" applyFont="1">
      <alignment horizontal="center" vertical="center"/>
    </xf>
    <xf borderId="0" fillId="0" fontId="5" numFmtId="0" xfId="0" applyFont="1"/>
    <xf borderId="13" fillId="3" fontId="4" numFmtId="0" xfId="0" applyAlignment="1" applyBorder="1" applyFont="1">
      <alignment horizontal="center" vertical="center"/>
    </xf>
    <xf borderId="14" fillId="6" fontId="4" numFmtId="0" xfId="0" applyAlignment="1" applyBorder="1" applyFill="1" applyFont="1">
      <alignment horizontal="center" vertical="center"/>
    </xf>
    <xf borderId="15" fillId="0" fontId="2" numFmtId="0" xfId="0" applyBorder="1" applyFont="1"/>
    <xf borderId="16" fillId="5" fontId="4" numFmtId="0" xfId="0" applyAlignment="1" applyBorder="1" applyFont="1">
      <alignment horizontal="center" vertical="center"/>
    </xf>
    <xf borderId="17" fillId="0" fontId="2" numFmtId="0" xfId="0" applyBorder="1" applyFont="1"/>
    <xf borderId="18" fillId="4" fontId="5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4" numFmtId="0" xfId="0" applyAlignment="1" applyBorder="1" applyFill="1" applyFont="1">
      <alignment horizontal="center" shrinkToFit="0" vertical="center" wrapText="1"/>
    </xf>
    <xf borderId="23" fillId="7" fontId="4" numFmtId="0" xfId="0" applyAlignment="1" applyBorder="1" applyFont="1">
      <alignment horizontal="center" shrinkToFit="0" vertical="center" wrapText="1"/>
    </xf>
    <xf borderId="24" fillId="7" fontId="5" numFmtId="0" xfId="0" applyAlignment="1" applyBorder="1" applyFont="1">
      <alignment horizontal="center" shrinkToFit="0" vertical="center" wrapText="1"/>
    </xf>
    <xf borderId="25" fillId="7" fontId="5" numFmtId="0" xfId="0" applyAlignment="1" applyBorder="1" applyFont="1">
      <alignment horizontal="center" shrinkToFit="0" vertical="center" wrapText="1"/>
    </xf>
    <xf borderId="26" fillId="7" fontId="5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shrinkToFit="0" vertical="center" wrapText="1"/>
    </xf>
    <xf borderId="28" fillId="0" fontId="5" numFmtId="3" xfId="0" applyAlignment="1" applyBorder="1" applyFont="1" applyNumberFormat="1">
      <alignment vertical="center"/>
    </xf>
    <xf borderId="29" fillId="0" fontId="5" numFmtId="0" xfId="0" applyAlignment="1" applyBorder="1" applyFont="1">
      <alignment shrinkToFit="0" vertical="center" wrapText="1"/>
    </xf>
    <xf borderId="30" fillId="0" fontId="5" numFmtId="3" xfId="0" applyBorder="1" applyFont="1" applyNumberFormat="1"/>
    <xf borderId="30" fillId="8" fontId="5" numFmtId="3" xfId="0" applyBorder="1" applyFill="1" applyFont="1" applyNumberFormat="1"/>
    <xf borderId="31" fillId="0" fontId="5" numFmtId="0" xfId="0" applyAlignment="1" applyBorder="1" applyFont="1">
      <alignment shrinkToFit="0" vertical="center" wrapText="1"/>
    </xf>
    <xf borderId="32" fillId="0" fontId="5" numFmtId="3" xfId="0" applyBorder="1" applyFont="1" applyNumberFormat="1"/>
    <xf borderId="33" fillId="8" fontId="5" numFmtId="3" xfId="0" applyBorder="1" applyFont="1" applyNumberFormat="1"/>
    <xf borderId="34" fillId="9" fontId="4" numFmtId="0" xfId="0" applyAlignment="1" applyBorder="1" applyFill="1" applyFont="1">
      <alignment horizontal="center" shrinkToFit="0" vertical="center" wrapText="1"/>
    </xf>
    <xf borderId="35" fillId="0" fontId="5" numFmtId="3" xfId="0" applyBorder="1" applyFont="1" applyNumberFormat="1"/>
    <xf borderId="36" fillId="0" fontId="5" numFmtId="3" xfId="0" applyBorder="1" applyFont="1" applyNumberFormat="1"/>
    <xf borderId="1" fillId="0" fontId="4" numFmtId="0" xfId="0" applyAlignment="1" applyBorder="1" applyFont="1">
      <alignment horizontal="center" vertical="center"/>
    </xf>
    <xf borderId="37" fillId="0" fontId="2" numFmtId="0" xfId="0" applyBorder="1" applyFont="1"/>
    <xf borderId="25" fillId="7" fontId="4" numFmtId="0" xfId="0" applyAlignment="1" applyBorder="1" applyFont="1">
      <alignment horizontal="center" shrinkToFit="0" vertical="center" wrapText="1"/>
    </xf>
    <xf borderId="26" fillId="7" fontId="4" numFmtId="0" xfId="0" applyAlignment="1" applyBorder="1" applyFont="1">
      <alignment horizontal="center" shrinkToFit="0" vertical="center" wrapText="1"/>
    </xf>
    <xf borderId="38" fillId="0" fontId="4" numFmtId="0" xfId="0" applyAlignment="1" applyBorder="1" applyFont="1">
      <alignment shrinkToFit="0" vertical="center" wrapText="1"/>
    </xf>
    <xf borderId="39" fillId="0" fontId="5" numFmtId="0" xfId="0" applyAlignment="1" applyBorder="1" applyFont="1">
      <alignment horizontal="left" shrinkToFit="0" vertical="center" wrapText="1"/>
    </xf>
    <xf borderId="0" fillId="0" fontId="5" numFmtId="3" xfId="0" applyFont="1" applyNumberFormat="1"/>
    <xf borderId="30" fillId="0" fontId="5" numFmtId="3" xfId="0" applyAlignment="1" applyBorder="1" applyFont="1" applyNumberFormat="1">
      <alignment vertical="center"/>
    </xf>
    <xf borderId="40" fillId="0" fontId="5" numFmtId="0" xfId="0" applyAlignment="1" applyBorder="1" applyFont="1">
      <alignment horizontal="left" shrinkToFit="0" vertical="center" wrapText="1"/>
    </xf>
    <xf borderId="41" fillId="10" fontId="5" numFmtId="0" xfId="0" applyAlignment="1" applyBorder="1" applyFill="1" applyFont="1">
      <alignment horizontal="left" shrinkToFit="0" vertical="center" wrapText="1"/>
    </xf>
    <xf borderId="35" fillId="10" fontId="5" numFmtId="3" xfId="0" applyBorder="1" applyFont="1" applyNumberFormat="1"/>
    <xf borderId="42" fillId="0" fontId="5" numFmtId="0" xfId="0" applyAlignment="1" applyBorder="1" applyFont="1">
      <alignment shrinkToFit="0" vertical="center" wrapText="1"/>
    </xf>
    <xf borderId="43" fillId="0" fontId="5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46" fillId="0" fontId="5" numFmtId="0" xfId="0" applyAlignment="1" applyBorder="1" applyFont="1">
      <alignment horizontal="left" shrinkToFit="0" vertical="center" wrapText="1"/>
    </xf>
    <xf borderId="47" fillId="0" fontId="5" numFmtId="0" xfId="0" applyAlignment="1" applyBorder="1" applyFont="1">
      <alignment shrinkToFit="0" vertical="center" wrapText="1"/>
    </xf>
    <xf borderId="0" fillId="0" fontId="4" numFmtId="3" xfId="0" applyFont="1" applyNumberFormat="1"/>
    <xf borderId="38" fillId="0" fontId="5" numFmtId="0" xfId="0" applyAlignment="1" applyBorder="1" applyFont="1">
      <alignment shrinkToFit="0" vertical="center" wrapText="1"/>
    </xf>
    <xf borderId="48" fillId="0" fontId="5" numFmtId="0" xfId="0" applyAlignment="1" applyBorder="1" applyFont="1">
      <alignment horizontal="center" shrinkToFit="0" vertical="center" wrapText="1"/>
    </xf>
    <xf borderId="49" fillId="0" fontId="5" numFmtId="0" xfId="0" applyAlignment="1" applyBorder="1" applyFont="1">
      <alignment horizontal="center" shrinkToFit="0" vertical="center" wrapText="1"/>
    </xf>
    <xf borderId="50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7" numFmtId="164" xfId="0" applyAlignment="1" applyFont="1" applyNumberFormat="1">
      <alignment horizontal="right" shrinkToFit="1" vertical="center" wrapText="0"/>
    </xf>
    <xf borderId="0" fillId="0" fontId="5" numFmtId="164" xfId="0" applyFont="1" applyNumberFormat="1"/>
    <xf borderId="0" fillId="0" fontId="5" numFmtId="165" xfId="0" applyFont="1" applyNumberFormat="1"/>
    <xf borderId="51" fillId="3" fontId="4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53" fillId="3" fontId="4" numFmtId="0" xfId="0" applyAlignment="1" applyBorder="1" applyFont="1">
      <alignment horizontal="center" shrinkToFit="0" vertical="center" wrapText="1"/>
    </xf>
    <xf borderId="54" fillId="11" fontId="8" numFmtId="0" xfId="0" applyAlignment="1" applyBorder="1" applyFill="1" applyFont="1">
      <alignment horizontal="center" shrinkToFit="0" vertical="center" wrapText="1"/>
    </xf>
    <xf borderId="55" fillId="0" fontId="2" numFmtId="0" xfId="0" applyBorder="1" applyFont="1"/>
    <xf borderId="23" fillId="11" fontId="8" numFmtId="0" xfId="0" applyAlignment="1" applyBorder="1" applyFont="1">
      <alignment horizontal="center" shrinkToFit="0" vertical="center" wrapText="1"/>
    </xf>
    <xf borderId="56" fillId="0" fontId="5" numFmtId="0" xfId="0" applyAlignment="1" applyBorder="1" applyFont="1">
      <alignment horizontal="left" shrinkToFit="0" vertical="center" wrapText="1"/>
    </xf>
    <xf borderId="57" fillId="0" fontId="2" numFmtId="0" xfId="0" applyBorder="1" applyFont="1"/>
    <xf borderId="58" fillId="0" fontId="5" numFmtId="0" xfId="0" applyAlignment="1" applyBorder="1" applyFont="1">
      <alignment horizontal="left" shrinkToFit="0" vertical="center" wrapText="1"/>
    </xf>
    <xf borderId="59" fillId="0" fontId="2" numFmtId="0" xfId="0" applyBorder="1" applyFont="1"/>
    <xf borderId="60" fillId="9" fontId="4" numFmtId="0" xfId="0" applyAlignment="1" applyBorder="1" applyFont="1">
      <alignment horizontal="center" shrinkToFit="0" vertical="center" wrapText="1"/>
    </xf>
    <xf borderId="61" fillId="0" fontId="2" numFmtId="0" xfId="0" applyBorder="1" applyFont="1"/>
    <xf borderId="60" fillId="0" fontId="4" numFmtId="0" xfId="0" applyAlignment="1" applyBorder="1" applyFont="1">
      <alignment horizontal="center" vertical="center"/>
    </xf>
    <xf borderId="62" fillId="0" fontId="2" numFmtId="0" xfId="0" applyBorder="1" applyFont="1"/>
    <xf borderId="63" fillId="0" fontId="2" numFmtId="0" xfId="0" applyBorder="1" applyFont="1"/>
    <xf borderId="25" fillId="12" fontId="9" numFmtId="0" xfId="0" applyAlignment="1" applyBorder="1" applyFill="1" applyFont="1">
      <alignment horizontal="center" vertical="center"/>
    </xf>
    <xf borderId="26" fillId="12" fontId="9" numFmtId="0" xfId="0" applyAlignment="1" applyBorder="1" applyFont="1">
      <alignment horizontal="center" vertical="center"/>
    </xf>
    <xf borderId="25" fillId="12" fontId="9" numFmtId="0" xfId="0" applyAlignment="1" applyBorder="1" applyFont="1">
      <alignment horizontal="center"/>
    </xf>
    <xf borderId="26" fillId="12" fontId="9" numFmtId="0" xfId="0" applyAlignment="1" applyBorder="1" applyFont="1">
      <alignment horizontal="center"/>
    </xf>
    <xf borderId="22" fillId="13" fontId="10" numFmtId="0" xfId="0" applyAlignment="1" applyBorder="1" applyFill="1" applyFont="1">
      <alignment horizontal="center"/>
    </xf>
    <xf borderId="64" fillId="13" fontId="10" numFmtId="0" xfId="0" applyAlignment="1" applyBorder="1" applyFont="1">
      <alignment horizontal="center"/>
    </xf>
    <xf borderId="65" fillId="13" fontId="10" numFmtId="0" xfId="0" applyAlignment="1" applyBorder="1" applyFont="1">
      <alignment horizontal="center"/>
    </xf>
    <xf borderId="66" fillId="13" fontId="10" numFmtId="0" xfId="0" applyAlignment="1" applyBorder="1" applyFont="1">
      <alignment horizontal="center"/>
    </xf>
    <xf borderId="67" fillId="0" fontId="5" numFmtId="0" xfId="0" applyAlignment="1" applyBorder="1" applyFont="1">
      <alignment horizontal="center"/>
    </xf>
    <xf borderId="30" fillId="0" fontId="5" numFmtId="3" xfId="0" applyAlignment="1" applyBorder="1" applyFont="1" applyNumberFormat="1">
      <alignment horizontal="center"/>
    </xf>
    <xf borderId="68" fillId="0" fontId="5" numFmtId="0" xfId="0" applyAlignment="1" applyBorder="1" applyFont="1">
      <alignment horizontal="center"/>
    </xf>
    <xf borderId="69" fillId="0" fontId="5" numFmtId="0" xfId="0" applyBorder="1" applyFont="1"/>
    <xf borderId="70" fillId="0" fontId="7" numFmtId="0" xfId="0" applyBorder="1" applyFont="1"/>
    <xf borderId="71" fillId="0" fontId="5" numFmtId="0" xfId="0" applyBorder="1" applyFont="1"/>
    <xf borderId="72" fillId="4" fontId="5" numFmtId="0" xfId="0" applyAlignment="1" applyBorder="1" applyFont="1">
      <alignment horizontal="center"/>
    </xf>
    <xf borderId="72" fillId="4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73" fillId="6" fontId="4" numFmtId="0" xfId="0" applyAlignment="1" applyBorder="1" applyFont="1">
      <alignment horizontal="center" vertical="center"/>
    </xf>
    <xf borderId="60" fillId="6" fontId="4" numFmtId="0" xfId="0" applyAlignment="1" applyBorder="1" applyFont="1">
      <alignment horizontal="center" shrinkToFit="0" vertical="center" wrapText="1"/>
    </xf>
    <xf borderId="74" fillId="6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68" fillId="0" fontId="2" numFmtId="0" xfId="0" applyBorder="1" applyFont="1"/>
    <xf borderId="25" fillId="14" fontId="11" numFmtId="0" xfId="0" applyAlignment="1" applyBorder="1" applyFill="1" applyFont="1">
      <alignment horizontal="center" shrinkToFit="0" vertical="center" wrapText="1"/>
    </xf>
    <xf borderId="75" fillId="6" fontId="5" numFmtId="0" xfId="0" applyAlignment="1" applyBorder="1" applyFont="1">
      <alignment horizontal="center" vertical="center"/>
    </xf>
    <xf borderId="30" fillId="15" fontId="7" numFmtId="0" xfId="0" applyAlignment="1" applyBorder="1" applyFill="1" applyFont="1">
      <alignment horizontal="left" shrinkToFit="0" vertical="top" wrapText="1"/>
    </xf>
    <xf borderId="76" fillId="0" fontId="7" numFmtId="164" xfId="0" applyAlignment="1" applyBorder="1" applyFont="1" applyNumberFormat="1">
      <alignment shrinkToFit="1" wrapText="0"/>
    </xf>
    <xf borderId="25" fillId="0" fontId="4" numFmtId="164" xfId="0" applyAlignment="1" applyBorder="1" applyFont="1" applyNumberFormat="1">
      <alignment horizontal="right" shrinkToFit="1" vertical="center" wrapText="0"/>
    </xf>
    <xf borderId="0" fillId="0" fontId="12" numFmtId="3" xfId="0" applyFont="1" applyNumberFormat="1"/>
    <xf borderId="0" fillId="0" fontId="12" numFmtId="165" xfId="0" applyFont="1" applyNumberFormat="1"/>
    <xf borderId="0" fillId="0" fontId="13" numFmtId="0" xfId="0" applyAlignment="1" applyFont="1">
      <alignment horizontal="center"/>
    </xf>
    <xf borderId="0" fillId="0" fontId="13" numFmtId="0" xfId="0" applyFont="1"/>
    <xf borderId="77" fillId="16" fontId="14" numFmtId="0" xfId="0" applyAlignment="1" applyBorder="1" applyFill="1" applyFont="1">
      <alignment horizontal="center"/>
    </xf>
    <xf borderId="78" fillId="0" fontId="2" numFmtId="0" xfId="0" applyBorder="1" applyFont="1"/>
    <xf borderId="79" fillId="0" fontId="2" numFmtId="0" xfId="0" applyBorder="1" applyFont="1"/>
    <xf borderId="30" fillId="5" fontId="14" numFmtId="166" xfId="0" applyBorder="1" applyFont="1" applyNumberFormat="1"/>
    <xf borderId="30" fillId="5" fontId="12" numFmtId="166" xfId="0" applyBorder="1" applyFont="1" applyNumberFormat="1"/>
    <xf borderId="30" fillId="17" fontId="15" numFmtId="0" xfId="0" applyAlignment="1" applyBorder="1" applyFill="1" applyFont="1">
      <alignment vertical="top"/>
    </xf>
    <xf borderId="30" fillId="17" fontId="15" numFmtId="0" xfId="0" applyAlignment="1" applyBorder="1" applyFont="1">
      <alignment horizontal="left" vertical="top"/>
    </xf>
    <xf borderId="80" fillId="17" fontId="15" numFmtId="0" xfId="0" applyAlignment="1" applyBorder="1" applyFont="1">
      <alignment vertical="top"/>
    </xf>
    <xf borderId="72" fillId="17" fontId="15" numFmtId="0" xfId="0" applyAlignment="1" applyBorder="1" applyFont="1">
      <alignment vertical="top"/>
    </xf>
    <xf borderId="30" fillId="17" fontId="16" numFmtId="0" xfId="0" applyAlignment="1" applyBorder="1" applyFont="1">
      <alignment vertical="top"/>
    </xf>
    <xf borderId="30" fillId="17" fontId="16" numFmtId="0" xfId="0" applyAlignment="1" applyBorder="1" applyFont="1">
      <alignment horizontal="left" vertical="top"/>
    </xf>
    <xf borderId="30" fillId="17" fontId="12" numFmtId="0" xfId="0" applyAlignment="1" applyBorder="1" applyFont="1">
      <alignment vertical="top"/>
    </xf>
    <xf borderId="30" fillId="17" fontId="16" numFmtId="15" xfId="0" applyAlignment="1" applyBorder="1" applyFont="1" applyNumberFormat="1">
      <alignment horizontal="left" vertical="top"/>
    </xf>
    <xf borderId="0" fillId="0" fontId="12" numFmtId="0" xfId="0" applyAlignment="1" applyFont="1">
      <alignment horizontal="center"/>
    </xf>
    <xf borderId="0" fillId="0" fontId="12" numFmtId="43" xfId="0" applyFont="1" applyNumberFormat="1"/>
    <xf borderId="30" fillId="16" fontId="17" numFmtId="43" xfId="0" applyAlignment="1" applyBorder="1" applyFont="1" applyNumberFormat="1">
      <alignment vertical="top"/>
    </xf>
    <xf borderId="30" fillId="18" fontId="18" numFmtId="0" xfId="0" applyAlignment="1" applyBorder="1" applyFill="1" applyFont="1">
      <alignment horizontal="center"/>
    </xf>
    <xf borderId="30" fillId="18" fontId="17" numFmtId="0" xfId="0" applyAlignment="1" applyBorder="1" applyFont="1">
      <alignment horizontal="left" vertical="top"/>
    </xf>
    <xf borderId="30" fillId="18" fontId="18" numFmtId="0" xfId="0" applyBorder="1" applyFont="1"/>
    <xf borderId="30" fillId="18" fontId="18" numFmtId="43" xfId="0" applyAlignment="1" applyBorder="1" applyFont="1" applyNumberFormat="1">
      <alignment horizontal="right"/>
    </xf>
    <xf borderId="30" fillId="18" fontId="17" numFmtId="43" xfId="0" applyAlignment="1" applyBorder="1" applyFont="1" applyNumberFormat="1">
      <alignment horizontal="right" vertical="top"/>
    </xf>
    <xf borderId="30" fillId="18" fontId="17" numFmtId="0" xfId="0" applyAlignment="1" applyBorder="1" applyFont="1">
      <alignment horizontal="center" vertical="top"/>
    </xf>
    <xf borderId="30" fillId="16" fontId="17" numFmtId="0" xfId="0" applyAlignment="1" applyBorder="1" applyFont="1">
      <alignment horizontal="center" vertical="top"/>
    </xf>
    <xf borderId="30" fillId="16" fontId="17" numFmtId="43" xfId="0" applyAlignment="1" applyBorder="1" applyFont="1" applyNumberFormat="1">
      <alignment horizontal="right" vertical="top"/>
    </xf>
    <xf borderId="30" fillId="16" fontId="18" numFmtId="43" xfId="0" applyAlignment="1" applyBorder="1" applyFont="1" applyNumberFormat="1">
      <alignment horizontal="right"/>
    </xf>
    <xf borderId="30" fillId="0" fontId="18" numFmtId="0" xfId="0" applyAlignment="1" applyBorder="1" applyFont="1">
      <alignment vertical="center"/>
    </xf>
    <xf borderId="30" fillId="0" fontId="12" numFmtId="0" xfId="0" applyAlignment="1" applyBorder="1" applyFont="1">
      <alignment vertical="center"/>
    </xf>
    <xf borderId="30" fillId="0" fontId="19" numFmtId="0" xfId="0" applyAlignment="1" applyBorder="1" applyFont="1">
      <alignment horizontal="center" vertical="top"/>
    </xf>
    <xf borderId="30" fillId="0" fontId="19" numFmtId="15" xfId="0" applyAlignment="1" applyBorder="1" applyFont="1" applyNumberFormat="1">
      <alignment horizontal="center" vertical="top"/>
    </xf>
    <xf borderId="30" fillId="0" fontId="19" numFmtId="0" xfId="0" applyAlignment="1" applyBorder="1" applyFont="1">
      <alignment horizontal="left" vertical="top"/>
    </xf>
    <xf borderId="30" fillId="0" fontId="19" numFmtId="43" xfId="0" applyAlignment="1" applyBorder="1" applyFont="1" applyNumberFormat="1">
      <alignment horizontal="right" vertical="top"/>
    </xf>
    <xf borderId="30" fillId="0" fontId="12" numFmtId="0" xfId="0" applyAlignment="1" applyBorder="1" applyFont="1">
      <alignment horizontal="center"/>
    </xf>
    <xf borderId="30" fillId="0" fontId="12" numFmtId="14" xfId="0" applyBorder="1" applyFont="1" applyNumberFormat="1"/>
    <xf borderId="30" fillId="0" fontId="12" numFmtId="0" xfId="0" applyBorder="1" applyFont="1"/>
    <xf borderId="30" fillId="0" fontId="12" numFmtId="43" xfId="0" applyBorder="1" applyFont="1" applyNumberFormat="1"/>
    <xf borderId="30" fillId="0" fontId="19" numFmtId="0" xfId="0" applyAlignment="1" applyBorder="1" applyFont="1">
      <alignment vertical="top"/>
    </xf>
    <xf borderId="30" fillId="0" fontId="12" numFmtId="0" xfId="0" applyAlignment="1" applyBorder="1" applyFont="1">
      <alignment horizontal="center" vertical="center"/>
    </xf>
    <xf borderId="30" fillId="0" fontId="18" numFmtId="0" xfId="0" applyBorder="1" applyFont="1"/>
    <xf borderId="30" fillId="0" fontId="18" numFmtId="0" xfId="0" applyAlignment="1" applyBorder="1" applyFont="1">
      <alignment horizontal="center"/>
    </xf>
    <xf borderId="30" fillId="0" fontId="18" numFmtId="43" xfId="0" applyBorder="1" applyFont="1" applyNumberFormat="1"/>
    <xf borderId="0" fillId="0" fontId="18" numFmtId="0" xfId="0" applyFont="1"/>
    <xf borderId="0" fillId="0" fontId="20" numFmtId="0" xfId="0" applyAlignment="1" applyFont="1">
      <alignment horizontal="left"/>
    </xf>
    <xf borderId="0" fillId="0" fontId="12" numFmtId="166" xfId="0" applyFont="1" applyNumberFormat="1"/>
    <xf borderId="0" fillId="0" fontId="21" numFmtId="166" xfId="0" applyAlignment="1" applyFont="1" applyNumberFormat="1">
      <alignment horizontal="left" shrinkToFit="0" wrapText="1"/>
    </xf>
    <xf borderId="81" fillId="19" fontId="14" numFmtId="0" xfId="0" applyAlignment="1" applyBorder="1" applyFill="1" applyFont="1">
      <alignment horizontal="center"/>
    </xf>
    <xf borderId="82" fillId="0" fontId="2" numFmtId="0" xfId="0" applyBorder="1" applyFont="1"/>
    <xf borderId="83" fillId="0" fontId="2" numFmtId="0" xfId="0" applyBorder="1" applyFont="1"/>
    <xf borderId="33" fillId="19" fontId="14" numFmtId="0" xfId="0" applyAlignment="1" applyBorder="1" applyFont="1">
      <alignment horizontal="center"/>
    </xf>
    <xf borderId="30" fillId="0" fontId="14" numFmtId="0" xfId="0" applyAlignment="1" applyBorder="1" applyFont="1">
      <alignment horizontal="center"/>
    </xf>
    <xf borderId="30" fillId="0" fontId="14" numFmtId="0" xfId="0" applyBorder="1" applyFont="1"/>
    <xf borderId="30" fillId="0" fontId="14" numFmtId="166" xfId="0" applyBorder="1" applyFont="1" applyNumberFormat="1"/>
    <xf borderId="30" fillId="19" fontId="14" numFmtId="0" xfId="0" applyBorder="1" applyFont="1"/>
    <xf borderId="84" fillId="19" fontId="14" numFmtId="0" xfId="0" applyBorder="1" applyFont="1"/>
    <xf borderId="30" fillId="0" fontId="22" numFmtId="14" xfId="0" applyBorder="1" applyFont="1" applyNumberFormat="1"/>
    <xf borderId="30" fillId="0" fontId="22" numFmtId="0" xfId="0" applyBorder="1" applyFont="1"/>
    <xf borderId="30" fillId="0" fontId="22" numFmtId="0" xfId="0" applyAlignment="1" applyBorder="1" applyFont="1">
      <alignment shrinkToFit="0" wrapText="1"/>
    </xf>
    <xf borderId="30" fillId="0" fontId="12" numFmtId="9" xfId="0" applyBorder="1" applyFont="1" applyNumberFormat="1"/>
    <xf borderId="30" fillId="0" fontId="12" numFmtId="166" xfId="0" applyBorder="1" applyFont="1" applyNumberFormat="1"/>
    <xf borderId="0" fillId="0" fontId="23" numFmtId="0" xfId="0" applyFont="1"/>
    <xf borderId="30" fillId="17" fontId="16" numFmtId="22" xfId="0" applyAlignment="1" applyBorder="1" applyFont="1" applyNumberFormat="1">
      <alignment horizontal="left" vertical="top"/>
    </xf>
    <xf borderId="30" fillId="17" fontId="16" numFmtId="11" xfId="0" applyAlignment="1" applyBorder="1" applyFont="1" applyNumberFormat="1">
      <alignment horizontal="left" vertical="top"/>
    </xf>
    <xf borderId="85" fillId="20" fontId="14" numFmtId="165" xfId="0" applyBorder="1" applyFill="1" applyFont="1" applyNumberFormat="1"/>
    <xf borderId="0" fillId="0" fontId="12" numFmtId="0" xfId="0" applyAlignment="1" applyFont="1">
      <alignment horizontal="left"/>
    </xf>
    <xf borderId="86" fillId="20" fontId="14" numFmtId="165" xfId="0" applyBorder="1" applyFont="1" applyNumberFormat="1"/>
    <xf borderId="0" fillId="0" fontId="14" numFmtId="0" xfId="0" applyFont="1"/>
    <xf borderId="0" fillId="0" fontId="14" numFmtId="165" xfId="0" applyFont="1" applyNumberFormat="1"/>
    <xf borderId="30" fillId="17" fontId="16" numFmtId="15" xfId="0" applyAlignment="1" applyBorder="1" applyFont="1" applyNumberFormat="1">
      <alignment vertical="top"/>
    </xf>
    <xf borderId="30" fillId="17" fontId="16" numFmtId="17" xfId="0" applyAlignment="1" applyBorder="1" applyFont="1" applyNumberFormat="1">
      <alignment horizontal="left" vertical="top"/>
    </xf>
    <xf borderId="30" fillId="19" fontId="16" numFmtId="0" xfId="0" applyAlignment="1" applyBorder="1" applyFont="1">
      <alignment vertical="top"/>
    </xf>
    <xf borderId="30" fillId="19" fontId="16" numFmtId="0" xfId="0" applyAlignment="1" applyBorder="1" applyFont="1">
      <alignment horizontal="left" vertical="top"/>
    </xf>
    <xf borderId="30" fillId="19" fontId="12" numFmtId="0" xfId="0" applyAlignment="1" applyBorder="1" applyFont="1">
      <alignment vertical="top"/>
    </xf>
    <xf borderId="30" fillId="19" fontId="16" numFmtId="15" xfId="0" applyAlignment="1" applyBorder="1" applyFont="1" applyNumberFormat="1">
      <alignment horizontal="left" vertical="top"/>
    </xf>
    <xf borderId="30" fillId="21" fontId="16" numFmtId="0" xfId="0" applyAlignment="1" applyBorder="1" applyFill="1" applyFont="1">
      <alignment vertical="top"/>
    </xf>
    <xf borderId="30" fillId="21" fontId="16" numFmtId="0" xfId="0" applyAlignment="1" applyBorder="1" applyFont="1">
      <alignment horizontal="left" vertical="top"/>
    </xf>
    <xf borderId="30" fillId="21" fontId="12" numFmtId="0" xfId="0" applyAlignment="1" applyBorder="1" applyFont="1">
      <alignment vertical="top"/>
    </xf>
    <xf borderId="30" fillId="21" fontId="16" numFmtId="15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2.0"/>
    <col customWidth="1" min="2" max="2" width="15.29"/>
    <col customWidth="1" min="3" max="3" width="20.29"/>
    <col customWidth="1" min="4" max="4" width="14.14"/>
    <col customWidth="1" min="5" max="5" width="22.86"/>
    <col customWidth="1" min="6" max="6" width="22.43"/>
    <col customWidth="1" min="7" max="8" width="14.29"/>
    <col customWidth="1" min="9" max="26" width="9.14"/>
  </cols>
  <sheetData>
    <row r="1" ht="11.25" customHeight="1">
      <c r="A1" s="1" t="s">
        <v>0</v>
      </c>
      <c r="B1" s="2"/>
      <c r="C1" s="2"/>
      <c r="D1" s="2"/>
      <c r="E1" s="2"/>
      <c r="F1" s="3"/>
    </row>
    <row r="2" ht="9.0" customHeight="1">
      <c r="A2" s="4"/>
      <c r="B2" s="5"/>
      <c r="C2" s="5"/>
      <c r="D2" s="5"/>
      <c r="E2" s="5"/>
      <c r="F2" s="6"/>
    </row>
    <row r="3" ht="15.75" customHeight="1">
      <c r="A3" s="7"/>
      <c r="B3" s="7"/>
      <c r="C3" s="7"/>
      <c r="D3" s="7"/>
      <c r="E3" s="7"/>
      <c r="F3" s="7"/>
    </row>
    <row r="4" ht="13.5" customHeight="1">
      <c r="A4" s="8" t="s">
        <v>1</v>
      </c>
      <c r="B4" s="9" t="s">
        <v>2</v>
      </c>
      <c r="C4" s="10"/>
      <c r="D4" s="11" t="s">
        <v>3</v>
      </c>
      <c r="E4" s="12"/>
      <c r="F4" s="13" t="s">
        <v>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3.5" customHeight="1">
      <c r="A5" s="15" t="s">
        <v>5</v>
      </c>
      <c r="B5" s="16" t="s">
        <v>6</v>
      </c>
      <c r="C5" s="17"/>
      <c r="D5" s="18" t="s">
        <v>7</v>
      </c>
      <c r="E5" s="19"/>
      <c r="F5" s="20" t="s">
        <v>8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3.5" customHeight="1">
      <c r="A6" s="21"/>
      <c r="B6" s="21"/>
      <c r="C6" s="21"/>
      <c r="D6" s="21"/>
      <c r="E6" s="21"/>
      <c r="F6" s="21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3.5" customHeight="1">
      <c r="A7" s="22" t="s">
        <v>9</v>
      </c>
      <c r="B7" s="23"/>
      <c r="C7" s="23"/>
      <c r="D7" s="23"/>
      <c r="E7" s="23"/>
      <c r="F7" s="2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6.25" customHeight="1">
      <c r="A8" s="25" t="s">
        <v>10</v>
      </c>
      <c r="B8" s="26" t="s">
        <v>11</v>
      </c>
      <c r="C8" s="26" t="s">
        <v>12</v>
      </c>
      <c r="D8" s="26" t="s">
        <v>13</v>
      </c>
      <c r="E8" s="26" t="s">
        <v>14</v>
      </c>
      <c r="F8" s="26" t="s">
        <v>15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27">
        <v>1.0</v>
      </c>
      <c r="B9" s="28">
        <v>2.0</v>
      </c>
      <c r="C9" s="29">
        <v>3.0</v>
      </c>
      <c r="D9" s="29">
        <v>4.0</v>
      </c>
      <c r="E9" s="29">
        <v>5.0</v>
      </c>
      <c r="F9" s="29">
        <v>6.0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5.5" customHeight="1">
      <c r="A10" s="30" t="s">
        <v>16</v>
      </c>
      <c r="B10" s="31">
        <f>Outward!AL1</f>
        <v>89063007.62</v>
      </c>
      <c r="C10" s="31">
        <f>Outward!AQ1</f>
        <v>9519863.56</v>
      </c>
      <c r="D10" s="31">
        <f>Outward!AO1</f>
        <v>3255738.9</v>
      </c>
      <c r="E10" s="31">
        <f>D10</f>
        <v>3255738.9</v>
      </c>
      <c r="F10" s="31">
        <f>Outward!AT1+Outward!AV1</f>
        <v>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A11" s="32" t="s">
        <v>17</v>
      </c>
      <c r="B11" s="33"/>
      <c r="C11" s="34"/>
      <c r="D11" s="34"/>
      <c r="E11" s="34"/>
      <c r="F11" s="3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2.75" customHeight="1">
      <c r="A12" s="32" t="s">
        <v>18</v>
      </c>
      <c r="B12" s="33"/>
      <c r="C12" s="34"/>
      <c r="D12" s="34"/>
      <c r="E12" s="34"/>
      <c r="F12" s="3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2.75" customHeight="1">
      <c r="A13" s="32" t="s">
        <v>19</v>
      </c>
      <c r="B13" s="33">
        <f>SUMIF(Inward!AZ:AZ,G13,Inward!AI:AI)</f>
        <v>40000</v>
      </c>
      <c r="C13" s="33">
        <f>SUMIF(Inward!AZ:AZ,G13,Inward!AN:AN)</f>
        <v>0</v>
      </c>
      <c r="D13" s="33">
        <f>SUMIF(Inward!AZ:AZ,G13,Inward!AM:AM)</f>
        <v>3600</v>
      </c>
      <c r="E13" s="31">
        <f>D13</f>
        <v>3600</v>
      </c>
      <c r="F13" s="33">
        <v>0.0</v>
      </c>
      <c r="G13" s="14" t="s">
        <v>20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3.5" customHeight="1">
      <c r="A14" s="35" t="s">
        <v>21</v>
      </c>
      <c r="B14" s="36"/>
      <c r="C14" s="37"/>
      <c r="D14" s="37"/>
      <c r="E14" s="37"/>
      <c r="F14" s="3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3.5" customHeight="1">
      <c r="A15" s="38" t="s">
        <v>22</v>
      </c>
      <c r="B15" s="39">
        <f t="shared" ref="B15:F15" si="1">SUM(B10:B14)</f>
        <v>89103007.62</v>
      </c>
      <c r="C15" s="39">
        <f t="shared" si="1"/>
        <v>9519863.56</v>
      </c>
      <c r="D15" s="39">
        <f t="shared" si="1"/>
        <v>3259338.9</v>
      </c>
      <c r="E15" s="39">
        <f t="shared" si="1"/>
        <v>3259338.9</v>
      </c>
      <c r="F15" s="40">
        <f t="shared" si="1"/>
        <v>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3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3.5" customHeight="1">
      <c r="A17" s="41" t="s">
        <v>23</v>
      </c>
      <c r="B17" s="2"/>
      <c r="C17" s="2"/>
      <c r="D17" s="2"/>
      <c r="E17" s="42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3.5" customHeight="1">
      <c r="A18" s="43" t="s">
        <v>24</v>
      </c>
      <c r="B18" s="44" t="s">
        <v>12</v>
      </c>
      <c r="C18" s="44" t="s">
        <v>13</v>
      </c>
      <c r="D18" s="44" t="s">
        <v>14</v>
      </c>
      <c r="E18" s="44" t="s">
        <v>15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3.5" customHeight="1">
      <c r="A19" s="28">
        <v>1.0</v>
      </c>
      <c r="B19" s="29">
        <v>2.0</v>
      </c>
      <c r="C19" s="29">
        <v>3.0</v>
      </c>
      <c r="D19" s="29">
        <v>4.0</v>
      </c>
      <c r="E19" s="29">
        <v>5.0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2.75" customHeight="1">
      <c r="A20" s="45" t="s">
        <v>25</v>
      </c>
      <c r="B20" s="33"/>
      <c r="C20" s="33"/>
      <c r="D20" s="33"/>
      <c r="E20" s="3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2.75" customHeight="1">
      <c r="A21" s="46" t="s">
        <v>26</v>
      </c>
      <c r="B21" s="33">
        <v>0.0</v>
      </c>
      <c r="C21" s="34"/>
      <c r="D21" s="34"/>
      <c r="E21" s="34"/>
      <c r="F21" s="4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2.75" customHeight="1">
      <c r="A22" s="46" t="s">
        <v>27</v>
      </c>
      <c r="B22" s="33"/>
      <c r="C22" s="34"/>
      <c r="D22" s="34"/>
      <c r="E22" s="3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5.5" customHeight="1">
      <c r="A23" s="46" t="s">
        <v>28</v>
      </c>
      <c r="B23" s="48">
        <f>SUMIFS(Inward!AN:AN,Inward!AZ:AZ,G23,Inward!AY:AY,'DELHI 3B'!F23)</f>
        <v>0</v>
      </c>
      <c r="C23" s="48">
        <f>SUMIFS(Inward!AM:AM,Inward!AZ:AZ,G23,Inward!AY:AY,'DELHI 3B'!F23)</f>
        <v>3600</v>
      </c>
      <c r="D23" s="48">
        <f>C23</f>
        <v>3600</v>
      </c>
      <c r="E23" s="48">
        <v>0.0</v>
      </c>
      <c r="F23" s="47" t="s">
        <v>20</v>
      </c>
      <c r="G23" s="14" t="s">
        <v>20</v>
      </c>
      <c r="H23" s="47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2.75" customHeight="1">
      <c r="A24" s="46" t="s">
        <v>29</v>
      </c>
      <c r="B24" s="33"/>
      <c r="C24" s="33"/>
      <c r="D24" s="33"/>
      <c r="E24" s="33"/>
      <c r="F24" s="14"/>
      <c r="G24" s="47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3.5" customHeight="1">
      <c r="A25" s="49" t="s">
        <v>30</v>
      </c>
      <c r="B25" s="48">
        <f>SUMIF(Inward!AZ:AZ,G25,Inward!AN:AN)</f>
        <v>140233.93</v>
      </c>
      <c r="C25" s="48">
        <f>SUMIF(Inward!AZ:AZ,G25,Inward!AL:AL)</f>
        <v>999237.46</v>
      </c>
      <c r="D25" s="48">
        <f>C25</f>
        <v>999237.46</v>
      </c>
      <c r="E25" s="33">
        <f>SUMIF(Inward!AZ:AZ,G25,Inward!AR:AR)</f>
        <v>0</v>
      </c>
      <c r="F25" s="47" t="s">
        <v>20</v>
      </c>
      <c r="G25" s="14" t="s">
        <v>31</v>
      </c>
      <c r="H25" s="47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3.5" customHeight="1">
      <c r="A26" s="50" t="s">
        <v>32</v>
      </c>
      <c r="B26" s="51">
        <f t="shared" ref="B26:E26" si="2">B21+B22+B23+B24+B25</f>
        <v>140233.93</v>
      </c>
      <c r="C26" s="51">
        <f t="shared" si="2"/>
        <v>1002837.46</v>
      </c>
      <c r="D26" s="51">
        <f t="shared" si="2"/>
        <v>1002837.46</v>
      </c>
      <c r="E26" s="51">
        <f t="shared" si="2"/>
        <v>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52" t="s">
        <v>33</v>
      </c>
      <c r="B27" s="53"/>
      <c r="C27" s="54"/>
      <c r="D27" s="54"/>
      <c r="E27" s="5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customHeight="1">
      <c r="A28" s="46" t="s">
        <v>34</v>
      </c>
      <c r="B28" s="48">
        <f>SUMIFS(Inward!AN:AN,Inward!AY:AY,F28,Inward!AZ:AZ,'DELHI 3B'!G28)</f>
        <v>76310.33</v>
      </c>
      <c r="C28" s="48">
        <f>SUMIFS(Inward!AM:AM,Inward!AY:AY,F28,Inward!AZ:AZ,'DELHI 3B'!G28)</f>
        <v>117605.96</v>
      </c>
      <c r="D28" s="48">
        <f>C28</f>
        <v>117605.96</v>
      </c>
      <c r="E28" s="33">
        <f>SUMIFS(Inward!AR:AR,Inward!AZ:AZ,G28,Inward!AY:AY,'DELHI 3B'!F28)</f>
        <v>0</v>
      </c>
      <c r="F28" s="47" t="s">
        <v>31</v>
      </c>
      <c r="G28" s="14" t="s">
        <v>31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3.5" customHeight="1">
      <c r="A29" s="56" t="s">
        <v>35</v>
      </c>
      <c r="B29" s="33">
        <f>'ITC REVERSAL'!C5+'ITC Revers &amp; Reclaim - 180 Days'!R8+'ITC REVERSAL'!I4</f>
        <v>8388.398326</v>
      </c>
      <c r="C29" s="33">
        <f>'ITC REVERSAL'!D5+'ITC Revers - 180 Days'!P17+'ITC REVERSAL'!J4</f>
        <v>33233.12153</v>
      </c>
      <c r="D29" s="33">
        <f>'ITC REVERSAL'!E5+'ITC Revers - 180 Days'!Q17+'ITC REVERSAL'!K4</f>
        <v>33233.12153</v>
      </c>
      <c r="E29" s="33">
        <v>0.0</v>
      </c>
      <c r="F29" s="14" t="s">
        <v>36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3.5" customHeight="1">
      <c r="A30" s="50" t="s">
        <v>37</v>
      </c>
      <c r="B30" s="51">
        <f t="shared" ref="B30:E30" si="3">B28+B29</f>
        <v>84698.72833</v>
      </c>
      <c r="C30" s="51">
        <f t="shared" si="3"/>
        <v>150839.0815</v>
      </c>
      <c r="D30" s="51">
        <f t="shared" si="3"/>
        <v>150839.0815</v>
      </c>
      <c r="E30" s="51">
        <f t="shared" si="3"/>
        <v>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3.5" customHeight="1">
      <c r="A31" s="57" t="s">
        <v>38</v>
      </c>
      <c r="B31" s="39">
        <f t="shared" ref="B31:E31" si="4">B26-B30</f>
        <v>55535.20167</v>
      </c>
      <c r="C31" s="39">
        <f t="shared" si="4"/>
        <v>851998.3785</v>
      </c>
      <c r="D31" s="39">
        <f t="shared" si="4"/>
        <v>851998.3785</v>
      </c>
      <c r="E31" s="39">
        <f t="shared" si="4"/>
        <v>0</v>
      </c>
      <c r="F31" s="58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59" t="s">
        <v>39</v>
      </c>
      <c r="B32" s="60"/>
      <c r="C32" s="61"/>
      <c r="D32" s="61"/>
      <c r="E32" s="62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46" t="s">
        <v>40</v>
      </c>
      <c r="B33" s="33">
        <v>0.0</v>
      </c>
      <c r="C33" s="33">
        <v>0.0</v>
      </c>
      <c r="D33" s="33">
        <f t="shared" ref="D33:D34" si="5">C33</f>
        <v>0</v>
      </c>
      <c r="E33" s="33">
        <v>0.0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3.5" customHeight="1">
      <c r="A34" s="49" t="s">
        <v>35</v>
      </c>
      <c r="B34" s="33">
        <v>0.0</v>
      </c>
      <c r="C34" s="33">
        <v>0.0</v>
      </c>
      <c r="D34" s="33">
        <f t="shared" si="5"/>
        <v>0</v>
      </c>
      <c r="E34" s="33">
        <v>0.0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0" customHeight="1">
      <c r="A35" s="63"/>
      <c r="B35" s="64">
        <f>B26-B28-'ITC Revers &amp; Reclaim - 180 Days'!R8</f>
        <v>63923.6</v>
      </c>
      <c r="C35" s="64">
        <f>C26-C28-'ITC Revers &amp; Reclaim - 180 Days'!S8</f>
        <v>885231.5</v>
      </c>
      <c r="D35" s="64">
        <f>D26-D28-'ITC Revers &amp; Reclaim - 180 Days'!T8</f>
        <v>885231.5</v>
      </c>
      <c r="E35" s="64">
        <f>E26-E28</f>
        <v>0</v>
      </c>
      <c r="F35" s="65"/>
      <c r="G35" s="14"/>
      <c r="H35" s="65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0.5" customHeight="1">
      <c r="A36" s="14"/>
      <c r="B36" s="47">
        <f t="shared" ref="B36:E36" si="6">B25-B28</f>
        <v>63923.6</v>
      </c>
      <c r="C36" s="47">
        <f t="shared" si="6"/>
        <v>881631.5</v>
      </c>
      <c r="D36" s="47">
        <f t="shared" si="6"/>
        <v>881631.5</v>
      </c>
      <c r="E36" s="47">
        <f t="shared" si="6"/>
        <v>0</v>
      </c>
      <c r="F36" s="66"/>
      <c r="G36" s="66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8.0" customHeight="1">
      <c r="A37" s="22" t="s">
        <v>41</v>
      </c>
      <c r="B37" s="23"/>
      <c r="C37" s="23"/>
      <c r="D37" s="24"/>
      <c r="E37" s="14"/>
      <c r="F37" s="47"/>
      <c r="G37" s="66"/>
      <c r="H37" s="66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6.25" customHeight="1">
      <c r="A38" s="67" t="s">
        <v>42</v>
      </c>
      <c r="B38" s="68"/>
      <c r="C38" s="69" t="s">
        <v>43</v>
      </c>
      <c r="D38" s="69" t="s">
        <v>44</v>
      </c>
      <c r="E38" s="14"/>
      <c r="F38" s="66"/>
      <c r="G38" s="66"/>
      <c r="H38" s="66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70">
        <v>1.0</v>
      </c>
      <c r="B39" s="71"/>
      <c r="C39" s="72">
        <v>2.0</v>
      </c>
      <c r="D39" s="72">
        <v>3.0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73" t="s">
        <v>45</v>
      </c>
      <c r="B40" s="74"/>
      <c r="C40" s="33">
        <v>0.0</v>
      </c>
      <c r="D40" s="33">
        <v>0.0</v>
      </c>
      <c r="E40" s="14"/>
      <c r="F40" s="14"/>
      <c r="G40" s="6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75" t="s">
        <v>46</v>
      </c>
      <c r="B41" s="76"/>
      <c r="C41" s="33"/>
      <c r="D41" s="33">
        <v>0.0</v>
      </c>
      <c r="E41" s="14"/>
      <c r="F41" s="4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77" t="s">
        <v>22</v>
      </c>
      <c r="B42" s="78"/>
      <c r="C42" s="39">
        <f t="shared" ref="C42:D42" si="7">SUM(C40:C41)</f>
        <v>0</v>
      </c>
      <c r="D42" s="39">
        <f t="shared" si="7"/>
        <v>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8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0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79" t="s">
        <v>47</v>
      </c>
      <c r="B45" s="80"/>
      <c r="C45" s="80"/>
      <c r="D45" s="80"/>
      <c r="E45" s="81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82" t="s">
        <v>48</v>
      </c>
      <c r="B46" s="83" t="s">
        <v>12</v>
      </c>
      <c r="C46" s="82" t="s">
        <v>13</v>
      </c>
      <c r="D46" s="84" t="s">
        <v>14</v>
      </c>
      <c r="E46" s="85" t="s">
        <v>15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86">
        <v>1.0</v>
      </c>
      <c r="B47" s="87">
        <v>2.0</v>
      </c>
      <c r="C47" s="88">
        <v>3.0</v>
      </c>
      <c r="D47" s="88">
        <v>4.0</v>
      </c>
      <c r="E47" s="89">
        <v>5.0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90" t="s">
        <v>49</v>
      </c>
      <c r="B48" s="91" t="str">
        <f>'ITC Revers &amp; Reclaim - 180 Days'!V8</f>
        <v/>
      </c>
      <c r="C48" s="91" t="str">
        <f>'ITC Revers - 180 Days'!S17</f>
        <v/>
      </c>
      <c r="D48" s="91" t="str">
        <f>C48</f>
        <v/>
      </c>
      <c r="E48" s="91">
        <v>0.0</v>
      </c>
      <c r="F48" s="14" t="s">
        <v>50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92" t="s">
        <v>51</v>
      </c>
      <c r="B49" s="93"/>
      <c r="C49" s="94"/>
      <c r="D49" s="94"/>
      <c r="E49" s="95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0.5" customHeight="1">
      <c r="A50" s="96"/>
      <c r="B50" s="97"/>
      <c r="C50" s="97"/>
      <c r="D50" s="97"/>
      <c r="E50" s="97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9.75" customHeight="1">
      <c r="A51" s="96"/>
      <c r="B51" s="97"/>
      <c r="C51" s="97"/>
      <c r="D51" s="97"/>
      <c r="E51" s="97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3.5" customHeight="1">
      <c r="A52" s="98" t="s">
        <v>52</v>
      </c>
      <c r="B52" s="2"/>
      <c r="C52" s="2"/>
      <c r="D52" s="2"/>
      <c r="E52" s="2"/>
      <c r="F52" s="2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6.25" customHeight="1">
      <c r="A53" s="99" t="s">
        <v>53</v>
      </c>
      <c r="B53" s="100" t="s">
        <v>54</v>
      </c>
      <c r="C53" s="81"/>
      <c r="D53" s="100" t="s">
        <v>55</v>
      </c>
      <c r="E53" s="81"/>
      <c r="F53" s="101" t="s">
        <v>56</v>
      </c>
      <c r="G53" s="102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6.25" customHeight="1">
      <c r="A54" s="103"/>
      <c r="B54" s="104" t="s">
        <v>11</v>
      </c>
      <c r="C54" s="104" t="s">
        <v>57</v>
      </c>
      <c r="D54" s="104" t="s">
        <v>11</v>
      </c>
      <c r="E54" s="104" t="s">
        <v>57</v>
      </c>
      <c r="F54" s="104" t="s">
        <v>11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3.5" customHeight="1">
      <c r="A55" s="105">
        <v>1.0</v>
      </c>
      <c r="B55" s="105">
        <v>2.0</v>
      </c>
      <c r="C55" s="105">
        <v>3.0</v>
      </c>
      <c r="D55" s="105">
        <v>4.0</v>
      </c>
      <c r="E55" s="105">
        <v>5.0</v>
      </c>
      <c r="F55" s="105">
        <v>6.0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06"/>
      <c r="B56" s="107"/>
      <c r="C56" s="107"/>
      <c r="D56" s="107"/>
      <c r="E56" s="107"/>
      <c r="F56" s="107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06"/>
      <c r="B57" s="107"/>
      <c r="C57" s="107"/>
      <c r="D57" s="107"/>
      <c r="E57" s="107"/>
      <c r="F57" s="107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06"/>
      <c r="B58" s="107"/>
      <c r="C58" s="107"/>
      <c r="D58" s="107"/>
      <c r="E58" s="107"/>
      <c r="F58" s="107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06"/>
      <c r="B59" s="107"/>
      <c r="C59" s="107"/>
      <c r="D59" s="107"/>
      <c r="E59" s="107"/>
      <c r="F59" s="107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06"/>
      <c r="B60" s="107"/>
      <c r="C60" s="107"/>
      <c r="D60" s="107"/>
      <c r="E60" s="107"/>
      <c r="F60" s="107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06"/>
      <c r="B61" s="107"/>
      <c r="C61" s="107"/>
      <c r="D61" s="107"/>
      <c r="E61" s="107"/>
      <c r="F61" s="107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06"/>
      <c r="B62" s="107"/>
      <c r="C62" s="107"/>
      <c r="D62" s="107"/>
      <c r="E62" s="107"/>
      <c r="F62" s="107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06"/>
      <c r="B63" s="107"/>
      <c r="C63" s="107"/>
      <c r="D63" s="107"/>
      <c r="E63" s="107"/>
      <c r="F63" s="107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06"/>
      <c r="B64" s="107"/>
      <c r="C64" s="107"/>
      <c r="D64" s="107"/>
      <c r="E64" s="107"/>
      <c r="F64" s="107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06"/>
      <c r="B65" s="107"/>
      <c r="C65" s="107"/>
      <c r="D65" s="107"/>
      <c r="E65" s="107"/>
      <c r="F65" s="107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06"/>
      <c r="B66" s="107"/>
      <c r="C66" s="107"/>
      <c r="D66" s="107"/>
      <c r="E66" s="107"/>
      <c r="F66" s="107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79" t="s">
        <v>22</v>
      </c>
      <c r="B67" s="108">
        <v>0.0</v>
      </c>
      <c r="C67" s="108">
        <v>0.0</v>
      </c>
      <c r="D67" s="108">
        <v>0.0</v>
      </c>
      <c r="E67" s="108">
        <v>0.0</v>
      </c>
      <c r="F67" s="108">
        <v>0.0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/>
    <row r="69" ht="14.25" customHeight="1">
      <c r="B69" s="109"/>
    </row>
    <row r="70" ht="14.25" customHeight="1">
      <c r="B70" s="110"/>
      <c r="C70" s="110"/>
      <c r="D70" s="110"/>
      <c r="E70" s="109"/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F2"/>
    <mergeCell ref="B4:C4"/>
    <mergeCell ref="D4:E4"/>
    <mergeCell ref="B5:C5"/>
    <mergeCell ref="D5:E5"/>
    <mergeCell ref="A7:F7"/>
    <mergeCell ref="A17:E17"/>
    <mergeCell ref="A52:F52"/>
    <mergeCell ref="A53:A54"/>
    <mergeCell ref="B53:C53"/>
    <mergeCell ref="D53:E53"/>
    <mergeCell ref="A37:D37"/>
    <mergeCell ref="A38:B38"/>
    <mergeCell ref="A39:B39"/>
    <mergeCell ref="A40:B40"/>
    <mergeCell ref="A41:B41"/>
    <mergeCell ref="A42:B42"/>
    <mergeCell ref="A45:E45"/>
  </mergeCells>
  <printOptions/>
  <pageMargins bottom="0.75" footer="0.0" header="0.0" left="0.7" right="0.7" top="0.75"/>
  <pageSetup paperSize="9" scale="5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86"/>
    <col customWidth="1" min="3" max="3" width="11.57"/>
    <col customWidth="1" min="4" max="5" width="10.71"/>
    <col customWidth="1" min="6" max="6" width="12.57"/>
    <col customWidth="1" min="7" max="7" width="9.14"/>
    <col customWidth="1" min="8" max="8" width="16.86"/>
    <col customWidth="1" min="9" max="9" width="11.57"/>
    <col customWidth="1" min="10" max="11" width="10.71"/>
    <col customWidth="1" min="12" max="12" width="12.57"/>
    <col customWidth="1" min="13" max="68" width="9.14"/>
  </cols>
  <sheetData>
    <row r="1" ht="12.0" customHeight="1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</row>
    <row r="2" ht="14.25" customHeight="1">
      <c r="A2" s="111"/>
      <c r="B2" s="113" t="s">
        <v>58</v>
      </c>
      <c r="C2" s="114"/>
      <c r="D2" s="114"/>
      <c r="E2" s="114"/>
      <c r="F2" s="115"/>
      <c r="G2" s="112"/>
      <c r="H2" s="113" t="s">
        <v>59</v>
      </c>
      <c r="I2" s="114"/>
      <c r="J2" s="114"/>
      <c r="K2" s="114"/>
      <c r="L2" s="115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</row>
    <row r="3" ht="14.25" customHeight="1">
      <c r="A3" s="111"/>
      <c r="B3" s="116" t="s">
        <v>7</v>
      </c>
      <c r="C3" s="116" t="s">
        <v>60</v>
      </c>
      <c r="D3" s="116" t="s">
        <v>61</v>
      </c>
      <c r="E3" s="116" t="s">
        <v>62</v>
      </c>
      <c r="F3" s="116" t="s">
        <v>22</v>
      </c>
      <c r="G3" s="112"/>
      <c r="H3" s="116" t="s">
        <v>7</v>
      </c>
      <c r="I3" s="116" t="s">
        <v>60</v>
      </c>
      <c r="J3" s="116" t="s">
        <v>61</v>
      </c>
      <c r="K3" s="116" t="s">
        <v>62</v>
      </c>
      <c r="L3" s="116" t="s">
        <v>22</v>
      </c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</row>
    <row r="4" ht="14.25" customHeight="1">
      <c r="A4" s="111"/>
      <c r="B4" s="117" t="s">
        <v>63</v>
      </c>
      <c r="C4" s="117">
        <v>8388.398325700298</v>
      </c>
      <c r="D4" s="117">
        <v>33233.12153186974</v>
      </c>
      <c r="E4" s="117">
        <v>33233.12153186974</v>
      </c>
      <c r="F4" s="116">
        <f>SUM(C4:E4)</f>
        <v>74854.64139</v>
      </c>
      <c r="G4" s="112"/>
      <c r="H4" s="117"/>
      <c r="I4" s="117">
        <f>-AJ9</f>
        <v>0</v>
      </c>
      <c r="J4" s="117">
        <f t="shared" ref="J4:K4" si="1">-AH9</f>
        <v>0</v>
      </c>
      <c r="K4" s="117">
        <f t="shared" si="1"/>
        <v>0</v>
      </c>
      <c r="L4" s="116">
        <f>SUM(I4:K4)</f>
        <v>0</v>
      </c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</row>
    <row r="5" ht="14.25" customHeight="1">
      <c r="A5" s="111"/>
      <c r="B5" s="116" t="s">
        <v>22</v>
      </c>
      <c r="C5" s="116">
        <f t="shared" ref="C5:F5" si="2">SUM(C4)</f>
        <v>8388.398326</v>
      </c>
      <c r="D5" s="116">
        <f t="shared" si="2"/>
        <v>33233.12153</v>
      </c>
      <c r="E5" s="116">
        <f t="shared" si="2"/>
        <v>33233.12153</v>
      </c>
      <c r="F5" s="116">
        <f t="shared" si="2"/>
        <v>74854.64139</v>
      </c>
      <c r="G5" s="112"/>
      <c r="H5" s="116" t="s">
        <v>22</v>
      </c>
      <c r="I5" s="116">
        <f t="shared" ref="I5:L5" si="3">SUM(I4)</f>
        <v>0</v>
      </c>
      <c r="J5" s="116">
        <f t="shared" si="3"/>
        <v>0</v>
      </c>
      <c r="K5" s="116">
        <f t="shared" si="3"/>
        <v>0</v>
      </c>
      <c r="L5" s="116">
        <f t="shared" si="3"/>
        <v>0</v>
      </c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</row>
    <row r="6" ht="12.0" customHeigh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</row>
    <row r="7" ht="12.0" customHeight="1">
      <c r="A7" s="111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</row>
    <row r="8" ht="12.0" customHeight="1">
      <c r="A8" s="111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</row>
    <row r="9" ht="12.0" customHeight="1">
      <c r="A9" s="111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>
        <f t="shared" ref="AH9:AJ9" si="4">SUM(AH11)</f>
        <v>0</v>
      </c>
      <c r="AI9" s="112">
        <f t="shared" si="4"/>
        <v>0</v>
      </c>
      <c r="AJ9" s="112">
        <f t="shared" si="4"/>
        <v>0</v>
      </c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</row>
    <row r="10" ht="14.25" customHeight="1">
      <c r="A10" s="118" t="s">
        <v>64</v>
      </c>
      <c r="B10" s="119" t="s">
        <v>65</v>
      </c>
      <c r="C10" s="119" t="s">
        <v>66</v>
      </c>
      <c r="D10" s="119" t="s">
        <v>67</v>
      </c>
      <c r="E10" s="119" t="s">
        <v>68</v>
      </c>
      <c r="F10" s="119" t="s">
        <v>69</v>
      </c>
      <c r="G10" s="119" t="s">
        <v>70</v>
      </c>
      <c r="H10" s="119" t="s">
        <v>71</v>
      </c>
      <c r="I10" s="119" t="s">
        <v>72</v>
      </c>
      <c r="J10" s="119" t="s">
        <v>73</v>
      </c>
      <c r="K10" s="119" t="s">
        <v>74</v>
      </c>
      <c r="L10" s="119" t="s">
        <v>75</v>
      </c>
      <c r="M10" s="119" t="s">
        <v>76</v>
      </c>
      <c r="N10" s="119" t="s">
        <v>77</v>
      </c>
      <c r="O10" s="119" t="s">
        <v>78</v>
      </c>
      <c r="P10" s="119" t="s">
        <v>79</v>
      </c>
      <c r="Q10" s="119" t="s">
        <v>80</v>
      </c>
      <c r="R10" s="119" t="s">
        <v>81</v>
      </c>
      <c r="S10" s="119" t="s">
        <v>82</v>
      </c>
      <c r="T10" s="118" t="s">
        <v>83</v>
      </c>
      <c r="U10" s="118" t="s">
        <v>84</v>
      </c>
      <c r="V10" s="119" t="s">
        <v>85</v>
      </c>
      <c r="W10" s="119" t="s">
        <v>86</v>
      </c>
      <c r="X10" s="119" t="s">
        <v>87</v>
      </c>
      <c r="Y10" s="119" t="s">
        <v>88</v>
      </c>
      <c r="Z10" s="119" t="s">
        <v>89</v>
      </c>
      <c r="AA10" s="119" t="s">
        <v>90</v>
      </c>
      <c r="AB10" s="119" t="s">
        <v>91</v>
      </c>
      <c r="AC10" s="119" t="s">
        <v>92</v>
      </c>
      <c r="AD10" s="119" t="s">
        <v>93</v>
      </c>
      <c r="AE10" s="119" t="s">
        <v>94</v>
      </c>
      <c r="AF10" s="119" t="s">
        <v>95</v>
      </c>
      <c r="AG10" s="119" t="s">
        <v>96</v>
      </c>
      <c r="AH10" s="119" t="s">
        <v>62</v>
      </c>
      <c r="AI10" s="119" t="s">
        <v>61</v>
      </c>
      <c r="AJ10" s="119" t="s">
        <v>60</v>
      </c>
      <c r="AK10" s="119" t="s">
        <v>97</v>
      </c>
      <c r="AL10" s="118" t="s">
        <v>98</v>
      </c>
      <c r="AM10" s="119" t="s">
        <v>99</v>
      </c>
      <c r="AN10" s="119" t="s">
        <v>100</v>
      </c>
      <c r="AO10" s="119" t="s">
        <v>101</v>
      </c>
      <c r="AP10" s="119" t="s">
        <v>102</v>
      </c>
      <c r="AQ10" s="119" t="s">
        <v>103</v>
      </c>
      <c r="AR10" s="119" t="s">
        <v>104</v>
      </c>
      <c r="AS10" s="119" t="s">
        <v>105</v>
      </c>
      <c r="AT10" s="119" t="s">
        <v>106</v>
      </c>
      <c r="AU10" s="119" t="s">
        <v>107</v>
      </c>
      <c r="AV10" s="119" t="s">
        <v>108</v>
      </c>
      <c r="AW10" s="119" t="s">
        <v>109</v>
      </c>
      <c r="AX10" s="119" t="s">
        <v>110</v>
      </c>
      <c r="AY10" s="119" t="s">
        <v>111</v>
      </c>
      <c r="AZ10" s="119" t="s">
        <v>112</v>
      </c>
      <c r="BA10" s="119" t="s">
        <v>113</v>
      </c>
      <c r="BB10" s="119" t="s">
        <v>114</v>
      </c>
      <c r="BC10" s="119" t="s">
        <v>115</v>
      </c>
      <c r="BD10" s="118" t="s">
        <v>116</v>
      </c>
      <c r="BE10" s="120" t="s">
        <v>117</v>
      </c>
      <c r="BF10" s="120" t="s">
        <v>118</v>
      </c>
      <c r="BG10" s="120" t="s">
        <v>119</v>
      </c>
      <c r="BH10" s="121" t="s">
        <v>120</v>
      </c>
      <c r="BI10" s="121" t="s">
        <v>121</v>
      </c>
      <c r="BJ10" s="121" t="s">
        <v>122</v>
      </c>
      <c r="BK10" s="121" t="s">
        <v>123</v>
      </c>
      <c r="BL10" s="121" t="s">
        <v>78</v>
      </c>
      <c r="BM10" s="121" t="s">
        <v>124</v>
      </c>
      <c r="BN10" s="112"/>
      <c r="BO10" s="121" t="s">
        <v>125</v>
      </c>
      <c r="BP10" s="121" t="s">
        <v>126</v>
      </c>
    </row>
    <row r="11" ht="14.25" customHeight="1">
      <c r="A11" s="122"/>
      <c r="B11" s="123"/>
      <c r="C11" s="123"/>
      <c r="D11" s="123"/>
      <c r="E11" s="122"/>
      <c r="F11" s="124"/>
      <c r="G11" s="123"/>
      <c r="H11" s="123"/>
      <c r="I11" s="123"/>
      <c r="J11" s="122"/>
      <c r="K11" s="123"/>
      <c r="L11" s="123"/>
      <c r="M11" s="125"/>
      <c r="N11" s="123"/>
      <c r="O11" s="123"/>
      <c r="P11" s="125"/>
      <c r="Q11" s="123"/>
      <c r="R11" s="123"/>
      <c r="S11" s="122"/>
      <c r="T11" s="123"/>
      <c r="U11" s="123"/>
      <c r="V11" s="124"/>
      <c r="W11" s="123"/>
      <c r="X11" s="123"/>
      <c r="Y11" s="123"/>
      <c r="Z11" s="123"/>
      <c r="AA11" s="123"/>
      <c r="AB11" s="125"/>
      <c r="AC11" s="122"/>
      <c r="AD11" s="123"/>
      <c r="AE11" s="123"/>
      <c r="AF11" s="123"/>
      <c r="AG11" s="123"/>
      <c r="AH11" s="123"/>
      <c r="AI11" s="123"/>
      <c r="AJ11" s="123"/>
      <c r="AK11" s="122"/>
      <c r="AL11" s="123"/>
      <c r="AM11" s="123"/>
      <c r="AN11" s="123"/>
      <c r="AO11" s="123"/>
      <c r="AP11" s="122"/>
      <c r="AQ11" s="124"/>
      <c r="AR11" s="124"/>
      <c r="AS11" s="123"/>
      <c r="AT11" s="123"/>
      <c r="AU11" s="122"/>
      <c r="AV11" s="123"/>
      <c r="AW11" s="122"/>
      <c r="AX11" s="124"/>
      <c r="AY11" s="124"/>
      <c r="AZ11" s="124"/>
      <c r="BA11" s="124"/>
      <c r="BB11" s="124"/>
      <c r="BC11" s="124"/>
      <c r="BD11" s="123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</row>
    <row r="12" ht="12.0" customHeight="1">
      <c r="A12" s="111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</row>
    <row r="13" ht="12.0" customHeight="1">
      <c r="A13" s="111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</row>
    <row r="14" ht="12.0" customHeight="1">
      <c r="A14" s="111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</row>
    <row r="15" ht="12.0" customHeight="1">
      <c r="A15" s="111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</row>
    <row r="16" ht="12.0" customHeight="1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</row>
    <row r="17" ht="12.0" customHeight="1">
      <c r="A17" s="111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</row>
    <row r="18" ht="12.0" customHeight="1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</row>
    <row r="19" ht="12.0" customHeight="1">
      <c r="A19" s="111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</row>
    <row r="20" ht="12.0" customHeight="1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2"/>
      <c r="BO20" s="112"/>
      <c r="BP20" s="112"/>
    </row>
    <row r="21" ht="12.0" customHeight="1">
      <c r="A21" s="111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</row>
    <row r="22" ht="12.0" customHeight="1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12"/>
    </row>
    <row r="23" ht="12.0" customHeight="1">
      <c r="A23" s="111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  <c r="BM23" s="112"/>
      <c r="BN23" s="112"/>
      <c r="BO23" s="112"/>
      <c r="BP23" s="112"/>
    </row>
    <row r="24" ht="12.0" customHeight="1">
      <c r="A24" s="111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  <c r="BM24" s="112"/>
      <c r="BN24" s="112"/>
      <c r="BO24" s="112"/>
      <c r="BP24" s="112"/>
    </row>
    <row r="25" ht="12.0" customHeight="1">
      <c r="A25" s="111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  <c r="BL25" s="112"/>
      <c r="BM25" s="112"/>
      <c r="BN25" s="112"/>
      <c r="BO25" s="112"/>
      <c r="BP25" s="112"/>
    </row>
    <row r="26" ht="12.0" customHeight="1">
      <c r="A26" s="111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</row>
    <row r="27" ht="12.0" customHeight="1">
      <c r="A27" s="111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</row>
    <row r="28" ht="12.0" customHeight="1">
      <c r="A28" s="111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</row>
    <row r="29" ht="12.0" customHeight="1">
      <c r="A29" s="111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</row>
    <row r="30" ht="12.0" customHeight="1">
      <c r="A30" s="111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112"/>
      <c r="BN30" s="112"/>
      <c r="BO30" s="112"/>
      <c r="BP30" s="112"/>
    </row>
    <row r="31" ht="12.0" customHeight="1">
      <c r="A31" s="111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</row>
    <row r="32" ht="12.0" customHeight="1">
      <c r="A32" s="111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</row>
    <row r="33" ht="12.0" customHeight="1">
      <c r="A33" s="111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</row>
    <row r="34" ht="12.0" customHeight="1">
      <c r="A34" s="111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</row>
    <row r="35" ht="12.0" customHeight="1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</row>
    <row r="36" ht="12.0" customHeight="1">
      <c r="A36" s="111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  <c r="BL36" s="112"/>
      <c r="BM36" s="112"/>
      <c r="BN36" s="112"/>
      <c r="BO36" s="112"/>
      <c r="BP36" s="112"/>
    </row>
    <row r="37" ht="12.0" customHeight="1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</row>
    <row r="38" ht="12.0" customHeight="1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  <c r="BM38" s="112"/>
      <c r="BN38" s="112"/>
      <c r="BO38" s="112"/>
      <c r="BP38" s="112"/>
    </row>
    <row r="39" ht="12.0" customHeight="1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</row>
    <row r="40" ht="12.0" customHeight="1">
      <c r="A40" s="111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</row>
    <row r="41" ht="12.0" customHeight="1">
      <c r="A41" s="111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</row>
    <row r="42" ht="12.0" customHeight="1">
      <c r="A42" s="111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</row>
    <row r="43" ht="12.0" customHeight="1">
      <c r="A43" s="111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</row>
    <row r="44" ht="12.0" customHeight="1">
      <c r="A44" s="111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</row>
    <row r="45" ht="12.0" customHeight="1">
      <c r="A45" s="111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</row>
    <row r="46" ht="12.0" customHeight="1">
      <c r="A46" s="111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</row>
    <row r="47" ht="12.0" customHeight="1">
      <c r="A47" s="111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</row>
    <row r="48" ht="12.0" customHeight="1">
      <c r="A48" s="111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</row>
    <row r="49" ht="12.0" customHeight="1">
      <c r="A49" s="111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</row>
    <row r="50" ht="12.0" customHeight="1">
      <c r="A50" s="111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</row>
    <row r="51" ht="12.0" customHeight="1">
      <c r="A51" s="111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</row>
    <row r="52" ht="12.0" customHeight="1">
      <c r="A52" s="111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</row>
    <row r="53" ht="12.0" customHeight="1">
      <c r="A53" s="111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</row>
    <row r="54" ht="12.0" customHeight="1">
      <c r="A54" s="111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  <c r="BO54" s="112"/>
      <c r="BP54" s="112"/>
    </row>
    <row r="55" ht="12.0" customHeight="1">
      <c r="A55" s="111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</row>
    <row r="56" ht="12.0" customHeight="1">
      <c r="A56" s="111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</row>
    <row r="57" ht="12.0" customHeight="1">
      <c r="A57" s="111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</row>
    <row r="58" ht="12.0" customHeight="1">
      <c r="A58" s="111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</row>
    <row r="59" ht="12.0" customHeight="1">
      <c r="A59" s="111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</row>
    <row r="60" ht="12.0" customHeight="1">
      <c r="A60" s="111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2"/>
      <c r="BE60" s="112"/>
      <c r="BF60" s="112"/>
      <c r="BG60" s="112"/>
      <c r="BH60" s="112"/>
      <c r="BI60" s="112"/>
      <c r="BJ60" s="112"/>
      <c r="BK60" s="112"/>
      <c r="BL60" s="112"/>
      <c r="BM60" s="112"/>
      <c r="BN60" s="112"/>
      <c r="BO60" s="112"/>
      <c r="BP60" s="112"/>
    </row>
    <row r="61" ht="12.0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  <c r="BO61" s="112"/>
      <c r="BP61" s="112"/>
    </row>
    <row r="62" ht="12.0" customHeight="1">
      <c r="A62" s="111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</row>
    <row r="63" ht="12.0" customHeight="1">
      <c r="A63" s="111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</row>
    <row r="64" ht="12.0" customHeight="1">
      <c r="A64" s="111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2"/>
      <c r="BM64" s="112"/>
      <c r="BN64" s="112"/>
      <c r="BO64" s="112"/>
      <c r="BP64" s="112"/>
    </row>
    <row r="65" ht="12.0" customHeight="1">
      <c r="A65" s="111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</row>
    <row r="66" ht="12.0" customHeight="1">
      <c r="A66" s="111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M66" s="112"/>
      <c r="BN66" s="112"/>
      <c r="BO66" s="112"/>
      <c r="BP66" s="112"/>
    </row>
    <row r="67" ht="12.0" customHeight="1">
      <c r="A67" s="111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</row>
    <row r="68" ht="12.0" customHeight="1">
      <c r="A68" s="111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</row>
    <row r="69" ht="12.0" customHeight="1">
      <c r="A69" s="111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</row>
    <row r="70" ht="12.0" customHeight="1">
      <c r="A70" s="111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</row>
    <row r="71" ht="12.0" customHeight="1">
      <c r="A71" s="111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</row>
    <row r="72" ht="12.0" customHeight="1">
      <c r="A72" s="111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2"/>
      <c r="BM72" s="112"/>
      <c r="BN72" s="112"/>
      <c r="BO72" s="112"/>
      <c r="BP72" s="112"/>
    </row>
    <row r="73" ht="12.0" customHeight="1">
      <c r="A73" s="111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2"/>
      <c r="BM73" s="112"/>
      <c r="BN73" s="112"/>
      <c r="BO73" s="112"/>
      <c r="BP73" s="112"/>
    </row>
    <row r="74" ht="12.0" customHeight="1">
      <c r="A74" s="111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2"/>
      <c r="BE74" s="112"/>
      <c r="BF74" s="112"/>
      <c r="BG74" s="112"/>
      <c r="BH74" s="112"/>
      <c r="BI74" s="112"/>
      <c r="BJ74" s="112"/>
      <c r="BK74" s="112"/>
      <c r="BL74" s="112"/>
      <c r="BM74" s="112"/>
      <c r="BN74" s="112"/>
      <c r="BO74" s="112"/>
      <c r="BP74" s="112"/>
    </row>
    <row r="75" ht="12.0" customHeight="1">
      <c r="A75" s="111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2"/>
      <c r="BE75" s="112"/>
      <c r="BF75" s="112"/>
      <c r="BG75" s="112"/>
      <c r="BH75" s="112"/>
      <c r="BI75" s="112"/>
      <c r="BJ75" s="112"/>
      <c r="BK75" s="112"/>
      <c r="BL75" s="112"/>
      <c r="BM75" s="112"/>
      <c r="BN75" s="112"/>
      <c r="BO75" s="112"/>
      <c r="BP75" s="112"/>
    </row>
    <row r="76" ht="12.0" customHeight="1">
      <c r="A76" s="111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/>
      <c r="BG76" s="112"/>
      <c r="BH76" s="112"/>
      <c r="BI76" s="112"/>
      <c r="BJ76" s="112"/>
      <c r="BK76" s="112"/>
      <c r="BL76" s="112"/>
      <c r="BM76" s="112"/>
      <c r="BN76" s="112"/>
      <c r="BO76" s="112"/>
      <c r="BP76" s="112"/>
    </row>
    <row r="77" ht="12.0" customHeight="1">
      <c r="A77" s="111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2"/>
      <c r="BE77" s="112"/>
      <c r="BF77" s="112"/>
      <c r="BG77" s="112"/>
      <c r="BH77" s="112"/>
      <c r="BI77" s="112"/>
      <c r="BJ77" s="112"/>
      <c r="BK77" s="112"/>
      <c r="BL77" s="112"/>
      <c r="BM77" s="112"/>
      <c r="BN77" s="112"/>
      <c r="BO77" s="112"/>
      <c r="BP77" s="112"/>
    </row>
    <row r="78" ht="12.0" customHeight="1">
      <c r="A78" s="111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  <c r="BE78" s="112"/>
      <c r="BF78" s="112"/>
      <c r="BG78" s="112"/>
      <c r="BH78" s="112"/>
      <c r="BI78" s="112"/>
      <c r="BJ78" s="112"/>
      <c r="BK78" s="112"/>
      <c r="BL78" s="112"/>
      <c r="BM78" s="112"/>
      <c r="BN78" s="112"/>
      <c r="BO78" s="112"/>
      <c r="BP78" s="112"/>
    </row>
    <row r="79" ht="12.0" customHeight="1">
      <c r="A79" s="111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2"/>
      <c r="BJ79" s="112"/>
      <c r="BK79" s="112"/>
      <c r="BL79" s="112"/>
      <c r="BM79" s="112"/>
      <c r="BN79" s="112"/>
      <c r="BO79" s="112"/>
      <c r="BP79" s="112"/>
    </row>
    <row r="80" ht="12.0" customHeight="1">
      <c r="A80" s="111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2"/>
      <c r="BJ80" s="112"/>
      <c r="BK80" s="112"/>
      <c r="BL80" s="112"/>
      <c r="BM80" s="112"/>
      <c r="BN80" s="112"/>
      <c r="BO80" s="112"/>
      <c r="BP80" s="112"/>
    </row>
    <row r="81" ht="12.0" customHeight="1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  <c r="BG81" s="112"/>
      <c r="BH81" s="112"/>
      <c r="BI81" s="112"/>
      <c r="BJ81" s="112"/>
      <c r="BK81" s="112"/>
      <c r="BL81" s="112"/>
      <c r="BM81" s="112"/>
      <c r="BN81" s="112"/>
      <c r="BO81" s="112"/>
      <c r="BP81" s="112"/>
    </row>
    <row r="82" ht="12.0" customHeight="1">
      <c r="A82" s="111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  <c r="BE82" s="112"/>
      <c r="BF82" s="112"/>
      <c r="BG82" s="112"/>
      <c r="BH82" s="112"/>
      <c r="BI82" s="112"/>
      <c r="BJ82" s="112"/>
      <c r="BK82" s="112"/>
      <c r="BL82" s="112"/>
      <c r="BM82" s="112"/>
      <c r="BN82" s="112"/>
      <c r="BO82" s="112"/>
      <c r="BP82" s="112"/>
    </row>
    <row r="83" ht="12.0" customHeight="1">
      <c r="A83" s="111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12"/>
      <c r="BI83" s="112"/>
      <c r="BJ83" s="112"/>
      <c r="BK83" s="112"/>
      <c r="BL83" s="112"/>
      <c r="BM83" s="112"/>
      <c r="BN83" s="112"/>
      <c r="BO83" s="112"/>
      <c r="BP83" s="112"/>
    </row>
    <row r="84" ht="12.0" customHeight="1">
      <c r="A84" s="111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/>
      <c r="BG84" s="112"/>
      <c r="BH84" s="112"/>
      <c r="BI84" s="112"/>
      <c r="BJ84" s="112"/>
      <c r="BK84" s="112"/>
      <c r="BL84" s="112"/>
      <c r="BM84" s="112"/>
      <c r="BN84" s="112"/>
      <c r="BO84" s="112"/>
      <c r="BP84" s="112"/>
    </row>
    <row r="85" ht="12.0" customHeight="1">
      <c r="A85" s="111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2"/>
      <c r="BJ85" s="112"/>
      <c r="BK85" s="112"/>
      <c r="BL85" s="112"/>
      <c r="BM85" s="112"/>
      <c r="BN85" s="112"/>
      <c r="BO85" s="112"/>
      <c r="BP85" s="112"/>
    </row>
    <row r="86" ht="12.0" customHeight="1">
      <c r="A86" s="111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2"/>
      <c r="BJ86" s="112"/>
      <c r="BK86" s="112"/>
      <c r="BL86" s="112"/>
      <c r="BM86" s="112"/>
      <c r="BN86" s="112"/>
      <c r="BO86" s="112"/>
      <c r="BP86" s="112"/>
    </row>
    <row r="87" ht="12.0" customHeight="1">
      <c r="A87" s="111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112"/>
      <c r="BK87" s="112"/>
      <c r="BL87" s="112"/>
      <c r="BM87" s="112"/>
      <c r="BN87" s="112"/>
      <c r="BO87" s="112"/>
      <c r="BP87" s="112"/>
    </row>
    <row r="88" ht="12.0" customHeight="1">
      <c r="A88" s="111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2"/>
      <c r="BE88" s="112"/>
      <c r="BF88" s="112"/>
      <c r="BG88" s="112"/>
      <c r="BH88" s="112"/>
      <c r="BI88" s="112"/>
      <c r="BJ88" s="112"/>
      <c r="BK88" s="112"/>
      <c r="BL88" s="112"/>
      <c r="BM88" s="112"/>
      <c r="BN88" s="112"/>
      <c r="BO88" s="112"/>
      <c r="BP88" s="112"/>
    </row>
    <row r="89" ht="12.0" customHeight="1">
      <c r="A89" s="111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2"/>
      <c r="BJ89" s="112"/>
      <c r="BK89" s="112"/>
      <c r="BL89" s="112"/>
      <c r="BM89" s="112"/>
      <c r="BN89" s="112"/>
      <c r="BO89" s="112"/>
      <c r="BP89" s="112"/>
    </row>
    <row r="90" ht="12.0" customHeight="1">
      <c r="A90" s="111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</row>
    <row r="91" ht="12.0" customHeight="1">
      <c r="A91" s="111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2"/>
      <c r="BJ91" s="112"/>
      <c r="BK91" s="112"/>
      <c r="BL91" s="112"/>
      <c r="BM91" s="112"/>
      <c r="BN91" s="112"/>
      <c r="BO91" s="112"/>
      <c r="BP91" s="112"/>
    </row>
    <row r="92" ht="12.0" customHeight="1">
      <c r="A92" s="111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</row>
    <row r="93" ht="12.0" customHeight="1">
      <c r="A93" s="111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</row>
    <row r="94" ht="12.0" customHeight="1">
      <c r="A94" s="111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</row>
    <row r="95" ht="12.0" customHeight="1">
      <c r="A95" s="111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  <c r="BO95" s="112"/>
      <c r="BP95" s="112"/>
    </row>
    <row r="96" ht="12.0" customHeight="1">
      <c r="A96" s="111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2"/>
      <c r="BJ96" s="112"/>
      <c r="BK96" s="112"/>
      <c r="BL96" s="112"/>
      <c r="BM96" s="112"/>
      <c r="BN96" s="112"/>
      <c r="BO96" s="112"/>
      <c r="BP96" s="112"/>
    </row>
    <row r="97" ht="12.0" customHeight="1">
      <c r="A97" s="111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2"/>
      <c r="BJ97" s="112"/>
      <c r="BK97" s="112"/>
      <c r="BL97" s="112"/>
      <c r="BM97" s="112"/>
      <c r="BN97" s="112"/>
      <c r="BO97" s="112"/>
      <c r="BP97" s="112"/>
    </row>
    <row r="98" ht="12.0" customHeight="1">
      <c r="A98" s="111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2"/>
      <c r="BJ98" s="112"/>
      <c r="BK98" s="112"/>
      <c r="BL98" s="112"/>
      <c r="BM98" s="112"/>
      <c r="BN98" s="112"/>
      <c r="BO98" s="112"/>
      <c r="BP98" s="112"/>
    </row>
    <row r="99" ht="12.0" customHeight="1">
      <c r="A99" s="111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</row>
    <row r="100" ht="12.0" customHeight="1">
      <c r="A100" s="111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</row>
    <row r="101" ht="12.0" customHeight="1">
      <c r="A101" s="111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</row>
    <row r="102" ht="12.0" customHeight="1">
      <c r="A102" s="111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</row>
    <row r="103" ht="12.0" customHeight="1">
      <c r="A103" s="111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</row>
    <row r="104" ht="12.0" customHeight="1">
      <c r="A104" s="111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</row>
    <row r="105" ht="12.0" customHeight="1">
      <c r="A105" s="111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</row>
    <row r="106" ht="12.0" customHeight="1">
      <c r="A106" s="111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</row>
    <row r="107" ht="12.0" customHeight="1">
      <c r="A107" s="111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</row>
    <row r="108" ht="12.0" customHeight="1">
      <c r="A108" s="111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</row>
    <row r="109" ht="12.0" customHeight="1">
      <c r="A109" s="111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</row>
    <row r="110" ht="12.0" customHeight="1">
      <c r="A110" s="111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2"/>
      <c r="BJ110" s="112"/>
      <c r="BK110" s="112"/>
      <c r="BL110" s="112"/>
      <c r="BM110" s="112"/>
      <c r="BN110" s="112"/>
      <c r="BO110" s="112"/>
      <c r="BP110" s="112"/>
    </row>
    <row r="111" ht="12.0" customHeight="1">
      <c r="A111" s="111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</row>
    <row r="112" ht="12.0" customHeight="1">
      <c r="A112" s="111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</row>
    <row r="113" ht="12.0" customHeight="1">
      <c r="A113" s="111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</row>
    <row r="114" ht="12.0" customHeight="1">
      <c r="A114" s="111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</row>
    <row r="115" ht="12.0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</row>
    <row r="116" ht="12.0" customHeight="1">
      <c r="A116" s="111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2"/>
      <c r="BJ116" s="112"/>
      <c r="BK116" s="112"/>
      <c r="BL116" s="112"/>
      <c r="BM116" s="112"/>
      <c r="BN116" s="112"/>
      <c r="BO116" s="112"/>
      <c r="BP116" s="112"/>
    </row>
    <row r="117" ht="12.0" customHeight="1">
      <c r="A117" s="111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  <c r="BP117" s="112"/>
    </row>
    <row r="118" ht="12.0" customHeight="1">
      <c r="A118" s="111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</row>
    <row r="119" ht="12.0" customHeight="1">
      <c r="A119" s="111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</row>
    <row r="120" ht="12.0" customHeight="1">
      <c r="A120" s="111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</row>
    <row r="121" ht="12.0" customHeight="1">
      <c r="A121" s="111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</row>
    <row r="122" ht="12.0" customHeight="1">
      <c r="A122" s="111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</row>
    <row r="123" ht="12.0" customHeight="1">
      <c r="A123" s="111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</row>
    <row r="124" ht="12.0" customHeight="1">
      <c r="A124" s="111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</row>
    <row r="125" ht="12.0" customHeight="1">
      <c r="A125" s="111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  <c r="BJ125" s="112"/>
      <c r="BK125" s="112"/>
      <c r="BL125" s="112"/>
      <c r="BM125" s="112"/>
      <c r="BN125" s="112"/>
      <c r="BO125" s="112"/>
      <c r="BP125" s="112"/>
    </row>
    <row r="126" ht="12.0" customHeight="1">
      <c r="A126" s="111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2"/>
      <c r="BI126" s="112"/>
      <c r="BJ126" s="112"/>
      <c r="BK126" s="112"/>
      <c r="BL126" s="112"/>
      <c r="BM126" s="112"/>
      <c r="BN126" s="112"/>
      <c r="BO126" s="112"/>
      <c r="BP126" s="112"/>
    </row>
    <row r="127" ht="12.0" customHeight="1">
      <c r="A127" s="111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  <c r="BM127" s="112"/>
      <c r="BN127" s="112"/>
      <c r="BO127" s="112"/>
      <c r="BP127" s="112"/>
    </row>
    <row r="128" ht="12.0" customHeight="1">
      <c r="A128" s="111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2"/>
      <c r="BJ128" s="112"/>
      <c r="BK128" s="112"/>
      <c r="BL128" s="112"/>
      <c r="BM128" s="112"/>
      <c r="BN128" s="112"/>
      <c r="BO128" s="112"/>
      <c r="BP128" s="112"/>
    </row>
    <row r="129" ht="12.0" customHeight="1">
      <c r="A129" s="111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  <c r="BJ129" s="112"/>
      <c r="BK129" s="112"/>
      <c r="BL129" s="112"/>
      <c r="BM129" s="112"/>
      <c r="BN129" s="112"/>
      <c r="BO129" s="112"/>
      <c r="BP129" s="112"/>
    </row>
    <row r="130" ht="12.0" customHeight="1">
      <c r="A130" s="111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112"/>
      <c r="BJ130" s="112"/>
      <c r="BK130" s="112"/>
      <c r="BL130" s="112"/>
      <c r="BM130" s="112"/>
      <c r="BN130" s="112"/>
      <c r="BO130" s="112"/>
      <c r="BP130" s="112"/>
    </row>
    <row r="131" ht="12.0" customHeight="1">
      <c r="A131" s="111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  <c r="BJ131" s="112"/>
      <c r="BK131" s="112"/>
      <c r="BL131" s="112"/>
      <c r="BM131" s="112"/>
      <c r="BN131" s="112"/>
      <c r="BO131" s="112"/>
      <c r="BP131" s="112"/>
    </row>
    <row r="132" ht="12.0" customHeight="1">
      <c r="A132" s="111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112"/>
      <c r="BJ132" s="112"/>
      <c r="BK132" s="112"/>
      <c r="BL132" s="112"/>
      <c r="BM132" s="112"/>
      <c r="BN132" s="112"/>
      <c r="BO132" s="112"/>
      <c r="BP132" s="112"/>
    </row>
    <row r="133" ht="12.0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112"/>
      <c r="BJ133" s="112"/>
      <c r="BK133" s="112"/>
      <c r="BL133" s="112"/>
      <c r="BM133" s="112"/>
      <c r="BN133" s="112"/>
      <c r="BO133" s="112"/>
      <c r="BP133" s="112"/>
    </row>
    <row r="134" ht="12.0" customHeight="1">
      <c r="A134" s="111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112"/>
      <c r="BJ134" s="112"/>
      <c r="BK134" s="112"/>
      <c r="BL134" s="112"/>
      <c r="BM134" s="112"/>
      <c r="BN134" s="112"/>
      <c r="BO134" s="112"/>
      <c r="BP134" s="112"/>
    </row>
    <row r="135" ht="12.0" customHeight="1">
      <c r="A135" s="111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  <c r="BJ135" s="112"/>
      <c r="BK135" s="112"/>
      <c r="BL135" s="112"/>
      <c r="BM135" s="112"/>
      <c r="BN135" s="112"/>
      <c r="BO135" s="112"/>
      <c r="BP135" s="112"/>
    </row>
    <row r="136" ht="12.0" customHeight="1">
      <c r="A136" s="111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2"/>
      <c r="BE136" s="112"/>
      <c r="BF136" s="112"/>
      <c r="BG136" s="112"/>
      <c r="BH136" s="112"/>
      <c r="BI136" s="112"/>
      <c r="BJ136" s="112"/>
      <c r="BK136" s="112"/>
      <c r="BL136" s="112"/>
      <c r="BM136" s="112"/>
      <c r="BN136" s="112"/>
      <c r="BO136" s="112"/>
      <c r="BP136" s="112"/>
    </row>
    <row r="137" ht="12.0" customHeight="1">
      <c r="A137" s="111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2"/>
      <c r="BI137" s="112"/>
      <c r="BJ137" s="112"/>
      <c r="BK137" s="112"/>
      <c r="BL137" s="112"/>
      <c r="BM137" s="112"/>
      <c r="BN137" s="112"/>
      <c r="BO137" s="112"/>
      <c r="BP137" s="112"/>
    </row>
    <row r="138" ht="12.0" customHeight="1">
      <c r="A138" s="111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2"/>
      <c r="BE138" s="112"/>
      <c r="BF138" s="112"/>
      <c r="BG138" s="112"/>
      <c r="BH138" s="112"/>
      <c r="BI138" s="112"/>
      <c r="BJ138" s="112"/>
      <c r="BK138" s="112"/>
      <c r="BL138" s="112"/>
      <c r="BM138" s="112"/>
      <c r="BN138" s="112"/>
      <c r="BO138" s="112"/>
      <c r="BP138" s="112"/>
    </row>
    <row r="139" ht="12.0" customHeight="1">
      <c r="A139" s="111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  <c r="BJ139" s="112"/>
      <c r="BK139" s="112"/>
      <c r="BL139" s="112"/>
      <c r="BM139" s="112"/>
      <c r="BN139" s="112"/>
      <c r="BO139" s="112"/>
      <c r="BP139" s="112"/>
    </row>
    <row r="140" ht="12.0" customHeight="1">
      <c r="A140" s="111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2"/>
      <c r="BE140" s="112"/>
      <c r="BF140" s="112"/>
      <c r="BG140" s="112"/>
      <c r="BH140" s="112"/>
      <c r="BI140" s="112"/>
      <c r="BJ140" s="112"/>
      <c r="BK140" s="112"/>
      <c r="BL140" s="112"/>
      <c r="BM140" s="112"/>
      <c r="BN140" s="112"/>
      <c r="BO140" s="112"/>
      <c r="BP140" s="112"/>
    </row>
    <row r="141" ht="12.0" customHeight="1">
      <c r="A141" s="111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  <c r="BG141" s="112"/>
      <c r="BH141" s="112"/>
      <c r="BI141" s="112"/>
      <c r="BJ141" s="112"/>
      <c r="BK141" s="112"/>
      <c r="BL141" s="112"/>
      <c r="BM141" s="112"/>
      <c r="BN141" s="112"/>
      <c r="BO141" s="112"/>
      <c r="BP141" s="112"/>
    </row>
    <row r="142" ht="12.0" customHeight="1">
      <c r="A142" s="111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  <c r="BG142" s="112"/>
      <c r="BH142" s="112"/>
      <c r="BI142" s="112"/>
      <c r="BJ142" s="112"/>
      <c r="BK142" s="112"/>
      <c r="BL142" s="112"/>
      <c r="BM142" s="112"/>
      <c r="BN142" s="112"/>
      <c r="BO142" s="112"/>
      <c r="BP142" s="112"/>
    </row>
    <row r="143" ht="12.0" customHeight="1">
      <c r="A143" s="111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2"/>
      <c r="BI143" s="112"/>
      <c r="BJ143" s="112"/>
      <c r="BK143" s="112"/>
      <c r="BL143" s="112"/>
      <c r="BM143" s="112"/>
      <c r="BN143" s="112"/>
      <c r="BO143" s="112"/>
      <c r="BP143" s="112"/>
    </row>
    <row r="144" ht="12.0" customHeight="1">
      <c r="A144" s="111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2"/>
      <c r="BG144" s="112"/>
      <c r="BH144" s="112"/>
      <c r="BI144" s="112"/>
      <c r="BJ144" s="112"/>
      <c r="BK144" s="112"/>
      <c r="BL144" s="112"/>
      <c r="BM144" s="112"/>
      <c r="BN144" s="112"/>
      <c r="BO144" s="112"/>
      <c r="BP144" s="112"/>
    </row>
    <row r="145" ht="12.0" customHeight="1">
      <c r="A145" s="111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2"/>
      <c r="BG145" s="112"/>
      <c r="BH145" s="112"/>
      <c r="BI145" s="112"/>
      <c r="BJ145" s="112"/>
      <c r="BK145" s="112"/>
      <c r="BL145" s="112"/>
      <c r="BM145" s="112"/>
      <c r="BN145" s="112"/>
      <c r="BO145" s="112"/>
      <c r="BP145" s="112"/>
    </row>
    <row r="146" ht="12.0" customHeight="1">
      <c r="A146" s="111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2"/>
      <c r="BG146" s="112"/>
      <c r="BH146" s="112"/>
      <c r="BI146" s="112"/>
      <c r="BJ146" s="112"/>
      <c r="BK146" s="112"/>
      <c r="BL146" s="112"/>
      <c r="BM146" s="112"/>
      <c r="BN146" s="112"/>
      <c r="BO146" s="112"/>
      <c r="BP146" s="112"/>
    </row>
    <row r="147" ht="12.0" customHeight="1">
      <c r="A147" s="111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2"/>
      <c r="BE147" s="112"/>
      <c r="BF147" s="112"/>
      <c r="BG147" s="112"/>
      <c r="BH147" s="112"/>
      <c r="BI147" s="112"/>
      <c r="BJ147" s="112"/>
      <c r="BK147" s="112"/>
      <c r="BL147" s="112"/>
      <c r="BM147" s="112"/>
      <c r="BN147" s="112"/>
      <c r="BO147" s="112"/>
      <c r="BP147" s="112"/>
    </row>
    <row r="148" ht="12.0" customHeight="1">
      <c r="A148" s="111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2"/>
      <c r="BG148" s="112"/>
      <c r="BH148" s="112"/>
      <c r="BI148" s="112"/>
      <c r="BJ148" s="112"/>
      <c r="BK148" s="112"/>
      <c r="BL148" s="112"/>
      <c r="BM148" s="112"/>
      <c r="BN148" s="112"/>
      <c r="BO148" s="112"/>
      <c r="BP148" s="112"/>
    </row>
    <row r="149" ht="12.0" customHeight="1">
      <c r="A149" s="111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2"/>
      <c r="BI149" s="112"/>
      <c r="BJ149" s="112"/>
      <c r="BK149" s="112"/>
      <c r="BL149" s="112"/>
      <c r="BM149" s="112"/>
      <c r="BN149" s="112"/>
      <c r="BO149" s="112"/>
      <c r="BP149" s="112"/>
    </row>
    <row r="150" ht="12.0" customHeight="1">
      <c r="A150" s="111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2"/>
      <c r="BE150" s="112"/>
      <c r="BF150" s="112"/>
      <c r="BG150" s="112"/>
      <c r="BH150" s="112"/>
      <c r="BI150" s="112"/>
      <c r="BJ150" s="112"/>
      <c r="BK150" s="112"/>
      <c r="BL150" s="112"/>
      <c r="BM150" s="112"/>
      <c r="BN150" s="112"/>
      <c r="BO150" s="112"/>
      <c r="BP150" s="112"/>
    </row>
    <row r="151" ht="12.0" customHeight="1">
      <c r="A151" s="111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2"/>
      <c r="BE151" s="112"/>
      <c r="BF151" s="112"/>
      <c r="BG151" s="112"/>
      <c r="BH151" s="112"/>
      <c r="BI151" s="112"/>
      <c r="BJ151" s="112"/>
      <c r="BK151" s="112"/>
      <c r="BL151" s="112"/>
      <c r="BM151" s="112"/>
      <c r="BN151" s="112"/>
      <c r="BO151" s="112"/>
      <c r="BP151" s="112"/>
    </row>
    <row r="152" ht="12.0" customHeight="1">
      <c r="A152" s="111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2"/>
      <c r="BE152" s="112"/>
      <c r="BF152" s="112"/>
      <c r="BG152" s="112"/>
      <c r="BH152" s="112"/>
      <c r="BI152" s="112"/>
      <c r="BJ152" s="112"/>
      <c r="BK152" s="112"/>
      <c r="BL152" s="112"/>
      <c r="BM152" s="112"/>
      <c r="BN152" s="112"/>
      <c r="BO152" s="112"/>
      <c r="BP152" s="112"/>
    </row>
    <row r="153" ht="12.0" customHeight="1">
      <c r="A153" s="111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2"/>
      <c r="BE153" s="112"/>
      <c r="BF153" s="112"/>
      <c r="BG153" s="112"/>
      <c r="BH153" s="112"/>
      <c r="BI153" s="112"/>
      <c r="BJ153" s="112"/>
      <c r="BK153" s="112"/>
      <c r="BL153" s="112"/>
      <c r="BM153" s="112"/>
      <c r="BN153" s="112"/>
      <c r="BO153" s="112"/>
      <c r="BP153" s="112"/>
    </row>
    <row r="154" ht="12.0" customHeight="1">
      <c r="A154" s="111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2"/>
      <c r="BE154" s="112"/>
      <c r="BF154" s="112"/>
      <c r="BG154" s="112"/>
      <c r="BH154" s="112"/>
      <c r="BI154" s="112"/>
      <c r="BJ154" s="112"/>
      <c r="BK154" s="112"/>
      <c r="BL154" s="112"/>
      <c r="BM154" s="112"/>
      <c r="BN154" s="112"/>
      <c r="BO154" s="112"/>
      <c r="BP154" s="112"/>
    </row>
    <row r="155" ht="12.0" customHeight="1">
      <c r="A155" s="111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2"/>
      <c r="BE155" s="112"/>
      <c r="BF155" s="112"/>
      <c r="BG155" s="112"/>
      <c r="BH155" s="112"/>
      <c r="BI155" s="112"/>
      <c r="BJ155" s="112"/>
      <c r="BK155" s="112"/>
      <c r="BL155" s="112"/>
      <c r="BM155" s="112"/>
      <c r="BN155" s="112"/>
      <c r="BO155" s="112"/>
      <c r="BP155" s="112"/>
    </row>
    <row r="156" ht="12.0" customHeight="1">
      <c r="A156" s="111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2"/>
      <c r="BE156" s="112"/>
      <c r="BF156" s="112"/>
      <c r="BG156" s="112"/>
      <c r="BH156" s="112"/>
      <c r="BI156" s="112"/>
      <c r="BJ156" s="112"/>
      <c r="BK156" s="112"/>
      <c r="BL156" s="112"/>
      <c r="BM156" s="112"/>
      <c r="BN156" s="112"/>
      <c r="BO156" s="112"/>
      <c r="BP156" s="112"/>
    </row>
    <row r="157" ht="12.0" customHeight="1">
      <c r="A157" s="111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2"/>
      <c r="BG157" s="112"/>
      <c r="BH157" s="112"/>
      <c r="BI157" s="112"/>
      <c r="BJ157" s="112"/>
      <c r="BK157" s="112"/>
      <c r="BL157" s="112"/>
      <c r="BM157" s="112"/>
      <c r="BN157" s="112"/>
      <c r="BO157" s="112"/>
      <c r="BP157" s="112"/>
    </row>
    <row r="158" ht="12.0" customHeight="1">
      <c r="A158" s="111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  <c r="BG158" s="112"/>
      <c r="BH158" s="112"/>
      <c r="BI158" s="112"/>
      <c r="BJ158" s="112"/>
      <c r="BK158" s="112"/>
      <c r="BL158" s="112"/>
      <c r="BM158" s="112"/>
      <c r="BN158" s="112"/>
      <c r="BO158" s="112"/>
      <c r="BP158" s="112"/>
    </row>
    <row r="159" ht="12.0" customHeight="1">
      <c r="A159" s="111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  <c r="BE159" s="112"/>
      <c r="BF159" s="112"/>
      <c r="BG159" s="112"/>
      <c r="BH159" s="112"/>
      <c r="BI159" s="112"/>
      <c r="BJ159" s="112"/>
      <c r="BK159" s="112"/>
      <c r="BL159" s="112"/>
      <c r="BM159" s="112"/>
      <c r="BN159" s="112"/>
      <c r="BO159" s="112"/>
      <c r="BP159" s="112"/>
    </row>
    <row r="160" ht="12.0" customHeight="1">
      <c r="A160" s="111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2"/>
      <c r="BE160" s="112"/>
      <c r="BF160" s="112"/>
      <c r="BG160" s="112"/>
      <c r="BH160" s="112"/>
      <c r="BI160" s="112"/>
      <c r="BJ160" s="112"/>
      <c r="BK160" s="112"/>
      <c r="BL160" s="112"/>
      <c r="BM160" s="112"/>
      <c r="BN160" s="112"/>
      <c r="BO160" s="112"/>
      <c r="BP160" s="112"/>
    </row>
    <row r="161" ht="12.0" customHeight="1">
      <c r="A161" s="111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2"/>
      <c r="BG161" s="112"/>
      <c r="BH161" s="112"/>
      <c r="BI161" s="112"/>
      <c r="BJ161" s="112"/>
      <c r="BK161" s="112"/>
      <c r="BL161" s="112"/>
      <c r="BM161" s="112"/>
      <c r="BN161" s="112"/>
      <c r="BO161" s="112"/>
      <c r="BP161" s="112"/>
    </row>
    <row r="162" ht="12.0" customHeight="1">
      <c r="A162" s="111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2"/>
      <c r="BG162" s="112"/>
      <c r="BH162" s="112"/>
      <c r="BI162" s="112"/>
      <c r="BJ162" s="112"/>
      <c r="BK162" s="112"/>
      <c r="BL162" s="112"/>
      <c r="BM162" s="112"/>
      <c r="BN162" s="112"/>
      <c r="BO162" s="112"/>
      <c r="BP162" s="112"/>
    </row>
    <row r="163" ht="12.0" customHeight="1">
      <c r="A163" s="111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  <c r="BG163" s="112"/>
      <c r="BH163" s="112"/>
      <c r="BI163" s="112"/>
      <c r="BJ163" s="112"/>
      <c r="BK163" s="112"/>
      <c r="BL163" s="112"/>
      <c r="BM163" s="112"/>
      <c r="BN163" s="112"/>
      <c r="BO163" s="112"/>
      <c r="BP163" s="112"/>
    </row>
    <row r="164" ht="12.0" customHeight="1">
      <c r="A164" s="111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2"/>
      <c r="BE164" s="112"/>
      <c r="BF164" s="112"/>
      <c r="BG164" s="112"/>
      <c r="BH164" s="112"/>
      <c r="BI164" s="112"/>
      <c r="BJ164" s="112"/>
      <c r="BK164" s="112"/>
      <c r="BL164" s="112"/>
      <c r="BM164" s="112"/>
      <c r="BN164" s="112"/>
      <c r="BO164" s="112"/>
      <c r="BP164" s="112"/>
    </row>
    <row r="165" ht="12.0" customHeight="1">
      <c r="A165" s="111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2"/>
      <c r="BG165" s="112"/>
      <c r="BH165" s="112"/>
      <c r="BI165" s="112"/>
      <c r="BJ165" s="112"/>
      <c r="BK165" s="112"/>
      <c r="BL165" s="112"/>
      <c r="BM165" s="112"/>
      <c r="BN165" s="112"/>
      <c r="BO165" s="112"/>
      <c r="BP165" s="112"/>
    </row>
    <row r="166" ht="12.0" customHeight="1">
      <c r="A166" s="111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2"/>
      <c r="BG166" s="112"/>
      <c r="BH166" s="112"/>
      <c r="BI166" s="112"/>
      <c r="BJ166" s="112"/>
      <c r="BK166" s="112"/>
      <c r="BL166" s="112"/>
      <c r="BM166" s="112"/>
      <c r="BN166" s="112"/>
      <c r="BO166" s="112"/>
      <c r="BP166" s="112"/>
    </row>
    <row r="167" ht="12.0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2"/>
      <c r="BI167" s="112"/>
      <c r="BJ167" s="112"/>
      <c r="BK167" s="112"/>
      <c r="BL167" s="112"/>
      <c r="BM167" s="112"/>
      <c r="BN167" s="112"/>
      <c r="BO167" s="112"/>
      <c r="BP167" s="112"/>
    </row>
    <row r="168" ht="12.0" customHeight="1">
      <c r="A168" s="111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2"/>
      <c r="BI168" s="112"/>
      <c r="BJ168" s="112"/>
      <c r="BK168" s="112"/>
      <c r="BL168" s="112"/>
      <c r="BM168" s="112"/>
      <c r="BN168" s="112"/>
      <c r="BO168" s="112"/>
      <c r="BP168" s="112"/>
    </row>
    <row r="169" ht="12.0" customHeight="1">
      <c r="A169" s="111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2"/>
      <c r="BI169" s="112"/>
      <c r="BJ169" s="112"/>
      <c r="BK169" s="112"/>
      <c r="BL169" s="112"/>
      <c r="BM169" s="112"/>
      <c r="BN169" s="112"/>
      <c r="BO169" s="112"/>
      <c r="BP169" s="112"/>
    </row>
    <row r="170" ht="12.0" customHeight="1">
      <c r="A170" s="111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2"/>
      <c r="BE170" s="112"/>
      <c r="BF170" s="112"/>
      <c r="BG170" s="112"/>
      <c r="BH170" s="112"/>
      <c r="BI170" s="112"/>
      <c r="BJ170" s="112"/>
      <c r="BK170" s="112"/>
      <c r="BL170" s="112"/>
      <c r="BM170" s="112"/>
      <c r="BN170" s="112"/>
      <c r="BO170" s="112"/>
      <c r="BP170" s="112"/>
    </row>
    <row r="171" ht="12.0" customHeight="1">
      <c r="A171" s="111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2"/>
      <c r="BJ171" s="112"/>
      <c r="BK171" s="112"/>
      <c r="BL171" s="112"/>
      <c r="BM171" s="112"/>
      <c r="BN171" s="112"/>
      <c r="BO171" s="112"/>
      <c r="BP171" s="112"/>
    </row>
    <row r="172" ht="12.0" customHeight="1">
      <c r="A172" s="111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2"/>
      <c r="BE172" s="112"/>
      <c r="BF172" s="112"/>
      <c r="BG172" s="112"/>
      <c r="BH172" s="112"/>
      <c r="BI172" s="112"/>
      <c r="BJ172" s="112"/>
      <c r="BK172" s="112"/>
      <c r="BL172" s="112"/>
      <c r="BM172" s="112"/>
      <c r="BN172" s="112"/>
      <c r="BO172" s="112"/>
      <c r="BP172" s="112"/>
    </row>
    <row r="173" ht="12.0" customHeight="1">
      <c r="A173" s="111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2"/>
      <c r="BI173" s="112"/>
      <c r="BJ173" s="112"/>
      <c r="BK173" s="112"/>
      <c r="BL173" s="112"/>
      <c r="BM173" s="112"/>
      <c r="BN173" s="112"/>
      <c r="BO173" s="112"/>
      <c r="BP173" s="112"/>
    </row>
    <row r="174" ht="12.0" customHeight="1">
      <c r="A174" s="111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2"/>
      <c r="BE174" s="112"/>
      <c r="BF174" s="112"/>
      <c r="BG174" s="112"/>
      <c r="BH174" s="112"/>
      <c r="BI174" s="112"/>
      <c r="BJ174" s="112"/>
      <c r="BK174" s="112"/>
      <c r="BL174" s="112"/>
      <c r="BM174" s="112"/>
      <c r="BN174" s="112"/>
      <c r="BO174" s="112"/>
      <c r="BP174" s="112"/>
    </row>
    <row r="175" ht="12.0" customHeight="1">
      <c r="A175" s="111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2"/>
      <c r="BI175" s="112"/>
      <c r="BJ175" s="112"/>
      <c r="BK175" s="112"/>
      <c r="BL175" s="112"/>
      <c r="BM175" s="112"/>
      <c r="BN175" s="112"/>
      <c r="BO175" s="112"/>
      <c r="BP175" s="112"/>
    </row>
    <row r="176" ht="12.0" customHeight="1">
      <c r="A176" s="111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2"/>
      <c r="BE176" s="112"/>
      <c r="BF176" s="112"/>
      <c r="BG176" s="112"/>
      <c r="BH176" s="112"/>
      <c r="BI176" s="112"/>
      <c r="BJ176" s="112"/>
      <c r="BK176" s="112"/>
      <c r="BL176" s="112"/>
      <c r="BM176" s="112"/>
      <c r="BN176" s="112"/>
      <c r="BO176" s="112"/>
      <c r="BP176" s="112"/>
    </row>
    <row r="177" ht="12.0" customHeight="1">
      <c r="A177" s="111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  <c r="BE177" s="112"/>
      <c r="BF177" s="112"/>
      <c r="BG177" s="112"/>
      <c r="BH177" s="112"/>
      <c r="BI177" s="112"/>
      <c r="BJ177" s="112"/>
      <c r="BK177" s="112"/>
      <c r="BL177" s="112"/>
      <c r="BM177" s="112"/>
      <c r="BN177" s="112"/>
      <c r="BO177" s="112"/>
      <c r="BP177" s="112"/>
    </row>
    <row r="178" ht="12.0" customHeight="1">
      <c r="A178" s="111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2"/>
      <c r="BE178" s="112"/>
      <c r="BF178" s="112"/>
      <c r="BG178" s="112"/>
      <c r="BH178" s="112"/>
      <c r="BI178" s="112"/>
      <c r="BJ178" s="112"/>
      <c r="BK178" s="112"/>
      <c r="BL178" s="112"/>
      <c r="BM178" s="112"/>
      <c r="BN178" s="112"/>
      <c r="BO178" s="112"/>
      <c r="BP178" s="112"/>
    </row>
    <row r="179" ht="12.0" customHeight="1">
      <c r="A179" s="111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  <c r="BE179" s="112"/>
      <c r="BF179" s="112"/>
      <c r="BG179" s="112"/>
      <c r="BH179" s="112"/>
      <c r="BI179" s="112"/>
      <c r="BJ179" s="112"/>
      <c r="BK179" s="112"/>
      <c r="BL179" s="112"/>
      <c r="BM179" s="112"/>
      <c r="BN179" s="112"/>
      <c r="BO179" s="112"/>
      <c r="BP179" s="112"/>
    </row>
    <row r="180" ht="12.0" customHeight="1">
      <c r="A180" s="111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  <c r="BF180" s="112"/>
      <c r="BG180" s="112"/>
      <c r="BH180" s="112"/>
      <c r="BI180" s="112"/>
      <c r="BJ180" s="112"/>
      <c r="BK180" s="112"/>
      <c r="BL180" s="112"/>
      <c r="BM180" s="112"/>
      <c r="BN180" s="112"/>
      <c r="BO180" s="112"/>
      <c r="BP180" s="112"/>
    </row>
    <row r="181" ht="12.0" customHeight="1">
      <c r="A181" s="111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  <c r="BE181" s="112"/>
      <c r="BF181" s="112"/>
      <c r="BG181" s="112"/>
      <c r="BH181" s="112"/>
      <c r="BI181" s="112"/>
      <c r="BJ181" s="112"/>
      <c r="BK181" s="112"/>
      <c r="BL181" s="112"/>
      <c r="BM181" s="112"/>
      <c r="BN181" s="112"/>
      <c r="BO181" s="112"/>
      <c r="BP181" s="112"/>
    </row>
    <row r="182" ht="12.0" customHeight="1">
      <c r="A182" s="111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</row>
    <row r="183" ht="12.0" customHeight="1">
      <c r="A183" s="111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  <c r="BE183" s="112"/>
      <c r="BF183" s="112"/>
      <c r="BG183" s="112"/>
      <c r="BH183" s="112"/>
      <c r="BI183" s="112"/>
      <c r="BJ183" s="112"/>
      <c r="BK183" s="112"/>
      <c r="BL183" s="112"/>
      <c r="BM183" s="112"/>
      <c r="BN183" s="112"/>
      <c r="BO183" s="112"/>
      <c r="BP183" s="112"/>
    </row>
    <row r="184" ht="12.0" customHeight="1">
      <c r="A184" s="111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  <c r="BE184" s="112"/>
      <c r="BF184" s="112"/>
      <c r="BG184" s="112"/>
      <c r="BH184" s="112"/>
      <c r="BI184" s="112"/>
      <c r="BJ184" s="112"/>
      <c r="BK184" s="112"/>
      <c r="BL184" s="112"/>
      <c r="BM184" s="112"/>
      <c r="BN184" s="112"/>
      <c r="BO184" s="112"/>
      <c r="BP184" s="112"/>
    </row>
    <row r="185" ht="12.0" customHeight="1">
      <c r="A185" s="111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2"/>
      <c r="BE185" s="112"/>
      <c r="BF185" s="112"/>
      <c r="BG185" s="112"/>
      <c r="BH185" s="112"/>
      <c r="BI185" s="112"/>
      <c r="BJ185" s="112"/>
      <c r="BK185" s="112"/>
      <c r="BL185" s="112"/>
      <c r="BM185" s="112"/>
      <c r="BN185" s="112"/>
      <c r="BO185" s="112"/>
      <c r="BP185" s="112"/>
    </row>
    <row r="186" ht="12.0" customHeight="1">
      <c r="A186" s="111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2"/>
      <c r="BE186" s="112"/>
      <c r="BF186" s="112"/>
      <c r="BG186" s="112"/>
      <c r="BH186" s="112"/>
      <c r="BI186" s="112"/>
      <c r="BJ186" s="112"/>
      <c r="BK186" s="112"/>
      <c r="BL186" s="112"/>
      <c r="BM186" s="112"/>
      <c r="BN186" s="112"/>
      <c r="BO186" s="112"/>
      <c r="BP186" s="112"/>
    </row>
    <row r="187" ht="12.0" customHeight="1">
      <c r="A187" s="111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2"/>
      <c r="BE187" s="112"/>
      <c r="BF187" s="112"/>
      <c r="BG187" s="112"/>
      <c r="BH187" s="112"/>
      <c r="BI187" s="112"/>
      <c r="BJ187" s="112"/>
      <c r="BK187" s="112"/>
      <c r="BL187" s="112"/>
      <c r="BM187" s="112"/>
      <c r="BN187" s="112"/>
      <c r="BO187" s="112"/>
      <c r="BP187" s="112"/>
    </row>
    <row r="188" ht="12.0" customHeight="1">
      <c r="A188" s="111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2"/>
      <c r="BE188" s="112"/>
      <c r="BF188" s="112"/>
      <c r="BG188" s="112"/>
      <c r="BH188" s="112"/>
      <c r="BI188" s="112"/>
      <c r="BJ188" s="112"/>
      <c r="BK188" s="112"/>
      <c r="BL188" s="112"/>
      <c r="BM188" s="112"/>
      <c r="BN188" s="112"/>
      <c r="BO188" s="112"/>
      <c r="BP188" s="112"/>
    </row>
    <row r="189" ht="12.0" customHeight="1">
      <c r="A189" s="111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  <c r="BM189" s="112"/>
      <c r="BN189" s="112"/>
      <c r="BO189" s="112"/>
      <c r="BP189" s="112"/>
    </row>
    <row r="190" ht="12.0" customHeight="1">
      <c r="A190" s="111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2"/>
      <c r="BI190" s="112"/>
      <c r="BJ190" s="112"/>
      <c r="BK190" s="112"/>
      <c r="BL190" s="112"/>
      <c r="BM190" s="112"/>
      <c r="BN190" s="112"/>
      <c r="BO190" s="112"/>
      <c r="BP190" s="112"/>
    </row>
    <row r="191" ht="12.0" customHeight="1">
      <c r="A191" s="111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2"/>
      <c r="BE191" s="112"/>
      <c r="BF191" s="112"/>
      <c r="BG191" s="112"/>
      <c r="BH191" s="112"/>
      <c r="BI191" s="112"/>
      <c r="BJ191" s="112"/>
      <c r="BK191" s="112"/>
      <c r="BL191" s="112"/>
      <c r="BM191" s="112"/>
      <c r="BN191" s="112"/>
      <c r="BO191" s="112"/>
      <c r="BP191" s="112"/>
    </row>
    <row r="192" ht="12.0" customHeight="1">
      <c r="A192" s="111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2"/>
      <c r="BI192" s="112"/>
      <c r="BJ192" s="112"/>
      <c r="BK192" s="112"/>
      <c r="BL192" s="112"/>
      <c r="BM192" s="112"/>
      <c r="BN192" s="112"/>
      <c r="BO192" s="112"/>
      <c r="BP192" s="112"/>
    </row>
    <row r="193" ht="12.0" customHeight="1">
      <c r="A193" s="111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2"/>
      <c r="BE193" s="112"/>
      <c r="BF193" s="112"/>
      <c r="BG193" s="112"/>
      <c r="BH193" s="112"/>
      <c r="BI193" s="112"/>
      <c r="BJ193" s="112"/>
      <c r="BK193" s="112"/>
      <c r="BL193" s="112"/>
      <c r="BM193" s="112"/>
      <c r="BN193" s="112"/>
      <c r="BO193" s="112"/>
      <c r="BP193" s="112"/>
    </row>
    <row r="194" ht="12.0" customHeight="1">
      <c r="A194" s="111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2"/>
      <c r="BG194" s="112"/>
      <c r="BH194" s="112"/>
      <c r="BI194" s="112"/>
      <c r="BJ194" s="112"/>
      <c r="BK194" s="112"/>
      <c r="BL194" s="112"/>
      <c r="BM194" s="112"/>
      <c r="BN194" s="112"/>
      <c r="BO194" s="112"/>
      <c r="BP194" s="112"/>
    </row>
    <row r="195" ht="12.0" customHeight="1">
      <c r="A195" s="111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2"/>
      <c r="BI195" s="112"/>
      <c r="BJ195" s="112"/>
      <c r="BK195" s="112"/>
      <c r="BL195" s="112"/>
      <c r="BM195" s="112"/>
      <c r="BN195" s="112"/>
      <c r="BO195" s="112"/>
      <c r="BP195" s="112"/>
    </row>
    <row r="196" ht="12.0" customHeight="1">
      <c r="A196" s="111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2"/>
      <c r="BG196" s="112"/>
      <c r="BH196" s="112"/>
      <c r="BI196" s="112"/>
      <c r="BJ196" s="112"/>
      <c r="BK196" s="112"/>
      <c r="BL196" s="112"/>
      <c r="BM196" s="112"/>
      <c r="BN196" s="112"/>
      <c r="BO196" s="112"/>
      <c r="BP196" s="112"/>
    </row>
    <row r="197" ht="12.0" customHeight="1">
      <c r="A197" s="111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2"/>
      <c r="BE197" s="112"/>
      <c r="BF197" s="112"/>
      <c r="BG197" s="112"/>
      <c r="BH197" s="112"/>
      <c r="BI197" s="112"/>
      <c r="BJ197" s="112"/>
      <c r="BK197" s="112"/>
      <c r="BL197" s="112"/>
      <c r="BM197" s="112"/>
      <c r="BN197" s="112"/>
      <c r="BO197" s="112"/>
      <c r="BP197" s="112"/>
    </row>
    <row r="198" ht="12.0" customHeight="1">
      <c r="A198" s="111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2"/>
      <c r="BI198" s="112"/>
      <c r="BJ198" s="112"/>
      <c r="BK198" s="112"/>
      <c r="BL198" s="112"/>
      <c r="BM198" s="112"/>
      <c r="BN198" s="112"/>
      <c r="BO198" s="112"/>
      <c r="BP198" s="112"/>
    </row>
    <row r="199" ht="12.0" customHeight="1">
      <c r="A199" s="111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2"/>
      <c r="BE199" s="112"/>
      <c r="BF199" s="112"/>
      <c r="BG199" s="112"/>
      <c r="BH199" s="112"/>
      <c r="BI199" s="112"/>
      <c r="BJ199" s="112"/>
      <c r="BK199" s="112"/>
      <c r="BL199" s="112"/>
      <c r="BM199" s="112"/>
      <c r="BN199" s="112"/>
      <c r="BO199" s="112"/>
      <c r="BP199" s="112"/>
    </row>
    <row r="200" ht="12.0" customHeight="1">
      <c r="A200" s="111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  <c r="BE200" s="112"/>
      <c r="BF200" s="112"/>
      <c r="BG200" s="112"/>
      <c r="BH200" s="112"/>
      <c r="BI200" s="112"/>
      <c r="BJ200" s="112"/>
      <c r="BK200" s="112"/>
      <c r="BL200" s="112"/>
      <c r="BM200" s="112"/>
      <c r="BN200" s="112"/>
      <c r="BO200" s="112"/>
      <c r="BP200" s="112"/>
    </row>
    <row r="201" ht="12.0" customHeight="1">
      <c r="A201" s="111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2"/>
      <c r="BE201" s="112"/>
      <c r="BF201" s="112"/>
      <c r="BG201" s="112"/>
      <c r="BH201" s="112"/>
      <c r="BI201" s="112"/>
      <c r="BJ201" s="112"/>
      <c r="BK201" s="112"/>
      <c r="BL201" s="112"/>
      <c r="BM201" s="112"/>
      <c r="BN201" s="112"/>
      <c r="BO201" s="112"/>
      <c r="BP201" s="112"/>
    </row>
    <row r="202" ht="12.0" customHeight="1">
      <c r="A202" s="111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  <c r="BE202" s="112"/>
      <c r="BF202" s="112"/>
      <c r="BG202" s="112"/>
      <c r="BH202" s="112"/>
      <c r="BI202" s="112"/>
      <c r="BJ202" s="112"/>
      <c r="BK202" s="112"/>
      <c r="BL202" s="112"/>
      <c r="BM202" s="112"/>
      <c r="BN202" s="112"/>
      <c r="BO202" s="112"/>
      <c r="BP202" s="112"/>
    </row>
    <row r="203" ht="12.0" customHeight="1">
      <c r="A203" s="111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2"/>
      <c r="BI203" s="112"/>
      <c r="BJ203" s="112"/>
      <c r="BK203" s="112"/>
      <c r="BL203" s="112"/>
      <c r="BM203" s="112"/>
      <c r="BN203" s="112"/>
      <c r="BO203" s="112"/>
      <c r="BP203" s="112"/>
    </row>
    <row r="204" ht="12.0" customHeight="1">
      <c r="A204" s="111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2"/>
      <c r="BG204" s="112"/>
      <c r="BH204" s="112"/>
      <c r="BI204" s="112"/>
      <c r="BJ204" s="112"/>
      <c r="BK204" s="112"/>
      <c r="BL204" s="112"/>
      <c r="BM204" s="112"/>
      <c r="BN204" s="112"/>
      <c r="BO204" s="112"/>
      <c r="BP204" s="112"/>
    </row>
    <row r="205" ht="12.0" customHeight="1">
      <c r="A205" s="111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2"/>
      <c r="BJ205" s="112"/>
      <c r="BK205" s="112"/>
      <c r="BL205" s="112"/>
      <c r="BM205" s="112"/>
      <c r="BN205" s="112"/>
      <c r="BO205" s="112"/>
      <c r="BP205" s="112"/>
    </row>
    <row r="206" ht="12.0" customHeight="1">
      <c r="A206" s="111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2"/>
      <c r="BG206" s="112"/>
      <c r="BH206" s="112"/>
      <c r="BI206" s="112"/>
      <c r="BJ206" s="112"/>
      <c r="BK206" s="112"/>
      <c r="BL206" s="112"/>
      <c r="BM206" s="112"/>
      <c r="BN206" s="112"/>
      <c r="BO206" s="112"/>
      <c r="BP206" s="112"/>
    </row>
    <row r="207" ht="12.0" customHeight="1">
      <c r="A207" s="111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2"/>
      <c r="BE207" s="112"/>
      <c r="BF207" s="112"/>
      <c r="BG207" s="112"/>
      <c r="BH207" s="112"/>
      <c r="BI207" s="112"/>
      <c r="BJ207" s="112"/>
      <c r="BK207" s="112"/>
      <c r="BL207" s="112"/>
      <c r="BM207" s="112"/>
      <c r="BN207" s="112"/>
      <c r="BO207" s="112"/>
      <c r="BP207" s="112"/>
    </row>
    <row r="208" ht="12.0" customHeight="1">
      <c r="A208" s="111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  <c r="BE208" s="112"/>
      <c r="BF208" s="112"/>
      <c r="BG208" s="112"/>
      <c r="BH208" s="112"/>
      <c r="BI208" s="112"/>
      <c r="BJ208" s="112"/>
      <c r="BK208" s="112"/>
      <c r="BL208" s="112"/>
      <c r="BM208" s="112"/>
      <c r="BN208" s="112"/>
      <c r="BO208" s="112"/>
      <c r="BP208" s="112"/>
    </row>
    <row r="209" ht="12.0" customHeight="1">
      <c r="A209" s="111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2"/>
      <c r="BG209" s="112"/>
      <c r="BH209" s="112"/>
      <c r="BI209" s="112"/>
      <c r="BJ209" s="112"/>
      <c r="BK209" s="112"/>
      <c r="BL209" s="112"/>
      <c r="BM209" s="112"/>
      <c r="BN209" s="112"/>
      <c r="BO209" s="112"/>
      <c r="BP209" s="112"/>
    </row>
    <row r="210" ht="12.0" customHeight="1">
      <c r="A210" s="111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2"/>
      <c r="BG210" s="112"/>
      <c r="BH210" s="112"/>
      <c r="BI210" s="112"/>
      <c r="BJ210" s="112"/>
      <c r="BK210" s="112"/>
      <c r="BL210" s="112"/>
      <c r="BM210" s="112"/>
      <c r="BN210" s="112"/>
      <c r="BO210" s="112"/>
      <c r="BP210" s="112"/>
    </row>
    <row r="211" ht="12.0" customHeight="1">
      <c r="A211" s="111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2"/>
      <c r="BG211" s="112"/>
      <c r="BH211" s="112"/>
      <c r="BI211" s="112"/>
      <c r="BJ211" s="112"/>
      <c r="BK211" s="112"/>
      <c r="BL211" s="112"/>
      <c r="BM211" s="112"/>
      <c r="BN211" s="112"/>
      <c r="BO211" s="112"/>
      <c r="BP211" s="112"/>
    </row>
    <row r="212" ht="12.0" customHeight="1">
      <c r="A212" s="111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  <c r="BE212" s="112"/>
      <c r="BF212" s="112"/>
      <c r="BG212" s="112"/>
      <c r="BH212" s="112"/>
      <c r="BI212" s="112"/>
      <c r="BJ212" s="112"/>
      <c r="BK212" s="112"/>
      <c r="BL212" s="112"/>
      <c r="BM212" s="112"/>
      <c r="BN212" s="112"/>
      <c r="BO212" s="112"/>
      <c r="BP212" s="112"/>
    </row>
    <row r="213" ht="12.0" customHeight="1">
      <c r="A213" s="111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2"/>
      <c r="BE213" s="112"/>
      <c r="BF213" s="112"/>
      <c r="BG213" s="112"/>
      <c r="BH213" s="112"/>
      <c r="BI213" s="112"/>
      <c r="BJ213" s="112"/>
      <c r="BK213" s="112"/>
      <c r="BL213" s="112"/>
      <c r="BM213" s="112"/>
      <c r="BN213" s="112"/>
      <c r="BO213" s="112"/>
      <c r="BP213" s="112"/>
    </row>
    <row r="214" ht="12.0" customHeight="1">
      <c r="A214" s="111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2"/>
      <c r="BE214" s="112"/>
      <c r="BF214" s="112"/>
      <c r="BG214" s="112"/>
      <c r="BH214" s="112"/>
      <c r="BI214" s="112"/>
      <c r="BJ214" s="112"/>
      <c r="BK214" s="112"/>
      <c r="BL214" s="112"/>
      <c r="BM214" s="112"/>
      <c r="BN214" s="112"/>
      <c r="BO214" s="112"/>
      <c r="BP214" s="112"/>
    </row>
    <row r="215" ht="12.0" customHeight="1">
      <c r="A215" s="111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2"/>
      <c r="BE215" s="112"/>
      <c r="BF215" s="112"/>
      <c r="BG215" s="112"/>
      <c r="BH215" s="112"/>
      <c r="BI215" s="112"/>
      <c r="BJ215" s="112"/>
      <c r="BK215" s="112"/>
      <c r="BL215" s="112"/>
      <c r="BM215" s="112"/>
      <c r="BN215" s="112"/>
      <c r="BO215" s="112"/>
      <c r="BP215" s="112"/>
    </row>
    <row r="216" ht="12.0" customHeight="1">
      <c r="A216" s="111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2"/>
      <c r="BE216" s="112"/>
      <c r="BF216" s="112"/>
      <c r="BG216" s="112"/>
      <c r="BH216" s="112"/>
      <c r="BI216" s="112"/>
      <c r="BJ216" s="112"/>
      <c r="BK216" s="112"/>
      <c r="BL216" s="112"/>
      <c r="BM216" s="112"/>
      <c r="BN216" s="112"/>
      <c r="BO216" s="112"/>
      <c r="BP216" s="112"/>
    </row>
    <row r="217" ht="12.0" customHeight="1">
      <c r="A217" s="111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2"/>
      <c r="BE217" s="112"/>
      <c r="BF217" s="112"/>
      <c r="BG217" s="112"/>
      <c r="BH217" s="112"/>
      <c r="BI217" s="112"/>
      <c r="BJ217" s="112"/>
      <c r="BK217" s="112"/>
      <c r="BL217" s="112"/>
      <c r="BM217" s="112"/>
      <c r="BN217" s="112"/>
      <c r="BO217" s="112"/>
      <c r="BP217" s="112"/>
    </row>
    <row r="218" ht="12.0" customHeight="1">
      <c r="A218" s="111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2"/>
      <c r="BF218" s="112"/>
      <c r="BG218" s="112"/>
      <c r="BH218" s="112"/>
      <c r="BI218" s="112"/>
      <c r="BJ218" s="112"/>
      <c r="BK218" s="112"/>
      <c r="BL218" s="112"/>
      <c r="BM218" s="112"/>
      <c r="BN218" s="112"/>
      <c r="BO218" s="112"/>
      <c r="BP218" s="112"/>
    </row>
    <row r="219" ht="12.0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2"/>
      <c r="BE219" s="112"/>
      <c r="BF219" s="112"/>
      <c r="BG219" s="112"/>
      <c r="BH219" s="112"/>
      <c r="BI219" s="112"/>
      <c r="BJ219" s="112"/>
      <c r="BK219" s="112"/>
      <c r="BL219" s="112"/>
      <c r="BM219" s="112"/>
      <c r="BN219" s="112"/>
      <c r="BO219" s="112"/>
      <c r="BP219" s="112"/>
    </row>
    <row r="220" ht="12.0" customHeight="1">
      <c r="A220" s="111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2"/>
      <c r="BE220" s="112"/>
      <c r="BF220" s="112"/>
      <c r="BG220" s="112"/>
      <c r="BH220" s="112"/>
      <c r="BI220" s="112"/>
      <c r="BJ220" s="112"/>
      <c r="BK220" s="112"/>
      <c r="BL220" s="112"/>
      <c r="BM220" s="112"/>
      <c r="BN220" s="112"/>
      <c r="BO220" s="112"/>
      <c r="BP220" s="112"/>
    </row>
    <row r="221" ht="12.0" customHeight="1">
      <c r="A221" s="111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2"/>
      <c r="BG221" s="112"/>
      <c r="BH221" s="112"/>
      <c r="BI221" s="112"/>
      <c r="BJ221" s="112"/>
      <c r="BK221" s="112"/>
      <c r="BL221" s="112"/>
      <c r="BM221" s="112"/>
      <c r="BN221" s="112"/>
      <c r="BO221" s="112"/>
      <c r="BP221" s="112"/>
    </row>
    <row r="222" ht="12.0" customHeight="1">
      <c r="A222" s="111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2"/>
      <c r="BG222" s="112"/>
      <c r="BH222" s="112"/>
      <c r="BI222" s="112"/>
      <c r="BJ222" s="112"/>
      <c r="BK222" s="112"/>
      <c r="BL222" s="112"/>
      <c r="BM222" s="112"/>
      <c r="BN222" s="112"/>
      <c r="BO222" s="112"/>
      <c r="BP222" s="112"/>
    </row>
    <row r="223" ht="12.0" customHeight="1">
      <c r="A223" s="111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2"/>
      <c r="BI223" s="112"/>
      <c r="BJ223" s="112"/>
      <c r="BK223" s="112"/>
      <c r="BL223" s="112"/>
      <c r="BM223" s="112"/>
      <c r="BN223" s="112"/>
      <c r="BO223" s="112"/>
      <c r="BP223" s="112"/>
    </row>
    <row r="224" ht="12.0" customHeight="1">
      <c r="A224" s="111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2"/>
      <c r="BG224" s="112"/>
      <c r="BH224" s="112"/>
      <c r="BI224" s="112"/>
      <c r="BJ224" s="112"/>
      <c r="BK224" s="112"/>
      <c r="BL224" s="112"/>
      <c r="BM224" s="112"/>
      <c r="BN224" s="112"/>
      <c r="BO224" s="112"/>
      <c r="BP224" s="112"/>
    </row>
    <row r="225" ht="12.0" customHeight="1">
      <c r="A225" s="111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2"/>
      <c r="BG225" s="112"/>
      <c r="BH225" s="112"/>
      <c r="BI225" s="112"/>
      <c r="BJ225" s="112"/>
      <c r="BK225" s="112"/>
      <c r="BL225" s="112"/>
      <c r="BM225" s="112"/>
      <c r="BN225" s="112"/>
      <c r="BO225" s="112"/>
      <c r="BP225" s="112"/>
    </row>
    <row r="226" ht="12.0" customHeight="1">
      <c r="A226" s="111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2"/>
      <c r="BG226" s="112"/>
      <c r="BH226" s="112"/>
      <c r="BI226" s="112"/>
      <c r="BJ226" s="112"/>
      <c r="BK226" s="112"/>
      <c r="BL226" s="112"/>
      <c r="BM226" s="112"/>
      <c r="BN226" s="112"/>
      <c r="BO226" s="112"/>
      <c r="BP226" s="112"/>
    </row>
    <row r="227" ht="12.0" customHeight="1">
      <c r="A227" s="111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2"/>
      <c r="BI227" s="112"/>
      <c r="BJ227" s="112"/>
      <c r="BK227" s="112"/>
      <c r="BL227" s="112"/>
      <c r="BM227" s="112"/>
      <c r="BN227" s="112"/>
      <c r="BO227" s="112"/>
      <c r="BP227" s="112"/>
    </row>
    <row r="228" ht="12.0" customHeight="1">
      <c r="A228" s="111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2"/>
      <c r="BG228" s="112"/>
      <c r="BH228" s="112"/>
      <c r="BI228" s="112"/>
      <c r="BJ228" s="112"/>
      <c r="BK228" s="112"/>
      <c r="BL228" s="112"/>
      <c r="BM228" s="112"/>
      <c r="BN228" s="112"/>
      <c r="BO228" s="112"/>
      <c r="BP228" s="112"/>
    </row>
    <row r="229" ht="12.0" customHeight="1">
      <c r="A229" s="111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2"/>
      <c r="BG229" s="112"/>
      <c r="BH229" s="112"/>
      <c r="BI229" s="112"/>
      <c r="BJ229" s="112"/>
      <c r="BK229" s="112"/>
      <c r="BL229" s="112"/>
      <c r="BM229" s="112"/>
      <c r="BN229" s="112"/>
      <c r="BO229" s="112"/>
      <c r="BP229" s="112"/>
    </row>
    <row r="230" ht="12.0" customHeight="1">
      <c r="A230" s="111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2"/>
      <c r="BG230" s="112"/>
      <c r="BH230" s="112"/>
      <c r="BI230" s="112"/>
      <c r="BJ230" s="112"/>
      <c r="BK230" s="112"/>
      <c r="BL230" s="112"/>
      <c r="BM230" s="112"/>
      <c r="BN230" s="112"/>
      <c r="BO230" s="112"/>
      <c r="BP230" s="112"/>
    </row>
    <row r="231" ht="12.0" customHeight="1">
      <c r="A231" s="111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2"/>
      <c r="BE231" s="112"/>
      <c r="BF231" s="112"/>
      <c r="BG231" s="112"/>
      <c r="BH231" s="112"/>
      <c r="BI231" s="112"/>
      <c r="BJ231" s="112"/>
      <c r="BK231" s="112"/>
      <c r="BL231" s="112"/>
      <c r="BM231" s="112"/>
      <c r="BN231" s="112"/>
      <c r="BO231" s="112"/>
      <c r="BP231" s="112"/>
    </row>
    <row r="232" ht="12.0" customHeight="1">
      <c r="A232" s="111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2"/>
      <c r="BG232" s="112"/>
      <c r="BH232" s="112"/>
      <c r="BI232" s="112"/>
      <c r="BJ232" s="112"/>
      <c r="BK232" s="112"/>
      <c r="BL232" s="112"/>
      <c r="BM232" s="112"/>
      <c r="BN232" s="112"/>
      <c r="BO232" s="112"/>
      <c r="BP232" s="112"/>
    </row>
    <row r="233" ht="12.0" customHeight="1">
      <c r="A233" s="111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2"/>
      <c r="BE233" s="112"/>
      <c r="BF233" s="112"/>
      <c r="BG233" s="112"/>
      <c r="BH233" s="112"/>
      <c r="BI233" s="112"/>
      <c r="BJ233" s="112"/>
      <c r="BK233" s="112"/>
      <c r="BL233" s="112"/>
      <c r="BM233" s="112"/>
      <c r="BN233" s="112"/>
      <c r="BO233" s="112"/>
      <c r="BP233" s="112"/>
    </row>
    <row r="234" ht="12.0" customHeight="1">
      <c r="A234" s="111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2"/>
      <c r="BE234" s="112"/>
      <c r="BF234" s="112"/>
      <c r="BG234" s="112"/>
      <c r="BH234" s="112"/>
      <c r="BI234" s="112"/>
      <c r="BJ234" s="112"/>
      <c r="BK234" s="112"/>
      <c r="BL234" s="112"/>
      <c r="BM234" s="112"/>
      <c r="BN234" s="112"/>
      <c r="BO234" s="112"/>
      <c r="BP234" s="112"/>
    </row>
    <row r="235" ht="12.0" customHeight="1">
      <c r="A235" s="111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2"/>
      <c r="BG235" s="112"/>
      <c r="BH235" s="112"/>
      <c r="BI235" s="112"/>
      <c r="BJ235" s="112"/>
      <c r="BK235" s="112"/>
      <c r="BL235" s="112"/>
      <c r="BM235" s="112"/>
      <c r="BN235" s="112"/>
      <c r="BO235" s="112"/>
      <c r="BP235" s="112"/>
    </row>
    <row r="236" ht="12.0" customHeight="1">
      <c r="A236" s="111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2"/>
      <c r="BE236" s="112"/>
      <c r="BF236" s="112"/>
      <c r="BG236" s="112"/>
      <c r="BH236" s="112"/>
      <c r="BI236" s="112"/>
      <c r="BJ236" s="112"/>
      <c r="BK236" s="112"/>
      <c r="BL236" s="112"/>
      <c r="BM236" s="112"/>
      <c r="BN236" s="112"/>
      <c r="BO236" s="112"/>
      <c r="BP236" s="112"/>
    </row>
    <row r="237" ht="12.0" customHeight="1">
      <c r="A237" s="111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2"/>
      <c r="BE237" s="112"/>
      <c r="BF237" s="112"/>
      <c r="BG237" s="112"/>
      <c r="BH237" s="112"/>
      <c r="BI237" s="112"/>
      <c r="BJ237" s="112"/>
      <c r="BK237" s="112"/>
      <c r="BL237" s="112"/>
      <c r="BM237" s="112"/>
      <c r="BN237" s="112"/>
      <c r="BO237" s="112"/>
      <c r="BP237" s="112"/>
    </row>
    <row r="238" ht="12.0" customHeight="1">
      <c r="A238" s="111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2"/>
      <c r="BE238" s="112"/>
      <c r="BF238" s="112"/>
      <c r="BG238" s="112"/>
      <c r="BH238" s="112"/>
      <c r="BI238" s="112"/>
      <c r="BJ238" s="112"/>
      <c r="BK238" s="112"/>
      <c r="BL238" s="112"/>
      <c r="BM238" s="112"/>
      <c r="BN238" s="112"/>
      <c r="BO238" s="112"/>
      <c r="BP238" s="112"/>
    </row>
    <row r="239" ht="12.0" customHeight="1">
      <c r="A239" s="111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2"/>
      <c r="BE239" s="112"/>
      <c r="BF239" s="112"/>
      <c r="BG239" s="112"/>
      <c r="BH239" s="112"/>
      <c r="BI239" s="112"/>
      <c r="BJ239" s="112"/>
      <c r="BK239" s="112"/>
      <c r="BL239" s="112"/>
      <c r="BM239" s="112"/>
      <c r="BN239" s="112"/>
      <c r="BO239" s="112"/>
      <c r="BP239" s="112"/>
    </row>
    <row r="240" ht="12.0" customHeight="1">
      <c r="A240" s="111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2"/>
      <c r="BG240" s="112"/>
      <c r="BH240" s="112"/>
      <c r="BI240" s="112"/>
      <c r="BJ240" s="112"/>
      <c r="BK240" s="112"/>
      <c r="BL240" s="112"/>
      <c r="BM240" s="112"/>
      <c r="BN240" s="112"/>
      <c r="BO240" s="112"/>
      <c r="BP240" s="112"/>
    </row>
    <row r="241" ht="12.0" customHeight="1">
      <c r="A241" s="111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2"/>
      <c r="BI241" s="112"/>
      <c r="BJ241" s="112"/>
      <c r="BK241" s="112"/>
      <c r="BL241" s="112"/>
      <c r="BM241" s="112"/>
      <c r="BN241" s="112"/>
      <c r="BO241" s="112"/>
      <c r="BP241" s="112"/>
    </row>
    <row r="242" ht="12.0" customHeight="1">
      <c r="A242" s="111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2"/>
      <c r="BE242" s="112"/>
      <c r="BF242" s="112"/>
      <c r="BG242" s="112"/>
      <c r="BH242" s="112"/>
      <c r="BI242" s="112"/>
      <c r="BJ242" s="112"/>
      <c r="BK242" s="112"/>
      <c r="BL242" s="112"/>
      <c r="BM242" s="112"/>
      <c r="BN242" s="112"/>
      <c r="BO242" s="112"/>
      <c r="BP242" s="112"/>
    </row>
    <row r="243" ht="12.0" customHeight="1">
      <c r="A243" s="111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2"/>
      <c r="BI243" s="112"/>
      <c r="BJ243" s="112"/>
      <c r="BK243" s="112"/>
      <c r="BL243" s="112"/>
      <c r="BM243" s="112"/>
      <c r="BN243" s="112"/>
      <c r="BO243" s="112"/>
      <c r="BP243" s="112"/>
    </row>
    <row r="244" ht="12.0" customHeight="1">
      <c r="A244" s="111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2"/>
      <c r="BF244" s="112"/>
      <c r="BG244" s="112"/>
      <c r="BH244" s="112"/>
      <c r="BI244" s="112"/>
      <c r="BJ244" s="112"/>
      <c r="BK244" s="112"/>
      <c r="BL244" s="112"/>
      <c r="BM244" s="112"/>
      <c r="BN244" s="112"/>
      <c r="BO244" s="112"/>
      <c r="BP244" s="112"/>
    </row>
    <row r="245" ht="12.0" customHeight="1">
      <c r="A245" s="111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2"/>
      <c r="BF245" s="112"/>
      <c r="BG245" s="112"/>
      <c r="BH245" s="112"/>
      <c r="BI245" s="112"/>
      <c r="BJ245" s="112"/>
      <c r="BK245" s="112"/>
      <c r="BL245" s="112"/>
      <c r="BM245" s="112"/>
      <c r="BN245" s="112"/>
      <c r="BO245" s="112"/>
      <c r="BP245" s="112"/>
    </row>
    <row r="246" ht="12.0" customHeight="1">
      <c r="A246" s="111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2"/>
      <c r="BG246" s="112"/>
      <c r="BH246" s="112"/>
      <c r="BI246" s="112"/>
      <c r="BJ246" s="112"/>
      <c r="BK246" s="112"/>
      <c r="BL246" s="112"/>
      <c r="BM246" s="112"/>
      <c r="BN246" s="112"/>
      <c r="BO246" s="112"/>
      <c r="BP246" s="112"/>
    </row>
    <row r="247" ht="12.0" customHeight="1">
      <c r="A247" s="111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2"/>
      <c r="BG247" s="112"/>
      <c r="BH247" s="112"/>
      <c r="BI247" s="112"/>
      <c r="BJ247" s="112"/>
      <c r="BK247" s="112"/>
      <c r="BL247" s="112"/>
      <c r="BM247" s="112"/>
      <c r="BN247" s="112"/>
      <c r="BO247" s="112"/>
      <c r="BP247" s="112"/>
    </row>
    <row r="248" ht="12.0" customHeight="1">
      <c r="A248" s="111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2"/>
      <c r="BG248" s="112"/>
      <c r="BH248" s="112"/>
      <c r="BI248" s="112"/>
      <c r="BJ248" s="112"/>
      <c r="BK248" s="112"/>
      <c r="BL248" s="112"/>
      <c r="BM248" s="112"/>
      <c r="BN248" s="112"/>
      <c r="BO248" s="112"/>
      <c r="BP248" s="112"/>
    </row>
    <row r="249" ht="12.0" customHeight="1">
      <c r="A249" s="111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  <c r="BE249" s="112"/>
      <c r="BF249" s="112"/>
      <c r="BG249" s="112"/>
      <c r="BH249" s="112"/>
      <c r="BI249" s="112"/>
      <c r="BJ249" s="112"/>
      <c r="BK249" s="112"/>
      <c r="BL249" s="112"/>
      <c r="BM249" s="112"/>
      <c r="BN249" s="112"/>
      <c r="BO249" s="112"/>
      <c r="BP249" s="112"/>
    </row>
    <row r="250" ht="12.0" customHeight="1">
      <c r="A250" s="111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2"/>
      <c r="BE250" s="112"/>
      <c r="BF250" s="112"/>
      <c r="BG250" s="112"/>
      <c r="BH250" s="112"/>
      <c r="BI250" s="112"/>
      <c r="BJ250" s="112"/>
      <c r="BK250" s="112"/>
      <c r="BL250" s="112"/>
      <c r="BM250" s="112"/>
      <c r="BN250" s="112"/>
      <c r="BO250" s="112"/>
      <c r="BP250" s="112"/>
    </row>
    <row r="251" ht="12.0" customHeight="1">
      <c r="A251" s="111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2"/>
      <c r="BF251" s="112"/>
      <c r="BG251" s="112"/>
      <c r="BH251" s="112"/>
      <c r="BI251" s="112"/>
      <c r="BJ251" s="112"/>
      <c r="BK251" s="112"/>
      <c r="BL251" s="112"/>
      <c r="BM251" s="112"/>
      <c r="BN251" s="112"/>
      <c r="BO251" s="112"/>
      <c r="BP251" s="112"/>
    </row>
    <row r="252" ht="12.0" customHeight="1">
      <c r="A252" s="111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2"/>
      <c r="BE252" s="112"/>
      <c r="BF252" s="112"/>
      <c r="BG252" s="112"/>
      <c r="BH252" s="112"/>
      <c r="BI252" s="112"/>
      <c r="BJ252" s="112"/>
      <c r="BK252" s="112"/>
      <c r="BL252" s="112"/>
      <c r="BM252" s="112"/>
      <c r="BN252" s="112"/>
      <c r="BO252" s="112"/>
      <c r="BP252" s="112"/>
    </row>
    <row r="253" ht="12.0" customHeight="1">
      <c r="A253" s="111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2"/>
      <c r="BF253" s="112"/>
      <c r="BG253" s="112"/>
      <c r="BH253" s="112"/>
      <c r="BI253" s="112"/>
      <c r="BJ253" s="112"/>
      <c r="BK253" s="112"/>
      <c r="BL253" s="112"/>
      <c r="BM253" s="112"/>
      <c r="BN253" s="112"/>
      <c r="BO253" s="112"/>
      <c r="BP253" s="112"/>
    </row>
    <row r="254" ht="12.0" customHeight="1">
      <c r="A254" s="111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2"/>
      <c r="BE254" s="112"/>
      <c r="BF254" s="112"/>
      <c r="BG254" s="112"/>
      <c r="BH254" s="112"/>
      <c r="BI254" s="112"/>
      <c r="BJ254" s="112"/>
      <c r="BK254" s="112"/>
      <c r="BL254" s="112"/>
      <c r="BM254" s="112"/>
      <c r="BN254" s="112"/>
      <c r="BO254" s="112"/>
      <c r="BP254" s="112"/>
    </row>
    <row r="255" ht="12.0" customHeight="1">
      <c r="A255" s="111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112"/>
      <c r="BJ255" s="112"/>
      <c r="BK255" s="112"/>
      <c r="BL255" s="112"/>
      <c r="BM255" s="112"/>
      <c r="BN255" s="112"/>
      <c r="BO255" s="112"/>
      <c r="BP255" s="112"/>
    </row>
    <row r="256" ht="12.0" customHeight="1">
      <c r="A256" s="111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112"/>
      <c r="BJ256" s="112"/>
      <c r="BK256" s="112"/>
      <c r="BL256" s="112"/>
      <c r="BM256" s="112"/>
      <c r="BN256" s="112"/>
      <c r="BO256" s="112"/>
      <c r="BP256" s="112"/>
    </row>
    <row r="257" ht="12.0" customHeight="1">
      <c r="A257" s="111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112"/>
      <c r="BJ257" s="112"/>
      <c r="BK257" s="112"/>
      <c r="BL257" s="112"/>
      <c r="BM257" s="112"/>
      <c r="BN257" s="112"/>
      <c r="BO257" s="112"/>
      <c r="BP257" s="112"/>
    </row>
    <row r="258" ht="12.0" customHeight="1">
      <c r="A258" s="111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112"/>
      <c r="BJ258" s="112"/>
      <c r="BK258" s="112"/>
      <c r="BL258" s="112"/>
      <c r="BM258" s="112"/>
      <c r="BN258" s="112"/>
      <c r="BO258" s="112"/>
      <c r="BP258" s="112"/>
    </row>
    <row r="259" ht="12.0" customHeight="1">
      <c r="A259" s="111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112"/>
      <c r="BJ259" s="112"/>
      <c r="BK259" s="112"/>
      <c r="BL259" s="112"/>
      <c r="BM259" s="112"/>
      <c r="BN259" s="112"/>
      <c r="BO259" s="112"/>
      <c r="BP259" s="112"/>
    </row>
    <row r="260" ht="12.0" customHeight="1">
      <c r="A260" s="111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112"/>
      <c r="BJ260" s="112"/>
      <c r="BK260" s="112"/>
      <c r="BL260" s="112"/>
      <c r="BM260" s="112"/>
      <c r="BN260" s="112"/>
      <c r="BO260" s="112"/>
      <c r="BP260" s="112"/>
    </row>
    <row r="261" ht="12.0" customHeight="1">
      <c r="A261" s="111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112"/>
      <c r="BJ261" s="112"/>
      <c r="BK261" s="112"/>
      <c r="BL261" s="112"/>
      <c r="BM261" s="112"/>
      <c r="BN261" s="112"/>
      <c r="BO261" s="112"/>
      <c r="BP261" s="112"/>
    </row>
    <row r="262" ht="12.0" customHeight="1">
      <c r="A262" s="111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112"/>
      <c r="BJ262" s="112"/>
      <c r="BK262" s="112"/>
      <c r="BL262" s="112"/>
      <c r="BM262" s="112"/>
      <c r="BN262" s="112"/>
      <c r="BO262" s="112"/>
      <c r="BP262" s="112"/>
    </row>
    <row r="263" ht="12.0" customHeight="1">
      <c r="A263" s="111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112"/>
      <c r="BJ263" s="112"/>
      <c r="BK263" s="112"/>
      <c r="BL263" s="112"/>
      <c r="BM263" s="112"/>
      <c r="BN263" s="112"/>
      <c r="BO263" s="112"/>
      <c r="BP263" s="112"/>
    </row>
    <row r="264" ht="12.0" customHeight="1">
      <c r="A264" s="111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112"/>
      <c r="BJ264" s="112"/>
      <c r="BK264" s="112"/>
      <c r="BL264" s="112"/>
      <c r="BM264" s="112"/>
      <c r="BN264" s="112"/>
      <c r="BO264" s="112"/>
      <c r="BP264" s="112"/>
    </row>
    <row r="265" ht="12.0" customHeight="1">
      <c r="A265" s="111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</row>
    <row r="266" ht="12.0" customHeight="1">
      <c r="A266" s="111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</row>
    <row r="267" ht="12.0" customHeight="1">
      <c r="A267" s="111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</row>
    <row r="268" ht="12.0" customHeight="1">
      <c r="A268" s="111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</row>
    <row r="269" ht="12.0" customHeight="1">
      <c r="A269" s="111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</row>
    <row r="270" ht="12.0" customHeight="1">
      <c r="A270" s="111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</row>
    <row r="271" ht="12.0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</row>
    <row r="272" ht="12.0" customHeight="1">
      <c r="A272" s="111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</row>
    <row r="273" ht="12.0" customHeight="1">
      <c r="A273" s="111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</row>
    <row r="274" ht="12.0" customHeight="1">
      <c r="A274" s="111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</row>
    <row r="275" ht="12.0" customHeight="1">
      <c r="A275" s="111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</row>
    <row r="276" ht="12.0" customHeight="1">
      <c r="A276" s="111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</row>
    <row r="277" ht="12.0" customHeight="1">
      <c r="A277" s="111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</row>
    <row r="278" ht="12.0" customHeight="1">
      <c r="A278" s="111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</row>
    <row r="279" ht="12.0" customHeight="1">
      <c r="A279" s="111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</row>
    <row r="280" ht="12.0" customHeight="1">
      <c r="A280" s="111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</row>
    <row r="281" ht="12.0" customHeight="1">
      <c r="A281" s="111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</row>
    <row r="282" ht="12.0" customHeight="1">
      <c r="A282" s="111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</row>
    <row r="283" ht="12.0" customHeight="1">
      <c r="A283" s="111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</row>
    <row r="284" ht="12.0" customHeight="1">
      <c r="A284" s="111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</row>
    <row r="285" ht="12.0" customHeight="1">
      <c r="A285" s="111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</row>
    <row r="286" ht="12.0" customHeight="1">
      <c r="A286" s="111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</row>
    <row r="287" ht="12.0" customHeight="1">
      <c r="A287" s="111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</row>
    <row r="288" ht="12.0" customHeight="1">
      <c r="A288" s="111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</row>
    <row r="289" ht="12.0" customHeight="1">
      <c r="A289" s="111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</row>
    <row r="290" ht="12.0" customHeight="1">
      <c r="A290" s="111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</row>
    <row r="291" ht="12.0" customHeight="1">
      <c r="A291" s="111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</row>
    <row r="292" ht="12.0" customHeight="1">
      <c r="A292" s="111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</row>
    <row r="293" ht="12.0" customHeight="1">
      <c r="A293" s="111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</row>
    <row r="294" ht="12.0" customHeight="1">
      <c r="A294" s="111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</row>
    <row r="295" ht="12.0" customHeight="1">
      <c r="A295" s="111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</row>
    <row r="296" ht="12.0" customHeight="1">
      <c r="A296" s="111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</row>
    <row r="297" ht="12.0" customHeight="1">
      <c r="A297" s="111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</row>
    <row r="298" ht="12.0" customHeight="1">
      <c r="A298" s="111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</row>
    <row r="299" ht="12.0" customHeight="1">
      <c r="A299" s="111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</row>
    <row r="300" ht="12.0" customHeight="1">
      <c r="A300" s="111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</row>
    <row r="301" ht="12.0" customHeight="1">
      <c r="A301" s="111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</row>
    <row r="302" ht="12.0" customHeight="1">
      <c r="A302" s="111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</row>
    <row r="303" ht="12.0" customHeight="1">
      <c r="A303" s="111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</row>
    <row r="304" ht="12.0" customHeight="1">
      <c r="A304" s="111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</row>
    <row r="305" ht="12.0" customHeight="1">
      <c r="A305" s="111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</row>
    <row r="306" ht="12.0" customHeight="1">
      <c r="A306" s="111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</row>
    <row r="307" ht="12.0" customHeight="1">
      <c r="A307" s="111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</row>
    <row r="308" ht="12.0" customHeight="1">
      <c r="A308" s="111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</row>
    <row r="309" ht="12.0" customHeight="1">
      <c r="A309" s="111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</row>
    <row r="310" ht="12.0" customHeight="1">
      <c r="A310" s="111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</row>
    <row r="311" ht="12.0" customHeight="1">
      <c r="A311" s="111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</row>
    <row r="312" ht="12.0" customHeight="1">
      <c r="A312" s="111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</row>
    <row r="313" ht="12.0" customHeight="1">
      <c r="A313" s="111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</row>
    <row r="314" ht="12.0" customHeight="1">
      <c r="A314" s="111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</row>
    <row r="315" ht="12.0" customHeight="1">
      <c r="A315" s="111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</row>
    <row r="316" ht="12.0" customHeight="1">
      <c r="A316" s="111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</row>
    <row r="317" ht="12.0" customHeight="1">
      <c r="A317" s="111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</row>
    <row r="318" ht="12.0" customHeight="1">
      <c r="A318" s="111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</row>
    <row r="319" ht="12.0" customHeight="1">
      <c r="A319" s="111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</row>
    <row r="320" ht="12.0" customHeight="1">
      <c r="A320" s="111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</row>
    <row r="321" ht="12.0" customHeight="1">
      <c r="A321" s="111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</row>
    <row r="322" ht="12.0" customHeight="1">
      <c r="A322" s="111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</row>
    <row r="323" ht="12.0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</row>
    <row r="324" ht="12.0" customHeight="1">
      <c r="A324" s="111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</row>
    <row r="325" ht="12.0" customHeight="1">
      <c r="A325" s="111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</row>
    <row r="326" ht="12.0" customHeight="1">
      <c r="A326" s="111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</row>
    <row r="327" ht="12.0" customHeight="1">
      <c r="A327" s="111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</row>
    <row r="328" ht="12.0" customHeight="1">
      <c r="A328" s="111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</row>
    <row r="329" ht="12.0" customHeight="1">
      <c r="A329" s="111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</row>
    <row r="330" ht="12.0" customHeight="1">
      <c r="A330" s="111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</row>
    <row r="331" ht="12.0" customHeight="1">
      <c r="A331" s="111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</row>
    <row r="332" ht="12.0" customHeight="1">
      <c r="A332" s="111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</row>
    <row r="333" ht="12.0" customHeight="1">
      <c r="A333" s="111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</row>
    <row r="334" ht="12.0" customHeight="1">
      <c r="A334" s="111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</row>
    <row r="335" ht="12.0" customHeight="1">
      <c r="A335" s="111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</row>
    <row r="336" ht="12.0" customHeight="1">
      <c r="A336" s="111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</row>
    <row r="337" ht="12.0" customHeight="1">
      <c r="A337" s="111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</row>
    <row r="338" ht="12.0" customHeight="1">
      <c r="A338" s="111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</row>
    <row r="339" ht="12.0" customHeight="1">
      <c r="A339" s="111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</row>
    <row r="340" ht="12.0" customHeight="1">
      <c r="A340" s="111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</row>
    <row r="341" ht="12.0" customHeight="1">
      <c r="A341" s="111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</row>
    <row r="342" ht="12.0" customHeight="1">
      <c r="A342" s="111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</row>
    <row r="343" ht="12.0" customHeight="1">
      <c r="A343" s="111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</row>
    <row r="344" ht="12.0" customHeight="1">
      <c r="A344" s="111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</row>
    <row r="345" ht="12.0" customHeight="1">
      <c r="A345" s="111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</row>
    <row r="346" ht="12.0" customHeight="1">
      <c r="A346" s="111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</row>
    <row r="347" ht="12.0" customHeight="1">
      <c r="A347" s="111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</row>
    <row r="348" ht="12.0" customHeight="1">
      <c r="A348" s="111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</row>
    <row r="349" ht="12.0" customHeight="1">
      <c r="A349" s="111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</row>
    <row r="350" ht="12.0" customHeight="1">
      <c r="A350" s="111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</row>
    <row r="351" ht="12.0" customHeight="1">
      <c r="A351" s="111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</row>
    <row r="352" ht="12.0" customHeight="1">
      <c r="A352" s="111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</row>
    <row r="353" ht="12.0" customHeight="1">
      <c r="A353" s="111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</row>
    <row r="354" ht="12.0" customHeight="1">
      <c r="A354" s="111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</row>
    <row r="355" ht="12.0" customHeight="1">
      <c r="A355" s="111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</row>
    <row r="356" ht="12.0" customHeight="1">
      <c r="A356" s="111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</row>
    <row r="357" ht="12.0" customHeight="1">
      <c r="A357" s="111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</row>
    <row r="358" ht="12.0" customHeight="1">
      <c r="A358" s="111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</row>
    <row r="359" ht="12.0" customHeight="1">
      <c r="A359" s="111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</row>
    <row r="360" ht="12.0" customHeight="1">
      <c r="A360" s="111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</row>
    <row r="361" ht="12.0" customHeight="1">
      <c r="A361" s="111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</row>
    <row r="362" ht="12.0" customHeight="1">
      <c r="A362" s="111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</row>
    <row r="363" ht="12.0" customHeight="1">
      <c r="A363" s="111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</row>
    <row r="364" ht="12.0" customHeight="1">
      <c r="A364" s="111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</row>
    <row r="365" ht="12.0" customHeight="1">
      <c r="A365" s="111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</row>
    <row r="366" ht="12.0" customHeight="1">
      <c r="A366" s="111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</row>
    <row r="367" ht="12.0" customHeight="1">
      <c r="A367" s="111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</row>
    <row r="368" ht="12.0" customHeight="1">
      <c r="A368" s="111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</row>
    <row r="369" ht="12.0" customHeight="1">
      <c r="A369" s="111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</row>
    <row r="370" ht="12.0" customHeight="1">
      <c r="A370" s="111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</row>
    <row r="371" ht="12.0" customHeight="1">
      <c r="A371" s="111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</row>
    <row r="372" ht="12.0" customHeight="1">
      <c r="A372" s="111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</row>
    <row r="373" ht="12.0" customHeight="1">
      <c r="A373" s="111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</row>
    <row r="374" ht="12.0" customHeight="1">
      <c r="A374" s="111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</row>
    <row r="375" ht="12.0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</row>
    <row r="376" ht="12.0" customHeight="1">
      <c r="A376" s="111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</row>
    <row r="377" ht="12.0" customHeight="1">
      <c r="A377" s="111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</row>
    <row r="378" ht="12.0" customHeight="1">
      <c r="A378" s="111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</row>
    <row r="379" ht="12.0" customHeight="1">
      <c r="A379" s="111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</row>
    <row r="380" ht="12.0" customHeight="1">
      <c r="A380" s="111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</row>
    <row r="381" ht="12.0" customHeight="1">
      <c r="A381" s="111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</row>
    <row r="382" ht="12.0" customHeight="1">
      <c r="A382" s="111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</row>
    <row r="383" ht="12.0" customHeight="1">
      <c r="A383" s="111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</row>
    <row r="384" ht="12.0" customHeight="1">
      <c r="A384" s="111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</row>
    <row r="385" ht="12.0" customHeight="1">
      <c r="A385" s="111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</row>
    <row r="386" ht="12.0" customHeight="1">
      <c r="A386" s="111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</row>
    <row r="387" ht="12.0" customHeight="1">
      <c r="A387" s="111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</row>
    <row r="388" ht="12.0" customHeight="1">
      <c r="A388" s="111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</row>
    <row r="389" ht="12.0" customHeight="1">
      <c r="A389" s="111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</row>
    <row r="390" ht="12.0" customHeight="1">
      <c r="A390" s="111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</row>
    <row r="391" ht="12.0" customHeight="1">
      <c r="A391" s="111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</row>
    <row r="392" ht="12.0" customHeight="1">
      <c r="A392" s="111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</row>
    <row r="393" ht="12.0" customHeight="1">
      <c r="A393" s="111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</row>
    <row r="394" ht="12.0" customHeight="1">
      <c r="A394" s="111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</row>
    <row r="395" ht="12.0" customHeight="1">
      <c r="A395" s="111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</row>
    <row r="396" ht="12.0" customHeight="1">
      <c r="A396" s="111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</row>
    <row r="397" ht="12.0" customHeight="1">
      <c r="A397" s="111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</row>
    <row r="398" ht="12.0" customHeight="1">
      <c r="A398" s="111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</row>
    <row r="399" ht="12.0" customHeight="1">
      <c r="A399" s="111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</row>
    <row r="400" ht="12.0" customHeight="1">
      <c r="A400" s="111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</row>
    <row r="401" ht="12.0" customHeight="1">
      <c r="A401" s="111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</row>
    <row r="402" ht="12.0" customHeight="1">
      <c r="A402" s="111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</row>
    <row r="403" ht="12.0" customHeight="1">
      <c r="A403" s="111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</row>
    <row r="404" ht="12.0" customHeight="1">
      <c r="A404" s="111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</row>
    <row r="405" ht="12.0" customHeight="1">
      <c r="A405" s="111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</row>
    <row r="406" ht="12.0" customHeight="1">
      <c r="A406" s="111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</row>
    <row r="407" ht="12.0" customHeight="1">
      <c r="A407" s="111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</row>
    <row r="408" ht="12.0" customHeight="1">
      <c r="A408" s="111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</row>
    <row r="409" ht="12.0" customHeight="1">
      <c r="A409" s="111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</row>
    <row r="410" ht="12.0" customHeight="1">
      <c r="A410" s="111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</row>
    <row r="411" ht="12.0" customHeight="1">
      <c r="A411" s="111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</row>
    <row r="412" ht="12.0" customHeight="1">
      <c r="A412" s="111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</row>
    <row r="413" ht="12.0" customHeight="1">
      <c r="A413" s="111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</row>
    <row r="414" ht="12.0" customHeight="1">
      <c r="A414" s="111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</row>
    <row r="415" ht="12.0" customHeight="1">
      <c r="A415" s="111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</row>
    <row r="416" ht="12.0" customHeight="1">
      <c r="A416" s="111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</row>
    <row r="417" ht="12.0" customHeight="1">
      <c r="A417" s="111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</row>
    <row r="418" ht="12.0" customHeight="1">
      <c r="A418" s="111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</row>
    <row r="419" ht="12.0" customHeight="1">
      <c r="A419" s="111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</row>
    <row r="420" ht="12.0" customHeight="1">
      <c r="A420" s="111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</row>
    <row r="421" ht="12.0" customHeight="1">
      <c r="A421" s="111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</row>
    <row r="422" ht="12.0" customHeight="1">
      <c r="A422" s="111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</row>
    <row r="423" ht="12.0" customHeight="1">
      <c r="A423" s="111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</row>
    <row r="424" ht="12.0" customHeight="1">
      <c r="A424" s="111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</row>
    <row r="425" ht="12.0" customHeight="1">
      <c r="A425" s="111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</row>
    <row r="426" ht="12.0" customHeight="1">
      <c r="A426" s="111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</row>
    <row r="427" ht="12.0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</row>
    <row r="428" ht="12.0" customHeight="1">
      <c r="A428" s="111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</row>
    <row r="429" ht="12.0" customHeight="1">
      <c r="A429" s="111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</row>
    <row r="430" ht="12.0" customHeight="1">
      <c r="A430" s="111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</row>
    <row r="431" ht="12.0" customHeight="1">
      <c r="A431" s="111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</row>
    <row r="432" ht="12.0" customHeight="1">
      <c r="A432" s="111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</row>
    <row r="433" ht="12.0" customHeight="1">
      <c r="A433" s="111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</row>
    <row r="434" ht="12.0" customHeight="1">
      <c r="A434" s="111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</row>
    <row r="435" ht="12.0" customHeight="1">
      <c r="A435" s="111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</row>
    <row r="436" ht="12.0" customHeight="1">
      <c r="A436" s="111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</row>
    <row r="437" ht="12.0" customHeight="1">
      <c r="A437" s="111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</row>
    <row r="438" ht="12.0" customHeight="1">
      <c r="A438" s="111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</row>
    <row r="439" ht="12.0" customHeight="1">
      <c r="A439" s="111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</row>
    <row r="440" ht="12.0" customHeight="1">
      <c r="A440" s="111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</row>
    <row r="441" ht="12.0" customHeight="1">
      <c r="A441" s="111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</row>
    <row r="442" ht="12.0" customHeight="1">
      <c r="A442" s="111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</row>
    <row r="443" ht="12.0" customHeight="1">
      <c r="A443" s="111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</row>
    <row r="444" ht="12.0" customHeight="1">
      <c r="A444" s="111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</row>
    <row r="445" ht="12.0" customHeight="1">
      <c r="A445" s="111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</row>
    <row r="446" ht="12.0" customHeight="1">
      <c r="A446" s="111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</row>
    <row r="447" ht="12.0" customHeight="1">
      <c r="A447" s="111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</row>
    <row r="448" ht="12.0" customHeight="1">
      <c r="A448" s="111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</row>
    <row r="449" ht="12.0" customHeight="1">
      <c r="A449" s="111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</row>
    <row r="450" ht="12.0" customHeight="1">
      <c r="A450" s="111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</row>
    <row r="451" ht="12.0" customHeight="1">
      <c r="A451" s="111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</row>
    <row r="452" ht="12.0" customHeight="1">
      <c r="A452" s="111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</row>
    <row r="453" ht="12.0" customHeight="1">
      <c r="A453" s="111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</row>
    <row r="454" ht="12.0" customHeight="1">
      <c r="A454" s="111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</row>
    <row r="455" ht="12.0" customHeight="1">
      <c r="A455" s="111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</row>
    <row r="456" ht="12.0" customHeight="1">
      <c r="A456" s="111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</row>
    <row r="457" ht="12.0" customHeight="1">
      <c r="A457" s="111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</row>
    <row r="458" ht="12.0" customHeight="1">
      <c r="A458" s="111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</row>
    <row r="459" ht="12.0" customHeight="1">
      <c r="A459" s="111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</row>
    <row r="460" ht="12.0" customHeight="1">
      <c r="A460" s="111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</row>
    <row r="461" ht="12.0" customHeight="1">
      <c r="A461" s="111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</row>
    <row r="462" ht="12.0" customHeight="1">
      <c r="A462" s="111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</row>
    <row r="463" ht="12.0" customHeight="1">
      <c r="A463" s="111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</row>
    <row r="464" ht="12.0" customHeight="1">
      <c r="A464" s="111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</row>
    <row r="465" ht="12.0" customHeight="1">
      <c r="A465" s="111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</row>
    <row r="466" ht="12.0" customHeight="1">
      <c r="A466" s="111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</row>
    <row r="467" ht="12.0" customHeight="1">
      <c r="A467" s="111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</row>
    <row r="468" ht="12.0" customHeight="1">
      <c r="A468" s="111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</row>
    <row r="469" ht="12.0" customHeight="1">
      <c r="A469" s="111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</row>
    <row r="470" ht="12.0" customHeight="1">
      <c r="A470" s="111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</row>
    <row r="471" ht="12.0" customHeight="1">
      <c r="A471" s="111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</row>
    <row r="472" ht="12.0" customHeight="1">
      <c r="A472" s="111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</row>
    <row r="473" ht="12.0" customHeight="1">
      <c r="A473" s="111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</row>
    <row r="474" ht="12.0" customHeight="1">
      <c r="A474" s="111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</row>
    <row r="475" ht="12.0" customHeight="1">
      <c r="A475" s="111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T475" s="112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</row>
    <row r="476" ht="12.0" customHeight="1">
      <c r="A476" s="111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</row>
    <row r="477" ht="12.0" customHeight="1">
      <c r="A477" s="111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</row>
    <row r="478" ht="12.0" customHeight="1">
      <c r="A478" s="111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</row>
    <row r="479" ht="12.0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</row>
    <row r="480" ht="12.0" customHeight="1">
      <c r="A480" s="111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</row>
    <row r="481" ht="12.0" customHeight="1">
      <c r="A481" s="111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</row>
    <row r="482" ht="12.0" customHeight="1">
      <c r="A482" s="111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</row>
    <row r="483" ht="12.0" customHeight="1">
      <c r="A483" s="111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T483" s="112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</row>
    <row r="484" ht="12.0" customHeight="1">
      <c r="A484" s="111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</row>
    <row r="485" ht="12.0" customHeight="1">
      <c r="A485" s="111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T485" s="112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</row>
    <row r="486" ht="12.0" customHeight="1">
      <c r="A486" s="111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T486" s="112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</row>
    <row r="487" ht="12.0" customHeight="1">
      <c r="A487" s="111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</row>
    <row r="488" ht="12.0" customHeight="1">
      <c r="A488" s="111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</row>
    <row r="489" ht="12.0" customHeight="1">
      <c r="A489" s="111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T489" s="112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</row>
    <row r="490" ht="12.0" customHeight="1">
      <c r="A490" s="111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</row>
    <row r="491" ht="12.0" customHeight="1">
      <c r="A491" s="111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</row>
    <row r="492" ht="12.0" customHeight="1">
      <c r="A492" s="111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</row>
    <row r="493" ht="12.0" customHeight="1">
      <c r="A493" s="111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T493" s="112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</row>
    <row r="494" ht="12.0" customHeight="1">
      <c r="A494" s="111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</row>
    <row r="495" ht="12.0" customHeight="1">
      <c r="A495" s="111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T495" s="112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</row>
    <row r="496" ht="12.0" customHeight="1">
      <c r="A496" s="111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T496" s="112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</row>
    <row r="497" ht="12.0" customHeight="1">
      <c r="A497" s="111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T497" s="112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</row>
    <row r="498" ht="12.0" customHeight="1">
      <c r="A498" s="111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</row>
    <row r="499" ht="12.0" customHeight="1">
      <c r="A499" s="111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T499" s="112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</row>
    <row r="500" ht="12.0" customHeight="1">
      <c r="A500" s="111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</row>
    <row r="501" ht="12.0" customHeight="1">
      <c r="A501" s="111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T501" s="112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</row>
    <row r="502" ht="12.0" customHeight="1">
      <c r="A502" s="111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</row>
    <row r="503" ht="12.0" customHeight="1">
      <c r="A503" s="111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T503" s="112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</row>
    <row r="504" ht="12.0" customHeight="1">
      <c r="A504" s="111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</row>
    <row r="505" ht="12.0" customHeight="1">
      <c r="A505" s="111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T505" s="112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</row>
    <row r="506" ht="12.0" customHeight="1">
      <c r="A506" s="111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</row>
    <row r="507" ht="12.0" customHeight="1">
      <c r="A507" s="111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T507" s="112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</row>
    <row r="508" ht="12.0" customHeight="1">
      <c r="A508" s="111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</row>
    <row r="509" ht="12.0" customHeight="1">
      <c r="A509" s="111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T509" s="112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</row>
    <row r="510" ht="12.0" customHeight="1">
      <c r="A510" s="111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</row>
    <row r="511" ht="12.0" customHeight="1">
      <c r="A511" s="111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T511" s="112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</row>
    <row r="512" ht="12.0" customHeight="1">
      <c r="A512" s="111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</row>
    <row r="513" ht="12.0" customHeight="1">
      <c r="A513" s="111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</row>
    <row r="514" ht="12.0" customHeight="1">
      <c r="A514" s="111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T514" s="112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</row>
    <row r="515" ht="12.0" customHeight="1">
      <c r="A515" s="111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T515" s="112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</row>
    <row r="516" ht="12.0" customHeight="1">
      <c r="A516" s="111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T516" s="112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</row>
    <row r="517" ht="12.0" customHeight="1">
      <c r="A517" s="111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T517" s="112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</row>
    <row r="518" ht="12.0" customHeight="1">
      <c r="A518" s="111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T518" s="112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</row>
    <row r="519" ht="12.0" customHeight="1">
      <c r="A519" s="111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T519" s="112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</row>
    <row r="520" ht="12.0" customHeight="1">
      <c r="A520" s="111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T520" s="112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</row>
    <row r="521" ht="12.0" customHeight="1">
      <c r="A521" s="111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T521" s="112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</row>
    <row r="522" ht="12.0" customHeight="1">
      <c r="A522" s="111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T522" s="112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</row>
    <row r="523" ht="12.0" customHeight="1">
      <c r="A523" s="111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T523" s="112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</row>
    <row r="524" ht="12.0" customHeight="1">
      <c r="A524" s="111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T524" s="112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</row>
    <row r="525" ht="12.0" customHeight="1">
      <c r="A525" s="111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T525" s="112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</row>
    <row r="526" ht="12.0" customHeight="1">
      <c r="A526" s="111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</row>
    <row r="527" ht="12.0" customHeight="1">
      <c r="A527" s="111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T527" s="112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</row>
    <row r="528" ht="12.0" customHeight="1">
      <c r="A528" s="111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</row>
    <row r="529" ht="12.0" customHeight="1">
      <c r="A529" s="111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T529" s="112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</row>
    <row r="530" ht="12.0" customHeight="1">
      <c r="A530" s="111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</row>
    <row r="531" ht="12.0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</row>
    <row r="532" ht="12.0" customHeight="1">
      <c r="A532" s="111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T532" s="112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</row>
    <row r="533" ht="12.0" customHeight="1">
      <c r="A533" s="111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T533" s="112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</row>
    <row r="534" ht="12.0" customHeight="1">
      <c r="A534" s="111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</row>
    <row r="535" ht="12.0" customHeight="1">
      <c r="A535" s="111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T535" s="112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</row>
    <row r="536" ht="12.0" customHeight="1">
      <c r="A536" s="111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T536" s="112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</row>
    <row r="537" ht="12.0" customHeight="1">
      <c r="A537" s="111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T537" s="112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</row>
    <row r="538" ht="12.0" customHeight="1">
      <c r="A538" s="111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T538" s="112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</row>
    <row r="539" ht="12.0" customHeight="1">
      <c r="A539" s="111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T539" s="112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</row>
    <row r="540" ht="12.0" customHeight="1">
      <c r="A540" s="111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T540" s="112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</row>
    <row r="541" ht="12.0" customHeight="1">
      <c r="A541" s="111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T541" s="112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</row>
    <row r="542" ht="12.0" customHeight="1">
      <c r="A542" s="111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T542" s="112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</row>
    <row r="543" ht="12.0" customHeight="1">
      <c r="A543" s="111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T543" s="112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</row>
    <row r="544" ht="12.0" customHeight="1">
      <c r="A544" s="111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T544" s="112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</row>
    <row r="545" ht="12.0" customHeight="1">
      <c r="A545" s="111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T545" s="112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</row>
    <row r="546" ht="12.0" customHeight="1">
      <c r="A546" s="111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T546" s="112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</row>
    <row r="547" ht="12.0" customHeight="1">
      <c r="A547" s="111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T547" s="112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</row>
    <row r="548" ht="12.0" customHeight="1">
      <c r="A548" s="111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T548" s="112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</row>
    <row r="549" ht="12.0" customHeight="1">
      <c r="A549" s="111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T549" s="112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</row>
    <row r="550" ht="12.0" customHeight="1">
      <c r="A550" s="111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T550" s="112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</row>
    <row r="551" ht="12.0" customHeight="1">
      <c r="A551" s="111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T551" s="112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</row>
    <row r="552" ht="12.0" customHeight="1">
      <c r="A552" s="111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T552" s="112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</row>
    <row r="553" ht="12.0" customHeight="1">
      <c r="A553" s="111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</row>
    <row r="554" ht="12.0" customHeight="1">
      <c r="A554" s="111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T554" s="112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</row>
    <row r="555" ht="12.0" customHeight="1">
      <c r="A555" s="111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T555" s="112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</row>
    <row r="556" ht="12.0" customHeight="1">
      <c r="A556" s="111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T556" s="112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</row>
    <row r="557" ht="12.0" customHeight="1">
      <c r="A557" s="111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T557" s="112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</row>
    <row r="558" ht="12.0" customHeight="1">
      <c r="A558" s="111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T558" s="112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</row>
    <row r="559" ht="12.0" customHeight="1">
      <c r="A559" s="111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T559" s="112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</row>
    <row r="560" ht="12.0" customHeight="1">
      <c r="A560" s="111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T560" s="112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</row>
    <row r="561" ht="12.0" customHeight="1">
      <c r="A561" s="111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</row>
    <row r="562" ht="12.0" customHeight="1">
      <c r="A562" s="111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T562" s="112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</row>
    <row r="563" ht="12.0" customHeight="1">
      <c r="A563" s="111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T563" s="112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</row>
    <row r="564" ht="12.0" customHeight="1">
      <c r="A564" s="111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</row>
    <row r="565" ht="12.0" customHeight="1">
      <c r="A565" s="111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T565" s="112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</row>
    <row r="566" ht="12.0" customHeight="1">
      <c r="A566" s="111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T566" s="112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</row>
    <row r="567" ht="12.0" customHeight="1">
      <c r="A567" s="111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T567" s="112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</row>
    <row r="568" ht="12.0" customHeight="1">
      <c r="A568" s="111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T568" s="112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</row>
    <row r="569" ht="12.0" customHeight="1">
      <c r="A569" s="111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T569" s="112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</row>
    <row r="570" ht="12.0" customHeight="1">
      <c r="A570" s="111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T570" s="112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</row>
    <row r="571" ht="12.0" customHeight="1">
      <c r="A571" s="111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</row>
    <row r="572" ht="12.0" customHeight="1">
      <c r="A572" s="111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T572" s="112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</row>
    <row r="573" ht="12.0" customHeight="1">
      <c r="A573" s="111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T573" s="112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</row>
    <row r="574" ht="12.0" customHeight="1">
      <c r="A574" s="111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T574" s="112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</row>
    <row r="575" ht="12.0" customHeight="1">
      <c r="A575" s="111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</row>
    <row r="576" ht="12.0" customHeight="1">
      <c r="A576" s="111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</row>
    <row r="577" ht="12.0" customHeight="1">
      <c r="A577" s="111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</row>
    <row r="578" ht="12.0" customHeight="1">
      <c r="A578" s="111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</row>
    <row r="579" ht="12.0" customHeight="1">
      <c r="A579" s="111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</row>
    <row r="580" ht="12.0" customHeight="1">
      <c r="A580" s="111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</row>
    <row r="581" ht="12.0" customHeight="1">
      <c r="A581" s="111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</row>
    <row r="582" ht="12.0" customHeight="1">
      <c r="A582" s="111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</row>
    <row r="583" ht="12.0" customHeight="1">
      <c r="A583" s="111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</row>
    <row r="584" ht="12.0" customHeight="1">
      <c r="A584" s="111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</row>
    <row r="585" ht="12.0" customHeight="1">
      <c r="A585" s="111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</row>
    <row r="586" ht="12.0" customHeight="1">
      <c r="A586" s="111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</row>
    <row r="587" ht="12.0" customHeight="1">
      <c r="A587" s="111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T587" s="112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</row>
    <row r="588" ht="12.0" customHeight="1">
      <c r="A588" s="111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T588" s="112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</row>
    <row r="589" ht="12.0" customHeight="1">
      <c r="A589" s="111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T589" s="112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</row>
    <row r="590" ht="12.0" customHeight="1">
      <c r="A590" s="111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T590" s="112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</row>
    <row r="591" ht="12.0" customHeight="1">
      <c r="A591" s="111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T591" s="112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</row>
    <row r="592" ht="12.0" customHeight="1">
      <c r="A592" s="111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</row>
    <row r="593" ht="12.0" customHeight="1">
      <c r="A593" s="111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T593" s="112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</row>
    <row r="594" ht="12.0" customHeight="1">
      <c r="A594" s="111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T594" s="112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</row>
    <row r="595" ht="12.0" customHeight="1">
      <c r="A595" s="111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T595" s="112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</row>
    <row r="596" ht="12.0" customHeight="1">
      <c r="A596" s="111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T596" s="112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</row>
    <row r="597" ht="12.0" customHeight="1">
      <c r="A597" s="111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T597" s="112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</row>
    <row r="598" ht="12.0" customHeight="1">
      <c r="A598" s="111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T598" s="112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</row>
    <row r="599" ht="12.0" customHeight="1">
      <c r="A599" s="111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T599" s="112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</row>
    <row r="600" ht="12.0" customHeight="1">
      <c r="A600" s="111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T600" s="112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</row>
    <row r="601" ht="12.0" customHeight="1">
      <c r="A601" s="111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T601" s="112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</row>
    <row r="602" ht="12.0" customHeight="1">
      <c r="A602" s="111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T602" s="112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</row>
    <row r="603" ht="12.0" customHeight="1">
      <c r="A603" s="111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T603" s="112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</row>
    <row r="604" ht="12.0" customHeight="1">
      <c r="A604" s="111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T604" s="112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</row>
    <row r="605" ht="12.0" customHeight="1">
      <c r="A605" s="111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T605" s="112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</row>
    <row r="606" ht="12.0" customHeight="1">
      <c r="A606" s="111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T606" s="112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</row>
    <row r="607" ht="12.0" customHeight="1">
      <c r="A607" s="111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T607" s="112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</row>
    <row r="608" ht="12.0" customHeight="1">
      <c r="A608" s="111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T608" s="112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</row>
    <row r="609" ht="12.0" customHeight="1">
      <c r="A609" s="111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T609" s="112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</row>
    <row r="610" ht="12.0" customHeight="1">
      <c r="A610" s="111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T610" s="112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</row>
    <row r="611" ht="12.0" customHeight="1">
      <c r="A611" s="111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T611" s="112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</row>
    <row r="612" ht="12.0" customHeight="1">
      <c r="A612" s="111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T612" s="112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</row>
    <row r="613" ht="12.0" customHeight="1">
      <c r="A613" s="111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T613" s="112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</row>
    <row r="614" ht="12.0" customHeight="1">
      <c r="A614" s="111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T614" s="112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</row>
    <row r="615" ht="12.0" customHeight="1">
      <c r="A615" s="111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T615" s="112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</row>
    <row r="616" ht="12.0" customHeight="1">
      <c r="A616" s="111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T616" s="112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</row>
    <row r="617" ht="12.0" customHeight="1">
      <c r="A617" s="111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T617" s="112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</row>
    <row r="618" ht="12.0" customHeight="1">
      <c r="A618" s="111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T618" s="112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</row>
    <row r="619" ht="12.0" customHeight="1">
      <c r="A619" s="111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T619" s="112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</row>
    <row r="620" ht="12.0" customHeight="1">
      <c r="A620" s="111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T620" s="112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</row>
    <row r="621" ht="12.0" customHeight="1">
      <c r="A621" s="111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T621" s="112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</row>
    <row r="622" ht="12.0" customHeight="1">
      <c r="A622" s="111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T622" s="112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</row>
    <row r="623" ht="12.0" customHeight="1">
      <c r="A623" s="111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T623" s="112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</row>
    <row r="624" ht="12.0" customHeight="1">
      <c r="A624" s="111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T624" s="112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</row>
    <row r="625" ht="12.0" customHeight="1">
      <c r="A625" s="111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T625" s="112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</row>
    <row r="626" ht="12.0" customHeight="1">
      <c r="A626" s="111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T626" s="112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</row>
    <row r="627" ht="12.0" customHeight="1">
      <c r="A627" s="111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T627" s="112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</row>
    <row r="628" ht="12.0" customHeight="1">
      <c r="A628" s="111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T628" s="112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</row>
    <row r="629" ht="12.0" customHeight="1">
      <c r="A629" s="111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T629" s="112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</row>
    <row r="630" ht="12.0" customHeight="1">
      <c r="A630" s="111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T630" s="112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</row>
    <row r="631" ht="12.0" customHeight="1">
      <c r="A631" s="111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T631" s="112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</row>
    <row r="632" ht="12.0" customHeight="1">
      <c r="A632" s="111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T632" s="112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</row>
    <row r="633" ht="12.0" customHeight="1">
      <c r="A633" s="111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T633" s="112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</row>
    <row r="634" ht="12.0" customHeight="1">
      <c r="A634" s="111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T634" s="112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</row>
    <row r="635" ht="12.0" customHeight="1">
      <c r="A635" s="111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T635" s="112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</row>
    <row r="636" ht="12.0" customHeight="1">
      <c r="A636" s="111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</row>
    <row r="637" ht="12.0" customHeight="1">
      <c r="A637" s="111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T637" s="112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</row>
    <row r="638" ht="12.0" customHeight="1">
      <c r="A638" s="111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</row>
    <row r="639" ht="12.0" customHeight="1">
      <c r="A639" s="111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</row>
    <row r="640" ht="12.0" customHeight="1">
      <c r="A640" s="111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</row>
    <row r="641" ht="12.0" customHeight="1">
      <c r="A641" s="111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</row>
    <row r="642" ht="12.0" customHeight="1">
      <c r="A642" s="111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T642" s="112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</row>
    <row r="643" ht="12.0" customHeight="1">
      <c r="A643" s="111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T643" s="112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</row>
    <row r="644" ht="12.0" customHeight="1">
      <c r="A644" s="111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T644" s="112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</row>
    <row r="645" ht="12.0" customHeight="1">
      <c r="A645" s="111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T645" s="112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</row>
    <row r="646" ht="12.0" customHeight="1">
      <c r="A646" s="111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T646" s="112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</row>
    <row r="647" ht="12.0" customHeight="1">
      <c r="A647" s="111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T647" s="112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</row>
    <row r="648" ht="12.0" customHeight="1">
      <c r="A648" s="111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T648" s="112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</row>
    <row r="649" ht="12.0" customHeight="1">
      <c r="A649" s="111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T649" s="112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</row>
    <row r="650" ht="12.0" customHeight="1">
      <c r="A650" s="111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T650" s="112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</row>
    <row r="651" ht="12.0" customHeight="1">
      <c r="A651" s="111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T651" s="112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</row>
    <row r="652" ht="12.0" customHeight="1">
      <c r="A652" s="111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T652" s="112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</row>
    <row r="653" ht="12.0" customHeight="1">
      <c r="A653" s="111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T653" s="112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</row>
    <row r="654" ht="12.0" customHeight="1">
      <c r="A654" s="111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T654" s="112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</row>
    <row r="655" ht="12.0" customHeight="1">
      <c r="A655" s="111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T655" s="112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</row>
    <row r="656" ht="12.0" customHeight="1">
      <c r="A656" s="111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T656" s="112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</row>
    <row r="657" ht="12.0" customHeight="1">
      <c r="A657" s="111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T657" s="112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</row>
    <row r="658" ht="12.0" customHeight="1">
      <c r="A658" s="111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T658" s="112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</row>
    <row r="659" ht="12.0" customHeight="1">
      <c r="A659" s="111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T659" s="112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</row>
    <row r="660" ht="12.0" customHeight="1">
      <c r="A660" s="111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T660" s="112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</row>
    <row r="661" ht="12.0" customHeight="1">
      <c r="A661" s="111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</row>
    <row r="662" ht="12.0" customHeight="1">
      <c r="A662" s="111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</row>
    <row r="663" ht="12.0" customHeight="1">
      <c r="A663" s="111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</row>
    <row r="664" ht="12.0" customHeight="1">
      <c r="A664" s="111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</row>
    <row r="665" ht="12.0" customHeight="1">
      <c r="A665" s="111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</row>
    <row r="666" ht="12.0" customHeight="1">
      <c r="A666" s="111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T666" s="112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</row>
    <row r="667" ht="12.0" customHeight="1">
      <c r="A667" s="111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T667" s="112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</row>
    <row r="668" ht="12.0" customHeight="1">
      <c r="A668" s="111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T668" s="112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</row>
    <row r="669" ht="12.0" customHeight="1">
      <c r="A669" s="111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T669" s="112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</row>
    <row r="670" ht="12.0" customHeight="1">
      <c r="A670" s="111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T670" s="112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</row>
    <row r="671" ht="12.0" customHeight="1">
      <c r="A671" s="111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T671" s="112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</row>
    <row r="672" ht="12.0" customHeight="1">
      <c r="A672" s="111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T672" s="112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</row>
    <row r="673" ht="12.0" customHeight="1">
      <c r="A673" s="111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T673" s="112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</row>
    <row r="674" ht="12.0" customHeight="1">
      <c r="A674" s="111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T674" s="112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</row>
    <row r="675" ht="12.0" customHeight="1">
      <c r="A675" s="111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T675" s="112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</row>
    <row r="676" ht="12.0" customHeight="1">
      <c r="A676" s="111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T676" s="112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</row>
    <row r="677" ht="12.0" customHeight="1">
      <c r="A677" s="111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T677" s="112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</row>
    <row r="678" ht="12.0" customHeight="1">
      <c r="A678" s="111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T678" s="112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</row>
    <row r="679" ht="12.0" customHeight="1">
      <c r="A679" s="111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T679" s="112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</row>
    <row r="680" ht="12.0" customHeight="1">
      <c r="A680" s="111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T680" s="112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</row>
    <row r="681" ht="12.0" customHeight="1">
      <c r="A681" s="111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T681" s="112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</row>
    <row r="682" ht="12.0" customHeight="1">
      <c r="A682" s="111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T682" s="112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</row>
    <row r="683" ht="12.0" customHeight="1">
      <c r="A683" s="111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T683" s="112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</row>
    <row r="684" ht="12.0" customHeight="1">
      <c r="A684" s="111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T684" s="112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</row>
    <row r="685" ht="12.0" customHeight="1">
      <c r="A685" s="111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T685" s="112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</row>
    <row r="686" ht="12.0" customHeight="1">
      <c r="A686" s="111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T686" s="112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</row>
    <row r="687" ht="12.0" customHeight="1">
      <c r="A687" s="111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T687" s="112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</row>
    <row r="688" ht="12.0" customHeight="1">
      <c r="A688" s="111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T688" s="112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</row>
    <row r="689" ht="12.0" customHeight="1">
      <c r="A689" s="111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T689" s="112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</row>
    <row r="690" ht="12.0" customHeight="1">
      <c r="A690" s="111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T690" s="112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</row>
    <row r="691" ht="12.0" customHeight="1">
      <c r="A691" s="111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T691" s="112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</row>
    <row r="692" ht="12.0" customHeight="1">
      <c r="A692" s="111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T692" s="112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</row>
    <row r="693" ht="12.0" customHeight="1">
      <c r="A693" s="111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T693" s="112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</row>
    <row r="694" ht="12.0" customHeight="1">
      <c r="A694" s="111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T694" s="112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</row>
    <row r="695" ht="12.0" customHeight="1">
      <c r="A695" s="111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</row>
    <row r="696" ht="12.0" customHeight="1">
      <c r="A696" s="111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T696" s="112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</row>
    <row r="697" ht="12.0" customHeight="1">
      <c r="A697" s="111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T697" s="112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</row>
    <row r="698" ht="12.0" customHeight="1">
      <c r="A698" s="111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T698" s="112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</row>
    <row r="699" ht="12.0" customHeight="1">
      <c r="A699" s="111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T699" s="112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</row>
    <row r="700" ht="12.0" customHeight="1">
      <c r="A700" s="111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T700" s="112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</row>
    <row r="701" ht="12.0" customHeight="1">
      <c r="A701" s="111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T701" s="112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</row>
    <row r="702" ht="12.0" customHeight="1">
      <c r="A702" s="111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T702" s="112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</row>
    <row r="703" ht="12.0" customHeight="1">
      <c r="A703" s="111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T703" s="112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</row>
    <row r="704" ht="12.0" customHeight="1">
      <c r="A704" s="111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T704" s="112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</row>
    <row r="705" ht="12.0" customHeight="1">
      <c r="A705" s="111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T705" s="112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</row>
    <row r="706" ht="12.0" customHeight="1">
      <c r="A706" s="111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T706" s="112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</row>
    <row r="707" ht="12.0" customHeight="1">
      <c r="A707" s="111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T707" s="112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</row>
    <row r="708" ht="12.0" customHeight="1">
      <c r="A708" s="111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T708" s="112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</row>
    <row r="709" ht="12.0" customHeight="1">
      <c r="A709" s="111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T709" s="112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</row>
    <row r="710" ht="12.0" customHeight="1">
      <c r="A710" s="111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T710" s="112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</row>
    <row r="711" ht="12.0" customHeight="1">
      <c r="A711" s="111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T711" s="112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</row>
    <row r="712" ht="12.0" customHeight="1">
      <c r="A712" s="111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T712" s="112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</row>
    <row r="713" ht="12.0" customHeight="1">
      <c r="A713" s="111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T713" s="112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</row>
    <row r="714" ht="12.0" customHeight="1">
      <c r="A714" s="111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T714" s="112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</row>
    <row r="715" ht="12.0" customHeight="1">
      <c r="A715" s="111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</row>
    <row r="716" ht="12.0" customHeight="1">
      <c r="A716" s="111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</row>
    <row r="717" ht="12.0" customHeight="1">
      <c r="A717" s="111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</row>
    <row r="718" ht="12.0" customHeight="1">
      <c r="A718" s="111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</row>
    <row r="719" ht="12.0" customHeight="1">
      <c r="A719" s="111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</row>
    <row r="720" ht="12.0" customHeight="1">
      <c r="A720" s="111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</row>
    <row r="721" ht="12.0" customHeight="1">
      <c r="A721" s="111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T721" s="112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</row>
    <row r="722" ht="12.0" customHeight="1">
      <c r="A722" s="111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T722" s="112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</row>
    <row r="723" ht="12.0" customHeight="1">
      <c r="A723" s="111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T723" s="112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</row>
    <row r="724" ht="12.0" customHeight="1">
      <c r="A724" s="111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T724" s="112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</row>
    <row r="725" ht="12.0" customHeight="1">
      <c r="A725" s="111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T725" s="112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</row>
    <row r="726" ht="12.0" customHeight="1">
      <c r="A726" s="111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T726" s="112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</row>
    <row r="727" ht="12.0" customHeight="1">
      <c r="A727" s="111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T727" s="112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</row>
    <row r="728" ht="12.0" customHeight="1">
      <c r="A728" s="111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T728" s="112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</row>
    <row r="729" ht="12.0" customHeight="1">
      <c r="A729" s="111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T729" s="112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</row>
    <row r="730" ht="12.0" customHeight="1">
      <c r="A730" s="111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T730" s="112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</row>
    <row r="731" ht="12.0" customHeight="1">
      <c r="A731" s="111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T731" s="112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</row>
    <row r="732" ht="12.0" customHeight="1">
      <c r="A732" s="111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T732" s="112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</row>
    <row r="733" ht="12.0" customHeight="1">
      <c r="A733" s="111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T733" s="112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</row>
    <row r="734" ht="12.0" customHeight="1">
      <c r="A734" s="111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T734" s="112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</row>
    <row r="735" ht="12.0" customHeight="1">
      <c r="A735" s="111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T735" s="112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</row>
    <row r="736" ht="12.0" customHeight="1">
      <c r="A736" s="111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T736" s="112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</row>
    <row r="737" ht="12.0" customHeight="1">
      <c r="A737" s="111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T737" s="112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</row>
    <row r="738" ht="12.0" customHeight="1">
      <c r="A738" s="111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T738" s="112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</row>
    <row r="739" ht="12.0" customHeight="1">
      <c r="A739" s="111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T739" s="112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</row>
    <row r="740" ht="12.0" customHeight="1">
      <c r="A740" s="111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T740" s="112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</row>
    <row r="741" ht="12.0" customHeight="1">
      <c r="A741" s="111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T741" s="112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</row>
    <row r="742" ht="12.0" customHeight="1">
      <c r="A742" s="111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T742" s="112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</row>
    <row r="743" ht="12.0" customHeight="1">
      <c r="A743" s="111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T743" s="112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</row>
    <row r="744" ht="12.0" customHeight="1">
      <c r="A744" s="111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T744" s="112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</row>
    <row r="745" ht="12.0" customHeight="1">
      <c r="A745" s="111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T745" s="112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</row>
    <row r="746" ht="12.0" customHeight="1">
      <c r="A746" s="111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T746" s="112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</row>
    <row r="747" ht="12.0" customHeight="1">
      <c r="A747" s="111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T747" s="112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</row>
    <row r="748" ht="12.0" customHeight="1">
      <c r="A748" s="111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T748" s="112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</row>
    <row r="749" ht="12.0" customHeight="1">
      <c r="A749" s="111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T749" s="112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</row>
    <row r="750" ht="12.0" customHeight="1">
      <c r="A750" s="111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T750" s="112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</row>
    <row r="751" ht="12.0" customHeight="1">
      <c r="A751" s="111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T751" s="112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</row>
    <row r="752" ht="12.0" customHeight="1">
      <c r="A752" s="111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T752" s="112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</row>
    <row r="753" ht="12.0" customHeight="1">
      <c r="A753" s="111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T753" s="112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</row>
    <row r="754" ht="12.0" customHeight="1">
      <c r="A754" s="111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T754" s="112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</row>
    <row r="755" ht="12.0" customHeight="1">
      <c r="A755" s="111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T755" s="112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</row>
    <row r="756" ht="12.0" customHeight="1">
      <c r="A756" s="111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T756" s="112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</row>
    <row r="757" ht="12.0" customHeight="1">
      <c r="A757" s="111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</row>
    <row r="758" ht="12.0" customHeight="1">
      <c r="A758" s="111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T758" s="112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</row>
    <row r="759" ht="12.0" customHeight="1">
      <c r="A759" s="111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T759" s="112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</row>
    <row r="760" ht="12.0" customHeight="1">
      <c r="A760" s="111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T760" s="112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</row>
    <row r="761" ht="12.0" customHeight="1">
      <c r="A761" s="111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T761" s="112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</row>
    <row r="762" ht="12.0" customHeight="1">
      <c r="A762" s="111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T762" s="112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</row>
    <row r="763" ht="12.0" customHeight="1">
      <c r="A763" s="111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T763" s="112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</row>
    <row r="764" ht="12.0" customHeight="1">
      <c r="A764" s="111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</row>
    <row r="765" ht="12.0" customHeight="1">
      <c r="A765" s="111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T765" s="112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</row>
    <row r="766" ht="12.0" customHeight="1">
      <c r="A766" s="111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T766" s="112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</row>
    <row r="767" ht="12.0" customHeight="1">
      <c r="A767" s="111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T767" s="112"/>
      <c r="AU767" s="112"/>
      <c r="AV767" s="112"/>
      <c r="AW767" s="112"/>
      <c r="AX767" s="112"/>
      <c r="AY767" s="112"/>
      <c r="AZ767" s="112"/>
      <c r="BA767" s="112"/>
      <c r="BB767" s="112"/>
      <c r="BC767" s="112"/>
      <c r="BD767" s="112"/>
      <c r="BE767" s="112"/>
      <c r="BF767" s="112"/>
      <c r="BG767" s="112"/>
      <c r="BH767" s="112"/>
      <c r="BI767" s="112"/>
      <c r="BJ767" s="112"/>
      <c r="BK767" s="112"/>
      <c r="BL767" s="112"/>
      <c r="BM767" s="112"/>
      <c r="BN767" s="112"/>
      <c r="BO767" s="112"/>
      <c r="BP767" s="112"/>
    </row>
    <row r="768" ht="12.0" customHeight="1">
      <c r="A768" s="111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T768" s="112"/>
      <c r="AU768" s="112"/>
      <c r="AV768" s="112"/>
      <c r="AW768" s="112"/>
      <c r="AX768" s="112"/>
      <c r="AY768" s="112"/>
      <c r="AZ768" s="112"/>
      <c r="BA768" s="112"/>
      <c r="BB768" s="112"/>
      <c r="BC768" s="112"/>
      <c r="BD768" s="112"/>
      <c r="BE768" s="112"/>
      <c r="BF768" s="112"/>
      <c r="BG768" s="112"/>
      <c r="BH768" s="112"/>
      <c r="BI768" s="112"/>
      <c r="BJ768" s="112"/>
      <c r="BK768" s="112"/>
      <c r="BL768" s="112"/>
      <c r="BM768" s="112"/>
      <c r="BN768" s="112"/>
      <c r="BO768" s="112"/>
      <c r="BP768" s="112"/>
    </row>
    <row r="769" ht="12.0" customHeight="1">
      <c r="A769" s="111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T769" s="112"/>
      <c r="AU769" s="112"/>
      <c r="AV769" s="112"/>
      <c r="AW769" s="112"/>
      <c r="AX769" s="112"/>
      <c r="AY769" s="112"/>
      <c r="AZ769" s="112"/>
      <c r="BA769" s="112"/>
      <c r="BB769" s="112"/>
      <c r="BC769" s="112"/>
      <c r="BD769" s="112"/>
      <c r="BE769" s="112"/>
      <c r="BF769" s="112"/>
      <c r="BG769" s="112"/>
      <c r="BH769" s="112"/>
      <c r="BI769" s="112"/>
      <c r="BJ769" s="112"/>
      <c r="BK769" s="112"/>
      <c r="BL769" s="112"/>
      <c r="BM769" s="112"/>
      <c r="BN769" s="112"/>
      <c r="BO769" s="112"/>
      <c r="BP769" s="112"/>
    </row>
    <row r="770" ht="12.0" customHeight="1">
      <c r="A770" s="111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T770" s="112"/>
      <c r="AU770" s="112"/>
      <c r="AV770" s="112"/>
      <c r="AW770" s="112"/>
      <c r="AX770" s="112"/>
      <c r="AY770" s="112"/>
      <c r="AZ770" s="112"/>
      <c r="BA770" s="112"/>
      <c r="BB770" s="112"/>
      <c r="BC770" s="112"/>
      <c r="BD770" s="112"/>
      <c r="BE770" s="112"/>
      <c r="BF770" s="112"/>
      <c r="BG770" s="112"/>
      <c r="BH770" s="112"/>
      <c r="BI770" s="112"/>
      <c r="BJ770" s="112"/>
      <c r="BK770" s="112"/>
      <c r="BL770" s="112"/>
      <c r="BM770" s="112"/>
      <c r="BN770" s="112"/>
      <c r="BO770" s="112"/>
      <c r="BP770" s="112"/>
    </row>
    <row r="771" ht="12.0" customHeight="1">
      <c r="A771" s="111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T771" s="112"/>
      <c r="AU771" s="112"/>
      <c r="AV771" s="112"/>
      <c r="AW771" s="112"/>
      <c r="AX771" s="112"/>
      <c r="AY771" s="112"/>
      <c r="AZ771" s="112"/>
      <c r="BA771" s="112"/>
      <c r="BB771" s="112"/>
      <c r="BC771" s="112"/>
      <c r="BD771" s="112"/>
      <c r="BE771" s="112"/>
      <c r="BF771" s="112"/>
      <c r="BG771" s="112"/>
      <c r="BH771" s="112"/>
      <c r="BI771" s="112"/>
      <c r="BJ771" s="112"/>
      <c r="BK771" s="112"/>
      <c r="BL771" s="112"/>
      <c r="BM771" s="112"/>
      <c r="BN771" s="112"/>
      <c r="BO771" s="112"/>
      <c r="BP771" s="112"/>
    </row>
    <row r="772" ht="12.0" customHeight="1">
      <c r="A772" s="111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T772" s="112"/>
      <c r="AU772" s="112"/>
      <c r="AV772" s="112"/>
      <c r="AW772" s="112"/>
      <c r="AX772" s="112"/>
      <c r="AY772" s="112"/>
      <c r="AZ772" s="112"/>
      <c r="BA772" s="112"/>
      <c r="BB772" s="112"/>
      <c r="BC772" s="112"/>
      <c r="BD772" s="112"/>
      <c r="BE772" s="112"/>
      <c r="BF772" s="112"/>
      <c r="BG772" s="112"/>
      <c r="BH772" s="112"/>
      <c r="BI772" s="112"/>
      <c r="BJ772" s="112"/>
      <c r="BK772" s="112"/>
      <c r="BL772" s="112"/>
      <c r="BM772" s="112"/>
      <c r="BN772" s="112"/>
      <c r="BO772" s="112"/>
      <c r="BP772" s="112"/>
    </row>
    <row r="773" ht="12.0" customHeight="1">
      <c r="A773" s="111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T773" s="112"/>
      <c r="AU773" s="112"/>
      <c r="AV773" s="112"/>
      <c r="AW773" s="112"/>
      <c r="AX773" s="112"/>
      <c r="AY773" s="112"/>
      <c r="AZ773" s="112"/>
      <c r="BA773" s="112"/>
      <c r="BB773" s="112"/>
      <c r="BC773" s="112"/>
      <c r="BD773" s="112"/>
      <c r="BE773" s="112"/>
      <c r="BF773" s="112"/>
      <c r="BG773" s="112"/>
      <c r="BH773" s="112"/>
      <c r="BI773" s="112"/>
      <c r="BJ773" s="112"/>
      <c r="BK773" s="112"/>
      <c r="BL773" s="112"/>
      <c r="BM773" s="112"/>
      <c r="BN773" s="112"/>
      <c r="BO773" s="112"/>
      <c r="BP773" s="112"/>
    </row>
    <row r="774" ht="12.0" customHeight="1">
      <c r="A774" s="111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T774" s="112"/>
      <c r="AU774" s="112"/>
      <c r="AV774" s="112"/>
      <c r="AW774" s="112"/>
      <c r="AX774" s="112"/>
      <c r="AY774" s="112"/>
      <c r="AZ774" s="112"/>
      <c r="BA774" s="112"/>
      <c r="BB774" s="112"/>
      <c r="BC774" s="112"/>
      <c r="BD774" s="112"/>
      <c r="BE774" s="112"/>
      <c r="BF774" s="112"/>
      <c r="BG774" s="112"/>
      <c r="BH774" s="112"/>
      <c r="BI774" s="112"/>
      <c r="BJ774" s="112"/>
      <c r="BK774" s="112"/>
      <c r="BL774" s="112"/>
      <c r="BM774" s="112"/>
      <c r="BN774" s="112"/>
      <c r="BO774" s="112"/>
      <c r="BP774" s="112"/>
    </row>
    <row r="775" ht="12.0" customHeight="1">
      <c r="A775" s="111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T775" s="112"/>
      <c r="AU775" s="112"/>
      <c r="AV775" s="112"/>
      <c r="AW775" s="112"/>
      <c r="AX775" s="112"/>
      <c r="AY775" s="112"/>
      <c r="AZ775" s="112"/>
      <c r="BA775" s="112"/>
      <c r="BB775" s="112"/>
      <c r="BC775" s="112"/>
      <c r="BD775" s="112"/>
      <c r="BE775" s="112"/>
      <c r="BF775" s="112"/>
      <c r="BG775" s="112"/>
      <c r="BH775" s="112"/>
      <c r="BI775" s="112"/>
      <c r="BJ775" s="112"/>
      <c r="BK775" s="112"/>
      <c r="BL775" s="112"/>
      <c r="BM775" s="112"/>
      <c r="BN775" s="112"/>
      <c r="BO775" s="112"/>
      <c r="BP775" s="112"/>
    </row>
    <row r="776" ht="12.0" customHeight="1">
      <c r="A776" s="111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T776" s="112"/>
      <c r="AU776" s="112"/>
      <c r="AV776" s="112"/>
      <c r="AW776" s="112"/>
      <c r="AX776" s="112"/>
      <c r="AY776" s="112"/>
      <c r="AZ776" s="112"/>
      <c r="BA776" s="112"/>
      <c r="BB776" s="112"/>
      <c r="BC776" s="112"/>
      <c r="BD776" s="112"/>
      <c r="BE776" s="112"/>
      <c r="BF776" s="112"/>
      <c r="BG776" s="112"/>
      <c r="BH776" s="112"/>
      <c r="BI776" s="112"/>
      <c r="BJ776" s="112"/>
      <c r="BK776" s="112"/>
      <c r="BL776" s="112"/>
      <c r="BM776" s="112"/>
      <c r="BN776" s="112"/>
      <c r="BO776" s="112"/>
      <c r="BP776" s="112"/>
    </row>
    <row r="777" ht="12.0" customHeight="1">
      <c r="A777" s="111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T777" s="112"/>
      <c r="AU777" s="112"/>
      <c r="AV777" s="112"/>
      <c r="AW777" s="112"/>
      <c r="AX777" s="112"/>
      <c r="AY777" s="112"/>
      <c r="AZ777" s="112"/>
      <c r="BA777" s="112"/>
      <c r="BB777" s="112"/>
      <c r="BC777" s="112"/>
      <c r="BD777" s="112"/>
      <c r="BE777" s="112"/>
      <c r="BF777" s="112"/>
      <c r="BG777" s="112"/>
      <c r="BH777" s="112"/>
      <c r="BI777" s="112"/>
      <c r="BJ777" s="112"/>
      <c r="BK777" s="112"/>
      <c r="BL777" s="112"/>
      <c r="BM777" s="112"/>
      <c r="BN777" s="112"/>
      <c r="BO777" s="112"/>
      <c r="BP777" s="112"/>
    </row>
    <row r="778" ht="12.0" customHeight="1">
      <c r="A778" s="111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T778" s="112"/>
      <c r="AU778" s="112"/>
      <c r="AV778" s="112"/>
      <c r="AW778" s="112"/>
      <c r="AX778" s="112"/>
      <c r="AY778" s="112"/>
      <c r="AZ778" s="112"/>
      <c r="BA778" s="112"/>
      <c r="BB778" s="112"/>
      <c r="BC778" s="112"/>
      <c r="BD778" s="112"/>
      <c r="BE778" s="112"/>
      <c r="BF778" s="112"/>
      <c r="BG778" s="112"/>
      <c r="BH778" s="112"/>
      <c r="BI778" s="112"/>
      <c r="BJ778" s="112"/>
      <c r="BK778" s="112"/>
      <c r="BL778" s="112"/>
      <c r="BM778" s="112"/>
      <c r="BN778" s="112"/>
      <c r="BO778" s="112"/>
      <c r="BP778" s="112"/>
    </row>
    <row r="779" ht="12.0" customHeight="1">
      <c r="A779" s="111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T779" s="112"/>
      <c r="AU779" s="112"/>
      <c r="AV779" s="112"/>
      <c r="AW779" s="112"/>
      <c r="AX779" s="112"/>
      <c r="AY779" s="112"/>
      <c r="AZ779" s="112"/>
      <c r="BA779" s="112"/>
      <c r="BB779" s="112"/>
      <c r="BC779" s="112"/>
      <c r="BD779" s="112"/>
      <c r="BE779" s="112"/>
      <c r="BF779" s="112"/>
      <c r="BG779" s="112"/>
      <c r="BH779" s="112"/>
      <c r="BI779" s="112"/>
      <c r="BJ779" s="112"/>
      <c r="BK779" s="112"/>
      <c r="BL779" s="112"/>
      <c r="BM779" s="112"/>
      <c r="BN779" s="112"/>
      <c r="BO779" s="112"/>
      <c r="BP779" s="112"/>
    </row>
    <row r="780" ht="12.0" customHeight="1">
      <c r="A780" s="111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T780" s="112"/>
      <c r="AU780" s="112"/>
      <c r="AV780" s="112"/>
      <c r="AW780" s="112"/>
      <c r="AX780" s="112"/>
      <c r="AY780" s="112"/>
      <c r="AZ780" s="112"/>
      <c r="BA780" s="112"/>
      <c r="BB780" s="112"/>
      <c r="BC780" s="112"/>
      <c r="BD780" s="112"/>
      <c r="BE780" s="112"/>
      <c r="BF780" s="112"/>
      <c r="BG780" s="112"/>
      <c r="BH780" s="112"/>
      <c r="BI780" s="112"/>
      <c r="BJ780" s="112"/>
      <c r="BK780" s="112"/>
      <c r="BL780" s="112"/>
      <c r="BM780" s="112"/>
      <c r="BN780" s="112"/>
      <c r="BO780" s="112"/>
      <c r="BP780" s="112"/>
    </row>
    <row r="781" ht="12.0" customHeight="1">
      <c r="A781" s="111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T781" s="112"/>
      <c r="AU781" s="112"/>
      <c r="AV781" s="112"/>
      <c r="AW781" s="112"/>
      <c r="AX781" s="112"/>
      <c r="AY781" s="112"/>
      <c r="AZ781" s="112"/>
      <c r="BA781" s="112"/>
      <c r="BB781" s="112"/>
      <c r="BC781" s="112"/>
      <c r="BD781" s="112"/>
      <c r="BE781" s="112"/>
      <c r="BF781" s="112"/>
      <c r="BG781" s="112"/>
      <c r="BH781" s="112"/>
      <c r="BI781" s="112"/>
      <c r="BJ781" s="112"/>
      <c r="BK781" s="112"/>
      <c r="BL781" s="112"/>
      <c r="BM781" s="112"/>
      <c r="BN781" s="112"/>
      <c r="BO781" s="112"/>
      <c r="BP781" s="112"/>
    </row>
    <row r="782" ht="12.0" customHeight="1">
      <c r="A782" s="111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T782" s="112"/>
      <c r="AU782" s="112"/>
      <c r="AV782" s="112"/>
      <c r="AW782" s="112"/>
      <c r="AX782" s="112"/>
      <c r="AY782" s="112"/>
      <c r="AZ782" s="112"/>
      <c r="BA782" s="112"/>
      <c r="BB782" s="112"/>
      <c r="BC782" s="112"/>
      <c r="BD782" s="112"/>
      <c r="BE782" s="112"/>
      <c r="BF782" s="112"/>
      <c r="BG782" s="112"/>
      <c r="BH782" s="112"/>
      <c r="BI782" s="112"/>
      <c r="BJ782" s="112"/>
      <c r="BK782" s="112"/>
      <c r="BL782" s="112"/>
      <c r="BM782" s="112"/>
      <c r="BN782" s="112"/>
      <c r="BO782" s="112"/>
      <c r="BP782" s="112"/>
    </row>
    <row r="783" ht="12.0" customHeight="1">
      <c r="A783" s="111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112"/>
      <c r="AU783" s="112"/>
      <c r="AV783" s="112"/>
      <c r="AW783" s="112"/>
      <c r="AX783" s="112"/>
      <c r="AY783" s="112"/>
      <c r="AZ783" s="112"/>
      <c r="BA783" s="112"/>
      <c r="BB783" s="112"/>
      <c r="BC783" s="112"/>
      <c r="BD783" s="112"/>
      <c r="BE783" s="112"/>
      <c r="BF783" s="112"/>
      <c r="BG783" s="112"/>
      <c r="BH783" s="112"/>
      <c r="BI783" s="112"/>
      <c r="BJ783" s="112"/>
      <c r="BK783" s="112"/>
      <c r="BL783" s="112"/>
      <c r="BM783" s="112"/>
      <c r="BN783" s="112"/>
      <c r="BO783" s="112"/>
      <c r="BP783" s="112"/>
    </row>
    <row r="784" ht="12.0" customHeight="1">
      <c r="A784" s="111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T784" s="112"/>
      <c r="AU784" s="112"/>
      <c r="AV784" s="112"/>
      <c r="AW784" s="112"/>
      <c r="AX784" s="112"/>
      <c r="AY784" s="112"/>
      <c r="AZ784" s="112"/>
      <c r="BA784" s="112"/>
      <c r="BB784" s="112"/>
      <c r="BC784" s="112"/>
      <c r="BD784" s="112"/>
      <c r="BE784" s="112"/>
      <c r="BF784" s="112"/>
      <c r="BG784" s="112"/>
      <c r="BH784" s="112"/>
      <c r="BI784" s="112"/>
      <c r="BJ784" s="112"/>
      <c r="BK784" s="112"/>
      <c r="BL784" s="112"/>
      <c r="BM784" s="112"/>
      <c r="BN784" s="112"/>
      <c r="BO784" s="112"/>
      <c r="BP784" s="112"/>
    </row>
    <row r="785" ht="12.0" customHeight="1">
      <c r="A785" s="111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T785" s="112"/>
      <c r="AU785" s="112"/>
      <c r="AV785" s="112"/>
      <c r="AW785" s="112"/>
      <c r="AX785" s="112"/>
      <c r="AY785" s="112"/>
      <c r="AZ785" s="112"/>
      <c r="BA785" s="112"/>
      <c r="BB785" s="112"/>
      <c r="BC785" s="112"/>
      <c r="BD785" s="112"/>
      <c r="BE785" s="112"/>
      <c r="BF785" s="112"/>
      <c r="BG785" s="112"/>
      <c r="BH785" s="112"/>
      <c r="BI785" s="112"/>
      <c r="BJ785" s="112"/>
      <c r="BK785" s="112"/>
      <c r="BL785" s="112"/>
      <c r="BM785" s="112"/>
      <c r="BN785" s="112"/>
      <c r="BO785" s="112"/>
      <c r="BP785" s="112"/>
    </row>
    <row r="786" ht="12.0" customHeight="1">
      <c r="A786" s="111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T786" s="112"/>
      <c r="AU786" s="112"/>
      <c r="AV786" s="112"/>
      <c r="AW786" s="112"/>
      <c r="AX786" s="112"/>
      <c r="AY786" s="112"/>
      <c r="AZ786" s="112"/>
      <c r="BA786" s="112"/>
      <c r="BB786" s="112"/>
      <c r="BC786" s="112"/>
      <c r="BD786" s="112"/>
      <c r="BE786" s="112"/>
      <c r="BF786" s="112"/>
      <c r="BG786" s="112"/>
      <c r="BH786" s="112"/>
      <c r="BI786" s="112"/>
      <c r="BJ786" s="112"/>
      <c r="BK786" s="112"/>
      <c r="BL786" s="112"/>
      <c r="BM786" s="112"/>
      <c r="BN786" s="112"/>
      <c r="BO786" s="112"/>
      <c r="BP786" s="112"/>
    </row>
    <row r="787" ht="12.0" customHeight="1">
      <c r="A787" s="111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T787" s="112"/>
      <c r="AU787" s="112"/>
      <c r="AV787" s="112"/>
      <c r="AW787" s="112"/>
      <c r="AX787" s="112"/>
      <c r="AY787" s="112"/>
      <c r="AZ787" s="112"/>
      <c r="BA787" s="112"/>
      <c r="BB787" s="112"/>
      <c r="BC787" s="112"/>
      <c r="BD787" s="112"/>
      <c r="BE787" s="112"/>
      <c r="BF787" s="112"/>
      <c r="BG787" s="112"/>
      <c r="BH787" s="112"/>
      <c r="BI787" s="112"/>
      <c r="BJ787" s="112"/>
      <c r="BK787" s="112"/>
      <c r="BL787" s="112"/>
      <c r="BM787" s="112"/>
      <c r="BN787" s="112"/>
      <c r="BO787" s="112"/>
      <c r="BP787" s="112"/>
    </row>
    <row r="788" ht="12.0" customHeight="1">
      <c r="A788" s="111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T788" s="112"/>
      <c r="AU788" s="112"/>
      <c r="AV788" s="112"/>
      <c r="AW788" s="112"/>
      <c r="AX788" s="112"/>
      <c r="AY788" s="112"/>
      <c r="AZ788" s="112"/>
      <c r="BA788" s="112"/>
      <c r="BB788" s="112"/>
      <c r="BC788" s="112"/>
      <c r="BD788" s="112"/>
      <c r="BE788" s="112"/>
      <c r="BF788" s="112"/>
      <c r="BG788" s="112"/>
      <c r="BH788" s="112"/>
      <c r="BI788" s="112"/>
      <c r="BJ788" s="112"/>
      <c r="BK788" s="112"/>
      <c r="BL788" s="112"/>
      <c r="BM788" s="112"/>
      <c r="BN788" s="112"/>
      <c r="BO788" s="112"/>
      <c r="BP788" s="112"/>
    </row>
    <row r="789" ht="12.0" customHeight="1">
      <c r="A789" s="111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T789" s="112"/>
      <c r="AU789" s="112"/>
      <c r="AV789" s="112"/>
      <c r="AW789" s="112"/>
      <c r="AX789" s="112"/>
      <c r="AY789" s="112"/>
      <c r="AZ789" s="112"/>
      <c r="BA789" s="112"/>
      <c r="BB789" s="112"/>
      <c r="BC789" s="112"/>
      <c r="BD789" s="112"/>
      <c r="BE789" s="112"/>
      <c r="BF789" s="112"/>
      <c r="BG789" s="112"/>
      <c r="BH789" s="112"/>
      <c r="BI789" s="112"/>
      <c r="BJ789" s="112"/>
      <c r="BK789" s="112"/>
      <c r="BL789" s="112"/>
      <c r="BM789" s="112"/>
      <c r="BN789" s="112"/>
      <c r="BO789" s="112"/>
      <c r="BP789" s="112"/>
    </row>
    <row r="790" ht="12.0" customHeight="1">
      <c r="A790" s="111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T790" s="112"/>
      <c r="AU790" s="112"/>
      <c r="AV790" s="112"/>
      <c r="AW790" s="112"/>
      <c r="AX790" s="112"/>
      <c r="AY790" s="112"/>
      <c r="AZ790" s="112"/>
      <c r="BA790" s="112"/>
      <c r="BB790" s="112"/>
      <c r="BC790" s="112"/>
      <c r="BD790" s="112"/>
      <c r="BE790" s="112"/>
      <c r="BF790" s="112"/>
      <c r="BG790" s="112"/>
      <c r="BH790" s="112"/>
      <c r="BI790" s="112"/>
      <c r="BJ790" s="112"/>
      <c r="BK790" s="112"/>
      <c r="BL790" s="112"/>
      <c r="BM790" s="112"/>
      <c r="BN790" s="112"/>
      <c r="BO790" s="112"/>
      <c r="BP790" s="112"/>
    </row>
    <row r="791" ht="12.0" customHeight="1">
      <c r="A791" s="111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T791" s="112"/>
      <c r="AU791" s="112"/>
      <c r="AV791" s="112"/>
      <c r="AW791" s="112"/>
      <c r="AX791" s="112"/>
      <c r="AY791" s="112"/>
      <c r="AZ791" s="112"/>
      <c r="BA791" s="112"/>
      <c r="BB791" s="112"/>
      <c r="BC791" s="112"/>
      <c r="BD791" s="112"/>
      <c r="BE791" s="112"/>
      <c r="BF791" s="112"/>
      <c r="BG791" s="112"/>
      <c r="BH791" s="112"/>
      <c r="BI791" s="112"/>
      <c r="BJ791" s="112"/>
      <c r="BK791" s="112"/>
      <c r="BL791" s="112"/>
      <c r="BM791" s="112"/>
      <c r="BN791" s="112"/>
      <c r="BO791" s="112"/>
      <c r="BP791" s="112"/>
    </row>
    <row r="792" ht="12.0" customHeight="1">
      <c r="A792" s="111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T792" s="112"/>
      <c r="AU792" s="112"/>
      <c r="AV792" s="112"/>
      <c r="AW792" s="112"/>
      <c r="AX792" s="112"/>
      <c r="AY792" s="112"/>
      <c r="AZ792" s="112"/>
      <c r="BA792" s="112"/>
      <c r="BB792" s="112"/>
      <c r="BC792" s="112"/>
      <c r="BD792" s="112"/>
      <c r="BE792" s="112"/>
      <c r="BF792" s="112"/>
      <c r="BG792" s="112"/>
      <c r="BH792" s="112"/>
      <c r="BI792" s="112"/>
      <c r="BJ792" s="112"/>
      <c r="BK792" s="112"/>
      <c r="BL792" s="112"/>
      <c r="BM792" s="112"/>
      <c r="BN792" s="112"/>
      <c r="BO792" s="112"/>
      <c r="BP792" s="112"/>
    </row>
    <row r="793" ht="12.0" customHeight="1">
      <c r="A793" s="111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T793" s="112"/>
      <c r="AU793" s="112"/>
      <c r="AV793" s="112"/>
      <c r="AW793" s="112"/>
      <c r="AX793" s="112"/>
      <c r="AY793" s="112"/>
      <c r="AZ793" s="112"/>
      <c r="BA793" s="112"/>
      <c r="BB793" s="112"/>
      <c r="BC793" s="112"/>
      <c r="BD793" s="112"/>
      <c r="BE793" s="112"/>
      <c r="BF793" s="112"/>
      <c r="BG793" s="112"/>
      <c r="BH793" s="112"/>
      <c r="BI793" s="112"/>
      <c r="BJ793" s="112"/>
      <c r="BK793" s="112"/>
      <c r="BL793" s="112"/>
      <c r="BM793" s="112"/>
      <c r="BN793" s="112"/>
      <c r="BO793" s="112"/>
      <c r="BP793" s="112"/>
    </row>
    <row r="794" ht="12.0" customHeight="1">
      <c r="A794" s="111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/>
      <c r="AU794" s="112"/>
      <c r="AV794" s="112"/>
      <c r="AW794" s="112"/>
      <c r="AX794" s="112"/>
      <c r="AY794" s="112"/>
      <c r="AZ794" s="112"/>
      <c r="BA794" s="112"/>
      <c r="BB794" s="112"/>
      <c r="BC794" s="112"/>
      <c r="BD794" s="112"/>
      <c r="BE794" s="112"/>
      <c r="BF794" s="112"/>
      <c r="BG794" s="112"/>
      <c r="BH794" s="112"/>
      <c r="BI794" s="112"/>
      <c r="BJ794" s="112"/>
      <c r="BK794" s="112"/>
      <c r="BL794" s="112"/>
      <c r="BM794" s="112"/>
      <c r="BN794" s="112"/>
      <c r="BO794" s="112"/>
      <c r="BP794" s="112"/>
    </row>
    <row r="795" ht="12.0" customHeight="1">
      <c r="A795" s="111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/>
      <c r="AU795" s="112"/>
      <c r="AV795" s="112"/>
      <c r="AW795" s="112"/>
      <c r="AX795" s="112"/>
      <c r="AY795" s="112"/>
      <c r="AZ795" s="112"/>
      <c r="BA795" s="112"/>
      <c r="BB795" s="112"/>
      <c r="BC795" s="112"/>
      <c r="BD795" s="112"/>
      <c r="BE795" s="112"/>
      <c r="BF795" s="112"/>
      <c r="BG795" s="112"/>
      <c r="BH795" s="112"/>
      <c r="BI795" s="112"/>
      <c r="BJ795" s="112"/>
      <c r="BK795" s="112"/>
      <c r="BL795" s="112"/>
      <c r="BM795" s="112"/>
      <c r="BN795" s="112"/>
      <c r="BO795" s="112"/>
      <c r="BP795" s="112"/>
    </row>
    <row r="796" ht="12.0" customHeight="1">
      <c r="A796" s="111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T796" s="112"/>
      <c r="AU796" s="112"/>
      <c r="AV796" s="112"/>
      <c r="AW796" s="112"/>
      <c r="AX796" s="112"/>
      <c r="AY796" s="112"/>
      <c r="AZ796" s="112"/>
      <c r="BA796" s="112"/>
      <c r="BB796" s="112"/>
      <c r="BC796" s="112"/>
      <c r="BD796" s="112"/>
      <c r="BE796" s="112"/>
      <c r="BF796" s="112"/>
      <c r="BG796" s="112"/>
      <c r="BH796" s="112"/>
      <c r="BI796" s="112"/>
      <c r="BJ796" s="112"/>
      <c r="BK796" s="112"/>
      <c r="BL796" s="112"/>
      <c r="BM796" s="112"/>
      <c r="BN796" s="112"/>
      <c r="BO796" s="112"/>
      <c r="BP796" s="112"/>
    </row>
    <row r="797" ht="12.0" customHeight="1">
      <c r="A797" s="111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T797" s="112"/>
      <c r="AU797" s="112"/>
      <c r="AV797" s="112"/>
      <c r="AW797" s="112"/>
      <c r="AX797" s="112"/>
      <c r="AY797" s="112"/>
      <c r="AZ797" s="112"/>
      <c r="BA797" s="112"/>
      <c r="BB797" s="112"/>
      <c r="BC797" s="112"/>
      <c r="BD797" s="112"/>
      <c r="BE797" s="112"/>
      <c r="BF797" s="112"/>
      <c r="BG797" s="112"/>
      <c r="BH797" s="112"/>
      <c r="BI797" s="112"/>
      <c r="BJ797" s="112"/>
      <c r="BK797" s="112"/>
      <c r="BL797" s="112"/>
      <c r="BM797" s="112"/>
      <c r="BN797" s="112"/>
      <c r="BO797" s="112"/>
      <c r="BP797" s="112"/>
    </row>
    <row r="798" ht="12.0" customHeight="1">
      <c r="A798" s="111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T798" s="112"/>
      <c r="AU798" s="112"/>
      <c r="AV798" s="112"/>
      <c r="AW798" s="112"/>
      <c r="AX798" s="112"/>
      <c r="AY798" s="112"/>
      <c r="AZ798" s="112"/>
      <c r="BA798" s="112"/>
      <c r="BB798" s="112"/>
      <c r="BC798" s="112"/>
      <c r="BD798" s="112"/>
      <c r="BE798" s="112"/>
      <c r="BF798" s="112"/>
      <c r="BG798" s="112"/>
      <c r="BH798" s="112"/>
      <c r="BI798" s="112"/>
      <c r="BJ798" s="112"/>
      <c r="BK798" s="112"/>
      <c r="BL798" s="112"/>
      <c r="BM798" s="112"/>
      <c r="BN798" s="112"/>
      <c r="BO798" s="112"/>
      <c r="BP798" s="112"/>
    </row>
    <row r="799" ht="12.0" customHeight="1">
      <c r="A799" s="111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T799" s="112"/>
      <c r="AU799" s="112"/>
      <c r="AV799" s="112"/>
      <c r="AW799" s="112"/>
      <c r="AX799" s="112"/>
      <c r="AY799" s="112"/>
      <c r="AZ799" s="112"/>
      <c r="BA799" s="112"/>
      <c r="BB799" s="112"/>
      <c r="BC799" s="112"/>
      <c r="BD799" s="112"/>
      <c r="BE799" s="112"/>
      <c r="BF799" s="112"/>
      <c r="BG799" s="112"/>
      <c r="BH799" s="112"/>
      <c r="BI799" s="112"/>
      <c r="BJ799" s="112"/>
      <c r="BK799" s="112"/>
      <c r="BL799" s="112"/>
      <c r="BM799" s="112"/>
      <c r="BN799" s="112"/>
      <c r="BO799" s="112"/>
      <c r="BP799" s="112"/>
    </row>
    <row r="800" ht="12.0" customHeight="1">
      <c r="A800" s="111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T800" s="112"/>
      <c r="AU800" s="112"/>
      <c r="AV800" s="112"/>
      <c r="AW800" s="112"/>
      <c r="AX800" s="112"/>
      <c r="AY800" s="112"/>
      <c r="AZ800" s="112"/>
      <c r="BA800" s="112"/>
      <c r="BB800" s="112"/>
      <c r="BC800" s="112"/>
      <c r="BD800" s="112"/>
      <c r="BE800" s="112"/>
      <c r="BF800" s="112"/>
      <c r="BG800" s="112"/>
      <c r="BH800" s="112"/>
      <c r="BI800" s="112"/>
      <c r="BJ800" s="112"/>
      <c r="BK800" s="112"/>
      <c r="BL800" s="112"/>
      <c r="BM800" s="112"/>
      <c r="BN800" s="112"/>
      <c r="BO800" s="112"/>
      <c r="BP800" s="112"/>
    </row>
    <row r="801" ht="12.0" customHeight="1">
      <c r="A801" s="111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T801" s="112"/>
      <c r="AU801" s="112"/>
      <c r="AV801" s="112"/>
      <c r="AW801" s="112"/>
      <c r="AX801" s="112"/>
      <c r="AY801" s="112"/>
      <c r="AZ801" s="112"/>
      <c r="BA801" s="112"/>
      <c r="BB801" s="112"/>
      <c r="BC801" s="112"/>
      <c r="BD801" s="112"/>
      <c r="BE801" s="112"/>
      <c r="BF801" s="112"/>
      <c r="BG801" s="112"/>
      <c r="BH801" s="112"/>
      <c r="BI801" s="112"/>
      <c r="BJ801" s="112"/>
      <c r="BK801" s="112"/>
      <c r="BL801" s="112"/>
      <c r="BM801" s="112"/>
      <c r="BN801" s="112"/>
      <c r="BO801" s="112"/>
      <c r="BP801" s="112"/>
    </row>
    <row r="802" ht="12.0" customHeight="1">
      <c r="A802" s="111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T802" s="112"/>
      <c r="AU802" s="112"/>
      <c r="AV802" s="112"/>
      <c r="AW802" s="112"/>
      <c r="AX802" s="112"/>
      <c r="AY802" s="112"/>
      <c r="AZ802" s="112"/>
      <c r="BA802" s="112"/>
      <c r="BB802" s="112"/>
      <c r="BC802" s="112"/>
      <c r="BD802" s="112"/>
      <c r="BE802" s="112"/>
      <c r="BF802" s="112"/>
      <c r="BG802" s="112"/>
      <c r="BH802" s="112"/>
      <c r="BI802" s="112"/>
      <c r="BJ802" s="112"/>
      <c r="BK802" s="112"/>
      <c r="BL802" s="112"/>
      <c r="BM802" s="112"/>
      <c r="BN802" s="112"/>
      <c r="BO802" s="112"/>
      <c r="BP802" s="112"/>
    </row>
    <row r="803" ht="12.0" customHeight="1">
      <c r="A803" s="111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T803" s="112"/>
      <c r="AU803" s="112"/>
      <c r="AV803" s="112"/>
      <c r="AW803" s="112"/>
      <c r="AX803" s="112"/>
      <c r="AY803" s="112"/>
      <c r="AZ803" s="112"/>
      <c r="BA803" s="112"/>
      <c r="BB803" s="112"/>
      <c r="BC803" s="112"/>
      <c r="BD803" s="112"/>
      <c r="BE803" s="112"/>
      <c r="BF803" s="112"/>
      <c r="BG803" s="112"/>
      <c r="BH803" s="112"/>
      <c r="BI803" s="112"/>
      <c r="BJ803" s="112"/>
      <c r="BK803" s="112"/>
      <c r="BL803" s="112"/>
      <c r="BM803" s="112"/>
      <c r="BN803" s="112"/>
      <c r="BO803" s="112"/>
      <c r="BP803" s="112"/>
    </row>
    <row r="804" ht="12.0" customHeight="1">
      <c r="A804" s="111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T804" s="112"/>
      <c r="AU804" s="112"/>
      <c r="AV804" s="112"/>
      <c r="AW804" s="112"/>
      <c r="AX804" s="112"/>
      <c r="AY804" s="112"/>
      <c r="AZ804" s="112"/>
      <c r="BA804" s="112"/>
      <c r="BB804" s="112"/>
      <c r="BC804" s="112"/>
      <c r="BD804" s="112"/>
      <c r="BE804" s="112"/>
      <c r="BF804" s="112"/>
      <c r="BG804" s="112"/>
      <c r="BH804" s="112"/>
      <c r="BI804" s="112"/>
      <c r="BJ804" s="112"/>
      <c r="BK804" s="112"/>
      <c r="BL804" s="112"/>
      <c r="BM804" s="112"/>
      <c r="BN804" s="112"/>
      <c r="BO804" s="112"/>
      <c r="BP804" s="112"/>
    </row>
    <row r="805" ht="12.0" customHeight="1">
      <c r="A805" s="111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T805" s="112"/>
      <c r="AU805" s="112"/>
      <c r="AV805" s="112"/>
      <c r="AW805" s="112"/>
      <c r="AX805" s="112"/>
      <c r="AY805" s="112"/>
      <c r="AZ805" s="112"/>
      <c r="BA805" s="112"/>
      <c r="BB805" s="112"/>
      <c r="BC805" s="112"/>
      <c r="BD805" s="112"/>
      <c r="BE805" s="112"/>
      <c r="BF805" s="112"/>
      <c r="BG805" s="112"/>
      <c r="BH805" s="112"/>
      <c r="BI805" s="112"/>
      <c r="BJ805" s="112"/>
      <c r="BK805" s="112"/>
      <c r="BL805" s="112"/>
      <c r="BM805" s="112"/>
      <c r="BN805" s="112"/>
      <c r="BO805" s="112"/>
      <c r="BP805" s="112"/>
    </row>
    <row r="806" ht="12.0" customHeight="1">
      <c r="A806" s="111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T806" s="112"/>
      <c r="AU806" s="112"/>
      <c r="AV806" s="112"/>
      <c r="AW806" s="112"/>
      <c r="AX806" s="112"/>
      <c r="AY806" s="112"/>
      <c r="AZ806" s="112"/>
      <c r="BA806" s="112"/>
      <c r="BB806" s="112"/>
      <c r="BC806" s="112"/>
      <c r="BD806" s="112"/>
      <c r="BE806" s="112"/>
      <c r="BF806" s="112"/>
      <c r="BG806" s="112"/>
      <c r="BH806" s="112"/>
      <c r="BI806" s="112"/>
      <c r="BJ806" s="112"/>
      <c r="BK806" s="112"/>
      <c r="BL806" s="112"/>
      <c r="BM806" s="112"/>
      <c r="BN806" s="112"/>
      <c r="BO806" s="112"/>
      <c r="BP806" s="112"/>
    </row>
    <row r="807" ht="12.0" customHeight="1">
      <c r="A807" s="111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T807" s="112"/>
      <c r="AU807" s="112"/>
      <c r="AV807" s="112"/>
      <c r="AW807" s="112"/>
      <c r="AX807" s="112"/>
      <c r="AY807" s="112"/>
      <c r="AZ807" s="112"/>
      <c r="BA807" s="112"/>
      <c r="BB807" s="112"/>
      <c r="BC807" s="112"/>
      <c r="BD807" s="112"/>
      <c r="BE807" s="112"/>
      <c r="BF807" s="112"/>
      <c r="BG807" s="112"/>
      <c r="BH807" s="112"/>
      <c r="BI807" s="112"/>
      <c r="BJ807" s="112"/>
      <c r="BK807" s="112"/>
      <c r="BL807" s="112"/>
      <c r="BM807" s="112"/>
      <c r="BN807" s="112"/>
      <c r="BO807" s="112"/>
      <c r="BP807" s="112"/>
    </row>
    <row r="808" ht="12.0" customHeight="1">
      <c r="A808" s="111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T808" s="112"/>
      <c r="AU808" s="112"/>
      <c r="AV808" s="112"/>
      <c r="AW808" s="112"/>
      <c r="AX808" s="112"/>
      <c r="AY808" s="112"/>
      <c r="AZ808" s="112"/>
      <c r="BA808" s="112"/>
      <c r="BB808" s="112"/>
      <c r="BC808" s="112"/>
      <c r="BD808" s="112"/>
      <c r="BE808" s="112"/>
      <c r="BF808" s="112"/>
      <c r="BG808" s="112"/>
      <c r="BH808" s="112"/>
      <c r="BI808" s="112"/>
      <c r="BJ808" s="112"/>
      <c r="BK808" s="112"/>
      <c r="BL808" s="112"/>
      <c r="BM808" s="112"/>
      <c r="BN808" s="112"/>
      <c r="BO808" s="112"/>
      <c r="BP808" s="112"/>
    </row>
    <row r="809" ht="12.0" customHeight="1">
      <c r="A809" s="111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T809" s="112"/>
      <c r="AU809" s="112"/>
      <c r="AV809" s="112"/>
      <c r="AW809" s="112"/>
      <c r="AX809" s="112"/>
      <c r="AY809" s="112"/>
      <c r="AZ809" s="112"/>
      <c r="BA809" s="112"/>
      <c r="BB809" s="112"/>
      <c r="BC809" s="112"/>
      <c r="BD809" s="112"/>
      <c r="BE809" s="112"/>
      <c r="BF809" s="112"/>
      <c r="BG809" s="112"/>
      <c r="BH809" s="112"/>
      <c r="BI809" s="112"/>
      <c r="BJ809" s="112"/>
      <c r="BK809" s="112"/>
      <c r="BL809" s="112"/>
      <c r="BM809" s="112"/>
      <c r="BN809" s="112"/>
      <c r="BO809" s="112"/>
      <c r="BP809" s="112"/>
    </row>
    <row r="810" ht="12.0" customHeight="1">
      <c r="A810" s="111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T810" s="112"/>
      <c r="AU810" s="112"/>
      <c r="AV810" s="112"/>
      <c r="AW810" s="112"/>
      <c r="AX810" s="112"/>
      <c r="AY810" s="112"/>
      <c r="AZ810" s="112"/>
      <c r="BA810" s="112"/>
      <c r="BB810" s="112"/>
      <c r="BC810" s="112"/>
      <c r="BD810" s="112"/>
      <c r="BE810" s="112"/>
      <c r="BF810" s="112"/>
      <c r="BG810" s="112"/>
      <c r="BH810" s="112"/>
      <c r="BI810" s="112"/>
      <c r="BJ810" s="112"/>
      <c r="BK810" s="112"/>
      <c r="BL810" s="112"/>
      <c r="BM810" s="112"/>
      <c r="BN810" s="112"/>
      <c r="BO810" s="112"/>
      <c r="BP810" s="112"/>
    </row>
    <row r="811" ht="12.0" customHeight="1">
      <c r="A811" s="111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T811" s="112"/>
      <c r="AU811" s="112"/>
      <c r="AV811" s="112"/>
      <c r="AW811" s="112"/>
      <c r="AX811" s="112"/>
      <c r="AY811" s="112"/>
      <c r="AZ811" s="112"/>
      <c r="BA811" s="112"/>
      <c r="BB811" s="112"/>
      <c r="BC811" s="112"/>
      <c r="BD811" s="112"/>
      <c r="BE811" s="112"/>
      <c r="BF811" s="112"/>
      <c r="BG811" s="112"/>
      <c r="BH811" s="112"/>
      <c r="BI811" s="112"/>
      <c r="BJ811" s="112"/>
      <c r="BK811" s="112"/>
      <c r="BL811" s="112"/>
      <c r="BM811" s="112"/>
      <c r="BN811" s="112"/>
      <c r="BO811" s="112"/>
      <c r="BP811" s="112"/>
    </row>
    <row r="812" ht="12.0" customHeight="1">
      <c r="A812" s="111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T812" s="112"/>
      <c r="AU812" s="112"/>
      <c r="AV812" s="112"/>
      <c r="AW812" s="112"/>
      <c r="AX812" s="112"/>
      <c r="AY812" s="112"/>
      <c r="AZ812" s="112"/>
      <c r="BA812" s="112"/>
      <c r="BB812" s="112"/>
      <c r="BC812" s="112"/>
      <c r="BD812" s="112"/>
      <c r="BE812" s="112"/>
      <c r="BF812" s="112"/>
      <c r="BG812" s="112"/>
      <c r="BH812" s="112"/>
      <c r="BI812" s="112"/>
      <c r="BJ812" s="112"/>
      <c r="BK812" s="112"/>
      <c r="BL812" s="112"/>
      <c r="BM812" s="112"/>
      <c r="BN812" s="112"/>
      <c r="BO812" s="112"/>
      <c r="BP812" s="112"/>
    </row>
    <row r="813" ht="12.0" customHeight="1">
      <c r="A813" s="111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T813" s="112"/>
      <c r="AU813" s="112"/>
      <c r="AV813" s="112"/>
      <c r="AW813" s="112"/>
      <c r="AX813" s="112"/>
      <c r="AY813" s="112"/>
      <c r="AZ813" s="112"/>
      <c r="BA813" s="112"/>
      <c r="BB813" s="112"/>
      <c r="BC813" s="112"/>
      <c r="BD813" s="112"/>
      <c r="BE813" s="112"/>
      <c r="BF813" s="112"/>
      <c r="BG813" s="112"/>
      <c r="BH813" s="112"/>
      <c r="BI813" s="112"/>
      <c r="BJ813" s="112"/>
      <c r="BK813" s="112"/>
      <c r="BL813" s="112"/>
      <c r="BM813" s="112"/>
      <c r="BN813" s="112"/>
      <c r="BO813" s="112"/>
      <c r="BP813" s="112"/>
    </row>
    <row r="814" ht="12.0" customHeight="1">
      <c r="A814" s="111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T814" s="112"/>
      <c r="AU814" s="112"/>
      <c r="AV814" s="112"/>
      <c r="AW814" s="112"/>
      <c r="AX814" s="112"/>
      <c r="AY814" s="112"/>
      <c r="AZ814" s="112"/>
      <c r="BA814" s="112"/>
      <c r="BB814" s="112"/>
      <c r="BC814" s="112"/>
      <c r="BD814" s="112"/>
      <c r="BE814" s="112"/>
      <c r="BF814" s="112"/>
      <c r="BG814" s="112"/>
      <c r="BH814" s="112"/>
      <c r="BI814" s="112"/>
      <c r="BJ814" s="112"/>
      <c r="BK814" s="112"/>
      <c r="BL814" s="112"/>
      <c r="BM814" s="112"/>
      <c r="BN814" s="112"/>
      <c r="BO814" s="112"/>
      <c r="BP814" s="112"/>
    </row>
    <row r="815" ht="12.0" customHeight="1">
      <c r="A815" s="111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T815" s="112"/>
      <c r="AU815" s="112"/>
      <c r="AV815" s="112"/>
      <c r="AW815" s="112"/>
      <c r="AX815" s="112"/>
      <c r="AY815" s="112"/>
      <c r="AZ815" s="112"/>
      <c r="BA815" s="112"/>
      <c r="BB815" s="112"/>
      <c r="BC815" s="112"/>
      <c r="BD815" s="112"/>
      <c r="BE815" s="112"/>
      <c r="BF815" s="112"/>
      <c r="BG815" s="112"/>
      <c r="BH815" s="112"/>
      <c r="BI815" s="112"/>
      <c r="BJ815" s="112"/>
      <c r="BK815" s="112"/>
      <c r="BL815" s="112"/>
      <c r="BM815" s="112"/>
      <c r="BN815" s="112"/>
      <c r="BO815" s="112"/>
      <c r="BP815" s="112"/>
    </row>
    <row r="816" ht="12.0" customHeight="1">
      <c r="A816" s="111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T816" s="112"/>
      <c r="AU816" s="112"/>
      <c r="AV816" s="112"/>
      <c r="AW816" s="112"/>
      <c r="AX816" s="112"/>
      <c r="AY816" s="112"/>
      <c r="AZ816" s="112"/>
      <c r="BA816" s="112"/>
      <c r="BB816" s="112"/>
      <c r="BC816" s="112"/>
      <c r="BD816" s="112"/>
      <c r="BE816" s="112"/>
      <c r="BF816" s="112"/>
      <c r="BG816" s="112"/>
      <c r="BH816" s="112"/>
      <c r="BI816" s="112"/>
      <c r="BJ816" s="112"/>
      <c r="BK816" s="112"/>
      <c r="BL816" s="112"/>
      <c r="BM816" s="112"/>
      <c r="BN816" s="112"/>
      <c r="BO816" s="112"/>
      <c r="BP816" s="112"/>
    </row>
    <row r="817" ht="12.0" customHeight="1">
      <c r="A817" s="111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T817" s="112"/>
      <c r="AU817" s="112"/>
      <c r="AV817" s="112"/>
      <c r="AW817" s="112"/>
      <c r="AX817" s="112"/>
      <c r="AY817" s="112"/>
      <c r="AZ817" s="112"/>
      <c r="BA817" s="112"/>
      <c r="BB817" s="112"/>
      <c r="BC817" s="112"/>
      <c r="BD817" s="112"/>
      <c r="BE817" s="112"/>
      <c r="BF817" s="112"/>
      <c r="BG817" s="112"/>
      <c r="BH817" s="112"/>
      <c r="BI817" s="112"/>
      <c r="BJ817" s="112"/>
      <c r="BK817" s="112"/>
      <c r="BL817" s="112"/>
      <c r="BM817" s="112"/>
      <c r="BN817" s="112"/>
      <c r="BO817" s="112"/>
      <c r="BP817" s="112"/>
    </row>
    <row r="818" ht="12.0" customHeight="1">
      <c r="A818" s="111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  <c r="AU818" s="112"/>
      <c r="AV818" s="112"/>
      <c r="AW818" s="112"/>
      <c r="AX818" s="112"/>
      <c r="AY818" s="112"/>
      <c r="AZ818" s="112"/>
      <c r="BA818" s="112"/>
      <c r="BB818" s="112"/>
      <c r="BC818" s="112"/>
      <c r="BD818" s="112"/>
      <c r="BE818" s="112"/>
      <c r="BF818" s="112"/>
      <c r="BG818" s="112"/>
      <c r="BH818" s="112"/>
      <c r="BI818" s="112"/>
      <c r="BJ818" s="112"/>
      <c r="BK818" s="112"/>
      <c r="BL818" s="112"/>
      <c r="BM818" s="112"/>
      <c r="BN818" s="112"/>
      <c r="BO818" s="112"/>
      <c r="BP818" s="112"/>
    </row>
    <row r="819" ht="12.0" customHeight="1">
      <c r="A819" s="111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  <c r="AU819" s="112"/>
      <c r="AV819" s="112"/>
      <c r="AW819" s="112"/>
      <c r="AX819" s="112"/>
      <c r="AY819" s="112"/>
      <c r="AZ819" s="112"/>
      <c r="BA819" s="112"/>
      <c r="BB819" s="112"/>
      <c r="BC819" s="112"/>
      <c r="BD819" s="112"/>
      <c r="BE819" s="112"/>
      <c r="BF819" s="112"/>
      <c r="BG819" s="112"/>
      <c r="BH819" s="112"/>
      <c r="BI819" s="112"/>
      <c r="BJ819" s="112"/>
      <c r="BK819" s="112"/>
      <c r="BL819" s="112"/>
      <c r="BM819" s="112"/>
      <c r="BN819" s="112"/>
      <c r="BO819" s="112"/>
      <c r="BP819" s="112"/>
    </row>
    <row r="820" ht="12.0" customHeight="1">
      <c r="A820" s="111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T820" s="112"/>
      <c r="AU820" s="112"/>
      <c r="AV820" s="112"/>
      <c r="AW820" s="112"/>
      <c r="AX820" s="112"/>
      <c r="AY820" s="112"/>
      <c r="AZ820" s="112"/>
      <c r="BA820" s="112"/>
      <c r="BB820" s="112"/>
      <c r="BC820" s="112"/>
      <c r="BD820" s="112"/>
      <c r="BE820" s="112"/>
      <c r="BF820" s="112"/>
      <c r="BG820" s="112"/>
      <c r="BH820" s="112"/>
      <c r="BI820" s="112"/>
      <c r="BJ820" s="112"/>
      <c r="BK820" s="112"/>
      <c r="BL820" s="112"/>
      <c r="BM820" s="112"/>
      <c r="BN820" s="112"/>
      <c r="BO820" s="112"/>
      <c r="BP820" s="112"/>
    </row>
    <row r="821" ht="12.0" customHeight="1">
      <c r="A821" s="111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T821" s="112"/>
      <c r="AU821" s="112"/>
      <c r="AV821" s="112"/>
      <c r="AW821" s="112"/>
      <c r="AX821" s="112"/>
      <c r="AY821" s="112"/>
      <c r="AZ821" s="112"/>
      <c r="BA821" s="112"/>
      <c r="BB821" s="112"/>
      <c r="BC821" s="112"/>
      <c r="BD821" s="112"/>
      <c r="BE821" s="112"/>
      <c r="BF821" s="112"/>
      <c r="BG821" s="112"/>
      <c r="BH821" s="112"/>
      <c r="BI821" s="112"/>
      <c r="BJ821" s="112"/>
      <c r="BK821" s="112"/>
      <c r="BL821" s="112"/>
      <c r="BM821" s="112"/>
      <c r="BN821" s="112"/>
      <c r="BO821" s="112"/>
      <c r="BP821" s="112"/>
    </row>
    <row r="822" ht="12.0" customHeight="1">
      <c r="A822" s="111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  <c r="AU822" s="112"/>
      <c r="AV822" s="112"/>
      <c r="AW822" s="112"/>
      <c r="AX822" s="112"/>
      <c r="AY822" s="112"/>
      <c r="AZ822" s="112"/>
      <c r="BA822" s="112"/>
      <c r="BB822" s="112"/>
      <c r="BC822" s="112"/>
      <c r="BD822" s="112"/>
      <c r="BE822" s="112"/>
      <c r="BF822" s="112"/>
      <c r="BG822" s="112"/>
      <c r="BH822" s="112"/>
      <c r="BI822" s="112"/>
      <c r="BJ822" s="112"/>
      <c r="BK822" s="112"/>
      <c r="BL822" s="112"/>
      <c r="BM822" s="112"/>
      <c r="BN822" s="112"/>
      <c r="BO822" s="112"/>
      <c r="BP822" s="112"/>
    </row>
    <row r="823" ht="12.0" customHeight="1">
      <c r="A823" s="111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T823" s="112"/>
      <c r="AU823" s="112"/>
      <c r="AV823" s="112"/>
      <c r="AW823" s="112"/>
      <c r="AX823" s="112"/>
      <c r="AY823" s="112"/>
      <c r="AZ823" s="112"/>
      <c r="BA823" s="112"/>
      <c r="BB823" s="112"/>
      <c r="BC823" s="112"/>
      <c r="BD823" s="112"/>
      <c r="BE823" s="112"/>
      <c r="BF823" s="112"/>
      <c r="BG823" s="112"/>
      <c r="BH823" s="112"/>
      <c r="BI823" s="112"/>
      <c r="BJ823" s="112"/>
      <c r="BK823" s="112"/>
      <c r="BL823" s="112"/>
      <c r="BM823" s="112"/>
      <c r="BN823" s="112"/>
      <c r="BO823" s="112"/>
      <c r="BP823" s="112"/>
    </row>
    <row r="824" ht="12.0" customHeight="1">
      <c r="A824" s="111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T824" s="112"/>
      <c r="AU824" s="112"/>
      <c r="AV824" s="112"/>
      <c r="AW824" s="112"/>
      <c r="AX824" s="112"/>
      <c r="AY824" s="112"/>
      <c r="AZ824" s="112"/>
      <c r="BA824" s="112"/>
      <c r="BB824" s="112"/>
      <c r="BC824" s="112"/>
      <c r="BD824" s="112"/>
      <c r="BE824" s="112"/>
      <c r="BF824" s="112"/>
      <c r="BG824" s="112"/>
      <c r="BH824" s="112"/>
      <c r="BI824" s="112"/>
      <c r="BJ824" s="112"/>
      <c r="BK824" s="112"/>
      <c r="BL824" s="112"/>
      <c r="BM824" s="112"/>
      <c r="BN824" s="112"/>
      <c r="BO824" s="112"/>
      <c r="BP824" s="112"/>
    </row>
    <row r="825" ht="12.0" customHeight="1">
      <c r="A825" s="111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T825" s="112"/>
      <c r="AU825" s="112"/>
      <c r="AV825" s="112"/>
      <c r="AW825" s="112"/>
      <c r="AX825" s="112"/>
      <c r="AY825" s="112"/>
      <c r="AZ825" s="112"/>
      <c r="BA825" s="112"/>
      <c r="BB825" s="112"/>
      <c r="BC825" s="112"/>
      <c r="BD825" s="112"/>
      <c r="BE825" s="112"/>
      <c r="BF825" s="112"/>
      <c r="BG825" s="112"/>
      <c r="BH825" s="112"/>
      <c r="BI825" s="112"/>
      <c r="BJ825" s="112"/>
      <c r="BK825" s="112"/>
      <c r="BL825" s="112"/>
      <c r="BM825" s="112"/>
      <c r="BN825" s="112"/>
      <c r="BO825" s="112"/>
      <c r="BP825" s="112"/>
    </row>
    <row r="826" ht="12.0" customHeight="1">
      <c r="A826" s="111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T826" s="112"/>
      <c r="AU826" s="112"/>
      <c r="AV826" s="112"/>
      <c r="AW826" s="112"/>
      <c r="AX826" s="112"/>
      <c r="AY826" s="112"/>
      <c r="AZ826" s="112"/>
      <c r="BA826" s="112"/>
      <c r="BB826" s="112"/>
      <c r="BC826" s="112"/>
      <c r="BD826" s="112"/>
      <c r="BE826" s="112"/>
      <c r="BF826" s="112"/>
      <c r="BG826" s="112"/>
      <c r="BH826" s="112"/>
      <c r="BI826" s="112"/>
      <c r="BJ826" s="112"/>
      <c r="BK826" s="112"/>
      <c r="BL826" s="112"/>
      <c r="BM826" s="112"/>
      <c r="BN826" s="112"/>
      <c r="BO826" s="112"/>
      <c r="BP826" s="112"/>
    </row>
    <row r="827" ht="12.0" customHeight="1">
      <c r="A827" s="111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T827" s="112"/>
      <c r="AU827" s="112"/>
      <c r="AV827" s="112"/>
      <c r="AW827" s="112"/>
      <c r="AX827" s="112"/>
      <c r="AY827" s="112"/>
      <c r="AZ827" s="112"/>
      <c r="BA827" s="112"/>
      <c r="BB827" s="112"/>
      <c r="BC827" s="112"/>
      <c r="BD827" s="112"/>
      <c r="BE827" s="112"/>
      <c r="BF827" s="112"/>
      <c r="BG827" s="112"/>
      <c r="BH827" s="112"/>
      <c r="BI827" s="112"/>
      <c r="BJ827" s="112"/>
      <c r="BK827" s="112"/>
      <c r="BL827" s="112"/>
      <c r="BM827" s="112"/>
      <c r="BN827" s="112"/>
      <c r="BO827" s="112"/>
      <c r="BP827" s="112"/>
    </row>
    <row r="828" ht="12.0" customHeight="1">
      <c r="A828" s="111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T828" s="112"/>
      <c r="AU828" s="112"/>
      <c r="AV828" s="112"/>
      <c r="AW828" s="112"/>
      <c r="AX828" s="112"/>
      <c r="AY828" s="112"/>
      <c r="AZ828" s="112"/>
      <c r="BA828" s="112"/>
      <c r="BB828" s="112"/>
      <c r="BC828" s="112"/>
      <c r="BD828" s="112"/>
      <c r="BE828" s="112"/>
      <c r="BF828" s="112"/>
      <c r="BG828" s="112"/>
      <c r="BH828" s="112"/>
      <c r="BI828" s="112"/>
      <c r="BJ828" s="112"/>
      <c r="BK828" s="112"/>
      <c r="BL828" s="112"/>
      <c r="BM828" s="112"/>
      <c r="BN828" s="112"/>
      <c r="BO828" s="112"/>
      <c r="BP828" s="112"/>
    </row>
    <row r="829" ht="12.0" customHeight="1">
      <c r="A829" s="111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112"/>
      <c r="AU829" s="112"/>
      <c r="AV829" s="112"/>
      <c r="AW829" s="112"/>
      <c r="AX829" s="112"/>
      <c r="AY829" s="112"/>
      <c r="AZ829" s="112"/>
      <c r="BA829" s="112"/>
      <c r="BB829" s="112"/>
      <c r="BC829" s="112"/>
      <c r="BD829" s="112"/>
      <c r="BE829" s="112"/>
      <c r="BF829" s="112"/>
      <c r="BG829" s="112"/>
      <c r="BH829" s="112"/>
      <c r="BI829" s="112"/>
      <c r="BJ829" s="112"/>
      <c r="BK829" s="112"/>
      <c r="BL829" s="112"/>
      <c r="BM829" s="112"/>
      <c r="BN829" s="112"/>
      <c r="BO829" s="112"/>
      <c r="BP829" s="112"/>
    </row>
    <row r="830" ht="12.0" customHeight="1">
      <c r="A830" s="111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T830" s="112"/>
      <c r="AU830" s="112"/>
      <c r="AV830" s="112"/>
      <c r="AW830" s="112"/>
      <c r="AX830" s="112"/>
      <c r="AY830" s="112"/>
      <c r="AZ830" s="112"/>
      <c r="BA830" s="112"/>
      <c r="BB830" s="112"/>
      <c r="BC830" s="112"/>
      <c r="BD830" s="112"/>
      <c r="BE830" s="112"/>
      <c r="BF830" s="112"/>
      <c r="BG830" s="112"/>
      <c r="BH830" s="112"/>
      <c r="BI830" s="112"/>
      <c r="BJ830" s="112"/>
      <c r="BK830" s="112"/>
      <c r="BL830" s="112"/>
      <c r="BM830" s="112"/>
      <c r="BN830" s="112"/>
      <c r="BO830" s="112"/>
      <c r="BP830" s="112"/>
    </row>
    <row r="831" ht="12.0" customHeight="1">
      <c r="A831" s="111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T831" s="112"/>
      <c r="AU831" s="112"/>
      <c r="AV831" s="112"/>
      <c r="AW831" s="112"/>
      <c r="AX831" s="112"/>
      <c r="AY831" s="112"/>
      <c r="AZ831" s="112"/>
      <c r="BA831" s="112"/>
      <c r="BB831" s="112"/>
      <c r="BC831" s="112"/>
      <c r="BD831" s="112"/>
      <c r="BE831" s="112"/>
      <c r="BF831" s="112"/>
      <c r="BG831" s="112"/>
      <c r="BH831" s="112"/>
      <c r="BI831" s="112"/>
      <c r="BJ831" s="112"/>
      <c r="BK831" s="112"/>
      <c r="BL831" s="112"/>
      <c r="BM831" s="112"/>
      <c r="BN831" s="112"/>
      <c r="BO831" s="112"/>
      <c r="BP831" s="112"/>
    </row>
    <row r="832" ht="12.0" customHeight="1">
      <c r="A832" s="111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T832" s="112"/>
      <c r="AU832" s="112"/>
      <c r="AV832" s="112"/>
      <c r="AW832" s="112"/>
      <c r="AX832" s="112"/>
      <c r="AY832" s="112"/>
      <c r="AZ832" s="112"/>
      <c r="BA832" s="112"/>
      <c r="BB832" s="112"/>
      <c r="BC832" s="112"/>
      <c r="BD832" s="112"/>
      <c r="BE832" s="112"/>
      <c r="BF832" s="112"/>
      <c r="BG832" s="112"/>
      <c r="BH832" s="112"/>
      <c r="BI832" s="112"/>
      <c r="BJ832" s="112"/>
      <c r="BK832" s="112"/>
      <c r="BL832" s="112"/>
      <c r="BM832" s="112"/>
      <c r="BN832" s="112"/>
      <c r="BO832" s="112"/>
      <c r="BP832" s="112"/>
    </row>
    <row r="833" ht="12.0" customHeight="1">
      <c r="A833" s="111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T833" s="112"/>
      <c r="AU833" s="112"/>
      <c r="AV833" s="112"/>
      <c r="AW833" s="112"/>
      <c r="AX833" s="112"/>
      <c r="AY833" s="112"/>
      <c r="AZ833" s="112"/>
      <c r="BA833" s="112"/>
      <c r="BB833" s="112"/>
      <c r="BC833" s="112"/>
      <c r="BD833" s="112"/>
      <c r="BE833" s="112"/>
      <c r="BF833" s="112"/>
      <c r="BG833" s="112"/>
      <c r="BH833" s="112"/>
      <c r="BI833" s="112"/>
      <c r="BJ833" s="112"/>
      <c r="BK833" s="112"/>
      <c r="BL833" s="112"/>
      <c r="BM833" s="112"/>
      <c r="BN833" s="112"/>
      <c r="BO833" s="112"/>
      <c r="BP833" s="112"/>
    </row>
    <row r="834" ht="12.0" customHeight="1">
      <c r="A834" s="111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T834" s="112"/>
      <c r="AU834" s="112"/>
      <c r="AV834" s="112"/>
      <c r="AW834" s="112"/>
      <c r="AX834" s="112"/>
      <c r="AY834" s="112"/>
      <c r="AZ834" s="112"/>
      <c r="BA834" s="112"/>
      <c r="BB834" s="112"/>
      <c r="BC834" s="112"/>
      <c r="BD834" s="112"/>
      <c r="BE834" s="112"/>
      <c r="BF834" s="112"/>
      <c r="BG834" s="112"/>
      <c r="BH834" s="112"/>
      <c r="BI834" s="112"/>
      <c r="BJ834" s="112"/>
      <c r="BK834" s="112"/>
      <c r="BL834" s="112"/>
      <c r="BM834" s="112"/>
      <c r="BN834" s="112"/>
      <c r="BO834" s="112"/>
      <c r="BP834" s="112"/>
    </row>
    <row r="835" ht="12.0" customHeight="1">
      <c r="A835" s="111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T835" s="112"/>
      <c r="AU835" s="112"/>
      <c r="AV835" s="112"/>
      <c r="AW835" s="112"/>
      <c r="AX835" s="112"/>
      <c r="AY835" s="112"/>
      <c r="AZ835" s="112"/>
      <c r="BA835" s="112"/>
      <c r="BB835" s="112"/>
      <c r="BC835" s="112"/>
      <c r="BD835" s="112"/>
      <c r="BE835" s="112"/>
      <c r="BF835" s="112"/>
      <c r="BG835" s="112"/>
      <c r="BH835" s="112"/>
      <c r="BI835" s="112"/>
      <c r="BJ835" s="112"/>
      <c r="BK835" s="112"/>
      <c r="BL835" s="112"/>
      <c r="BM835" s="112"/>
      <c r="BN835" s="112"/>
      <c r="BO835" s="112"/>
      <c r="BP835" s="112"/>
    </row>
    <row r="836" ht="12.0" customHeight="1">
      <c r="A836" s="111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T836" s="112"/>
      <c r="AU836" s="112"/>
      <c r="AV836" s="112"/>
      <c r="AW836" s="112"/>
      <c r="AX836" s="112"/>
      <c r="AY836" s="112"/>
      <c r="AZ836" s="112"/>
      <c r="BA836" s="112"/>
      <c r="BB836" s="112"/>
      <c r="BC836" s="112"/>
      <c r="BD836" s="112"/>
      <c r="BE836" s="112"/>
      <c r="BF836" s="112"/>
      <c r="BG836" s="112"/>
      <c r="BH836" s="112"/>
      <c r="BI836" s="112"/>
      <c r="BJ836" s="112"/>
      <c r="BK836" s="112"/>
      <c r="BL836" s="112"/>
      <c r="BM836" s="112"/>
      <c r="BN836" s="112"/>
      <c r="BO836" s="112"/>
      <c r="BP836" s="112"/>
    </row>
    <row r="837" ht="12.0" customHeight="1">
      <c r="A837" s="111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T837" s="112"/>
      <c r="AU837" s="112"/>
      <c r="AV837" s="112"/>
      <c r="AW837" s="112"/>
      <c r="AX837" s="112"/>
      <c r="AY837" s="112"/>
      <c r="AZ837" s="112"/>
      <c r="BA837" s="112"/>
      <c r="BB837" s="112"/>
      <c r="BC837" s="112"/>
      <c r="BD837" s="112"/>
      <c r="BE837" s="112"/>
      <c r="BF837" s="112"/>
      <c r="BG837" s="112"/>
      <c r="BH837" s="112"/>
      <c r="BI837" s="112"/>
      <c r="BJ837" s="112"/>
      <c r="BK837" s="112"/>
      <c r="BL837" s="112"/>
      <c r="BM837" s="112"/>
      <c r="BN837" s="112"/>
      <c r="BO837" s="112"/>
      <c r="BP837" s="112"/>
    </row>
    <row r="838" ht="12.0" customHeight="1">
      <c r="A838" s="111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T838" s="112"/>
      <c r="AU838" s="112"/>
      <c r="AV838" s="112"/>
      <c r="AW838" s="112"/>
      <c r="AX838" s="112"/>
      <c r="AY838" s="112"/>
      <c r="AZ838" s="112"/>
      <c r="BA838" s="112"/>
      <c r="BB838" s="112"/>
      <c r="BC838" s="112"/>
      <c r="BD838" s="112"/>
      <c r="BE838" s="112"/>
      <c r="BF838" s="112"/>
      <c r="BG838" s="112"/>
      <c r="BH838" s="112"/>
      <c r="BI838" s="112"/>
      <c r="BJ838" s="112"/>
      <c r="BK838" s="112"/>
      <c r="BL838" s="112"/>
      <c r="BM838" s="112"/>
      <c r="BN838" s="112"/>
      <c r="BO838" s="112"/>
      <c r="BP838" s="112"/>
    </row>
    <row r="839" ht="12.0" customHeight="1">
      <c r="A839" s="111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T839" s="112"/>
      <c r="AU839" s="112"/>
      <c r="AV839" s="112"/>
      <c r="AW839" s="112"/>
      <c r="AX839" s="112"/>
      <c r="AY839" s="112"/>
      <c r="AZ839" s="112"/>
      <c r="BA839" s="112"/>
      <c r="BB839" s="112"/>
      <c r="BC839" s="112"/>
      <c r="BD839" s="112"/>
      <c r="BE839" s="112"/>
      <c r="BF839" s="112"/>
      <c r="BG839" s="112"/>
      <c r="BH839" s="112"/>
      <c r="BI839" s="112"/>
      <c r="BJ839" s="112"/>
      <c r="BK839" s="112"/>
      <c r="BL839" s="112"/>
      <c r="BM839" s="112"/>
      <c r="BN839" s="112"/>
      <c r="BO839" s="112"/>
      <c r="BP839" s="112"/>
    </row>
    <row r="840" ht="12.0" customHeight="1">
      <c r="A840" s="111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T840" s="112"/>
      <c r="AU840" s="112"/>
      <c r="AV840" s="112"/>
      <c r="AW840" s="112"/>
      <c r="AX840" s="112"/>
      <c r="AY840" s="112"/>
      <c r="AZ840" s="112"/>
      <c r="BA840" s="112"/>
      <c r="BB840" s="112"/>
      <c r="BC840" s="112"/>
      <c r="BD840" s="112"/>
      <c r="BE840" s="112"/>
      <c r="BF840" s="112"/>
      <c r="BG840" s="112"/>
      <c r="BH840" s="112"/>
      <c r="BI840" s="112"/>
      <c r="BJ840" s="112"/>
      <c r="BK840" s="112"/>
      <c r="BL840" s="112"/>
      <c r="BM840" s="112"/>
      <c r="BN840" s="112"/>
      <c r="BO840" s="112"/>
      <c r="BP840" s="112"/>
    </row>
    <row r="841" ht="12.0" customHeight="1">
      <c r="A841" s="111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T841" s="112"/>
      <c r="AU841" s="112"/>
      <c r="AV841" s="112"/>
      <c r="AW841" s="112"/>
      <c r="AX841" s="112"/>
      <c r="AY841" s="112"/>
      <c r="AZ841" s="112"/>
      <c r="BA841" s="112"/>
      <c r="BB841" s="112"/>
      <c r="BC841" s="112"/>
      <c r="BD841" s="112"/>
      <c r="BE841" s="112"/>
      <c r="BF841" s="112"/>
      <c r="BG841" s="112"/>
      <c r="BH841" s="112"/>
      <c r="BI841" s="112"/>
      <c r="BJ841" s="112"/>
      <c r="BK841" s="112"/>
      <c r="BL841" s="112"/>
      <c r="BM841" s="112"/>
      <c r="BN841" s="112"/>
      <c r="BO841" s="112"/>
      <c r="BP841" s="112"/>
    </row>
    <row r="842" ht="12.0" customHeight="1">
      <c r="A842" s="111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T842" s="112"/>
      <c r="AU842" s="112"/>
      <c r="AV842" s="112"/>
      <c r="AW842" s="112"/>
      <c r="AX842" s="112"/>
      <c r="AY842" s="112"/>
      <c r="AZ842" s="112"/>
      <c r="BA842" s="112"/>
      <c r="BB842" s="112"/>
      <c r="BC842" s="112"/>
      <c r="BD842" s="112"/>
      <c r="BE842" s="112"/>
      <c r="BF842" s="112"/>
      <c r="BG842" s="112"/>
      <c r="BH842" s="112"/>
      <c r="BI842" s="112"/>
      <c r="BJ842" s="112"/>
      <c r="BK842" s="112"/>
      <c r="BL842" s="112"/>
      <c r="BM842" s="112"/>
      <c r="BN842" s="112"/>
      <c r="BO842" s="112"/>
      <c r="BP842" s="112"/>
    </row>
    <row r="843" ht="12.0" customHeight="1">
      <c r="A843" s="111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T843" s="112"/>
      <c r="AU843" s="112"/>
      <c r="AV843" s="112"/>
      <c r="AW843" s="112"/>
      <c r="AX843" s="112"/>
      <c r="AY843" s="112"/>
      <c r="AZ843" s="112"/>
      <c r="BA843" s="112"/>
      <c r="BB843" s="112"/>
      <c r="BC843" s="112"/>
      <c r="BD843" s="112"/>
      <c r="BE843" s="112"/>
      <c r="BF843" s="112"/>
      <c r="BG843" s="112"/>
      <c r="BH843" s="112"/>
      <c r="BI843" s="112"/>
      <c r="BJ843" s="112"/>
      <c r="BK843" s="112"/>
      <c r="BL843" s="112"/>
      <c r="BM843" s="112"/>
      <c r="BN843" s="112"/>
      <c r="BO843" s="112"/>
      <c r="BP843" s="112"/>
    </row>
    <row r="844" ht="12.0" customHeight="1">
      <c r="A844" s="111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T844" s="112"/>
      <c r="AU844" s="112"/>
      <c r="AV844" s="112"/>
      <c r="AW844" s="112"/>
      <c r="AX844" s="112"/>
      <c r="AY844" s="112"/>
      <c r="AZ844" s="112"/>
      <c r="BA844" s="112"/>
      <c r="BB844" s="112"/>
      <c r="BC844" s="112"/>
      <c r="BD844" s="112"/>
      <c r="BE844" s="112"/>
      <c r="BF844" s="112"/>
      <c r="BG844" s="112"/>
      <c r="BH844" s="112"/>
      <c r="BI844" s="112"/>
      <c r="BJ844" s="112"/>
      <c r="BK844" s="112"/>
      <c r="BL844" s="112"/>
      <c r="BM844" s="112"/>
      <c r="BN844" s="112"/>
      <c r="BO844" s="112"/>
      <c r="BP844" s="112"/>
    </row>
    <row r="845" ht="12.0" customHeight="1">
      <c r="A845" s="111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T845" s="112"/>
      <c r="AU845" s="112"/>
      <c r="AV845" s="112"/>
      <c r="AW845" s="112"/>
      <c r="AX845" s="112"/>
      <c r="AY845" s="112"/>
      <c r="AZ845" s="112"/>
      <c r="BA845" s="112"/>
      <c r="BB845" s="112"/>
      <c r="BC845" s="112"/>
      <c r="BD845" s="112"/>
      <c r="BE845" s="112"/>
      <c r="BF845" s="112"/>
      <c r="BG845" s="112"/>
      <c r="BH845" s="112"/>
      <c r="BI845" s="112"/>
      <c r="BJ845" s="112"/>
      <c r="BK845" s="112"/>
      <c r="BL845" s="112"/>
      <c r="BM845" s="112"/>
      <c r="BN845" s="112"/>
      <c r="BO845" s="112"/>
      <c r="BP845" s="112"/>
    </row>
    <row r="846" ht="12.0" customHeight="1">
      <c r="A846" s="111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T846" s="112"/>
      <c r="AU846" s="112"/>
      <c r="AV846" s="112"/>
      <c r="AW846" s="112"/>
      <c r="AX846" s="112"/>
      <c r="AY846" s="112"/>
      <c r="AZ846" s="112"/>
      <c r="BA846" s="112"/>
      <c r="BB846" s="112"/>
      <c r="BC846" s="112"/>
      <c r="BD846" s="112"/>
      <c r="BE846" s="112"/>
      <c r="BF846" s="112"/>
      <c r="BG846" s="112"/>
      <c r="BH846" s="112"/>
      <c r="BI846" s="112"/>
      <c r="BJ846" s="112"/>
      <c r="BK846" s="112"/>
      <c r="BL846" s="112"/>
      <c r="BM846" s="112"/>
      <c r="BN846" s="112"/>
      <c r="BO846" s="112"/>
      <c r="BP846" s="112"/>
    </row>
    <row r="847" ht="12.0" customHeight="1">
      <c r="A847" s="111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T847" s="112"/>
      <c r="AU847" s="112"/>
      <c r="AV847" s="112"/>
      <c r="AW847" s="112"/>
      <c r="AX847" s="112"/>
      <c r="AY847" s="112"/>
      <c r="AZ847" s="112"/>
      <c r="BA847" s="112"/>
      <c r="BB847" s="112"/>
      <c r="BC847" s="112"/>
      <c r="BD847" s="112"/>
      <c r="BE847" s="112"/>
      <c r="BF847" s="112"/>
      <c r="BG847" s="112"/>
      <c r="BH847" s="112"/>
      <c r="BI847" s="112"/>
      <c r="BJ847" s="112"/>
      <c r="BK847" s="112"/>
      <c r="BL847" s="112"/>
      <c r="BM847" s="112"/>
      <c r="BN847" s="112"/>
      <c r="BO847" s="112"/>
      <c r="BP847" s="112"/>
    </row>
    <row r="848" ht="12.0" customHeight="1">
      <c r="A848" s="111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T848" s="112"/>
      <c r="AU848" s="112"/>
      <c r="AV848" s="112"/>
      <c r="AW848" s="112"/>
      <c r="AX848" s="112"/>
      <c r="AY848" s="112"/>
      <c r="AZ848" s="112"/>
      <c r="BA848" s="112"/>
      <c r="BB848" s="112"/>
      <c r="BC848" s="112"/>
      <c r="BD848" s="112"/>
      <c r="BE848" s="112"/>
      <c r="BF848" s="112"/>
      <c r="BG848" s="112"/>
      <c r="BH848" s="112"/>
      <c r="BI848" s="112"/>
      <c r="BJ848" s="112"/>
      <c r="BK848" s="112"/>
      <c r="BL848" s="112"/>
      <c r="BM848" s="112"/>
      <c r="BN848" s="112"/>
      <c r="BO848" s="112"/>
      <c r="BP848" s="112"/>
    </row>
    <row r="849" ht="12.0" customHeight="1">
      <c r="A849" s="111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T849" s="112"/>
      <c r="AU849" s="112"/>
      <c r="AV849" s="112"/>
      <c r="AW849" s="112"/>
      <c r="AX849" s="112"/>
      <c r="AY849" s="112"/>
      <c r="AZ849" s="112"/>
      <c r="BA849" s="112"/>
      <c r="BB849" s="112"/>
      <c r="BC849" s="112"/>
      <c r="BD849" s="112"/>
      <c r="BE849" s="112"/>
      <c r="BF849" s="112"/>
      <c r="BG849" s="112"/>
      <c r="BH849" s="112"/>
      <c r="BI849" s="112"/>
      <c r="BJ849" s="112"/>
      <c r="BK849" s="112"/>
      <c r="BL849" s="112"/>
      <c r="BM849" s="112"/>
      <c r="BN849" s="112"/>
      <c r="BO849" s="112"/>
      <c r="BP849" s="112"/>
    </row>
    <row r="850" ht="12.0" customHeight="1">
      <c r="A850" s="111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T850" s="112"/>
      <c r="AU850" s="112"/>
      <c r="AV850" s="112"/>
      <c r="AW850" s="112"/>
      <c r="AX850" s="112"/>
      <c r="AY850" s="112"/>
      <c r="AZ850" s="112"/>
      <c r="BA850" s="112"/>
      <c r="BB850" s="112"/>
      <c r="BC850" s="112"/>
      <c r="BD850" s="112"/>
      <c r="BE850" s="112"/>
      <c r="BF850" s="112"/>
      <c r="BG850" s="112"/>
      <c r="BH850" s="112"/>
      <c r="BI850" s="112"/>
      <c r="BJ850" s="112"/>
      <c r="BK850" s="112"/>
      <c r="BL850" s="112"/>
      <c r="BM850" s="112"/>
      <c r="BN850" s="112"/>
      <c r="BO850" s="112"/>
      <c r="BP850" s="112"/>
    </row>
    <row r="851" ht="12.0" customHeight="1">
      <c r="A851" s="111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T851" s="112"/>
      <c r="AU851" s="112"/>
      <c r="AV851" s="112"/>
      <c r="AW851" s="112"/>
      <c r="AX851" s="112"/>
      <c r="AY851" s="112"/>
      <c r="AZ851" s="112"/>
      <c r="BA851" s="112"/>
      <c r="BB851" s="112"/>
      <c r="BC851" s="112"/>
      <c r="BD851" s="112"/>
      <c r="BE851" s="112"/>
      <c r="BF851" s="112"/>
      <c r="BG851" s="112"/>
      <c r="BH851" s="112"/>
      <c r="BI851" s="112"/>
      <c r="BJ851" s="112"/>
      <c r="BK851" s="112"/>
      <c r="BL851" s="112"/>
      <c r="BM851" s="112"/>
      <c r="BN851" s="112"/>
      <c r="BO851" s="112"/>
      <c r="BP851" s="112"/>
    </row>
    <row r="852" ht="12.0" customHeight="1">
      <c r="A852" s="111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T852" s="112"/>
      <c r="AU852" s="112"/>
      <c r="AV852" s="112"/>
      <c r="AW852" s="112"/>
      <c r="AX852" s="112"/>
      <c r="AY852" s="112"/>
      <c r="AZ852" s="112"/>
      <c r="BA852" s="112"/>
      <c r="BB852" s="112"/>
      <c r="BC852" s="112"/>
      <c r="BD852" s="112"/>
      <c r="BE852" s="112"/>
      <c r="BF852" s="112"/>
      <c r="BG852" s="112"/>
      <c r="BH852" s="112"/>
      <c r="BI852" s="112"/>
      <c r="BJ852" s="112"/>
      <c r="BK852" s="112"/>
      <c r="BL852" s="112"/>
      <c r="BM852" s="112"/>
      <c r="BN852" s="112"/>
      <c r="BO852" s="112"/>
      <c r="BP852" s="112"/>
    </row>
    <row r="853" ht="12.0" customHeight="1">
      <c r="A853" s="111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U853" s="112"/>
      <c r="AV853" s="112"/>
      <c r="AW853" s="112"/>
      <c r="AX853" s="112"/>
      <c r="AY853" s="112"/>
      <c r="AZ853" s="112"/>
      <c r="BA853" s="112"/>
      <c r="BB853" s="112"/>
      <c r="BC853" s="112"/>
      <c r="BD853" s="112"/>
      <c r="BE853" s="112"/>
      <c r="BF853" s="112"/>
      <c r="BG853" s="112"/>
      <c r="BH853" s="112"/>
      <c r="BI853" s="112"/>
      <c r="BJ853" s="112"/>
      <c r="BK853" s="112"/>
      <c r="BL853" s="112"/>
      <c r="BM853" s="112"/>
      <c r="BN853" s="112"/>
      <c r="BO853" s="112"/>
      <c r="BP853" s="112"/>
    </row>
    <row r="854" ht="12.0" customHeight="1">
      <c r="A854" s="111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T854" s="112"/>
      <c r="AU854" s="112"/>
      <c r="AV854" s="112"/>
      <c r="AW854" s="112"/>
      <c r="AX854" s="112"/>
      <c r="AY854" s="112"/>
      <c r="AZ854" s="112"/>
      <c r="BA854" s="112"/>
      <c r="BB854" s="112"/>
      <c r="BC854" s="112"/>
      <c r="BD854" s="112"/>
      <c r="BE854" s="112"/>
      <c r="BF854" s="112"/>
      <c r="BG854" s="112"/>
      <c r="BH854" s="112"/>
      <c r="BI854" s="112"/>
      <c r="BJ854" s="112"/>
      <c r="BK854" s="112"/>
      <c r="BL854" s="112"/>
      <c r="BM854" s="112"/>
      <c r="BN854" s="112"/>
      <c r="BO854" s="112"/>
      <c r="BP854" s="112"/>
    </row>
    <row r="855" ht="12.0" customHeight="1">
      <c r="A855" s="111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T855" s="112"/>
      <c r="AU855" s="112"/>
      <c r="AV855" s="112"/>
      <c r="AW855" s="112"/>
      <c r="AX855" s="112"/>
      <c r="AY855" s="112"/>
      <c r="AZ855" s="112"/>
      <c r="BA855" s="112"/>
      <c r="BB855" s="112"/>
      <c r="BC855" s="112"/>
      <c r="BD855" s="112"/>
      <c r="BE855" s="112"/>
      <c r="BF855" s="112"/>
      <c r="BG855" s="112"/>
      <c r="BH855" s="112"/>
      <c r="BI855" s="112"/>
      <c r="BJ855" s="112"/>
      <c r="BK855" s="112"/>
      <c r="BL855" s="112"/>
      <c r="BM855" s="112"/>
      <c r="BN855" s="112"/>
      <c r="BO855" s="112"/>
      <c r="BP855" s="112"/>
    </row>
    <row r="856" ht="12.0" customHeight="1">
      <c r="A856" s="111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T856" s="112"/>
      <c r="AU856" s="112"/>
      <c r="AV856" s="112"/>
      <c r="AW856" s="112"/>
      <c r="AX856" s="112"/>
      <c r="AY856" s="112"/>
      <c r="AZ856" s="112"/>
      <c r="BA856" s="112"/>
      <c r="BB856" s="112"/>
      <c r="BC856" s="112"/>
      <c r="BD856" s="112"/>
      <c r="BE856" s="112"/>
      <c r="BF856" s="112"/>
      <c r="BG856" s="112"/>
      <c r="BH856" s="112"/>
      <c r="BI856" s="112"/>
      <c r="BJ856" s="112"/>
      <c r="BK856" s="112"/>
      <c r="BL856" s="112"/>
      <c r="BM856" s="112"/>
      <c r="BN856" s="112"/>
      <c r="BO856" s="112"/>
      <c r="BP856" s="112"/>
    </row>
    <row r="857" ht="12.0" customHeight="1">
      <c r="A857" s="111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T857" s="112"/>
      <c r="AU857" s="112"/>
      <c r="AV857" s="112"/>
      <c r="AW857" s="112"/>
      <c r="AX857" s="112"/>
      <c r="AY857" s="112"/>
      <c r="AZ857" s="112"/>
      <c r="BA857" s="112"/>
      <c r="BB857" s="112"/>
      <c r="BC857" s="112"/>
      <c r="BD857" s="112"/>
      <c r="BE857" s="112"/>
      <c r="BF857" s="112"/>
      <c r="BG857" s="112"/>
      <c r="BH857" s="112"/>
      <c r="BI857" s="112"/>
      <c r="BJ857" s="112"/>
      <c r="BK857" s="112"/>
      <c r="BL857" s="112"/>
      <c r="BM857" s="112"/>
      <c r="BN857" s="112"/>
      <c r="BO857" s="112"/>
      <c r="BP857" s="112"/>
    </row>
    <row r="858" ht="12.0" customHeight="1">
      <c r="A858" s="111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T858" s="112"/>
      <c r="AU858" s="112"/>
      <c r="AV858" s="112"/>
      <c r="AW858" s="112"/>
      <c r="AX858" s="112"/>
      <c r="AY858" s="112"/>
      <c r="AZ858" s="112"/>
      <c r="BA858" s="112"/>
      <c r="BB858" s="112"/>
      <c r="BC858" s="112"/>
      <c r="BD858" s="112"/>
      <c r="BE858" s="112"/>
      <c r="BF858" s="112"/>
      <c r="BG858" s="112"/>
      <c r="BH858" s="112"/>
      <c r="BI858" s="112"/>
      <c r="BJ858" s="112"/>
      <c r="BK858" s="112"/>
      <c r="BL858" s="112"/>
      <c r="BM858" s="112"/>
      <c r="BN858" s="112"/>
      <c r="BO858" s="112"/>
      <c r="BP858" s="112"/>
    </row>
    <row r="859" ht="12.0" customHeight="1">
      <c r="A859" s="111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T859" s="112"/>
      <c r="AU859" s="112"/>
      <c r="AV859" s="112"/>
      <c r="AW859" s="112"/>
      <c r="AX859" s="112"/>
      <c r="AY859" s="112"/>
      <c r="AZ859" s="112"/>
      <c r="BA859" s="112"/>
      <c r="BB859" s="112"/>
      <c r="BC859" s="112"/>
      <c r="BD859" s="112"/>
      <c r="BE859" s="112"/>
      <c r="BF859" s="112"/>
      <c r="BG859" s="112"/>
      <c r="BH859" s="112"/>
      <c r="BI859" s="112"/>
      <c r="BJ859" s="112"/>
      <c r="BK859" s="112"/>
      <c r="BL859" s="112"/>
      <c r="BM859" s="112"/>
      <c r="BN859" s="112"/>
      <c r="BO859" s="112"/>
      <c r="BP859" s="112"/>
    </row>
    <row r="860" ht="12.0" customHeight="1">
      <c r="A860" s="111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T860" s="112"/>
      <c r="AU860" s="112"/>
      <c r="AV860" s="112"/>
      <c r="AW860" s="112"/>
      <c r="AX860" s="112"/>
      <c r="AY860" s="112"/>
      <c r="AZ860" s="112"/>
      <c r="BA860" s="112"/>
      <c r="BB860" s="112"/>
      <c r="BC860" s="112"/>
      <c r="BD860" s="112"/>
      <c r="BE860" s="112"/>
      <c r="BF860" s="112"/>
      <c r="BG860" s="112"/>
      <c r="BH860" s="112"/>
      <c r="BI860" s="112"/>
      <c r="BJ860" s="112"/>
      <c r="BK860" s="112"/>
      <c r="BL860" s="112"/>
      <c r="BM860" s="112"/>
      <c r="BN860" s="112"/>
      <c r="BO860" s="112"/>
      <c r="BP860" s="112"/>
    </row>
    <row r="861" ht="12.0" customHeight="1">
      <c r="A861" s="111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T861" s="112"/>
      <c r="AU861" s="112"/>
      <c r="AV861" s="112"/>
      <c r="AW861" s="112"/>
      <c r="AX861" s="112"/>
      <c r="AY861" s="112"/>
      <c r="AZ861" s="112"/>
      <c r="BA861" s="112"/>
      <c r="BB861" s="112"/>
      <c r="BC861" s="112"/>
      <c r="BD861" s="112"/>
      <c r="BE861" s="112"/>
      <c r="BF861" s="112"/>
      <c r="BG861" s="112"/>
      <c r="BH861" s="112"/>
      <c r="BI861" s="112"/>
      <c r="BJ861" s="112"/>
      <c r="BK861" s="112"/>
      <c r="BL861" s="112"/>
      <c r="BM861" s="112"/>
      <c r="BN861" s="112"/>
      <c r="BO861" s="112"/>
      <c r="BP861" s="112"/>
    </row>
    <row r="862" ht="12.0" customHeight="1">
      <c r="A862" s="111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T862" s="112"/>
      <c r="AU862" s="112"/>
      <c r="AV862" s="112"/>
      <c r="AW862" s="112"/>
      <c r="AX862" s="112"/>
      <c r="AY862" s="112"/>
      <c r="AZ862" s="112"/>
      <c r="BA862" s="112"/>
      <c r="BB862" s="112"/>
      <c r="BC862" s="112"/>
      <c r="BD862" s="112"/>
      <c r="BE862" s="112"/>
      <c r="BF862" s="112"/>
      <c r="BG862" s="112"/>
      <c r="BH862" s="112"/>
      <c r="BI862" s="112"/>
      <c r="BJ862" s="112"/>
      <c r="BK862" s="112"/>
      <c r="BL862" s="112"/>
      <c r="BM862" s="112"/>
      <c r="BN862" s="112"/>
      <c r="BO862" s="112"/>
      <c r="BP862" s="112"/>
    </row>
    <row r="863" ht="12.0" customHeight="1">
      <c r="A863" s="111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T863" s="112"/>
      <c r="AU863" s="112"/>
      <c r="AV863" s="112"/>
      <c r="AW863" s="112"/>
      <c r="AX863" s="112"/>
      <c r="AY863" s="112"/>
      <c r="AZ863" s="112"/>
      <c r="BA863" s="112"/>
      <c r="BB863" s="112"/>
      <c r="BC863" s="112"/>
      <c r="BD863" s="112"/>
      <c r="BE863" s="112"/>
      <c r="BF863" s="112"/>
      <c r="BG863" s="112"/>
      <c r="BH863" s="112"/>
      <c r="BI863" s="112"/>
      <c r="BJ863" s="112"/>
      <c r="BK863" s="112"/>
      <c r="BL863" s="112"/>
      <c r="BM863" s="112"/>
      <c r="BN863" s="112"/>
      <c r="BO863" s="112"/>
      <c r="BP863" s="112"/>
    </row>
    <row r="864" ht="12.0" customHeight="1">
      <c r="A864" s="111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112"/>
      <c r="AU864" s="112"/>
      <c r="AV864" s="112"/>
      <c r="AW864" s="112"/>
      <c r="AX864" s="112"/>
      <c r="AY864" s="112"/>
      <c r="AZ864" s="112"/>
      <c r="BA864" s="112"/>
      <c r="BB864" s="112"/>
      <c r="BC864" s="112"/>
      <c r="BD864" s="112"/>
      <c r="BE864" s="112"/>
      <c r="BF864" s="112"/>
      <c r="BG864" s="112"/>
      <c r="BH864" s="112"/>
      <c r="BI864" s="112"/>
      <c r="BJ864" s="112"/>
      <c r="BK864" s="112"/>
      <c r="BL864" s="112"/>
      <c r="BM864" s="112"/>
      <c r="BN864" s="112"/>
      <c r="BO864" s="112"/>
      <c r="BP864" s="112"/>
    </row>
    <row r="865" ht="12.0" customHeight="1">
      <c r="A865" s="111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T865" s="112"/>
      <c r="AU865" s="112"/>
      <c r="AV865" s="112"/>
      <c r="AW865" s="112"/>
      <c r="AX865" s="112"/>
      <c r="AY865" s="112"/>
      <c r="AZ865" s="112"/>
      <c r="BA865" s="112"/>
      <c r="BB865" s="112"/>
      <c r="BC865" s="112"/>
      <c r="BD865" s="112"/>
      <c r="BE865" s="112"/>
      <c r="BF865" s="112"/>
      <c r="BG865" s="112"/>
      <c r="BH865" s="112"/>
      <c r="BI865" s="112"/>
      <c r="BJ865" s="112"/>
      <c r="BK865" s="112"/>
      <c r="BL865" s="112"/>
      <c r="BM865" s="112"/>
      <c r="BN865" s="112"/>
      <c r="BO865" s="112"/>
      <c r="BP865" s="112"/>
    </row>
    <row r="866" ht="12.0" customHeight="1">
      <c r="A866" s="111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T866" s="112"/>
      <c r="AU866" s="112"/>
      <c r="AV866" s="112"/>
      <c r="AW866" s="112"/>
      <c r="AX866" s="112"/>
      <c r="AY866" s="112"/>
      <c r="AZ866" s="112"/>
      <c r="BA866" s="112"/>
      <c r="BB866" s="112"/>
      <c r="BC866" s="112"/>
      <c r="BD866" s="112"/>
      <c r="BE866" s="112"/>
      <c r="BF866" s="112"/>
      <c r="BG866" s="112"/>
      <c r="BH866" s="112"/>
      <c r="BI866" s="112"/>
      <c r="BJ866" s="112"/>
      <c r="BK866" s="112"/>
      <c r="BL866" s="112"/>
      <c r="BM866" s="112"/>
      <c r="BN866" s="112"/>
      <c r="BO866" s="112"/>
      <c r="BP866" s="112"/>
    </row>
    <row r="867" ht="12.0" customHeight="1">
      <c r="A867" s="111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T867" s="112"/>
      <c r="AU867" s="112"/>
      <c r="AV867" s="112"/>
      <c r="AW867" s="112"/>
      <c r="AX867" s="112"/>
      <c r="AY867" s="112"/>
      <c r="AZ867" s="112"/>
      <c r="BA867" s="112"/>
      <c r="BB867" s="112"/>
      <c r="BC867" s="112"/>
      <c r="BD867" s="112"/>
      <c r="BE867" s="112"/>
      <c r="BF867" s="112"/>
      <c r="BG867" s="112"/>
      <c r="BH867" s="112"/>
      <c r="BI867" s="112"/>
      <c r="BJ867" s="112"/>
      <c r="BK867" s="112"/>
      <c r="BL867" s="112"/>
      <c r="BM867" s="112"/>
      <c r="BN867" s="112"/>
      <c r="BO867" s="112"/>
      <c r="BP867" s="112"/>
    </row>
    <row r="868" ht="12.0" customHeight="1">
      <c r="A868" s="111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T868" s="112"/>
      <c r="AU868" s="112"/>
      <c r="AV868" s="112"/>
      <c r="AW868" s="112"/>
      <c r="AX868" s="112"/>
      <c r="AY868" s="112"/>
      <c r="AZ868" s="112"/>
      <c r="BA868" s="112"/>
      <c r="BB868" s="112"/>
      <c r="BC868" s="112"/>
      <c r="BD868" s="112"/>
      <c r="BE868" s="112"/>
      <c r="BF868" s="112"/>
      <c r="BG868" s="112"/>
      <c r="BH868" s="112"/>
      <c r="BI868" s="112"/>
      <c r="BJ868" s="112"/>
      <c r="BK868" s="112"/>
      <c r="BL868" s="112"/>
      <c r="BM868" s="112"/>
      <c r="BN868" s="112"/>
      <c r="BO868" s="112"/>
      <c r="BP868" s="112"/>
    </row>
    <row r="869" ht="12.0" customHeight="1">
      <c r="A869" s="111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T869" s="112"/>
      <c r="AU869" s="112"/>
      <c r="AV869" s="112"/>
      <c r="AW869" s="112"/>
      <c r="AX869" s="112"/>
      <c r="AY869" s="112"/>
      <c r="AZ869" s="112"/>
      <c r="BA869" s="112"/>
      <c r="BB869" s="112"/>
      <c r="BC869" s="112"/>
      <c r="BD869" s="112"/>
      <c r="BE869" s="112"/>
      <c r="BF869" s="112"/>
      <c r="BG869" s="112"/>
      <c r="BH869" s="112"/>
      <c r="BI869" s="112"/>
      <c r="BJ869" s="112"/>
      <c r="BK869" s="112"/>
      <c r="BL869" s="112"/>
      <c r="BM869" s="112"/>
      <c r="BN869" s="112"/>
      <c r="BO869" s="112"/>
      <c r="BP869" s="112"/>
    </row>
    <row r="870" ht="12.0" customHeight="1">
      <c r="A870" s="111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T870" s="112"/>
      <c r="AU870" s="112"/>
      <c r="AV870" s="112"/>
      <c r="AW870" s="112"/>
      <c r="AX870" s="112"/>
      <c r="AY870" s="112"/>
      <c r="AZ870" s="112"/>
      <c r="BA870" s="112"/>
      <c r="BB870" s="112"/>
      <c r="BC870" s="112"/>
      <c r="BD870" s="112"/>
      <c r="BE870" s="112"/>
      <c r="BF870" s="112"/>
      <c r="BG870" s="112"/>
      <c r="BH870" s="112"/>
      <c r="BI870" s="112"/>
      <c r="BJ870" s="112"/>
      <c r="BK870" s="112"/>
      <c r="BL870" s="112"/>
      <c r="BM870" s="112"/>
      <c r="BN870" s="112"/>
      <c r="BO870" s="112"/>
      <c r="BP870" s="112"/>
    </row>
    <row r="871" ht="12.0" customHeight="1">
      <c r="A871" s="111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T871" s="112"/>
      <c r="AU871" s="112"/>
      <c r="AV871" s="112"/>
      <c r="AW871" s="112"/>
      <c r="AX871" s="112"/>
      <c r="AY871" s="112"/>
      <c r="AZ871" s="112"/>
      <c r="BA871" s="112"/>
      <c r="BB871" s="112"/>
      <c r="BC871" s="112"/>
      <c r="BD871" s="112"/>
      <c r="BE871" s="112"/>
      <c r="BF871" s="112"/>
      <c r="BG871" s="112"/>
      <c r="BH871" s="112"/>
      <c r="BI871" s="112"/>
      <c r="BJ871" s="112"/>
      <c r="BK871" s="112"/>
      <c r="BL871" s="112"/>
      <c r="BM871" s="112"/>
      <c r="BN871" s="112"/>
      <c r="BO871" s="112"/>
      <c r="BP871" s="112"/>
    </row>
    <row r="872" ht="12.0" customHeight="1">
      <c r="A872" s="111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T872" s="112"/>
      <c r="AU872" s="112"/>
      <c r="AV872" s="112"/>
      <c r="AW872" s="112"/>
      <c r="AX872" s="112"/>
      <c r="AY872" s="112"/>
      <c r="AZ872" s="112"/>
      <c r="BA872" s="112"/>
      <c r="BB872" s="112"/>
      <c r="BC872" s="112"/>
      <c r="BD872" s="112"/>
      <c r="BE872" s="112"/>
      <c r="BF872" s="112"/>
      <c r="BG872" s="112"/>
      <c r="BH872" s="112"/>
      <c r="BI872" s="112"/>
      <c r="BJ872" s="112"/>
      <c r="BK872" s="112"/>
      <c r="BL872" s="112"/>
      <c r="BM872" s="112"/>
      <c r="BN872" s="112"/>
      <c r="BO872" s="112"/>
      <c r="BP872" s="112"/>
    </row>
    <row r="873" ht="12.0" customHeight="1">
      <c r="A873" s="111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T873" s="112"/>
      <c r="AU873" s="112"/>
      <c r="AV873" s="112"/>
      <c r="AW873" s="112"/>
      <c r="AX873" s="112"/>
      <c r="AY873" s="112"/>
      <c r="AZ873" s="112"/>
      <c r="BA873" s="112"/>
      <c r="BB873" s="112"/>
      <c r="BC873" s="112"/>
      <c r="BD873" s="112"/>
      <c r="BE873" s="112"/>
      <c r="BF873" s="112"/>
      <c r="BG873" s="112"/>
      <c r="BH873" s="112"/>
      <c r="BI873" s="112"/>
      <c r="BJ873" s="112"/>
      <c r="BK873" s="112"/>
      <c r="BL873" s="112"/>
      <c r="BM873" s="112"/>
      <c r="BN873" s="112"/>
      <c r="BO873" s="112"/>
      <c r="BP873" s="112"/>
    </row>
    <row r="874" ht="12.0" customHeight="1">
      <c r="A874" s="111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T874" s="112"/>
      <c r="AU874" s="112"/>
      <c r="AV874" s="112"/>
      <c r="AW874" s="112"/>
      <c r="AX874" s="112"/>
      <c r="AY874" s="112"/>
      <c r="AZ874" s="112"/>
      <c r="BA874" s="112"/>
      <c r="BB874" s="112"/>
      <c r="BC874" s="112"/>
      <c r="BD874" s="112"/>
      <c r="BE874" s="112"/>
      <c r="BF874" s="112"/>
      <c r="BG874" s="112"/>
      <c r="BH874" s="112"/>
      <c r="BI874" s="112"/>
      <c r="BJ874" s="112"/>
      <c r="BK874" s="112"/>
      <c r="BL874" s="112"/>
      <c r="BM874" s="112"/>
      <c r="BN874" s="112"/>
      <c r="BO874" s="112"/>
      <c r="BP874" s="112"/>
    </row>
    <row r="875" ht="12.0" customHeight="1">
      <c r="A875" s="111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T875" s="112"/>
      <c r="AU875" s="112"/>
      <c r="AV875" s="112"/>
      <c r="AW875" s="112"/>
      <c r="AX875" s="112"/>
      <c r="AY875" s="112"/>
      <c r="AZ875" s="112"/>
      <c r="BA875" s="112"/>
      <c r="BB875" s="112"/>
      <c r="BC875" s="112"/>
      <c r="BD875" s="112"/>
      <c r="BE875" s="112"/>
      <c r="BF875" s="112"/>
      <c r="BG875" s="112"/>
      <c r="BH875" s="112"/>
      <c r="BI875" s="112"/>
      <c r="BJ875" s="112"/>
      <c r="BK875" s="112"/>
      <c r="BL875" s="112"/>
      <c r="BM875" s="112"/>
      <c r="BN875" s="112"/>
      <c r="BO875" s="112"/>
      <c r="BP875" s="112"/>
    </row>
    <row r="876" ht="12.0" customHeight="1">
      <c r="A876" s="111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T876" s="112"/>
      <c r="AU876" s="112"/>
      <c r="AV876" s="112"/>
      <c r="AW876" s="112"/>
      <c r="AX876" s="112"/>
      <c r="AY876" s="112"/>
      <c r="AZ876" s="112"/>
      <c r="BA876" s="112"/>
      <c r="BB876" s="112"/>
      <c r="BC876" s="112"/>
      <c r="BD876" s="112"/>
      <c r="BE876" s="112"/>
      <c r="BF876" s="112"/>
      <c r="BG876" s="112"/>
      <c r="BH876" s="112"/>
      <c r="BI876" s="112"/>
      <c r="BJ876" s="112"/>
      <c r="BK876" s="112"/>
      <c r="BL876" s="112"/>
      <c r="BM876" s="112"/>
      <c r="BN876" s="112"/>
      <c r="BO876" s="112"/>
      <c r="BP876" s="112"/>
    </row>
    <row r="877" ht="12.0" customHeight="1">
      <c r="A877" s="111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T877" s="112"/>
      <c r="AU877" s="112"/>
      <c r="AV877" s="112"/>
      <c r="AW877" s="112"/>
      <c r="AX877" s="112"/>
      <c r="AY877" s="112"/>
      <c r="AZ877" s="112"/>
      <c r="BA877" s="112"/>
      <c r="BB877" s="112"/>
      <c r="BC877" s="112"/>
      <c r="BD877" s="112"/>
      <c r="BE877" s="112"/>
      <c r="BF877" s="112"/>
      <c r="BG877" s="112"/>
      <c r="BH877" s="112"/>
      <c r="BI877" s="112"/>
      <c r="BJ877" s="112"/>
      <c r="BK877" s="112"/>
      <c r="BL877" s="112"/>
      <c r="BM877" s="112"/>
      <c r="BN877" s="112"/>
      <c r="BO877" s="112"/>
      <c r="BP877" s="112"/>
    </row>
    <row r="878" ht="12.0" customHeight="1">
      <c r="A878" s="111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T878" s="112"/>
      <c r="AU878" s="112"/>
      <c r="AV878" s="112"/>
      <c r="AW878" s="112"/>
      <c r="AX878" s="112"/>
      <c r="AY878" s="112"/>
      <c r="AZ878" s="112"/>
      <c r="BA878" s="112"/>
      <c r="BB878" s="112"/>
      <c r="BC878" s="112"/>
      <c r="BD878" s="112"/>
      <c r="BE878" s="112"/>
      <c r="BF878" s="112"/>
      <c r="BG878" s="112"/>
      <c r="BH878" s="112"/>
      <c r="BI878" s="112"/>
      <c r="BJ878" s="112"/>
      <c r="BK878" s="112"/>
      <c r="BL878" s="112"/>
      <c r="BM878" s="112"/>
      <c r="BN878" s="112"/>
      <c r="BO878" s="112"/>
      <c r="BP878" s="112"/>
    </row>
    <row r="879" ht="12.0" customHeight="1">
      <c r="A879" s="111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T879" s="112"/>
      <c r="AU879" s="112"/>
      <c r="AV879" s="112"/>
      <c r="AW879" s="112"/>
      <c r="AX879" s="112"/>
      <c r="AY879" s="112"/>
      <c r="AZ879" s="112"/>
      <c r="BA879" s="112"/>
      <c r="BB879" s="112"/>
      <c r="BC879" s="112"/>
      <c r="BD879" s="112"/>
      <c r="BE879" s="112"/>
      <c r="BF879" s="112"/>
      <c r="BG879" s="112"/>
      <c r="BH879" s="112"/>
      <c r="BI879" s="112"/>
      <c r="BJ879" s="112"/>
      <c r="BK879" s="112"/>
      <c r="BL879" s="112"/>
      <c r="BM879" s="112"/>
      <c r="BN879" s="112"/>
      <c r="BO879" s="112"/>
      <c r="BP879" s="112"/>
    </row>
    <row r="880" ht="12.0" customHeight="1">
      <c r="A880" s="111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T880" s="112"/>
      <c r="AU880" s="112"/>
      <c r="AV880" s="112"/>
      <c r="AW880" s="112"/>
      <c r="AX880" s="112"/>
      <c r="AY880" s="112"/>
      <c r="AZ880" s="112"/>
      <c r="BA880" s="112"/>
      <c r="BB880" s="112"/>
      <c r="BC880" s="112"/>
      <c r="BD880" s="112"/>
      <c r="BE880" s="112"/>
      <c r="BF880" s="112"/>
      <c r="BG880" s="112"/>
      <c r="BH880" s="112"/>
      <c r="BI880" s="112"/>
      <c r="BJ880" s="112"/>
      <c r="BK880" s="112"/>
      <c r="BL880" s="112"/>
      <c r="BM880" s="112"/>
      <c r="BN880" s="112"/>
      <c r="BO880" s="112"/>
      <c r="BP880" s="112"/>
    </row>
    <row r="881" ht="12.0" customHeight="1">
      <c r="A881" s="111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T881" s="112"/>
      <c r="AU881" s="112"/>
      <c r="AV881" s="112"/>
      <c r="AW881" s="112"/>
      <c r="AX881" s="112"/>
      <c r="AY881" s="112"/>
      <c r="AZ881" s="112"/>
      <c r="BA881" s="112"/>
      <c r="BB881" s="112"/>
      <c r="BC881" s="112"/>
      <c r="BD881" s="112"/>
      <c r="BE881" s="112"/>
      <c r="BF881" s="112"/>
      <c r="BG881" s="112"/>
      <c r="BH881" s="112"/>
      <c r="BI881" s="112"/>
      <c r="BJ881" s="112"/>
      <c r="BK881" s="112"/>
      <c r="BL881" s="112"/>
      <c r="BM881" s="112"/>
      <c r="BN881" s="112"/>
      <c r="BO881" s="112"/>
      <c r="BP881" s="112"/>
    </row>
    <row r="882" ht="12.0" customHeight="1">
      <c r="A882" s="111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T882" s="112"/>
      <c r="AU882" s="112"/>
      <c r="AV882" s="112"/>
      <c r="AW882" s="112"/>
      <c r="AX882" s="112"/>
      <c r="AY882" s="112"/>
      <c r="AZ882" s="112"/>
      <c r="BA882" s="112"/>
      <c r="BB882" s="112"/>
      <c r="BC882" s="112"/>
      <c r="BD882" s="112"/>
      <c r="BE882" s="112"/>
      <c r="BF882" s="112"/>
      <c r="BG882" s="112"/>
      <c r="BH882" s="112"/>
      <c r="BI882" s="112"/>
      <c r="BJ882" s="112"/>
      <c r="BK882" s="112"/>
      <c r="BL882" s="112"/>
      <c r="BM882" s="112"/>
      <c r="BN882" s="112"/>
      <c r="BO882" s="112"/>
      <c r="BP882" s="112"/>
    </row>
    <row r="883" ht="12.0" customHeight="1">
      <c r="A883" s="111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T883" s="112"/>
      <c r="AU883" s="112"/>
      <c r="AV883" s="112"/>
      <c r="AW883" s="112"/>
      <c r="AX883" s="112"/>
      <c r="AY883" s="112"/>
      <c r="AZ883" s="112"/>
      <c r="BA883" s="112"/>
      <c r="BB883" s="112"/>
      <c r="BC883" s="112"/>
      <c r="BD883" s="112"/>
      <c r="BE883" s="112"/>
      <c r="BF883" s="112"/>
      <c r="BG883" s="112"/>
      <c r="BH883" s="112"/>
      <c r="BI883" s="112"/>
      <c r="BJ883" s="112"/>
      <c r="BK883" s="112"/>
      <c r="BL883" s="112"/>
      <c r="BM883" s="112"/>
      <c r="BN883" s="112"/>
      <c r="BO883" s="112"/>
      <c r="BP883" s="112"/>
    </row>
    <row r="884" ht="12.0" customHeight="1">
      <c r="A884" s="111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T884" s="112"/>
      <c r="AU884" s="112"/>
      <c r="AV884" s="112"/>
      <c r="AW884" s="112"/>
      <c r="AX884" s="112"/>
      <c r="AY884" s="112"/>
      <c r="AZ884" s="112"/>
      <c r="BA884" s="112"/>
      <c r="BB884" s="112"/>
      <c r="BC884" s="112"/>
      <c r="BD884" s="112"/>
      <c r="BE884" s="112"/>
      <c r="BF884" s="112"/>
      <c r="BG884" s="112"/>
      <c r="BH884" s="112"/>
      <c r="BI884" s="112"/>
      <c r="BJ884" s="112"/>
      <c r="BK884" s="112"/>
      <c r="BL884" s="112"/>
      <c r="BM884" s="112"/>
      <c r="BN884" s="112"/>
      <c r="BO884" s="112"/>
      <c r="BP884" s="112"/>
    </row>
    <row r="885" ht="12.0" customHeight="1">
      <c r="A885" s="111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T885" s="112"/>
      <c r="AU885" s="112"/>
      <c r="AV885" s="112"/>
      <c r="AW885" s="112"/>
      <c r="AX885" s="112"/>
      <c r="AY885" s="112"/>
      <c r="AZ885" s="112"/>
      <c r="BA885" s="112"/>
      <c r="BB885" s="112"/>
      <c r="BC885" s="112"/>
      <c r="BD885" s="112"/>
      <c r="BE885" s="112"/>
      <c r="BF885" s="112"/>
      <c r="BG885" s="112"/>
      <c r="BH885" s="112"/>
      <c r="BI885" s="112"/>
      <c r="BJ885" s="112"/>
      <c r="BK885" s="112"/>
      <c r="BL885" s="112"/>
      <c r="BM885" s="112"/>
      <c r="BN885" s="112"/>
      <c r="BO885" s="112"/>
      <c r="BP885" s="112"/>
    </row>
    <row r="886" ht="12.0" customHeight="1">
      <c r="A886" s="111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T886" s="112"/>
      <c r="AU886" s="112"/>
      <c r="AV886" s="112"/>
      <c r="AW886" s="112"/>
      <c r="AX886" s="112"/>
      <c r="AY886" s="112"/>
      <c r="AZ886" s="112"/>
      <c r="BA886" s="112"/>
      <c r="BB886" s="112"/>
      <c r="BC886" s="112"/>
      <c r="BD886" s="112"/>
      <c r="BE886" s="112"/>
      <c r="BF886" s="112"/>
      <c r="BG886" s="112"/>
      <c r="BH886" s="112"/>
      <c r="BI886" s="112"/>
      <c r="BJ886" s="112"/>
      <c r="BK886" s="112"/>
      <c r="BL886" s="112"/>
      <c r="BM886" s="112"/>
      <c r="BN886" s="112"/>
      <c r="BO886" s="112"/>
      <c r="BP886" s="112"/>
    </row>
    <row r="887" ht="12.0" customHeight="1">
      <c r="A887" s="111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T887" s="112"/>
      <c r="AU887" s="112"/>
      <c r="AV887" s="112"/>
      <c r="AW887" s="112"/>
      <c r="AX887" s="112"/>
      <c r="AY887" s="112"/>
      <c r="AZ887" s="112"/>
      <c r="BA887" s="112"/>
      <c r="BB887" s="112"/>
      <c r="BC887" s="112"/>
      <c r="BD887" s="112"/>
      <c r="BE887" s="112"/>
      <c r="BF887" s="112"/>
      <c r="BG887" s="112"/>
      <c r="BH887" s="112"/>
      <c r="BI887" s="112"/>
      <c r="BJ887" s="112"/>
      <c r="BK887" s="112"/>
      <c r="BL887" s="112"/>
      <c r="BM887" s="112"/>
      <c r="BN887" s="112"/>
      <c r="BO887" s="112"/>
      <c r="BP887" s="112"/>
    </row>
    <row r="888" ht="12.0" customHeight="1">
      <c r="A888" s="111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T888" s="112"/>
      <c r="AU888" s="112"/>
      <c r="AV888" s="112"/>
      <c r="AW888" s="112"/>
      <c r="AX888" s="112"/>
      <c r="AY888" s="112"/>
      <c r="AZ888" s="112"/>
      <c r="BA888" s="112"/>
      <c r="BB888" s="112"/>
      <c r="BC888" s="112"/>
      <c r="BD888" s="112"/>
      <c r="BE888" s="112"/>
      <c r="BF888" s="112"/>
      <c r="BG888" s="112"/>
      <c r="BH888" s="112"/>
      <c r="BI888" s="112"/>
      <c r="BJ888" s="112"/>
      <c r="BK888" s="112"/>
      <c r="BL888" s="112"/>
      <c r="BM888" s="112"/>
      <c r="BN888" s="112"/>
      <c r="BO888" s="112"/>
      <c r="BP888" s="112"/>
    </row>
    <row r="889" ht="12.0" customHeight="1">
      <c r="A889" s="111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U889" s="112"/>
      <c r="AV889" s="112"/>
      <c r="AW889" s="112"/>
      <c r="AX889" s="112"/>
      <c r="AY889" s="112"/>
      <c r="AZ889" s="112"/>
      <c r="BA889" s="112"/>
      <c r="BB889" s="112"/>
      <c r="BC889" s="112"/>
      <c r="BD889" s="112"/>
      <c r="BE889" s="112"/>
      <c r="BF889" s="112"/>
      <c r="BG889" s="112"/>
      <c r="BH889" s="112"/>
      <c r="BI889" s="112"/>
      <c r="BJ889" s="112"/>
      <c r="BK889" s="112"/>
      <c r="BL889" s="112"/>
      <c r="BM889" s="112"/>
      <c r="BN889" s="112"/>
      <c r="BO889" s="112"/>
      <c r="BP889" s="112"/>
    </row>
    <row r="890" ht="12.0" customHeight="1">
      <c r="A890" s="111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U890" s="112"/>
      <c r="AV890" s="112"/>
      <c r="AW890" s="112"/>
      <c r="AX890" s="112"/>
      <c r="AY890" s="112"/>
      <c r="AZ890" s="112"/>
      <c r="BA890" s="112"/>
      <c r="BB890" s="112"/>
      <c r="BC890" s="112"/>
      <c r="BD890" s="112"/>
      <c r="BE890" s="112"/>
      <c r="BF890" s="112"/>
      <c r="BG890" s="112"/>
      <c r="BH890" s="112"/>
      <c r="BI890" s="112"/>
      <c r="BJ890" s="112"/>
      <c r="BK890" s="112"/>
      <c r="BL890" s="112"/>
      <c r="BM890" s="112"/>
      <c r="BN890" s="112"/>
      <c r="BO890" s="112"/>
      <c r="BP890" s="112"/>
    </row>
    <row r="891" ht="12.0" customHeight="1">
      <c r="A891" s="111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U891" s="112"/>
      <c r="AV891" s="112"/>
      <c r="AW891" s="112"/>
      <c r="AX891" s="112"/>
      <c r="AY891" s="112"/>
      <c r="AZ891" s="112"/>
      <c r="BA891" s="112"/>
      <c r="BB891" s="112"/>
      <c r="BC891" s="112"/>
      <c r="BD891" s="112"/>
      <c r="BE891" s="112"/>
      <c r="BF891" s="112"/>
      <c r="BG891" s="112"/>
      <c r="BH891" s="112"/>
      <c r="BI891" s="112"/>
      <c r="BJ891" s="112"/>
      <c r="BK891" s="112"/>
      <c r="BL891" s="112"/>
      <c r="BM891" s="112"/>
      <c r="BN891" s="112"/>
      <c r="BO891" s="112"/>
      <c r="BP891" s="112"/>
    </row>
    <row r="892" ht="12.0" customHeight="1">
      <c r="A892" s="111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T892" s="112"/>
      <c r="AU892" s="112"/>
      <c r="AV892" s="112"/>
      <c r="AW892" s="112"/>
      <c r="AX892" s="112"/>
      <c r="AY892" s="112"/>
      <c r="AZ892" s="112"/>
      <c r="BA892" s="112"/>
      <c r="BB892" s="112"/>
      <c r="BC892" s="112"/>
      <c r="BD892" s="112"/>
      <c r="BE892" s="112"/>
      <c r="BF892" s="112"/>
      <c r="BG892" s="112"/>
      <c r="BH892" s="112"/>
      <c r="BI892" s="112"/>
      <c r="BJ892" s="112"/>
      <c r="BK892" s="112"/>
      <c r="BL892" s="112"/>
      <c r="BM892" s="112"/>
      <c r="BN892" s="112"/>
      <c r="BO892" s="112"/>
      <c r="BP892" s="112"/>
    </row>
    <row r="893" ht="12.0" customHeight="1">
      <c r="A893" s="111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T893" s="112"/>
      <c r="AU893" s="112"/>
      <c r="AV893" s="112"/>
      <c r="AW893" s="112"/>
      <c r="AX893" s="112"/>
      <c r="AY893" s="112"/>
      <c r="AZ893" s="112"/>
      <c r="BA893" s="112"/>
      <c r="BB893" s="112"/>
      <c r="BC893" s="112"/>
      <c r="BD893" s="112"/>
      <c r="BE893" s="112"/>
      <c r="BF893" s="112"/>
      <c r="BG893" s="112"/>
      <c r="BH893" s="112"/>
      <c r="BI893" s="112"/>
      <c r="BJ893" s="112"/>
      <c r="BK893" s="112"/>
      <c r="BL893" s="112"/>
      <c r="BM893" s="112"/>
      <c r="BN893" s="112"/>
      <c r="BO893" s="112"/>
      <c r="BP893" s="112"/>
    </row>
    <row r="894" ht="12.0" customHeight="1">
      <c r="A894" s="111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T894" s="112"/>
      <c r="AU894" s="112"/>
      <c r="AV894" s="112"/>
      <c r="AW894" s="112"/>
      <c r="AX894" s="112"/>
      <c r="AY894" s="112"/>
      <c r="AZ894" s="112"/>
      <c r="BA894" s="112"/>
      <c r="BB894" s="112"/>
      <c r="BC894" s="112"/>
      <c r="BD894" s="112"/>
      <c r="BE894" s="112"/>
      <c r="BF894" s="112"/>
      <c r="BG894" s="112"/>
      <c r="BH894" s="112"/>
      <c r="BI894" s="112"/>
      <c r="BJ894" s="112"/>
      <c r="BK894" s="112"/>
      <c r="BL894" s="112"/>
      <c r="BM894" s="112"/>
      <c r="BN894" s="112"/>
      <c r="BO894" s="112"/>
      <c r="BP894" s="112"/>
    </row>
    <row r="895" ht="12.0" customHeight="1">
      <c r="A895" s="111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T895" s="112"/>
      <c r="AU895" s="112"/>
      <c r="AV895" s="112"/>
      <c r="AW895" s="112"/>
      <c r="AX895" s="112"/>
      <c r="AY895" s="112"/>
      <c r="AZ895" s="112"/>
      <c r="BA895" s="112"/>
      <c r="BB895" s="112"/>
      <c r="BC895" s="112"/>
      <c r="BD895" s="112"/>
      <c r="BE895" s="112"/>
      <c r="BF895" s="112"/>
      <c r="BG895" s="112"/>
      <c r="BH895" s="112"/>
      <c r="BI895" s="112"/>
      <c r="BJ895" s="112"/>
      <c r="BK895" s="112"/>
      <c r="BL895" s="112"/>
      <c r="BM895" s="112"/>
      <c r="BN895" s="112"/>
      <c r="BO895" s="112"/>
      <c r="BP895" s="112"/>
    </row>
    <row r="896" ht="12.0" customHeight="1">
      <c r="A896" s="111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T896" s="112"/>
      <c r="AU896" s="112"/>
      <c r="AV896" s="112"/>
      <c r="AW896" s="112"/>
      <c r="AX896" s="112"/>
      <c r="AY896" s="112"/>
      <c r="AZ896" s="112"/>
      <c r="BA896" s="112"/>
      <c r="BB896" s="112"/>
      <c r="BC896" s="112"/>
      <c r="BD896" s="112"/>
      <c r="BE896" s="112"/>
      <c r="BF896" s="112"/>
      <c r="BG896" s="112"/>
      <c r="BH896" s="112"/>
      <c r="BI896" s="112"/>
      <c r="BJ896" s="112"/>
      <c r="BK896" s="112"/>
      <c r="BL896" s="112"/>
      <c r="BM896" s="112"/>
      <c r="BN896" s="112"/>
      <c r="BO896" s="112"/>
      <c r="BP896" s="112"/>
    </row>
    <row r="897" ht="12.0" customHeight="1">
      <c r="A897" s="111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T897" s="112"/>
      <c r="AU897" s="112"/>
      <c r="AV897" s="112"/>
      <c r="AW897" s="112"/>
      <c r="AX897" s="112"/>
      <c r="AY897" s="112"/>
      <c r="AZ897" s="112"/>
      <c r="BA897" s="112"/>
      <c r="BB897" s="112"/>
      <c r="BC897" s="112"/>
      <c r="BD897" s="112"/>
      <c r="BE897" s="112"/>
      <c r="BF897" s="112"/>
      <c r="BG897" s="112"/>
      <c r="BH897" s="112"/>
      <c r="BI897" s="112"/>
      <c r="BJ897" s="112"/>
      <c r="BK897" s="112"/>
      <c r="BL897" s="112"/>
      <c r="BM897" s="112"/>
      <c r="BN897" s="112"/>
      <c r="BO897" s="112"/>
      <c r="BP897" s="112"/>
    </row>
    <row r="898" ht="12.0" customHeight="1">
      <c r="A898" s="111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T898" s="112"/>
      <c r="AU898" s="112"/>
      <c r="AV898" s="112"/>
      <c r="AW898" s="112"/>
      <c r="AX898" s="112"/>
      <c r="AY898" s="112"/>
      <c r="AZ898" s="112"/>
      <c r="BA898" s="112"/>
      <c r="BB898" s="112"/>
      <c r="BC898" s="112"/>
      <c r="BD898" s="112"/>
      <c r="BE898" s="112"/>
      <c r="BF898" s="112"/>
      <c r="BG898" s="112"/>
      <c r="BH898" s="112"/>
      <c r="BI898" s="112"/>
      <c r="BJ898" s="112"/>
      <c r="BK898" s="112"/>
      <c r="BL898" s="112"/>
      <c r="BM898" s="112"/>
      <c r="BN898" s="112"/>
      <c r="BO898" s="112"/>
      <c r="BP898" s="112"/>
    </row>
    <row r="899" ht="12.0" customHeight="1">
      <c r="A899" s="111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T899" s="112"/>
      <c r="AU899" s="112"/>
      <c r="AV899" s="112"/>
      <c r="AW899" s="112"/>
      <c r="AX899" s="112"/>
      <c r="AY899" s="112"/>
      <c r="AZ899" s="112"/>
      <c r="BA899" s="112"/>
      <c r="BB899" s="112"/>
      <c r="BC899" s="112"/>
      <c r="BD899" s="112"/>
      <c r="BE899" s="112"/>
      <c r="BF899" s="112"/>
      <c r="BG899" s="112"/>
      <c r="BH899" s="112"/>
      <c r="BI899" s="112"/>
      <c r="BJ899" s="112"/>
      <c r="BK899" s="112"/>
      <c r="BL899" s="112"/>
      <c r="BM899" s="112"/>
      <c r="BN899" s="112"/>
      <c r="BO899" s="112"/>
      <c r="BP899" s="112"/>
    </row>
    <row r="900" ht="12.0" customHeight="1">
      <c r="A900" s="111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T900" s="112"/>
      <c r="AU900" s="112"/>
      <c r="AV900" s="112"/>
      <c r="AW900" s="112"/>
      <c r="AX900" s="112"/>
      <c r="AY900" s="112"/>
      <c r="AZ900" s="112"/>
      <c r="BA900" s="112"/>
      <c r="BB900" s="112"/>
      <c r="BC900" s="112"/>
      <c r="BD900" s="112"/>
      <c r="BE900" s="112"/>
      <c r="BF900" s="112"/>
      <c r="BG900" s="112"/>
      <c r="BH900" s="112"/>
      <c r="BI900" s="112"/>
      <c r="BJ900" s="112"/>
      <c r="BK900" s="112"/>
      <c r="BL900" s="112"/>
      <c r="BM900" s="112"/>
      <c r="BN900" s="112"/>
      <c r="BO900" s="112"/>
      <c r="BP900" s="112"/>
    </row>
    <row r="901" ht="12.0" customHeight="1">
      <c r="A901" s="111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T901" s="112"/>
      <c r="AU901" s="112"/>
      <c r="AV901" s="112"/>
      <c r="AW901" s="112"/>
      <c r="AX901" s="112"/>
      <c r="AY901" s="112"/>
      <c r="AZ901" s="112"/>
      <c r="BA901" s="112"/>
      <c r="BB901" s="112"/>
      <c r="BC901" s="112"/>
      <c r="BD901" s="112"/>
      <c r="BE901" s="112"/>
      <c r="BF901" s="112"/>
      <c r="BG901" s="112"/>
      <c r="BH901" s="112"/>
      <c r="BI901" s="112"/>
      <c r="BJ901" s="112"/>
      <c r="BK901" s="112"/>
      <c r="BL901" s="112"/>
      <c r="BM901" s="112"/>
      <c r="BN901" s="112"/>
      <c r="BO901" s="112"/>
      <c r="BP901" s="112"/>
    </row>
    <row r="902" ht="12.0" customHeight="1">
      <c r="A902" s="111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T902" s="112"/>
      <c r="AU902" s="112"/>
      <c r="AV902" s="112"/>
      <c r="AW902" s="112"/>
      <c r="AX902" s="112"/>
      <c r="AY902" s="112"/>
      <c r="AZ902" s="112"/>
      <c r="BA902" s="112"/>
      <c r="BB902" s="112"/>
      <c r="BC902" s="112"/>
      <c r="BD902" s="112"/>
      <c r="BE902" s="112"/>
      <c r="BF902" s="112"/>
      <c r="BG902" s="112"/>
      <c r="BH902" s="112"/>
      <c r="BI902" s="112"/>
      <c r="BJ902" s="112"/>
      <c r="BK902" s="112"/>
      <c r="BL902" s="112"/>
      <c r="BM902" s="112"/>
      <c r="BN902" s="112"/>
      <c r="BO902" s="112"/>
      <c r="BP902" s="112"/>
    </row>
    <row r="903" ht="12.0" customHeight="1">
      <c r="A903" s="111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T903" s="112"/>
      <c r="AU903" s="112"/>
      <c r="AV903" s="112"/>
      <c r="AW903" s="112"/>
      <c r="AX903" s="112"/>
      <c r="AY903" s="112"/>
      <c r="AZ903" s="112"/>
      <c r="BA903" s="112"/>
      <c r="BB903" s="112"/>
      <c r="BC903" s="112"/>
      <c r="BD903" s="112"/>
      <c r="BE903" s="112"/>
      <c r="BF903" s="112"/>
      <c r="BG903" s="112"/>
      <c r="BH903" s="112"/>
      <c r="BI903" s="112"/>
      <c r="BJ903" s="112"/>
      <c r="BK903" s="112"/>
      <c r="BL903" s="112"/>
      <c r="BM903" s="112"/>
      <c r="BN903" s="112"/>
      <c r="BO903" s="112"/>
      <c r="BP903" s="112"/>
    </row>
    <row r="904" ht="12.0" customHeight="1">
      <c r="A904" s="111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T904" s="112"/>
      <c r="AU904" s="112"/>
      <c r="AV904" s="112"/>
      <c r="AW904" s="112"/>
      <c r="AX904" s="112"/>
      <c r="AY904" s="112"/>
      <c r="AZ904" s="112"/>
      <c r="BA904" s="112"/>
      <c r="BB904" s="112"/>
      <c r="BC904" s="112"/>
      <c r="BD904" s="112"/>
      <c r="BE904" s="112"/>
      <c r="BF904" s="112"/>
      <c r="BG904" s="112"/>
      <c r="BH904" s="112"/>
      <c r="BI904" s="112"/>
      <c r="BJ904" s="112"/>
      <c r="BK904" s="112"/>
      <c r="BL904" s="112"/>
      <c r="BM904" s="112"/>
      <c r="BN904" s="112"/>
      <c r="BO904" s="112"/>
      <c r="BP904" s="112"/>
    </row>
    <row r="905" ht="12.0" customHeight="1">
      <c r="A905" s="111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T905" s="112"/>
      <c r="AU905" s="112"/>
      <c r="AV905" s="112"/>
      <c r="AW905" s="112"/>
      <c r="AX905" s="112"/>
      <c r="AY905" s="112"/>
      <c r="AZ905" s="112"/>
      <c r="BA905" s="112"/>
      <c r="BB905" s="112"/>
      <c r="BC905" s="112"/>
      <c r="BD905" s="112"/>
      <c r="BE905" s="112"/>
      <c r="BF905" s="112"/>
      <c r="BG905" s="112"/>
      <c r="BH905" s="112"/>
      <c r="BI905" s="112"/>
      <c r="BJ905" s="112"/>
      <c r="BK905" s="112"/>
      <c r="BL905" s="112"/>
      <c r="BM905" s="112"/>
      <c r="BN905" s="112"/>
      <c r="BO905" s="112"/>
      <c r="BP905" s="112"/>
    </row>
    <row r="906" ht="12.0" customHeight="1">
      <c r="A906" s="111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T906" s="112"/>
      <c r="AU906" s="112"/>
      <c r="AV906" s="112"/>
      <c r="AW906" s="112"/>
      <c r="AX906" s="112"/>
      <c r="AY906" s="112"/>
      <c r="AZ906" s="112"/>
      <c r="BA906" s="112"/>
      <c r="BB906" s="112"/>
      <c r="BC906" s="112"/>
      <c r="BD906" s="112"/>
      <c r="BE906" s="112"/>
      <c r="BF906" s="112"/>
      <c r="BG906" s="112"/>
      <c r="BH906" s="112"/>
      <c r="BI906" s="112"/>
      <c r="BJ906" s="112"/>
      <c r="BK906" s="112"/>
      <c r="BL906" s="112"/>
      <c r="BM906" s="112"/>
      <c r="BN906" s="112"/>
      <c r="BO906" s="112"/>
      <c r="BP906" s="112"/>
    </row>
    <row r="907" ht="12.0" customHeight="1">
      <c r="A907" s="111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T907" s="112"/>
      <c r="AU907" s="112"/>
      <c r="AV907" s="112"/>
      <c r="AW907" s="112"/>
      <c r="AX907" s="112"/>
      <c r="AY907" s="112"/>
      <c r="AZ907" s="112"/>
      <c r="BA907" s="112"/>
      <c r="BB907" s="112"/>
      <c r="BC907" s="112"/>
      <c r="BD907" s="112"/>
      <c r="BE907" s="112"/>
      <c r="BF907" s="112"/>
      <c r="BG907" s="112"/>
      <c r="BH907" s="112"/>
      <c r="BI907" s="112"/>
      <c r="BJ907" s="112"/>
      <c r="BK907" s="112"/>
      <c r="BL907" s="112"/>
      <c r="BM907" s="112"/>
      <c r="BN907" s="112"/>
      <c r="BO907" s="112"/>
      <c r="BP907" s="112"/>
    </row>
    <row r="908" ht="12.0" customHeight="1">
      <c r="A908" s="111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T908" s="112"/>
      <c r="AU908" s="112"/>
      <c r="AV908" s="112"/>
      <c r="AW908" s="112"/>
      <c r="AX908" s="112"/>
      <c r="AY908" s="112"/>
      <c r="AZ908" s="112"/>
      <c r="BA908" s="112"/>
      <c r="BB908" s="112"/>
      <c r="BC908" s="112"/>
      <c r="BD908" s="112"/>
      <c r="BE908" s="112"/>
      <c r="BF908" s="112"/>
      <c r="BG908" s="112"/>
      <c r="BH908" s="112"/>
      <c r="BI908" s="112"/>
      <c r="BJ908" s="112"/>
      <c r="BK908" s="112"/>
      <c r="BL908" s="112"/>
      <c r="BM908" s="112"/>
      <c r="BN908" s="112"/>
      <c r="BO908" s="112"/>
      <c r="BP908" s="112"/>
    </row>
    <row r="909" ht="12.0" customHeight="1">
      <c r="A909" s="111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T909" s="112"/>
      <c r="AU909" s="112"/>
      <c r="AV909" s="112"/>
      <c r="AW909" s="112"/>
      <c r="AX909" s="112"/>
      <c r="AY909" s="112"/>
      <c r="AZ909" s="112"/>
      <c r="BA909" s="112"/>
      <c r="BB909" s="112"/>
      <c r="BC909" s="112"/>
      <c r="BD909" s="112"/>
      <c r="BE909" s="112"/>
      <c r="BF909" s="112"/>
      <c r="BG909" s="112"/>
      <c r="BH909" s="112"/>
      <c r="BI909" s="112"/>
      <c r="BJ909" s="112"/>
      <c r="BK909" s="112"/>
      <c r="BL909" s="112"/>
      <c r="BM909" s="112"/>
      <c r="BN909" s="112"/>
      <c r="BO909" s="112"/>
      <c r="BP909" s="112"/>
    </row>
    <row r="910" ht="12.0" customHeight="1">
      <c r="A910" s="111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T910" s="112"/>
      <c r="AU910" s="112"/>
      <c r="AV910" s="112"/>
      <c r="AW910" s="112"/>
      <c r="AX910" s="112"/>
      <c r="AY910" s="112"/>
      <c r="AZ910" s="112"/>
      <c r="BA910" s="112"/>
      <c r="BB910" s="112"/>
      <c r="BC910" s="112"/>
      <c r="BD910" s="112"/>
      <c r="BE910" s="112"/>
      <c r="BF910" s="112"/>
      <c r="BG910" s="112"/>
      <c r="BH910" s="112"/>
      <c r="BI910" s="112"/>
      <c r="BJ910" s="112"/>
      <c r="BK910" s="112"/>
      <c r="BL910" s="112"/>
      <c r="BM910" s="112"/>
      <c r="BN910" s="112"/>
      <c r="BO910" s="112"/>
      <c r="BP910" s="112"/>
    </row>
    <row r="911" ht="12.0" customHeight="1">
      <c r="A911" s="111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T911" s="112"/>
      <c r="AU911" s="112"/>
      <c r="AV911" s="112"/>
      <c r="AW911" s="112"/>
      <c r="AX911" s="112"/>
      <c r="AY911" s="112"/>
      <c r="AZ911" s="112"/>
      <c r="BA911" s="112"/>
      <c r="BB911" s="112"/>
      <c r="BC911" s="112"/>
      <c r="BD911" s="112"/>
      <c r="BE911" s="112"/>
      <c r="BF911" s="112"/>
      <c r="BG911" s="112"/>
      <c r="BH911" s="112"/>
      <c r="BI911" s="112"/>
      <c r="BJ911" s="112"/>
      <c r="BK911" s="112"/>
      <c r="BL911" s="112"/>
      <c r="BM911" s="112"/>
      <c r="BN911" s="112"/>
      <c r="BO911" s="112"/>
      <c r="BP911" s="112"/>
    </row>
    <row r="912" ht="12.0" customHeight="1">
      <c r="A912" s="111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T912" s="112"/>
      <c r="AU912" s="112"/>
      <c r="AV912" s="112"/>
      <c r="AW912" s="112"/>
      <c r="AX912" s="112"/>
      <c r="AY912" s="112"/>
      <c r="AZ912" s="112"/>
      <c r="BA912" s="112"/>
      <c r="BB912" s="112"/>
      <c r="BC912" s="112"/>
      <c r="BD912" s="112"/>
      <c r="BE912" s="112"/>
      <c r="BF912" s="112"/>
      <c r="BG912" s="112"/>
      <c r="BH912" s="112"/>
      <c r="BI912" s="112"/>
      <c r="BJ912" s="112"/>
      <c r="BK912" s="112"/>
      <c r="BL912" s="112"/>
      <c r="BM912" s="112"/>
      <c r="BN912" s="112"/>
      <c r="BO912" s="112"/>
      <c r="BP912" s="112"/>
    </row>
    <row r="913" ht="12.0" customHeight="1">
      <c r="A913" s="111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T913" s="112"/>
      <c r="AU913" s="112"/>
      <c r="AV913" s="112"/>
      <c r="AW913" s="112"/>
      <c r="AX913" s="112"/>
      <c r="AY913" s="112"/>
      <c r="AZ913" s="112"/>
      <c r="BA913" s="112"/>
      <c r="BB913" s="112"/>
      <c r="BC913" s="112"/>
      <c r="BD913" s="112"/>
      <c r="BE913" s="112"/>
      <c r="BF913" s="112"/>
      <c r="BG913" s="112"/>
      <c r="BH913" s="112"/>
      <c r="BI913" s="112"/>
      <c r="BJ913" s="112"/>
      <c r="BK913" s="112"/>
      <c r="BL913" s="112"/>
      <c r="BM913" s="112"/>
      <c r="BN913" s="112"/>
      <c r="BO913" s="112"/>
      <c r="BP913" s="112"/>
    </row>
    <row r="914" ht="12.0" customHeight="1">
      <c r="A914" s="111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T914" s="112"/>
      <c r="AU914" s="112"/>
      <c r="AV914" s="112"/>
      <c r="AW914" s="112"/>
      <c r="AX914" s="112"/>
      <c r="AY914" s="112"/>
      <c r="AZ914" s="112"/>
      <c r="BA914" s="112"/>
      <c r="BB914" s="112"/>
      <c r="BC914" s="112"/>
      <c r="BD914" s="112"/>
      <c r="BE914" s="112"/>
      <c r="BF914" s="112"/>
      <c r="BG914" s="112"/>
      <c r="BH914" s="112"/>
      <c r="BI914" s="112"/>
      <c r="BJ914" s="112"/>
      <c r="BK914" s="112"/>
      <c r="BL914" s="112"/>
      <c r="BM914" s="112"/>
      <c r="BN914" s="112"/>
      <c r="BO914" s="112"/>
      <c r="BP914" s="112"/>
    </row>
    <row r="915" ht="12.0" customHeight="1">
      <c r="A915" s="111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T915" s="112"/>
      <c r="AU915" s="112"/>
      <c r="AV915" s="112"/>
      <c r="AW915" s="112"/>
      <c r="AX915" s="112"/>
      <c r="AY915" s="112"/>
      <c r="AZ915" s="112"/>
      <c r="BA915" s="112"/>
      <c r="BB915" s="112"/>
      <c r="BC915" s="112"/>
      <c r="BD915" s="112"/>
      <c r="BE915" s="112"/>
      <c r="BF915" s="112"/>
      <c r="BG915" s="112"/>
      <c r="BH915" s="112"/>
      <c r="BI915" s="112"/>
      <c r="BJ915" s="112"/>
      <c r="BK915" s="112"/>
      <c r="BL915" s="112"/>
      <c r="BM915" s="112"/>
      <c r="BN915" s="112"/>
      <c r="BO915" s="112"/>
      <c r="BP915" s="112"/>
    </row>
    <row r="916" ht="12.0" customHeight="1">
      <c r="A916" s="111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T916" s="112"/>
      <c r="AU916" s="112"/>
      <c r="AV916" s="112"/>
      <c r="AW916" s="112"/>
      <c r="AX916" s="112"/>
      <c r="AY916" s="112"/>
      <c r="AZ916" s="112"/>
      <c r="BA916" s="112"/>
      <c r="BB916" s="112"/>
      <c r="BC916" s="112"/>
      <c r="BD916" s="112"/>
      <c r="BE916" s="112"/>
      <c r="BF916" s="112"/>
      <c r="BG916" s="112"/>
      <c r="BH916" s="112"/>
      <c r="BI916" s="112"/>
      <c r="BJ916" s="112"/>
      <c r="BK916" s="112"/>
      <c r="BL916" s="112"/>
      <c r="BM916" s="112"/>
      <c r="BN916" s="112"/>
      <c r="BO916" s="112"/>
      <c r="BP916" s="112"/>
    </row>
    <row r="917" ht="12.0" customHeight="1">
      <c r="A917" s="111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T917" s="112"/>
      <c r="AU917" s="112"/>
      <c r="AV917" s="112"/>
      <c r="AW917" s="112"/>
      <c r="AX917" s="112"/>
      <c r="AY917" s="112"/>
      <c r="AZ917" s="112"/>
      <c r="BA917" s="112"/>
      <c r="BB917" s="112"/>
      <c r="BC917" s="112"/>
      <c r="BD917" s="112"/>
      <c r="BE917" s="112"/>
      <c r="BF917" s="112"/>
      <c r="BG917" s="112"/>
      <c r="BH917" s="112"/>
      <c r="BI917" s="112"/>
      <c r="BJ917" s="112"/>
      <c r="BK917" s="112"/>
      <c r="BL917" s="112"/>
      <c r="BM917" s="112"/>
      <c r="BN917" s="112"/>
      <c r="BO917" s="112"/>
      <c r="BP917" s="112"/>
    </row>
    <row r="918" ht="12.0" customHeight="1">
      <c r="A918" s="111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T918" s="112"/>
      <c r="AU918" s="112"/>
      <c r="AV918" s="112"/>
      <c r="AW918" s="112"/>
      <c r="AX918" s="112"/>
      <c r="AY918" s="112"/>
      <c r="AZ918" s="112"/>
      <c r="BA918" s="112"/>
      <c r="BB918" s="112"/>
      <c r="BC918" s="112"/>
      <c r="BD918" s="112"/>
      <c r="BE918" s="112"/>
      <c r="BF918" s="112"/>
      <c r="BG918" s="112"/>
      <c r="BH918" s="112"/>
      <c r="BI918" s="112"/>
      <c r="BJ918" s="112"/>
      <c r="BK918" s="112"/>
      <c r="BL918" s="112"/>
      <c r="BM918" s="112"/>
      <c r="BN918" s="112"/>
      <c r="BO918" s="112"/>
      <c r="BP918" s="112"/>
    </row>
    <row r="919" ht="12.0" customHeight="1">
      <c r="A919" s="111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T919" s="112"/>
      <c r="AU919" s="112"/>
      <c r="AV919" s="112"/>
      <c r="AW919" s="112"/>
      <c r="AX919" s="112"/>
      <c r="AY919" s="112"/>
      <c r="AZ919" s="112"/>
      <c r="BA919" s="112"/>
      <c r="BB919" s="112"/>
      <c r="BC919" s="112"/>
      <c r="BD919" s="112"/>
      <c r="BE919" s="112"/>
      <c r="BF919" s="112"/>
      <c r="BG919" s="112"/>
      <c r="BH919" s="112"/>
      <c r="BI919" s="112"/>
      <c r="BJ919" s="112"/>
      <c r="BK919" s="112"/>
      <c r="BL919" s="112"/>
      <c r="BM919" s="112"/>
      <c r="BN919" s="112"/>
      <c r="BO919" s="112"/>
      <c r="BP919" s="112"/>
    </row>
    <row r="920" ht="12.0" customHeight="1">
      <c r="A920" s="111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T920" s="112"/>
      <c r="AU920" s="112"/>
      <c r="AV920" s="112"/>
      <c r="AW920" s="112"/>
      <c r="AX920" s="112"/>
      <c r="AY920" s="112"/>
      <c r="AZ920" s="112"/>
      <c r="BA920" s="112"/>
      <c r="BB920" s="112"/>
      <c r="BC920" s="112"/>
      <c r="BD920" s="112"/>
      <c r="BE920" s="112"/>
      <c r="BF920" s="112"/>
      <c r="BG920" s="112"/>
      <c r="BH920" s="112"/>
      <c r="BI920" s="112"/>
      <c r="BJ920" s="112"/>
      <c r="BK920" s="112"/>
      <c r="BL920" s="112"/>
      <c r="BM920" s="112"/>
      <c r="BN920" s="112"/>
      <c r="BO920" s="112"/>
      <c r="BP920" s="112"/>
    </row>
    <row r="921" ht="12.0" customHeight="1">
      <c r="A921" s="111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T921" s="112"/>
      <c r="AU921" s="112"/>
      <c r="AV921" s="112"/>
      <c r="AW921" s="112"/>
      <c r="AX921" s="112"/>
      <c r="AY921" s="112"/>
      <c r="AZ921" s="112"/>
      <c r="BA921" s="112"/>
      <c r="BB921" s="112"/>
      <c r="BC921" s="112"/>
      <c r="BD921" s="112"/>
      <c r="BE921" s="112"/>
      <c r="BF921" s="112"/>
      <c r="BG921" s="112"/>
      <c r="BH921" s="112"/>
      <c r="BI921" s="112"/>
      <c r="BJ921" s="112"/>
      <c r="BK921" s="112"/>
      <c r="BL921" s="112"/>
      <c r="BM921" s="112"/>
      <c r="BN921" s="112"/>
      <c r="BO921" s="112"/>
      <c r="BP921" s="112"/>
    </row>
    <row r="922" ht="12.0" customHeight="1">
      <c r="A922" s="111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T922" s="112"/>
      <c r="AU922" s="112"/>
      <c r="AV922" s="112"/>
      <c r="AW922" s="112"/>
      <c r="AX922" s="112"/>
      <c r="AY922" s="112"/>
      <c r="AZ922" s="112"/>
      <c r="BA922" s="112"/>
      <c r="BB922" s="112"/>
      <c r="BC922" s="112"/>
      <c r="BD922" s="112"/>
      <c r="BE922" s="112"/>
      <c r="BF922" s="112"/>
      <c r="BG922" s="112"/>
      <c r="BH922" s="112"/>
      <c r="BI922" s="112"/>
      <c r="BJ922" s="112"/>
      <c r="BK922" s="112"/>
      <c r="BL922" s="112"/>
      <c r="BM922" s="112"/>
      <c r="BN922" s="112"/>
      <c r="BO922" s="112"/>
      <c r="BP922" s="112"/>
    </row>
    <row r="923" ht="12.0" customHeight="1">
      <c r="A923" s="111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T923" s="112"/>
      <c r="AU923" s="112"/>
      <c r="AV923" s="112"/>
      <c r="AW923" s="112"/>
      <c r="AX923" s="112"/>
      <c r="AY923" s="112"/>
      <c r="AZ923" s="112"/>
      <c r="BA923" s="112"/>
      <c r="BB923" s="112"/>
      <c r="BC923" s="112"/>
      <c r="BD923" s="112"/>
      <c r="BE923" s="112"/>
      <c r="BF923" s="112"/>
      <c r="BG923" s="112"/>
      <c r="BH923" s="112"/>
      <c r="BI923" s="112"/>
      <c r="BJ923" s="112"/>
      <c r="BK923" s="112"/>
      <c r="BL923" s="112"/>
      <c r="BM923" s="112"/>
      <c r="BN923" s="112"/>
      <c r="BO923" s="112"/>
      <c r="BP923" s="112"/>
    </row>
    <row r="924" ht="12.0" customHeight="1">
      <c r="A924" s="111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T924" s="112"/>
      <c r="AU924" s="112"/>
      <c r="AV924" s="112"/>
      <c r="AW924" s="112"/>
      <c r="AX924" s="112"/>
      <c r="AY924" s="112"/>
      <c r="AZ924" s="112"/>
      <c r="BA924" s="112"/>
      <c r="BB924" s="112"/>
      <c r="BC924" s="112"/>
      <c r="BD924" s="112"/>
      <c r="BE924" s="112"/>
      <c r="BF924" s="112"/>
      <c r="BG924" s="112"/>
      <c r="BH924" s="112"/>
      <c r="BI924" s="112"/>
      <c r="BJ924" s="112"/>
      <c r="BK924" s="112"/>
      <c r="BL924" s="112"/>
      <c r="BM924" s="112"/>
      <c r="BN924" s="112"/>
      <c r="BO924" s="112"/>
      <c r="BP924" s="112"/>
    </row>
    <row r="925" ht="12.0" customHeight="1">
      <c r="A925" s="111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T925" s="112"/>
      <c r="AU925" s="112"/>
      <c r="AV925" s="112"/>
      <c r="AW925" s="112"/>
      <c r="AX925" s="112"/>
      <c r="AY925" s="112"/>
      <c r="AZ925" s="112"/>
      <c r="BA925" s="112"/>
      <c r="BB925" s="112"/>
      <c r="BC925" s="112"/>
      <c r="BD925" s="112"/>
      <c r="BE925" s="112"/>
      <c r="BF925" s="112"/>
      <c r="BG925" s="112"/>
      <c r="BH925" s="112"/>
      <c r="BI925" s="112"/>
      <c r="BJ925" s="112"/>
      <c r="BK925" s="112"/>
      <c r="BL925" s="112"/>
      <c r="BM925" s="112"/>
      <c r="BN925" s="112"/>
      <c r="BO925" s="112"/>
      <c r="BP925" s="112"/>
    </row>
    <row r="926" ht="12.0" customHeight="1">
      <c r="A926" s="111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T926" s="112"/>
      <c r="AU926" s="112"/>
      <c r="AV926" s="112"/>
      <c r="AW926" s="112"/>
      <c r="AX926" s="112"/>
      <c r="AY926" s="112"/>
      <c r="AZ926" s="112"/>
      <c r="BA926" s="112"/>
      <c r="BB926" s="112"/>
      <c r="BC926" s="112"/>
      <c r="BD926" s="112"/>
      <c r="BE926" s="112"/>
      <c r="BF926" s="112"/>
      <c r="BG926" s="112"/>
      <c r="BH926" s="112"/>
      <c r="BI926" s="112"/>
      <c r="BJ926" s="112"/>
      <c r="BK926" s="112"/>
      <c r="BL926" s="112"/>
      <c r="BM926" s="112"/>
      <c r="BN926" s="112"/>
      <c r="BO926" s="112"/>
      <c r="BP926" s="112"/>
    </row>
    <row r="927" ht="12.0" customHeight="1">
      <c r="A927" s="111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T927" s="112"/>
      <c r="AU927" s="112"/>
      <c r="AV927" s="112"/>
      <c r="AW927" s="112"/>
      <c r="AX927" s="112"/>
      <c r="AY927" s="112"/>
      <c r="AZ927" s="112"/>
      <c r="BA927" s="112"/>
      <c r="BB927" s="112"/>
      <c r="BC927" s="112"/>
      <c r="BD927" s="112"/>
      <c r="BE927" s="112"/>
      <c r="BF927" s="112"/>
      <c r="BG927" s="112"/>
      <c r="BH927" s="112"/>
      <c r="BI927" s="112"/>
      <c r="BJ927" s="112"/>
      <c r="BK927" s="112"/>
      <c r="BL927" s="112"/>
      <c r="BM927" s="112"/>
      <c r="BN927" s="112"/>
      <c r="BO927" s="112"/>
      <c r="BP927" s="112"/>
    </row>
    <row r="928" ht="12.0" customHeight="1">
      <c r="A928" s="111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T928" s="112"/>
      <c r="AU928" s="112"/>
      <c r="AV928" s="112"/>
      <c r="AW928" s="112"/>
      <c r="AX928" s="112"/>
      <c r="AY928" s="112"/>
      <c r="AZ928" s="112"/>
      <c r="BA928" s="112"/>
      <c r="BB928" s="112"/>
      <c r="BC928" s="112"/>
      <c r="BD928" s="112"/>
      <c r="BE928" s="112"/>
      <c r="BF928" s="112"/>
      <c r="BG928" s="112"/>
      <c r="BH928" s="112"/>
      <c r="BI928" s="112"/>
      <c r="BJ928" s="112"/>
      <c r="BK928" s="112"/>
      <c r="BL928" s="112"/>
      <c r="BM928" s="112"/>
      <c r="BN928" s="112"/>
      <c r="BO928" s="112"/>
      <c r="BP928" s="112"/>
    </row>
    <row r="929" ht="12.0" customHeight="1">
      <c r="A929" s="111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U929" s="112"/>
      <c r="AV929" s="112"/>
      <c r="AW929" s="112"/>
      <c r="AX929" s="112"/>
      <c r="AY929" s="112"/>
      <c r="AZ929" s="112"/>
      <c r="BA929" s="112"/>
      <c r="BB929" s="112"/>
      <c r="BC929" s="112"/>
      <c r="BD929" s="112"/>
      <c r="BE929" s="112"/>
      <c r="BF929" s="112"/>
      <c r="BG929" s="112"/>
      <c r="BH929" s="112"/>
      <c r="BI929" s="112"/>
      <c r="BJ929" s="112"/>
      <c r="BK929" s="112"/>
      <c r="BL929" s="112"/>
      <c r="BM929" s="112"/>
      <c r="BN929" s="112"/>
      <c r="BO929" s="112"/>
      <c r="BP929" s="112"/>
    </row>
    <row r="930" ht="12.0" customHeight="1">
      <c r="A930" s="111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T930" s="112"/>
      <c r="AU930" s="112"/>
      <c r="AV930" s="112"/>
      <c r="AW930" s="112"/>
      <c r="AX930" s="112"/>
      <c r="AY930" s="112"/>
      <c r="AZ930" s="112"/>
      <c r="BA930" s="112"/>
      <c r="BB930" s="112"/>
      <c r="BC930" s="112"/>
      <c r="BD930" s="112"/>
      <c r="BE930" s="112"/>
      <c r="BF930" s="112"/>
      <c r="BG930" s="112"/>
      <c r="BH930" s="112"/>
      <c r="BI930" s="112"/>
      <c r="BJ930" s="112"/>
      <c r="BK930" s="112"/>
      <c r="BL930" s="112"/>
      <c r="BM930" s="112"/>
      <c r="BN930" s="112"/>
      <c r="BO930" s="112"/>
      <c r="BP930" s="112"/>
    </row>
    <row r="931" ht="12.0" customHeight="1">
      <c r="A931" s="111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T931" s="112"/>
      <c r="AU931" s="112"/>
      <c r="AV931" s="112"/>
      <c r="AW931" s="112"/>
      <c r="AX931" s="112"/>
      <c r="AY931" s="112"/>
      <c r="AZ931" s="112"/>
      <c r="BA931" s="112"/>
      <c r="BB931" s="112"/>
      <c r="BC931" s="112"/>
      <c r="BD931" s="112"/>
      <c r="BE931" s="112"/>
      <c r="BF931" s="112"/>
      <c r="BG931" s="112"/>
      <c r="BH931" s="112"/>
      <c r="BI931" s="112"/>
      <c r="BJ931" s="112"/>
      <c r="BK931" s="112"/>
      <c r="BL931" s="112"/>
      <c r="BM931" s="112"/>
      <c r="BN931" s="112"/>
      <c r="BO931" s="112"/>
      <c r="BP931" s="112"/>
    </row>
    <row r="932" ht="12.0" customHeight="1">
      <c r="A932" s="111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T932" s="112"/>
      <c r="AU932" s="112"/>
      <c r="AV932" s="112"/>
      <c r="AW932" s="112"/>
      <c r="AX932" s="112"/>
      <c r="AY932" s="112"/>
      <c r="AZ932" s="112"/>
      <c r="BA932" s="112"/>
      <c r="BB932" s="112"/>
      <c r="BC932" s="112"/>
      <c r="BD932" s="112"/>
      <c r="BE932" s="112"/>
      <c r="BF932" s="112"/>
      <c r="BG932" s="112"/>
      <c r="BH932" s="112"/>
      <c r="BI932" s="112"/>
      <c r="BJ932" s="112"/>
      <c r="BK932" s="112"/>
      <c r="BL932" s="112"/>
      <c r="BM932" s="112"/>
      <c r="BN932" s="112"/>
      <c r="BO932" s="112"/>
      <c r="BP932" s="112"/>
    </row>
    <row r="933" ht="12.0" customHeight="1">
      <c r="A933" s="111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T933" s="112"/>
      <c r="AU933" s="112"/>
      <c r="AV933" s="112"/>
      <c r="AW933" s="112"/>
      <c r="AX933" s="112"/>
      <c r="AY933" s="112"/>
      <c r="AZ933" s="112"/>
      <c r="BA933" s="112"/>
      <c r="BB933" s="112"/>
      <c r="BC933" s="112"/>
      <c r="BD933" s="112"/>
      <c r="BE933" s="112"/>
      <c r="BF933" s="112"/>
      <c r="BG933" s="112"/>
      <c r="BH933" s="112"/>
      <c r="BI933" s="112"/>
      <c r="BJ933" s="112"/>
      <c r="BK933" s="112"/>
      <c r="BL933" s="112"/>
      <c r="BM933" s="112"/>
      <c r="BN933" s="112"/>
      <c r="BO933" s="112"/>
      <c r="BP933" s="112"/>
    </row>
    <row r="934" ht="12.0" customHeight="1">
      <c r="A934" s="111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T934" s="112"/>
      <c r="AU934" s="112"/>
      <c r="AV934" s="112"/>
      <c r="AW934" s="112"/>
      <c r="AX934" s="112"/>
      <c r="AY934" s="112"/>
      <c r="AZ934" s="112"/>
      <c r="BA934" s="112"/>
      <c r="BB934" s="112"/>
      <c r="BC934" s="112"/>
      <c r="BD934" s="112"/>
      <c r="BE934" s="112"/>
      <c r="BF934" s="112"/>
      <c r="BG934" s="112"/>
      <c r="BH934" s="112"/>
      <c r="BI934" s="112"/>
      <c r="BJ934" s="112"/>
      <c r="BK934" s="112"/>
      <c r="BL934" s="112"/>
      <c r="BM934" s="112"/>
      <c r="BN934" s="112"/>
      <c r="BO934" s="112"/>
      <c r="BP934" s="112"/>
    </row>
    <row r="935" ht="12.0" customHeight="1">
      <c r="A935" s="111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T935" s="112"/>
      <c r="AU935" s="112"/>
      <c r="AV935" s="112"/>
      <c r="AW935" s="112"/>
      <c r="AX935" s="112"/>
      <c r="AY935" s="112"/>
      <c r="AZ935" s="112"/>
      <c r="BA935" s="112"/>
      <c r="BB935" s="112"/>
      <c r="BC935" s="112"/>
      <c r="BD935" s="112"/>
      <c r="BE935" s="112"/>
      <c r="BF935" s="112"/>
      <c r="BG935" s="112"/>
      <c r="BH935" s="112"/>
      <c r="BI935" s="112"/>
      <c r="BJ935" s="112"/>
      <c r="BK935" s="112"/>
      <c r="BL935" s="112"/>
      <c r="BM935" s="112"/>
      <c r="BN935" s="112"/>
      <c r="BO935" s="112"/>
      <c r="BP935" s="112"/>
    </row>
    <row r="936" ht="12.0" customHeight="1">
      <c r="A936" s="111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T936" s="112"/>
      <c r="AU936" s="112"/>
      <c r="AV936" s="112"/>
      <c r="AW936" s="112"/>
      <c r="AX936" s="112"/>
      <c r="AY936" s="112"/>
      <c r="AZ936" s="112"/>
      <c r="BA936" s="112"/>
      <c r="BB936" s="112"/>
      <c r="BC936" s="112"/>
      <c r="BD936" s="112"/>
      <c r="BE936" s="112"/>
      <c r="BF936" s="112"/>
      <c r="BG936" s="112"/>
      <c r="BH936" s="112"/>
      <c r="BI936" s="112"/>
      <c r="BJ936" s="112"/>
      <c r="BK936" s="112"/>
      <c r="BL936" s="112"/>
      <c r="BM936" s="112"/>
      <c r="BN936" s="112"/>
      <c r="BO936" s="112"/>
      <c r="BP936" s="112"/>
    </row>
    <row r="937" ht="12.0" customHeight="1">
      <c r="A937" s="111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T937" s="112"/>
      <c r="AU937" s="112"/>
      <c r="AV937" s="112"/>
      <c r="AW937" s="112"/>
      <c r="AX937" s="112"/>
      <c r="AY937" s="112"/>
      <c r="AZ937" s="112"/>
      <c r="BA937" s="112"/>
      <c r="BB937" s="112"/>
      <c r="BC937" s="112"/>
      <c r="BD937" s="112"/>
      <c r="BE937" s="112"/>
      <c r="BF937" s="112"/>
      <c r="BG937" s="112"/>
      <c r="BH937" s="112"/>
      <c r="BI937" s="112"/>
      <c r="BJ937" s="112"/>
      <c r="BK937" s="112"/>
      <c r="BL937" s="112"/>
      <c r="BM937" s="112"/>
      <c r="BN937" s="112"/>
      <c r="BO937" s="112"/>
      <c r="BP937" s="112"/>
    </row>
    <row r="938" ht="12.0" customHeight="1">
      <c r="A938" s="111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T938" s="112"/>
      <c r="AU938" s="112"/>
      <c r="AV938" s="112"/>
      <c r="AW938" s="112"/>
      <c r="AX938" s="112"/>
      <c r="AY938" s="112"/>
      <c r="AZ938" s="112"/>
      <c r="BA938" s="112"/>
      <c r="BB938" s="112"/>
      <c r="BC938" s="112"/>
      <c r="BD938" s="112"/>
      <c r="BE938" s="112"/>
      <c r="BF938" s="112"/>
      <c r="BG938" s="112"/>
      <c r="BH938" s="112"/>
      <c r="BI938" s="112"/>
      <c r="BJ938" s="112"/>
      <c r="BK938" s="112"/>
      <c r="BL938" s="112"/>
      <c r="BM938" s="112"/>
      <c r="BN938" s="112"/>
      <c r="BO938" s="112"/>
      <c r="BP938" s="112"/>
    </row>
    <row r="939" ht="12.0" customHeight="1">
      <c r="A939" s="111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T939" s="112"/>
      <c r="AU939" s="112"/>
      <c r="AV939" s="112"/>
      <c r="AW939" s="112"/>
      <c r="AX939" s="112"/>
      <c r="AY939" s="112"/>
      <c r="AZ939" s="112"/>
      <c r="BA939" s="112"/>
      <c r="BB939" s="112"/>
      <c r="BC939" s="112"/>
      <c r="BD939" s="112"/>
      <c r="BE939" s="112"/>
      <c r="BF939" s="112"/>
      <c r="BG939" s="112"/>
      <c r="BH939" s="112"/>
      <c r="BI939" s="112"/>
      <c r="BJ939" s="112"/>
      <c r="BK939" s="112"/>
      <c r="BL939" s="112"/>
      <c r="BM939" s="112"/>
      <c r="BN939" s="112"/>
      <c r="BO939" s="112"/>
      <c r="BP939" s="112"/>
    </row>
    <row r="940" ht="12.0" customHeight="1">
      <c r="A940" s="111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T940" s="112"/>
      <c r="AU940" s="112"/>
      <c r="AV940" s="112"/>
      <c r="AW940" s="112"/>
      <c r="AX940" s="112"/>
      <c r="AY940" s="112"/>
      <c r="AZ940" s="112"/>
      <c r="BA940" s="112"/>
      <c r="BB940" s="112"/>
      <c r="BC940" s="112"/>
      <c r="BD940" s="112"/>
      <c r="BE940" s="112"/>
      <c r="BF940" s="112"/>
      <c r="BG940" s="112"/>
      <c r="BH940" s="112"/>
      <c r="BI940" s="112"/>
      <c r="BJ940" s="112"/>
      <c r="BK940" s="112"/>
      <c r="BL940" s="112"/>
      <c r="BM940" s="112"/>
      <c r="BN940" s="112"/>
      <c r="BO940" s="112"/>
      <c r="BP940" s="112"/>
    </row>
    <row r="941" ht="12.0" customHeight="1">
      <c r="A941" s="111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T941" s="112"/>
      <c r="AU941" s="112"/>
      <c r="AV941" s="112"/>
      <c r="AW941" s="112"/>
      <c r="AX941" s="112"/>
      <c r="AY941" s="112"/>
      <c r="AZ941" s="112"/>
      <c r="BA941" s="112"/>
      <c r="BB941" s="112"/>
      <c r="BC941" s="112"/>
      <c r="BD941" s="112"/>
      <c r="BE941" s="112"/>
      <c r="BF941" s="112"/>
      <c r="BG941" s="112"/>
      <c r="BH941" s="112"/>
      <c r="BI941" s="112"/>
      <c r="BJ941" s="112"/>
      <c r="BK941" s="112"/>
      <c r="BL941" s="112"/>
      <c r="BM941" s="112"/>
      <c r="BN941" s="112"/>
      <c r="BO941" s="112"/>
      <c r="BP941" s="112"/>
    </row>
    <row r="942" ht="12.0" customHeight="1">
      <c r="A942" s="111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T942" s="112"/>
      <c r="AU942" s="112"/>
      <c r="AV942" s="112"/>
      <c r="AW942" s="112"/>
      <c r="AX942" s="112"/>
      <c r="AY942" s="112"/>
      <c r="AZ942" s="112"/>
      <c r="BA942" s="112"/>
      <c r="BB942" s="112"/>
      <c r="BC942" s="112"/>
      <c r="BD942" s="112"/>
      <c r="BE942" s="112"/>
      <c r="BF942" s="112"/>
      <c r="BG942" s="112"/>
      <c r="BH942" s="112"/>
      <c r="BI942" s="112"/>
      <c r="BJ942" s="112"/>
      <c r="BK942" s="112"/>
      <c r="BL942" s="112"/>
      <c r="BM942" s="112"/>
      <c r="BN942" s="112"/>
      <c r="BO942" s="112"/>
      <c r="BP942" s="112"/>
    </row>
    <row r="943" ht="12.0" customHeight="1">
      <c r="A943" s="111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T943" s="112"/>
      <c r="AU943" s="112"/>
      <c r="AV943" s="112"/>
      <c r="AW943" s="112"/>
      <c r="AX943" s="112"/>
      <c r="AY943" s="112"/>
      <c r="AZ943" s="112"/>
      <c r="BA943" s="112"/>
      <c r="BB943" s="112"/>
      <c r="BC943" s="112"/>
      <c r="BD943" s="112"/>
      <c r="BE943" s="112"/>
      <c r="BF943" s="112"/>
      <c r="BG943" s="112"/>
      <c r="BH943" s="112"/>
      <c r="BI943" s="112"/>
      <c r="BJ943" s="112"/>
      <c r="BK943" s="112"/>
      <c r="BL943" s="112"/>
      <c r="BM943" s="112"/>
      <c r="BN943" s="112"/>
      <c r="BO943" s="112"/>
      <c r="BP943" s="112"/>
    </row>
    <row r="944" ht="12.0" customHeight="1">
      <c r="A944" s="111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T944" s="112"/>
      <c r="AU944" s="112"/>
      <c r="AV944" s="112"/>
      <c r="AW944" s="112"/>
      <c r="AX944" s="112"/>
      <c r="AY944" s="112"/>
      <c r="AZ944" s="112"/>
      <c r="BA944" s="112"/>
      <c r="BB944" s="112"/>
      <c r="BC944" s="112"/>
      <c r="BD944" s="112"/>
      <c r="BE944" s="112"/>
      <c r="BF944" s="112"/>
      <c r="BG944" s="112"/>
      <c r="BH944" s="112"/>
      <c r="BI944" s="112"/>
      <c r="BJ944" s="112"/>
      <c r="BK944" s="112"/>
      <c r="BL944" s="112"/>
      <c r="BM944" s="112"/>
      <c r="BN944" s="112"/>
      <c r="BO944" s="112"/>
      <c r="BP944" s="112"/>
    </row>
    <row r="945" ht="12.0" customHeight="1">
      <c r="A945" s="111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T945" s="112"/>
      <c r="AU945" s="112"/>
      <c r="AV945" s="112"/>
      <c r="AW945" s="112"/>
      <c r="AX945" s="112"/>
      <c r="AY945" s="112"/>
      <c r="AZ945" s="112"/>
      <c r="BA945" s="112"/>
      <c r="BB945" s="112"/>
      <c r="BC945" s="112"/>
      <c r="BD945" s="112"/>
      <c r="BE945" s="112"/>
      <c r="BF945" s="112"/>
      <c r="BG945" s="112"/>
      <c r="BH945" s="112"/>
      <c r="BI945" s="112"/>
      <c r="BJ945" s="112"/>
      <c r="BK945" s="112"/>
      <c r="BL945" s="112"/>
      <c r="BM945" s="112"/>
      <c r="BN945" s="112"/>
      <c r="BO945" s="112"/>
      <c r="BP945" s="112"/>
    </row>
    <row r="946" ht="12.0" customHeight="1">
      <c r="A946" s="111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T946" s="112"/>
      <c r="AU946" s="112"/>
      <c r="AV946" s="112"/>
      <c r="AW946" s="112"/>
      <c r="AX946" s="112"/>
      <c r="AY946" s="112"/>
      <c r="AZ946" s="112"/>
      <c r="BA946" s="112"/>
      <c r="BB946" s="112"/>
      <c r="BC946" s="112"/>
      <c r="BD946" s="112"/>
      <c r="BE946" s="112"/>
      <c r="BF946" s="112"/>
      <c r="BG946" s="112"/>
      <c r="BH946" s="112"/>
      <c r="BI946" s="112"/>
      <c r="BJ946" s="112"/>
      <c r="BK946" s="112"/>
      <c r="BL946" s="112"/>
      <c r="BM946" s="112"/>
      <c r="BN946" s="112"/>
      <c r="BO946" s="112"/>
      <c r="BP946" s="112"/>
    </row>
    <row r="947" ht="12.0" customHeight="1">
      <c r="A947" s="111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T947" s="112"/>
      <c r="AU947" s="112"/>
      <c r="AV947" s="112"/>
      <c r="AW947" s="112"/>
      <c r="AX947" s="112"/>
      <c r="AY947" s="112"/>
      <c r="AZ947" s="112"/>
      <c r="BA947" s="112"/>
      <c r="BB947" s="112"/>
      <c r="BC947" s="112"/>
      <c r="BD947" s="112"/>
      <c r="BE947" s="112"/>
      <c r="BF947" s="112"/>
      <c r="BG947" s="112"/>
      <c r="BH947" s="112"/>
      <c r="BI947" s="112"/>
      <c r="BJ947" s="112"/>
      <c r="BK947" s="112"/>
      <c r="BL947" s="112"/>
      <c r="BM947" s="112"/>
      <c r="BN947" s="112"/>
      <c r="BO947" s="112"/>
      <c r="BP947" s="112"/>
    </row>
    <row r="948" ht="12.0" customHeight="1">
      <c r="A948" s="111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T948" s="112"/>
      <c r="AU948" s="112"/>
      <c r="AV948" s="112"/>
      <c r="AW948" s="112"/>
      <c r="AX948" s="112"/>
      <c r="AY948" s="112"/>
      <c r="AZ948" s="112"/>
      <c r="BA948" s="112"/>
      <c r="BB948" s="112"/>
      <c r="BC948" s="112"/>
      <c r="BD948" s="112"/>
      <c r="BE948" s="112"/>
      <c r="BF948" s="112"/>
      <c r="BG948" s="112"/>
      <c r="BH948" s="112"/>
      <c r="BI948" s="112"/>
      <c r="BJ948" s="112"/>
      <c r="BK948" s="112"/>
      <c r="BL948" s="112"/>
      <c r="BM948" s="112"/>
      <c r="BN948" s="112"/>
      <c r="BO948" s="112"/>
      <c r="BP948" s="112"/>
    </row>
    <row r="949" ht="12.0" customHeight="1">
      <c r="A949" s="111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U949" s="112"/>
      <c r="AV949" s="112"/>
      <c r="AW949" s="112"/>
      <c r="AX949" s="112"/>
      <c r="AY949" s="112"/>
      <c r="AZ949" s="112"/>
      <c r="BA949" s="112"/>
      <c r="BB949" s="112"/>
      <c r="BC949" s="112"/>
      <c r="BD949" s="112"/>
      <c r="BE949" s="112"/>
      <c r="BF949" s="112"/>
      <c r="BG949" s="112"/>
      <c r="BH949" s="112"/>
      <c r="BI949" s="112"/>
      <c r="BJ949" s="112"/>
      <c r="BK949" s="112"/>
      <c r="BL949" s="112"/>
      <c r="BM949" s="112"/>
      <c r="BN949" s="112"/>
      <c r="BO949" s="112"/>
      <c r="BP949" s="112"/>
    </row>
    <row r="950" ht="12.0" customHeight="1">
      <c r="A950" s="111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T950" s="112"/>
      <c r="AU950" s="112"/>
      <c r="AV950" s="112"/>
      <c r="AW950" s="112"/>
      <c r="AX950" s="112"/>
      <c r="AY950" s="112"/>
      <c r="AZ950" s="112"/>
      <c r="BA950" s="112"/>
      <c r="BB950" s="112"/>
      <c r="BC950" s="112"/>
      <c r="BD950" s="112"/>
      <c r="BE950" s="112"/>
      <c r="BF950" s="112"/>
      <c r="BG950" s="112"/>
      <c r="BH950" s="112"/>
      <c r="BI950" s="112"/>
      <c r="BJ950" s="112"/>
      <c r="BK950" s="112"/>
      <c r="BL950" s="112"/>
      <c r="BM950" s="112"/>
      <c r="BN950" s="112"/>
      <c r="BO950" s="112"/>
      <c r="BP950" s="112"/>
    </row>
    <row r="951" ht="12.0" customHeight="1">
      <c r="A951" s="111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T951" s="112"/>
      <c r="AU951" s="112"/>
      <c r="AV951" s="112"/>
      <c r="AW951" s="112"/>
      <c r="AX951" s="112"/>
      <c r="AY951" s="112"/>
      <c r="AZ951" s="112"/>
      <c r="BA951" s="112"/>
      <c r="BB951" s="112"/>
      <c r="BC951" s="112"/>
      <c r="BD951" s="112"/>
      <c r="BE951" s="112"/>
      <c r="BF951" s="112"/>
      <c r="BG951" s="112"/>
      <c r="BH951" s="112"/>
      <c r="BI951" s="112"/>
      <c r="BJ951" s="112"/>
      <c r="BK951" s="112"/>
      <c r="BL951" s="112"/>
      <c r="BM951" s="112"/>
      <c r="BN951" s="112"/>
      <c r="BO951" s="112"/>
      <c r="BP951" s="112"/>
    </row>
    <row r="952" ht="12.0" customHeight="1">
      <c r="A952" s="111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T952" s="112"/>
      <c r="AU952" s="112"/>
      <c r="AV952" s="112"/>
      <c r="AW952" s="112"/>
      <c r="AX952" s="112"/>
      <c r="AY952" s="112"/>
      <c r="AZ952" s="112"/>
      <c r="BA952" s="112"/>
      <c r="BB952" s="112"/>
      <c r="BC952" s="112"/>
      <c r="BD952" s="112"/>
      <c r="BE952" s="112"/>
      <c r="BF952" s="112"/>
      <c r="BG952" s="112"/>
      <c r="BH952" s="112"/>
      <c r="BI952" s="112"/>
      <c r="BJ952" s="112"/>
      <c r="BK952" s="112"/>
      <c r="BL952" s="112"/>
      <c r="BM952" s="112"/>
      <c r="BN952" s="112"/>
      <c r="BO952" s="112"/>
      <c r="BP952" s="112"/>
    </row>
    <row r="953" ht="12.0" customHeight="1">
      <c r="A953" s="111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T953" s="112"/>
      <c r="AU953" s="112"/>
      <c r="AV953" s="112"/>
      <c r="AW953" s="112"/>
      <c r="AX953" s="112"/>
      <c r="AY953" s="112"/>
      <c r="AZ953" s="112"/>
      <c r="BA953" s="112"/>
      <c r="BB953" s="112"/>
      <c r="BC953" s="112"/>
      <c r="BD953" s="112"/>
      <c r="BE953" s="112"/>
      <c r="BF953" s="112"/>
      <c r="BG953" s="112"/>
      <c r="BH953" s="112"/>
      <c r="BI953" s="112"/>
      <c r="BJ953" s="112"/>
      <c r="BK953" s="112"/>
      <c r="BL953" s="112"/>
      <c r="BM953" s="112"/>
      <c r="BN953" s="112"/>
      <c r="BO953" s="112"/>
      <c r="BP953" s="112"/>
    </row>
    <row r="954" ht="12.0" customHeight="1">
      <c r="A954" s="111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T954" s="112"/>
      <c r="AU954" s="112"/>
      <c r="AV954" s="112"/>
      <c r="AW954" s="112"/>
      <c r="AX954" s="112"/>
      <c r="AY954" s="112"/>
      <c r="AZ954" s="112"/>
      <c r="BA954" s="112"/>
      <c r="BB954" s="112"/>
      <c r="BC954" s="112"/>
      <c r="BD954" s="112"/>
      <c r="BE954" s="112"/>
      <c r="BF954" s="112"/>
      <c r="BG954" s="112"/>
      <c r="BH954" s="112"/>
      <c r="BI954" s="112"/>
      <c r="BJ954" s="112"/>
      <c r="BK954" s="112"/>
      <c r="BL954" s="112"/>
      <c r="BM954" s="112"/>
      <c r="BN954" s="112"/>
      <c r="BO954" s="112"/>
      <c r="BP954" s="112"/>
    </row>
    <row r="955" ht="12.0" customHeight="1">
      <c r="A955" s="111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T955" s="112"/>
      <c r="AU955" s="112"/>
      <c r="AV955" s="112"/>
      <c r="AW955" s="112"/>
      <c r="AX955" s="112"/>
      <c r="AY955" s="112"/>
      <c r="AZ955" s="112"/>
      <c r="BA955" s="112"/>
      <c r="BB955" s="112"/>
      <c r="BC955" s="112"/>
      <c r="BD955" s="112"/>
      <c r="BE955" s="112"/>
      <c r="BF955" s="112"/>
      <c r="BG955" s="112"/>
      <c r="BH955" s="112"/>
      <c r="BI955" s="112"/>
      <c r="BJ955" s="112"/>
      <c r="BK955" s="112"/>
      <c r="BL955" s="112"/>
      <c r="BM955" s="112"/>
      <c r="BN955" s="112"/>
      <c r="BO955" s="112"/>
      <c r="BP955" s="112"/>
    </row>
    <row r="956" ht="12.0" customHeight="1">
      <c r="A956" s="111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T956" s="112"/>
      <c r="AU956" s="112"/>
      <c r="AV956" s="112"/>
      <c r="AW956" s="112"/>
      <c r="AX956" s="112"/>
      <c r="AY956" s="112"/>
      <c r="AZ956" s="112"/>
      <c r="BA956" s="112"/>
      <c r="BB956" s="112"/>
      <c r="BC956" s="112"/>
      <c r="BD956" s="112"/>
      <c r="BE956" s="112"/>
      <c r="BF956" s="112"/>
      <c r="BG956" s="112"/>
      <c r="BH956" s="112"/>
      <c r="BI956" s="112"/>
      <c r="BJ956" s="112"/>
      <c r="BK956" s="112"/>
      <c r="BL956" s="112"/>
      <c r="BM956" s="112"/>
      <c r="BN956" s="112"/>
      <c r="BO956" s="112"/>
      <c r="BP956" s="112"/>
    </row>
    <row r="957" ht="12.0" customHeight="1">
      <c r="A957" s="111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T957" s="112"/>
      <c r="AU957" s="112"/>
      <c r="AV957" s="112"/>
      <c r="AW957" s="112"/>
      <c r="AX957" s="112"/>
      <c r="AY957" s="112"/>
      <c r="AZ957" s="112"/>
      <c r="BA957" s="112"/>
      <c r="BB957" s="112"/>
      <c r="BC957" s="112"/>
      <c r="BD957" s="112"/>
      <c r="BE957" s="112"/>
      <c r="BF957" s="112"/>
      <c r="BG957" s="112"/>
      <c r="BH957" s="112"/>
      <c r="BI957" s="112"/>
      <c r="BJ957" s="112"/>
      <c r="BK957" s="112"/>
      <c r="BL957" s="112"/>
      <c r="BM957" s="112"/>
      <c r="BN957" s="112"/>
      <c r="BO957" s="112"/>
      <c r="BP957" s="112"/>
    </row>
    <row r="958" ht="12.0" customHeight="1">
      <c r="A958" s="111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T958" s="112"/>
      <c r="AU958" s="112"/>
      <c r="AV958" s="112"/>
      <c r="AW958" s="112"/>
      <c r="AX958" s="112"/>
      <c r="AY958" s="112"/>
      <c r="AZ958" s="112"/>
      <c r="BA958" s="112"/>
      <c r="BB958" s="112"/>
      <c r="BC958" s="112"/>
      <c r="BD958" s="112"/>
      <c r="BE958" s="112"/>
      <c r="BF958" s="112"/>
      <c r="BG958" s="112"/>
      <c r="BH958" s="112"/>
      <c r="BI958" s="112"/>
      <c r="BJ958" s="112"/>
      <c r="BK958" s="112"/>
      <c r="BL958" s="112"/>
      <c r="BM958" s="112"/>
      <c r="BN958" s="112"/>
      <c r="BO958" s="112"/>
      <c r="BP958" s="112"/>
    </row>
    <row r="959" ht="12.0" customHeight="1">
      <c r="A959" s="111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T959" s="112"/>
      <c r="AU959" s="112"/>
      <c r="AV959" s="112"/>
      <c r="AW959" s="112"/>
      <c r="AX959" s="112"/>
      <c r="AY959" s="112"/>
      <c r="AZ959" s="112"/>
      <c r="BA959" s="112"/>
      <c r="BB959" s="112"/>
      <c r="BC959" s="112"/>
      <c r="BD959" s="112"/>
      <c r="BE959" s="112"/>
      <c r="BF959" s="112"/>
      <c r="BG959" s="112"/>
      <c r="BH959" s="112"/>
      <c r="BI959" s="112"/>
      <c r="BJ959" s="112"/>
      <c r="BK959" s="112"/>
      <c r="BL959" s="112"/>
      <c r="BM959" s="112"/>
      <c r="BN959" s="112"/>
      <c r="BO959" s="112"/>
      <c r="BP959" s="112"/>
    </row>
    <row r="960" ht="12.0" customHeight="1">
      <c r="A960" s="111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T960" s="112"/>
      <c r="AU960" s="112"/>
      <c r="AV960" s="112"/>
      <c r="AW960" s="112"/>
      <c r="AX960" s="112"/>
      <c r="AY960" s="112"/>
      <c r="AZ960" s="112"/>
      <c r="BA960" s="112"/>
      <c r="BB960" s="112"/>
      <c r="BC960" s="112"/>
      <c r="BD960" s="112"/>
      <c r="BE960" s="112"/>
      <c r="BF960" s="112"/>
      <c r="BG960" s="112"/>
      <c r="BH960" s="112"/>
      <c r="BI960" s="112"/>
      <c r="BJ960" s="112"/>
      <c r="BK960" s="112"/>
      <c r="BL960" s="112"/>
      <c r="BM960" s="112"/>
      <c r="BN960" s="112"/>
      <c r="BO960" s="112"/>
      <c r="BP960" s="112"/>
    </row>
    <row r="961" ht="12.0" customHeight="1">
      <c r="A961" s="111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T961" s="112"/>
      <c r="AU961" s="112"/>
      <c r="AV961" s="112"/>
      <c r="AW961" s="112"/>
      <c r="AX961" s="112"/>
      <c r="AY961" s="112"/>
      <c r="AZ961" s="112"/>
      <c r="BA961" s="112"/>
      <c r="BB961" s="112"/>
      <c r="BC961" s="112"/>
      <c r="BD961" s="112"/>
      <c r="BE961" s="112"/>
      <c r="BF961" s="112"/>
      <c r="BG961" s="112"/>
      <c r="BH961" s="112"/>
      <c r="BI961" s="112"/>
      <c r="BJ961" s="112"/>
      <c r="BK961" s="112"/>
      <c r="BL961" s="112"/>
      <c r="BM961" s="112"/>
      <c r="BN961" s="112"/>
      <c r="BO961" s="112"/>
      <c r="BP961" s="112"/>
    </row>
    <row r="962" ht="12.0" customHeight="1">
      <c r="A962" s="111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T962" s="112"/>
      <c r="AU962" s="112"/>
      <c r="AV962" s="112"/>
      <c r="AW962" s="112"/>
      <c r="AX962" s="112"/>
      <c r="AY962" s="112"/>
      <c r="AZ962" s="112"/>
      <c r="BA962" s="112"/>
      <c r="BB962" s="112"/>
      <c r="BC962" s="112"/>
      <c r="BD962" s="112"/>
      <c r="BE962" s="112"/>
      <c r="BF962" s="112"/>
      <c r="BG962" s="112"/>
      <c r="BH962" s="112"/>
      <c r="BI962" s="112"/>
      <c r="BJ962" s="112"/>
      <c r="BK962" s="112"/>
      <c r="BL962" s="112"/>
      <c r="BM962" s="112"/>
      <c r="BN962" s="112"/>
      <c r="BO962" s="112"/>
      <c r="BP962" s="112"/>
    </row>
    <row r="963" ht="12.0" customHeight="1">
      <c r="A963" s="111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T963" s="112"/>
      <c r="AU963" s="112"/>
      <c r="AV963" s="112"/>
      <c r="AW963" s="112"/>
      <c r="AX963" s="112"/>
      <c r="AY963" s="112"/>
      <c r="AZ963" s="112"/>
      <c r="BA963" s="112"/>
      <c r="BB963" s="112"/>
      <c r="BC963" s="112"/>
      <c r="BD963" s="112"/>
      <c r="BE963" s="112"/>
      <c r="BF963" s="112"/>
      <c r="BG963" s="112"/>
      <c r="BH963" s="112"/>
      <c r="BI963" s="112"/>
      <c r="BJ963" s="112"/>
      <c r="BK963" s="112"/>
      <c r="BL963" s="112"/>
      <c r="BM963" s="112"/>
      <c r="BN963" s="112"/>
      <c r="BO963" s="112"/>
      <c r="BP963" s="112"/>
    </row>
    <row r="964" ht="12.0" customHeight="1">
      <c r="A964" s="111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T964" s="112"/>
      <c r="AU964" s="112"/>
      <c r="AV964" s="112"/>
      <c r="AW964" s="112"/>
      <c r="AX964" s="112"/>
      <c r="AY964" s="112"/>
      <c r="AZ964" s="112"/>
      <c r="BA964" s="112"/>
      <c r="BB964" s="112"/>
      <c r="BC964" s="112"/>
      <c r="BD964" s="112"/>
      <c r="BE964" s="112"/>
      <c r="BF964" s="112"/>
      <c r="BG964" s="112"/>
      <c r="BH964" s="112"/>
      <c r="BI964" s="112"/>
      <c r="BJ964" s="112"/>
      <c r="BK964" s="112"/>
      <c r="BL964" s="112"/>
      <c r="BM964" s="112"/>
      <c r="BN964" s="112"/>
      <c r="BO964" s="112"/>
      <c r="BP964" s="112"/>
    </row>
    <row r="965" ht="12.0" customHeight="1">
      <c r="A965" s="111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T965" s="112"/>
      <c r="AU965" s="112"/>
      <c r="AV965" s="112"/>
      <c r="AW965" s="112"/>
      <c r="AX965" s="112"/>
      <c r="AY965" s="112"/>
      <c r="AZ965" s="112"/>
      <c r="BA965" s="112"/>
      <c r="BB965" s="112"/>
      <c r="BC965" s="112"/>
      <c r="BD965" s="112"/>
      <c r="BE965" s="112"/>
      <c r="BF965" s="112"/>
      <c r="BG965" s="112"/>
      <c r="BH965" s="112"/>
      <c r="BI965" s="112"/>
      <c r="BJ965" s="112"/>
      <c r="BK965" s="112"/>
      <c r="BL965" s="112"/>
      <c r="BM965" s="112"/>
      <c r="BN965" s="112"/>
      <c r="BO965" s="112"/>
      <c r="BP965" s="112"/>
    </row>
    <row r="966" ht="12.0" customHeight="1">
      <c r="A966" s="111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T966" s="112"/>
      <c r="AU966" s="112"/>
      <c r="AV966" s="112"/>
      <c r="AW966" s="112"/>
      <c r="AX966" s="112"/>
      <c r="AY966" s="112"/>
      <c r="AZ966" s="112"/>
      <c r="BA966" s="112"/>
      <c r="BB966" s="112"/>
      <c r="BC966" s="112"/>
      <c r="BD966" s="112"/>
      <c r="BE966" s="112"/>
      <c r="BF966" s="112"/>
      <c r="BG966" s="112"/>
      <c r="BH966" s="112"/>
      <c r="BI966" s="112"/>
      <c r="BJ966" s="112"/>
      <c r="BK966" s="112"/>
      <c r="BL966" s="112"/>
      <c r="BM966" s="112"/>
      <c r="BN966" s="112"/>
      <c r="BO966" s="112"/>
      <c r="BP966" s="112"/>
    </row>
    <row r="967" ht="12.0" customHeight="1">
      <c r="A967" s="111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T967" s="112"/>
      <c r="AU967" s="112"/>
      <c r="AV967" s="112"/>
      <c r="AW967" s="112"/>
      <c r="AX967" s="112"/>
      <c r="AY967" s="112"/>
      <c r="AZ967" s="112"/>
      <c r="BA967" s="112"/>
      <c r="BB967" s="112"/>
      <c r="BC967" s="112"/>
      <c r="BD967" s="112"/>
      <c r="BE967" s="112"/>
      <c r="BF967" s="112"/>
      <c r="BG967" s="112"/>
      <c r="BH967" s="112"/>
      <c r="BI967" s="112"/>
      <c r="BJ967" s="112"/>
      <c r="BK967" s="112"/>
      <c r="BL967" s="112"/>
      <c r="BM967" s="112"/>
      <c r="BN967" s="112"/>
      <c r="BO967" s="112"/>
      <c r="BP967" s="112"/>
    </row>
    <row r="968" ht="12.0" customHeight="1">
      <c r="A968" s="111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T968" s="112"/>
      <c r="AU968" s="112"/>
      <c r="AV968" s="112"/>
      <c r="AW968" s="112"/>
      <c r="AX968" s="112"/>
      <c r="AY968" s="112"/>
      <c r="AZ968" s="112"/>
      <c r="BA968" s="112"/>
      <c r="BB968" s="112"/>
      <c r="BC968" s="112"/>
      <c r="BD968" s="112"/>
      <c r="BE968" s="112"/>
      <c r="BF968" s="112"/>
      <c r="BG968" s="112"/>
      <c r="BH968" s="112"/>
      <c r="BI968" s="112"/>
      <c r="BJ968" s="112"/>
      <c r="BK968" s="112"/>
      <c r="BL968" s="112"/>
      <c r="BM968" s="112"/>
      <c r="BN968" s="112"/>
      <c r="BO968" s="112"/>
      <c r="BP968" s="112"/>
    </row>
    <row r="969" ht="12.0" customHeight="1">
      <c r="A969" s="111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T969" s="112"/>
      <c r="AU969" s="112"/>
      <c r="AV969" s="112"/>
      <c r="AW969" s="112"/>
      <c r="AX969" s="112"/>
      <c r="AY969" s="112"/>
      <c r="AZ969" s="112"/>
      <c r="BA969" s="112"/>
      <c r="BB969" s="112"/>
      <c r="BC969" s="112"/>
      <c r="BD969" s="112"/>
      <c r="BE969" s="112"/>
      <c r="BF969" s="112"/>
      <c r="BG969" s="112"/>
      <c r="BH969" s="112"/>
      <c r="BI969" s="112"/>
      <c r="BJ969" s="112"/>
      <c r="BK969" s="112"/>
      <c r="BL969" s="112"/>
      <c r="BM969" s="112"/>
      <c r="BN969" s="112"/>
      <c r="BO969" s="112"/>
      <c r="BP969" s="112"/>
    </row>
    <row r="970" ht="12.0" customHeight="1">
      <c r="A970" s="111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T970" s="112"/>
      <c r="AU970" s="112"/>
      <c r="AV970" s="112"/>
      <c r="AW970" s="112"/>
      <c r="AX970" s="112"/>
      <c r="AY970" s="112"/>
      <c r="AZ970" s="112"/>
      <c r="BA970" s="112"/>
      <c r="BB970" s="112"/>
      <c r="BC970" s="112"/>
      <c r="BD970" s="112"/>
      <c r="BE970" s="112"/>
      <c r="BF970" s="112"/>
      <c r="BG970" s="112"/>
      <c r="BH970" s="112"/>
      <c r="BI970" s="112"/>
      <c r="BJ970" s="112"/>
      <c r="BK970" s="112"/>
      <c r="BL970" s="112"/>
      <c r="BM970" s="112"/>
      <c r="BN970" s="112"/>
      <c r="BO970" s="112"/>
      <c r="BP970" s="112"/>
    </row>
    <row r="971" ht="12.0" customHeight="1">
      <c r="A971" s="111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T971" s="112"/>
      <c r="AU971" s="112"/>
      <c r="AV971" s="112"/>
      <c r="AW971" s="112"/>
      <c r="AX971" s="112"/>
      <c r="AY971" s="112"/>
      <c r="AZ971" s="112"/>
      <c r="BA971" s="112"/>
      <c r="BB971" s="112"/>
      <c r="BC971" s="112"/>
      <c r="BD971" s="112"/>
      <c r="BE971" s="112"/>
      <c r="BF971" s="112"/>
      <c r="BG971" s="112"/>
      <c r="BH971" s="112"/>
      <c r="BI971" s="112"/>
      <c r="BJ971" s="112"/>
      <c r="BK971" s="112"/>
      <c r="BL971" s="112"/>
      <c r="BM971" s="112"/>
      <c r="BN971" s="112"/>
      <c r="BO971" s="112"/>
      <c r="BP971" s="112"/>
    </row>
    <row r="972" ht="12.0" customHeight="1">
      <c r="A972" s="111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T972" s="112"/>
      <c r="AU972" s="112"/>
      <c r="AV972" s="112"/>
      <c r="AW972" s="112"/>
      <c r="AX972" s="112"/>
      <c r="AY972" s="112"/>
      <c r="AZ972" s="112"/>
      <c r="BA972" s="112"/>
      <c r="BB972" s="112"/>
      <c r="BC972" s="112"/>
      <c r="BD972" s="112"/>
      <c r="BE972" s="112"/>
      <c r="BF972" s="112"/>
      <c r="BG972" s="112"/>
      <c r="BH972" s="112"/>
      <c r="BI972" s="112"/>
      <c r="BJ972" s="112"/>
      <c r="BK972" s="112"/>
      <c r="BL972" s="112"/>
      <c r="BM972" s="112"/>
      <c r="BN972" s="112"/>
      <c r="BO972" s="112"/>
      <c r="BP972" s="112"/>
    </row>
    <row r="973" ht="12.0" customHeight="1">
      <c r="A973" s="111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T973" s="112"/>
      <c r="AU973" s="112"/>
      <c r="AV973" s="112"/>
      <c r="AW973" s="112"/>
      <c r="AX973" s="112"/>
      <c r="AY973" s="112"/>
      <c r="AZ973" s="112"/>
      <c r="BA973" s="112"/>
      <c r="BB973" s="112"/>
      <c r="BC973" s="112"/>
      <c r="BD973" s="112"/>
      <c r="BE973" s="112"/>
      <c r="BF973" s="112"/>
      <c r="BG973" s="112"/>
      <c r="BH973" s="112"/>
      <c r="BI973" s="112"/>
      <c r="BJ973" s="112"/>
      <c r="BK973" s="112"/>
      <c r="BL973" s="112"/>
      <c r="BM973" s="112"/>
      <c r="BN973" s="112"/>
      <c r="BO973" s="112"/>
      <c r="BP973" s="112"/>
    </row>
    <row r="974" ht="12.0" customHeight="1">
      <c r="A974" s="111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T974" s="112"/>
      <c r="AU974" s="112"/>
      <c r="AV974" s="112"/>
      <c r="AW974" s="112"/>
      <c r="AX974" s="112"/>
      <c r="AY974" s="112"/>
      <c r="AZ974" s="112"/>
      <c r="BA974" s="112"/>
      <c r="BB974" s="112"/>
      <c r="BC974" s="112"/>
      <c r="BD974" s="112"/>
      <c r="BE974" s="112"/>
      <c r="BF974" s="112"/>
      <c r="BG974" s="112"/>
      <c r="BH974" s="112"/>
      <c r="BI974" s="112"/>
      <c r="BJ974" s="112"/>
      <c r="BK974" s="112"/>
      <c r="BL974" s="112"/>
      <c r="BM974" s="112"/>
      <c r="BN974" s="112"/>
      <c r="BO974" s="112"/>
      <c r="BP974" s="112"/>
    </row>
    <row r="975" ht="12.0" customHeight="1">
      <c r="A975" s="111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T975" s="112"/>
      <c r="AU975" s="112"/>
      <c r="AV975" s="112"/>
      <c r="AW975" s="112"/>
      <c r="AX975" s="112"/>
      <c r="AY975" s="112"/>
      <c r="AZ975" s="112"/>
      <c r="BA975" s="112"/>
      <c r="BB975" s="112"/>
      <c r="BC975" s="112"/>
      <c r="BD975" s="112"/>
      <c r="BE975" s="112"/>
      <c r="BF975" s="112"/>
      <c r="BG975" s="112"/>
      <c r="BH975" s="112"/>
      <c r="BI975" s="112"/>
      <c r="BJ975" s="112"/>
      <c r="BK975" s="112"/>
      <c r="BL975" s="112"/>
      <c r="BM975" s="112"/>
      <c r="BN975" s="112"/>
      <c r="BO975" s="112"/>
      <c r="BP975" s="112"/>
    </row>
    <row r="976" ht="12.0" customHeight="1">
      <c r="A976" s="111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T976" s="112"/>
      <c r="AU976" s="112"/>
      <c r="AV976" s="112"/>
      <c r="AW976" s="112"/>
      <c r="AX976" s="112"/>
      <c r="AY976" s="112"/>
      <c r="AZ976" s="112"/>
      <c r="BA976" s="112"/>
      <c r="BB976" s="112"/>
      <c r="BC976" s="112"/>
      <c r="BD976" s="112"/>
      <c r="BE976" s="112"/>
      <c r="BF976" s="112"/>
      <c r="BG976" s="112"/>
      <c r="BH976" s="112"/>
      <c r="BI976" s="112"/>
      <c r="BJ976" s="112"/>
      <c r="BK976" s="112"/>
      <c r="BL976" s="112"/>
      <c r="BM976" s="112"/>
      <c r="BN976" s="112"/>
      <c r="BO976" s="112"/>
      <c r="BP976" s="112"/>
    </row>
    <row r="977" ht="12.0" customHeight="1">
      <c r="A977" s="111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T977" s="112"/>
      <c r="AU977" s="112"/>
      <c r="AV977" s="112"/>
      <c r="AW977" s="112"/>
      <c r="AX977" s="112"/>
      <c r="AY977" s="112"/>
      <c r="AZ977" s="112"/>
      <c r="BA977" s="112"/>
      <c r="BB977" s="112"/>
      <c r="BC977" s="112"/>
      <c r="BD977" s="112"/>
      <c r="BE977" s="112"/>
      <c r="BF977" s="112"/>
      <c r="BG977" s="112"/>
      <c r="BH977" s="112"/>
      <c r="BI977" s="112"/>
      <c r="BJ977" s="112"/>
      <c r="BK977" s="112"/>
      <c r="BL977" s="112"/>
      <c r="BM977" s="112"/>
      <c r="BN977" s="112"/>
      <c r="BO977" s="112"/>
      <c r="BP977" s="112"/>
    </row>
    <row r="978" ht="12.0" customHeight="1">
      <c r="A978" s="111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T978" s="112"/>
      <c r="AU978" s="112"/>
      <c r="AV978" s="112"/>
      <c r="AW978" s="112"/>
      <c r="AX978" s="112"/>
      <c r="AY978" s="112"/>
      <c r="AZ978" s="112"/>
      <c r="BA978" s="112"/>
      <c r="BB978" s="112"/>
      <c r="BC978" s="112"/>
      <c r="BD978" s="112"/>
      <c r="BE978" s="112"/>
      <c r="BF978" s="112"/>
      <c r="BG978" s="112"/>
      <c r="BH978" s="112"/>
      <c r="BI978" s="112"/>
      <c r="BJ978" s="112"/>
      <c r="BK978" s="112"/>
      <c r="BL978" s="112"/>
      <c r="BM978" s="112"/>
      <c r="BN978" s="112"/>
      <c r="BO978" s="112"/>
      <c r="BP978" s="112"/>
    </row>
    <row r="979" ht="12.0" customHeight="1">
      <c r="A979" s="111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T979" s="112"/>
      <c r="AU979" s="112"/>
      <c r="AV979" s="112"/>
      <c r="AW979" s="112"/>
      <c r="AX979" s="112"/>
      <c r="AY979" s="112"/>
      <c r="AZ979" s="112"/>
      <c r="BA979" s="112"/>
      <c r="BB979" s="112"/>
      <c r="BC979" s="112"/>
      <c r="BD979" s="112"/>
      <c r="BE979" s="112"/>
      <c r="BF979" s="112"/>
      <c r="BG979" s="112"/>
      <c r="BH979" s="112"/>
      <c r="BI979" s="112"/>
      <c r="BJ979" s="112"/>
      <c r="BK979" s="112"/>
      <c r="BL979" s="112"/>
      <c r="BM979" s="112"/>
      <c r="BN979" s="112"/>
      <c r="BO979" s="112"/>
      <c r="BP979" s="112"/>
    </row>
    <row r="980" ht="12.0" customHeight="1">
      <c r="A980" s="111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T980" s="112"/>
      <c r="AU980" s="112"/>
      <c r="AV980" s="112"/>
      <c r="AW980" s="112"/>
      <c r="AX980" s="112"/>
      <c r="AY980" s="112"/>
      <c r="AZ980" s="112"/>
      <c r="BA980" s="112"/>
      <c r="BB980" s="112"/>
      <c r="BC980" s="112"/>
      <c r="BD980" s="112"/>
      <c r="BE980" s="112"/>
      <c r="BF980" s="112"/>
      <c r="BG980" s="112"/>
      <c r="BH980" s="112"/>
      <c r="BI980" s="112"/>
      <c r="BJ980" s="112"/>
      <c r="BK980" s="112"/>
      <c r="BL980" s="112"/>
      <c r="BM980" s="112"/>
      <c r="BN980" s="112"/>
      <c r="BO980" s="112"/>
      <c r="BP980" s="112"/>
    </row>
    <row r="981" ht="12.0" customHeight="1">
      <c r="A981" s="111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T981" s="112"/>
      <c r="AU981" s="112"/>
      <c r="AV981" s="112"/>
      <c r="AW981" s="112"/>
      <c r="AX981" s="112"/>
      <c r="AY981" s="112"/>
      <c r="AZ981" s="112"/>
      <c r="BA981" s="112"/>
      <c r="BB981" s="112"/>
      <c r="BC981" s="112"/>
      <c r="BD981" s="112"/>
      <c r="BE981" s="112"/>
      <c r="BF981" s="112"/>
      <c r="BG981" s="112"/>
      <c r="BH981" s="112"/>
      <c r="BI981" s="112"/>
      <c r="BJ981" s="112"/>
      <c r="BK981" s="112"/>
      <c r="BL981" s="112"/>
      <c r="BM981" s="112"/>
      <c r="BN981" s="112"/>
      <c r="BO981" s="112"/>
      <c r="BP981" s="112"/>
    </row>
    <row r="982" ht="12.0" customHeight="1">
      <c r="A982" s="111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T982" s="112"/>
      <c r="AU982" s="112"/>
      <c r="AV982" s="112"/>
      <c r="AW982" s="112"/>
      <c r="AX982" s="112"/>
      <c r="AY982" s="112"/>
      <c r="AZ982" s="112"/>
      <c r="BA982" s="112"/>
      <c r="BB982" s="112"/>
      <c r="BC982" s="112"/>
      <c r="BD982" s="112"/>
      <c r="BE982" s="112"/>
      <c r="BF982" s="112"/>
      <c r="BG982" s="112"/>
      <c r="BH982" s="112"/>
      <c r="BI982" s="112"/>
      <c r="BJ982" s="112"/>
      <c r="BK982" s="112"/>
      <c r="BL982" s="112"/>
      <c r="BM982" s="112"/>
      <c r="BN982" s="112"/>
      <c r="BO982" s="112"/>
      <c r="BP982" s="112"/>
    </row>
    <row r="983" ht="12.0" customHeight="1">
      <c r="A983" s="111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T983" s="112"/>
      <c r="AU983" s="112"/>
      <c r="AV983" s="112"/>
      <c r="AW983" s="112"/>
      <c r="AX983" s="112"/>
      <c r="AY983" s="112"/>
      <c r="AZ983" s="112"/>
      <c r="BA983" s="112"/>
      <c r="BB983" s="112"/>
      <c r="BC983" s="112"/>
      <c r="BD983" s="112"/>
      <c r="BE983" s="112"/>
      <c r="BF983" s="112"/>
      <c r="BG983" s="112"/>
      <c r="BH983" s="112"/>
      <c r="BI983" s="112"/>
      <c r="BJ983" s="112"/>
      <c r="BK983" s="112"/>
      <c r="BL983" s="112"/>
      <c r="BM983" s="112"/>
      <c r="BN983" s="112"/>
      <c r="BO983" s="112"/>
      <c r="BP983" s="112"/>
    </row>
    <row r="984" ht="12.0" customHeight="1">
      <c r="A984" s="111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T984" s="112"/>
      <c r="AU984" s="112"/>
      <c r="AV984" s="112"/>
      <c r="AW984" s="112"/>
      <c r="AX984" s="112"/>
      <c r="AY984" s="112"/>
      <c r="AZ984" s="112"/>
      <c r="BA984" s="112"/>
      <c r="BB984" s="112"/>
      <c r="BC984" s="112"/>
      <c r="BD984" s="112"/>
      <c r="BE984" s="112"/>
      <c r="BF984" s="112"/>
      <c r="BG984" s="112"/>
      <c r="BH984" s="112"/>
      <c r="BI984" s="112"/>
      <c r="BJ984" s="112"/>
      <c r="BK984" s="112"/>
      <c r="BL984" s="112"/>
      <c r="BM984" s="112"/>
      <c r="BN984" s="112"/>
      <c r="BO984" s="112"/>
      <c r="BP984" s="112"/>
    </row>
    <row r="985" ht="12.0" customHeight="1">
      <c r="A985" s="111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T985" s="112"/>
      <c r="AU985" s="112"/>
      <c r="AV985" s="112"/>
      <c r="AW985" s="112"/>
      <c r="AX985" s="112"/>
      <c r="AY985" s="112"/>
      <c r="AZ985" s="112"/>
      <c r="BA985" s="112"/>
      <c r="BB985" s="112"/>
      <c r="BC985" s="112"/>
      <c r="BD985" s="112"/>
      <c r="BE985" s="112"/>
      <c r="BF985" s="112"/>
      <c r="BG985" s="112"/>
      <c r="BH985" s="112"/>
      <c r="BI985" s="112"/>
      <c r="BJ985" s="112"/>
      <c r="BK985" s="112"/>
      <c r="BL985" s="112"/>
      <c r="BM985" s="112"/>
      <c r="BN985" s="112"/>
      <c r="BO985" s="112"/>
      <c r="BP985" s="112"/>
    </row>
    <row r="986" ht="12.0" customHeight="1">
      <c r="A986" s="111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T986" s="112"/>
      <c r="AU986" s="112"/>
      <c r="AV986" s="112"/>
      <c r="AW986" s="112"/>
      <c r="AX986" s="112"/>
      <c r="AY986" s="112"/>
      <c r="AZ986" s="112"/>
      <c r="BA986" s="112"/>
      <c r="BB986" s="112"/>
      <c r="BC986" s="112"/>
      <c r="BD986" s="112"/>
      <c r="BE986" s="112"/>
      <c r="BF986" s="112"/>
      <c r="BG986" s="112"/>
      <c r="BH986" s="112"/>
      <c r="BI986" s="112"/>
      <c r="BJ986" s="112"/>
      <c r="BK986" s="112"/>
      <c r="BL986" s="112"/>
      <c r="BM986" s="112"/>
      <c r="BN986" s="112"/>
      <c r="BO986" s="112"/>
      <c r="BP986" s="112"/>
    </row>
    <row r="987" ht="12.0" customHeight="1">
      <c r="A987" s="111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U987" s="112"/>
      <c r="AV987" s="112"/>
      <c r="AW987" s="112"/>
      <c r="AX987" s="112"/>
      <c r="AY987" s="112"/>
      <c r="AZ987" s="112"/>
      <c r="BA987" s="112"/>
      <c r="BB987" s="112"/>
      <c r="BC987" s="112"/>
      <c r="BD987" s="112"/>
      <c r="BE987" s="112"/>
      <c r="BF987" s="112"/>
      <c r="BG987" s="112"/>
      <c r="BH987" s="112"/>
      <c r="BI987" s="112"/>
      <c r="BJ987" s="112"/>
      <c r="BK987" s="112"/>
      <c r="BL987" s="112"/>
      <c r="BM987" s="112"/>
      <c r="BN987" s="112"/>
      <c r="BO987" s="112"/>
      <c r="BP987" s="112"/>
    </row>
    <row r="988" ht="12.0" customHeight="1">
      <c r="A988" s="111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T988" s="112"/>
      <c r="AU988" s="112"/>
      <c r="AV988" s="112"/>
      <c r="AW988" s="112"/>
      <c r="AX988" s="112"/>
      <c r="AY988" s="112"/>
      <c r="AZ988" s="112"/>
      <c r="BA988" s="112"/>
      <c r="BB988" s="112"/>
      <c r="BC988" s="112"/>
      <c r="BD988" s="112"/>
      <c r="BE988" s="112"/>
      <c r="BF988" s="112"/>
      <c r="BG988" s="112"/>
      <c r="BH988" s="112"/>
      <c r="BI988" s="112"/>
      <c r="BJ988" s="112"/>
      <c r="BK988" s="112"/>
      <c r="BL988" s="112"/>
      <c r="BM988" s="112"/>
      <c r="BN988" s="112"/>
      <c r="BO988" s="112"/>
      <c r="BP988" s="112"/>
    </row>
    <row r="989" ht="12.0" customHeight="1">
      <c r="A989" s="111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T989" s="112"/>
      <c r="AU989" s="112"/>
      <c r="AV989" s="112"/>
      <c r="AW989" s="112"/>
      <c r="AX989" s="112"/>
      <c r="AY989" s="112"/>
      <c r="AZ989" s="112"/>
      <c r="BA989" s="112"/>
      <c r="BB989" s="112"/>
      <c r="BC989" s="112"/>
      <c r="BD989" s="112"/>
      <c r="BE989" s="112"/>
      <c r="BF989" s="112"/>
      <c r="BG989" s="112"/>
      <c r="BH989" s="112"/>
      <c r="BI989" s="112"/>
      <c r="BJ989" s="112"/>
      <c r="BK989" s="112"/>
      <c r="BL989" s="112"/>
      <c r="BM989" s="112"/>
      <c r="BN989" s="112"/>
      <c r="BO989" s="112"/>
      <c r="BP989" s="112"/>
    </row>
    <row r="990" ht="12.0" customHeight="1">
      <c r="A990" s="111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T990" s="112"/>
      <c r="AU990" s="112"/>
      <c r="AV990" s="112"/>
      <c r="AW990" s="112"/>
      <c r="AX990" s="112"/>
      <c r="AY990" s="112"/>
      <c r="AZ990" s="112"/>
      <c r="BA990" s="112"/>
      <c r="BB990" s="112"/>
      <c r="BC990" s="112"/>
      <c r="BD990" s="112"/>
      <c r="BE990" s="112"/>
      <c r="BF990" s="112"/>
      <c r="BG990" s="112"/>
      <c r="BH990" s="112"/>
      <c r="BI990" s="112"/>
      <c r="BJ990" s="112"/>
      <c r="BK990" s="112"/>
      <c r="BL990" s="112"/>
      <c r="BM990" s="112"/>
      <c r="BN990" s="112"/>
      <c r="BO990" s="112"/>
      <c r="BP990" s="112"/>
    </row>
    <row r="991" ht="12.0" customHeight="1">
      <c r="A991" s="111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T991" s="112"/>
      <c r="AU991" s="112"/>
      <c r="AV991" s="112"/>
      <c r="AW991" s="112"/>
      <c r="AX991" s="112"/>
      <c r="AY991" s="112"/>
      <c r="AZ991" s="112"/>
      <c r="BA991" s="112"/>
      <c r="BB991" s="112"/>
      <c r="BC991" s="112"/>
      <c r="BD991" s="112"/>
      <c r="BE991" s="112"/>
      <c r="BF991" s="112"/>
      <c r="BG991" s="112"/>
      <c r="BH991" s="112"/>
      <c r="BI991" s="112"/>
      <c r="BJ991" s="112"/>
      <c r="BK991" s="112"/>
      <c r="BL991" s="112"/>
      <c r="BM991" s="112"/>
      <c r="BN991" s="112"/>
      <c r="BO991" s="112"/>
      <c r="BP991" s="112"/>
    </row>
    <row r="992" ht="12.0" customHeight="1">
      <c r="A992" s="111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T992" s="112"/>
      <c r="AU992" s="112"/>
      <c r="AV992" s="112"/>
      <c r="AW992" s="112"/>
      <c r="AX992" s="112"/>
      <c r="AY992" s="112"/>
      <c r="AZ992" s="112"/>
      <c r="BA992" s="112"/>
      <c r="BB992" s="112"/>
      <c r="BC992" s="112"/>
      <c r="BD992" s="112"/>
      <c r="BE992" s="112"/>
      <c r="BF992" s="112"/>
      <c r="BG992" s="112"/>
      <c r="BH992" s="112"/>
      <c r="BI992" s="112"/>
      <c r="BJ992" s="112"/>
      <c r="BK992" s="112"/>
      <c r="BL992" s="112"/>
      <c r="BM992" s="112"/>
      <c r="BN992" s="112"/>
      <c r="BO992" s="112"/>
      <c r="BP992" s="112"/>
    </row>
    <row r="993" ht="12.0" customHeight="1">
      <c r="A993" s="111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T993" s="112"/>
      <c r="AU993" s="112"/>
      <c r="AV993" s="112"/>
      <c r="AW993" s="112"/>
      <c r="AX993" s="112"/>
      <c r="AY993" s="112"/>
      <c r="AZ993" s="112"/>
      <c r="BA993" s="112"/>
      <c r="BB993" s="112"/>
      <c r="BC993" s="112"/>
      <c r="BD993" s="112"/>
      <c r="BE993" s="112"/>
      <c r="BF993" s="112"/>
      <c r="BG993" s="112"/>
      <c r="BH993" s="112"/>
      <c r="BI993" s="112"/>
      <c r="BJ993" s="112"/>
      <c r="BK993" s="112"/>
      <c r="BL993" s="112"/>
      <c r="BM993" s="112"/>
      <c r="BN993" s="112"/>
      <c r="BO993" s="112"/>
      <c r="BP993" s="112"/>
    </row>
    <row r="994" ht="12.0" customHeight="1">
      <c r="A994" s="111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T994" s="112"/>
      <c r="AU994" s="112"/>
      <c r="AV994" s="112"/>
      <c r="AW994" s="112"/>
      <c r="AX994" s="112"/>
      <c r="AY994" s="112"/>
      <c r="AZ994" s="112"/>
      <c r="BA994" s="112"/>
      <c r="BB994" s="112"/>
      <c r="BC994" s="112"/>
      <c r="BD994" s="112"/>
      <c r="BE994" s="112"/>
      <c r="BF994" s="112"/>
      <c r="BG994" s="112"/>
      <c r="BH994" s="112"/>
      <c r="BI994" s="112"/>
      <c r="BJ994" s="112"/>
      <c r="BK994" s="112"/>
      <c r="BL994" s="112"/>
      <c r="BM994" s="112"/>
      <c r="BN994" s="112"/>
      <c r="BO994" s="112"/>
      <c r="BP994" s="112"/>
    </row>
    <row r="995" ht="12.0" customHeight="1">
      <c r="A995" s="111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T995" s="112"/>
      <c r="AU995" s="112"/>
      <c r="AV995" s="112"/>
      <c r="AW995" s="112"/>
      <c r="AX995" s="112"/>
      <c r="AY995" s="112"/>
      <c r="AZ995" s="112"/>
      <c r="BA995" s="112"/>
      <c r="BB995" s="112"/>
      <c r="BC995" s="112"/>
      <c r="BD995" s="112"/>
      <c r="BE995" s="112"/>
      <c r="BF995" s="112"/>
      <c r="BG995" s="112"/>
      <c r="BH995" s="112"/>
      <c r="BI995" s="112"/>
      <c r="BJ995" s="112"/>
      <c r="BK995" s="112"/>
      <c r="BL995" s="112"/>
      <c r="BM995" s="112"/>
      <c r="BN995" s="112"/>
      <c r="BO995" s="112"/>
      <c r="BP995" s="112"/>
    </row>
    <row r="996" ht="12.0" customHeight="1">
      <c r="A996" s="111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T996" s="112"/>
      <c r="AU996" s="112"/>
      <c r="AV996" s="112"/>
      <c r="AW996" s="112"/>
      <c r="AX996" s="112"/>
      <c r="AY996" s="112"/>
      <c r="AZ996" s="112"/>
      <c r="BA996" s="112"/>
      <c r="BB996" s="112"/>
      <c r="BC996" s="112"/>
      <c r="BD996" s="112"/>
      <c r="BE996" s="112"/>
      <c r="BF996" s="112"/>
      <c r="BG996" s="112"/>
      <c r="BH996" s="112"/>
      <c r="BI996" s="112"/>
      <c r="BJ996" s="112"/>
      <c r="BK996" s="112"/>
      <c r="BL996" s="112"/>
      <c r="BM996" s="112"/>
      <c r="BN996" s="112"/>
      <c r="BO996" s="112"/>
      <c r="BP996" s="112"/>
    </row>
    <row r="997" ht="12.0" customHeight="1">
      <c r="A997" s="111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T997" s="112"/>
      <c r="AU997" s="112"/>
      <c r="AV997" s="112"/>
      <c r="AW997" s="112"/>
      <c r="AX997" s="112"/>
      <c r="AY997" s="112"/>
      <c r="AZ997" s="112"/>
      <c r="BA997" s="112"/>
      <c r="BB997" s="112"/>
      <c r="BC997" s="112"/>
      <c r="BD997" s="112"/>
      <c r="BE997" s="112"/>
      <c r="BF997" s="112"/>
      <c r="BG997" s="112"/>
      <c r="BH997" s="112"/>
      <c r="BI997" s="112"/>
      <c r="BJ997" s="112"/>
      <c r="BK997" s="112"/>
      <c r="BL997" s="112"/>
      <c r="BM997" s="112"/>
      <c r="BN997" s="112"/>
      <c r="BO997" s="112"/>
      <c r="BP997" s="112"/>
    </row>
    <row r="998" ht="12.0" customHeight="1">
      <c r="A998" s="111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T998" s="112"/>
      <c r="AU998" s="112"/>
      <c r="AV998" s="112"/>
      <c r="AW998" s="112"/>
      <c r="AX998" s="112"/>
      <c r="AY998" s="112"/>
      <c r="AZ998" s="112"/>
      <c r="BA998" s="112"/>
      <c r="BB998" s="112"/>
      <c r="BC998" s="112"/>
      <c r="BD998" s="112"/>
      <c r="BE998" s="112"/>
      <c r="BF998" s="112"/>
      <c r="BG998" s="112"/>
      <c r="BH998" s="112"/>
      <c r="BI998" s="112"/>
      <c r="BJ998" s="112"/>
      <c r="BK998" s="112"/>
      <c r="BL998" s="112"/>
      <c r="BM998" s="112"/>
      <c r="BN998" s="112"/>
      <c r="BO998" s="112"/>
      <c r="BP998" s="112"/>
    </row>
    <row r="999" ht="12.0" customHeight="1">
      <c r="A999" s="111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  <c r="AS999" s="112"/>
      <c r="AT999" s="112"/>
      <c r="AU999" s="112"/>
      <c r="AV999" s="112"/>
      <c r="AW999" s="112"/>
      <c r="AX999" s="112"/>
      <c r="AY999" s="112"/>
      <c r="AZ999" s="112"/>
      <c r="BA999" s="112"/>
      <c r="BB999" s="112"/>
      <c r="BC999" s="112"/>
      <c r="BD999" s="112"/>
      <c r="BE999" s="112"/>
      <c r="BF999" s="112"/>
      <c r="BG999" s="112"/>
      <c r="BH999" s="112"/>
      <c r="BI999" s="112"/>
      <c r="BJ999" s="112"/>
      <c r="BK999" s="112"/>
      <c r="BL999" s="112"/>
      <c r="BM999" s="112"/>
      <c r="BN999" s="112"/>
      <c r="BO999" s="112"/>
      <c r="BP999" s="112"/>
    </row>
    <row r="1000" ht="12.0" customHeight="1">
      <c r="A1000" s="111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  <c r="AS1000" s="112"/>
      <c r="AT1000" s="112"/>
      <c r="AU1000" s="112"/>
      <c r="AV1000" s="112"/>
      <c r="AW1000" s="112"/>
      <c r="AX1000" s="112"/>
      <c r="AY1000" s="112"/>
      <c r="AZ1000" s="112"/>
      <c r="BA1000" s="112"/>
      <c r="BB1000" s="112"/>
      <c r="BC1000" s="112"/>
      <c r="BD1000" s="112"/>
      <c r="BE1000" s="112"/>
      <c r="BF1000" s="112"/>
      <c r="BG1000" s="112"/>
      <c r="BH1000" s="112"/>
      <c r="BI1000" s="112"/>
      <c r="BJ1000" s="112"/>
      <c r="BK1000" s="112"/>
      <c r="BL1000" s="112"/>
      <c r="BM1000" s="112"/>
      <c r="BN1000" s="112"/>
      <c r="BO1000" s="112"/>
      <c r="BP1000" s="112"/>
    </row>
  </sheetData>
  <mergeCells count="2">
    <mergeCell ref="B2:F2"/>
    <mergeCell ref="H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9.86"/>
    <col customWidth="1" min="3" max="3" width="15.0"/>
    <col customWidth="1" min="4" max="4" width="10.29"/>
    <col customWidth="1" min="5" max="5" width="80.43"/>
    <col customWidth="1" min="6" max="6" width="10.86"/>
    <col customWidth="1" min="7" max="8" width="10.0"/>
    <col customWidth="1" min="9" max="9" width="10.86"/>
    <col customWidth="1" min="10" max="10" width="11.0"/>
    <col customWidth="1" min="11" max="11" width="13.57"/>
    <col customWidth="1" min="12" max="12" width="12.71"/>
    <col customWidth="1" min="13" max="13" width="16.29"/>
    <col customWidth="1" min="14" max="14" width="14.14"/>
    <col customWidth="1" min="15" max="18" width="10.57"/>
    <col customWidth="1" min="19" max="19" width="11.57"/>
    <col customWidth="1" min="20" max="21" width="10.86"/>
    <col customWidth="1" min="22" max="26" width="9.14"/>
  </cols>
  <sheetData>
    <row r="1" ht="14.25" customHeight="1">
      <c r="C1" s="126"/>
      <c r="D1" s="126"/>
      <c r="F1" s="127"/>
      <c r="G1" s="127"/>
      <c r="H1" s="127"/>
      <c r="I1" s="127"/>
      <c r="J1" s="126"/>
      <c r="P1" s="127"/>
      <c r="Q1" s="127"/>
      <c r="R1" s="127"/>
      <c r="S1" s="127"/>
      <c r="T1" s="127"/>
      <c r="U1" s="127"/>
    </row>
    <row r="2" ht="14.25" customHeight="1">
      <c r="C2" s="126"/>
      <c r="D2" s="126"/>
      <c r="F2" s="127"/>
      <c r="G2" s="127"/>
      <c r="H2" s="127"/>
      <c r="I2" s="127"/>
      <c r="J2" s="126"/>
      <c r="P2" s="127"/>
      <c r="Q2" s="127"/>
      <c r="R2" s="127"/>
      <c r="S2" s="127"/>
      <c r="T2" s="127"/>
      <c r="U2" s="127"/>
    </row>
    <row r="3" ht="14.25" customHeight="1">
      <c r="C3" s="126"/>
      <c r="D3" s="126"/>
      <c r="F3" s="127"/>
      <c r="G3" s="127"/>
      <c r="H3" s="127"/>
      <c r="I3" s="127"/>
      <c r="J3" s="126"/>
      <c r="P3" s="128"/>
      <c r="Q3" s="128"/>
      <c r="R3" s="128"/>
      <c r="S3" s="128"/>
      <c r="T3" s="128"/>
      <c r="U3" s="128"/>
    </row>
    <row r="4" ht="14.25" customHeight="1">
      <c r="A4" s="129"/>
      <c r="B4" s="130"/>
      <c r="C4" s="129"/>
      <c r="D4" s="129"/>
      <c r="E4" s="131"/>
      <c r="F4" s="132"/>
      <c r="G4" s="133"/>
      <c r="H4" s="133"/>
      <c r="I4" s="132"/>
      <c r="J4" s="134"/>
      <c r="K4" s="134"/>
      <c r="L4" s="134"/>
      <c r="M4" s="135"/>
      <c r="N4" s="135"/>
      <c r="O4" s="135"/>
      <c r="P4" s="136"/>
      <c r="Q4" s="136"/>
      <c r="R4" s="137"/>
      <c r="S4" s="136"/>
      <c r="T4" s="136"/>
      <c r="U4" s="137"/>
    </row>
    <row r="5" ht="14.25" customHeight="1">
      <c r="A5" s="138"/>
      <c r="B5" s="139"/>
      <c r="C5" s="140"/>
      <c r="D5" s="141"/>
      <c r="E5" s="142"/>
      <c r="F5" s="143"/>
      <c r="G5" s="143"/>
      <c r="H5" s="143"/>
      <c r="I5" s="143"/>
      <c r="J5" s="140"/>
      <c r="K5" s="140"/>
      <c r="L5" s="144"/>
      <c r="M5" s="145"/>
      <c r="N5" s="145"/>
      <c r="O5" s="146"/>
      <c r="P5" s="147"/>
      <c r="Q5" s="147"/>
      <c r="R5" s="147"/>
      <c r="S5" s="147"/>
      <c r="T5" s="147"/>
      <c r="U5" s="147"/>
    </row>
    <row r="6" ht="14.25" customHeight="1">
      <c r="A6" s="138"/>
      <c r="B6" s="139"/>
      <c r="C6" s="140"/>
      <c r="D6" s="141"/>
      <c r="E6" s="142"/>
      <c r="F6" s="143"/>
      <c r="G6" s="143"/>
      <c r="H6" s="143"/>
      <c r="I6" s="143"/>
      <c r="J6" s="140"/>
      <c r="K6" s="140"/>
      <c r="L6" s="144"/>
      <c r="M6" s="145"/>
      <c r="N6" s="145"/>
      <c r="O6" s="146"/>
      <c r="P6" s="147"/>
      <c r="Q6" s="147"/>
      <c r="R6" s="147"/>
      <c r="S6" s="147"/>
      <c r="T6" s="147"/>
      <c r="U6" s="147"/>
    </row>
    <row r="7" ht="14.25" customHeight="1">
      <c r="A7" s="138"/>
      <c r="B7" s="139"/>
      <c r="C7" s="140"/>
      <c r="D7" s="141"/>
      <c r="E7" s="142"/>
      <c r="F7" s="143"/>
      <c r="G7" s="143"/>
      <c r="H7" s="143"/>
      <c r="I7" s="143"/>
      <c r="J7" s="140"/>
      <c r="K7" s="140"/>
      <c r="L7" s="144"/>
      <c r="M7" s="145"/>
      <c r="N7" s="145"/>
      <c r="O7" s="146"/>
      <c r="P7" s="147"/>
      <c r="Q7" s="147"/>
      <c r="R7" s="147"/>
      <c r="S7" s="147"/>
      <c r="T7" s="147"/>
      <c r="U7" s="147"/>
    </row>
    <row r="8" ht="14.25" customHeight="1">
      <c r="A8" s="138"/>
      <c r="B8" s="139"/>
      <c r="C8" s="140"/>
      <c r="D8" s="141"/>
      <c r="E8" s="142"/>
      <c r="F8" s="143"/>
      <c r="G8" s="143"/>
      <c r="H8" s="143"/>
      <c r="I8" s="143"/>
      <c r="J8" s="140"/>
      <c r="K8" s="140"/>
      <c r="L8" s="144"/>
      <c r="M8" s="145"/>
      <c r="N8" s="145"/>
      <c r="O8" s="146"/>
      <c r="P8" s="147"/>
      <c r="Q8" s="147"/>
      <c r="R8" s="147"/>
      <c r="S8" s="147"/>
      <c r="T8" s="147"/>
      <c r="U8" s="147"/>
    </row>
    <row r="9" ht="14.25" customHeight="1">
      <c r="A9" s="138"/>
      <c r="B9" s="139"/>
      <c r="C9" s="140"/>
      <c r="D9" s="141"/>
      <c r="E9" s="142"/>
      <c r="F9" s="143"/>
      <c r="G9" s="143"/>
      <c r="H9" s="143"/>
      <c r="I9" s="143"/>
      <c r="J9" s="140"/>
      <c r="K9" s="140"/>
      <c r="L9" s="144"/>
      <c r="M9" s="145"/>
      <c r="N9" s="145"/>
      <c r="O9" s="146"/>
      <c r="P9" s="147"/>
      <c r="Q9" s="147"/>
      <c r="R9" s="147"/>
      <c r="S9" s="147"/>
      <c r="T9" s="147"/>
      <c r="U9" s="147"/>
    </row>
    <row r="10" ht="14.25" customHeight="1">
      <c r="A10" s="138"/>
      <c r="B10" s="139"/>
      <c r="C10" s="140"/>
      <c r="D10" s="141"/>
      <c r="E10" s="142"/>
      <c r="F10" s="143"/>
      <c r="G10" s="143"/>
      <c r="H10" s="143"/>
      <c r="I10" s="143"/>
      <c r="J10" s="140"/>
      <c r="K10" s="140"/>
      <c r="L10" s="144"/>
      <c r="M10" s="145"/>
      <c r="N10" s="145"/>
      <c r="O10" s="146"/>
      <c r="P10" s="147"/>
      <c r="Q10" s="147"/>
      <c r="R10" s="147"/>
      <c r="S10" s="147"/>
      <c r="T10" s="147"/>
      <c r="U10" s="147"/>
    </row>
    <row r="11" ht="14.25" customHeight="1">
      <c r="A11" s="138"/>
      <c r="B11" s="139"/>
      <c r="C11" s="140"/>
      <c r="D11" s="141"/>
      <c r="E11" s="142"/>
      <c r="F11" s="143"/>
      <c r="G11" s="143"/>
      <c r="H11" s="143"/>
      <c r="I11" s="143"/>
      <c r="J11" s="140"/>
      <c r="K11" s="140"/>
      <c r="L11" s="144"/>
      <c r="M11" s="145"/>
      <c r="N11" s="145"/>
      <c r="O11" s="146"/>
      <c r="P11" s="147"/>
      <c r="Q11" s="147"/>
      <c r="R11" s="147"/>
      <c r="S11" s="147"/>
      <c r="T11" s="147"/>
      <c r="U11" s="147"/>
    </row>
    <row r="12" ht="14.25" customHeight="1">
      <c r="A12" s="138"/>
      <c r="B12" s="139"/>
      <c r="C12" s="140"/>
      <c r="D12" s="141"/>
      <c r="E12" s="142"/>
      <c r="F12" s="143"/>
      <c r="G12" s="143"/>
      <c r="H12" s="143"/>
      <c r="I12" s="143"/>
      <c r="J12" s="140"/>
      <c r="K12" s="140"/>
      <c r="L12" s="144"/>
      <c r="M12" s="145"/>
      <c r="N12" s="145"/>
      <c r="O12" s="146"/>
      <c r="P12" s="147"/>
      <c r="Q12" s="147"/>
      <c r="R12" s="147"/>
      <c r="S12" s="147"/>
      <c r="T12" s="147"/>
      <c r="U12" s="147"/>
    </row>
    <row r="13" ht="14.25" customHeight="1">
      <c r="A13" s="138"/>
      <c r="B13" s="139"/>
      <c r="C13" s="140"/>
      <c r="D13" s="141"/>
      <c r="E13" s="148"/>
      <c r="F13" s="143"/>
      <c r="G13" s="143"/>
      <c r="H13" s="143"/>
      <c r="I13" s="143"/>
      <c r="J13" s="140"/>
      <c r="K13" s="140"/>
      <c r="L13" s="144"/>
      <c r="M13" s="145"/>
      <c r="N13" s="145"/>
      <c r="O13" s="146"/>
      <c r="P13" s="147"/>
      <c r="Q13" s="147"/>
      <c r="R13" s="147"/>
      <c r="S13" s="147"/>
      <c r="T13" s="147"/>
      <c r="U13" s="147"/>
    </row>
    <row r="14" ht="14.25" customHeight="1">
      <c r="A14" s="138"/>
      <c r="B14" s="139"/>
      <c r="C14" s="140"/>
      <c r="D14" s="141"/>
      <c r="E14" s="142"/>
      <c r="F14" s="143"/>
      <c r="G14" s="143"/>
      <c r="H14" s="143"/>
      <c r="I14" s="143"/>
      <c r="J14" s="140"/>
      <c r="K14" s="140"/>
      <c r="L14" s="144"/>
      <c r="M14" s="145"/>
      <c r="N14" s="145"/>
      <c r="O14" s="146"/>
      <c r="P14" s="147"/>
      <c r="Q14" s="147"/>
      <c r="R14" s="147"/>
      <c r="S14" s="147"/>
      <c r="T14" s="147"/>
      <c r="U14" s="147"/>
    </row>
    <row r="15" ht="14.25" customHeight="1">
      <c r="A15" s="138"/>
      <c r="B15" s="149"/>
      <c r="C15" s="142"/>
      <c r="D15" s="141"/>
      <c r="E15" s="146"/>
      <c r="F15" s="143"/>
      <c r="G15" s="143"/>
      <c r="H15" s="143"/>
      <c r="I15" s="143"/>
      <c r="J15" s="140"/>
      <c r="K15" s="140"/>
      <c r="L15" s="144"/>
      <c r="M15" s="145"/>
      <c r="N15" s="145"/>
      <c r="O15" s="146"/>
      <c r="P15" s="147"/>
      <c r="Q15" s="147"/>
      <c r="R15" s="147"/>
      <c r="S15" s="147"/>
      <c r="T15" s="147"/>
      <c r="U15" s="147"/>
    </row>
    <row r="16" ht="14.25" customHeight="1">
      <c r="A16" s="138"/>
      <c r="B16" s="149"/>
      <c r="C16" s="142"/>
      <c r="D16" s="141"/>
      <c r="E16" s="146"/>
      <c r="F16" s="143"/>
      <c r="G16" s="143"/>
      <c r="H16" s="143"/>
      <c r="I16" s="143"/>
      <c r="J16" s="140"/>
      <c r="K16" s="140"/>
      <c r="L16" s="144"/>
      <c r="M16" s="145"/>
      <c r="N16" s="145"/>
      <c r="O16" s="146"/>
      <c r="P16" s="147"/>
      <c r="Q16" s="147"/>
      <c r="R16" s="147"/>
      <c r="S16" s="147"/>
      <c r="T16" s="147"/>
      <c r="U16" s="147"/>
    </row>
    <row r="17" ht="12.0" customHeight="1">
      <c r="A17" s="150"/>
      <c r="B17" s="150"/>
      <c r="C17" s="151"/>
      <c r="D17" s="151"/>
      <c r="E17" s="150"/>
      <c r="F17" s="152"/>
      <c r="G17" s="152"/>
      <c r="H17" s="152"/>
      <c r="I17" s="152"/>
      <c r="J17" s="151"/>
      <c r="K17" s="150"/>
      <c r="L17" s="150"/>
      <c r="M17" s="150"/>
      <c r="N17" s="150"/>
      <c r="O17" s="150"/>
      <c r="P17" s="152"/>
      <c r="Q17" s="152"/>
      <c r="R17" s="152"/>
      <c r="S17" s="152"/>
      <c r="T17" s="152"/>
      <c r="U17" s="152"/>
      <c r="V17" s="153"/>
      <c r="W17" s="153"/>
      <c r="X17" s="153"/>
      <c r="Y17" s="153"/>
      <c r="Z17" s="153"/>
    </row>
    <row r="18" ht="14.25" customHeight="1">
      <c r="C18" s="126"/>
      <c r="D18" s="126"/>
      <c r="F18" s="127"/>
      <c r="G18" s="127"/>
      <c r="H18" s="127"/>
      <c r="I18" s="127"/>
      <c r="J18" s="126"/>
      <c r="P18" s="127"/>
      <c r="Q18" s="127"/>
      <c r="R18" s="127"/>
      <c r="S18" s="127"/>
      <c r="T18" s="127"/>
      <c r="U18" s="127"/>
    </row>
    <row r="19" ht="14.25" customHeight="1">
      <c r="C19" s="126"/>
      <c r="D19" s="126"/>
      <c r="F19" s="127"/>
      <c r="G19" s="127"/>
      <c r="H19" s="127"/>
      <c r="I19" s="127"/>
      <c r="J19" s="126"/>
      <c r="P19" s="127"/>
      <c r="Q19" s="127"/>
      <c r="R19" s="127"/>
      <c r="S19" s="127"/>
      <c r="T19" s="127"/>
      <c r="U19" s="127"/>
    </row>
    <row r="20" ht="14.25" customHeight="1">
      <c r="C20" s="126"/>
      <c r="D20" s="126"/>
      <c r="F20" s="127"/>
      <c r="G20" s="127"/>
      <c r="H20" s="127"/>
      <c r="I20" s="127"/>
      <c r="J20" s="126"/>
      <c r="P20" s="127"/>
      <c r="Q20" s="127"/>
      <c r="R20" s="127"/>
      <c r="S20" s="127"/>
      <c r="T20" s="127"/>
      <c r="U20" s="127"/>
    </row>
    <row r="21" ht="14.25" customHeight="1">
      <c r="C21" s="126"/>
      <c r="D21" s="126"/>
      <c r="F21" s="127"/>
      <c r="G21" s="127"/>
      <c r="H21" s="127"/>
      <c r="I21" s="127"/>
      <c r="J21" s="126"/>
      <c r="P21" s="127"/>
      <c r="Q21" s="127"/>
      <c r="R21" s="127"/>
      <c r="S21" s="127"/>
      <c r="T21" s="127"/>
      <c r="U21" s="127"/>
    </row>
    <row r="22" ht="14.25" customHeight="1">
      <c r="C22" s="126"/>
      <c r="D22" s="126"/>
      <c r="F22" s="127"/>
      <c r="G22" s="127"/>
      <c r="H22" s="127"/>
      <c r="I22" s="127"/>
      <c r="J22" s="126"/>
      <c r="P22" s="127"/>
      <c r="Q22" s="127"/>
      <c r="R22" s="127"/>
      <c r="S22" s="127"/>
      <c r="T22" s="127"/>
      <c r="U22" s="127"/>
    </row>
    <row r="23" ht="14.25" customHeight="1">
      <c r="C23" s="126"/>
      <c r="D23" s="126"/>
      <c r="F23" s="127"/>
      <c r="G23" s="127"/>
      <c r="H23" s="127"/>
      <c r="I23" s="127"/>
      <c r="J23" s="126"/>
      <c r="P23" s="127"/>
      <c r="Q23" s="127"/>
      <c r="R23" s="127"/>
      <c r="S23" s="127"/>
      <c r="T23" s="127"/>
      <c r="U23" s="127"/>
    </row>
    <row r="24" ht="14.25" customHeight="1">
      <c r="C24" s="126"/>
      <c r="D24" s="126"/>
      <c r="F24" s="127"/>
      <c r="G24" s="127"/>
      <c r="H24" s="127"/>
      <c r="I24" s="127"/>
      <c r="J24" s="126"/>
      <c r="P24" s="127"/>
      <c r="Q24" s="127"/>
      <c r="R24" s="127"/>
      <c r="S24" s="127"/>
      <c r="T24" s="127"/>
      <c r="U24" s="127"/>
    </row>
    <row r="25" ht="14.25" customHeight="1">
      <c r="C25" s="126"/>
      <c r="D25" s="126"/>
      <c r="F25" s="127"/>
      <c r="G25" s="127"/>
      <c r="H25" s="127"/>
      <c r="I25" s="127"/>
      <c r="J25" s="126"/>
      <c r="P25" s="127"/>
      <c r="Q25" s="127"/>
      <c r="R25" s="127"/>
      <c r="S25" s="127"/>
      <c r="T25" s="127"/>
      <c r="U25" s="127"/>
    </row>
    <row r="26" ht="14.25" customHeight="1">
      <c r="C26" s="126"/>
      <c r="D26" s="126"/>
      <c r="F26" s="127"/>
      <c r="G26" s="127"/>
      <c r="H26" s="127"/>
      <c r="I26" s="127"/>
      <c r="J26" s="126"/>
      <c r="P26" s="127"/>
      <c r="Q26" s="127"/>
      <c r="R26" s="127"/>
      <c r="S26" s="127"/>
      <c r="T26" s="127"/>
      <c r="U26" s="127"/>
    </row>
    <row r="27" ht="14.25" customHeight="1">
      <c r="C27" s="126"/>
      <c r="D27" s="126"/>
      <c r="F27" s="127"/>
      <c r="G27" s="127"/>
      <c r="H27" s="127"/>
      <c r="I27" s="127"/>
      <c r="J27" s="126"/>
      <c r="P27" s="127"/>
      <c r="Q27" s="127"/>
      <c r="R27" s="127"/>
      <c r="S27" s="127"/>
      <c r="T27" s="127"/>
      <c r="U27" s="127"/>
    </row>
    <row r="28" ht="14.25" customHeight="1">
      <c r="C28" s="126"/>
      <c r="D28" s="126"/>
      <c r="F28" s="127"/>
      <c r="G28" s="127"/>
      <c r="H28" s="127"/>
      <c r="I28" s="127"/>
      <c r="J28" s="126"/>
      <c r="P28" s="127"/>
      <c r="Q28" s="127"/>
      <c r="R28" s="127"/>
      <c r="S28" s="127"/>
      <c r="T28" s="127"/>
      <c r="U28" s="127"/>
    </row>
    <row r="29" ht="14.25" customHeight="1">
      <c r="C29" s="126"/>
      <c r="D29" s="126"/>
      <c r="F29" s="127"/>
      <c r="G29" s="127"/>
      <c r="H29" s="127"/>
      <c r="I29" s="127"/>
      <c r="J29" s="126"/>
      <c r="P29" s="127"/>
      <c r="Q29" s="127"/>
      <c r="R29" s="127"/>
      <c r="S29" s="127"/>
      <c r="T29" s="127"/>
      <c r="U29" s="127"/>
    </row>
    <row r="30" ht="14.25" customHeight="1">
      <c r="C30" s="126"/>
      <c r="D30" s="126"/>
      <c r="F30" s="127"/>
      <c r="G30" s="127"/>
      <c r="H30" s="127"/>
      <c r="I30" s="127"/>
      <c r="J30" s="126"/>
      <c r="P30" s="127"/>
      <c r="Q30" s="127"/>
      <c r="R30" s="127"/>
      <c r="S30" s="127"/>
      <c r="T30" s="127"/>
      <c r="U30" s="127"/>
    </row>
    <row r="31" ht="14.25" customHeight="1">
      <c r="C31" s="126"/>
      <c r="D31" s="126"/>
      <c r="F31" s="127"/>
      <c r="G31" s="127"/>
      <c r="H31" s="127"/>
      <c r="I31" s="127"/>
      <c r="J31" s="126"/>
      <c r="P31" s="127"/>
      <c r="Q31" s="127"/>
      <c r="R31" s="127"/>
      <c r="S31" s="127"/>
      <c r="T31" s="127"/>
      <c r="U31" s="127"/>
    </row>
    <row r="32" ht="14.25" customHeight="1">
      <c r="C32" s="126"/>
      <c r="D32" s="126"/>
      <c r="F32" s="127"/>
      <c r="G32" s="127"/>
      <c r="H32" s="127"/>
      <c r="I32" s="127"/>
      <c r="J32" s="126"/>
      <c r="P32" s="127"/>
      <c r="Q32" s="127"/>
      <c r="R32" s="127"/>
      <c r="S32" s="127"/>
      <c r="T32" s="127"/>
      <c r="U32" s="127"/>
    </row>
    <row r="33" ht="14.25" customHeight="1">
      <c r="C33" s="126"/>
      <c r="D33" s="126"/>
      <c r="F33" s="127"/>
      <c r="G33" s="127"/>
      <c r="H33" s="127"/>
      <c r="I33" s="127"/>
      <c r="J33" s="126"/>
      <c r="P33" s="127"/>
      <c r="Q33" s="127"/>
      <c r="R33" s="127"/>
      <c r="S33" s="127"/>
      <c r="T33" s="127"/>
      <c r="U33" s="127"/>
    </row>
    <row r="34" ht="14.25" customHeight="1">
      <c r="C34" s="126"/>
      <c r="D34" s="126"/>
      <c r="F34" s="127"/>
      <c r="G34" s="127"/>
      <c r="H34" s="127"/>
      <c r="I34" s="127"/>
      <c r="J34" s="126"/>
      <c r="P34" s="127"/>
      <c r="Q34" s="127"/>
      <c r="R34" s="127"/>
      <c r="S34" s="127"/>
      <c r="T34" s="127"/>
      <c r="U34" s="127"/>
    </row>
    <row r="35" ht="14.25" customHeight="1">
      <c r="C35" s="126"/>
      <c r="D35" s="126"/>
      <c r="F35" s="127"/>
      <c r="G35" s="127"/>
      <c r="H35" s="127"/>
      <c r="I35" s="127"/>
      <c r="J35" s="126"/>
      <c r="P35" s="127"/>
      <c r="Q35" s="127"/>
      <c r="R35" s="127"/>
      <c r="S35" s="127"/>
      <c r="T35" s="127"/>
      <c r="U35" s="127"/>
    </row>
    <row r="36" ht="14.25" customHeight="1">
      <c r="C36" s="126"/>
      <c r="D36" s="126"/>
      <c r="F36" s="127"/>
      <c r="G36" s="127"/>
      <c r="H36" s="127"/>
      <c r="I36" s="127"/>
      <c r="J36" s="126"/>
      <c r="P36" s="127"/>
      <c r="Q36" s="127"/>
      <c r="R36" s="127"/>
      <c r="S36" s="127"/>
      <c r="T36" s="127"/>
      <c r="U36" s="127"/>
    </row>
    <row r="37" ht="14.25" customHeight="1">
      <c r="C37" s="126"/>
      <c r="D37" s="126"/>
      <c r="F37" s="127"/>
      <c r="G37" s="127"/>
      <c r="H37" s="127"/>
      <c r="I37" s="127"/>
      <c r="J37" s="126"/>
      <c r="P37" s="127"/>
      <c r="Q37" s="127"/>
      <c r="R37" s="127"/>
      <c r="S37" s="127"/>
      <c r="T37" s="127"/>
      <c r="U37" s="127"/>
    </row>
    <row r="38" ht="14.25" customHeight="1">
      <c r="C38" s="126"/>
      <c r="D38" s="126"/>
      <c r="F38" s="127"/>
      <c r="G38" s="127"/>
      <c r="H38" s="127"/>
      <c r="I38" s="127"/>
      <c r="J38" s="126"/>
      <c r="P38" s="127"/>
      <c r="Q38" s="127"/>
      <c r="R38" s="127"/>
      <c r="S38" s="127"/>
      <c r="T38" s="127"/>
      <c r="U38" s="127"/>
    </row>
    <row r="39" ht="14.25" customHeight="1">
      <c r="C39" s="126"/>
      <c r="D39" s="126"/>
      <c r="F39" s="127"/>
      <c r="G39" s="127"/>
      <c r="H39" s="127"/>
      <c r="I39" s="127"/>
      <c r="J39" s="126"/>
      <c r="P39" s="127"/>
      <c r="Q39" s="127"/>
      <c r="R39" s="127"/>
      <c r="S39" s="127"/>
      <c r="T39" s="127"/>
      <c r="U39" s="127"/>
    </row>
    <row r="40" ht="14.25" customHeight="1">
      <c r="C40" s="126"/>
      <c r="D40" s="126"/>
      <c r="F40" s="127"/>
      <c r="G40" s="127"/>
      <c r="H40" s="127"/>
      <c r="I40" s="127"/>
      <c r="J40" s="126"/>
      <c r="P40" s="127"/>
      <c r="Q40" s="127"/>
      <c r="R40" s="127"/>
      <c r="S40" s="127"/>
      <c r="T40" s="127"/>
      <c r="U40" s="127"/>
    </row>
    <row r="41" ht="14.25" customHeight="1">
      <c r="C41" s="126"/>
      <c r="D41" s="126"/>
      <c r="F41" s="127"/>
      <c r="G41" s="127"/>
      <c r="H41" s="127"/>
      <c r="I41" s="127"/>
      <c r="J41" s="126"/>
      <c r="P41" s="127"/>
      <c r="Q41" s="127"/>
      <c r="R41" s="127"/>
      <c r="S41" s="127"/>
      <c r="T41" s="127"/>
      <c r="U41" s="127"/>
    </row>
    <row r="42" ht="14.25" customHeight="1">
      <c r="C42" s="126"/>
      <c r="D42" s="126"/>
      <c r="F42" s="127"/>
      <c r="G42" s="127"/>
      <c r="H42" s="127"/>
      <c r="I42" s="127"/>
      <c r="J42" s="126"/>
      <c r="P42" s="127"/>
      <c r="Q42" s="127"/>
      <c r="R42" s="127"/>
      <c r="S42" s="127"/>
      <c r="T42" s="127"/>
      <c r="U42" s="127"/>
    </row>
    <row r="43" ht="14.25" customHeight="1">
      <c r="C43" s="126"/>
      <c r="D43" s="126"/>
      <c r="F43" s="127"/>
      <c r="G43" s="127"/>
      <c r="H43" s="127"/>
      <c r="I43" s="127"/>
      <c r="J43" s="126"/>
      <c r="P43" s="127"/>
      <c r="Q43" s="127"/>
      <c r="R43" s="127"/>
      <c r="S43" s="127"/>
      <c r="T43" s="127"/>
      <c r="U43" s="127"/>
    </row>
    <row r="44" ht="14.25" customHeight="1">
      <c r="C44" s="126"/>
      <c r="D44" s="126"/>
      <c r="F44" s="127"/>
      <c r="G44" s="127"/>
      <c r="H44" s="127"/>
      <c r="I44" s="127"/>
      <c r="J44" s="126"/>
      <c r="P44" s="127"/>
      <c r="Q44" s="127"/>
      <c r="R44" s="127"/>
      <c r="S44" s="127"/>
      <c r="T44" s="127"/>
      <c r="U44" s="127"/>
    </row>
    <row r="45" ht="14.25" customHeight="1">
      <c r="C45" s="126"/>
      <c r="D45" s="126"/>
      <c r="F45" s="127"/>
      <c r="G45" s="127"/>
      <c r="H45" s="127"/>
      <c r="I45" s="127"/>
      <c r="J45" s="126"/>
      <c r="P45" s="127"/>
      <c r="Q45" s="127"/>
      <c r="R45" s="127"/>
      <c r="S45" s="127"/>
      <c r="T45" s="127"/>
      <c r="U45" s="127"/>
    </row>
    <row r="46" ht="14.25" customHeight="1">
      <c r="C46" s="126"/>
      <c r="D46" s="126"/>
      <c r="F46" s="127"/>
      <c r="G46" s="127"/>
      <c r="H46" s="127"/>
      <c r="I46" s="127"/>
      <c r="J46" s="126"/>
      <c r="P46" s="127"/>
      <c r="Q46" s="127"/>
      <c r="R46" s="127"/>
      <c r="S46" s="127"/>
      <c r="T46" s="127"/>
      <c r="U46" s="127"/>
    </row>
    <row r="47" ht="14.25" customHeight="1">
      <c r="C47" s="126"/>
      <c r="D47" s="126"/>
      <c r="F47" s="127"/>
      <c r="G47" s="127"/>
      <c r="H47" s="127"/>
      <c r="I47" s="127"/>
      <c r="J47" s="126"/>
      <c r="P47" s="127"/>
      <c r="Q47" s="127"/>
      <c r="R47" s="127"/>
      <c r="S47" s="127"/>
      <c r="T47" s="127"/>
      <c r="U47" s="127"/>
    </row>
    <row r="48" ht="14.25" customHeight="1">
      <c r="C48" s="126"/>
      <c r="D48" s="126"/>
      <c r="F48" s="127"/>
      <c r="G48" s="127"/>
      <c r="H48" s="127"/>
      <c r="I48" s="127"/>
      <c r="J48" s="126"/>
      <c r="P48" s="127"/>
      <c r="Q48" s="127"/>
      <c r="R48" s="127"/>
      <c r="S48" s="127"/>
      <c r="T48" s="127"/>
      <c r="U48" s="127"/>
    </row>
    <row r="49" ht="14.25" customHeight="1">
      <c r="C49" s="126"/>
      <c r="D49" s="126"/>
      <c r="F49" s="127"/>
      <c r="G49" s="127"/>
      <c r="H49" s="127"/>
      <c r="I49" s="127"/>
      <c r="J49" s="126"/>
      <c r="P49" s="127"/>
      <c r="Q49" s="127"/>
      <c r="R49" s="127"/>
      <c r="S49" s="127"/>
      <c r="T49" s="127"/>
      <c r="U49" s="127"/>
    </row>
    <row r="50" ht="14.25" customHeight="1">
      <c r="C50" s="126"/>
      <c r="D50" s="126"/>
      <c r="F50" s="127"/>
      <c r="G50" s="127"/>
      <c r="H50" s="127"/>
      <c r="I50" s="127"/>
      <c r="J50" s="126"/>
      <c r="P50" s="127"/>
      <c r="Q50" s="127"/>
      <c r="R50" s="127"/>
      <c r="S50" s="127"/>
      <c r="T50" s="127"/>
      <c r="U50" s="127"/>
    </row>
    <row r="51" ht="14.25" customHeight="1">
      <c r="C51" s="126"/>
      <c r="D51" s="126"/>
      <c r="F51" s="127"/>
      <c r="G51" s="127"/>
      <c r="H51" s="127"/>
      <c r="I51" s="127"/>
      <c r="J51" s="126"/>
      <c r="P51" s="127"/>
      <c r="Q51" s="127"/>
      <c r="R51" s="127"/>
      <c r="S51" s="127"/>
      <c r="T51" s="127"/>
      <c r="U51" s="127"/>
    </row>
    <row r="52" ht="14.25" customHeight="1">
      <c r="C52" s="126"/>
      <c r="D52" s="126"/>
      <c r="F52" s="127"/>
      <c r="G52" s="127"/>
      <c r="H52" s="127"/>
      <c r="I52" s="127"/>
      <c r="J52" s="126"/>
      <c r="P52" s="127"/>
      <c r="Q52" s="127"/>
      <c r="R52" s="127"/>
      <c r="S52" s="127"/>
      <c r="T52" s="127"/>
      <c r="U52" s="127"/>
    </row>
    <row r="53" ht="14.25" customHeight="1">
      <c r="C53" s="126"/>
      <c r="D53" s="126"/>
      <c r="F53" s="127"/>
      <c r="G53" s="127"/>
      <c r="H53" s="127"/>
      <c r="I53" s="127"/>
      <c r="J53" s="126"/>
      <c r="P53" s="127"/>
      <c r="Q53" s="127"/>
      <c r="R53" s="127"/>
      <c r="S53" s="127"/>
      <c r="T53" s="127"/>
      <c r="U53" s="127"/>
    </row>
    <row r="54" ht="14.25" customHeight="1">
      <c r="C54" s="126"/>
      <c r="D54" s="126"/>
      <c r="F54" s="127"/>
      <c r="G54" s="127"/>
      <c r="H54" s="127"/>
      <c r="I54" s="127"/>
      <c r="J54" s="126"/>
      <c r="P54" s="127"/>
      <c r="Q54" s="127"/>
      <c r="R54" s="127"/>
      <c r="S54" s="127"/>
      <c r="T54" s="127"/>
      <c r="U54" s="127"/>
    </row>
    <row r="55" ht="14.25" customHeight="1">
      <c r="C55" s="126"/>
      <c r="D55" s="126"/>
      <c r="F55" s="127"/>
      <c r="G55" s="127"/>
      <c r="H55" s="127"/>
      <c r="I55" s="127"/>
      <c r="J55" s="126"/>
      <c r="P55" s="127"/>
      <c r="Q55" s="127"/>
      <c r="R55" s="127"/>
      <c r="S55" s="127"/>
      <c r="T55" s="127"/>
      <c r="U55" s="127"/>
    </row>
    <row r="56" ht="14.25" customHeight="1">
      <c r="C56" s="126"/>
      <c r="D56" s="126"/>
      <c r="F56" s="127"/>
      <c r="G56" s="127"/>
      <c r="H56" s="127"/>
      <c r="I56" s="127"/>
      <c r="J56" s="126"/>
      <c r="P56" s="127"/>
      <c r="Q56" s="127"/>
      <c r="R56" s="127"/>
      <c r="S56" s="127"/>
      <c r="T56" s="127"/>
      <c r="U56" s="127"/>
    </row>
    <row r="57" ht="14.25" customHeight="1">
      <c r="C57" s="126"/>
      <c r="D57" s="126"/>
      <c r="F57" s="127"/>
      <c r="G57" s="127"/>
      <c r="H57" s="127"/>
      <c r="I57" s="127"/>
      <c r="J57" s="126"/>
      <c r="P57" s="127"/>
      <c r="Q57" s="127"/>
      <c r="R57" s="127"/>
      <c r="S57" s="127"/>
      <c r="T57" s="127"/>
      <c r="U57" s="127"/>
    </row>
    <row r="58" ht="14.25" customHeight="1">
      <c r="C58" s="126"/>
      <c r="D58" s="126"/>
      <c r="F58" s="127"/>
      <c r="G58" s="127"/>
      <c r="H58" s="127"/>
      <c r="I58" s="127"/>
      <c r="J58" s="126"/>
      <c r="P58" s="127"/>
      <c r="Q58" s="127"/>
      <c r="R58" s="127"/>
      <c r="S58" s="127"/>
      <c r="T58" s="127"/>
      <c r="U58" s="127"/>
    </row>
    <row r="59" ht="14.25" customHeight="1">
      <c r="C59" s="126"/>
      <c r="D59" s="126"/>
      <c r="F59" s="127"/>
      <c r="G59" s="127"/>
      <c r="H59" s="127"/>
      <c r="I59" s="127"/>
      <c r="J59" s="126"/>
      <c r="P59" s="127"/>
      <c r="Q59" s="127"/>
      <c r="R59" s="127"/>
      <c r="S59" s="127"/>
      <c r="T59" s="127"/>
      <c r="U59" s="127"/>
    </row>
    <row r="60" ht="14.25" customHeight="1">
      <c r="C60" s="126"/>
      <c r="D60" s="126"/>
      <c r="F60" s="127"/>
      <c r="G60" s="127"/>
      <c r="H60" s="127"/>
      <c r="I60" s="127"/>
      <c r="J60" s="126"/>
      <c r="P60" s="127"/>
      <c r="Q60" s="127"/>
      <c r="R60" s="127"/>
      <c r="S60" s="127"/>
      <c r="T60" s="127"/>
      <c r="U60" s="127"/>
    </row>
    <row r="61" ht="14.25" customHeight="1">
      <c r="C61" s="126"/>
      <c r="D61" s="126"/>
      <c r="F61" s="127"/>
      <c r="G61" s="127"/>
      <c r="H61" s="127"/>
      <c r="I61" s="127"/>
      <c r="J61" s="126"/>
      <c r="P61" s="127"/>
      <c r="Q61" s="127"/>
      <c r="R61" s="127"/>
      <c r="S61" s="127"/>
      <c r="T61" s="127"/>
      <c r="U61" s="127"/>
    </row>
    <row r="62" ht="14.25" customHeight="1">
      <c r="C62" s="126"/>
      <c r="D62" s="126"/>
      <c r="F62" s="127"/>
      <c r="G62" s="127"/>
      <c r="H62" s="127"/>
      <c r="I62" s="127"/>
      <c r="J62" s="126"/>
      <c r="P62" s="127"/>
      <c r="Q62" s="127"/>
      <c r="R62" s="127"/>
      <c r="S62" s="127"/>
      <c r="T62" s="127"/>
      <c r="U62" s="127"/>
    </row>
    <row r="63" ht="14.25" customHeight="1">
      <c r="C63" s="126"/>
      <c r="D63" s="126"/>
      <c r="F63" s="127"/>
      <c r="G63" s="127"/>
      <c r="H63" s="127"/>
      <c r="I63" s="127"/>
      <c r="J63" s="126"/>
      <c r="P63" s="127"/>
      <c r="Q63" s="127"/>
      <c r="R63" s="127"/>
      <c r="S63" s="127"/>
      <c r="T63" s="127"/>
      <c r="U63" s="127"/>
    </row>
    <row r="64" ht="14.25" customHeight="1">
      <c r="C64" s="126"/>
      <c r="D64" s="126"/>
      <c r="F64" s="127"/>
      <c r="G64" s="127"/>
      <c r="H64" s="127"/>
      <c r="I64" s="127"/>
      <c r="J64" s="126"/>
      <c r="P64" s="127"/>
      <c r="Q64" s="127"/>
      <c r="R64" s="127"/>
      <c r="S64" s="127"/>
      <c r="T64" s="127"/>
      <c r="U64" s="127"/>
    </row>
    <row r="65" ht="14.25" customHeight="1">
      <c r="C65" s="126"/>
      <c r="D65" s="126"/>
      <c r="F65" s="127"/>
      <c r="G65" s="127"/>
      <c r="H65" s="127"/>
      <c r="I65" s="127"/>
      <c r="J65" s="126"/>
      <c r="P65" s="127"/>
      <c r="Q65" s="127"/>
      <c r="R65" s="127"/>
      <c r="S65" s="127"/>
      <c r="T65" s="127"/>
      <c r="U65" s="127"/>
    </row>
    <row r="66" ht="14.25" customHeight="1">
      <c r="C66" s="126"/>
      <c r="D66" s="126"/>
      <c r="F66" s="127"/>
      <c r="G66" s="127"/>
      <c r="H66" s="127"/>
      <c r="I66" s="127"/>
      <c r="J66" s="126"/>
      <c r="P66" s="127"/>
      <c r="Q66" s="127"/>
      <c r="R66" s="127"/>
      <c r="S66" s="127"/>
      <c r="T66" s="127"/>
      <c r="U66" s="127"/>
    </row>
    <row r="67" ht="14.25" customHeight="1">
      <c r="C67" s="126"/>
      <c r="D67" s="126"/>
      <c r="F67" s="127"/>
      <c r="G67" s="127"/>
      <c r="H67" s="127"/>
      <c r="I67" s="127"/>
      <c r="J67" s="126"/>
      <c r="P67" s="127"/>
      <c r="Q67" s="127"/>
      <c r="R67" s="127"/>
      <c r="S67" s="127"/>
      <c r="T67" s="127"/>
      <c r="U67" s="127"/>
    </row>
    <row r="68" ht="14.25" customHeight="1">
      <c r="C68" s="126"/>
      <c r="D68" s="126"/>
      <c r="F68" s="127"/>
      <c r="G68" s="127"/>
      <c r="H68" s="127"/>
      <c r="I68" s="127"/>
      <c r="J68" s="126"/>
      <c r="P68" s="127"/>
      <c r="Q68" s="127"/>
      <c r="R68" s="127"/>
      <c r="S68" s="127"/>
      <c r="T68" s="127"/>
      <c r="U68" s="127"/>
    </row>
    <row r="69" ht="14.25" customHeight="1">
      <c r="C69" s="126"/>
      <c r="D69" s="126"/>
      <c r="F69" s="127"/>
      <c r="G69" s="127"/>
      <c r="H69" s="127"/>
      <c r="I69" s="127"/>
      <c r="J69" s="126"/>
      <c r="P69" s="127"/>
      <c r="Q69" s="127"/>
      <c r="R69" s="127"/>
      <c r="S69" s="127"/>
      <c r="T69" s="127"/>
      <c r="U69" s="127"/>
    </row>
    <row r="70" ht="14.25" customHeight="1">
      <c r="C70" s="126"/>
      <c r="D70" s="126"/>
      <c r="F70" s="127"/>
      <c r="G70" s="127"/>
      <c r="H70" s="127"/>
      <c r="I70" s="127"/>
      <c r="J70" s="126"/>
      <c r="P70" s="127"/>
      <c r="Q70" s="127"/>
      <c r="R70" s="127"/>
      <c r="S70" s="127"/>
      <c r="T70" s="127"/>
      <c r="U70" s="127"/>
    </row>
    <row r="71" ht="14.25" customHeight="1">
      <c r="C71" s="126"/>
      <c r="D71" s="126"/>
      <c r="F71" s="127"/>
      <c r="G71" s="127"/>
      <c r="H71" s="127"/>
      <c r="I71" s="127"/>
      <c r="J71" s="126"/>
      <c r="P71" s="127"/>
      <c r="Q71" s="127"/>
      <c r="R71" s="127"/>
      <c r="S71" s="127"/>
      <c r="T71" s="127"/>
      <c r="U71" s="127"/>
    </row>
    <row r="72" ht="14.25" customHeight="1">
      <c r="C72" s="126"/>
      <c r="D72" s="126"/>
      <c r="F72" s="127"/>
      <c r="G72" s="127"/>
      <c r="H72" s="127"/>
      <c r="I72" s="127"/>
      <c r="J72" s="126"/>
      <c r="P72" s="127"/>
      <c r="Q72" s="127"/>
      <c r="R72" s="127"/>
      <c r="S72" s="127"/>
      <c r="T72" s="127"/>
      <c r="U72" s="127"/>
    </row>
    <row r="73" ht="14.25" customHeight="1">
      <c r="C73" s="126"/>
      <c r="D73" s="126"/>
      <c r="F73" s="127"/>
      <c r="G73" s="127"/>
      <c r="H73" s="127"/>
      <c r="I73" s="127"/>
      <c r="J73" s="126"/>
      <c r="P73" s="127"/>
      <c r="Q73" s="127"/>
      <c r="R73" s="127"/>
      <c r="S73" s="127"/>
      <c r="T73" s="127"/>
      <c r="U73" s="127"/>
    </row>
    <row r="74" ht="14.25" customHeight="1">
      <c r="C74" s="126"/>
      <c r="D74" s="126"/>
      <c r="F74" s="127"/>
      <c r="G74" s="127"/>
      <c r="H74" s="127"/>
      <c r="I74" s="127"/>
      <c r="J74" s="126"/>
      <c r="P74" s="127"/>
      <c r="Q74" s="127"/>
      <c r="R74" s="127"/>
      <c r="S74" s="127"/>
      <c r="T74" s="127"/>
      <c r="U74" s="127"/>
    </row>
    <row r="75" ht="14.25" customHeight="1">
      <c r="C75" s="126"/>
      <c r="D75" s="126"/>
      <c r="F75" s="127"/>
      <c r="G75" s="127"/>
      <c r="H75" s="127"/>
      <c r="I75" s="127"/>
      <c r="J75" s="126"/>
      <c r="P75" s="127"/>
      <c r="Q75" s="127"/>
      <c r="R75" s="127"/>
      <c r="S75" s="127"/>
      <c r="T75" s="127"/>
      <c r="U75" s="127"/>
    </row>
    <row r="76" ht="14.25" customHeight="1">
      <c r="C76" s="126"/>
      <c r="D76" s="126"/>
      <c r="F76" s="127"/>
      <c r="G76" s="127"/>
      <c r="H76" s="127"/>
      <c r="I76" s="127"/>
      <c r="J76" s="126"/>
      <c r="P76" s="127"/>
      <c r="Q76" s="127"/>
      <c r="R76" s="127"/>
      <c r="S76" s="127"/>
      <c r="T76" s="127"/>
      <c r="U76" s="127"/>
    </row>
    <row r="77" ht="14.25" customHeight="1">
      <c r="C77" s="126"/>
      <c r="D77" s="126"/>
      <c r="F77" s="127"/>
      <c r="G77" s="127"/>
      <c r="H77" s="127"/>
      <c r="I77" s="127"/>
      <c r="J77" s="126"/>
      <c r="P77" s="127"/>
      <c r="Q77" s="127"/>
      <c r="R77" s="127"/>
      <c r="S77" s="127"/>
      <c r="T77" s="127"/>
      <c r="U77" s="127"/>
    </row>
    <row r="78" ht="14.25" customHeight="1">
      <c r="C78" s="126"/>
      <c r="D78" s="126"/>
      <c r="F78" s="127"/>
      <c r="G78" s="127"/>
      <c r="H78" s="127"/>
      <c r="I78" s="127"/>
      <c r="J78" s="126"/>
      <c r="P78" s="127"/>
      <c r="Q78" s="127"/>
      <c r="R78" s="127"/>
      <c r="S78" s="127"/>
      <c r="T78" s="127"/>
      <c r="U78" s="127"/>
    </row>
    <row r="79" ht="14.25" customHeight="1">
      <c r="C79" s="126"/>
      <c r="D79" s="126"/>
      <c r="F79" s="127"/>
      <c r="G79" s="127"/>
      <c r="H79" s="127"/>
      <c r="I79" s="127"/>
      <c r="J79" s="126"/>
      <c r="P79" s="127"/>
      <c r="Q79" s="127"/>
      <c r="R79" s="127"/>
      <c r="S79" s="127"/>
      <c r="T79" s="127"/>
      <c r="U79" s="127"/>
    </row>
    <row r="80" ht="14.25" customHeight="1">
      <c r="C80" s="126"/>
      <c r="D80" s="126"/>
      <c r="F80" s="127"/>
      <c r="G80" s="127"/>
      <c r="H80" s="127"/>
      <c r="I80" s="127"/>
      <c r="J80" s="126"/>
      <c r="P80" s="127"/>
      <c r="Q80" s="127"/>
      <c r="R80" s="127"/>
      <c r="S80" s="127"/>
      <c r="T80" s="127"/>
      <c r="U80" s="127"/>
    </row>
    <row r="81" ht="14.25" customHeight="1">
      <c r="C81" s="126"/>
      <c r="D81" s="126"/>
      <c r="F81" s="127"/>
      <c r="G81" s="127"/>
      <c r="H81" s="127"/>
      <c r="I81" s="127"/>
      <c r="J81" s="126"/>
      <c r="P81" s="127"/>
      <c r="Q81" s="127"/>
      <c r="R81" s="127"/>
      <c r="S81" s="127"/>
      <c r="T81" s="127"/>
      <c r="U81" s="127"/>
    </row>
    <row r="82" ht="14.25" customHeight="1">
      <c r="C82" s="126"/>
      <c r="D82" s="126"/>
      <c r="F82" s="127"/>
      <c r="G82" s="127"/>
      <c r="H82" s="127"/>
      <c r="I82" s="127"/>
      <c r="J82" s="126"/>
      <c r="P82" s="127"/>
      <c r="Q82" s="127"/>
      <c r="R82" s="127"/>
      <c r="S82" s="127"/>
      <c r="T82" s="127"/>
      <c r="U82" s="127"/>
    </row>
    <row r="83" ht="14.25" customHeight="1">
      <c r="C83" s="126"/>
      <c r="D83" s="126"/>
      <c r="F83" s="127"/>
      <c r="G83" s="127"/>
      <c r="H83" s="127"/>
      <c r="I83" s="127"/>
      <c r="J83" s="126"/>
      <c r="P83" s="127"/>
      <c r="Q83" s="127"/>
      <c r="R83" s="127"/>
      <c r="S83" s="127"/>
      <c r="T83" s="127"/>
      <c r="U83" s="127"/>
    </row>
    <row r="84" ht="14.25" customHeight="1">
      <c r="C84" s="126"/>
      <c r="D84" s="126"/>
      <c r="F84" s="127"/>
      <c r="G84" s="127"/>
      <c r="H84" s="127"/>
      <c r="I84" s="127"/>
      <c r="J84" s="126"/>
      <c r="P84" s="127"/>
      <c r="Q84" s="127"/>
      <c r="R84" s="127"/>
      <c r="S84" s="127"/>
      <c r="T84" s="127"/>
      <c r="U84" s="127"/>
    </row>
    <row r="85" ht="14.25" customHeight="1">
      <c r="C85" s="126"/>
      <c r="D85" s="126"/>
      <c r="F85" s="127"/>
      <c r="G85" s="127"/>
      <c r="H85" s="127"/>
      <c r="I85" s="127"/>
      <c r="J85" s="126"/>
      <c r="P85" s="127"/>
      <c r="Q85" s="127"/>
      <c r="R85" s="127"/>
      <c r="S85" s="127"/>
      <c r="T85" s="127"/>
      <c r="U85" s="127"/>
    </row>
    <row r="86" ht="14.25" customHeight="1">
      <c r="C86" s="126"/>
      <c r="D86" s="126"/>
      <c r="F86" s="127"/>
      <c r="G86" s="127"/>
      <c r="H86" s="127"/>
      <c r="I86" s="127"/>
      <c r="J86" s="126"/>
      <c r="P86" s="127"/>
      <c r="Q86" s="127"/>
      <c r="R86" s="127"/>
      <c r="S86" s="127"/>
      <c r="T86" s="127"/>
      <c r="U86" s="127"/>
    </row>
    <row r="87" ht="14.25" customHeight="1">
      <c r="C87" s="126"/>
      <c r="D87" s="126"/>
      <c r="F87" s="127"/>
      <c r="G87" s="127"/>
      <c r="H87" s="127"/>
      <c r="I87" s="127"/>
      <c r="J87" s="126"/>
      <c r="P87" s="127"/>
      <c r="Q87" s="127"/>
      <c r="R87" s="127"/>
      <c r="S87" s="127"/>
      <c r="T87" s="127"/>
      <c r="U87" s="127"/>
    </row>
    <row r="88" ht="14.25" customHeight="1">
      <c r="C88" s="126"/>
      <c r="D88" s="126"/>
      <c r="F88" s="127"/>
      <c r="G88" s="127"/>
      <c r="H88" s="127"/>
      <c r="I88" s="127"/>
      <c r="J88" s="126"/>
      <c r="P88" s="127"/>
      <c r="Q88" s="127"/>
      <c r="R88" s="127"/>
      <c r="S88" s="127"/>
      <c r="T88" s="127"/>
      <c r="U88" s="127"/>
    </row>
    <row r="89" ht="14.25" customHeight="1">
      <c r="C89" s="126"/>
      <c r="D89" s="126"/>
      <c r="F89" s="127"/>
      <c r="G89" s="127"/>
      <c r="H89" s="127"/>
      <c r="I89" s="127"/>
      <c r="J89" s="126"/>
      <c r="P89" s="127"/>
      <c r="Q89" s="127"/>
      <c r="R89" s="127"/>
      <c r="S89" s="127"/>
      <c r="T89" s="127"/>
      <c r="U89" s="127"/>
    </row>
    <row r="90" ht="14.25" customHeight="1">
      <c r="C90" s="126"/>
      <c r="D90" s="126"/>
      <c r="F90" s="127"/>
      <c r="G90" s="127"/>
      <c r="H90" s="127"/>
      <c r="I90" s="127"/>
      <c r="J90" s="126"/>
      <c r="P90" s="127"/>
      <c r="Q90" s="127"/>
      <c r="R90" s="127"/>
      <c r="S90" s="127"/>
      <c r="T90" s="127"/>
      <c r="U90" s="127"/>
    </row>
    <row r="91" ht="14.25" customHeight="1">
      <c r="C91" s="126"/>
      <c r="D91" s="126"/>
      <c r="F91" s="127"/>
      <c r="G91" s="127"/>
      <c r="H91" s="127"/>
      <c r="I91" s="127"/>
      <c r="J91" s="126"/>
      <c r="P91" s="127"/>
      <c r="Q91" s="127"/>
      <c r="R91" s="127"/>
      <c r="S91" s="127"/>
      <c r="T91" s="127"/>
      <c r="U91" s="127"/>
    </row>
    <row r="92" ht="14.25" customHeight="1">
      <c r="C92" s="126"/>
      <c r="D92" s="126"/>
      <c r="F92" s="127"/>
      <c r="G92" s="127"/>
      <c r="H92" s="127"/>
      <c r="I92" s="127"/>
      <c r="J92" s="126"/>
      <c r="P92" s="127"/>
      <c r="Q92" s="127"/>
      <c r="R92" s="127"/>
      <c r="S92" s="127"/>
      <c r="T92" s="127"/>
      <c r="U92" s="127"/>
    </row>
    <row r="93" ht="14.25" customHeight="1">
      <c r="C93" s="126"/>
      <c r="D93" s="126"/>
      <c r="F93" s="127"/>
      <c r="G93" s="127"/>
      <c r="H93" s="127"/>
      <c r="I93" s="127"/>
      <c r="J93" s="126"/>
      <c r="P93" s="127"/>
      <c r="Q93" s="127"/>
      <c r="R93" s="127"/>
      <c r="S93" s="127"/>
      <c r="T93" s="127"/>
      <c r="U93" s="127"/>
    </row>
    <row r="94" ht="14.25" customHeight="1">
      <c r="C94" s="126"/>
      <c r="D94" s="126"/>
      <c r="F94" s="127"/>
      <c r="G94" s="127"/>
      <c r="H94" s="127"/>
      <c r="I94" s="127"/>
      <c r="J94" s="126"/>
      <c r="P94" s="127"/>
      <c r="Q94" s="127"/>
      <c r="R94" s="127"/>
      <c r="S94" s="127"/>
      <c r="T94" s="127"/>
      <c r="U94" s="127"/>
    </row>
    <row r="95" ht="14.25" customHeight="1">
      <c r="C95" s="126"/>
      <c r="D95" s="126"/>
      <c r="F95" s="127"/>
      <c r="G95" s="127"/>
      <c r="H95" s="127"/>
      <c r="I95" s="127"/>
      <c r="J95" s="126"/>
      <c r="P95" s="127"/>
      <c r="Q95" s="127"/>
      <c r="R95" s="127"/>
      <c r="S95" s="127"/>
      <c r="T95" s="127"/>
      <c r="U95" s="127"/>
    </row>
    <row r="96" ht="14.25" customHeight="1">
      <c r="C96" s="126"/>
      <c r="D96" s="126"/>
      <c r="F96" s="127"/>
      <c r="G96" s="127"/>
      <c r="H96" s="127"/>
      <c r="I96" s="127"/>
      <c r="J96" s="126"/>
      <c r="P96" s="127"/>
      <c r="Q96" s="127"/>
      <c r="R96" s="127"/>
      <c r="S96" s="127"/>
      <c r="T96" s="127"/>
      <c r="U96" s="127"/>
    </row>
    <row r="97" ht="14.25" customHeight="1">
      <c r="C97" s="126"/>
      <c r="D97" s="126"/>
      <c r="F97" s="127"/>
      <c r="G97" s="127"/>
      <c r="H97" s="127"/>
      <c r="I97" s="127"/>
      <c r="J97" s="126"/>
      <c r="P97" s="127"/>
      <c r="Q97" s="127"/>
      <c r="R97" s="127"/>
      <c r="S97" s="127"/>
      <c r="T97" s="127"/>
      <c r="U97" s="127"/>
    </row>
    <row r="98" ht="14.25" customHeight="1">
      <c r="C98" s="126"/>
      <c r="D98" s="126"/>
      <c r="F98" s="127"/>
      <c r="G98" s="127"/>
      <c r="H98" s="127"/>
      <c r="I98" s="127"/>
      <c r="J98" s="126"/>
      <c r="P98" s="127"/>
      <c r="Q98" s="127"/>
      <c r="R98" s="127"/>
      <c r="S98" s="127"/>
      <c r="T98" s="127"/>
      <c r="U98" s="127"/>
    </row>
    <row r="99" ht="14.25" customHeight="1">
      <c r="C99" s="126"/>
      <c r="D99" s="126"/>
      <c r="F99" s="127"/>
      <c r="G99" s="127"/>
      <c r="H99" s="127"/>
      <c r="I99" s="127"/>
      <c r="J99" s="126"/>
      <c r="P99" s="127"/>
      <c r="Q99" s="127"/>
      <c r="R99" s="127"/>
      <c r="S99" s="127"/>
      <c r="T99" s="127"/>
      <c r="U99" s="127"/>
    </row>
    <row r="100" ht="14.25" customHeight="1">
      <c r="C100" s="126"/>
      <c r="D100" s="126"/>
      <c r="F100" s="127"/>
      <c r="G100" s="127"/>
      <c r="H100" s="127"/>
      <c r="I100" s="127"/>
      <c r="J100" s="126"/>
      <c r="P100" s="127"/>
      <c r="Q100" s="127"/>
      <c r="R100" s="127"/>
      <c r="S100" s="127"/>
      <c r="T100" s="127"/>
      <c r="U100" s="127"/>
    </row>
    <row r="101" ht="14.25" customHeight="1">
      <c r="C101" s="126"/>
      <c r="D101" s="126"/>
      <c r="F101" s="127"/>
      <c r="G101" s="127"/>
      <c r="H101" s="127"/>
      <c r="I101" s="127"/>
      <c r="J101" s="126"/>
      <c r="P101" s="127"/>
      <c r="Q101" s="127"/>
      <c r="R101" s="127"/>
      <c r="S101" s="127"/>
      <c r="T101" s="127"/>
      <c r="U101" s="127"/>
    </row>
    <row r="102" ht="14.25" customHeight="1">
      <c r="C102" s="126"/>
      <c r="D102" s="126"/>
      <c r="F102" s="127"/>
      <c r="G102" s="127"/>
      <c r="H102" s="127"/>
      <c r="I102" s="127"/>
      <c r="J102" s="126"/>
      <c r="P102" s="127"/>
      <c r="Q102" s="127"/>
      <c r="R102" s="127"/>
      <c r="S102" s="127"/>
      <c r="T102" s="127"/>
      <c r="U102" s="127"/>
    </row>
    <row r="103" ht="14.25" customHeight="1">
      <c r="C103" s="126"/>
      <c r="D103" s="126"/>
      <c r="F103" s="127"/>
      <c r="G103" s="127"/>
      <c r="H103" s="127"/>
      <c r="I103" s="127"/>
      <c r="J103" s="126"/>
      <c r="P103" s="127"/>
      <c r="Q103" s="127"/>
      <c r="R103" s="127"/>
      <c r="S103" s="127"/>
      <c r="T103" s="127"/>
      <c r="U103" s="127"/>
    </row>
    <row r="104" ht="14.25" customHeight="1">
      <c r="C104" s="126"/>
      <c r="D104" s="126"/>
      <c r="F104" s="127"/>
      <c r="G104" s="127"/>
      <c r="H104" s="127"/>
      <c r="I104" s="127"/>
      <c r="J104" s="126"/>
      <c r="P104" s="127"/>
      <c r="Q104" s="127"/>
      <c r="R104" s="127"/>
      <c r="S104" s="127"/>
      <c r="T104" s="127"/>
      <c r="U104" s="127"/>
    </row>
    <row r="105" ht="14.25" customHeight="1">
      <c r="C105" s="126"/>
      <c r="D105" s="126"/>
      <c r="F105" s="127"/>
      <c r="G105" s="127"/>
      <c r="H105" s="127"/>
      <c r="I105" s="127"/>
      <c r="J105" s="126"/>
      <c r="P105" s="127"/>
      <c r="Q105" s="127"/>
      <c r="R105" s="127"/>
      <c r="S105" s="127"/>
      <c r="T105" s="127"/>
      <c r="U105" s="127"/>
    </row>
    <row r="106" ht="14.25" customHeight="1">
      <c r="C106" s="126"/>
      <c r="D106" s="126"/>
      <c r="F106" s="127"/>
      <c r="G106" s="127"/>
      <c r="H106" s="127"/>
      <c r="I106" s="127"/>
      <c r="J106" s="126"/>
      <c r="P106" s="127"/>
      <c r="Q106" s="127"/>
      <c r="R106" s="127"/>
      <c r="S106" s="127"/>
      <c r="T106" s="127"/>
      <c r="U106" s="127"/>
    </row>
    <row r="107" ht="14.25" customHeight="1">
      <c r="C107" s="126"/>
      <c r="D107" s="126"/>
      <c r="F107" s="127"/>
      <c r="G107" s="127"/>
      <c r="H107" s="127"/>
      <c r="I107" s="127"/>
      <c r="J107" s="126"/>
      <c r="P107" s="127"/>
      <c r="Q107" s="127"/>
      <c r="R107" s="127"/>
      <c r="S107" s="127"/>
      <c r="T107" s="127"/>
      <c r="U107" s="127"/>
    </row>
    <row r="108" ht="14.25" customHeight="1">
      <c r="C108" s="126"/>
      <c r="D108" s="126"/>
      <c r="F108" s="127"/>
      <c r="G108" s="127"/>
      <c r="H108" s="127"/>
      <c r="I108" s="127"/>
      <c r="J108" s="126"/>
      <c r="P108" s="127"/>
      <c r="Q108" s="127"/>
      <c r="R108" s="127"/>
      <c r="S108" s="127"/>
      <c r="T108" s="127"/>
      <c r="U108" s="127"/>
    </row>
    <row r="109" ht="14.25" customHeight="1">
      <c r="C109" s="126"/>
      <c r="D109" s="126"/>
      <c r="F109" s="127"/>
      <c r="G109" s="127"/>
      <c r="H109" s="127"/>
      <c r="I109" s="127"/>
      <c r="J109" s="126"/>
      <c r="P109" s="127"/>
      <c r="Q109" s="127"/>
      <c r="R109" s="127"/>
      <c r="S109" s="127"/>
      <c r="T109" s="127"/>
      <c r="U109" s="127"/>
    </row>
    <row r="110" ht="14.25" customHeight="1">
      <c r="C110" s="126"/>
      <c r="D110" s="126"/>
      <c r="F110" s="127"/>
      <c r="G110" s="127"/>
      <c r="H110" s="127"/>
      <c r="I110" s="127"/>
      <c r="J110" s="126"/>
      <c r="P110" s="127"/>
      <c r="Q110" s="127"/>
      <c r="R110" s="127"/>
      <c r="S110" s="127"/>
      <c r="T110" s="127"/>
      <c r="U110" s="127"/>
    </row>
    <row r="111" ht="14.25" customHeight="1">
      <c r="C111" s="126"/>
      <c r="D111" s="126"/>
      <c r="F111" s="127"/>
      <c r="G111" s="127"/>
      <c r="H111" s="127"/>
      <c r="I111" s="127"/>
      <c r="J111" s="126"/>
      <c r="P111" s="127"/>
      <c r="Q111" s="127"/>
      <c r="R111" s="127"/>
      <c r="S111" s="127"/>
      <c r="T111" s="127"/>
      <c r="U111" s="127"/>
    </row>
    <row r="112" ht="14.25" customHeight="1">
      <c r="C112" s="126"/>
      <c r="D112" s="126"/>
      <c r="F112" s="127"/>
      <c r="G112" s="127"/>
      <c r="H112" s="127"/>
      <c r="I112" s="127"/>
      <c r="J112" s="126"/>
      <c r="P112" s="127"/>
      <c r="Q112" s="127"/>
      <c r="R112" s="127"/>
      <c r="S112" s="127"/>
      <c r="T112" s="127"/>
      <c r="U112" s="127"/>
    </row>
    <row r="113" ht="14.25" customHeight="1">
      <c r="C113" s="126"/>
      <c r="D113" s="126"/>
      <c r="F113" s="127"/>
      <c r="G113" s="127"/>
      <c r="H113" s="127"/>
      <c r="I113" s="127"/>
      <c r="J113" s="126"/>
      <c r="P113" s="127"/>
      <c r="Q113" s="127"/>
      <c r="R113" s="127"/>
      <c r="S113" s="127"/>
      <c r="T113" s="127"/>
      <c r="U113" s="127"/>
    </row>
    <row r="114" ht="14.25" customHeight="1">
      <c r="C114" s="126"/>
      <c r="D114" s="126"/>
      <c r="F114" s="127"/>
      <c r="G114" s="127"/>
      <c r="H114" s="127"/>
      <c r="I114" s="127"/>
      <c r="J114" s="126"/>
      <c r="P114" s="127"/>
      <c r="Q114" s="127"/>
      <c r="R114" s="127"/>
      <c r="S114" s="127"/>
      <c r="T114" s="127"/>
      <c r="U114" s="127"/>
    </row>
    <row r="115" ht="14.25" customHeight="1">
      <c r="C115" s="126"/>
      <c r="D115" s="126"/>
      <c r="F115" s="127"/>
      <c r="G115" s="127"/>
      <c r="H115" s="127"/>
      <c r="I115" s="127"/>
      <c r="J115" s="126"/>
      <c r="P115" s="127"/>
      <c r="Q115" s="127"/>
      <c r="R115" s="127"/>
      <c r="S115" s="127"/>
      <c r="T115" s="127"/>
      <c r="U115" s="127"/>
    </row>
    <row r="116" ht="14.25" customHeight="1">
      <c r="C116" s="126"/>
      <c r="D116" s="126"/>
      <c r="F116" s="127"/>
      <c r="G116" s="127"/>
      <c r="H116" s="127"/>
      <c r="I116" s="127"/>
      <c r="J116" s="126"/>
      <c r="P116" s="127"/>
      <c r="Q116" s="127"/>
      <c r="R116" s="127"/>
      <c r="S116" s="127"/>
      <c r="T116" s="127"/>
      <c r="U116" s="127"/>
    </row>
    <row r="117" ht="14.25" customHeight="1">
      <c r="C117" s="126"/>
      <c r="D117" s="126"/>
      <c r="F117" s="127"/>
      <c r="G117" s="127"/>
      <c r="H117" s="127"/>
      <c r="I117" s="127"/>
      <c r="J117" s="126"/>
      <c r="P117" s="127"/>
      <c r="Q117" s="127"/>
      <c r="R117" s="127"/>
      <c r="S117" s="127"/>
      <c r="T117" s="127"/>
      <c r="U117" s="127"/>
    </row>
    <row r="118" ht="14.25" customHeight="1">
      <c r="C118" s="126"/>
      <c r="D118" s="126"/>
      <c r="F118" s="127"/>
      <c r="G118" s="127"/>
      <c r="H118" s="127"/>
      <c r="I118" s="127"/>
      <c r="J118" s="126"/>
      <c r="P118" s="127"/>
      <c r="Q118" s="127"/>
      <c r="R118" s="127"/>
      <c r="S118" s="127"/>
      <c r="T118" s="127"/>
      <c r="U118" s="127"/>
    </row>
    <row r="119" ht="14.25" customHeight="1">
      <c r="C119" s="126"/>
      <c r="D119" s="126"/>
      <c r="F119" s="127"/>
      <c r="G119" s="127"/>
      <c r="H119" s="127"/>
      <c r="I119" s="127"/>
      <c r="J119" s="126"/>
      <c r="P119" s="127"/>
      <c r="Q119" s="127"/>
      <c r="R119" s="127"/>
      <c r="S119" s="127"/>
      <c r="T119" s="127"/>
      <c r="U119" s="127"/>
    </row>
    <row r="120" ht="14.25" customHeight="1">
      <c r="C120" s="126"/>
      <c r="D120" s="126"/>
      <c r="F120" s="127"/>
      <c r="G120" s="127"/>
      <c r="H120" s="127"/>
      <c r="I120" s="127"/>
      <c r="J120" s="126"/>
      <c r="P120" s="127"/>
      <c r="Q120" s="127"/>
      <c r="R120" s="127"/>
      <c r="S120" s="127"/>
      <c r="T120" s="127"/>
      <c r="U120" s="127"/>
    </row>
    <row r="121" ht="14.25" customHeight="1">
      <c r="C121" s="126"/>
      <c r="D121" s="126"/>
      <c r="F121" s="127"/>
      <c r="G121" s="127"/>
      <c r="H121" s="127"/>
      <c r="I121" s="127"/>
      <c r="J121" s="126"/>
      <c r="P121" s="127"/>
      <c r="Q121" s="127"/>
      <c r="R121" s="127"/>
      <c r="S121" s="127"/>
      <c r="T121" s="127"/>
      <c r="U121" s="127"/>
    </row>
    <row r="122" ht="14.25" customHeight="1">
      <c r="C122" s="126"/>
      <c r="D122" s="126"/>
      <c r="F122" s="127"/>
      <c r="G122" s="127"/>
      <c r="H122" s="127"/>
      <c r="I122" s="127"/>
      <c r="J122" s="126"/>
      <c r="P122" s="127"/>
      <c r="Q122" s="127"/>
      <c r="R122" s="127"/>
      <c r="S122" s="127"/>
      <c r="T122" s="127"/>
      <c r="U122" s="127"/>
    </row>
    <row r="123" ht="14.25" customHeight="1">
      <c r="C123" s="126"/>
      <c r="D123" s="126"/>
      <c r="F123" s="127"/>
      <c r="G123" s="127"/>
      <c r="H123" s="127"/>
      <c r="I123" s="127"/>
      <c r="J123" s="126"/>
      <c r="P123" s="127"/>
      <c r="Q123" s="127"/>
      <c r="R123" s="127"/>
      <c r="S123" s="127"/>
      <c r="T123" s="127"/>
      <c r="U123" s="127"/>
    </row>
    <row r="124" ht="14.25" customHeight="1">
      <c r="C124" s="126"/>
      <c r="D124" s="126"/>
      <c r="F124" s="127"/>
      <c r="G124" s="127"/>
      <c r="H124" s="127"/>
      <c r="I124" s="127"/>
      <c r="J124" s="126"/>
      <c r="P124" s="127"/>
      <c r="Q124" s="127"/>
      <c r="R124" s="127"/>
      <c r="S124" s="127"/>
      <c r="T124" s="127"/>
      <c r="U124" s="127"/>
    </row>
    <row r="125" ht="14.25" customHeight="1">
      <c r="C125" s="126"/>
      <c r="D125" s="126"/>
      <c r="F125" s="127"/>
      <c r="G125" s="127"/>
      <c r="H125" s="127"/>
      <c r="I125" s="127"/>
      <c r="J125" s="126"/>
      <c r="P125" s="127"/>
      <c r="Q125" s="127"/>
      <c r="R125" s="127"/>
      <c r="S125" s="127"/>
      <c r="T125" s="127"/>
      <c r="U125" s="127"/>
    </row>
    <row r="126" ht="14.25" customHeight="1">
      <c r="C126" s="126"/>
      <c r="D126" s="126"/>
      <c r="F126" s="127"/>
      <c r="G126" s="127"/>
      <c r="H126" s="127"/>
      <c r="I126" s="127"/>
      <c r="J126" s="126"/>
      <c r="P126" s="127"/>
      <c r="Q126" s="127"/>
      <c r="R126" s="127"/>
      <c r="S126" s="127"/>
      <c r="T126" s="127"/>
      <c r="U126" s="127"/>
    </row>
    <row r="127" ht="14.25" customHeight="1">
      <c r="C127" s="126"/>
      <c r="D127" s="126"/>
      <c r="F127" s="127"/>
      <c r="G127" s="127"/>
      <c r="H127" s="127"/>
      <c r="I127" s="127"/>
      <c r="J127" s="126"/>
      <c r="P127" s="127"/>
      <c r="Q127" s="127"/>
      <c r="R127" s="127"/>
      <c r="S127" s="127"/>
      <c r="T127" s="127"/>
      <c r="U127" s="127"/>
    </row>
    <row r="128" ht="14.25" customHeight="1">
      <c r="C128" s="126"/>
      <c r="D128" s="126"/>
      <c r="F128" s="127"/>
      <c r="G128" s="127"/>
      <c r="H128" s="127"/>
      <c r="I128" s="127"/>
      <c r="J128" s="126"/>
      <c r="P128" s="127"/>
      <c r="Q128" s="127"/>
      <c r="R128" s="127"/>
      <c r="S128" s="127"/>
      <c r="T128" s="127"/>
      <c r="U128" s="127"/>
    </row>
    <row r="129" ht="14.25" customHeight="1">
      <c r="C129" s="126"/>
      <c r="D129" s="126"/>
      <c r="F129" s="127"/>
      <c r="G129" s="127"/>
      <c r="H129" s="127"/>
      <c r="I129" s="127"/>
      <c r="J129" s="126"/>
      <c r="P129" s="127"/>
      <c r="Q129" s="127"/>
      <c r="R129" s="127"/>
      <c r="S129" s="127"/>
      <c r="T129" s="127"/>
      <c r="U129" s="127"/>
    </row>
    <row r="130" ht="14.25" customHeight="1">
      <c r="C130" s="126"/>
      <c r="D130" s="126"/>
      <c r="F130" s="127"/>
      <c r="G130" s="127"/>
      <c r="H130" s="127"/>
      <c r="I130" s="127"/>
      <c r="J130" s="126"/>
      <c r="P130" s="127"/>
      <c r="Q130" s="127"/>
      <c r="R130" s="127"/>
      <c r="S130" s="127"/>
      <c r="T130" s="127"/>
      <c r="U130" s="127"/>
    </row>
    <row r="131" ht="14.25" customHeight="1">
      <c r="C131" s="126"/>
      <c r="D131" s="126"/>
      <c r="F131" s="127"/>
      <c r="G131" s="127"/>
      <c r="H131" s="127"/>
      <c r="I131" s="127"/>
      <c r="J131" s="126"/>
      <c r="P131" s="127"/>
      <c r="Q131" s="127"/>
      <c r="R131" s="127"/>
      <c r="S131" s="127"/>
      <c r="T131" s="127"/>
      <c r="U131" s="127"/>
    </row>
    <row r="132" ht="14.25" customHeight="1">
      <c r="C132" s="126"/>
      <c r="D132" s="126"/>
      <c r="F132" s="127"/>
      <c r="G132" s="127"/>
      <c r="H132" s="127"/>
      <c r="I132" s="127"/>
      <c r="J132" s="126"/>
      <c r="P132" s="127"/>
      <c r="Q132" s="127"/>
      <c r="R132" s="127"/>
      <c r="S132" s="127"/>
      <c r="T132" s="127"/>
      <c r="U132" s="127"/>
    </row>
    <row r="133" ht="14.25" customHeight="1">
      <c r="C133" s="126"/>
      <c r="D133" s="126"/>
      <c r="F133" s="127"/>
      <c r="G133" s="127"/>
      <c r="H133" s="127"/>
      <c r="I133" s="127"/>
      <c r="J133" s="126"/>
      <c r="P133" s="127"/>
      <c r="Q133" s="127"/>
      <c r="R133" s="127"/>
      <c r="S133" s="127"/>
      <c r="T133" s="127"/>
      <c r="U133" s="127"/>
    </row>
    <row r="134" ht="14.25" customHeight="1">
      <c r="C134" s="126"/>
      <c r="D134" s="126"/>
      <c r="F134" s="127"/>
      <c r="G134" s="127"/>
      <c r="H134" s="127"/>
      <c r="I134" s="127"/>
      <c r="J134" s="126"/>
      <c r="P134" s="127"/>
      <c r="Q134" s="127"/>
      <c r="R134" s="127"/>
      <c r="S134" s="127"/>
      <c r="T134" s="127"/>
      <c r="U134" s="127"/>
    </row>
    <row r="135" ht="14.25" customHeight="1">
      <c r="C135" s="126"/>
      <c r="D135" s="126"/>
      <c r="F135" s="127"/>
      <c r="G135" s="127"/>
      <c r="H135" s="127"/>
      <c r="I135" s="127"/>
      <c r="J135" s="126"/>
      <c r="P135" s="127"/>
      <c r="Q135" s="127"/>
      <c r="R135" s="127"/>
      <c r="S135" s="127"/>
      <c r="T135" s="127"/>
      <c r="U135" s="127"/>
    </row>
    <row r="136" ht="14.25" customHeight="1">
      <c r="C136" s="126"/>
      <c r="D136" s="126"/>
      <c r="F136" s="127"/>
      <c r="G136" s="127"/>
      <c r="H136" s="127"/>
      <c r="I136" s="127"/>
      <c r="J136" s="126"/>
      <c r="P136" s="127"/>
      <c r="Q136" s="127"/>
      <c r="R136" s="127"/>
      <c r="S136" s="127"/>
      <c r="T136" s="127"/>
      <c r="U136" s="127"/>
    </row>
    <row r="137" ht="14.25" customHeight="1">
      <c r="C137" s="126"/>
      <c r="D137" s="126"/>
      <c r="F137" s="127"/>
      <c r="G137" s="127"/>
      <c r="H137" s="127"/>
      <c r="I137" s="127"/>
      <c r="J137" s="126"/>
      <c r="P137" s="127"/>
      <c r="Q137" s="127"/>
      <c r="R137" s="127"/>
      <c r="S137" s="127"/>
      <c r="T137" s="127"/>
      <c r="U137" s="127"/>
    </row>
    <row r="138" ht="14.25" customHeight="1">
      <c r="C138" s="126"/>
      <c r="D138" s="126"/>
      <c r="F138" s="127"/>
      <c r="G138" s="127"/>
      <c r="H138" s="127"/>
      <c r="I138" s="127"/>
      <c r="J138" s="126"/>
      <c r="P138" s="127"/>
      <c r="Q138" s="127"/>
      <c r="R138" s="127"/>
      <c r="S138" s="127"/>
      <c r="T138" s="127"/>
      <c r="U138" s="127"/>
    </row>
    <row r="139" ht="14.25" customHeight="1">
      <c r="C139" s="126"/>
      <c r="D139" s="126"/>
      <c r="F139" s="127"/>
      <c r="G139" s="127"/>
      <c r="H139" s="127"/>
      <c r="I139" s="127"/>
      <c r="J139" s="126"/>
      <c r="P139" s="127"/>
      <c r="Q139" s="127"/>
      <c r="R139" s="127"/>
      <c r="S139" s="127"/>
      <c r="T139" s="127"/>
      <c r="U139" s="127"/>
    </row>
    <row r="140" ht="14.25" customHeight="1">
      <c r="C140" s="126"/>
      <c r="D140" s="126"/>
      <c r="F140" s="127"/>
      <c r="G140" s="127"/>
      <c r="H140" s="127"/>
      <c r="I140" s="127"/>
      <c r="J140" s="126"/>
      <c r="P140" s="127"/>
      <c r="Q140" s="127"/>
      <c r="R140" s="127"/>
      <c r="S140" s="127"/>
      <c r="T140" s="127"/>
      <c r="U140" s="127"/>
    </row>
    <row r="141" ht="14.25" customHeight="1">
      <c r="C141" s="126"/>
      <c r="D141" s="126"/>
      <c r="F141" s="127"/>
      <c r="G141" s="127"/>
      <c r="H141" s="127"/>
      <c r="I141" s="127"/>
      <c r="J141" s="126"/>
      <c r="P141" s="127"/>
      <c r="Q141" s="127"/>
      <c r="R141" s="127"/>
      <c r="S141" s="127"/>
      <c r="T141" s="127"/>
      <c r="U141" s="127"/>
    </row>
    <row r="142" ht="14.25" customHeight="1">
      <c r="C142" s="126"/>
      <c r="D142" s="126"/>
      <c r="F142" s="127"/>
      <c r="G142" s="127"/>
      <c r="H142" s="127"/>
      <c r="I142" s="127"/>
      <c r="J142" s="126"/>
      <c r="P142" s="127"/>
      <c r="Q142" s="127"/>
      <c r="R142" s="127"/>
      <c r="S142" s="127"/>
      <c r="T142" s="127"/>
      <c r="U142" s="127"/>
    </row>
    <row r="143" ht="14.25" customHeight="1">
      <c r="C143" s="126"/>
      <c r="D143" s="126"/>
      <c r="F143" s="127"/>
      <c r="G143" s="127"/>
      <c r="H143" s="127"/>
      <c r="I143" s="127"/>
      <c r="J143" s="126"/>
      <c r="P143" s="127"/>
      <c r="Q143" s="127"/>
      <c r="R143" s="127"/>
      <c r="S143" s="127"/>
      <c r="T143" s="127"/>
      <c r="U143" s="127"/>
    </row>
    <row r="144" ht="14.25" customHeight="1">
      <c r="C144" s="126"/>
      <c r="D144" s="126"/>
      <c r="F144" s="127"/>
      <c r="G144" s="127"/>
      <c r="H144" s="127"/>
      <c r="I144" s="127"/>
      <c r="J144" s="126"/>
      <c r="P144" s="127"/>
      <c r="Q144" s="127"/>
      <c r="R144" s="127"/>
      <c r="S144" s="127"/>
      <c r="T144" s="127"/>
      <c r="U144" s="127"/>
    </row>
    <row r="145" ht="14.25" customHeight="1">
      <c r="C145" s="126"/>
      <c r="D145" s="126"/>
      <c r="F145" s="127"/>
      <c r="G145" s="127"/>
      <c r="H145" s="127"/>
      <c r="I145" s="127"/>
      <c r="J145" s="126"/>
      <c r="P145" s="127"/>
      <c r="Q145" s="127"/>
      <c r="R145" s="127"/>
      <c r="S145" s="127"/>
      <c r="T145" s="127"/>
      <c r="U145" s="127"/>
    </row>
    <row r="146" ht="14.25" customHeight="1">
      <c r="C146" s="126"/>
      <c r="D146" s="126"/>
      <c r="F146" s="127"/>
      <c r="G146" s="127"/>
      <c r="H146" s="127"/>
      <c r="I146" s="127"/>
      <c r="J146" s="126"/>
      <c r="P146" s="127"/>
      <c r="Q146" s="127"/>
      <c r="R146" s="127"/>
      <c r="S146" s="127"/>
      <c r="T146" s="127"/>
      <c r="U146" s="127"/>
    </row>
    <row r="147" ht="14.25" customHeight="1">
      <c r="C147" s="126"/>
      <c r="D147" s="126"/>
      <c r="F147" s="127"/>
      <c r="G147" s="127"/>
      <c r="H147" s="127"/>
      <c r="I147" s="127"/>
      <c r="J147" s="126"/>
      <c r="P147" s="127"/>
      <c r="Q147" s="127"/>
      <c r="R147" s="127"/>
      <c r="S147" s="127"/>
      <c r="T147" s="127"/>
      <c r="U147" s="127"/>
    </row>
    <row r="148" ht="14.25" customHeight="1">
      <c r="C148" s="126"/>
      <c r="D148" s="126"/>
      <c r="F148" s="127"/>
      <c r="G148" s="127"/>
      <c r="H148" s="127"/>
      <c r="I148" s="127"/>
      <c r="J148" s="126"/>
      <c r="P148" s="127"/>
      <c r="Q148" s="127"/>
      <c r="R148" s="127"/>
      <c r="S148" s="127"/>
      <c r="T148" s="127"/>
      <c r="U148" s="127"/>
    </row>
    <row r="149" ht="14.25" customHeight="1">
      <c r="C149" s="126"/>
      <c r="D149" s="126"/>
      <c r="F149" s="127"/>
      <c r="G149" s="127"/>
      <c r="H149" s="127"/>
      <c r="I149" s="127"/>
      <c r="J149" s="126"/>
      <c r="P149" s="127"/>
      <c r="Q149" s="127"/>
      <c r="R149" s="127"/>
      <c r="S149" s="127"/>
      <c r="T149" s="127"/>
      <c r="U149" s="127"/>
    </row>
    <row r="150" ht="14.25" customHeight="1">
      <c r="C150" s="126"/>
      <c r="D150" s="126"/>
      <c r="F150" s="127"/>
      <c r="G150" s="127"/>
      <c r="H150" s="127"/>
      <c r="I150" s="127"/>
      <c r="J150" s="126"/>
      <c r="P150" s="127"/>
      <c r="Q150" s="127"/>
      <c r="R150" s="127"/>
      <c r="S150" s="127"/>
      <c r="T150" s="127"/>
      <c r="U150" s="127"/>
    </row>
    <row r="151" ht="14.25" customHeight="1">
      <c r="C151" s="126"/>
      <c r="D151" s="126"/>
      <c r="F151" s="127"/>
      <c r="G151" s="127"/>
      <c r="H151" s="127"/>
      <c r="I151" s="127"/>
      <c r="J151" s="126"/>
      <c r="P151" s="127"/>
      <c r="Q151" s="127"/>
      <c r="R151" s="127"/>
      <c r="S151" s="127"/>
      <c r="T151" s="127"/>
      <c r="U151" s="127"/>
    </row>
    <row r="152" ht="14.25" customHeight="1">
      <c r="C152" s="126"/>
      <c r="D152" s="126"/>
      <c r="F152" s="127"/>
      <c r="G152" s="127"/>
      <c r="H152" s="127"/>
      <c r="I152" s="127"/>
      <c r="J152" s="126"/>
      <c r="P152" s="127"/>
      <c r="Q152" s="127"/>
      <c r="R152" s="127"/>
      <c r="S152" s="127"/>
      <c r="T152" s="127"/>
      <c r="U152" s="127"/>
    </row>
    <row r="153" ht="14.25" customHeight="1">
      <c r="C153" s="126"/>
      <c r="D153" s="126"/>
      <c r="F153" s="127"/>
      <c r="G153" s="127"/>
      <c r="H153" s="127"/>
      <c r="I153" s="127"/>
      <c r="J153" s="126"/>
      <c r="P153" s="127"/>
      <c r="Q153" s="127"/>
      <c r="R153" s="127"/>
      <c r="S153" s="127"/>
      <c r="T153" s="127"/>
      <c r="U153" s="127"/>
    </row>
    <row r="154" ht="14.25" customHeight="1">
      <c r="C154" s="126"/>
      <c r="D154" s="126"/>
      <c r="F154" s="127"/>
      <c r="G154" s="127"/>
      <c r="H154" s="127"/>
      <c r="I154" s="127"/>
      <c r="J154" s="126"/>
      <c r="P154" s="127"/>
      <c r="Q154" s="127"/>
      <c r="R154" s="127"/>
      <c r="S154" s="127"/>
      <c r="T154" s="127"/>
      <c r="U154" s="127"/>
    </row>
    <row r="155" ht="14.25" customHeight="1">
      <c r="C155" s="126"/>
      <c r="D155" s="126"/>
      <c r="F155" s="127"/>
      <c r="G155" s="127"/>
      <c r="H155" s="127"/>
      <c r="I155" s="127"/>
      <c r="J155" s="126"/>
      <c r="P155" s="127"/>
      <c r="Q155" s="127"/>
      <c r="R155" s="127"/>
      <c r="S155" s="127"/>
      <c r="T155" s="127"/>
      <c r="U155" s="127"/>
    </row>
    <row r="156" ht="14.25" customHeight="1">
      <c r="C156" s="126"/>
      <c r="D156" s="126"/>
      <c r="F156" s="127"/>
      <c r="G156" s="127"/>
      <c r="H156" s="127"/>
      <c r="I156" s="127"/>
      <c r="J156" s="126"/>
      <c r="P156" s="127"/>
      <c r="Q156" s="127"/>
      <c r="R156" s="127"/>
      <c r="S156" s="127"/>
      <c r="T156" s="127"/>
      <c r="U156" s="127"/>
    </row>
    <row r="157" ht="14.25" customHeight="1">
      <c r="C157" s="126"/>
      <c r="D157" s="126"/>
      <c r="F157" s="127"/>
      <c r="G157" s="127"/>
      <c r="H157" s="127"/>
      <c r="I157" s="127"/>
      <c r="J157" s="126"/>
      <c r="P157" s="127"/>
      <c r="Q157" s="127"/>
      <c r="R157" s="127"/>
      <c r="S157" s="127"/>
      <c r="T157" s="127"/>
      <c r="U157" s="127"/>
    </row>
    <row r="158" ht="14.25" customHeight="1">
      <c r="C158" s="126"/>
      <c r="D158" s="126"/>
      <c r="F158" s="127"/>
      <c r="G158" s="127"/>
      <c r="H158" s="127"/>
      <c r="I158" s="127"/>
      <c r="J158" s="126"/>
      <c r="P158" s="127"/>
      <c r="Q158" s="127"/>
      <c r="R158" s="127"/>
      <c r="S158" s="127"/>
      <c r="T158" s="127"/>
      <c r="U158" s="127"/>
    </row>
    <row r="159" ht="14.25" customHeight="1">
      <c r="C159" s="126"/>
      <c r="D159" s="126"/>
      <c r="F159" s="127"/>
      <c r="G159" s="127"/>
      <c r="H159" s="127"/>
      <c r="I159" s="127"/>
      <c r="J159" s="126"/>
      <c r="P159" s="127"/>
      <c r="Q159" s="127"/>
      <c r="R159" s="127"/>
      <c r="S159" s="127"/>
      <c r="T159" s="127"/>
      <c r="U159" s="127"/>
    </row>
    <row r="160" ht="14.25" customHeight="1">
      <c r="C160" s="126"/>
      <c r="D160" s="126"/>
      <c r="F160" s="127"/>
      <c r="G160" s="127"/>
      <c r="H160" s="127"/>
      <c r="I160" s="127"/>
      <c r="J160" s="126"/>
      <c r="P160" s="127"/>
      <c r="Q160" s="127"/>
      <c r="R160" s="127"/>
      <c r="S160" s="127"/>
      <c r="T160" s="127"/>
      <c r="U160" s="127"/>
    </row>
    <row r="161" ht="14.25" customHeight="1">
      <c r="C161" s="126"/>
      <c r="D161" s="126"/>
      <c r="F161" s="127"/>
      <c r="G161" s="127"/>
      <c r="H161" s="127"/>
      <c r="I161" s="127"/>
      <c r="J161" s="126"/>
      <c r="P161" s="127"/>
      <c r="Q161" s="127"/>
      <c r="R161" s="127"/>
      <c r="S161" s="127"/>
      <c r="T161" s="127"/>
      <c r="U161" s="127"/>
    </row>
    <row r="162" ht="14.25" customHeight="1">
      <c r="C162" s="126"/>
      <c r="D162" s="126"/>
      <c r="F162" s="127"/>
      <c r="G162" s="127"/>
      <c r="H162" s="127"/>
      <c r="I162" s="127"/>
      <c r="J162" s="126"/>
      <c r="P162" s="127"/>
      <c r="Q162" s="127"/>
      <c r="R162" s="127"/>
      <c r="S162" s="127"/>
      <c r="T162" s="127"/>
      <c r="U162" s="127"/>
    </row>
    <row r="163" ht="14.25" customHeight="1">
      <c r="C163" s="126"/>
      <c r="D163" s="126"/>
      <c r="F163" s="127"/>
      <c r="G163" s="127"/>
      <c r="H163" s="127"/>
      <c r="I163" s="127"/>
      <c r="J163" s="126"/>
      <c r="P163" s="127"/>
      <c r="Q163" s="127"/>
      <c r="R163" s="127"/>
      <c r="S163" s="127"/>
      <c r="T163" s="127"/>
      <c r="U163" s="127"/>
    </row>
    <row r="164" ht="14.25" customHeight="1">
      <c r="C164" s="126"/>
      <c r="D164" s="126"/>
      <c r="F164" s="127"/>
      <c r="G164" s="127"/>
      <c r="H164" s="127"/>
      <c r="I164" s="127"/>
      <c r="J164" s="126"/>
      <c r="P164" s="127"/>
      <c r="Q164" s="127"/>
      <c r="R164" s="127"/>
      <c r="S164" s="127"/>
      <c r="T164" s="127"/>
      <c r="U164" s="127"/>
    </row>
    <row r="165" ht="14.25" customHeight="1">
      <c r="C165" s="126"/>
      <c r="D165" s="126"/>
      <c r="F165" s="127"/>
      <c r="G165" s="127"/>
      <c r="H165" s="127"/>
      <c r="I165" s="127"/>
      <c r="J165" s="126"/>
      <c r="P165" s="127"/>
      <c r="Q165" s="127"/>
      <c r="R165" s="127"/>
      <c r="S165" s="127"/>
      <c r="T165" s="127"/>
      <c r="U165" s="127"/>
    </row>
    <row r="166" ht="14.25" customHeight="1">
      <c r="C166" s="126"/>
      <c r="D166" s="126"/>
      <c r="F166" s="127"/>
      <c r="G166" s="127"/>
      <c r="H166" s="127"/>
      <c r="I166" s="127"/>
      <c r="J166" s="126"/>
      <c r="P166" s="127"/>
      <c r="Q166" s="127"/>
      <c r="R166" s="127"/>
      <c r="S166" s="127"/>
      <c r="T166" s="127"/>
      <c r="U166" s="127"/>
    </row>
    <row r="167" ht="14.25" customHeight="1">
      <c r="C167" s="126"/>
      <c r="D167" s="126"/>
      <c r="F167" s="127"/>
      <c r="G167" s="127"/>
      <c r="H167" s="127"/>
      <c r="I167" s="127"/>
      <c r="J167" s="126"/>
      <c r="P167" s="127"/>
      <c r="Q167" s="127"/>
      <c r="R167" s="127"/>
      <c r="S167" s="127"/>
      <c r="T167" s="127"/>
      <c r="U167" s="127"/>
    </row>
    <row r="168" ht="14.25" customHeight="1">
      <c r="C168" s="126"/>
      <c r="D168" s="126"/>
      <c r="F168" s="127"/>
      <c r="G168" s="127"/>
      <c r="H168" s="127"/>
      <c r="I168" s="127"/>
      <c r="J168" s="126"/>
      <c r="P168" s="127"/>
      <c r="Q168" s="127"/>
      <c r="R168" s="127"/>
      <c r="S168" s="127"/>
      <c r="T168" s="127"/>
      <c r="U168" s="127"/>
    </row>
    <row r="169" ht="14.25" customHeight="1">
      <c r="C169" s="126"/>
      <c r="D169" s="126"/>
      <c r="F169" s="127"/>
      <c r="G169" s="127"/>
      <c r="H169" s="127"/>
      <c r="I169" s="127"/>
      <c r="J169" s="126"/>
      <c r="P169" s="127"/>
      <c r="Q169" s="127"/>
      <c r="R169" s="127"/>
      <c r="S169" s="127"/>
      <c r="T169" s="127"/>
      <c r="U169" s="127"/>
    </row>
    <row r="170" ht="14.25" customHeight="1">
      <c r="C170" s="126"/>
      <c r="D170" s="126"/>
      <c r="F170" s="127"/>
      <c r="G170" s="127"/>
      <c r="H170" s="127"/>
      <c r="I170" s="127"/>
      <c r="J170" s="126"/>
      <c r="P170" s="127"/>
      <c r="Q170" s="127"/>
      <c r="R170" s="127"/>
      <c r="S170" s="127"/>
      <c r="T170" s="127"/>
      <c r="U170" s="127"/>
    </row>
    <row r="171" ht="14.25" customHeight="1">
      <c r="C171" s="126"/>
      <c r="D171" s="126"/>
      <c r="F171" s="127"/>
      <c r="G171" s="127"/>
      <c r="H171" s="127"/>
      <c r="I171" s="127"/>
      <c r="J171" s="126"/>
      <c r="P171" s="127"/>
      <c r="Q171" s="127"/>
      <c r="R171" s="127"/>
      <c r="S171" s="127"/>
      <c r="T171" s="127"/>
      <c r="U171" s="127"/>
    </row>
    <row r="172" ht="14.25" customHeight="1">
      <c r="C172" s="126"/>
      <c r="D172" s="126"/>
      <c r="F172" s="127"/>
      <c r="G172" s="127"/>
      <c r="H172" s="127"/>
      <c r="I172" s="127"/>
      <c r="J172" s="126"/>
      <c r="P172" s="127"/>
      <c r="Q172" s="127"/>
      <c r="R172" s="127"/>
      <c r="S172" s="127"/>
      <c r="T172" s="127"/>
      <c r="U172" s="127"/>
    </row>
    <row r="173" ht="14.25" customHeight="1">
      <c r="C173" s="126"/>
      <c r="D173" s="126"/>
      <c r="F173" s="127"/>
      <c r="G173" s="127"/>
      <c r="H173" s="127"/>
      <c r="I173" s="127"/>
      <c r="J173" s="126"/>
      <c r="P173" s="127"/>
      <c r="Q173" s="127"/>
      <c r="R173" s="127"/>
      <c r="S173" s="127"/>
      <c r="T173" s="127"/>
      <c r="U173" s="127"/>
    </row>
    <row r="174" ht="14.25" customHeight="1">
      <c r="C174" s="126"/>
      <c r="D174" s="126"/>
      <c r="F174" s="127"/>
      <c r="G174" s="127"/>
      <c r="H174" s="127"/>
      <c r="I174" s="127"/>
      <c r="J174" s="126"/>
      <c r="P174" s="127"/>
      <c r="Q174" s="127"/>
      <c r="R174" s="127"/>
      <c r="S174" s="127"/>
      <c r="T174" s="127"/>
      <c r="U174" s="127"/>
    </row>
    <row r="175" ht="14.25" customHeight="1">
      <c r="C175" s="126"/>
      <c r="D175" s="126"/>
      <c r="F175" s="127"/>
      <c r="G175" s="127"/>
      <c r="H175" s="127"/>
      <c r="I175" s="127"/>
      <c r="J175" s="126"/>
      <c r="P175" s="127"/>
      <c r="Q175" s="127"/>
      <c r="R175" s="127"/>
      <c r="S175" s="127"/>
      <c r="T175" s="127"/>
      <c r="U175" s="127"/>
    </row>
    <row r="176" ht="14.25" customHeight="1">
      <c r="C176" s="126"/>
      <c r="D176" s="126"/>
      <c r="F176" s="127"/>
      <c r="G176" s="127"/>
      <c r="H176" s="127"/>
      <c r="I176" s="127"/>
      <c r="J176" s="126"/>
      <c r="P176" s="127"/>
      <c r="Q176" s="127"/>
      <c r="R176" s="127"/>
      <c r="S176" s="127"/>
      <c r="T176" s="127"/>
      <c r="U176" s="127"/>
    </row>
    <row r="177" ht="14.25" customHeight="1">
      <c r="C177" s="126"/>
      <c r="D177" s="126"/>
      <c r="F177" s="127"/>
      <c r="G177" s="127"/>
      <c r="H177" s="127"/>
      <c r="I177" s="127"/>
      <c r="J177" s="126"/>
      <c r="P177" s="127"/>
      <c r="Q177" s="127"/>
      <c r="R177" s="127"/>
      <c r="S177" s="127"/>
      <c r="T177" s="127"/>
      <c r="U177" s="127"/>
    </row>
    <row r="178" ht="14.25" customHeight="1">
      <c r="C178" s="126"/>
      <c r="D178" s="126"/>
      <c r="F178" s="127"/>
      <c r="G178" s="127"/>
      <c r="H178" s="127"/>
      <c r="I178" s="127"/>
      <c r="J178" s="126"/>
      <c r="P178" s="127"/>
      <c r="Q178" s="127"/>
      <c r="R178" s="127"/>
      <c r="S178" s="127"/>
      <c r="T178" s="127"/>
      <c r="U178" s="127"/>
    </row>
    <row r="179" ht="14.25" customHeight="1">
      <c r="C179" s="126"/>
      <c r="D179" s="126"/>
      <c r="F179" s="127"/>
      <c r="G179" s="127"/>
      <c r="H179" s="127"/>
      <c r="I179" s="127"/>
      <c r="J179" s="126"/>
      <c r="P179" s="127"/>
      <c r="Q179" s="127"/>
      <c r="R179" s="127"/>
      <c r="S179" s="127"/>
      <c r="T179" s="127"/>
      <c r="U179" s="127"/>
    </row>
    <row r="180" ht="14.25" customHeight="1">
      <c r="C180" s="126"/>
      <c r="D180" s="126"/>
      <c r="F180" s="127"/>
      <c r="G180" s="127"/>
      <c r="H180" s="127"/>
      <c r="I180" s="127"/>
      <c r="J180" s="126"/>
      <c r="P180" s="127"/>
      <c r="Q180" s="127"/>
      <c r="R180" s="127"/>
      <c r="S180" s="127"/>
      <c r="T180" s="127"/>
      <c r="U180" s="127"/>
    </row>
    <row r="181" ht="14.25" customHeight="1">
      <c r="C181" s="126"/>
      <c r="D181" s="126"/>
      <c r="F181" s="127"/>
      <c r="G181" s="127"/>
      <c r="H181" s="127"/>
      <c r="I181" s="127"/>
      <c r="J181" s="126"/>
      <c r="P181" s="127"/>
      <c r="Q181" s="127"/>
      <c r="R181" s="127"/>
      <c r="S181" s="127"/>
      <c r="T181" s="127"/>
      <c r="U181" s="127"/>
    </row>
    <row r="182" ht="14.25" customHeight="1">
      <c r="C182" s="126"/>
      <c r="D182" s="126"/>
      <c r="F182" s="127"/>
      <c r="G182" s="127"/>
      <c r="H182" s="127"/>
      <c r="I182" s="127"/>
      <c r="J182" s="126"/>
      <c r="P182" s="127"/>
      <c r="Q182" s="127"/>
      <c r="R182" s="127"/>
      <c r="S182" s="127"/>
      <c r="T182" s="127"/>
      <c r="U182" s="127"/>
    </row>
    <row r="183" ht="14.25" customHeight="1">
      <c r="C183" s="126"/>
      <c r="D183" s="126"/>
      <c r="F183" s="127"/>
      <c r="G183" s="127"/>
      <c r="H183" s="127"/>
      <c r="I183" s="127"/>
      <c r="J183" s="126"/>
      <c r="P183" s="127"/>
      <c r="Q183" s="127"/>
      <c r="R183" s="127"/>
      <c r="S183" s="127"/>
      <c r="T183" s="127"/>
      <c r="U183" s="127"/>
    </row>
    <row r="184" ht="14.25" customHeight="1">
      <c r="C184" s="126"/>
      <c r="D184" s="126"/>
      <c r="F184" s="127"/>
      <c r="G184" s="127"/>
      <c r="H184" s="127"/>
      <c r="I184" s="127"/>
      <c r="J184" s="126"/>
      <c r="P184" s="127"/>
      <c r="Q184" s="127"/>
      <c r="R184" s="127"/>
      <c r="S184" s="127"/>
      <c r="T184" s="127"/>
      <c r="U184" s="127"/>
    </row>
    <row r="185" ht="14.25" customHeight="1">
      <c r="C185" s="126"/>
      <c r="D185" s="126"/>
      <c r="F185" s="127"/>
      <c r="G185" s="127"/>
      <c r="H185" s="127"/>
      <c r="I185" s="127"/>
      <c r="J185" s="126"/>
      <c r="P185" s="127"/>
      <c r="Q185" s="127"/>
      <c r="R185" s="127"/>
      <c r="S185" s="127"/>
      <c r="T185" s="127"/>
      <c r="U185" s="127"/>
    </row>
    <row r="186" ht="14.25" customHeight="1">
      <c r="C186" s="126"/>
      <c r="D186" s="126"/>
      <c r="F186" s="127"/>
      <c r="G186" s="127"/>
      <c r="H186" s="127"/>
      <c r="I186" s="127"/>
      <c r="J186" s="126"/>
      <c r="P186" s="127"/>
      <c r="Q186" s="127"/>
      <c r="R186" s="127"/>
      <c r="S186" s="127"/>
      <c r="T186" s="127"/>
      <c r="U186" s="127"/>
    </row>
    <row r="187" ht="14.25" customHeight="1">
      <c r="C187" s="126"/>
      <c r="D187" s="126"/>
      <c r="F187" s="127"/>
      <c r="G187" s="127"/>
      <c r="H187" s="127"/>
      <c r="I187" s="127"/>
      <c r="J187" s="126"/>
      <c r="P187" s="127"/>
      <c r="Q187" s="127"/>
      <c r="R187" s="127"/>
      <c r="S187" s="127"/>
      <c r="T187" s="127"/>
      <c r="U187" s="127"/>
    </row>
    <row r="188" ht="14.25" customHeight="1">
      <c r="C188" s="126"/>
      <c r="D188" s="126"/>
      <c r="F188" s="127"/>
      <c r="G188" s="127"/>
      <c r="H188" s="127"/>
      <c r="I188" s="127"/>
      <c r="J188" s="126"/>
      <c r="P188" s="127"/>
      <c r="Q188" s="127"/>
      <c r="R188" s="127"/>
      <c r="S188" s="127"/>
      <c r="T188" s="127"/>
      <c r="U188" s="127"/>
    </row>
    <row r="189" ht="14.25" customHeight="1">
      <c r="C189" s="126"/>
      <c r="D189" s="126"/>
      <c r="F189" s="127"/>
      <c r="G189" s="127"/>
      <c r="H189" s="127"/>
      <c r="I189" s="127"/>
      <c r="J189" s="126"/>
      <c r="P189" s="127"/>
      <c r="Q189" s="127"/>
      <c r="R189" s="127"/>
      <c r="S189" s="127"/>
      <c r="T189" s="127"/>
      <c r="U189" s="127"/>
    </row>
    <row r="190" ht="14.25" customHeight="1">
      <c r="C190" s="126"/>
      <c r="D190" s="126"/>
      <c r="F190" s="127"/>
      <c r="G190" s="127"/>
      <c r="H190" s="127"/>
      <c r="I190" s="127"/>
      <c r="J190" s="126"/>
      <c r="P190" s="127"/>
      <c r="Q190" s="127"/>
      <c r="R190" s="127"/>
      <c r="S190" s="127"/>
      <c r="T190" s="127"/>
      <c r="U190" s="127"/>
    </row>
    <row r="191" ht="14.25" customHeight="1">
      <c r="C191" s="126"/>
      <c r="D191" s="126"/>
      <c r="F191" s="127"/>
      <c r="G191" s="127"/>
      <c r="H191" s="127"/>
      <c r="I191" s="127"/>
      <c r="J191" s="126"/>
      <c r="P191" s="127"/>
      <c r="Q191" s="127"/>
      <c r="R191" s="127"/>
      <c r="S191" s="127"/>
      <c r="T191" s="127"/>
      <c r="U191" s="127"/>
    </row>
    <row r="192" ht="14.25" customHeight="1">
      <c r="C192" s="126"/>
      <c r="D192" s="126"/>
      <c r="F192" s="127"/>
      <c r="G192" s="127"/>
      <c r="H192" s="127"/>
      <c r="I192" s="127"/>
      <c r="J192" s="126"/>
      <c r="P192" s="127"/>
      <c r="Q192" s="127"/>
      <c r="R192" s="127"/>
      <c r="S192" s="127"/>
      <c r="T192" s="127"/>
      <c r="U192" s="127"/>
    </row>
    <row r="193" ht="14.25" customHeight="1">
      <c r="C193" s="126"/>
      <c r="D193" s="126"/>
      <c r="F193" s="127"/>
      <c r="G193" s="127"/>
      <c r="H193" s="127"/>
      <c r="I193" s="127"/>
      <c r="J193" s="126"/>
      <c r="P193" s="127"/>
      <c r="Q193" s="127"/>
      <c r="R193" s="127"/>
      <c r="S193" s="127"/>
      <c r="T193" s="127"/>
      <c r="U193" s="127"/>
    </row>
    <row r="194" ht="14.25" customHeight="1">
      <c r="C194" s="126"/>
      <c r="D194" s="126"/>
      <c r="F194" s="127"/>
      <c r="G194" s="127"/>
      <c r="H194" s="127"/>
      <c r="I194" s="127"/>
      <c r="J194" s="126"/>
      <c r="P194" s="127"/>
      <c r="Q194" s="127"/>
      <c r="R194" s="127"/>
      <c r="S194" s="127"/>
      <c r="T194" s="127"/>
      <c r="U194" s="127"/>
    </row>
    <row r="195" ht="14.25" customHeight="1">
      <c r="C195" s="126"/>
      <c r="D195" s="126"/>
      <c r="F195" s="127"/>
      <c r="G195" s="127"/>
      <c r="H195" s="127"/>
      <c r="I195" s="127"/>
      <c r="J195" s="126"/>
      <c r="P195" s="127"/>
      <c r="Q195" s="127"/>
      <c r="R195" s="127"/>
      <c r="S195" s="127"/>
      <c r="T195" s="127"/>
      <c r="U195" s="127"/>
    </row>
    <row r="196" ht="14.25" customHeight="1">
      <c r="C196" s="126"/>
      <c r="D196" s="126"/>
      <c r="F196" s="127"/>
      <c r="G196" s="127"/>
      <c r="H196" s="127"/>
      <c r="I196" s="127"/>
      <c r="J196" s="126"/>
      <c r="P196" s="127"/>
      <c r="Q196" s="127"/>
      <c r="R196" s="127"/>
      <c r="S196" s="127"/>
      <c r="T196" s="127"/>
      <c r="U196" s="127"/>
    </row>
    <row r="197" ht="14.25" customHeight="1">
      <c r="C197" s="126"/>
      <c r="D197" s="126"/>
      <c r="F197" s="127"/>
      <c r="G197" s="127"/>
      <c r="H197" s="127"/>
      <c r="I197" s="127"/>
      <c r="J197" s="126"/>
      <c r="P197" s="127"/>
      <c r="Q197" s="127"/>
      <c r="R197" s="127"/>
      <c r="S197" s="127"/>
      <c r="T197" s="127"/>
      <c r="U197" s="127"/>
    </row>
    <row r="198" ht="14.25" customHeight="1">
      <c r="C198" s="126"/>
      <c r="D198" s="126"/>
      <c r="F198" s="127"/>
      <c r="G198" s="127"/>
      <c r="H198" s="127"/>
      <c r="I198" s="127"/>
      <c r="J198" s="126"/>
      <c r="P198" s="127"/>
      <c r="Q198" s="127"/>
      <c r="R198" s="127"/>
      <c r="S198" s="127"/>
      <c r="T198" s="127"/>
      <c r="U198" s="127"/>
    </row>
    <row r="199" ht="14.25" customHeight="1">
      <c r="C199" s="126"/>
      <c r="D199" s="126"/>
      <c r="F199" s="127"/>
      <c r="G199" s="127"/>
      <c r="H199" s="127"/>
      <c r="I199" s="127"/>
      <c r="J199" s="126"/>
      <c r="P199" s="127"/>
      <c r="Q199" s="127"/>
      <c r="R199" s="127"/>
      <c r="S199" s="127"/>
      <c r="T199" s="127"/>
      <c r="U199" s="127"/>
    </row>
    <row r="200" ht="14.25" customHeight="1">
      <c r="C200" s="126"/>
      <c r="D200" s="126"/>
      <c r="F200" s="127"/>
      <c r="G200" s="127"/>
      <c r="H200" s="127"/>
      <c r="I200" s="127"/>
      <c r="J200" s="126"/>
      <c r="P200" s="127"/>
      <c r="Q200" s="127"/>
      <c r="R200" s="127"/>
      <c r="S200" s="127"/>
      <c r="T200" s="127"/>
      <c r="U200" s="127"/>
    </row>
    <row r="201" ht="14.25" customHeight="1">
      <c r="C201" s="126"/>
      <c r="D201" s="126"/>
      <c r="F201" s="127"/>
      <c r="G201" s="127"/>
      <c r="H201" s="127"/>
      <c r="I201" s="127"/>
      <c r="J201" s="126"/>
      <c r="P201" s="127"/>
      <c r="Q201" s="127"/>
      <c r="R201" s="127"/>
      <c r="S201" s="127"/>
      <c r="T201" s="127"/>
      <c r="U201" s="127"/>
    </row>
    <row r="202" ht="14.25" customHeight="1">
      <c r="C202" s="126"/>
      <c r="D202" s="126"/>
      <c r="F202" s="127"/>
      <c r="G202" s="127"/>
      <c r="H202" s="127"/>
      <c r="I202" s="127"/>
      <c r="J202" s="126"/>
      <c r="P202" s="127"/>
      <c r="Q202" s="127"/>
      <c r="R202" s="127"/>
      <c r="S202" s="127"/>
      <c r="T202" s="127"/>
      <c r="U202" s="127"/>
    </row>
    <row r="203" ht="14.25" customHeight="1">
      <c r="C203" s="126"/>
      <c r="D203" s="126"/>
      <c r="F203" s="127"/>
      <c r="G203" s="127"/>
      <c r="H203" s="127"/>
      <c r="I203" s="127"/>
      <c r="J203" s="126"/>
      <c r="P203" s="127"/>
      <c r="Q203" s="127"/>
      <c r="R203" s="127"/>
      <c r="S203" s="127"/>
      <c r="T203" s="127"/>
      <c r="U203" s="127"/>
    </row>
    <row r="204" ht="14.25" customHeight="1">
      <c r="C204" s="126"/>
      <c r="D204" s="126"/>
      <c r="F204" s="127"/>
      <c r="G204" s="127"/>
      <c r="H204" s="127"/>
      <c r="I204" s="127"/>
      <c r="J204" s="126"/>
      <c r="P204" s="127"/>
      <c r="Q204" s="127"/>
      <c r="R204" s="127"/>
      <c r="S204" s="127"/>
      <c r="T204" s="127"/>
      <c r="U204" s="127"/>
    </row>
    <row r="205" ht="14.25" customHeight="1">
      <c r="C205" s="126"/>
      <c r="D205" s="126"/>
      <c r="F205" s="127"/>
      <c r="G205" s="127"/>
      <c r="H205" s="127"/>
      <c r="I205" s="127"/>
      <c r="J205" s="126"/>
      <c r="P205" s="127"/>
      <c r="Q205" s="127"/>
      <c r="R205" s="127"/>
      <c r="S205" s="127"/>
      <c r="T205" s="127"/>
      <c r="U205" s="127"/>
    </row>
    <row r="206" ht="14.25" customHeight="1">
      <c r="C206" s="126"/>
      <c r="D206" s="126"/>
      <c r="F206" s="127"/>
      <c r="G206" s="127"/>
      <c r="H206" s="127"/>
      <c r="I206" s="127"/>
      <c r="J206" s="126"/>
      <c r="P206" s="127"/>
      <c r="Q206" s="127"/>
      <c r="R206" s="127"/>
      <c r="S206" s="127"/>
      <c r="T206" s="127"/>
      <c r="U206" s="127"/>
    </row>
    <row r="207" ht="14.25" customHeight="1">
      <c r="C207" s="126"/>
      <c r="D207" s="126"/>
      <c r="F207" s="127"/>
      <c r="G207" s="127"/>
      <c r="H207" s="127"/>
      <c r="I207" s="127"/>
      <c r="J207" s="126"/>
      <c r="P207" s="127"/>
      <c r="Q207" s="127"/>
      <c r="R207" s="127"/>
      <c r="S207" s="127"/>
      <c r="T207" s="127"/>
      <c r="U207" s="127"/>
    </row>
    <row r="208" ht="14.25" customHeight="1">
      <c r="C208" s="126"/>
      <c r="D208" s="126"/>
      <c r="F208" s="127"/>
      <c r="G208" s="127"/>
      <c r="H208" s="127"/>
      <c r="I208" s="127"/>
      <c r="J208" s="126"/>
      <c r="P208" s="127"/>
      <c r="Q208" s="127"/>
      <c r="R208" s="127"/>
      <c r="S208" s="127"/>
      <c r="T208" s="127"/>
      <c r="U208" s="127"/>
    </row>
    <row r="209" ht="14.25" customHeight="1">
      <c r="C209" s="126"/>
      <c r="D209" s="126"/>
      <c r="F209" s="127"/>
      <c r="G209" s="127"/>
      <c r="H209" s="127"/>
      <c r="I209" s="127"/>
      <c r="J209" s="126"/>
      <c r="P209" s="127"/>
      <c r="Q209" s="127"/>
      <c r="R209" s="127"/>
      <c r="S209" s="127"/>
      <c r="T209" s="127"/>
      <c r="U209" s="127"/>
    </row>
    <row r="210" ht="14.25" customHeight="1">
      <c r="C210" s="126"/>
      <c r="D210" s="126"/>
      <c r="F210" s="127"/>
      <c r="G210" s="127"/>
      <c r="H210" s="127"/>
      <c r="I210" s="127"/>
      <c r="J210" s="126"/>
      <c r="P210" s="127"/>
      <c r="Q210" s="127"/>
      <c r="R210" s="127"/>
      <c r="S210" s="127"/>
      <c r="T210" s="127"/>
      <c r="U210" s="127"/>
    </row>
    <row r="211" ht="14.25" customHeight="1">
      <c r="C211" s="126"/>
      <c r="D211" s="126"/>
      <c r="F211" s="127"/>
      <c r="G211" s="127"/>
      <c r="H211" s="127"/>
      <c r="I211" s="127"/>
      <c r="J211" s="126"/>
      <c r="P211" s="127"/>
      <c r="Q211" s="127"/>
      <c r="R211" s="127"/>
      <c r="S211" s="127"/>
      <c r="T211" s="127"/>
      <c r="U211" s="127"/>
    </row>
    <row r="212" ht="14.25" customHeight="1">
      <c r="C212" s="126"/>
      <c r="D212" s="126"/>
      <c r="F212" s="127"/>
      <c r="G212" s="127"/>
      <c r="H212" s="127"/>
      <c r="I212" s="127"/>
      <c r="J212" s="126"/>
      <c r="P212" s="127"/>
      <c r="Q212" s="127"/>
      <c r="R212" s="127"/>
      <c r="S212" s="127"/>
      <c r="T212" s="127"/>
      <c r="U212" s="127"/>
    </row>
    <row r="213" ht="14.25" customHeight="1">
      <c r="C213" s="126"/>
      <c r="D213" s="126"/>
      <c r="F213" s="127"/>
      <c r="G213" s="127"/>
      <c r="H213" s="127"/>
      <c r="I213" s="127"/>
      <c r="J213" s="126"/>
      <c r="P213" s="127"/>
      <c r="Q213" s="127"/>
      <c r="R213" s="127"/>
      <c r="S213" s="127"/>
      <c r="T213" s="127"/>
      <c r="U213" s="127"/>
    </row>
    <row r="214" ht="14.25" customHeight="1">
      <c r="C214" s="126"/>
      <c r="D214" s="126"/>
      <c r="F214" s="127"/>
      <c r="G214" s="127"/>
      <c r="H214" s="127"/>
      <c r="I214" s="127"/>
      <c r="J214" s="126"/>
      <c r="P214" s="127"/>
      <c r="Q214" s="127"/>
      <c r="R214" s="127"/>
      <c r="S214" s="127"/>
      <c r="T214" s="127"/>
      <c r="U214" s="127"/>
    </row>
    <row r="215" ht="14.25" customHeight="1">
      <c r="C215" s="126"/>
      <c r="D215" s="126"/>
      <c r="F215" s="127"/>
      <c r="G215" s="127"/>
      <c r="H215" s="127"/>
      <c r="I215" s="127"/>
      <c r="J215" s="126"/>
      <c r="P215" s="127"/>
      <c r="Q215" s="127"/>
      <c r="R215" s="127"/>
      <c r="S215" s="127"/>
      <c r="T215" s="127"/>
      <c r="U215" s="127"/>
    </row>
    <row r="216" ht="14.25" customHeight="1">
      <c r="C216" s="126"/>
      <c r="D216" s="126"/>
      <c r="F216" s="127"/>
      <c r="G216" s="127"/>
      <c r="H216" s="127"/>
      <c r="I216" s="127"/>
      <c r="J216" s="126"/>
      <c r="P216" s="127"/>
      <c r="Q216" s="127"/>
      <c r="R216" s="127"/>
      <c r="S216" s="127"/>
      <c r="T216" s="127"/>
      <c r="U216" s="127"/>
    </row>
    <row r="217" ht="14.25" customHeight="1">
      <c r="C217" s="126"/>
      <c r="D217" s="126"/>
      <c r="F217" s="127"/>
      <c r="G217" s="127"/>
      <c r="H217" s="127"/>
      <c r="I217" s="127"/>
      <c r="J217" s="126"/>
      <c r="P217" s="127"/>
      <c r="Q217" s="127"/>
      <c r="R217" s="127"/>
      <c r="S217" s="127"/>
      <c r="T217" s="127"/>
      <c r="U217" s="127"/>
    </row>
    <row r="218" ht="14.25" customHeight="1">
      <c r="C218" s="126"/>
      <c r="D218" s="126"/>
      <c r="F218" s="127"/>
      <c r="G218" s="127"/>
      <c r="H218" s="127"/>
      <c r="I218" s="127"/>
      <c r="J218" s="126"/>
      <c r="P218" s="127"/>
      <c r="Q218" s="127"/>
      <c r="R218" s="127"/>
      <c r="S218" s="127"/>
      <c r="T218" s="127"/>
      <c r="U218" s="127"/>
    </row>
    <row r="219" ht="14.25" customHeight="1">
      <c r="C219" s="126"/>
      <c r="D219" s="126"/>
      <c r="F219" s="127"/>
      <c r="G219" s="127"/>
      <c r="H219" s="127"/>
      <c r="I219" s="127"/>
      <c r="J219" s="126"/>
      <c r="P219" s="127"/>
      <c r="Q219" s="127"/>
      <c r="R219" s="127"/>
      <c r="S219" s="127"/>
      <c r="T219" s="127"/>
      <c r="U219" s="127"/>
    </row>
    <row r="220" ht="14.25" customHeight="1">
      <c r="C220" s="126"/>
      <c r="D220" s="126"/>
      <c r="F220" s="127"/>
      <c r="G220" s="127"/>
      <c r="H220" s="127"/>
      <c r="I220" s="127"/>
      <c r="J220" s="126"/>
      <c r="P220" s="127"/>
      <c r="Q220" s="127"/>
      <c r="R220" s="127"/>
      <c r="S220" s="127"/>
      <c r="T220" s="127"/>
      <c r="U220" s="127"/>
    </row>
    <row r="221" ht="14.25" customHeight="1">
      <c r="C221" s="126"/>
      <c r="D221" s="126"/>
      <c r="F221" s="127"/>
      <c r="G221" s="127"/>
      <c r="H221" s="127"/>
      <c r="I221" s="127"/>
      <c r="J221" s="126"/>
      <c r="P221" s="127"/>
      <c r="Q221" s="127"/>
      <c r="R221" s="127"/>
      <c r="S221" s="127"/>
      <c r="T221" s="127"/>
      <c r="U221" s="127"/>
    </row>
    <row r="222" ht="14.25" customHeight="1">
      <c r="C222" s="126"/>
      <c r="D222" s="126"/>
      <c r="F222" s="127"/>
      <c r="G222" s="127"/>
      <c r="H222" s="127"/>
      <c r="I222" s="127"/>
      <c r="J222" s="126"/>
      <c r="P222" s="127"/>
      <c r="Q222" s="127"/>
      <c r="R222" s="127"/>
      <c r="S222" s="127"/>
      <c r="T222" s="127"/>
      <c r="U222" s="127"/>
    </row>
    <row r="223" ht="14.25" customHeight="1">
      <c r="C223" s="126"/>
      <c r="D223" s="126"/>
      <c r="F223" s="127"/>
      <c r="G223" s="127"/>
      <c r="H223" s="127"/>
      <c r="I223" s="127"/>
      <c r="J223" s="126"/>
      <c r="P223" s="127"/>
      <c r="Q223" s="127"/>
      <c r="R223" s="127"/>
      <c r="S223" s="127"/>
      <c r="T223" s="127"/>
      <c r="U223" s="127"/>
    </row>
    <row r="224" ht="14.25" customHeight="1">
      <c r="C224" s="126"/>
      <c r="D224" s="126"/>
      <c r="F224" s="127"/>
      <c r="G224" s="127"/>
      <c r="H224" s="127"/>
      <c r="I224" s="127"/>
      <c r="J224" s="126"/>
      <c r="P224" s="127"/>
      <c r="Q224" s="127"/>
      <c r="R224" s="127"/>
      <c r="S224" s="127"/>
      <c r="T224" s="127"/>
      <c r="U224" s="127"/>
    </row>
    <row r="225" ht="14.25" customHeight="1">
      <c r="C225" s="126"/>
      <c r="D225" s="126"/>
      <c r="F225" s="127"/>
      <c r="G225" s="127"/>
      <c r="H225" s="127"/>
      <c r="I225" s="127"/>
      <c r="J225" s="126"/>
      <c r="P225" s="127"/>
      <c r="Q225" s="127"/>
      <c r="R225" s="127"/>
      <c r="S225" s="127"/>
      <c r="T225" s="127"/>
      <c r="U225" s="127"/>
    </row>
    <row r="226" ht="14.25" customHeight="1">
      <c r="C226" s="126"/>
      <c r="D226" s="126"/>
      <c r="F226" s="127"/>
      <c r="G226" s="127"/>
      <c r="H226" s="127"/>
      <c r="I226" s="127"/>
      <c r="J226" s="126"/>
      <c r="P226" s="127"/>
      <c r="Q226" s="127"/>
      <c r="R226" s="127"/>
      <c r="S226" s="127"/>
      <c r="T226" s="127"/>
      <c r="U226" s="127"/>
    </row>
    <row r="227" ht="14.25" customHeight="1">
      <c r="C227" s="126"/>
      <c r="D227" s="126"/>
      <c r="F227" s="127"/>
      <c r="G227" s="127"/>
      <c r="H227" s="127"/>
      <c r="I227" s="127"/>
      <c r="J227" s="126"/>
      <c r="P227" s="127"/>
      <c r="Q227" s="127"/>
      <c r="R227" s="127"/>
      <c r="S227" s="127"/>
      <c r="T227" s="127"/>
      <c r="U227" s="127"/>
    </row>
    <row r="228" ht="14.25" customHeight="1">
      <c r="C228" s="126"/>
      <c r="D228" s="126"/>
      <c r="F228" s="127"/>
      <c r="G228" s="127"/>
      <c r="H228" s="127"/>
      <c r="I228" s="127"/>
      <c r="J228" s="126"/>
      <c r="P228" s="127"/>
      <c r="Q228" s="127"/>
      <c r="R228" s="127"/>
      <c r="S228" s="127"/>
      <c r="T228" s="127"/>
      <c r="U228" s="127"/>
    </row>
    <row r="229" ht="14.25" customHeight="1">
      <c r="C229" s="126"/>
      <c r="D229" s="126"/>
      <c r="F229" s="127"/>
      <c r="G229" s="127"/>
      <c r="H229" s="127"/>
      <c r="I229" s="127"/>
      <c r="J229" s="126"/>
      <c r="P229" s="127"/>
      <c r="Q229" s="127"/>
      <c r="R229" s="127"/>
      <c r="S229" s="127"/>
      <c r="T229" s="127"/>
      <c r="U229" s="127"/>
    </row>
    <row r="230" ht="14.25" customHeight="1">
      <c r="C230" s="126"/>
      <c r="D230" s="126"/>
      <c r="F230" s="127"/>
      <c r="G230" s="127"/>
      <c r="H230" s="127"/>
      <c r="I230" s="127"/>
      <c r="J230" s="126"/>
      <c r="P230" s="127"/>
      <c r="Q230" s="127"/>
      <c r="R230" s="127"/>
      <c r="S230" s="127"/>
      <c r="T230" s="127"/>
      <c r="U230" s="127"/>
    </row>
    <row r="231" ht="14.25" customHeight="1">
      <c r="C231" s="126"/>
      <c r="D231" s="126"/>
      <c r="F231" s="127"/>
      <c r="G231" s="127"/>
      <c r="H231" s="127"/>
      <c r="I231" s="127"/>
      <c r="J231" s="126"/>
      <c r="P231" s="127"/>
      <c r="Q231" s="127"/>
      <c r="R231" s="127"/>
      <c r="S231" s="127"/>
      <c r="T231" s="127"/>
      <c r="U231" s="127"/>
    </row>
    <row r="232" ht="14.25" customHeight="1">
      <c r="C232" s="126"/>
      <c r="D232" s="126"/>
      <c r="F232" s="127"/>
      <c r="G232" s="127"/>
      <c r="H232" s="127"/>
      <c r="I232" s="127"/>
      <c r="J232" s="126"/>
      <c r="P232" s="127"/>
      <c r="Q232" s="127"/>
      <c r="R232" s="127"/>
      <c r="S232" s="127"/>
      <c r="T232" s="127"/>
      <c r="U232" s="127"/>
    </row>
    <row r="233" ht="14.25" customHeight="1">
      <c r="C233" s="126"/>
      <c r="D233" s="126"/>
      <c r="F233" s="127"/>
      <c r="G233" s="127"/>
      <c r="H233" s="127"/>
      <c r="I233" s="127"/>
      <c r="J233" s="126"/>
      <c r="P233" s="127"/>
      <c r="Q233" s="127"/>
      <c r="R233" s="127"/>
      <c r="S233" s="127"/>
      <c r="T233" s="127"/>
      <c r="U233" s="127"/>
    </row>
    <row r="234" ht="14.25" customHeight="1">
      <c r="C234" s="126"/>
      <c r="D234" s="126"/>
      <c r="F234" s="127"/>
      <c r="G234" s="127"/>
      <c r="H234" s="127"/>
      <c r="I234" s="127"/>
      <c r="J234" s="126"/>
      <c r="P234" s="127"/>
      <c r="Q234" s="127"/>
      <c r="R234" s="127"/>
      <c r="S234" s="127"/>
      <c r="T234" s="127"/>
      <c r="U234" s="127"/>
    </row>
    <row r="235" ht="14.25" customHeight="1">
      <c r="C235" s="126"/>
      <c r="D235" s="126"/>
      <c r="F235" s="127"/>
      <c r="G235" s="127"/>
      <c r="H235" s="127"/>
      <c r="I235" s="127"/>
      <c r="J235" s="126"/>
      <c r="P235" s="127"/>
      <c r="Q235" s="127"/>
      <c r="R235" s="127"/>
      <c r="S235" s="127"/>
      <c r="T235" s="127"/>
      <c r="U235" s="127"/>
    </row>
    <row r="236" ht="14.25" customHeight="1">
      <c r="C236" s="126"/>
      <c r="D236" s="126"/>
      <c r="F236" s="127"/>
      <c r="G236" s="127"/>
      <c r="H236" s="127"/>
      <c r="I236" s="127"/>
      <c r="J236" s="126"/>
      <c r="P236" s="127"/>
      <c r="Q236" s="127"/>
      <c r="R236" s="127"/>
      <c r="S236" s="127"/>
      <c r="T236" s="127"/>
      <c r="U236" s="127"/>
    </row>
    <row r="237" ht="14.25" customHeight="1">
      <c r="C237" s="126"/>
      <c r="D237" s="126"/>
      <c r="F237" s="127"/>
      <c r="G237" s="127"/>
      <c r="H237" s="127"/>
      <c r="I237" s="127"/>
      <c r="J237" s="126"/>
      <c r="P237" s="127"/>
      <c r="Q237" s="127"/>
      <c r="R237" s="127"/>
      <c r="S237" s="127"/>
      <c r="T237" s="127"/>
      <c r="U237" s="127"/>
    </row>
    <row r="238" ht="14.25" customHeight="1">
      <c r="C238" s="126"/>
      <c r="D238" s="126"/>
      <c r="F238" s="127"/>
      <c r="G238" s="127"/>
      <c r="H238" s="127"/>
      <c r="I238" s="127"/>
      <c r="J238" s="126"/>
      <c r="P238" s="127"/>
      <c r="Q238" s="127"/>
      <c r="R238" s="127"/>
      <c r="S238" s="127"/>
      <c r="T238" s="127"/>
      <c r="U238" s="127"/>
    </row>
    <row r="239" ht="14.25" customHeight="1">
      <c r="C239" s="126"/>
      <c r="D239" s="126"/>
      <c r="F239" s="127"/>
      <c r="G239" s="127"/>
      <c r="H239" s="127"/>
      <c r="I239" s="127"/>
      <c r="J239" s="126"/>
      <c r="P239" s="127"/>
      <c r="Q239" s="127"/>
      <c r="R239" s="127"/>
      <c r="S239" s="127"/>
      <c r="T239" s="127"/>
      <c r="U239" s="127"/>
    </row>
    <row r="240" ht="14.25" customHeight="1">
      <c r="C240" s="126"/>
      <c r="D240" s="126"/>
      <c r="F240" s="127"/>
      <c r="G240" s="127"/>
      <c r="H240" s="127"/>
      <c r="I240" s="127"/>
      <c r="J240" s="126"/>
      <c r="P240" s="127"/>
      <c r="Q240" s="127"/>
      <c r="R240" s="127"/>
      <c r="S240" s="127"/>
      <c r="T240" s="127"/>
      <c r="U240" s="127"/>
    </row>
    <row r="241" ht="14.25" customHeight="1">
      <c r="C241" s="126"/>
      <c r="D241" s="126"/>
      <c r="F241" s="127"/>
      <c r="G241" s="127"/>
      <c r="H241" s="127"/>
      <c r="I241" s="127"/>
      <c r="J241" s="126"/>
      <c r="P241" s="127"/>
      <c r="Q241" s="127"/>
      <c r="R241" s="127"/>
      <c r="S241" s="127"/>
      <c r="T241" s="127"/>
      <c r="U241" s="127"/>
    </row>
    <row r="242" ht="14.25" customHeight="1">
      <c r="C242" s="126"/>
      <c r="D242" s="126"/>
      <c r="F242" s="127"/>
      <c r="G242" s="127"/>
      <c r="H242" s="127"/>
      <c r="I242" s="127"/>
      <c r="J242" s="126"/>
      <c r="P242" s="127"/>
      <c r="Q242" s="127"/>
      <c r="R242" s="127"/>
      <c r="S242" s="127"/>
      <c r="T242" s="127"/>
      <c r="U242" s="127"/>
    </row>
    <row r="243" ht="14.25" customHeight="1">
      <c r="C243" s="126"/>
      <c r="D243" s="126"/>
      <c r="F243" s="127"/>
      <c r="G243" s="127"/>
      <c r="H243" s="127"/>
      <c r="I243" s="127"/>
      <c r="J243" s="126"/>
      <c r="P243" s="127"/>
      <c r="Q243" s="127"/>
      <c r="R243" s="127"/>
      <c r="S243" s="127"/>
      <c r="T243" s="127"/>
      <c r="U243" s="127"/>
    </row>
    <row r="244" ht="14.25" customHeight="1">
      <c r="C244" s="126"/>
      <c r="D244" s="126"/>
      <c r="F244" s="127"/>
      <c r="G244" s="127"/>
      <c r="H244" s="127"/>
      <c r="I244" s="127"/>
      <c r="J244" s="126"/>
      <c r="P244" s="127"/>
      <c r="Q244" s="127"/>
      <c r="R244" s="127"/>
      <c r="S244" s="127"/>
      <c r="T244" s="127"/>
      <c r="U244" s="127"/>
    </row>
    <row r="245" ht="14.25" customHeight="1">
      <c r="C245" s="126"/>
      <c r="D245" s="126"/>
      <c r="F245" s="127"/>
      <c r="G245" s="127"/>
      <c r="H245" s="127"/>
      <c r="I245" s="127"/>
      <c r="J245" s="126"/>
      <c r="P245" s="127"/>
      <c r="Q245" s="127"/>
      <c r="R245" s="127"/>
      <c r="S245" s="127"/>
      <c r="T245" s="127"/>
      <c r="U245" s="127"/>
    </row>
    <row r="246" ht="14.25" customHeight="1">
      <c r="C246" s="126"/>
      <c r="D246" s="126"/>
      <c r="F246" s="127"/>
      <c r="G246" s="127"/>
      <c r="H246" s="127"/>
      <c r="I246" s="127"/>
      <c r="J246" s="126"/>
      <c r="P246" s="127"/>
      <c r="Q246" s="127"/>
      <c r="R246" s="127"/>
      <c r="S246" s="127"/>
      <c r="T246" s="127"/>
      <c r="U246" s="127"/>
    </row>
    <row r="247" ht="14.25" customHeight="1">
      <c r="C247" s="126"/>
      <c r="D247" s="126"/>
      <c r="F247" s="127"/>
      <c r="G247" s="127"/>
      <c r="H247" s="127"/>
      <c r="I247" s="127"/>
      <c r="J247" s="126"/>
      <c r="P247" s="127"/>
      <c r="Q247" s="127"/>
      <c r="R247" s="127"/>
      <c r="S247" s="127"/>
      <c r="T247" s="127"/>
      <c r="U247" s="127"/>
    </row>
    <row r="248" ht="14.25" customHeight="1">
      <c r="C248" s="126"/>
      <c r="D248" s="126"/>
      <c r="F248" s="127"/>
      <c r="G248" s="127"/>
      <c r="H248" s="127"/>
      <c r="I248" s="127"/>
      <c r="J248" s="126"/>
      <c r="P248" s="127"/>
      <c r="Q248" s="127"/>
      <c r="R248" s="127"/>
      <c r="S248" s="127"/>
      <c r="T248" s="127"/>
      <c r="U248" s="127"/>
    </row>
    <row r="249" ht="14.25" customHeight="1">
      <c r="C249" s="126"/>
      <c r="D249" s="126"/>
      <c r="F249" s="127"/>
      <c r="G249" s="127"/>
      <c r="H249" s="127"/>
      <c r="I249" s="127"/>
      <c r="J249" s="126"/>
      <c r="P249" s="127"/>
      <c r="Q249" s="127"/>
      <c r="R249" s="127"/>
      <c r="S249" s="127"/>
      <c r="T249" s="127"/>
      <c r="U249" s="127"/>
    </row>
    <row r="250" ht="14.25" customHeight="1">
      <c r="C250" s="126"/>
      <c r="D250" s="126"/>
      <c r="F250" s="127"/>
      <c r="G250" s="127"/>
      <c r="H250" s="127"/>
      <c r="I250" s="127"/>
      <c r="J250" s="126"/>
      <c r="P250" s="127"/>
      <c r="Q250" s="127"/>
      <c r="R250" s="127"/>
      <c r="S250" s="127"/>
      <c r="T250" s="127"/>
      <c r="U250" s="127"/>
    </row>
    <row r="251" ht="14.25" customHeight="1">
      <c r="C251" s="126"/>
      <c r="D251" s="126"/>
      <c r="F251" s="127"/>
      <c r="G251" s="127"/>
      <c r="H251" s="127"/>
      <c r="I251" s="127"/>
      <c r="J251" s="126"/>
      <c r="P251" s="127"/>
      <c r="Q251" s="127"/>
      <c r="R251" s="127"/>
      <c r="S251" s="127"/>
      <c r="T251" s="127"/>
      <c r="U251" s="127"/>
    </row>
    <row r="252" ht="14.25" customHeight="1">
      <c r="C252" s="126"/>
      <c r="D252" s="126"/>
      <c r="F252" s="127"/>
      <c r="G252" s="127"/>
      <c r="H252" s="127"/>
      <c r="I252" s="127"/>
      <c r="J252" s="126"/>
      <c r="P252" s="127"/>
      <c r="Q252" s="127"/>
      <c r="R252" s="127"/>
      <c r="S252" s="127"/>
      <c r="T252" s="127"/>
      <c r="U252" s="127"/>
    </row>
    <row r="253" ht="14.25" customHeight="1">
      <c r="C253" s="126"/>
      <c r="D253" s="126"/>
      <c r="F253" s="127"/>
      <c r="G253" s="127"/>
      <c r="H253" s="127"/>
      <c r="I253" s="127"/>
      <c r="J253" s="126"/>
      <c r="P253" s="127"/>
      <c r="Q253" s="127"/>
      <c r="R253" s="127"/>
      <c r="S253" s="127"/>
      <c r="T253" s="127"/>
      <c r="U253" s="127"/>
    </row>
    <row r="254" ht="14.25" customHeight="1">
      <c r="C254" s="126"/>
      <c r="D254" s="126"/>
      <c r="F254" s="127"/>
      <c r="G254" s="127"/>
      <c r="H254" s="127"/>
      <c r="I254" s="127"/>
      <c r="J254" s="126"/>
      <c r="P254" s="127"/>
      <c r="Q254" s="127"/>
      <c r="R254" s="127"/>
      <c r="S254" s="127"/>
      <c r="T254" s="127"/>
      <c r="U254" s="127"/>
    </row>
    <row r="255" ht="14.25" customHeight="1">
      <c r="C255" s="126"/>
      <c r="D255" s="126"/>
      <c r="F255" s="127"/>
      <c r="G255" s="127"/>
      <c r="H255" s="127"/>
      <c r="I255" s="127"/>
      <c r="J255" s="126"/>
      <c r="P255" s="127"/>
      <c r="Q255" s="127"/>
      <c r="R255" s="127"/>
      <c r="S255" s="127"/>
      <c r="T255" s="127"/>
      <c r="U255" s="127"/>
    </row>
    <row r="256" ht="14.25" customHeight="1">
      <c r="C256" s="126"/>
      <c r="D256" s="126"/>
      <c r="F256" s="127"/>
      <c r="G256" s="127"/>
      <c r="H256" s="127"/>
      <c r="I256" s="127"/>
      <c r="J256" s="126"/>
      <c r="P256" s="127"/>
      <c r="Q256" s="127"/>
      <c r="R256" s="127"/>
      <c r="S256" s="127"/>
      <c r="T256" s="127"/>
      <c r="U256" s="127"/>
    </row>
    <row r="257" ht="14.25" customHeight="1">
      <c r="C257" s="126"/>
      <c r="D257" s="126"/>
      <c r="F257" s="127"/>
      <c r="G257" s="127"/>
      <c r="H257" s="127"/>
      <c r="I257" s="127"/>
      <c r="J257" s="126"/>
      <c r="P257" s="127"/>
      <c r="Q257" s="127"/>
      <c r="R257" s="127"/>
      <c r="S257" s="127"/>
      <c r="T257" s="127"/>
      <c r="U257" s="127"/>
    </row>
    <row r="258" ht="14.25" customHeight="1">
      <c r="C258" s="126"/>
      <c r="D258" s="126"/>
      <c r="F258" s="127"/>
      <c r="G258" s="127"/>
      <c r="H258" s="127"/>
      <c r="I258" s="127"/>
      <c r="J258" s="126"/>
      <c r="P258" s="127"/>
      <c r="Q258" s="127"/>
      <c r="R258" s="127"/>
      <c r="S258" s="127"/>
      <c r="T258" s="127"/>
      <c r="U258" s="127"/>
    </row>
    <row r="259" ht="14.25" customHeight="1">
      <c r="C259" s="126"/>
      <c r="D259" s="126"/>
      <c r="F259" s="127"/>
      <c r="G259" s="127"/>
      <c r="H259" s="127"/>
      <c r="I259" s="127"/>
      <c r="J259" s="126"/>
      <c r="P259" s="127"/>
      <c r="Q259" s="127"/>
      <c r="R259" s="127"/>
      <c r="S259" s="127"/>
      <c r="T259" s="127"/>
      <c r="U259" s="127"/>
    </row>
    <row r="260" ht="14.25" customHeight="1">
      <c r="C260" s="126"/>
      <c r="D260" s="126"/>
      <c r="F260" s="127"/>
      <c r="G260" s="127"/>
      <c r="H260" s="127"/>
      <c r="I260" s="127"/>
      <c r="J260" s="126"/>
      <c r="P260" s="127"/>
      <c r="Q260" s="127"/>
      <c r="R260" s="127"/>
      <c r="S260" s="127"/>
      <c r="T260" s="127"/>
      <c r="U260" s="127"/>
    </row>
    <row r="261" ht="14.25" customHeight="1">
      <c r="C261" s="126"/>
      <c r="D261" s="126"/>
      <c r="F261" s="127"/>
      <c r="G261" s="127"/>
      <c r="H261" s="127"/>
      <c r="I261" s="127"/>
      <c r="J261" s="126"/>
      <c r="P261" s="127"/>
      <c r="Q261" s="127"/>
      <c r="R261" s="127"/>
      <c r="S261" s="127"/>
      <c r="T261" s="127"/>
      <c r="U261" s="127"/>
    </row>
    <row r="262" ht="14.25" customHeight="1">
      <c r="C262" s="126"/>
      <c r="D262" s="126"/>
      <c r="F262" s="127"/>
      <c r="G262" s="127"/>
      <c r="H262" s="127"/>
      <c r="I262" s="127"/>
      <c r="J262" s="126"/>
      <c r="P262" s="127"/>
      <c r="Q262" s="127"/>
      <c r="R262" s="127"/>
      <c r="S262" s="127"/>
      <c r="T262" s="127"/>
      <c r="U262" s="127"/>
    </row>
    <row r="263" ht="14.25" customHeight="1">
      <c r="C263" s="126"/>
      <c r="D263" s="126"/>
      <c r="F263" s="127"/>
      <c r="G263" s="127"/>
      <c r="H263" s="127"/>
      <c r="I263" s="127"/>
      <c r="J263" s="126"/>
      <c r="P263" s="127"/>
      <c r="Q263" s="127"/>
      <c r="R263" s="127"/>
      <c r="S263" s="127"/>
      <c r="T263" s="127"/>
      <c r="U263" s="127"/>
    </row>
    <row r="264" ht="14.25" customHeight="1">
      <c r="C264" s="126"/>
      <c r="D264" s="126"/>
      <c r="F264" s="127"/>
      <c r="G264" s="127"/>
      <c r="H264" s="127"/>
      <c r="I264" s="127"/>
      <c r="J264" s="126"/>
      <c r="P264" s="127"/>
      <c r="Q264" s="127"/>
      <c r="R264" s="127"/>
      <c r="S264" s="127"/>
      <c r="T264" s="127"/>
      <c r="U264" s="127"/>
    </row>
    <row r="265" ht="14.25" customHeight="1">
      <c r="C265" s="126"/>
      <c r="D265" s="126"/>
      <c r="F265" s="127"/>
      <c r="G265" s="127"/>
      <c r="H265" s="127"/>
      <c r="I265" s="127"/>
      <c r="J265" s="126"/>
      <c r="P265" s="127"/>
      <c r="Q265" s="127"/>
      <c r="R265" s="127"/>
      <c r="S265" s="127"/>
      <c r="T265" s="127"/>
      <c r="U265" s="127"/>
    </row>
    <row r="266" ht="14.25" customHeight="1">
      <c r="C266" s="126"/>
      <c r="D266" s="126"/>
      <c r="F266" s="127"/>
      <c r="G266" s="127"/>
      <c r="H266" s="127"/>
      <c r="I266" s="127"/>
      <c r="J266" s="126"/>
      <c r="P266" s="127"/>
      <c r="Q266" s="127"/>
      <c r="R266" s="127"/>
      <c r="S266" s="127"/>
      <c r="T266" s="127"/>
      <c r="U266" s="127"/>
    </row>
    <row r="267" ht="14.25" customHeight="1">
      <c r="C267" s="126"/>
      <c r="D267" s="126"/>
      <c r="F267" s="127"/>
      <c r="G267" s="127"/>
      <c r="H267" s="127"/>
      <c r="I267" s="127"/>
      <c r="J267" s="126"/>
      <c r="P267" s="127"/>
      <c r="Q267" s="127"/>
      <c r="R267" s="127"/>
      <c r="S267" s="127"/>
      <c r="T267" s="127"/>
      <c r="U267" s="127"/>
    </row>
    <row r="268" ht="14.25" customHeight="1">
      <c r="C268" s="126"/>
      <c r="D268" s="126"/>
      <c r="F268" s="127"/>
      <c r="G268" s="127"/>
      <c r="H268" s="127"/>
      <c r="I268" s="127"/>
      <c r="J268" s="126"/>
      <c r="P268" s="127"/>
      <c r="Q268" s="127"/>
      <c r="R268" s="127"/>
      <c r="S268" s="127"/>
      <c r="T268" s="127"/>
      <c r="U268" s="127"/>
    </row>
    <row r="269" ht="14.25" customHeight="1">
      <c r="C269" s="126"/>
      <c r="D269" s="126"/>
      <c r="F269" s="127"/>
      <c r="G269" s="127"/>
      <c r="H269" s="127"/>
      <c r="I269" s="127"/>
      <c r="J269" s="126"/>
      <c r="P269" s="127"/>
      <c r="Q269" s="127"/>
      <c r="R269" s="127"/>
      <c r="S269" s="127"/>
      <c r="T269" s="127"/>
      <c r="U269" s="127"/>
    </row>
    <row r="270" ht="14.25" customHeight="1">
      <c r="C270" s="126"/>
      <c r="D270" s="126"/>
      <c r="F270" s="127"/>
      <c r="G270" s="127"/>
      <c r="H270" s="127"/>
      <c r="I270" s="127"/>
      <c r="J270" s="126"/>
      <c r="P270" s="127"/>
      <c r="Q270" s="127"/>
      <c r="R270" s="127"/>
      <c r="S270" s="127"/>
      <c r="T270" s="127"/>
      <c r="U270" s="127"/>
    </row>
    <row r="271" ht="14.25" customHeight="1">
      <c r="C271" s="126"/>
      <c r="D271" s="126"/>
      <c r="F271" s="127"/>
      <c r="G271" s="127"/>
      <c r="H271" s="127"/>
      <c r="I271" s="127"/>
      <c r="J271" s="126"/>
      <c r="P271" s="127"/>
      <c r="Q271" s="127"/>
      <c r="R271" s="127"/>
      <c r="S271" s="127"/>
      <c r="T271" s="127"/>
      <c r="U271" s="127"/>
    </row>
    <row r="272" ht="14.25" customHeight="1">
      <c r="C272" s="126"/>
      <c r="D272" s="126"/>
      <c r="F272" s="127"/>
      <c r="G272" s="127"/>
      <c r="H272" s="127"/>
      <c r="I272" s="127"/>
      <c r="J272" s="126"/>
      <c r="P272" s="127"/>
      <c r="Q272" s="127"/>
      <c r="R272" s="127"/>
      <c r="S272" s="127"/>
      <c r="T272" s="127"/>
      <c r="U272" s="127"/>
    </row>
    <row r="273" ht="14.25" customHeight="1">
      <c r="C273" s="126"/>
      <c r="D273" s="126"/>
      <c r="F273" s="127"/>
      <c r="G273" s="127"/>
      <c r="H273" s="127"/>
      <c r="I273" s="127"/>
      <c r="J273" s="126"/>
      <c r="P273" s="127"/>
      <c r="Q273" s="127"/>
      <c r="R273" s="127"/>
      <c r="S273" s="127"/>
      <c r="T273" s="127"/>
      <c r="U273" s="127"/>
    </row>
    <row r="274" ht="14.25" customHeight="1">
      <c r="C274" s="126"/>
      <c r="D274" s="126"/>
      <c r="F274" s="127"/>
      <c r="G274" s="127"/>
      <c r="H274" s="127"/>
      <c r="I274" s="127"/>
      <c r="J274" s="126"/>
      <c r="P274" s="127"/>
      <c r="Q274" s="127"/>
      <c r="R274" s="127"/>
      <c r="S274" s="127"/>
      <c r="T274" s="127"/>
      <c r="U274" s="127"/>
    </row>
    <row r="275" ht="14.25" customHeight="1">
      <c r="C275" s="126"/>
      <c r="D275" s="126"/>
      <c r="F275" s="127"/>
      <c r="G275" s="127"/>
      <c r="H275" s="127"/>
      <c r="I275" s="127"/>
      <c r="J275" s="126"/>
      <c r="P275" s="127"/>
      <c r="Q275" s="127"/>
      <c r="R275" s="127"/>
      <c r="S275" s="127"/>
      <c r="T275" s="127"/>
      <c r="U275" s="127"/>
    </row>
    <row r="276" ht="14.25" customHeight="1">
      <c r="C276" s="126"/>
      <c r="D276" s="126"/>
      <c r="F276" s="127"/>
      <c r="G276" s="127"/>
      <c r="H276" s="127"/>
      <c r="I276" s="127"/>
      <c r="J276" s="126"/>
      <c r="P276" s="127"/>
      <c r="Q276" s="127"/>
      <c r="R276" s="127"/>
      <c r="S276" s="127"/>
      <c r="T276" s="127"/>
      <c r="U276" s="127"/>
    </row>
    <row r="277" ht="14.25" customHeight="1">
      <c r="C277" s="126"/>
      <c r="D277" s="126"/>
      <c r="F277" s="127"/>
      <c r="G277" s="127"/>
      <c r="H277" s="127"/>
      <c r="I277" s="127"/>
      <c r="J277" s="126"/>
      <c r="P277" s="127"/>
      <c r="Q277" s="127"/>
      <c r="R277" s="127"/>
      <c r="S277" s="127"/>
      <c r="T277" s="127"/>
      <c r="U277" s="127"/>
    </row>
    <row r="278" ht="14.25" customHeight="1">
      <c r="C278" s="126"/>
      <c r="D278" s="126"/>
      <c r="F278" s="127"/>
      <c r="G278" s="127"/>
      <c r="H278" s="127"/>
      <c r="I278" s="127"/>
      <c r="J278" s="126"/>
      <c r="P278" s="127"/>
      <c r="Q278" s="127"/>
      <c r="R278" s="127"/>
      <c r="S278" s="127"/>
      <c r="T278" s="127"/>
      <c r="U278" s="127"/>
    </row>
    <row r="279" ht="14.25" customHeight="1">
      <c r="C279" s="126"/>
      <c r="D279" s="126"/>
      <c r="F279" s="127"/>
      <c r="G279" s="127"/>
      <c r="H279" s="127"/>
      <c r="I279" s="127"/>
      <c r="J279" s="126"/>
      <c r="P279" s="127"/>
      <c r="Q279" s="127"/>
      <c r="R279" s="127"/>
      <c r="S279" s="127"/>
      <c r="T279" s="127"/>
      <c r="U279" s="127"/>
    </row>
    <row r="280" ht="14.25" customHeight="1">
      <c r="C280" s="126"/>
      <c r="D280" s="126"/>
      <c r="F280" s="127"/>
      <c r="G280" s="127"/>
      <c r="H280" s="127"/>
      <c r="I280" s="127"/>
      <c r="J280" s="126"/>
      <c r="P280" s="127"/>
      <c r="Q280" s="127"/>
      <c r="R280" s="127"/>
      <c r="S280" s="127"/>
      <c r="T280" s="127"/>
      <c r="U280" s="127"/>
    </row>
    <row r="281" ht="14.25" customHeight="1">
      <c r="C281" s="126"/>
      <c r="D281" s="126"/>
      <c r="F281" s="127"/>
      <c r="G281" s="127"/>
      <c r="H281" s="127"/>
      <c r="I281" s="127"/>
      <c r="J281" s="126"/>
      <c r="P281" s="127"/>
      <c r="Q281" s="127"/>
      <c r="R281" s="127"/>
      <c r="S281" s="127"/>
      <c r="T281" s="127"/>
      <c r="U281" s="127"/>
    </row>
    <row r="282" ht="14.25" customHeight="1">
      <c r="C282" s="126"/>
      <c r="D282" s="126"/>
      <c r="F282" s="127"/>
      <c r="G282" s="127"/>
      <c r="H282" s="127"/>
      <c r="I282" s="127"/>
      <c r="J282" s="126"/>
      <c r="P282" s="127"/>
      <c r="Q282" s="127"/>
      <c r="R282" s="127"/>
      <c r="S282" s="127"/>
      <c r="T282" s="127"/>
      <c r="U282" s="127"/>
    </row>
    <row r="283" ht="14.25" customHeight="1">
      <c r="C283" s="126"/>
      <c r="D283" s="126"/>
      <c r="F283" s="127"/>
      <c r="G283" s="127"/>
      <c r="H283" s="127"/>
      <c r="I283" s="127"/>
      <c r="J283" s="126"/>
      <c r="P283" s="127"/>
      <c r="Q283" s="127"/>
      <c r="R283" s="127"/>
      <c r="S283" s="127"/>
      <c r="T283" s="127"/>
      <c r="U283" s="127"/>
    </row>
    <row r="284" ht="14.25" customHeight="1">
      <c r="C284" s="126"/>
      <c r="D284" s="126"/>
      <c r="F284" s="127"/>
      <c r="G284" s="127"/>
      <c r="H284" s="127"/>
      <c r="I284" s="127"/>
      <c r="J284" s="126"/>
      <c r="P284" s="127"/>
      <c r="Q284" s="127"/>
      <c r="R284" s="127"/>
      <c r="S284" s="127"/>
      <c r="T284" s="127"/>
      <c r="U284" s="127"/>
    </row>
    <row r="285" ht="14.25" customHeight="1">
      <c r="C285" s="126"/>
      <c r="D285" s="126"/>
      <c r="F285" s="127"/>
      <c r="G285" s="127"/>
      <c r="H285" s="127"/>
      <c r="I285" s="127"/>
      <c r="J285" s="126"/>
      <c r="P285" s="127"/>
      <c r="Q285" s="127"/>
      <c r="R285" s="127"/>
      <c r="S285" s="127"/>
      <c r="T285" s="127"/>
      <c r="U285" s="127"/>
    </row>
    <row r="286" ht="14.25" customHeight="1">
      <c r="C286" s="126"/>
      <c r="D286" s="126"/>
      <c r="F286" s="127"/>
      <c r="G286" s="127"/>
      <c r="H286" s="127"/>
      <c r="I286" s="127"/>
      <c r="J286" s="126"/>
      <c r="P286" s="127"/>
      <c r="Q286" s="127"/>
      <c r="R286" s="127"/>
      <c r="S286" s="127"/>
      <c r="T286" s="127"/>
      <c r="U286" s="127"/>
    </row>
    <row r="287" ht="14.25" customHeight="1">
      <c r="C287" s="126"/>
      <c r="D287" s="126"/>
      <c r="F287" s="127"/>
      <c r="G287" s="127"/>
      <c r="H287" s="127"/>
      <c r="I287" s="127"/>
      <c r="J287" s="126"/>
      <c r="P287" s="127"/>
      <c r="Q287" s="127"/>
      <c r="R287" s="127"/>
      <c r="S287" s="127"/>
      <c r="T287" s="127"/>
      <c r="U287" s="127"/>
    </row>
    <row r="288" ht="14.25" customHeight="1">
      <c r="C288" s="126"/>
      <c r="D288" s="126"/>
      <c r="F288" s="127"/>
      <c r="G288" s="127"/>
      <c r="H288" s="127"/>
      <c r="I288" s="127"/>
      <c r="J288" s="126"/>
      <c r="P288" s="127"/>
      <c r="Q288" s="127"/>
      <c r="R288" s="127"/>
      <c r="S288" s="127"/>
      <c r="T288" s="127"/>
      <c r="U288" s="127"/>
    </row>
    <row r="289" ht="14.25" customHeight="1">
      <c r="C289" s="126"/>
      <c r="D289" s="126"/>
      <c r="F289" s="127"/>
      <c r="G289" s="127"/>
      <c r="H289" s="127"/>
      <c r="I289" s="127"/>
      <c r="J289" s="126"/>
      <c r="P289" s="127"/>
      <c r="Q289" s="127"/>
      <c r="R289" s="127"/>
      <c r="S289" s="127"/>
      <c r="T289" s="127"/>
      <c r="U289" s="127"/>
    </row>
    <row r="290" ht="14.25" customHeight="1">
      <c r="C290" s="126"/>
      <c r="D290" s="126"/>
      <c r="F290" s="127"/>
      <c r="G290" s="127"/>
      <c r="H290" s="127"/>
      <c r="I290" s="127"/>
      <c r="J290" s="126"/>
      <c r="P290" s="127"/>
      <c r="Q290" s="127"/>
      <c r="R290" s="127"/>
      <c r="S290" s="127"/>
      <c r="T290" s="127"/>
      <c r="U290" s="127"/>
    </row>
    <row r="291" ht="14.25" customHeight="1">
      <c r="C291" s="126"/>
      <c r="D291" s="126"/>
      <c r="F291" s="127"/>
      <c r="G291" s="127"/>
      <c r="H291" s="127"/>
      <c r="I291" s="127"/>
      <c r="J291" s="126"/>
      <c r="P291" s="127"/>
      <c r="Q291" s="127"/>
      <c r="R291" s="127"/>
      <c r="S291" s="127"/>
      <c r="T291" s="127"/>
      <c r="U291" s="127"/>
    </row>
    <row r="292" ht="14.25" customHeight="1">
      <c r="C292" s="126"/>
      <c r="D292" s="126"/>
      <c r="F292" s="127"/>
      <c r="G292" s="127"/>
      <c r="H292" s="127"/>
      <c r="I292" s="127"/>
      <c r="J292" s="126"/>
      <c r="P292" s="127"/>
      <c r="Q292" s="127"/>
      <c r="R292" s="127"/>
      <c r="S292" s="127"/>
      <c r="T292" s="127"/>
      <c r="U292" s="127"/>
    </row>
    <row r="293" ht="14.25" customHeight="1">
      <c r="C293" s="126"/>
      <c r="D293" s="126"/>
      <c r="F293" s="127"/>
      <c r="G293" s="127"/>
      <c r="H293" s="127"/>
      <c r="I293" s="127"/>
      <c r="J293" s="126"/>
      <c r="P293" s="127"/>
      <c r="Q293" s="127"/>
      <c r="R293" s="127"/>
      <c r="S293" s="127"/>
      <c r="T293" s="127"/>
      <c r="U293" s="127"/>
    </row>
    <row r="294" ht="14.25" customHeight="1">
      <c r="C294" s="126"/>
      <c r="D294" s="126"/>
      <c r="F294" s="127"/>
      <c r="G294" s="127"/>
      <c r="H294" s="127"/>
      <c r="I294" s="127"/>
      <c r="J294" s="126"/>
      <c r="P294" s="127"/>
      <c r="Q294" s="127"/>
      <c r="R294" s="127"/>
      <c r="S294" s="127"/>
      <c r="T294" s="127"/>
      <c r="U294" s="127"/>
    </row>
    <row r="295" ht="14.25" customHeight="1">
      <c r="C295" s="126"/>
      <c r="D295" s="126"/>
      <c r="F295" s="127"/>
      <c r="G295" s="127"/>
      <c r="H295" s="127"/>
      <c r="I295" s="127"/>
      <c r="J295" s="126"/>
      <c r="P295" s="127"/>
      <c r="Q295" s="127"/>
      <c r="R295" s="127"/>
      <c r="S295" s="127"/>
      <c r="T295" s="127"/>
      <c r="U295" s="127"/>
    </row>
    <row r="296" ht="14.25" customHeight="1">
      <c r="C296" s="126"/>
      <c r="D296" s="126"/>
      <c r="F296" s="127"/>
      <c r="G296" s="127"/>
      <c r="H296" s="127"/>
      <c r="I296" s="127"/>
      <c r="J296" s="126"/>
      <c r="P296" s="127"/>
      <c r="Q296" s="127"/>
      <c r="R296" s="127"/>
      <c r="S296" s="127"/>
      <c r="T296" s="127"/>
      <c r="U296" s="127"/>
    </row>
    <row r="297" ht="14.25" customHeight="1">
      <c r="C297" s="126"/>
      <c r="D297" s="126"/>
      <c r="F297" s="127"/>
      <c r="G297" s="127"/>
      <c r="H297" s="127"/>
      <c r="I297" s="127"/>
      <c r="J297" s="126"/>
      <c r="P297" s="127"/>
      <c r="Q297" s="127"/>
      <c r="R297" s="127"/>
      <c r="S297" s="127"/>
      <c r="T297" s="127"/>
      <c r="U297" s="127"/>
    </row>
    <row r="298" ht="14.25" customHeight="1">
      <c r="C298" s="126"/>
      <c r="D298" s="126"/>
      <c r="F298" s="127"/>
      <c r="G298" s="127"/>
      <c r="H298" s="127"/>
      <c r="I298" s="127"/>
      <c r="J298" s="126"/>
      <c r="P298" s="127"/>
      <c r="Q298" s="127"/>
      <c r="R298" s="127"/>
      <c r="S298" s="127"/>
      <c r="T298" s="127"/>
      <c r="U298" s="127"/>
    </row>
    <row r="299" ht="14.25" customHeight="1">
      <c r="C299" s="126"/>
      <c r="D299" s="126"/>
      <c r="F299" s="127"/>
      <c r="G299" s="127"/>
      <c r="H299" s="127"/>
      <c r="I299" s="127"/>
      <c r="J299" s="126"/>
      <c r="P299" s="127"/>
      <c r="Q299" s="127"/>
      <c r="R299" s="127"/>
      <c r="S299" s="127"/>
      <c r="T299" s="127"/>
      <c r="U299" s="127"/>
    </row>
    <row r="300" ht="14.25" customHeight="1">
      <c r="C300" s="126"/>
      <c r="D300" s="126"/>
      <c r="F300" s="127"/>
      <c r="G300" s="127"/>
      <c r="H300" s="127"/>
      <c r="I300" s="127"/>
      <c r="J300" s="126"/>
      <c r="P300" s="127"/>
      <c r="Q300" s="127"/>
      <c r="R300" s="127"/>
      <c r="S300" s="127"/>
      <c r="T300" s="127"/>
      <c r="U300" s="127"/>
    </row>
    <row r="301" ht="14.25" customHeight="1">
      <c r="C301" s="126"/>
      <c r="D301" s="126"/>
      <c r="F301" s="127"/>
      <c r="G301" s="127"/>
      <c r="H301" s="127"/>
      <c r="I301" s="127"/>
      <c r="J301" s="126"/>
      <c r="P301" s="127"/>
      <c r="Q301" s="127"/>
      <c r="R301" s="127"/>
      <c r="S301" s="127"/>
      <c r="T301" s="127"/>
      <c r="U301" s="127"/>
    </row>
    <row r="302" ht="14.25" customHeight="1">
      <c r="C302" s="126"/>
      <c r="D302" s="126"/>
      <c r="F302" s="127"/>
      <c r="G302" s="127"/>
      <c r="H302" s="127"/>
      <c r="I302" s="127"/>
      <c r="J302" s="126"/>
      <c r="P302" s="127"/>
      <c r="Q302" s="127"/>
      <c r="R302" s="127"/>
      <c r="S302" s="127"/>
      <c r="T302" s="127"/>
      <c r="U302" s="127"/>
    </row>
    <row r="303" ht="14.25" customHeight="1">
      <c r="C303" s="126"/>
      <c r="D303" s="126"/>
      <c r="F303" s="127"/>
      <c r="G303" s="127"/>
      <c r="H303" s="127"/>
      <c r="I303" s="127"/>
      <c r="J303" s="126"/>
      <c r="P303" s="127"/>
      <c r="Q303" s="127"/>
      <c r="R303" s="127"/>
      <c r="S303" s="127"/>
      <c r="T303" s="127"/>
      <c r="U303" s="127"/>
    </row>
    <row r="304" ht="14.25" customHeight="1">
      <c r="C304" s="126"/>
      <c r="D304" s="126"/>
      <c r="F304" s="127"/>
      <c r="G304" s="127"/>
      <c r="H304" s="127"/>
      <c r="I304" s="127"/>
      <c r="J304" s="126"/>
      <c r="P304" s="127"/>
      <c r="Q304" s="127"/>
      <c r="R304" s="127"/>
      <c r="S304" s="127"/>
      <c r="T304" s="127"/>
      <c r="U304" s="127"/>
    </row>
    <row r="305" ht="14.25" customHeight="1">
      <c r="C305" s="126"/>
      <c r="D305" s="126"/>
      <c r="F305" s="127"/>
      <c r="G305" s="127"/>
      <c r="H305" s="127"/>
      <c r="I305" s="127"/>
      <c r="J305" s="126"/>
      <c r="P305" s="127"/>
      <c r="Q305" s="127"/>
      <c r="R305" s="127"/>
      <c r="S305" s="127"/>
      <c r="T305" s="127"/>
      <c r="U305" s="127"/>
    </row>
    <row r="306" ht="14.25" customHeight="1">
      <c r="C306" s="126"/>
      <c r="D306" s="126"/>
      <c r="F306" s="127"/>
      <c r="G306" s="127"/>
      <c r="H306" s="127"/>
      <c r="I306" s="127"/>
      <c r="J306" s="126"/>
      <c r="P306" s="127"/>
      <c r="Q306" s="127"/>
      <c r="R306" s="127"/>
      <c r="S306" s="127"/>
      <c r="T306" s="127"/>
      <c r="U306" s="127"/>
    </row>
    <row r="307" ht="14.25" customHeight="1">
      <c r="C307" s="126"/>
      <c r="D307" s="126"/>
      <c r="F307" s="127"/>
      <c r="G307" s="127"/>
      <c r="H307" s="127"/>
      <c r="I307" s="127"/>
      <c r="J307" s="126"/>
      <c r="P307" s="127"/>
      <c r="Q307" s="127"/>
      <c r="R307" s="127"/>
      <c r="S307" s="127"/>
      <c r="T307" s="127"/>
      <c r="U307" s="127"/>
    </row>
    <row r="308" ht="14.25" customHeight="1">
      <c r="C308" s="126"/>
      <c r="D308" s="126"/>
      <c r="F308" s="127"/>
      <c r="G308" s="127"/>
      <c r="H308" s="127"/>
      <c r="I308" s="127"/>
      <c r="J308" s="126"/>
      <c r="P308" s="127"/>
      <c r="Q308" s="127"/>
      <c r="R308" s="127"/>
      <c r="S308" s="127"/>
      <c r="T308" s="127"/>
      <c r="U308" s="127"/>
    </row>
    <row r="309" ht="14.25" customHeight="1">
      <c r="C309" s="126"/>
      <c r="D309" s="126"/>
      <c r="F309" s="127"/>
      <c r="G309" s="127"/>
      <c r="H309" s="127"/>
      <c r="I309" s="127"/>
      <c r="J309" s="126"/>
      <c r="P309" s="127"/>
      <c r="Q309" s="127"/>
      <c r="R309" s="127"/>
      <c r="S309" s="127"/>
      <c r="T309" s="127"/>
      <c r="U309" s="127"/>
    </row>
    <row r="310" ht="14.25" customHeight="1">
      <c r="C310" s="126"/>
      <c r="D310" s="126"/>
      <c r="F310" s="127"/>
      <c r="G310" s="127"/>
      <c r="H310" s="127"/>
      <c r="I310" s="127"/>
      <c r="J310" s="126"/>
      <c r="P310" s="127"/>
      <c r="Q310" s="127"/>
      <c r="R310" s="127"/>
      <c r="S310" s="127"/>
      <c r="T310" s="127"/>
      <c r="U310" s="127"/>
    </row>
    <row r="311" ht="14.25" customHeight="1">
      <c r="C311" s="126"/>
      <c r="D311" s="126"/>
      <c r="F311" s="127"/>
      <c r="G311" s="127"/>
      <c r="H311" s="127"/>
      <c r="I311" s="127"/>
      <c r="J311" s="126"/>
      <c r="P311" s="127"/>
      <c r="Q311" s="127"/>
      <c r="R311" s="127"/>
      <c r="S311" s="127"/>
      <c r="T311" s="127"/>
      <c r="U311" s="127"/>
    </row>
    <row r="312" ht="14.25" customHeight="1">
      <c r="C312" s="126"/>
      <c r="D312" s="126"/>
      <c r="F312" s="127"/>
      <c r="G312" s="127"/>
      <c r="H312" s="127"/>
      <c r="I312" s="127"/>
      <c r="J312" s="126"/>
      <c r="P312" s="127"/>
      <c r="Q312" s="127"/>
      <c r="R312" s="127"/>
      <c r="S312" s="127"/>
      <c r="T312" s="127"/>
      <c r="U312" s="127"/>
    </row>
    <row r="313" ht="14.25" customHeight="1">
      <c r="C313" s="126"/>
      <c r="D313" s="126"/>
      <c r="F313" s="127"/>
      <c r="G313" s="127"/>
      <c r="H313" s="127"/>
      <c r="I313" s="127"/>
      <c r="J313" s="126"/>
      <c r="P313" s="127"/>
      <c r="Q313" s="127"/>
      <c r="R313" s="127"/>
      <c r="S313" s="127"/>
      <c r="T313" s="127"/>
      <c r="U313" s="127"/>
    </row>
    <row r="314" ht="14.25" customHeight="1">
      <c r="C314" s="126"/>
      <c r="D314" s="126"/>
      <c r="F314" s="127"/>
      <c r="G314" s="127"/>
      <c r="H314" s="127"/>
      <c r="I314" s="127"/>
      <c r="J314" s="126"/>
      <c r="P314" s="127"/>
      <c r="Q314" s="127"/>
      <c r="R314" s="127"/>
      <c r="S314" s="127"/>
      <c r="T314" s="127"/>
      <c r="U314" s="127"/>
    </row>
    <row r="315" ht="14.25" customHeight="1">
      <c r="C315" s="126"/>
      <c r="D315" s="126"/>
      <c r="F315" s="127"/>
      <c r="G315" s="127"/>
      <c r="H315" s="127"/>
      <c r="I315" s="127"/>
      <c r="J315" s="126"/>
      <c r="P315" s="127"/>
      <c r="Q315" s="127"/>
      <c r="R315" s="127"/>
      <c r="S315" s="127"/>
      <c r="T315" s="127"/>
      <c r="U315" s="127"/>
    </row>
    <row r="316" ht="14.25" customHeight="1">
      <c r="C316" s="126"/>
      <c r="D316" s="126"/>
      <c r="F316" s="127"/>
      <c r="G316" s="127"/>
      <c r="H316" s="127"/>
      <c r="I316" s="127"/>
      <c r="J316" s="126"/>
      <c r="P316" s="127"/>
      <c r="Q316" s="127"/>
      <c r="R316" s="127"/>
      <c r="S316" s="127"/>
      <c r="T316" s="127"/>
      <c r="U316" s="127"/>
    </row>
    <row r="317" ht="14.25" customHeight="1">
      <c r="C317" s="126"/>
      <c r="D317" s="126"/>
      <c r="F317" s="127"/>
      <c r="G317" s="127"/>
      <c r="H317" s="127"/>
      <c r="I317" s="127"/>
      <c r="J317" s="126"/>
      <c r="P317" s="127"/>
      <c r="Q317" s="127"/>
      <c r="R317" s="127"/>
      <c r="S317" s="127"/>
      <c r="T317" s="127"/>
      <c r="U317" s="127"/>
    </row>
    <row r="318" ht="14.25" customHeight="1">
      <c r="C318" s="126"/>
      <c r="D318" s="126"/>
      <c r="F318" s="127"/>
      <c r="G318" s="127"/>
      <c r="H318" s="127"/>
      <c r="I318" s="127"/>
      <c r="J318" s="126"/>
      <c r="P318" s="127"/>
      <c r="Q318" s="127"/>
      <c r="R318" s="127"/>
      <c r="S318" s="127"/>
      <c r="T318" s="127"/>
      <c r="U318" s="127"/>
    </row>
    <row r="319" ht="14.25" customHeight="1">
      <c r="C319" s="126"/>
      <c r="D319" s="126"/>
      <c r="F319" s="127"/>
      <c r="G319" s="127"/>
      <c r="H319" s="127"/>
      <c r="I319" s="127"/>
      <c r="J319" s="126"/>
      <c r="P319" s="127"/>
      <c r="Q319" s="127"/>
      <c r="R319" s="127"/>
      <c r="S319" s="127"/>
      <c r="T319" s="127"/>
      <c r="U319" s="127"/>
    </row>
    <row r="320" ht="14.25" customHeight="1">
      <c r="C320" s="126"/>
      <c r="D320" s="126"/>
      <c r="F320" s="127"/>
      <c r="G320" s="127"/>
      <c r="H320" s="127"/>
      <c r="I320" s="127"/>
      <c r="J320" s="126"/>
      <c r="P320" s="127"/>
      <c r="Q320" s="127"/>
      <c r="R320" s="127"/>
      <c r="S320" s="127"/>
      <c r="T320" s="127"/>
      <c r="U320" s="127"/>
    </row>
    <row r="321" ht="14.25" customHeight="1">
      <c r="C321" s="126"/>
      <c r="D321" s="126"/>
      <c r="F321" s="127"/>
      <c r="G321" s="127"/>
      <c r="H321" s="127"/>
      <c r="I321" s="127"/>
      <c r="J321" s="126"/>
      <c r="P321" s="127"/>
      <c r="Q321" s="127"/>
      <c r="R321" s="127"/>
      <c r="S321" s="127"/>
      <c r="T321" s="127"/>
      <c r="U321" s="127"/>
    </row>
    <row r="322" ht="14.25" customHeight="1">
      <c r="C322" s="126"/>
      <c r="D322" s="126"/>
      <c r="F322" s="127"/>
      <c r="G322" s="127"/>
      <c r="H322" s="127"/>
      <c r="I322" s="127"/>
      <c r="J322" s="126"/>
      <c r="P322" s="127"/>
      <c r="Q322" s="127"/>
      <c r="R322" s="127"/>
      <c r="S322" s="127"/>
      <c r="T322" s="127"/>
      <c r="U322" s="127"/>
    </row>
    <row r="323" ht="14.25" customHeight="1">
      <c r="C323" s="126"/>
      <c r="D323" s="126"/>
      <c r="F323" s="127"/>
      <c r="G323" s="127"/>
      <c r="H323" s="127"/>
      <c r="I323" s="127"/>
      <c r="J323" s="126"/>
      <c r="P323" s="127"/>
      <c r="Q323" s="127"/>
      <c r="R323" s="127"/>
      <c r="S323" s="127"/>
      <c r="T323" s="127"/>
      <c r="U323" s="127"/>
    </row>
    <row r="324" ht="14.25" customHeight="1">
      <c r="C324" s="126"/>
      <c r="D324" s="126"/>
      <c r="F324" s="127"/>
      <c r="G324" s="127"/>
      <c r="H324" s="127"/>
      <c r="I324" s="127"/>
      <c r="J324" s="126"/>
      <c r="P324" s="127"/>
      <c r="Q324" s="127"/>
      <c r="R324" s="127"/>
      <c r="S324" s="127"/>
      <c r="T324" s="127"/>
      <c r="U324" s="127"/>
    </row>
    <row r="325" ht="14.25" customHeight="1">
      <c r="C325" s="126"/>
      <c r="D325" s="126"/>
      <c r="F325" s="127"/>
      <c r="G325" s="127"/>
      <c r="H325" s="127"/>
      <c r="I325" s="127"/>
      <c r="J325" s="126"/>
      <c r="P325" s="127"/>
      <c r="Q325" s="127"/>
      <c r="R325" s="127"/>
      <c r="S325" s="127"/>
      <c r="T325" s="127"/>
      <c r="U325" s="127"/>
    </row>
    <row r="326" ht="14.25" customHeight="1">
      <c r="C326" s="126"/>
      <c r="D326" s="126"/>
      <c r="F326" s="127"/>
      <c r="G326" s="127"/>
      <c r="H326" s="127"/>
      <c r="I326" s="127"/>
      <c r="J326" s="126"/>
      <c r="P326" s="127"/>
      <c r="Q326" s="127"/>
      <c r="R326" s="127"/>
      <c r="S326" s="127"/>
      <c r="T326" s="127"/>
      <c r="U326" s="127"/>
    </row>
    <row r="327" ht="14.25" customHeight="1">
      <c r="C327" s="126"/>
      <c r="D327" s="126"/>
      <c r="F327" s="127"/>
      <c r="G327" s="127"/>
      <c r="H327" s="127"/>
      <c r="I327" s="127"/>
      <c r="J327" s="126"/>
      <c r="P327" s="127"/>
      <c r="Q327" s="127"/>
      <c r="R327" s="127"/>
      <c r="S327" s="127"/>
      <c r="T327" s="127"/>
      <c r="U327" s="127"/>
    </row>
    <row r="328" ht="14.25" customHeight="1">
      <c r="C328" s="126"/>
      <c r="D328" s="126"/>
      <c r="F328" s="127"/>
      <c r="G328" s="127"/>
      <c r="H328" s="127"/>
      <c r="I328" s="127"/>
      <c r="J328" s="126"/>
      <c r="P328" s="127"/>
      <c r="Q328" s="127"/>
      <c r="R328" s="127"/>
      <c r="S328" s="127"/>
      <c r="T328" s="127"/>
      <c r="U328" s="127"/>
    </row>
    <row r="329" ht="14.25" customHeight="1">
      <c r="C329" s="126"/>
      <c r="D329" s="126"/>
      <c r="F329" s="127"/>
      <c r="G329" s="127"/>
      <c r="H329" s="127"/>
      <c r="I329" s="127"/>
      <c r="J329" s="126"/>
      <c r="P329" s="127"/>
      <c r="Q329" s="127"/>
      <c r="R329" s="127"/>
      <c r="S329" s="127"/>
      <c r="T329" s="127"/>
      <c r="U329" s="127"/>
    </row>
    <row r="330" ht="14.25" customHeight="1">
      <c r="C330" s="126"/>
      <c r="D330" s="126"/>
      <c r="F330" s="127"/>
      <c r="G330" s="127"/>
      <c r="H330" s="127"/>
      <c r="I330" s="127"/>
      <c r="J330" s="126"/>
      <c r="P330" s="127"/>
      <c r="Q330" s="127"/>
      <c r="R330" s="127"/>
      <c r="S330" s="127"/>
      <c r="T330" s="127"/>
      <c r="U330" s="127"/>
    </row>
    <row r="331" ht="14.25" customHeight="1">
      <c r="C331" s="126"/>
      <c r="D331" s="126"/>
      <c r="F331" s="127"/>
      <c r="G331" s="127"/>
      <c r="H331" s="127"/>
      <c r="I331" s="127"/>
      <c r="J331" s="126"/>
      <c r="P331" s="127"/>
      <c r="Q331" s="127"/>
      <c r="R331" s="127"/>
      <c r="S331" s="127"/>
      <c r="T331" s="127"/>
      <c r="U331" s="127"/>
    </row>
    <row r="332" ht="14.25" customHeight="1">
      <c r="C332" s="126"/>
      <c r="D332" s="126"/>
      <c r="F332" s="127"/>
      <c r="G332" s="127"/>
      <c r="H332" s="127"/>
      <c r="I332" s="127"/>
      <c r="J332" s="126"/>
      <c r="P332" s="127"/>
      <c r="Q332" s="127"/>
      <c r="R332" s="127"/>
      <c r="S332" s="127"/>
      <c r="T332" s="127"/>
      <c r="U332" s="127"/>
    </row>
    <row r="333" ht="14.25" customHeight="1">
      <c r="C333" s="126"/>
      <c r="D333" s="126"/>
      <c r="F333" s="127"/>
      <c r="G333" s="127"/>
      <c r="H333" s="127"/>
      <c r="I333" s="127"/>
      <c r="J333" s="126"/>
      <c r="P333" s="127"/>
      <c r="Q333" s="127"/>
      <c r="R333" s="127"/>
      <c r="S333" s="127"/>
      <c r="T333" s="127"/>
      <c r="U333" s="127"/>
    </row>
    <row r="334" ht="14.25" customHeight="1">
      <c r="C334" s="126"/>
      <c r="D334" s="126"/>
      <c r="F334" s="127"/>
      <c r="G334" s="127"/>
      <c r="H334" s="127"/>
      <c r="I334" s="127"/>
      <c r="J334" s="126"/>
      <c r="P334" s="127"/>
      <c r="Q334" s="127"/>
      <c r="R334" s="127"/>
      <c r="S334" s="127"/>
      <c r="T334" s="127"/>
      <c r="U334" s="127"/>
    </row>
    <row r="335" ht="14.25" customHeight="1">
      <c r="C335" s="126"/>
      <c r="D335" s="126"/>
      <c r="F335" s="127"/>
      <c r="G335" s="127"/>
      <c r="H335" s="127"/>
      <c r="I335" s="127"/>
      <c r="J335" s="126"/>
      <c r="P335" s="127"/>
      <c r="Q335" s="127"/>
      <c r="R335" s="127"/>
      <c r="S335" s="127"/>
      <c r="T335" s="127"/>
      <c r="U335" s="127"/>
    </row>
    <row r="336" ht="14.25" customHeight="1">
      <c r="C336" s="126"/>
      <c r="D336" s="126"/>
      <c r="F336" s="127"/>
      <c r="G336" s="127"/>
      <c r="H336" s="127"/>
      <c r="I336" s="127"/>
      <c r="J336" s="126"/>
      <c r="P336" s="127"/>
      <c r="Q336" s="127"/>
      <c r="R336" s="127"/>
      <c r="S336" s="127"/>
      <c r="T336" s="127"/>
      <c r="U336" s="127"/>
    </row>
    <row r="337" ht="14.25" customHeight="1">
      <c r="C337" s="126"/>
      <c r="D337" s="126"/>
      <c r="F337" s="127"/>
      <c r="G337" s="127"/>
      <c r="H337" s="127"/>
      <c r="I337" s="127"/>
      <c r="J337" s="126"/>
      <c r="P337" s="127"/>
      <c r="Q337" s="127"/>
      <c r="R337" s="127"/>
      <c r="S337" s="127"/>
      <c r="T337" s="127"/>
      <c r="U337" s="127"/>
    </row>
    <row r="338" ht="14.25" customHeight="1">
      <c r="C338" s="126"/>
      <c r="D338" s="126"/>
      <c r="F338" s="127"/>
      <c r="G338" s="127"/>
      <c r="H338" s="127"/>
      <c r="I338" s="127"/>
      <c r="J338" s="126"/>
      <c r="P338" s="127"/>
      <c r="Q338" s="127"/>
      <c r="R338" s="127"/>
      <c r="S338" s="127"/>
      <c r="T338" s="127"/>
      <c r="U338" s="127"/>
    </row>
    <row r="339" ht="14.25" customHeight="1">
      <c r="C339" s="126"/>
      <c r="D339" s="126"/>
      <c r="F339" s="127"/>
      <c r="G339" s="127"/>
      <c r="H339" s="127"/>
      <c r="I339" s="127"/>
      <c r="J339" s="126"/>
      <c r="P339" s="127"/>
      <c r="Q339" s="127"/>
      <c r="R339" s="127"/>
      <c r="S339" s="127"/>
      <c r="T339" s="127"/>
      <c r="U339" s="127"/>
    </row>
    <row r="340" ht="14.25" customHeight="1">
      <c r="C340" s="126"/>
      <c r="D340" s="126"/>
      <c r="F340" s="127"/>
      <c r="G340" s="127"/>
      <c r="H340" s="127"/>
      <c r="I340" s="127"/>
      <c r="J340" s="126"/>
      <c r="P340" s="127"/>
      <c r="Q340" s="127"/>
      <c r="R340" s="127"/>
      <c r="S340" s="127"/>
      <c r="T340" s="127"/>
      <c r="U340" s="127"/>
    </row>
    <row r="341" ht="14.25" customHeight="1">
      <c r="C341" s="126"/>
      <c r="D341" s="126"/>
      <c r="F341" s="127"/>
      <c r="G341" s="127"/>
      <c r="H341" s="127"/>
      <c r="I341" s="127"/>
      <c r="J341" s="126"/>
      <c r="P341" s="127"/>
      <c r="Q341" s="127"/>
      <c r="R341" s="127"/>
      <c r="S341" s="127"/>
      <c r="T341" s="127"/>
      <c r="U341" s="127"/>
    </row>
    <row r="342" ht="14.25" customHeight="1">
      <c r="C342" s="126"/>
      <c r="D342" s="126"/>
      <c r="F342" s="127"/>
      <c r="G342" s="127"/>
      <c r="H342" s="127"/>
      <c r="I342" s="127"/>
      <c r="J342" s="126"/>
      <c r="P342" s="127"/>
      <c r="Q342" s="127"/>
      <c r="R342" s="127"/>
      <c r="S342" s="127"/>
      <c r="T342" s="127"/>
      <c r="U342" s="127"/>
    </row>
    <row r="343" ht="14.25" customHeight="1">
      <c r="C343" s="126"/>
      <c r="D343" s="126"/>
      <c r="F343" s="127"/>
      <c r="G343" s="127"/>
      <c r="H343" s="127"/>
      <c r="I343" s="127"/>
      <c r="J343" s="126"/>
      <c r="P343" s="127"/>
      <c r="Q343" s="127"/>
      <c r="R343" s="127"/>
      <c r="S343" s="127"/>
      <c r="T343" s="127"/>
      <c r="U343" s="127"/>
    </row>
    <row r="344" ht="14.25" customHeight="1">
      <c r="C344" s="126"/>
      <c r="D344" s="126"/>
      <c r="F344" s="127"/>
      <c r="G344" s="127"/>
      <c r="H344" s="127"/>
      <c r="I344" s="127"/>
      <c r="J344" s="126"/>
      <c r="P344" s="127"/>
      <c r="Q344" s="127"/>
      <c r="R344" s="127"/>
      <c r="S344" s="127"/>
      <c r="T344" s="127"/>
      <c r="U344" s="127"/>
    </row>
    <row r="345" ht="14.25" customHeight="1">
      <c r="C345" s="126"/>
      <c r="D345" s="126"/>
      <c r="F345" s="127"/>
      <c r="G345" s="127"/>
      <c r="H345" s="127"/>
      <c r="I345" s="127"/>
      <c r="J345" s="126"/>
      <c r="P345" s="127"/>
      <c r="Q345" s="127"/>
      <c r="R345" s="127"/>
      <c r="S345" s="127"/>
      <c r="T345" s="127"/>
      <c r="U345" s="127"/>
    </row>
    <row r="346" ht="14.25" customHeight="1">
      <c r="C346" s="126"/>
      <c r="D346" s="126"/>
      <c r="F346" s="127"/>
      <c r="G346" s="127"/>
      <c r="H346" s="127"/>
      <c r="I346" s="127"/>
      <c r="J346" s="126"/>
      <c r="P346" s="127"/>
      <c r="Q346" s="127"/>
      <c r="R346" s="127"/>
      <c r="S346" s="127"/>
      <c r="T346" s="127"/>
      <c r="U346" s="127"/>
    </row>
    <row r="347" ht="14.25" customHeight="1">
      <c r="C347" s="126"/>
      <c r="D347" s="126"/>
      <c r="F347" s="127"/>
      <c r="G347" s="127"/>
      <c r="H347" s="127"/>
      <c r="I347" s="127"/>
      <c r="J347" s="126"/>
      <c r="P347" s="127"/>
      <c r="Q347" s="127"/>
      <c r="R347" s="127"/>
      <c r="S347" s="127"/>
      <c r="T347" s="127"/>
      <c r="U347" s="127"/>
    </row>
    <row r="348" ht="14.25" customHeight="1">
      <c r="C348" s="126"/>
      <c r="D348" s="126"/>
      <c r="F348" s="127"/>
      <c r="G348" s="127"/>
      <c r="H348" s="127"/>
      <c r="I348" s="127"/>
      <c r="J348" s="126"/>
      <c r="P348" s="127"/>
      <c r="Q348" s="127"/>
      <c r="R348" s="127"/>
      <c r="S348" s="127"/>
      <c r="T348" s="127"/>
      <c r="U348" s="127"/>
    </row>
    <row r="349" ht="14.25" customHeight="1">
      <c r="C349" s="126"/>
      <c r="D349" s="126"/>
      <c r="F349" s="127"/>
      <c r="G349" s="127"/>
      <c r="H349" s="127"/>
      <c r="I349" s="127"/>
      <c r="J349" s="126"/>
      <c r="P349" s="127"/>
      <c r="Q349" s="127"/>
      <c r="R349" s="127"/>
      <c r="S349" s="127"/>
      <c r="T349" s="127"/>
      <c r="U349" s="127"/>
    </row>
    <row r="350" ht="14.25" customHeight="1">
      <c r="C350" s="126"/>
      <c r="D350" s="126"/>
      <c r="F350" s="127"/>
      <c r="G350" s="127"/>
      <c r="H350" s="127"/>
      <c r="I350" s="127"/>
      <c r="J350" s="126"/>
      <c r="P350" s="127"/>
      <c r="Q350" s="127"/>
      <c r="R350" s="127"/>
      <c r="S350" s="127"/>
      <c r="T350" s="127"/>
      <c r="U350" s="127"/>
    </row>
    <row r="351" ht="14.25" customHeight="1">
      <c r="C351" s="126"/>
      <c r="D351" s="126"/>
      <c r="F351" s="127"/>
      <c r="G351" s="127"/>
      <c r="H351" s="127"/>
      <c r="I351" s="127"/>
      <c r="J351" s="126"/>
      <c r="P351" s="127"/>
      <c r="Q351" s="127"/>
      <c r="R351" s="127"/>
      <c r="S351" s="127"/>
      <c r="T351" s="127"/>
      <c r="U351" s="127"/>
    </row>
    <row r="352" ht="14.25" customHeight="1">
      <c r="C352" s="126"/>
      <c r="D352" s="126"/>
      <c r="F352" s="127"/>
      <c r="G352" s="127"/>
      <c r="H352" s="127"/>
      <c r="I352" s="127"/>
      <c r="J352" s="126"/>
      <c r="P352" s="127"/>
      <c r="Q352" s="127"/>
      <c r="R352" s="127"/>
      <c r="S352" s="127"/>
      <c r="T352" s="127"/>
      <c r="U352" s="127"/>
    </row>
    <row r="353" ht="14.25" customHeight="1">
      <c r="C353" s="126"/>
      <c r="D353" s="126"/>
      <c r="F353" s="127"/>
      <c r="G353" s="127"/>
      <c r="H353" s="127"/>
      <c r="I353" s="127"/>
      <c r="J353" s="126"/>
      <c r="P353" s="127"/>
      <c r="Q353" s="127"/>
      <c r="R353" s="127"/>
      <c r="S353" s="127"/>
      <c r="T353" s="127"/>
      <c r="U353" s="127"/>
    </row>
    <row r="354" ht="14.25" customHeight="1">
      <c r="C354" s="126"/>
      <c r="D354" s="126"/>
      <c r="F354" s="127"/>
      <c r="G354" s="127"/>
      <c r="H354" s="127"/>
      <c r="I354" s="127"/>
      <c r="J354" s="126"/>
      <c r="P354" s="127"/>
      <c r="Q354" s="127"/>
      <c r="R354" s="127"/>
      <c r="S354" s="127"/>
      <c r="T354" s="127"/>
      <c r="U354" s="127"/>
    </row>
    <row r="355" ht="14.25" customHeight="1">
      <c r="C355" s="126"/>
      <c r="D355" s="126"/>
      <c r="F355" s="127"/>
      <c r="G355" s="127"/>
      <c r="H355" s="127"/>
      <c r="I355" s="127"/>
      <c r="J355" s="126"/>
      <c r="P355" s="127"/>
      <c r="Q355" s="127"/>
      <c r="R355" s="127"/>
      <c r="S355" s="127"/>
      <c r="T355" s="127"/>
      <c r="U355" s="127"/>
    </row>
    <row r="356" ht="14.25" customHeight="1">
      <c r="C356" s="126"/>
      <c r="D356" s="126"/>
      <c r="F356" s="127"/>
      <c r="G356" s="127"/>
      <c r="H356" s="127"/>
      <c r="I356" s="127"/>
      <c r="J356" s="126"/>
      <c r="P356" s="127"/>
      <c r="Q356" s="127"/>
      <c r="R356" s="127"/>
      <c r="S356" s="127"/>
      <c r="T356" s="127"/>
      <c r="U356" s="127"/>
    </row>
    <row r="357" ht="14.25" customHeight="1">
      <c r="C357" s="126"/>
      <c r="D357" s="126"/>
      <c r="F357" s="127"/>
      <c r="G357" s="127"/>
      <c r="H357" s="127"/>
      <c r="I357" s="127"/>
      <c r="J357" s="126"/>
      <c r="P357" s="127"/>
      <c r="Q357" s="127"/>
      <c r="R357" s="127"/>
      <c r="S357" s="127"/>
      <c r="T357" s="127"/>
      <c r="U357" s="127"/>
    </row>
    <row r="358" ht="14.25" customHeight="1">
      <c r="C358" s="126"/>
      <c r="D358" s="126"/>
      <c r="F358" s="127"/>
      <c r="G358" s="127"/>
      <c r="H358" s="127"/>
      <c r="I358" s="127"/>
      <c r="J358" s="126"/>
      <c r="P358" s="127"/>
      <c r="Q358" s="127"/>
      <c r="R358" s="127"/>
      <c r="S358" s="127"/>
      <c r="T358" s="127"/>
      <c r="U358" s="127"/>
    </row>
    <row r="359" ht="14.25" customHeight="1">
      <c r="C359" s="126"/>
      <c r="D359" s="126"/>
      <c r="F359" s="127"/>
      <c r="G359" s="127"/>
      <c r="H359" s="127"/>
      <c r="I359" s="127"/>
      <c r="J359" s="126"/>
      <c r="P359" s="127"/>
      <c r="Q359" s="127"/>
      <c r="R359" s="127"/>
      <c r="S359" s="127"/>
      <c r="T359" s="127"/>
      <c r="U359" s="127"/>
    </row>
    <row r="360" ht="14.25" customHeight="1">
      <c r="C360" s="126"/>
      <c r="D360" s="126"/>
      <c r="F360" s="127"/>
      <c r="G360" s="127"/>
      <c r="H360" s="127"/>
      <c r="I360" s="127"/>
      <c r="J360" s="126"/>
      <c r="P360" s="127"/>
      <c r="Q360" s="127"/>
      <c r="R360" s="127"/>
      <c r="S360" s="127"/>
      <c r="T360" s="127"/>
      <c r="U360" s="127"/>
    </row>
    <row r="361" ht="14.25" customHeight="1">
      <c r="C361" s="126"/>
      <c r="D361" s="126"/>
      <c r="F361" s="127"/>
      <c r="G361" s="127"/>
      <c r="H361" s="127"/>
      <c r="I361" s="127"/>
      <c r="J361" s="126"/>
      <c r="P361" s="127"/>
      <c r="Q361" s="127"/>
      <c r="R361" s="127"/>
      <c r="S361" s="127"/>
      <c r="T361" s="127"/>
      <c r="U361" s="127"/>
    </row>
    <row r="362" ht="14.25" customHeight="1">
      <c r="C362" s="126"/>
      <c r="D362" s="126"/>
      <c r="F362" s="127"/>
      <c r="G362" s="127"/>
      <c r="H362" s="127"/>
      <c r="I362" s="127"/>
      <c r="J362" s="126"/>
      <c r="P362" s="127"/>
      <c r="Q362" s="127"/>
      <c r="R362" s="127"/>
      <c r="S362" s="127"/>
      <c r="T362" s="127"/>
      <c r="U362" s="127"/>
    </row>
    <row r="363" ht="14.25" customHeight="1">
      <c r="C363" s="126"/>
      <c r="D363" s="126"/>
      <c r="F363" s="127"/>
      <c r="G363" s="127"/>
      <c r="H363" s="127"/>
      <c r="I363" s="127"/>
      <c r="J363" s="126"/>
      <c r="P363" s="127"/>
      <c r="Q363" s="127"/>
      <c r="R363" s="127"/>
      <c r="S363" s="127"/>
      <c r="T363" s="127"/>
      <c r="U363" s="127"/>
    </row>
    <row r="364" ht="14.25" customHeight="1">
      <c r="C364" s="126"/>
      <c r="D364" s="126"/>
      <c r="F364" s="127"/>
      <c r="G364" s="127"/>
      <c r="H364" s="127"/>
      <c r="I364" s="127"/>
      <c r="J364" s="126"/>
      <c r="P364" s="127"/>
      <c r="Q364" s="127"/>
      <c r="R364" s="127"/>
      <c r="S364" s="127"/>
      <c r="T364" s="127"/>
      <c r="U364" s="127"/>
    </row>
    <row r="365" ht="14.25" customHeight="1">
      <c r="C365" s="126"/>
      <c r="D365" s="126"/>
      <c r="F365" s="127"/>
      <c r="G365" s="127"/>
      <c r="H365" s="127"/>
      <c r="I365" s="127"/>
      <c r="J365" s="126"/>
      <c r="P365" s="127"/>
      <c r="Q365" s="127"/>
      <c r="R365" s="127"/>
      <c r="S365" s="127"/>
      <c r="T365" s="127"/>
      <c r="U365" s="127"/>
    </row>
    <row r="366" ht="14.25" customHeight="1">
      <c r="C366" s="126"/>
      <c r="D366" s="126"/>
      <c r="F366" s="127"/>
      <c r="G366" s="127"/>
      <c r="H366" s="127"/>
      <c r="I366" s="127"/>
      <c r="J366" s="126"/>
      <c r="P366" s="127"/>
      <c r="Q366" s="127"/>
      <c r="R366" s="127"/>
      <c r="S366" s="127"/>
      <c r="T366" s="127"/>
      <c r="U366" s="127"/>
    </row>
    <row r="367" ht="14.25" customHeight="1">
      <c r="C367" s="126"/>
      <c r="D367" s="126"/>
      <c r="F367" s="127"/>
      <c r="G367" s="127"/>
      <c r="H367" s="127"/>
      <c r="I367" s="127"/>
      <c r="J367" s="126"/>
      <c r="P367" s="127"/>
      <c r="Q367" s="127"/>
      <c r="R367" s="127"/>
      <c r="S367" s="127"/>
      <c r="T367" s="127"/>
      <c r="U367" s="127"/>
    </row>
    <row r="368" ht="14.25" customHeight="1">
      <c r="C368" s="126"/>
      <c r="D368" s="126"/>
      <c r="F368" s="127"/>
      <c r="G368" s="127"/>
      <c r="H368" s="127"/>
      <c r="I368" s="127"/>
      <c r="J368" s="126"/>
      <c r="P368" s="127"/>
      <c r="Q368" s="127"/>
      <c r="R368" s="127"/>
      <c r="S368" s="127"/>
      <c r="T368" s="127"/>
      <c r="U368" s="127"/>
    </row>
    <row r="369" ht="14.25" customHeight="1">
      <c r="C369" s="126"/>
      <c r="D369" s="126"/>
      <c r="F369" s="127"/>
      <c r="G369" s="127"/>
      <c r="H369" s="127"/>
      <c r="I369" s="127"/>
      <c r="J369" s="126"/>
      <c r="P369" s="127"/>
      <c r="Q369" s="127"/>
      <c r="R369" s="127"/>
      <c r="S369" s="127"/>
      <c r="T369" s="127"/>
      <c r="U369" s="127"/>
    </row>
    <row r="370" ht="14.25" customHeight="1">
      <c r="C370" s="126"/>
      <c r="D370" s="126"/>
      <c r="F370" s="127"/>
      <c r="G370" s="127"/>
      <c r="H370" s="127"/>
      <c r="I370" s="127"/>
      <c r="J370" s="126"/>
      <c r="P370" s="127"/>
      <c r="Q370" s="127"/>
      <c r="R370" s="127"/>
      <c r="S370" s="127"/>
      <c r="T370" s="127"/>
      <c r="U370" s="127"/>
    </row>
    <row r="371" ht="14.25" customHeight="1">
      <c r="C371" s="126"/>
      <c r="D371" s="126"/>
      <c r="F371" s="127"/>
      <c r="G371" s="127"/>
      <c r="H371" s="127"/>
      <c r="I371" s="127"/>
      <c r="J371" s="126"/>
      <c r="P371" s="127"/>
      <c r="Q371" s="127"/>
      <c r="R371" s="127"/>
      <c r="S371" s="127"/>
      <c r="T371" s="127"/>
      <c r="U371" s="127"/>
    </row>
    <row r="372" ht="14.25" customHeight="1">
      <c r="C372" s="126"/>
      <c r="D372" s="126"/>
      <c r="F372" s="127"/>
      <c r="G372" s="127"/>
      <c r="H372" s="127"/>
      <c r="I372" s="127"/>
      <c r="J372" s="126"/>
      <c r="P372" s="127"/>
      <c r="Q372" s="127"/>
      <c r="R372" s="127"/>
      <c r="S372" s="127"/>
      <c r="T372" s="127"/>
      <c r="U372" s="127"/>
    </row>
    <row r="373" ht="14.25" customHeight="1">
      <c r="C373" s="126"/>
      <c r="D373" s="126"/>
      <c r="F373" s="127"/>
      <c r="G373" s="127"/>
      <c r="H373" s="127"/>
      <c r="I373" s="127"/>
      <c r="J373" s="126"/>
      <c r="P373" s="127"/>
      <c r="Q373" s="127"/>
      <c r="R373" s="127"/>
      <c r="S373" s="127"/>
      <c r="T373" s="127"/>
      <c r="U373" s="127"/>
    </row>
    <row r="374" ht="14.25" customHeight="1">
      <c r="C374" s="126"/>
      <c r="D374" s="126"/>
      <c r="F374" s="127"/>
      <c r="G374" s="127"/>
      <c r="H374" s="127"/>
      <c r="I374" s="127"/>
      <c r="J374" s="126"/>
      <c r="P374" s="127"/>
      <c r="Q374" s="127"/>
      <c r="R374" s="127"/>
      <c r="S374" s="127"/>
      <c r="T374" s="127"/>
      <c r="U374" s="127"/>
    </row>
    <row r="375" ht="14.25" customHeight="1">
      <c r="C375" s="126"/>
      <c r="D375" s="126"/>
      <c r="F375" s="127"/>
      <c r="G375" s="127"/>
      <c r="H375" s="127"/>
      <c r="I375" s="127"/>
      <c r="J375" s="126"/>
      <c r="P375" s="127"/>
      <c r="Q375" s="127"/>
      <c r="R375" s="127"/>
      <c r="S375" s="127"/>
      <c r="T375" s="127"/>
      <c r="U375" s="127"/>
    </row>
    <row r="376" ht="14.25" customHeight="1">
      <c r="C376" s="126"/>
      <c r="D376" s="126"/>
      <c r="F376" s="127"/>
      <c r="G376" s="127"/>
      <c r="H376" s="127"/>
      <c r="I376" s="127"/>
      <c r="J376" s="126"/>
      <c r="P376" s="127"/>
      <c r="Q376" s="127"/>
      <c r="R376" s="127"/>
      <c r="S376" s="127"/>
      <c r="T376" s="127"/>
      <c r="U376" s="127"/>
    </row>
    <row r="377" ht="14.25" customHeight="1">
      <c r="C377" s="126"/>
      <c r="D377" s="126"/>
      <c r="F377" s="127"/>
      <c r="G377" s="127"/>
      <c r="H377" s="127"/>
      <c r="I377" s="127"/>
      <c r="J377" s="126"/>
      <c r="P377" s="127"/>
      <c r="Q377" s="127"/>
      <c r="R377" s="127"/>
      <c r="S377" s="127"/>
      <c r="T377" s="127"/>
      <c r="U377" s="127"/>
    </row>
    <row r="378" ht="14.25" customHeight="1">
      <c r="C378" s="126"/>
      <c r="D378" s="126"/>
      <c r="F378" s="127"/>
      <c r="G378" s="127"/>
      <c r="H378" s="127"/>
      <c r="I378" s="127"/>
      <c r="J378" s="126"/>
      <c r="P378" s="127"/>
      <c r="Q378" s="127"/>
      <c r="R378" s="127"/>
      <c r="S378" s="127"/>
      <c r="T378" s="127"/>
      <c r="U378" s="127"/>
    </row>
    <row r="379" ht="14.25" customHeight="1">
      <c r="C379" s="126"/>
      <c r="D379" s="126"/>
      <c r="F379" s="127"/>
      <c r="G379" s="127"/>
      <c r="H379" s="127"/>
      <c r="I379" s="127"/>
      <c r="J379" s="126"/>
      <c r="P379" s="127"/>
      <c r="Q379" s="127"/>
      <c r="R379" s="127"/>
      <c r="S379" s="127"/>
      <c r="T379" s="127"/>
      <c r="U379" s="127"/>
    </row>
    <row r="380" ht="14.25" customHeight="1">
      <c r="C380" s="126"/>
      <c r="D380" s="126"/>
      <c r="F380" s="127"/>
      <c r="G380" s="127"/>
      <c r="H380" s="127"/>
      <c r="I380" s="127"/>
      <c r="J380" s="126"/>
      <c r="P380" s="127"/>
      <c r="Q380" s="127"/>
      <c r="R380" s="127"/>
      <c r="S380" s="127"/>
      <c r="T380" s="127"/>
      <c r="U380" s="127"/>
    </row>
    <row r="381" ht="14.25" customHeight="1">
      <c r="C381" s="126"/>
      <c r="D381" s="126"/>
      <c r="F381" s="127"/>
      <c r="G381" s="127"/>
      <c r="H381" s="127"/>
      <c r="I381" s="127"/>
      <c r="J381" s="126"/>
      <c r="P381" s="127"/>
      <c r="Q381" s="127"/>
      <c r="R381" s="127"/>
      <c r="S381" s="127"/>
      <c r="T381" s="127"/>
      <c r="U381" s="127"/>
    </row>
    <row r="382" ht="14.25" customHeight="1">
      <c r="C382" s="126"/>
      <c r="D382" s="126"/>
      <c r="F382" s="127"/>
      <c r="G382" s="127"/>
      <c r="H382" s="127"/>
      <c r="I382" s="127"/>
      <c r="J382" s="126"/>
      <c r="P382" s="127"/>
      <c r="Q382" s="127"/>
      <c r="R382" s="127"/>
      <c r="S382" s="127"/>
      <c r="T382" s="127"/>
      <c r="U382" s="127"/>
    </row>
    <row r="383" ht="14.25" customHeight="1">
      <c r="C383" s="126"/>
      <c r="D383" s="126"/>
      <c r="F383" s="127"/>
      <c r="G383" s="127"/>
      <c r="H383" s="127"/>
      <c r="I383" s="127"/>
      <c r="J383" s="126"/>
      <c r="P383" s="127"/>
      <c r="Q383" s="127"/>
      <c r="R383" s="127"/>
      <c r="S383" s="127"/>
      <c r="T383" s="127"/>
      <c r="U383" s="127"/>
    </row>
    <row r="384" ht="14.25" customHeight="1">
      <c r="C384" s="126"/>
      <c r="D384" s="126"/>
      <c r="F384" s="127"/>
      <c r="G384" s="127"/>
      <c r="H384" s="127"/>
      <c r="I384" s="127"/>
      <c r="J384" s="126"/>
      <c r="P384" s="127"/>
      <c r="Q384" s="127"/>
      <c r="R384" s="127"/>
      <c r="S384" s="127"/>
      <c r="T384" s="127"/>
      <c r="U384" s="127"/>
    </row>
    <row r="385" ht="14.25" customHeight="1">
      <c r="C385" s="126"/>
      <c r="D385" s="126"/>
      <c r="F385" s="127"/>
      <c r="G385" s="127"/>
      <c r="H385" s="127"/>
      <c r="I385" s="127"/>
      <c r="J385" s="126"/>
      <c r="P385" s="127"/>
      <c r="Q385" s="127"/>
      <c r="R385" s="127"/>
      <c r="S385" s="127"/>
      <c r="T385" s="127"/>
      <c r="U385" s="127"/>
    </row>
    <row r="386" ht="14.25" customHeight="1">
      <c r="C386" s="126"/>
      <c r="D386" s="126"/>
      <c r="F386" s="127"/>
      <c r="G386" s="127"/>
      <c r="H386" s="127"/>
      <c r="I386" s="127"/>
      <c r="J386" s="126"/>
      <c r="P386" s="127"/>
      <c r="Q386" s="127"/>
      <c r="R386" s="127"/>
      <c r="S386" s="127"/>
      <c r="T386" s="127"/>
      <c r="U386" s="127"/>
    </row>
    <row r="387" ht="14.25" customHeight="1">
      <c r="C387" s="126"/>
      <c r="D387" s="126"/>
      <c r="F387" s="127"/>
      <c r="G387" s="127"/>
      <c r="H387" s="127"/>
      <c r="I387" s="127"/>
      <c r="J387" s="126"/>
      <c r="P387" s="127"/>
      <c r="Q387" s="127"/>
      <c r="R387" s="127"/>
      <c r="S387" s="127"/>
      <c r="T387" s="127"/>
      <c r="U387" s="127"/>
    </row>
    <row r="388" ht="14.25" customHeight="1">
      <c r="C388" s="126"/>
      <c r="D388" s="126"/>
      <c r="F388" s="127"/>
      <c r="G388" s="127"/>
      <c r="H388" s="127"/>
      <c r="I388" s="127"/>
      <c r="J388" s="126"/>
      <c r="P388" s="127"/>
      <c r="Q388" s="127"/>
      <c r="R388" s="127"/>
      <c r="S388" s="127"/>
      <c r="T388" s="127"/>
      <c r="U388" s="127"/>
    </row>
    <row r="389" ht="14.25" customHeight="1">
      <c r="C389" s="126"/>
      <c r="D389" s="126"/>
      <c r="F389" s="127"/>
      <c r="G389" s="127"/>
      <c r="H389" s="127"/>
      <c r="I389" s="127"/>
      <c r="J389" s="126"/>
      <c r="P389" s="127"/>
      <c r="Q389" s="127"/>
      <c r="R389" s="127"/>
      <c r="S389" s="127"/>
      <c r="T389" s="127"/>
      <c r="U389" s="127"/>
    </row>
    <row r="390" ht="14.25" customHeight="1">
      <c r="C390" s="126"/>
      <c r="D390" s="126"/>
      <c r="F390" s="127"/>
      <c r="G390" s="127"/>
      <c r="H390" s="127"/>
      <c r="I390" s="127"/>
      <c r="J390" s="126"/>
      <c r="P390" s="127"/>
      <c r="Q390" s="127"/>
      <c r="R390" s="127"/>
      <c r="S390" s="127"/>
      <c r="T390" s="127"/>
      <c r="U390" s="127"/>
    </row>
    <row r="391" ht="14.25" customHeight="1">
      <c r="C391" s="126"/>
      <c r="D391" s="126"/>
      <c r="F391" s="127"/>
      <c r="G391" s="127"/>
      <c r="H391" s="127"/>
      <c r="I391" s="127"/>
      <c r="J391" s="126"/>
      <c r="P391" s="127"/>
      <c r="Q391" s="127"/>
      <c r="R391" s="127"/>
      <c r="S391" s="127"/>
      <c r="T391" s="127"/>
      <c r="U391" s="127"/>
    </row>
    <row r="392" ht="14.25" customHeight="1">
      <c r="C392" s="126"/>
      <c r="D392" s="126"/>
      <c r="F392" s="127"/>
      <c r="G392" s="127"/>
      <c r="H392" s="127"/>
      <c r="I392" s="127"/>
      <c r="J392" s="126"/>
      <c r="P392" s="127"/>
      <c r="Q392" s="127"/>
      <c r="R392" s="127"/>
      <c r="S392" s="127"/>
      <c r="T392" s="127"/>
      <c r="U392" s="127"/>
    </row>
    <row r="393" ht="14.25" customHeight="1">
      <c r="C393" s="126"/>
      <c r="D393" s="126"/>
      <c r="F393" s="127"/>
      <c r="G393" s="127"/>
      <c r="H393" s="127"/>
      <c r="I393" s="127"/>
      <c r="J393" s="126"/>
      <c r="P393" s="127"/>
      <c r="Q393" s="127"/>
      <c r="R393" s="127"/>
      <c r="S393" s="127"/>
      <c r="T393" s="127"/>
      <c r="U393" s="127"/>
    </row>
    <row r="394" ht="14.25" customHeight="1">
      <c r="C394" s="126"/>
      <c r="D394" s="126"/>
      <c r="F394" s="127"/>
      <c r="G394" s="127"/>
      <c r="H394" s="127"/>
      <c r="I394" s="127"/>
      <c r="J394" s="126"/>
      <c r="P394" s="127"/>
      <c r="Q394" s="127"/>
      <c r="R394" s="127"/>
      <c r="S394" s="127"/>
      <c r="T394" s="127"/>
      <c r="U394" s="127"/>
    </row>
    <row r="395" ht="14.25" customHeight="1">
      <c r="C395" s="126"/>
      <c r="D395" s="126"/>
      <c r="F395" s="127"/>
      <c r="G395" s="127"/>
      <c r="H395" s="127"/>
      <c r="I395" s="127"/>
      <c r="J395" s="126"/>
      <c r="P395" s="127"/>
      <c r="Q395" s="127"/>
      <c r="R395" s="127"/>
      <c r="S395" s="127"/>
      <c r="T395" s="127"/>
      <c r="U395" s="127"/>
    </row>
    <row r="396" ht="14.25" customHeight="1">
      <c r="C396" s="126"/>
      <c r="D396" s="126"/>
      <c r="F396" s="127"/>
      <c r="G396" s="127"/>
      <c r="H396" s="127"/>
      <c r="I396" s="127"/>
      <c r="J396" s="126"/>
      <c r="P396" s="127"/>
      <c r="Q396" s="127"/>
      <c r="R396" s="127"/>
      <c r="S396" s="127"/>
      <c r="T396" s="127"/>
      <c r="U396" s="127"/>
    </row>
    <row r="397" ht="14.25" customHeight="1">
      <c r="C397" s="126"/>
      <c r="D397" s="126"/>
      <c r="F397" s="127"/>
      <c r="G397" s="127"/>
      <c r="H397" s="127"/>
      <c r="I397" s="127"/>
      <c r="J397" s="126"/>
      <c r="P397" s="127"/>
      <c r="Q397" s="127"/>
      <c r="R397" s="127"/>
      <c r="S397" s="127"/>
      <c r="T397" s="127"/>
      <c r="U397" s="127"/>
    </row>
    <row r="398" ht="14.25" customHeight="1">
      <c r="C398" s="126"/>
      <c r="D398" s="126"/>
      <c r="F398" s="127"/>
      <c r="G398" s="127"/>
      <c r="H398" s="127"/>
      <c r="I398" s="127"/>
      <c r="J398" s="126"/>
      <c r="P398" s="127"/>
      <c r="Q398" s="127"/>
      <c r="R398" s="127"/>
      <c r="S398" s="127"/>
      <c r="T398" s="127"/>
      <c r="U398" s="127"/>
    </row>
    <row r="399" ht="14.25" customHeight="1">
      <c r="C399" s="126"/>
      <c r="D399" s="126"/>
      <c r="F399" s="127"/>
      <c r="G399" s="127"/>
      <c r="H399" s="127"/>
      <c r="I399" s="127"/>
      <c r="J399" s="126"/>
      <c r="P399" s="127"/>
      <c r="Q399" s="127"/>
      <c r="R399" s="127"/>
      <c r="S399" s="127"/>
      <c r="T399" s="127"/>
      <c r="U399" s="127"/>
    </row>
    <row r="400" ht="14.25" customHeight="1">
      <c r="C400" s="126"/>
      <c r="D400" s="126"/>
      <c r="F400" s="127"/>
      <c r="G400" s="127"/>
      <c r="H400" s="127"/>
      <c r="I400" s="127"/>
      <c r="J400" s="126"/>
      <c r="P400" s="127"/>
      <c r="Q400" s="127"/>
      <c r="R400" s="127"/>
      <c r="S400" s="127"/>
      <c r="T400" s="127"/>
      <c r="U400" s="127"/>
    </row>
    <row r="401" ht="14.25" customHeight="1">
      <c r="C401" s="126"/>
      <c r="D401" s="126"/>
      <c r="F401" s="127"/>
      <c r="G401" s="127"/>
      <c r="H401" s="127"/>
      <c r="I401" s="127"/>
      <c r="J401" s="126"/>
      <c r="P401" s="127"/>
      <c r="Q401" s="127"/>
      <c r="R401" s="127"/>
      <c r="S401" s="127"/>
      <c r="T401" s="127"/>
      <c r="U401" s="127"/>
    </row>
    <row r="402" ht="14.25" customHeight="1">
      <c r="C402" s="126"/>
      <c r="D402" s="126"/>
      <c r="F402" s="127"/>
      <c r="G402" s="127"/>
      <c r="H402" s="127"/>
      <c r="I402" s="127"/>
      <c r="J402" s="126"/>
      <c r="P402" s="127"/>
      <c r="Q402" s="127"/>
      <c r="R402" s="127"/>
      <c r="S402" s="127"/>
      <c r="T402" s="127"/>
      <c r="U402" s="127"/>
    </row>
    <row r="403" ht="14.25" customHeight="1">
      <c r="C403" s="126"/>
      <c r="D403" s="126"/>
      <c r="F403" s="127"/>
      <c r="G403" s="127"/>
      <c r="H403" s="127"/>
      <c r="I403" s="127"/>
      <c r="J403" s="126"/>
      <c r="P403" s="127"/>
      <c r="Q403" s="127"/>
      <c r="R403" s="127"/>
      <c r="S403" s="127"/>
      <c r="T403" s="127"/>
      <c r="U403" s="127"/>
    </row>
    <row r="404" ht="14.25" customHeight="1">
      <c r="C404" s="126"/>
      <c r="D404" s="126"/>
      <c r="F404" s="127"/>
      <c r="G404" s="127"/>
      <c r="H404" s="127"/>
      <c r="I404" s="127"/>
      <c r="J404" s="126"/>
      <c r="P404" s="127"/>
      <c r="Q404" s="127"/>
      <c r="R404" s="127"/>
      <c r="S404" s="127"/>
      <c r="T404" s="127"/>
      <c r="U404" s="127"/>
    </row>
    <row r="405" ht="14.25" customHeight="1">
      <c r="C405" s="126"/>
      <c r="D405" s="126"/>
      <c r="F405" s="127"/>
      <c r="G405" s="127"/>
      <c r="H405" s="127"/>
      <c r="I405" s="127"/>
      <c r="J405" s="126"/>
      <c r="P405" s="127"/>
      <c r="Q405" s="127"/>
      <c r="R405" s="127"/>
      <c r="S405" s="127"/>
      <c r="T405" s="127"/>
      <c r="U405" s="127"/>
    </row>
    <row r="406" ht="14.25" customHeight="1">
      <c r="C406" s="126"/>
      <c r="D406" s="126"/>
      <c r="F406" s="127"/>
      <c r="G406" s="127"/>
      <c r="H406" s="127"/>
      <c r="I406" s="127"/>
      <c r="J406" s="126"/>
      <c r="P406" s="127"/>
      <c r="Q406" s="127"/>
      <c r="R406" s="127"/>
      <c r="S406" s="127"/>
      <c r="T406" s="127"/>
      <c r="U406" s="127"/>
    </row>
    <row r="407" ht="14.25" customHeight="1">
      <c r="C407" s="126"/>
      <c r="D407" s="126"/>
      <c r="F407" s="127"/>
      <c r="G407" s="127"/>
      <c r="H407" s="127"/>
      <c r="I407" s="127"/>
      <c r="J407" s="126"/>
      <c r="P407" s="127"/>
      <c r="Q407" s="127"/>
      <c r="R407" s="127"/>
      <c r="S407" s="127"/>
      <c r="T407" s="127"/>
      <c r="U407" s="127"/>
    </row>
    <row r="408" ht="14.25" customHeight="1">
      <c r="C408" s="126"/>
      <c r="D408" s="126"/>
      <c r="F408" s="127"/>
      <c r="G408" s="127"/>
      <c r="H408" s="127"/>
      <c r="I408" s="127"/>
      <c r="J408" s="126"/>
      <c r="P408" s="127"/>
      <c r="Q408" s="127"/>
      <c r="R408" s="127"/>
      <c r="S408" s="127"/>
      <c r="T408" s="127"/>
      <c r="U408" s="127"/>
    </row>
    <row r="409" ht="14.25" customHeight="1">
      <c r="C409" s="126"/>
      <c r="D409" s="126"/>
      <c r="F409" s="127"/>
      <c r="G409" s="127"/>
      <c r="H409" s="127"/>
      <c r="I409" s="127"/>
      <c r="J409" s="126"/>
      <c r="P409" s="127"/>
      <c r="Q409" s="127"/>
      <c r="R409" s="127"/>
      <c r="S409" s="127"/>
      <c r="T409" s="127"/>
      <c r="U409" s="127"/>
    </row>
    <row r="410" ht="14.25" customHeight="1">
      <c r="C410" s="126"/>
      <c r="D410" s="126"/>
      <c r="F410" s="127"/>
      <c r="G410" s="127"/>
      <c r="H410" s="127"/>
      <c r="I410" s="127"/>
      <c r="J410" s="126"/>
      <c r="P410" s="127"/>
      <c r="Q410" s="127"/>
      <c r="R410" s="127"/>
      <c r="S410" s="127"/>
      <c r="T410" s="127"/>
      <c r="U410" s="127"/>
    </row>
    <row r="411" ht="14.25" customHeight="1">
      <c r="C411" s="126"/>
      <c r="D411" s="126"/>
      <c r="F411" s="127"/>
      <c r="G411" s="127"/>
      <c r="H411" s="127"/>
      <c r="I411" s="127"/>
      <c r="J411" s="126"/>
      <c r="P411" s="127"/>
      <c r="Q411" s="127"/>
      <c r="R411" s="127"/>
      <c r="S411" s="127"/>
      <c r="T411" s="127"/>
      <c r="U411" s="127"/>
    </row>
    <row r="412" ht="14.25" customHeight="1">
      <c r="C412" s="126"/>
      <c r="D412" s="126"/>
      <c r="F412" s="127"/>
      <c r="G412" s="127"/>
      <c r="H412" s="127"/>
      <c r="I412" s="127"/>
      <c r="J412" s="126"/>
      <c r="P412" s="127"/>
      <c r="Q412" s="127"/>
      <c r="R412" s="127"/>
      <c r="S412" s="127"/>
      <c r="T412" s="127"/>
      <c r="U412" s="127"/>
    </row>
    <row r="413" ht="14.25" customHeight="1">
      <c r="C413" s="126"/>
      <c r="D413" s="126"/>
      <c r="F413" s="127"/>
      <c r="G413" s="127"/>
      <c r="H413" s="127"/>
      <c r="I413" s="127"/>
      <c r="J413" s="126"/>
      <c r="P413" s="127"/>
      <c r="Q413" s="127"/>
      <c r="R413" s="127"/>
      <c r="S413" s="127"/>
      <c r="T413" s="127"/>
      <c r="U413" s="127"/>
    </row>
    <row r="414" ht="14.25" customHeight="1">
      <c r="C414" s="126"/>
      <c r="D414" s="126"/>
      <c r="F414" s="127"/>
      <c r="G414" s="127"/>
      <c r="H414" s="127"/>
      <c r="I414" s="127"/>
      <c r="J414" s="126"/>
      <c r="P414" s="127"/>
      <c r="Q414" s="127"/>
      <c r="R414" s="127"/>
      <c r="S414" s="127"/>
      <c r="T414" s="127"/>
      <c r="U414" s="127"/>
    </row>
    <row r="415" ht="14.25" customHeight="1">
      <c r="C415" s="126"/>
      <c r="D415" s="126"/>
      <c r="F415" s="127"/>
      <c r="G415" s="127"/>
      <c r="H415" s="127"/>
      <c r="I415" s="127"/>
      <c r="J415" s="126"/>
      <c r="P415" s="127"/>
      <c r="Q415" s="127"/>
      <c r="R415" s="127"/>
      <c r="S415" s="127"/>
      <c r="T415" s="127"/>
      <c r="U415" s="127"/>
    </row>
    <row r="416" ht="14.25" customHeight="1">
      <c r="C416" s="126"/>
      <c r="D416" s="126"/>
      <c r="F416" s="127"/>
      <c r="G416" s="127"/>
      <c r="H416" s="127"/>
      <c r="I416" s="127"/>
      <c r="J416" s="126"/>
      <c r="P416" s="127"/>
      <c r="Q416" s="127"/>
      <c r="R416" s="127"/>
      <c r="S416" s="127"/>
      <c r="T416" s="127"/>
      <c r="U416" s="127"/>
    </row>
    <row r="417" ht="14.25" customHeight="1">
      <c r="C417" s="126"/>
      <c r="D417" s="126"/>
      <c r="F417" s="127"/>
      <c r="G417" s="127"/>
      <c r="H417" s="127"/>
      <c r="I417" s="127"/>
      <c r="J417" s="126"/>
      <c r="P417" s="127"/>
      <c r="Q417" s="127"/>
      <c r="R417" s="127"/>
      <c r="S417" s="127"/>
      <c r="T417" s="127"/>
      <c r="U417" s="127"/>
    </row>
    <row r="418" ht="14.25" customHeight="1">
      <c r="C418" s="126"/>
      <c r="D418" s="126"/>
      <c r="F418" s="127"/>
      <c r="G418" s="127"/>
      <c r="H418" s="127"/>
      <c r="I418" s="127"/>
      <c r="J418" s="126"/>
      <c r="P418" s="127"/>
      <c r="Q418" s="127"/>
      <c r="R418" s="127"/>
      <c r="S418" s="127"/>
      <c r="T418" s="127"/>
      <c r="U418" s="127"/>
    </row>
    <row r="419" ht="14.25" customHeight="1">
      <c r="C419" s="126"/>
      <c r="D419" s="126"/>
      <c r="F419" s="127"/>
      <c r="G419" s="127"/>
      <c r="H419" s="127"/>
      <c r="I419" s="127"/>
      <c r="J419" s="126"/>
      <c r="P419" s="127"/>
      <c r="Q419" s="127"/>
      <c r="R419" s="127"/>
      <c r="S419" s="127"/>
      <c r="T419" s="127"/>
      <c r="U419" s="127"/>
    </row>
    <row r="420" ht="14.25" customHeight="1">
      <c r="C420" s="126"/>
      <c r="D420" s="126"/>
      <c r="F420" s="127"/>
      <c r="G420" s="127"/>
      <c r="H420" s="127"/>
      <c r="I420" s="127"/>
      <c r="J420" s="126"/>
      <c r="P420" s="127"/>
      <c r="Q420" s="127"/>
      <c r="R420" s="127"/>
      <c r="S420" s="127"/>
      <c r="T420" s="127"/>
      <c r="U420" s="127"/>
    </row>
    <row r="421" ht="14.25" customHeight="1">
      <c r="C421" s="126"/>
      <c r="D421" s="126"/>
      <c r="F421" s="127"/>
      <c r="G421" s="127"/>
      <c r="H421" s="127"/>
      <c r="I421" s="127"/>
      <c r="J421" s="126"/>
      <c r="P421" s="127"/>
      <c r="Q421" s="127"/>
      <c r="R421" s="127"/>
      <c r="S421" s="127"/>
      <c r="T421" s="127"/>
      <c r="U421" s="127"/>
    </row>
    <row r="422" ht="14.25" customHeight="1">
      <c r="C422" s="126"/>
      <c r="D422" s="126"/>
      <c r="F422" s="127"/>
      <c r="G422" s="127"/>
      <c r="H422" s="127"/>
      <c r="I422" s="127"/>
      <c r="J422" s="126"/>
      <c r="P422" s="127"/>
      <c r="Q422" s="127"/>
      <c r="R422" s="127"/>
      <c r="S422" s="127"/>
      <c r="T422" s="127"/>
      <c r="U422" s="127"/>
    </row>
    <row r="423" ht="14.25" customHeight="1">
      <c r="C423" s="126"/>
      <c r="D423" s="126"/>
      <c r="F423" s="127"/>
      <c r="G423" s="127"/>
      <c r="H423" s="127"/>
      <c r="I423" s="127"/>
      <c r="J423" s="126"/>
      <c r="P423" s="127"/>
      <c r="Q423" s="127"/>
      <c r="R423" s="127"/>
      <c r="S423" s="127"/>
      <c r="T423" s="127"/>
      <c r="U423" s="127"/>
    </row>
    <row r="424" ht="14.25" customHeight="1">
      <c r="C424" s="126"/>
      <c r="D424" s="126"/>
      <c r="F424" s="127"/>
      <c r="G424" s="127"/>
      <c r="H424" s="127"/>
      <c r="I424" s="127"/>
      <c r="J424" s="126"/>
      <c r="P424" s="127"/>
      <c r="Q424" s="127"/>
      <c r="R424" s="127"/>
      <c r="S424" s="127"/>
      <c r="T424" s="127"/>
      <c r="U424" s="127"/>
    </row>
    <row r="425" ht="14.25" customHeight="1">
      <c r="C425" s="126"/>
      <c r="D425" s="126"/>
      <c r="F425" s="127"/>
      <c r="G425" s="127"/>
      <c r="H425" s="127"/>
      <c r="I425" s="127"/>
      <c r="J425" s="126"/>
      <c r="P425" s="127"/>
      <c r="Q425" s="127"/>
      <c r="R425" s="127"/>
      <c r="S425" s="127"/>
      <c r="T425" s="127"/>
      <c r="U425" s="127"/>
    </row>
    <row r="426" ht="14.25" customHeight="1">
      <c r="C426" s="126"/>
      <c r="D426" s="126"/>
      <c r="F426" s="127"/>
      <c r="G426" s="127"/>
      <c r="H426" s="127"/>
      <c r="I426" s="127"/>
      <c r="J426" s="126"/>
      <c r="P426" s="127"/>
      <c r="Q426" s="127"/>
      <c r="R426" s="127"/>
      <c r="S426" s="127"/>
      <c r="T426" s="127"/>
      <c r="U426" s="127"/>
    </row>
    <row r="427" ht="14.25" customHeight="1">
      <c r="C427" s="126"/>
      <c r="D427" s="126"/>
      <c r="F427" s="127"/>
      <c r="G427" s="127"/>
      <c r="H427" s="127"/>
      <c r="I427" s="127"/>
      <c r="J427" s="126"/>
      <c r="P427" s="127"/>
      <c r="Q427" s="127"/>
      <c r="R427" s="127"/>
      <c r="S427" s="127"/>
      <c r="T427" s="127"/>
      <c r="U427" s="127"/>
    </row>
    <row r="428" ht="14.25" customHeight="1">
      <c r="C428" s="126"/>
      <c r="D428" s="126"/>
      <c r="F428" s="127"/>
      <c r="G428" s="127"/>
      <c r="H428" s="127"/>
      <c r="I428" s="127"/>
      <c r="J428" s="126"/>
      <c r="P428" s="127"/>
      <c r="Q428" s="127"/>
      <c r="R428" s="127"/>
      <c r="S428" s="127"/>
      <c r="T428" s="127"/>
      <c r="U428" s="127"/>
    </row>
    <row r="429" ht="14.25" customHeight="1">
      <c r="C429" s="126"/>
      <c r="D429" s="126"/>
      <c r="F429" s="127"/>
      <c r="G429" s="127"/>
      <c r="H429" s="127"/>
      <c r="I429" s="127"/>
      <c r="J429" s="126"/>
      <c r="P429" s="127"/>
      <c r="Q429" s="127"/>
      <c r="R429" s="127"/>
      <c r="S429" s="127"/>
      <c r="T429" s="127"/>
      <c r="U429" s="127"/>
    </row>
    <row r="430" ht="14.25" customHeight="1">
      <c r="C430" s="126"/>
      <c r="D430" s="126"/>
      <c r="F430" s="127"/>
      <c r="G430" s="127"/>
      <c r="H430" s="127"/>
      <c r="I430" s="127"/>
      <c r="J430" s="126"/>
      <c r="P430" s="127"/>
      <c r="Q430" s="127"/>
      <c r="R430" s="127"/>
      <c r="S430" s="127"/>
      <c r="T430" s="127"/>
      <c r="U430" s="127"/>
    </row>
    <row r="431" ht="14.25" customHeight="1">
      <c r="C431" s="126"/>
      <c r="D431" s="126"/>
      <c r="F431" s="127"/>
      <c r="G431" s="127"/>
      <c r="H431" s="127"/>
      <c r="I431" s="127"/>
      <c r="J431" s="126"/>
      <c r="P431" s="127"/>
      <c r="Q431" s="127"/>
      <c r="R431" s="127"/>
      <c r="S431" s="127"/>
      <c r="T431" s="127"/>
      <c r="U431" s="127"/>
    </row>
    <row r="432" ht="14.25" customHeight="1">
      <c r="C432" s="126"/>
      <c r="D432" s="126"/>
      <c r="F432" s="127"/>
      <c r="G432" s="127"/>
      <c r="H432" s="127"/>
      <c r="I432" s="127"/>
      <c r="J432" s="126"/>
      <c r="P432" s="127"/>
      <c r="Q432" s="127"/>
      <c r="R432" s="127"/>
      <c r="S432" s="127"/>
      <c r="T432" s="127"/>
      <c r="U432" s="127"/>
    </row>
    <row r="433" ht="14.25" customHeight="1">
      <c r="C433" s="126"/>
      <c r="D433" s="126"/>
      <c r="F433" s="127"/>
      <c r="G433" s="127"/>
      <c r="H433" s="127"/>
      <c r="I433" s="127"/>
      <c r="J433" s="126"/>
      <c r="P433" s="127"/>
      <c r="Q433" s="127"/>
      <c r="R433" s="127"/>
      <c r="S433" s="127"/>
      <c r="T433" s="127"/>
      <c r="U433" s="127"/>
    </row>
    <row r="434" ht="14.25" customHeight="1">
      <c r="C434" s="126"/>
      <c r="D434" s="126"/>
      <c r="F434" s="127"/>
      <c r="G434" s="127"/>
      <c r="H434" s="127"/>
      <c r="I434" s="127"/>
      <c r="J434" s="126"/>
      <c r="P434" s="127"/>
      <c r="Q434" s="127"/>
      <c r="R434" s="127"/>
      <c r="S434" s="127"/>
      <c r="T434" s="127"/>
      <c r="U434" s="127"/>
    </row>
    <row r="435" ht="14.25" customHeight="1">
      <c r="C435" s="126"/>
      <c r="D435" s="126"/>
      <c r="F435" s="127"/>
      <c r="G435" s="127"/>
      <c r="H435" s="127"/>
      <c r="I435" s="127"/>
      <c r="J435" s="126"/>
      <c r="P435" s="127"/>
      <c r="Q435" s="127"/>
      <c r="R435" s="127"/>
      <c r="S435" s="127"/>
      <c r="T435" s="127"/>
      <c r="U435" s="127"/>
    </row>
    <row r="436" ht="14.25" customHeight="1">
      <c r="C436" s="126"/>
      <c r="D436" s="126"/>
      <c r="F436" s="127"/>
      <c r="G436" s="127"/>
      <c r="H436" s="127"/>
      <c r="I436" s="127"/>
      <c r="J436" s="126"/>
      <c r="P436" s="127"/>
      <c r="Q436" s="127"/>
      <c r="R436" s="127"/>
      <c r="S436" s="127"/>
      <c r="T436" s="127"/>
      <c r="U436" s="127"/>
    </row>
    <row r="437" ht="14.25" customHeight="1">
      <c r="C437" s="126"/>
      <c r="D437" s="126"/>
      <c r="F437" s="127"/>
      <c r="G437" s="127"/>
      <c r="H437" s="127"/>
      <c r="I437" s="127"/>
      <c r="J437" s="126"/>
      <c r="P437" s="127"/>
      <c r="Q437" s="127"/>
      <c r="R437" s="127"/>
      <c r="S437" s="127"/>
      <c r="T437" s="127"/>
      <c r="U437" s="127"/>
    </row>
    <row r="438" ht="14.25" customHeight="1">
      <c r="C438" s="126"/>
      <c r="D438" s="126"/>
      <c r="F438" s="127"/>
      <c r="G438" s="127"/>
      <c r="H438" s="127"/>
      <c r="I438" s="127"/>
      <c r="J438" s="126"/>
      <c r="P438" s="127"/>
      <c r="Q438" s="127"/>
      <c r="R438" s="127"/>
      <c r="S438" s="127"/>
      <c r="T438" s="127"/>
      <c r="U438" s="127"/>
    </row>
    <row r="439" ht="14.25" customHeight="1">
      <c r="C439" s="126"/>
      <c r="D439" s="126"/>
      <c r="F439" s="127"/>
      <c r="G439" s="127"/>
      <c r="H439" s="127"/>
      <c r="I439" s="127"/>
      <c r="J439" s="126"/>
      <c r="P439" s="127"/>
      <c r="Q439" s="127"/>
      <c r="R439" s="127"/>
      <c r="S439" s="127"/>
      <c r="T439" s="127"/>
      <c r="U439" s="127"/>
    </row>
    <row r="440" ht="14.25" customHeight="1">
      <c r="C440" s="126"/>
      <c r="D440" s="126"/>
      <c r="F440" s="127"/>
      <c r="G440" s="127"/>
      <c r="H440" s="127"/>
      <c r="I440" s="127"/>
      <c r="J440" s="126"/>
      <c r="P440" s="127"/>
      <c r="Q440" s="127"/>
      <c r="R440" s="127"/>
      <c r="S440" s="127"/>
      <c r="T440" s="127"/>
      <c r="U440" s="127"/>
    </row>
    <row r="441" ht="14.25" customHeight="1">
      <c r="C441" s="126"/>
      <c r="D441" s="126"/>
      <c r="F441" s="127"/>
      <c r="G441" s="127"/>
      <c r="H441" s="127"/>
      <c r="I441" s="127"/>
      <c r="J441" s="126"/>
      <c r="P441" s="127"/>
      <c r="Q441" s="127"/>
      <c r="R441" s="127"/>
      <c r="S441" s="127"/>
      <c r="T441" s="127"/>
      <c r="U441" s="127"/>
    </row>
    <row r="442" ht="14.25" customHeight="1">
      <c r="C442" s="126"/>
      <c r="D442" s="126"/>
      <c r="F442" s="127"/>
      <c r="G442" s="127"/>
      <c r="H442" s="127"/>
      <c r="I442" s="127"/>
      <c r="J442" s="126"/>
      <c r="P442" s="127"/>
      <c r="Q442" s="127"/>
      <c r="R442" s="127"/>
      <c r="S442" s="127"/>
      <c r="T442" s="127"/>
      <c r="U442" s="127"/>
    </row>
    <row r="443" ht="14.25" customHeight="1">
      <c r="C443" s="126"/>
      <c r="D443" s="126"/>
      <c r="F443" s="127"/>
      <c r="G443" s="127"/>
      <c r="H443" s="127"/>
      <c r="I443" s="127"/>
      <c r="J443" s="126"/>
      <c r="P443" s="127"/>
      <c r="Q443" s="127"/>
      <c r="R443" s="127"/>
      <c r="S443" s="127"/>
      <c r="T443" s="127"/>
      <c r="U443" s="127"/>
    </row>
    <row r="444" ht="14.25" customHeight="1">
      <c r="C444" s="126"/>
      <c r="D444" s="126"/>
      <c r="F444" s="127"/>
      <c r="G444" s="127"/>
      <c r="H444" s="127"/>
      <c r="I444" s="127"/>
      <c r="J444" s="126"/>
      <c r="P444" s="127"/>
      <c r="Q444" s="127"/>
      <c r="R444" s="127"/>
      <c r="S444" s="127"/>
      <c r="T444" s="127"/>
      <c r="U444" s="127"/>
    </row>
    <row r="445" ht="14.25" customHeight="1">
      <c r="C445" s="126"/>
      <c r="D445" s="126"/>
      <c r="F445" s="127"/>
      <c r="G445" s="127"/>
      <c r="H445" s="127"/>
      <c r="I445" s="127"/>
      <c r="J445" s="126"/>
      <c r="P445" s="127"/>
      <c r="Q445" s="127"/>
      <c r="R445" s="127"/>
      <c r="S445" s="127"/>
      <c r="T445" s="127"/>
      <c r="U445" s="127"/>
    </row>
    <row r="446" ht="14.25" customHeight="1">
      <c r="C446" s="126"/>
      <c r="D446" s="126"/>
      <c r="F446" s="127"/>
      <c r="G446" s="127"/>
      <c r="H446" s="127"/>
      <c r="I446" s="127"/>
      <c r="J446" s="126"/>
      <c r="P446" s="127"/>
      <c r="Q446" s="127"/>
      <c r="R446" s="127"/>
      <c r="S446" s="127"/>
      <c r="T446" s="127"/>
      <c r="U446" s="127"/>
    </row>
    <row r="447" ht="14.25" customHeight="1">
      <c r="C447" s="126"/>
      <c r="D447" s="126"/>
      <c r="F447" s="127"/>
      <c r="G447" s="127"/>
      <c r="H447" s="127"/>
      <c r="I447" s="127"/>
      <c r="J447" s="126"/>
      <c r="P447" s="127"/>
      <c r="Q447" s="127"/>
      <c r="R447" s="127"/>
      <c r="S447" s="127"/>
      <c r="T447" s="127"/>
      <c r="U447" s="127"/>
    </row>
    <row r="448" ht="14.25" customHeight="1">
      <c r="C448" s="126"/>
      <c r="D448" s="126"/>
      <c r="F448" s="127"/>
      <c r="G448" s="127"/>
      <c r="H448" s="127"/>
      <c r="I448" s="127"/>
      <c r="J448" s="126"/>
      <c r="P448" s="127"/>
      <c r="Q448" s="127"/>
      <c r="R448" s="127"/>
      <c r="S448" s="127"/>
      <c r="T448" s="127"/>
      <c r="U448" s="127"/>
    </row>
    <row r="449" ht="14.25" customHeight="1">
      <c r="C449" s="126"/>
      <c r="D449" s="126"/>
      <c r="F449" s="127"/>
      <c r="G449" s="127"/>
      <c r="H449" s="127"/>
      <c r="I449" s="127"/>
      <c r="J449" s="126"/>
      <c r="P449" s="127"/>
      <c r="Q449" s="127"/>
      <c r="R449" s="127"/>
      <c r="S449" s="127"/>
      <c r="T449" s="127"/>
      <c r="U449" s="127"/>
    </row>
    <row r="450" ht="14.25" customHeight="1">
      <c r="C450" s="126"/>
      <c r="D450" s="126"/>
      <c r="F450" s="127"/>
      <c r="G450" s="127"/>
      <c r="H450" s="127"/>
      <c r="I450" s="127"/>
      <c r="J450" s="126"/>
      <c r="P450" s="127"/>
      <c r="Q450" s="127"/>
      <c r="R450" s="127"/>
      <c r="S450" s="127"/>
      <c r="T450" s="127"/>
      <c r="U450" s="127"/>
    </row>
    <row r="451" ht="14.25" customHeight="1">
      <c r="C451" s="126"/>
      <c r="D451" s="126"/>
      <c r="F451" s="127"/>
      <c r="G451" s="127"/>
      <c r="H451" s="127"/>
      <c r="I451" s="127"/>
      <c r="J451" s="126"/>
      <c r="P451" s="127"/>
      <c r="Q451" s="127"/>
      <c r="R451" s="127"/>
      <c r="S451" s="127"/>
      <c r="T451" s="127"/>
      <c r="U451" s="127"/>
    </row>
    <row r="452" ht="14.25" customHeight="1">
      <c r="C452" s="126"/>
      <c r="D452" s="126"/>
      <c r="F452" s="127"/>
      <c r="G452" s="127"/>
      <c r="H452" s="127"/>
      <c r="I452" s="127"/>
      <c r="J452" s="126"/>
      <c r="P452" s="127"/>
      <c r="Q452" s="127"/>
      <c r="R452" s="127"/>
      <c r="S452" s="127"/>
      <c r="T452" s="127"/>
      <c r="U452" s="127"/>
    </row>
    <row r="453" ht="14.25" customHeight="1">
      <c r="C453" s="126"/>
      <c r="D453" s="126"/>
      <c r="F453" s="127"/>
      <c r="G453" s="127"/>
      <c r="H453" s="127"/>
      <c r="I453" s="127"/>
      <c r="J453" s="126"/>
      <c r="P453" s="127"/>
      <c r="Q453" s="127"/>
      <c r="R453" s="127"/>
      <c r="S453" s="127"/>
      <c r="T453" s="127"/>
      <c r="U453" s="127"/>
    </row>
    <row r="454" ht="14.25" customHeight="1">
      <c r="C454" s="126"/>
      <c r="D454" s="126"/>
      <c r="F454" s="127"/>
      <c r="G454" s="127"/>
      <c r="H454" s="127"/>
      <c r="I454" s="127"/>
      <c r="J454" s="126"/>
      <c r="P454" s="127"/>
      <c r="Q454" s="127"/>
      <c r="R454" s="127"/>
      <c r="S454" s="127"/>
      <c r="T454" s="127"/>
      <c r="U454" s="127"/>
    </row>
    <row r="455" ht="14.25" customHeight="1">
      <c r="C455" s="126"/>
      <c r="D455" s="126"/>
      <c r="F455" s="127"/>
      <c r="G455" s="127"/>
      <c r="H455" s="127"/>
      <c r="I455" s="127"/>
      <c r="J455" s="126"/>
      <c r="P455" s="127"/>
      <c r="Q455" s="127"/>
      <c r="R455" s="127"/>
      <c r="S455" s="127"/>
      <c r="T455" s="127"/>
      <c r="U455" s="127"/>
    </row>
    <row r="456" ht="14.25" customHeight="1">
      <c r="C456" s="126"/>
      <c r="D456" s="126"/>
      <c r="F456" s="127"/>
      <c r="G456" s="127"/>
      <c r="H456" s="127"/>
      <c r="I456" s="127"/>
      <c r="J456" s="126"/>
      <c r="P456" s="127"/>
      <c r="Q456" s="127"/>
      <c r="R456" s="127"/>
      <c r="S456" s="127"/>
      <c r="T456" s="127"/>
      <c r="U456" s="127"/>
    </row>
    <row r="457" ht="14.25" customHeight="1">
      <c r="C457" s="126"/>
      <c r="D457" s="126"/>
      <c r="F457" s="127"/>
      <c r="G457" s="127"/>
      <c r="H457" s="127"/>
      <c r="I457" s="127"/>
      <c r="J457" s="126"/>
      <c r="P457" s="127"/>
      <c r="Q457" s="127"/>
      <c r="R457" s="127"/>
      <c r="S457" s="127"/>
      <c r="T457" s="127"/>
      <c r="U457" s="127"/>
    </row>
    <row r="458" ht="14.25" customHeight="1">
      <c r="C458" s="126"/>
      <c r="D458" s="126"/>
      <c r="F458" s="127"/>
      <c r="G458" s="127"/>
      <c r="H458" s="127"/>
      <c r="I458" s="127"/>
      <c r="J458" s="126"/>
      <c r="P458" s="127"/>
      <c r="Q458" s="127"/>
      <c r="R458" s="127"/>
      <c r="S458" s="127"/>
      <c r="T458" s="127"/>
      <c r="U458" s="127"/>
    </row>
    <row r="459" ht="14.25" customHeight="1">
      <c r="C459" s="126"/>
      <c r="D459" s="126"/>
      <c r="F459" s="127"/>
      <c r="G459" s="127"/>
      <c r="H459" s="127"/>
      <c r="I459" s="127"/>
      <c r="J459" s="126"/>
      <c r="P459" s="127"/>
      <c r="Q459" s="127"/>
      <c r="R459" s="127"/>
      <c r="S459" s="127"/>
      <c r="T459" s="127"/>
      <c r="U459" s="127"/>
    </row>
    <row r="460" ht="14.25" customHeight="1">
      <c r="C460" s="126"/>
      <c r="D460" s="126"/>
      <c r="F460" s="127"/>
      <c r="G460" s="127"/>
      <c r="H460" s="127"/>
      <c r="I460" s="127"/>
      <c r="J460" s="126"/>
      <c r="P460" s="127"/>
      <c r="Q460" s="127"/>
      <c r="R460" s="127"/>
      <c r="S460" s="127"/>
      <c r="T460" s="127"/>
      <c r="U460" s="127"/>
    </row>
    <row r="461" ht="14.25" customHeight="1">
      <c r="C461" s="126"/>
      <c r="D461" s="126"/>
      <c r="F461" s="127"/>
      <c r="G461" s="127"/>
      <c r="H461" s="127"/>
      <c r="I461" s="127"/>
      <c r="J461" s="126"/>
      <c r="P461" s="127"/>
      <c r="Q461" s="127"/>
      <c r="R461" s="127"/>
      <c r="S461" s="127"/>
      <c r="T461" s="127"/>
      <c r="U461" s="127"/>
    </row>
    <row r="462" ht="14.25" customHeight="1">
      <c r="C462" s="126"/>
      <c r="D462" s="126"/>
      <c r="F462" s="127"/>
      <c r="G462" s="127"/>
      <c r="H462" s="127"/>
      <c r="I462" s="127"/>
      <c r="J462" s="126"/>
      <c r="P462" s="127"/>
      <c r="Q462" s="127"/>
      <c r="R462" s="127"/>
      <c r="S462" s="127"/>
      <c r="T462" s="127"/>
      <c r="U462" s="127"/>
    </row>
    <row r="463" ht="14.25" customHeight="1">
      <c r="C463" s="126"/>
      <c r="D463" s="126"/>
      <c r="F463" s="127"/>
      <c r="G463" s="127"/>
      <c r="H463" s="127"/>
      <c r="I463" s="127"/>
      <c r="J463" s="126"/>
      <c r="P463" s="127"/>
      <c r="Q463" s="127"/>
      <c r="R463" s="127"/>
      <c r="S463" s="127"/>
      <c r="T463" s="127"/>
      <c r="U463" s="127"/>
    </row>
    <row r="464" ht="14.25" customHeight="1">
      <c r="C464" s="126"/>
      <c r="D464" s="126"/>
      <c r="F464" s="127"/>
      <c r="G464" s="127"/>
      <c r="H464" s="127"/>
      <c r="I464" s="127"/>
      <c r="J464" s="126"/>
      <c r="P464" s="127"/>
      <c r="Q464" s="127"/>
      <c r="R464" s="127"/>
      <c r="S464" s="127"/>
      <c r="T464" s="127"/>
      <c r="U464" s="127"/>
    </row>
    <row r="465" ht="14.25" customHeight="1">
      <c r="C465" s="126"/>
      <c r="D465" s="126"/>
      <c r="F465" s="127"/>
      <c r="G465" s="127"/>
      <c r="H465" s="127"/>
      <c r="I465" s="127"/>
      <c r="J465" s="126"/>
      <c r="P465" s="127"/>
      <c r="Q465" s="127"/>
      <c r="R465" s="127"/>
      <c r="S465" s="127"/>
      <c r="T465" s="127"/>
      <c r="U465" s="127"/>
    </row>
    <row r="466" ht="14.25" customHeight="1">
      <c r="C466" s="126"/>
      <c r="D466" s="126"/>
      <c r="F466" s="127"/>
      <c r="G466" s="127"/>
      <c r="H466" s="127"/>
      <c r="I466" s="127"/>
      <c r="J466" s="126"/>
      <c r="P466" s="127"/>
      <c r="Q466" s="127"/>
      <c r="R466" s="127"/>
      <c r="S466" s="127"/>
      <c r="T466" s="127"/>
      <c r="U466" s="127"/>
    </row>
    <row r="467" ht="14.25" customHeight="1">
      <c r="C467" s="126"/>
      <c r="D467" s="126"/>
      <c r="F467" s="127"/>
      <c r="G467" s="127"/>
      <c r="H467" s="127"/>
      <c r="I467" s="127"/>
      <c r="J467" s="126"/>
      <c r="P467" s="127"/>
      <c r="Q467" s="127"/>
      <c r="R467" s="127"/>
      <c r="S467" s="127"/>
      <c r="T467" s="127"/>
      <c r="U467" s="127"/>
    </row>
    <row r="468" ht="14.25" customHeight="1">
      <c r="C468" s="126"/>
      <c r="D468" s="126"/>
      <c r="F468" s="127"/>
      <c r="G468" s="127"/>
      <c r="H468" s="127"/>
      <c r="I468" s="127"/>
      <c r="J468" s="126"/>
      <c r="P468" s="127"/>
      <c r="Q468" s="127"/>
      <c r="R468" s="127"/>
      <c r="S468" s="127"/>
      <c r="T468" s="127"/>
      <c r="U468" s="127"/>
    </row>
    <row r="469" ht="14.25" customHeight="1">
      <c r="C469" s="126"/>
      <c r="D469" s="126"/>
      <c r="F469" s="127"/>
      <c r="G469" s="127"/>
      <c r="H469" s="127"/>
      <c r="I469" s="127"/>
      <c r="J469" s="126"/>
      <c r="P469" s="127"/>
      <c r="Q469" s="127"/>
      <c r="R469" s="127"/>
      <c r="S469" s="127"/>
      <c r="T469" s="127"/>
      <c r="U469" s="127"/>
    </row>
    <row r="470" ht="14.25" customHeight="1">
      <c r="C470" s="126"/>
      <c r="D470" s="126"/>
      <c r="F470" s="127"/>
      <c r="G470" s="127"/>
      <c r="H470" s="127"/>
      <c r="I470" s="127"/>
      <c r="J470" s="126"/>
      <c r="P470" s="127"/>
      <c r="Q470" s="127"/>
      <c r="R470" s="127"/>
      <c r="S470" s="127"/>
      <c r="T470" s="127"/>
      <c r="U470" s="127"/>
    </row>
    <row r="471" ht="14.25" customHeight="1">
      <c r="C471" s="126"/>
      <c r="D471" s="126"/>
      <c r="F471" s="127"/>
      <c r="G471" s="127"/>
      <c r="H471" s="127"/>
      <c r="I471" s="127"/>
      <c r="J471" s="126"/>
      <c r="P471" s="127"/>
      <c r="Q471" s="127"/>
      <c r="R471" s="127"/>
      <c r="S471" s="127"/>
      <c r="T471" s="127"/>
      <c r="U471" s="127"/>
    </row>
    <row r="472" ht="14.25" customHeight="1">
      <c r="C472" s="126"/>
      <c r="D472" s="126"/>
      <c r="F472" s="127"/>
      <c r="G472" s="127"/>
      <c r="H472" s="127"/>
      <c r="I472" s="127"/>
      <c r="J472" s="126"/>
      <c r="P472" s="127"/>
      <c r="Q472" s="127"/>
      <c r="R472" s="127"/>
      <c r="S472" s="127"/>
      <c r="T472" s="127"/>
      <c r="U472" s="127"/>
    </row>
    <row r="473" ht="14.25" customHeight="1">
      <c r="C473" s="126"/>
      <c r="D473" s="126"/>
      <c r="F473" s="127"/>
      <c r="G473" s="127"/>
      <c r="H473" s="127"/>
      <c r="I473" s="127"/>
      <c r="J473" s="126"/>
      <c r="P473" s="127"/>
      <c r="Q473" s="127"/>
      <c r="R473" s="127"/>
      <c r="S473" s="127"/>
      <c r="T473" s="127"/>
      <c r="U473" s="127"/>
    </row>
    <row r="474" ht="14.25" customHeight="1">
      <c r="C474" s="126"/>
      <c r="D474" s="126"/>
      <c r="F474" s="127"/>
      <c r="G474" s="127"/>
      <c r="H474" s="127"/>
      <c r="I474" s="127"/>
      <c r="J474" s="126"/>
      <c r="P474" s="127"/>
      <c r="Q474" s="127"/>
      <c r="R474" s="127"/>
      <c r="S474" s="127"/>
      <c r="T474" s="127"/>
      <c r="U474" s="127"/>
    </row>
    <row r="475" ht="14.25" customHeight="1">
      <c r="C475" s="126"/>
      <c r="D475" s="126"/>
      <c r="F475" s="127"/>
      <c r="G475" s="127"/>
      <c r="H475" s="127"/>
      <c r="I475" s="127"/>
      <c r="J475" s="126"/>
      <c r="P475" s="127"/>
      <c r="Q475" s="127"/>
      <c r="R475" s="127"/>
      <c r="S475" s="127"/>
      <c r="T475" s="127"/>
      <c r="U475" s="127"/>
    </row>
    <row r="476" ht="14.25" customHeight="1">
      <c r="C476" s="126"/>
      <c r="D476" s="126"/>
      <c r="F476" s="127"/>
      <c r="G476" s="127"/>
      <c r="H476" s="127"/>
      <c r="I476" s="127"/>
      <c r="J476" s="126"/>
      <c r="P476" s="127"/>
      <c r="Q476" s="127"/>
      <c r="R476" s="127"/>
      <c r="S476" s="127"/>
      <c r="T476" s="127"/>
      <c r="U476" s="127"/>
    </row>
    <row r="477" ht="14.25" customHeight="1">
      <c r="C477" s="126"/>
      <c r="D477" s="126"/>
      <c r="F477" s="127"/>
      <c r="G477" s="127"/>
      <c r="H477" s="127"/>
      <c r="I477" s="127"/>
      <c r="J477" s="126"/>
      <c r="P477" s="127"/>
      <c r="Q477" s="127"/>
      <c r="R477" s="127"/>
      <c r="S477" s="127"/>
      <c r="T477" s="127"/>
      <c r="U477" s="127"/>
    </row>
    <row r="478" ht="14.25" customHeight="1">
      <c r="C478" s="126"/>
      <c r="D478" s="126"/>
      <c r="F478" s="127"/>
      <c r="G478" s="127"/>
      <c r="H478" s="127"/>
      <c r="I478" s="127"/>
      <c r="J478" s="126"/>
      <c r="P478" s="127"/>
      <c r="Q478" s="127"/>
      <c r="R478" s="127"/>
      <c r="S478" s="127"/>
      <c r="T478" s="127"/>
      <c r="U478" s="127"/>
    </row>
    <row r="479" ht="14.25" customHeight="1">
      <c r="C479" s="126"/>
      <c r="D479" s="126"/>
      <c r="F479" s="127"/>
      <c r="G479" s="127"/>
      <c r="H479" s="127"/>
      <c r="I479" s="127"/>
      <c r="J479" s="126"/>
      <c r="P479" s="127"/>
      <c r="Q479" s="127"/>
      <c r="R479" s="127"/>
      <c r="S479" s="127"/>
      <c r="T479" s="127"/>
      <c r="U479" s="127"/>
    </row>
    <row r="480" ht="14.25" customHeight="1">
      <c r="C480" s="126"/>
      <c r="D480" s="126"/>
      <c r="F480" s="127"/>
      <c r="G480" s="127"/>
      <c r="H480" s="127"/>
      <c r="I480" s="127"/>
      <c r="J480" s="126"/>
      <c r="P480" s="127"/>
      <c r="Q480" s="127"/>
      <c r="R480" s="127"/>
      <c r="S480" s="127"/>
      <c r="T480" s="127"/>
      <c r="U480" s="127"/>
    </row>
    <row r="481" ht="14.25" customHeight="1">
      <c r="C481" s="126"/>
      <c r="D481" s="126"/>
      <c r="F481" s="127"/>
      <c r="G481" s="127"/>
      <c r="H481" s="127"/>
      <c r="I481" s="127"/>
      <c r="J481" s="126"/>
      <c r="P481" s="127"/>
      <c r="Q481" s="127"/>
      <c r="R481" s="127"/>
      <c r="S481" s="127"/>
      <c r="T481" s="127"/>
      <c r="U481" s="127"/>
    </row>
    <row r="482" ht="14.25" customHeight="1">
      <c r="C482" s="126"/>
      <c r="D482" s="126"/>
      <c r="F482" s="127"/>
      <c r="G482" s="127"/>
      <c r="H482" s="127"/>
      <c r="I482" s="127"/>
      <c r="J482" s="126"/>
      <c r="P482" s="127"/>
      <c r="Q482" s="127"/>
      <c r="R482" s="127"/>
      <c r="S482" s="127"/>
      <c r="T482" s="127"/>
      <c r="U482" s="127"/>
    </row>
    <row r="483" ht="14.25" customHeight="1">
      <c r="C483" s="126"/>
      <c r="D483" s="126"/>
      <c r="F483" s="127"/>
      <c r="G483" s="127"/>
      <c r="H483" s="127"/>
      <c r="I483" s="127"/>
      <c r="J483" s="126"/>
      <c r="P483" s="127"/>
      <c r="Q483" s="127"/>
      <c r="R483" s="127"/>
      <c r="S483" s="127"/>
      <c r="T483" s="127"/>
      <c r="U483" s="127"/>
    </row>
    <row r="484" ht="14.25" customHeight="1">
      <c r="C484" s="126"/>
      <c r="D484" s="126"/>
      <c r="F484" s="127"/>
      <c r="G484" s="127"/>
      <c r="H484" s="127"/>
      <c r="I484" s="127"/>
      <c r="J484" s="126"/>
      <c r="P484" s="127"/>
      <c r="Q484" s="127"/>
      <c r="R484" s="127"/>
      <c r="S484" s="127"/>
      <c r="T484" s="127"/>
      <c r="U484" s="127"/>
    </row>
    <row r="485" ht="14.25" customHeight="1">
      <c r="C485" s="126"/>
      <c r="D485" s="126"/>
      <c r="F485" s="127"/>
      <c r="G485" s="127"/>
      <c r="H485" s="127"/>
      <c r="I485" s="127"/>
      <c r="J485" s="126"/>
      <c r="P485" s="127"/>
      <c r="Q485" s="127"/>
      <c r="R485" s="127"/>
      <c r="S485" s="127"/>
      <c r="T485" s="127"/>
      <c r="U485" s="127"/>
    </row>
    <row r="486" ht="14.25" customHeight="1">
      <c r="C486" s="126"/>
      <c r="D486" s="126"/>
      <c r="F486" s="127"/>
      <c r="G486" s="127"/>
      <c r="H486" s="127"/>
      <c r="I486" s="127"/>
      <c r="J486" s="126"/>
      <c r="P486" s="127"/>
      <c r="Q486" s="127"/>
      <c r="R486" s="127"/>
      <c r="S486" s="127"/>
      <c r="T486" s="127"/>
      <c r="U486" s="127"/>
    </row>
    <row r="487" ht="14.25" customHeight="1">
      <c r="C487" s="126"/>
      <c r="D487" s="126"/>
      <c r="F487" s="127"/>
      <c r="G487" s="127"/>
      <c r="H487" s="127"/>
      <c r="I487" s="127"/>
      <c r="J487" s="126"/>
      <c r="P487" s="127"/>
      <c r="Q487" s="127"/>
      <c r="R487" s="127"/>
      <c r="S487" s="127"/>
      <c r="T487" s="127"/>
      <c r="U487" s="127"/>
    </row>
    <row r="488" ht="14.25" customHeight="1">
      <c r="C488" s="126"/>
      <c r="D488" s="126"/>
      <c r="F488" s="127"/>
      <c r="G488" s="127"/>
      <c r="H488" s="127"/>
      <c r="I488" s="127"/>
      <c r="J488" s="126"/>
      <c r="P488" s="127"/>
      <c r="Q488" s="127"/>
      <c r="R488" s="127"/>
      <c r="S488" s="127"/>
      <c r="T488" s="127"/>
      <c r="U488" s="127"/>
    </row>
    <row r="489" ht="14.25" customHeight="1">
      <c r="C489" s="126"/>
      <c r="D489" s="126"/>
      <c r="F489" s="127"/>
      <c r="G489" s="127"/>
      <c r="H489" s="127"/>
      <c r="I489" s="127"/>
      <c r="J489" s="126"/>
      <c r="P489" s="127"/>
      <c r="Q489" s="127"/>
      <c r="R489" s="127"/>
      <c r="S489" s="127"/>
      <c r="T489" s="127"/>
      <c r="U489" s="127"/>
    </row>
    <row r="490" ht="14.25" customHeight="1">
      <c r="C490" s="126"/>
      <c r="D490" s="126"/>
      <c r="F490" s="127"/>
      <c r="G490" s="127"/>
      <c r="H490" s="127"/>
      <c r="I490" s="127"/>
      <c r="J490" s="126"/>
      <c r="P490" s="127"/>
      <c r="Q490" s="127"/>
      <c r="R490" s="127"/>
      <c r="S490" s="127"/>
      <c r="T490" s="127"/>
      <c r="U490" s="127"/>
    </row>
    <row r="491" ht="14.25" customHeight="1">
      <c r="C491" s="126"/>
      <c r="D491" s="126"/>
      <c r="F491" s="127"/>
      <c r="G491" s="127"/>
      <c r="H491" s="127"/>
      <c r="I491" s="127"/>
      <c r="J491" s="126"/>
      <c r="P491" s="127"/>
      <c r="Q491" s="127"/>
      <c r="R491" s="127"/>
      <c r="S491" s="127"/>
      <c r="T491" s="127"/>
      <c r="U491" s="127"/>
    </row>
    <row r="492" ht="14.25" customHeight="1">
      <c r="C492" s="126"/>
      <c r="D492" s="126"/>
      <c r="F492" s="127"/>
      <c r="G492" s="127"/>
      <c r="H492" s="127"/>
      <c r="I492" s="127"/>
      <c r="J492" s="126"/>
      <c r="P492" s="127"/>
      <c r="Q492" s="127"/>
      <c r="R492" s="127"/>
      <c r="S492" s="127"/>
      <c r="T492" s="127"/>
      <c r="U492" s="127"/>
    </row>
    <row r="493" ht="14.25" customHeight="1">
      <c r="C493" s="126"/>
      <c r="D493" s="126"/>
      <c r="F493" s="127"/>
      <c r="G493" s="127"/>
      <c r="H493" s="127"/>
      <c r="I493" s="127"/>
      <c r="J493" s="126"/>
      <c r="P493" s="127"/>
      <c r="Q493" s="127"/>
      <c r="R493" s="127"/>
      <c r="S493" s="127"/>
      <c r="T493" s="127"/>
      <c r="U493" s="127"/>
    </row>
    <row r="494" ht="14.25" customHeight="1">
      <c r="C494" s="126"/>
      <c r="D494" s="126"/>
      <c r="F494" s="127"/>
      <c r="G494" s="127"/>
      <c r="H494" s="127"/>
      <c r="I494" s="127"/>
      <c r="J494" s="126"/>
      <c r="P494" s="127"/>
      <c r="Q494" s="127"/>
      <c r="R494" s="127"/>
      <c r="S494" s="127"/>
      <c r="T494" s="127"/>
      <c r="U494" s="127"/>
    </row>
    <row r="495" ht="14.25" customHeight="1">
      <c r="C495" s="126"/>
      <c r="D495" s="126"/>
      <c r="F495" s="127"/>
      <c r="G495" s="127"/>
      <c r="H495" s="127"/>
      <c r="I495" s="127"/>
      <c r="J495" s="126"/>
      <c r="P495" s="127"/>
      <c r="Q495" s="127"/>
      <c r="R495" s="127"/>
      <c r="S495" s="127"/>
      <c r="T495" s="127"/>
      <c r="U495" s="127"/>
    </row>
    <row r="496" ht="14.25" customHeight="1">
      <c r="C496" s="126"/>
      <c r="D496" s="126"/>
      <c r="F496" s="127"/>
      <c r="G496" s="127"/>
      <c r="H496" s="127"/>
      <c r="I496" s="127"/>
      <c r="J496" s="126"/>
      <c r="P496" s="127"/>
      <c r="Q496" s="127"/>
      <c r="R496" s="127"/>
      <c r="S496" s="127"/>
      <c r="T496" s="127"/>
      <c r="U496" s="127"/>
    </row>
    <row r="497" ht="14.25" customHeight="1">
      <c r="C497" s="126"/>
      <c r="D497" s="126"/>
      <c r="F497" s="127"/>
      <c r="G497" s="127"/>
      <c r="H497" s="127"/>
      <c r="I497" s="127"/>
      <c r="J497" s="126"/>
      <c r="P497" s="127"/>
      <c r="Q497" s="127"/>
      <c r="R497" s="127"/>
      <c r="S497" s="127"/>
      <c r="T497" s="127"/>
      <c r="U497" s="127"/>
    </row>
    <row r="498" ht="14.25" customHeight="1">
      <c r="C498" s="126"/>
      <c r="D498" s="126"/>
      <c r="F498" s="127"/>
      <c r="G498" s="127"/>
      <c r="H498" s="127"/>
      <c r="I498" s="127"/>
      <c r="J498" s="126"/>
      <c r="P498" s="127"/>
      <c r="Q498" s="127"/>
      <c r="R498" s="127"/>
      <c r="S498" s="127"/>
      <c r="T498" s="127"/>
      <c r="U498" s="127"/>
    </row>
    <row r="499" ht="14.25" customHeight="1">
      <c r="C499" s="126"/>
      <c r="D499" s="126"/>
      <c r="F499" s="127"/>
      <c r="G499" s="127"/>
      <c r="H499" s="127"/>
      <c r="I499" s="127"/>
      <c r="J499" s="126"/>
      <c r="P499" s="127"/>
      <c r="Q499" s="127"/>
      <c r="R499" s="127"/>
      <c r="S499" s="127"/>
      <c r="T499" s="127"/>
      <c r="U499" s="127"/>
    </row>
    <row r="500" ht="14.25" customHeight="1">
      <c r="C500" s="126"/>
      <c r="D500" s="126"/>
      <c r="F500" s="127"/>
      <c r="G500" s="127"/>
      <c r="H500" s="127"/>
      <c r="I500" s="127"/>
      <c r="J500" s="126"/>
      <c r="P500" s="127"/>
      <c r="Q500" s="127"/>
      <c r="R500" s="127"/>
      <c r="S500" s="127"/>
      <c r="T500" s="127"/>
      <c r="U500" s="127"/>
    </row>
    <row r="501" ht="14.25" customHeight="1">
      <c r="C501" s="126"/>
      <c r="D501" s="126"/>
      <c r="F501" s="127"/>
      <c r="G501" s="127"/>
      <c r="H501" s="127"/>
      <c r="I501" s="127"/>
      <c r="J501" s="126"/>
      <c r="P501" s="127"/>
      <c r="Q501" s="127"/>
      <c r="R501" s="127"/>
      <c r="S501" s="127"/>
      <c r="T501" s="127"/>
      <c r="U501" s="127"/>
    </row>
    <row r="502" ht="14.25" customHeight="1">
      <c r="C502" s="126"/>
      <c r="D502" s="126"/>
      <c r="F502" s="127"/>
      <c r="G502" s="127"/>
      <c r="H502" s="127"/>
      <c r="I502" s="127"/>
      <c r="J502" s="126"/>
      <c r="P502" s="127"/>
      <c r="Q502" s="127"/>
      <c r="R502" s="127"/>
      <c r="S502" s="127"/>
      <c r="T502" s="127"/>
      <c r="U502" s="127"/>
    </row>
    <row r="503" ht="14.25" customHeight="1">
      <c r="C503" s="126"/>
      <c r="D503" s="126"/>
      <c r="F503" s="127"/>
      <c r="G503" s="127"/>
      <c r="H503" s="127"/>
      <c r="I503" s="127"/>
      <c r="J503" s="126"/>
      <c r="P503" s="127"/>
      <c r="Q503" s="127"/>
      <c r="R503" s="127"/>
      <c r="S503" s="127"/>
      <c r="T503" s="127"/>
      <c r="U503" s="127"/>
    </row>
    <row r="504" ht="14.25" customHeight="1">
      <c r="C504" s="126"/>
      <c r="D504" s="126"/>
      <c r="F504" s="127"/>
      <c r="G504" s="127"/>
      <c r="H504" s="127"/>
      <c r="I504" s="127"/>
      <c r="J504" s="126"/>
      <c r="P504" s="127"/>
      <c r="Q504" s="127"/>
      <c r="R504" s="127"/>
      <c r="S504" s="127"/>
      <c r="T504" s="127"/>
      <c r="U504" s="127"/>
    </row>
    <row r="505" ht="14.25" customHeight="1">
      <c r="C505" s="126"/>
      <c r="D505" s="126"/>
      <c r="F505" s="127"/>
      <c r="G505" s="127"/>
      <c r="H505" s="127"/>
      <c r="I505" s="127"/>
      <c r="J505" s="126"/>
      <c r="P505" s="127"/>
      <c r="Q505" s="127"/>
      <c r="R505" s="127"/>
      <c r="S505" s="127"/>
      <c r="T505" s="127"/>
      <c r="U505" s="127"/>
    </row>
    <row r="506" ht="14.25" customHeight="1">
      <c r="C506" s="126"/>
      <c r="D506" s="126"/>
      <c r="F506" s="127"/>
      <c r="G506" s="127"/>
      <c r="H506" s="127"/>
      <c r="I506" s="127"/>
      <c r="J506" s="126"/>
      <c r="P506" s="127"/>
      <c r="Q506" s="127"/>
      <c r="R506" s="127"/>
      <c r="S506" s="127"/>
      <c r="T506" s="127"/>
      <c r="U506" s="127"/>
    </row>
    <row r="507" ht="14.25" customHeight="1">
      <c r="C507" s="126"/>
      <c r="D507" s="126"/>
      <c r="F507" s="127"/>
      <c r="G507" s="127"/>
      <c r="H507" s="127"/>
      <c r="I507" s="127"/>
      <c r="J507" s="126"/>
      <c r="P507" s="127"/>
      <c r="Q507" s="127"/>
      <c r="R507" s="127"/>
      <c r="S507" s="127"/>
      <c r="T507" s="127"/>
      <c r="U507" s="127"/>
    </row>
    <row r="508" ht="14.25" customHeight="1">
      <c r="C508" s="126"/>
      <c r="D508" s="126"/>
      <c r="F508" s="127"/>
      <c r="G508" s="127"/>
      <c r="H508" s="127"/>
      <c r="I508" s="127"/>
      <c r="J508" s="126"/>
      <c r="P508" s="127"/>
      <c r="Q508" s="127"/>
      <c r="R508" s="127"/>
      <c r="S508" s="127"/>
      <c r="T508" s="127"/>
      <c r="U508" s="127"/>
    </row>
    <row r="509" ht="14.25" customHeight="1">
      <c r="C509" s="126"/>
      <c r="D509" s="126"/>
      <c r="F509" s="127"/>
      <c r="G509" s="127"/>
      <c r="H509" s="127"/>
      <c r="I509" s="127"/>
      <c r="J509" s="126"/>
      <c r="P509" s="127"/>
      <c r="Q509" s="127"/>
      <c r="R509" s="127"/>
      <c r="S509" s="127"/>
      <c r="T509" s="127"/>
      <c r="U509" s="127"/>
    </row>
    <row r="510" ht="14.25" customHeight="1">
      <c r="C510" s="126"/>
      <c r="D510" s="126"/>
      <c r="F510" s="127"/>
      <c r="G510" s="127"/>
      <c r="H510" s="127"/>
      <c r="I510" s="127"/>
      <c r="J510" s="126"/>
      <c r="P510" s="127"/>
      <c r="Q510" s="127"/>
      <c r="R510" s="127"/>
      <c r="S510" s="127"/>
      <c r="T510" s="127"/>
      <c r="U510" s="127"/>
    </row>
    <row r="511" ht="14.25" customHeight="1">
      <c r="C511" s="126"/>
      <c r="D511" s="126"/>
      <c r="F511" s="127"/>
      <c r="G511" s="127"/>
      <c r="H511" s="127"/>
      <c r="I511" s="127"/>
      <c r="J511" s="126"/>
      <c r="P511" s="127"/>
      <c r="Q511" s="127"/>
      <c r="R511" s="127"/>
      <c r="S511" s="127"/>
      <c r="T511" s="127"/>
      <c r="U511" s="127"/>
    </row>
    <row r="512" ht="14.25" customHeight="1">
      <c r="C512" s="126"/>
      <c r="D512" s="126"/>
      <c r="F512" s="127"/>
      <c r="G512" s="127"/>
      <c r="H512" s="127"/>
      <c r="I512" s="127"/>
      <c r="J512" s="126"/>
      <c r="P512" s="127"/>
      <c r="Q512" s="127"/>
      <c r="R512" s="127"/>
      <c r="S512" s="127"/>
      <c r="T512" s="127"/>
      <c r="U512" s="127"/>
    </row>
    <row r="513" ht="14.25" customHeight="1">
      <c r="C513" s="126"/>
      <c r="D513" s="126"/>
      <c r="F513" s="127"/>
      <c r="G513" s="127"/>
      <c r="H513" s="127"/>
      <c r="I513" s="127"/>
      <c r="J513" s="126"/>
      <c r="P513" s="127"/>
      <c r="Q513" s="127"/>
      <c r="R513" s="127"/>
      <c r="S513" s="127"/>
      <c r="T513" s="127"/>
      <c r="U513" s="127"/>
    </row>
    <row r="514" ht="14.25" customHeight="1">
      <c r="C514" s="126"/>
      <c r="D514" s="126"/>
      <c r="F514" s="127"/>
      <c r="G514" s="127"/>
      <c r="H514" s="127"/>
      <c r="I514" s="127"/>
      <c r="J514" s="126"/>
      <c r="P514" s="127"/>
      <c r="Q514" s="127"/>
      <c r="R514" s="127"/>
      <c r="S514" s="127"/>
      <c r="T514" s="127"/>
      <c r="U514" s="127"/>
    </row>
    <row r="515" ht="14.25" customHeight="1">
      <c r="C515" s="126"/>
      <c r="D515" s="126"/>
      <c r="F515" s="127"/>
      <c r="G515" s="127"/>
      <c r="H515" s="127"/>
      <c r="I515" s="127"/>
      <c r="J515" s="126"/>
      <c r="P515" s="127"/>
      <c r="Q515" s="127"/>
      <c r="R515" s="127"/>
      <c r="S515" s="127"/>
      <c r="T515" s="127"/>
      <c r="U515" s="127"/>
    </row>
    <row r="516" ht="14.25" customHeight="1">
      <c r="C516" s="126"/>
      <c r="D516" s="126"/>
      <c r="F516" s="127"/>
      <c r="G516" s="127"/>
      <c r="H516" s="127"/>
      <c r="I516" s="127"/>
      <c r="J516" s="126"/>
      <c r="P516" s="127"/>
      <c r="Q516" s="127"/>
      <c r="R516" s="127"/>
      <c r="S516" s="127"/>
      <c r="T516" s="127"/>
      <c r="U516" s="127"/>
    </row>
    <row r="517" ht="14.25" customHeight="1">
      <c r="C517" s="126"/>
      <c r="D517" s="126"/>
      <c r="F517" s="127"/>
      <c r="G517" s="127"/>
      <c r="H517" s="127"/>
      <c r="I517" s="127"/>
      <c r="J517" s="126"/>
      <c r="P517" s="127"/>
      <c r="Q517" s="127"/>
      <c r="R517" s="127"/>
      <c r="S517" s="127"/>
      <c r="T517" s="127"/>
      <c r="U517" s="127"/>
    </row>
    <row r="518" ht="14.25" customHeight="1">
      <c r="C518" s="126"/>
      <c r="D518" s="126"/>
      <c r="F518" s="127"/>
      <c r="G518" s="127"/>
      <c r="H518" s="127"/>
      <c r="I518" s="127"/>
      <c r="J518" s="126"/>
      <c r="P518" s="127"/>
      <c r="Q518" s="127"/>
      <c r="R518" s="127"/>
      <c r="S518" s="127"/>
      <c r="T518" s="127"/>
      <c r="U518" s="127"/>
    </row>
    <row r="519" ht="14.25" customHeight="1">
      <c r="C519" s="126"/>
      <c r="D519" s="126"/>
      <c r="F519" s="127"/>
      <c r="G519" s="127"/>
      <c r="H519" s="127"/>
      <c r="I519" s="127"/>
      <c r="J519" s="126"/>
      <c r="P519" s="127"/>
      <c r="Q519" s="127"/>
      <c r="R519" s="127"/>
      <c r="S519" s="127"/>
      <c r="T519" s="127"/>
      <c r="U519" s="127"/>
    </row>
    <row r="520" ht="14.25" customHeight="1">
      <c r="C520" s="126"/>
      <c r="D520" s="126"/>
      <c r="F520" s="127"/>
      <c r="G520" s="127"/>
      <c r="H520" s="127"/>
      <c r="I520" s="127"/>
      <c r="J520" s="126"/>
      <c r="P520" s="127"/>
      <c r="Q520" s="127"/>
      <c r="R520" s="127"/>
      <c r="S520" s="127"/>
      <c r="T520" s="127"/>
      <c r="U520" s="127"/>
    </row>
    <row r="521" ht="14.25" customHeight="1">
      <c r="C521" s="126"/>
      <c r="D521" s="126"/>
      <c r="F521" s="127"/>
      <c r="G521" s="127"/>
      <c r="H521" s="127"/>
      <c r="I521" s="127"/>
      <c r="J521" s="126"/>
      <c r="P521" s="127"/>
      <c r="Q521" s="127"/>
      <c r="R521" s="127"/>
      <c r="S521" s="127"/>
      <c r="T521" s="127"/>
      <c r="U521" s="127"/>
    </row>
    <row r="522" ht="14.25" customHeight="1">
      <c r="C522" s="126"/>
      <c r="D522" s="126"/>
      <c r="F522" s="127"/>
      <c r="G522" s="127"/>
      <c r="H522" s="127"/>
      <c r="I522" s="127"/>
      <c r="J522" s="126"/>
      <c r="P522" s="127"/>
      <c r="Q522" s="127"/>
      <c r="R522" s="127"/>
      <c r="S522" s="127"/>
      <c r="T522" s="127"/>
      <c r="U522" s="127"/>
    </row>
    <row r="523" ht="14.25" customHeight="1">
      <c r="C523" s="126"/>
      <c r="D523" s="126"/>
      <c r="F523" s="127"/>
      <c r="G523" s="127"/>
      <c r="H523" s="127"/>
      <c r="I523" s="127"/>
      <c r="J523" s="126"/>
      <c r="P523" s="127"/>
      <c r="Q523" s="127"/>
      <c r="R523" s="127"/>
      <c r="S523" s="127"/>
      <c r="T523" s="127"/>
      <c r="U523" s="127"/>
    </row>
    <row r="524" ht="14.25" customHeight="1">
      <c r="C524" s="126"/>
      <c r="D524" s="126"/>
      <c r="F524" s="127"/>
      <c r="G524" s="127"/>
      <c r="H524" s="127"/>
      <c r="I524" s="127"/>
      <c r="J524" s="126"/>
      <c r="P524" s="127"/>
      <c r="Q524" s="127"/>
      <c r="R524" s="127"/>
      <c r="S524" s="127"/>
      <c r="T524" s="127"/>
      <c r="U524" s="127"/>
    </row>
    <row r="525" ht="14.25" customHeight="1">
      <c r="C525" s="126"/>
      <c r="D525" s="126"/>
      <c r="F525" s="127"/>
      <c r="G525" s="127"/>
      <c r="H525" s="127"/>
      <c r="I525" s="127"/>
      <c r="J525" s="126"/>
      <c r="P525" s="127"/>
      <c r="Q525" s="127"/>
      <c r="R525" s="127"/>
      <c r="S525" s="127"/>
      <c r="T525" s="127"/>
      <c r="U525" s="127"/>
    </row>
    <row r="526" ht="14.25" customHeight="1">
      <c r="C526" s="126"/>
      <c r="D526" s="126"/>
      <c r="F526" s="127"/>
      <c r="G526" s="127"/>
      <c r="H526" s="127"/>
      <c r="I526" s="127"/>
      <c r="J526" s="126"/>
      <c r="P526" s="127"/>
      <c r="Q526" s="127"/>
      <c r="R526" s="127"/>
      <c r="S526" s="127"/>
      <c r="T526" s="127"/>
      <c r="U526" s="127"/>
    </row>
    <row r="527" ht="14.25" customHeight="1">
      <c r="C527" s="126"/>
      <c r="D527" s="126"/>
      <c r="F527" s="127"/>
      <c r="G527" s="127"/>
      <c r="H527" s="127"/>
      <c r="I527" s="127"/>
      <c r="J527" s="126"/>
      <c r="P527" s="127"/>
      <c r="Q527" s="127"/>
      <c r="R527" s="127"/>
      <c r="S527" s="127"/>
      <c r="T527" s="127"/>
      <c r="U527" s="127"/>
    </row>
    <row r="528" ht="14.25" customHeight="1">
      <c r="C528" s="126"/>
      <c r="D528" s="126"/>
      <c r="F528" s="127"/>
      <c r="G528" s="127"/>
      <c r="H528" s="127"/>
      <c r="I528" s="127"/>
      <c r="J528" s="126"/>
      <c r="P528" s="127"/>
      <c r="Q528" s="127"/>
      <c r="R528" s="127"/>
      <c r="S528" s="127"/>
      <c r="T528" s="127"/>
      <c r="U528" s="127"/>
    </row>
    <row r="529" ht="14.25" customHeight="1">
      <c r="C529" s="126"/>
      <c r="D529" s="126"/>
      <c r="F529" s="127"/>
      <c r="G529" s="127"/>
      <c r="H529" s="127"/>
      <c r="I529" s="127"/>
      <c r="J529" s="126"/>
      <c r="P529" s="127"/>
      <c r="Q529" s="127"/>
      <c r="R529" s="127"/>
      <c r="S529" s="127"/>
      <c r="T529" s="127"/>
      <c r="U529" s="127"/>
    </row>
    <row r="530" ht="14.25" customHeight="1">
      <c r="C530" s="126"/>
      <c r="D530" s="126"/>
      <c r="F530" s="127"/>
      <c r="G530" s="127"/>
      <c r="H530" s="127"/>
      <c r="I530" s="127"/>
      <c r="J530" s="126"/>
      <c r="P530" s="127"/>
      <c r="Q530" s="127"/>
      <c r="R530" s="127"/>
      <c r="S530" s="127"/>
      <c r="T530" s="127"/>
      <c r="U530" s="127"/>
    </row>
    <row r="531" ht="14.25" customHeight="1">
      <c r="C531" s="126"/>
      <c r="D531" s="126"/>
      <c r="F531" s="127"/>
      <c r="G531" s="127"/>
      <c r="H531" s="127"/>
      <c r="I531" s="127"/>
      <c r="J531" s="126"/>
      <c r="P531" s="127"/>
      <c r="Q531" s="127"/>
      <c r="R531" s="127"/>
      <c r="S531" s="127"/>
      <c r="T531" s="127"/>
      <c r="U531" s="127"/>
    </row>
    <row r="532" ht="14.25" customHeight="1">
      <c r="C532" s="126"/>
      <c r="D532" s="126"/>
      <c r="F532" s="127"/>
      <c r="G532" s="127"/>
      <c r="H532" s="127"/>
      <c r="I532" s="127"/>
      <c r="J532" s="126"/>
      <c r="P532" s="127"/>
      <c r="Q532" s="127"/>
      <c r="R532" s="127"/>
      <c r="S532" s="127"/>
      <c r="T532" s="127"/>
      <c r="U532" s="127"/>
    </row>
    <row r="533" ht="14.25" customHeight="1">
      <c r="C533" s="126"/>
      <c r="D533" s="126"/>
      <c r="F533" s="127"/>
      <c r="G533" s="127"/>
      <c r="H533" s="127"/>
      <c r="I533" s="127"/>
      <c r="J533" s="126"/>
      <c r="P533" s="127"/>
      <c r="Q533" s="127"/>
      <c r="R533" s="127"/>
      <c r="S533" s="127"/>
      <c r="T533" s="127"/>
      <c r="U533" s="127"/>
    </row>
    <row r="534" ht="14.25" customHeight="1">
      <c r="C534" s="126"/>
      <c r="D534" s="126"/>
      <c r="F534" s="127"/>
      <c r="G534" s="127"/>
      <c r="H534" s="127"/>
      <c r="I534" s="127"/>
      <c r="J534" s="126"/>
      <c r="P534" s="127"/>
      <c r="Q534" s="127"/>
      <c r="R534" s="127"/>
      <c r="S534" s="127"/>
      <c r="T534" s="127"/>
      <c r="U534" s="127"/>
    </row>
    <row r="535" ht="14.25" customHeight="1">
      <c r="C535" s="126"/>
      <c r="D535" s="126"/>
      <c r="F535" s="127"/>
      <c r="G535" s="127"/>
      <c r="H535" s="127"/>
      <c r="I535" s="127"/>
      <c r="J535" s="126"/>
      <c r="P535" s="127"/>
      <c r="Q535" s="127"/>
      <c r="R535" s="127"/>
      <c r="S535" s="127"/>
      <c r="T535" s="127"/>
      <c r="U535" s="127"/>
    </row>
    <row r="536" ht="14.25" customHeight="1">
      <c r="C536" s="126"/>
      <c r="D536" s="126"/>
      <c r="F536" s="127"/>
      <c r="G536" s="127"/>
      <c r="H536" s="127"/>
      <c r="I536" s="127"/>
      <c r="J536" s="126"/>
      <c r="P536" s="127"/>
      <c r="Q536" s="127"/>
      <c r="R536" s="127"/>
      <c r="S536" s="127"/>
      <c r="T536" s="127"/>
      <c r="U536" s="127"/>
    </row>
    <row r="537" ht="14.25" customHeight="1">
      <c r="C537" s="126"/>
      <c r="D537" s="126"/>
      <c r="F537" s="127"/>
      <c r="G537" s="127"/>
      <c r="H537" s="127"/>
      <c r="I537" s="127"/>
      <c r="J537" s="126"/>
      <c r="P537" s="127"/>
      <c r="Q537" s="127"/>
      <c r="R537" s="127"/>
      <c r="S537" s="127"/>
      <c r="T537" s="127"/>
      <c r="U537" s="127"/>
    </row>
    <row r="538" ht="14.25" customHeight="1">
      <c r="C538" s="126"/>
      <c r="D538" s="126"/>
      <c r="F538" s="127"/>
      <c r="G538" s="127"/>
      <c r="H538" s="127"/>
      <c r="I538" s="127"/>
      <c r="J538" s="126"/>
      <c r="P538" s="127"/>
      <c r="Q538" s="127"/>
      <c r="R538" s="127"/>
      <c r="S538" s="127"/>
      <c r="T538" s="127"/>
      <c r="U538" s="127"/>
    </row>
    <row r="539" ht="14.25" customHeight="1">
      <c r="C539" s="126"/>
      <c r="D539" s="126"/>
      <c r="F539" s="127"/>
      <c r="G539" s="127"/>
      <c r="H539" s="127"/>
      <c r="I539" s="127"/>
      <c r="J539" s="126"/>
      <c r="P539" s="127"/>
      <c r="Q539" s="127"/>
      <c r="R539" s="127"/>
      <c r="S539" s="127"/>
      <c r="T539" s="127"/>
      <c r="U539" s="127"/>
    </row>
    <row r="540" ht="14.25" customHeight="1">
      <c r="C540" s="126"/>
      <c r="D540" s="126"/>
      <c r="F540" s="127"/>
      <c r="G540" s="127"/>
      <c r="H540" s="127"/>
      <c r="I540" s="127"/>
      <c r="J540" s="126"/>
      <c r="P540" s="127"/>
      <c r="Q540" s="127"/>
      <c r="R540" s="127"/>
      <c r="S540" s="127"/>
      <c r="T540" s="127"/>
      <c r="U540" s="127"/>
    </row>
    <row r="541" ht="14.25" customHeight="1">
      <c r="C541" s="126"/>
      <c r="D541" s="126"/>
      <c r="F541" s="127"/>
      <c r="G541" s="127"/>
      <c r="H541" s="127"/>
      <c r="I541" s="127"/>
      <c r="J541" s="126"/>
      <c r="P541" s="127"/>
      <c r="Q541" s="127"/>
      <c r="R541" s="127"/>
      <c r="S541" s="127"/>
      <c r="T541" s="127"/>
      <c r="U541" s="127"/>
    </row>
    <row r="542" ht="14.25" customHeight="1">
      <c r="C542" s="126"/>
      <c r="D542" s="126"/>
      <c r="F542" s="127"/>
      <c r="G542" s="127"/>
      <c r="H542" s="127"/>
      <c r="I542" s="127"/>
      <c r="J542" s="126"/>
      <c r="P542" s="127"/>
      <c r="Q542" s="127"/>
      <c r="R542" s="127"/>
      <c r="S542" s="127"/>
      <c r="T542" s="127"/>
      <c r="U542" s="127"/>
    </row>
    <row r="543" ht="14.25" customHeight="1">
      <c r="C543" s="126"/>
      <c r="D543" s="126"/>
      <c r="F543" s="127"/>
      <c r="G543" s="127"/>
      <c r="H543" s="127"/>
      <c r="I543" s="127"/>
      <c r="J543" s="126"/>
      <c r="P543" s="127"/>
      <c r="Q543" s="127"/>
      <c r="R543" s="127"/>
      <c r="S543" s="127"/>
      <c r="T543" s="127"/>
      <c r="U543" s="127"/>
    </row>
    <row r="544" ht="14.25" customHeight="1">
      <c r="C544" s="126"/>
      <c r="D544" s="126"/>
      <c r="F544" s="127"/>
      <c r="G544" s="127"/>
      <c r="H544" s="127"/>
      <c r="I544" s="127"/>
      <c r="J544" s="126"/>
      <c r="P544" s="127"/>
      <c r="Q544" s="127"/>
      <c r="R544" s="127"/>
      <c r="S544" s="127"/>
      <c r="T544" s="127"/>
      <c r="U544" s="127"/>
    </row>
    <row r="545" ht="14.25" customHeight="1">
      <c r="C545" s="126"/>
      <c r="D545" s="126"/>
      <c r="F545" s="127"/>
      <c r="G545" s="127"/>
      <c r="H545" s="127"/>
      <c r="I545" s="127"/>
      <c r="J545" s="126"/>
      <c r="P545" s="127"/>
      <c r="Q545" s="127"/>
      <c r="R545" s="127"/>
      <c r="S545" s="127"/>
      <c r="T545" s="127"/>
      <c r="U545" s="127"/>
    </row>
    <row r="546" ht="14.25" customHeight="1">
      <c r="C546" s="126"/>
      <c r="D546" s="126"/>
      <c r="F546" s="127"/>
      <c r="G546" s="127"/>
      <c r="H546" s="127"/>
      <c r="I546" s="127"/>
      <c r="J546" s="126"/>
      <c r="P546" s="127"/>
      <c r="Q546" s="127"/>
      <c r="R546" s="127"/>
      <c r="S546" s="127"/>
      <c r="T546" s="127"/>
      <c r="U546" s="127"/>
    </row>
    <row r="547" ht="14.25" customHeight="1">
      <c r="C547" s="126"/>
      <c r="D547" s="126"/>
      <c r="F547" s="127"/>
      <c r="G547" s="127"/>
      <c r="H547" s="127"/>
      <c r="I547" s="127"/>
      <c r="J547" s="126"/>
      <c r="P547" s="127"/>
      <c r="Q547" s="127"/>
      <c r="R547" s="127"/>
      <c r="S547" s="127"/>
      <c r="T547" s="127"/>
      <c r="U547" s="127"/>
    </row>
    <row r="548" ht="14.25" customHeight="1">
      <c r="C548" s="126"/>
      <c r="D548" s="126"/>
      <c r="F548" s="127"/>
      <c r="G548" s="127"/>
      <c r="H548" s="127"/>
      <c r="I548" s="127"/>
      <c r="J548" s="126"/>
      <c r="P548" s="127"/>
      <c r="Q548" s="127"/>
      <c r="R548" s="127"/>
      <c r="S548" s="127"/>
      <c r="T548" s="127"/>
      <c r="U548" s="127"/>
    </row>
    <row r="549" ht="14.25" customHeight="1">
      <c r="C549" s="126"/>
      <c r="D549" s="126"/>
      <c r="F549" s="127"/>
      <c r="G549" s="127"/>
      <c r="H549" s="127"/>
      <c r="I549" s="127"/>
      <c r="J549" s="126"/>
      <c r="P549" s="127"/>
      <c r="Q549" s="127"/>
      <c r="R549" s="127"/>
      <c r="S549" s="127"/>
      <c r="T549" s="127"/>
      <c r="U549" s="127"/>
    </row>
    <row r="550" ht="14.25" customHeight="1">
      <c r="C550" s="126"/>
      <c r="D550" s="126"/>
      <c r="F550" s="127"/>
      <c r="G550" s="127"/>
      <c r="H550" s="127"/>
      <c r="I550" s="127"/>
      <c r="J550" s="126"/>
      <c r="P550" s="127"/>
      <c r="Q550" s="127"/>
      <c r="R550" s="127"/>
      <c r="S550" s="127"/>
      <c r="T550" s="127"/>
      <c r="U550" s="127"/>
    </row>
    <row r="551" ht="14.25" customHeight="1">
      <c r="C551" s="126"/>
      <c r="D551" s="126"/>
      <c r="F551" s="127"/>
      <c r="G551" s="127"/>
      <c r="H551" s="127"/>
      <c r="I551" s="127"/>
      <c r="J551" s="126"/>
      <c r="P551" s="127"/>
      <c r="Q551" s="127"/>
      <c r="R551" s="127"/>
      <c r="S551" s="127"/>
      <c r="T551" s="127"/>
      <c r="U551" s="127"/>
    </row>
    <row r="552" ht="14.25" customHeight="1">
      <c r="C552" s="126"/>
      <c r="D552" s="126"/>
      <c r="F552" s="127"/>
      <c r="G552" s="127"/>
      <c r="H552" s="127"/>
      <c r="I552" s="127"/>
      <c r="J552" s="126"/>
      <c r="P552" s="127"/>
      <c r="Q552" s="127"/>
      <c r="R552" s="127"/>
      <c r="S552" s="127"/>
      <c r="T552" s="127"/>
      <c r="U552" s="127"/>
    </row>
    <row r="553" ht="14.25" customHeight="1">
      <c r="C553" s="126"/>
      <c r="D553" s="126"/>
      <c r="F553" s="127"/>
      <c r="G553" s="127"/>
      <c r="H553" s="127"/>
      <c r="I553" s="127"/>
      <c r="J553" s="126"/>
      <c r="P553" s="127"/>
      <c r="Q553" s="127"/>
      <c r="R553" s="127"/>
      <c r="S553" s="127"/>
      <c r="T553" s="127"/>
      <c r="U553" s="127"/>
    </row>
    <row r="554" ht="14.25" customHeight="1">
      <c r="C554" s="126"/>
      <c r="D554" s="126"/>
      <c r="F554" s="127"/>
      <c r="G554" s="127"/>
      <c r="H554" s="127"/>
      <c r="I554" s="127"/>
      <c r="J554" s="126"/>
      <c r="P554" s="127"/>
      <c r="Q554" s="127"/>
      <c r="R554" s="127"/>
      <c r="S554" s="127"/>
      <c r="T554" s="127"/>
      <c r="U554" s="127"/>
    </row>
    <row r="555" ht="14.25" customHeight="1">
      <c r="C555" s="126"/>
      <c r="D555" s="126"/>
      <c r="F555" s="127"/>
      <c r="G555" s="127"/>
      <c r="H555" s="127"/>
      <c r="I555" s="127"/>
      <c r="J555" s="126"/>
      <c r="P555" s="127"/>
      <c r="Q555" s="127"/>
      <c r="R555" s="127"/>
      <c r="S555" s="127"/>
      <c r="T555" s="127"/>
      <c r="U555" s="127"/>
    </row>
    <row r="556" ht="14.25" customHeight="1">
      <c r="C556" s="126"/>
      <c r="D556" s="126"/>
      <c r="F556" s="127"/>
      <c r="G556" s="127"/>
      <c r="H556" s="127"/>
      <c r="I556" s="127"/>
      <c r="J556" s="126"/>
      <c r="P556" s="127"/>
      <c r="Q556" s="127"/>
      <c r="R556" s="127"/>
      <c r="S556" s="127"/>
      <c r="T556" s="127"/>
      <c r="U556" s="127"/>
    </row>
    <row r="557" ht="14.25" customHeight="1">
      <c r="C557" s="126"/>
      <c r="D557" s="126"/>
      <c r="F557" s="127"/>
      <c r="G557" s="127"/>
      <c r="H557" s="127"/>
      <c r="I557" s="127"/>
      <c r="J557" s="126"/>
      <c r="P557" s="127"/>
      <c r="Q557" s="127"/>
      <c r="R557" s="127"/>
      <c r="S557" s="127"/>
      <c r="T557" s="127"/>
      <c r="U557" s="127"/>
    </row>
    <row r="558" ht="14.25" customHeight="1">
      <c r="C558" s="126"/>
      <c r="D558" s="126"/>
      <c r="F558" s="127"/>
      <c r="G558" s="127"/>
      <c r="H558" s="127"/>
      <c r="I558" s="127"/>
      <c r="J558" s="126"/>
      <c r="P558" s="127"/>
      <c r="Q558" s="127"/>
      <c r="R558" s="127"/>
      <c r="S558" s="127"/>
      <c r="T558" s="127"/>
      <c r="U558" s="127"/>
    </row>
    <row r="559" ht="14.25" customHeight="1">
      <c r="C559" s="126"/>
      <c r="D559" s="126"/>
      <c r="F559" s="127"/>
      <c r="G559" s="127"/>
      <c r="H559" s="127"/>
      <c r="I559" s="127"/>
      <c r="J559" s="126"/>
      <c r="P559" s="127"/>
      <c r="Q559" s="127"/>
      <c r="R559" s="127"/>
      <c r="S559" s="127"/>
      <c r="T559" s="127"/>
      <c r="U559" s="127"/>
    </row>
    <row r="560" ht="14.25" customHeight="1">
      <c r="C560" s="126"/>
      <c r="D560" s="126"/>
      <c r="F560" s="127"/>
      <c r="G560" s="127"/>
      <c r="H560" s="127"/>
      <c r="I560" s="127"/>
      <c r="J560" s="126"/>
      <c r="P560" s="127"/>
      <c r="Q560" s="127"/>
      <c r="R560" s="127"/>
      <c r="S560" s="127"/>
      <c r="T560" s="127"/>
      <c r="U560" s="127"/>
    </row>
    <row r="561" ht="14.25" customHeight="1">
      <c r="C561" s="126"/>
      <c r="D561" s="126"/>
      <c r="F561" s="127"/>
      <c r="G561" s="127"/>
      <c r="H561" s="127"/>
      <c r="I561" s="127"/>
      <c r="J561" s="126"/>
      <c r="P561" s="127"/>
      <c r="Q561" s="127"/>
      <c r="R561" s="127"/>
      <c r="S561" s="127"/>
      <c r="T561" s="127"/>
      <c r="U561" s="127"/>
    </row>
    <row r="562" ht="14.25" customHeight="1">
      <c r="C562" s="126"/>
      <c r="D562" s="126"/>
      <c r="F562" s="127"/>
      <c r="G562" s="127"/>
      <c r="H562" s="127"/>
      <c r="I562" s="127"/>
      <c r="J562" s="126"/>
      <c r="P562" s="127"/>
      <c r="Q562" s="127"/>
      <c r="R562" s="127"/>
      <c r="S562" s="127"/>
      <c r="T562" s="127"/>
      <c r="U562" s="127"/>
    </row>
    <row r="563" ht="14.25" customHeight="1">
      <c r="C563" s="126"/>
      <c r="D563" s="126"/>
      <c r="F563" s="127"/>
      <c r="G563" s="127"/>
      <c r="H563" s="127"/>
      <c r="I563" s="127"/>
      <c r="J563" s="126"/>
      <c r="P563" s="127"/>
      <c r="Q563" s="127"/>
      <c r="R563" s="127"/>
      <c r="S563" s="127"/>
      <c r="T563" s="127"/>
      <c r="U563" s="127"/>
    </row>
    <row r="564" ht="14.25" customHeight="1">
      <c r="C564" s="126"/>
      <c r="D564" s="126"/>
      <c r="F564" s="127"/>
      <c r="G564" s="127"/>
      <c r="H564" s="127"/>
      <c r="I564" s="127"/>
      <c r="J564" s="126"/>
      <c r="P564" s="127"/>
      <c r="Q564" s="127"/>
      <c r="R564" s="127"/>
      <c r="S564" s="127"/>
      <c r="T564" s="127"/>
      <c r="U564" s="127"/>
    </row>
    <row r="565" ht="14.25" customHeight="1">
      <c r="C565" s="126"/>
      <c r="D565" s="126"/>
      <c r="F565" s="127"/>
      <c r="G565" s="127"/>
      <c r="H565" s="127"/>
      <c r="I565" s="127"/>
      <c r="J565" s="126"/>
      <c r="P565" s="127"/>
      <c r="Q565" s="127"/>
      <c r="R565" s="127"/>
      <c r="S565" s="127"/>
      <c r="T565" s="127"/>
      <c r="U565" s="127"/>
    </row>
    <row r="566" ht="14.25" customHeight="1">
      <c r="C566" s="126"/>
      <c r="D566" s="126"/>
      <c r="F566" s="127"/>
      <c r="G566" s="127"/>
      <c r="H566" s="127"/>
      <c r="I566" s="127"/>
      <c r="J566" s="126"/>
      <c r="P566" s="127"/>
      <c r="Q566" s="127"/>
      <c r="R566" s="127"/>
      <c r="S566" s="127"/>
      <c r="T566" s="127"/>
      <c r="U566" s="127"/>
    </row>
    <row r="567" ht="14.25" customHeight="1">
      <c r="C567" s="126"/>
      <c r="D567" s="126"/>
      <c r="F567" s="127"/>
      <c r="G567" s="127"/>
      <c r="H567" s="127"/>
      <c r="I567" s="127"/>
      <c r="J567" s="126"/>
      <c r="P567" s="127"/>
      <c r="Q567" s="127"/>
      <c r="R567" s="127"/>
      <c r="S567" s="127"/>
      <c r="T567" s="127"/>
      <c r="U567" s="127"/>
    </row>
    <row r="568" ht="14.25" customHeight="1">
      <c r="C568" s="126"/>
      <c r="D568" s="126"/>
      <c r="F568" s="127"/>
      <c r="G568" s="127"/>
      <c r="H568" s="127"/>
      <c r="I568" s="127"/>
      <c r="J568" s="126"/>
      <c r="P568" s="127"/>
      <c r="Q568" s="127"/>
      <c r="R568" s="127"/>
      <c r="S568" s="127"/>
      <c r="T568" s="127"/>
      <c r="U568" s="127"/>
    </row>
    <row r="569" ht="14.25" customHeight="1">
      <c r="C569" s="126"/>
      <c r="D569" s="126"/>
      <c r="F569" s="127"/>
      <c r="G569" s="127"/>
      <c r="H569" s="127"/>
      <c r="I569" s="127"/>
      <c r="J569" s="126"/>
      <c r="P569" s="127"/>
      <c r="Q569" s="127"/>
      <c r="R569" s="127"/>
      <c r="S569" s="127"/>
      <c r="T569" s="127"/>
      <c r="U569" s="127"/>
    </row>
    <row r="570" ht="14.25" customHeight="1">
      <c r="C570" s="126"/>
      <c r="D570" s="126"/>
      <c r="F570" s="127"/>
      <c r="G570" s="127"/>
      <c r="H570" s="127"/>
      <c r="I570" s="127"/>
      <c r="J570" s="126"/>
      <c r="P570" s="127"/>
      <c r="Q570" s="127"/>
      <c r="R570" s="127"/>
      <c r="S570" s="127"/>
      <c r="T570" s="127"/>
      <c r="U570" s="127"/>
    </row>
    <row r="571" ht="14.25" customHeight="1">
      <c r="C571" s="126"/>
      <c r="D571" s="126"/>
      <c r="F571" s="127"/>
      <c r="G571" s="127"/>
      <c r="H571" s="127"/>
      <c r="I571" s="127"/>
      <c r="J571" s="126"/>
      <c r="P571" s="127"/>
      <c r="Q571" s="127"/>
      <c r="R571" s="127"/>
      <c r="S571" s="127"/>
      <c r="T571" s="127"/>
      <c r="U571" s="127"/>
    </row>
    <row r="572" ht="14.25" customHeight="1">
      <c r="C572" s="126"/>
      <c r="D572" s="126"/>
      <c r="F572" s="127"/>
      <c r="G572" s="127"/>
      <c r="H572" s="127"/>
      <c r="I572" s="127"/>
      <c r="J572" s="126"/>
      <c r="P572" s="127"/>
      <c r="Q572" s="127"/>
      <c r="R572" s="127"/>
      <c r="S572" s="127"/>
      <c r="T572" s="127"/>
      <c r="U572" s="127"/>
    </row>
    <row r="573" ht="14.25" customHeight="1">
      <c r="C573" s="126"/>
      <c r="D573" s="126"/>
      <c r="F573" s="127"/>
      <c r="G573" s="127"/>
      <c r="H573" s="127"/>
      <c r="I573" s="127"/>
      <c r="J573" s="126"/>
      <c r="P573" s="127"/>
      <c r="Q573" s="127"/>
      <c r="R573" s="127"/>
      <c r="S573" s="127"/>
      <c r="T573" s="127"/>
      <c r="U573" s="127"/>
    </row>
    <row r="574" ht="14.25" customHeight="1">
      <c r="C574" s="126"/>
      <c r="D574" s="126"/>
      <c r="F574" s="127"/>
      <c r="G574" s="127"/>
      <c r="H574" s="127"/>
      <c r="I574" s="127"/>
      <c r="J574" s="126"/>
      <c r="P574" s="127"/>
      <c r="Q574" s="127"/>
      <c r="R574" s="127"/>
      <c r="S574" s="127"/>
      <c r="T574" s="127"/>
      <c r="U574" s="127"/>
    </row>
    <row r="575" ht="14.25" customHeight="1">
      <c r="C575" s="126"/>
      <c r="D575" s="126"/>
      <c r="F575" s="127"/>
      <c r="G575" s="127"/>
      <c r="H575" s="127"/>
      <c r="I575" s="127"/>
      <c r="J575" s="126"/>
      <c r="P575" s="127"/>
      <c r="Q575" s="127"/>
      <c r="R575" s="127"/>
      <c r="S575" s="127"/>
      <c r="T575" s="127"/>
      <c r="U575" s="127"/>
    </row>
    <row r="576" ht="14.25" customHeight="1">
      <c r="C576" s="126"/>
      <c r="D576" s="126"/>
      <c r="F576" s="127"/>
      <c r="G576" s="127"/>
      <c r="H576" s="127"/>
      <c r="I576" s="127"/>
      <c r="J576" s="126"/>
      <c r="P576" s="127"/>
      <c r="Q576" s="127"/>
      <c r="R576" s="127"/>
      <c r="S576" s="127"/>
      <c r="T576" s="127"/>
      <c r="U576" s="127"/>
    </row>
    <row r="577" ht="14.25" customHeight="1">
      <c r="C577" s="126"/>
      <c r="D577" s="126"/>
      <c r="F577" s="127"/>
      <c r="G577" s="127"/>
      <c r="H577" s="127"/>
      <c r="I577" s="127"/>
      <c r="J577" s="126"/>
      <c r="P577" s="127"/>
      <c r="Q577" s="127"/>
      <c r="R577" s="127"/>
      <c r="S577" s="127"/>
      <c r="T577" s="127"/>
      <c r="U577" s="127"/>
    </row>
    <row r="578" ht="14.25" customHeight="1">
      <c r="C578" s="126"/>
      <c r="D578" s="126"/>
      <c r="F578" s="127"/>
      <c r="G578" s="127"/>
      <c r="H578" s="127"/>
      <c r="I578" s="127"/>
      <c r="J578" s="126"/>
      <c r="P578" s="127"/>
      <c r="Q578" s="127"/>
      <c r="R578" s="127"/>
      <c r="S578" s="127"/>
      <c r="T578" s="127"/>
      <c r="U578" s="127"/>
    </row>
    <row r="579" ht="14.25" customHeight="1">
      <c r="C579" s="126"/>
      <c r="D579" s="126"/>
      <c r="F579" s="127"/>
      <c r="G579" s="127"/>
      <c r="H579" s="127"/>
      <c r="I579" s="127"/>
      <c r="J579" s="126"/>
      <c r="P579" s="127"/>
      <c r="Q579" s="127"/>
      <c r="R579" s="127"/>
      <c r="S579" s="127"/>
      <c r="T579" s="127"/>
      <c r="U579" s="127"/>
    </row>
    <row r="580" ht="14.25" customHeight="1">
      <c r="C580" s="126"/>
      <c r="D580" s="126"/>
      <c r="F580" s="127"/>
      <c r="G580" s="127"/>
      <c r="H580" s="127"/>
      <c r="I580" s="127"/>
      <c r="J580" s="126"/>
      <c r="P580" s="127"/>
      <c r="Q580" s="127"/>
      <c r="R580" s="127"/>
      <c r="S580" s="127"/>
      <c r="T580" s="127"/>
      <c r="U580" s="127"/>
    </row>
    <row r="581" ht="14.25" customHeight="1">
      <c r="C581" s="126"/>
      <c r="D581" s="126"/>
      <c r="F581" s="127"/>
      <c r="G581" s="127"/>
      <c r="H581" s="127"/>
      <c r="I581" s="127"/>
      <c r="J581" s="126"/>
      <c r="P581" s="127"/>
      <c r="Q581" s="127"/>
      <c r="R581" s="127"/>
      <c r="S581" s="127"/>
      <c r="T581" s="127"/>
      <c r="U581" s="127"/>
    </row>
    <row r="582" ht="14.25" customHeight="1">
      <c r="C582" s="126"/>
      <c r="D582" s="126"/>
      <c r="F582" s="127"/>
      <c r="G582" s="127"/>
      <c r="H582" s="127"/>
      <c r="I582" s="127"/>
      <c r="J582" s="126"/>
      <c r="P582" s="127"/>
      <c r="Q582" s="127"/>
      <c r="R582" s="127"/>
      <c r="S582" s="127"/>
      <c r="T582" s="127"/>
      <c r="U582" s="127"/>
    </row>
    <row r="583" ht="14.25" customHeight="1">
      <c r="C583" s="126"/>
      <c r="D583" s="126"/>
      <c r="F583" s="127"/>
      <c r="G583" s="127"/>
      <c r="H583" s="127"/>
      <c r="I583" s="127"/>
      <c r="J583" s="126"/>
      <c r="P583" s="127"/>
      <c r="Q583" s="127"/>
      <c r="R583" s="127"/>
      <c r="S583" s="127"/>
      <c r="T583" s="127"/>
      <c r="U583" s="127"/>
    </row>
    <row r="584" ht="14.25" customHeight="1">
      <c r="C584" s="126"/>
      <c r="D584" s="126"/>
      <c r="F584" s="127"/>
      <c r="G584" s="127"/>
      <c r="H584" s="127"/>
      <c r="I584" s="127"/>
      <c r="J584" s="126"/>
      <c r="P584" s="127"/>
      <c r="Q584" s="127"/>
      <c r="R584" s="127"/>
      <c r="S584" s="127"/>
      <c r="T584" s="127"/>
      <c r="U584" s="127"/>
    </row>
    <row r="585" ht="14.25" customHeight="1">
      <c r="C585" s="126"/>
      <c r="D585" s="126"/>
      <c r="F585" s="127"/>
      <c r="G585" s="127"/>
      <c r="H585" s="127"/>
      <c r="I585" s="127"/>
      <c r="J585" s="126"/>
      <c r="P585" s="127"/>
      <c r="Q585" s="127"/>
      <c r="R585" s="127"/>
      <c r="S585" s="127"/>
      <c r="T585" s="127"/>
      <c r="U585" s="127"/>
    </row>
    <row r="586" ht="14.25" customHeight="1">
      <c r="C586" s="126"/>
      <c r="D586" s="126"/>
      <c r="F586" s="127"/>
      <c r="G586" s="127"/>
      <c r="H586" s="127"/>
      <c r="I586" s="127"/>
      <c r="J586" s="126"/>
      <c r="P586" s="127"/>
      <c r="Q586" s="127"/>
      <c r="R586" s="127"/>
      <c r="S586" s="127"/>
      <c r="T586" s="127"/>
      <c r="U586" s="127"/>
    </row>
    <row r="587" ht="14.25" customHeight="1">
      <c r="C587" s="126"/>
      <c r="D587" s="126"/>
      <c r="F587" s="127"/>
      <c r="G587" s="127"/>
      <c r="H587" s="127"/>
      <c r="I587" s="127"/>
      <c r="J587" s="126"/>
      <c r="P587" s="127"/>
      <c r="Q587" s="127"/>
      <c r="R587" s="127"/>
      <c r="S587" s="127"/>
      <c r="T587" s="127"/>
      <c r="U587" s="127"/>
    </row>
    <row r="588" ht="14.25" customHeight="1">
      <c r="C588" s="126"/>
      <c r="D588" s="126"/>
      <c r="F588" s="127"/>
      <c r="G588" s="127"/>
      <c r="H588" s="127"/>
      <c r="I588" s="127"/>
      <c r="J588" s="126"/>
      <c r="P588" s="127"/>
      <c r="Q588" s="127"/>
      <c r="R588" s="127"/>
      <c r="S588" s="127"/>
      <c r="T588" s="127"/>
      <c r="U588" s="127"/>
    </row>
    <row r="589" ht="14.25" customHeight="1">
      <c r="C589" s="126"/>
      <c r="D589" s="126"/>
      <c r="F589" s="127"/>
      <c r="G589" s="127"/>
      <c r="H589" s="127"/>
      <c r="I589" s="127"/>
      <c r="J589" s="126"/>
      <c r="P589" s="127"/>
      <c r="Q589" s="127"/>
      <c r="R589" s="127"/>
      <c r="S589" s="127"/>
      <c r="T589" s="127"/>
      <c r="U589" s="127"/>
    </row>
    <row r="590" ht="14.25" customHeight="1">
      <c r="C590" s="126"/>
      <c r="D590" s="126"/>
      <c r="F590" s="127"/>
      <c r="G590" s="127"/>
      <c r="H590" s="127"/>
      <c r="I590" s="127"/>
      <c r="J590" s="126"/>
      <c r="P590" s="127"/>
      <c r="Q590" s="127"/>
      <c r="R590" s="127"/>
      <c r="S590" s="127"/>
      <c r="T590" s="127"/>
      <c r="U590" s="127"/>
    </row>
    <row r="591" ht="14.25" customHeight="1">
      <c r="C591" s="126"/>
      <c r="D591" s="126"/>
      <c r="F591" s="127"/>
      <c r="G591" s="127"/>
      <c r="H591" s="127"/>
      <c r="I591" s="127"/>
      <c r="J591" s="126"/>
      <c r="P591" s="127"/>
      <c r="Q591" s="127"/>
      <c r="R591" s="127"/>
      <c r="S591" s="127"/>
      <c r="T591" s="127"/>
      <c r="U591" s="127"/>
    </row>
    <row r="592" ht="14.25" customHeight="1">
      <c r="C592" s="126"/>
      <c r="D592" s="126"/>
      <c r="F592" s="127"/>
      <c r="G592" s="127"/>
      <c r="H592" s="127"/>
      <c r="I592" s="127"/>
      <c r="J592" s="126"/>
      <c r="P592" s="127"/>
      <c r="Q592" s="127"/>
      <c r="R592" s="127"/>
      <c r="S592" s="127"/>
      <c r="T592" s="127"/>
      <c r="U592" s="127"/>
    </row>
    <row r="593" ht="14.25" customHeight="1">
      <c r="C593" s="126"/>
      <c r="D593" s="126"/>
      <c r="F593" s="127"/>
      <c r="G593" s="127"/>
      <c r="H593" s="127"/>
      <c r="I593" s="127"/>
      <c r="J593" s="126"/>
      <c r="P593" s="127"/>
      <c r="Q593" s="127"/>
      <c r="R593" s="127"/>
      <c r="S593" s="127"/>
      <c r="T593" s="127"/>
      <c r="U593" s="127"/>
    </row>
    <row r="594" ht="14.25" customHeight="1">
      <c r="C594" s="126"/>
      <c r="D594" s="126"/>
      <c r="F594" s="127"/>
      <c r="G594" s="127"/>
      <c r="H594" s="127"/>
      <c r="I594" s="127"/>
      <c r="J594" s="126"/>
      <c r="P594" s="127"/>
      <c r="Q594" s="127"/>
      <c r="R594" s="127"/>
      <c r="S594" s="127"/>
      <c r="T594" s="127"/>
      <c r="U594" s="127"/>
    </row>
    <row r="595" ht="14.25" customHeight="1">
      <c r="C595" s="126"/>
      <c r="D595" s="126"/>
      <c r="F595" s="127"/>
      <c r="G595" s="127"/>
      <c r="H595" s="127"/>
      <c r="I595" s="127"/>
      <c r="J595" s="126"/>
      <c r="P595" s="127"/>
      <c r="Q595" s="127"/>
      <c r="R595" s="127"/>
      <c r="S595" s="127"/>
      <c r="T595" s="127"/>
      <c r="U595" s="127"/>
    </row>
    <row r="596" ht="14.25" customHeight="1">
      <c r="C596" s="126"/>
      <c r="D596" s="126"/>
      <c r="F596" s="127"/>
      <c r="G596" s="127"/>
      <c r="H596" s="127"/>
      <c r="I596" s="127"/>
      <c r="J596" s="126"/>
      <c r="P596" s="127"/>
      <c r="Q596" s="127"/>
      <c r="R596" s="127"/>
      <c r="S596" s="127"/>
      <c r="T596" s="127"/>
      <c r="U596" s="127"/>
    </row>
    <row r="597" ht="14.25" customHeight="1">
      <c r="C597" s="126"/>
      <c r="D597" s="126"/>
      <c r="F597" s="127"/>
      <c r="G597" s="127"/>
      <c r="H597" s="127"/>
      <c r="I597" s="127"/>
      <c r="J597" s="126"/>
      <c r="P597" s="127"/>
      <c r="Q597" s="127"/>
      <c r="R597" s="127"/>
      <c r="S597" s="127"/>
      <c r="T597" s="127"/>
      <c r="U597" s="127"/>
    </row>
    <row r="598" ht="14.25" customHeight="1">
      <c r="C598" s="126"/>
      <c r="D598" s="126"/>
      <c r="F598" s="127"/>
      <c r="G598" s="127"/>
      <c r="H598" s="127"/>
      <c r="I598" s="127"/>
      <c r="J598" s="126"/>
      <c r="P598" s="127"/>
      <c r="Q598" s="127"/>
      <c r="R598" s="127"/>
      <c r="S598" s="127"/>
      <c r="T598" s="127"/>
      <c r="U598" s="127"/>
    </row>
    <row r="599" ht="14.25" customHeight="1">
      <c r="C599" s="126"/>
      <c r="D599" s="126"/>
      <c r="F599" s="127"/>
      <c r="G599" s="127"/>
      <c r="H599" s="127"/>
      <c r="I599" s="127"/>
      <c r="J599" s="126"/>
      <c r="P599" s="127"/>
      <c r="Q599" s="127"/>
      <c r="R599" s="127"/>
      <c r="S599" s="127"/>
      <c r="T599" s="127"/>
      <c r="U599" s="127"/>
    </row>
    <row r="600" ht="14.25" customHeight="1">
      <c r="C600" s="126"/>
      <c r="D600" s="126"/>
      <c r="F600" s="127"/>
      <c r="G600" s="127"/>
      <c r="H600" s="127"/>
      <c r="I600" s="127"/>
      <c r="J600" s="126"/>
      <c r="P600" s="127"/>
      <c r="Q600" s="127"/>
      <c r="R600" s="127"/>
      <c r="S600" s="127"/>
      <c r="T600" s="127"/>
      <c r="U600" s="127"/>
    </row>
    <row r="601" ht="14.25" customHeight="1">
      <c r="C601" s="126"/>
      <c r="D601" s="126"/>
      <c r="F601" s="127"/>
      <c r="G601" s="127"/>
      <c r="H601" s="127"/>
      <c r="I601" s="127"/>
      <c r="J601" s="126"/>
      <c r="P601" s="127"/>
      <c r="Q601" s="127"/>
      <c r="R601" s="127"/>
      <c r="S601" s="127"/>
      <c r="T601" s="127"/>
      <c r="U601" s="127"/>
    </row>
    <row r="602" ht="14.25" customHeight="1">
      <c r="C602" s="126"/>
      <c r="D602" s="126"/>
      <c r="F602" s="127"/>
      <c r="G602" s="127"/>
      <c r="H602" s="127"/>
      <c r="I602" s="127"/>
      <c r="J602" s="126"/>
      <c r="P602" s="127"/>
      <c r="Q602" s="127"/>
      <c r="R602" s="127"/>
      <c r="S602" s="127"/>
      <c r="T602" s="127"/>
      <c r="U602" s="127"/>
    </row>
    <row r="603" ht="14.25" customHeight="1">
      <c r="C603" s="126"/>
      <c r="D603" s="126"/>
      <c r="F603" s="127"/>
      <c r="G603" s="127"/>
      <c r="H603" s="127"/>
      <c r="I603" s="127"/>
      <c r="J603" s="126"/>
      <c r="P603" s="127"/>
      <c r="Q603" s="127"/>
      <c r="R603" s="127"/>
      <c r="S603" s="127"/>
      <c r="T603" s="127"/>
      <c r="U603" s="127"/>
    </row>
    <row r="604" ht="14.25" customHeight="1">
      <c r="C604" s="126"/>
      <c r="D604" s="126"/>
      <c r="F604" s="127"/>
      <c r="G604" s="127"/>
      <c r="H604" s="127"/>
      <c r="I604" s="127"/>
      <c r="J604" s="126"/>
      <c r="P604" s="127"/>
      <c r="Q604" s="127"/>
      <c r="R604" s="127"/>
      <c r="S604" s="127"/>
      <c r="T604" s="127"/>
      <c r="U604" s="127"/>
    </row>
    <row r="605" ht="14.25" customHeight="1">
      <c r="C605" s="126"/>
      <c r="D605" s="126"/>
      <c r="F605" s="127"/>
      <c r="G605" s="127"/>
      <c r="H605" s="127"/>
      <c r="I605" s="127"/>
      <c r="J605" s="126"/>
      <c r="P605" s="127"/>
      <c r="Q605" s="127"/>
      <c r="R605" s="127"/>
      <c r="S605" s="127"/>
      <c r="T605" s="127"/>
      <c r="U605" s="127"/>
    </row>
    <row r="606" ht="14.25" customHeight="1">
      <c r="C606" s="126"/>
      <c r="D606" s="126"/>
      <c r="F606" s="127"/>
      <c r="G606" s="127"/>
      <c r="H606" s="127"/>
      <c r="I606" s="127"/>
      <c r="J606" s="126"/>
      <c r="P606" s="127"/>
      <c r="Q606" s="127"/>
      <c r="R606" s="127"/>
      <c r="S606" s="127"/>
      <c r="T606" s="127"/>
      <c r="U606" s="127"/>
    </row>
    <row r="607" ht="14.25" customHeight="1">
      <c r="C607" s="126"/>
      <c r="D607" s="126"/>
      <c r="F607" s="127"/>
      <c r="G607" s="127"/>
      <c r="H607" s="127"/>
      <c r="I607" s="127"/>
      <c r="J607" s="126"/>
      <c r="P607" s="127"/>
      <c r="Q607" s="127"/>
      <c r="R607" s="127"/>
      <c r="S607" s="127"/>
      <c r="T607" s="127"/>
      <c r="U607" s="127"/>
    </row>
    <row r="608" ht="14.25" customHeight="1">
      <c r="C608" s="126"/>
      <c r="D608" s="126"/>
      <c r="F608" s="127"/>
      <c r="G608" s="127"/>
      <c r="H608" s="127"/>
      <c r="I608" s="127"/>
      <c r="J608" s="126"/>
      <c r="P608" s="127"/>
      <c r="Q608" s="127"/>
      <c r="R608" s="127"/>
      <c r="S608" s="127"/>
      <c r="T608" s="127"/>
      <c r="U608" s="127"/>
    </row>
    <row r="609" ht="14.25" customHeight="1">
      <c r="C609" s="126"/>
      <c r="D609" s="126"/>
      <c r="F609" s="127"/>
      <c r="G609" s="127"/>
      <c r="H609" s="127"/>
      <c r="I609" s="127"/>
      <c r="J609" s="126"/>
      <c r="P609" s="127"/>
      <c r="Q609" s="127"/>
      <c r="R609" s="127"/>
      <c r="S609" s="127"/>
      <c r="T609" s="127"/>
      <c r="U609" s="127"/>
    </row>
    <row r="610" ht="14.25" customHeight="1">
      <c r="C610" s="126"/>
      <c r="D610" s="126"/>
      <c r="F610" s="127"/>
      <c r="G610" s="127"/>
      <c r="H610" s="127"/>
      <c r="I610" s="127"/>
      <c r="J610" s="126"/>
      <c r="P610" s="127"/>
      <c r="Q610" s="127"/>
      <c r="R610" s="127"/>
      <c r="S610" s="127"/>
      <c r="T610" s="127"/>
      <c r="U610" s="127"/>
    </row>
    <row r="611" ht="14.25" customHeight="1">
      <c r="C611" s="126"/>
      <c r="D611" s="126"/>
      <c r="F611" s="127"/>
      <c r="G611" s="127"/>
      <c r="H611" s="127"/>
      <c r="I611" s="127"/>
      <c r="J611" s="126"/>
      <c r="P611" s="127"/>
      <c r="Q611" s="127"/>
      <c r="R611" s="127"/>
      <c r="S611" s="127"/>
      <c r="T611" s="127"/>
      <c r="U611" s="127"/>
    </row>
    <row r="612" ht="14.25" customHeight="1">
      <c r="C612" s="126"/>
      <c r="D612" s="126"/>
      <c r="F612" s="127"/>
      <c r="G612" s="127"/>
      <c r="H612" s="127"/>
      <c r="I612" s="127"/>
      <c r="J612" s="126"/>
      <c r="P612" s="127"/>
      <c r="Q612" s="127"/>
      <c r="R612" s="127"/>
      <c r="S612" s="127"/>
      <c r="T612" s="127"/>
      <c r="U612" s="127"/>
    </row>
    <row r="613" ht="14.25" customHeight="1">
      <c r="C613" s="126"/>
      <c r="D613" s="126"/>
      <c r="F613" s="127"/>
      <c r="G613" s="127"/>
      <c r="H613" s="127"/>
      <c r="I613" s="127"/>
      <c r="J613" s="126"/>
      <c r="P613" s="127"/>
      <c r="Q613" s="127"/>
      <c r="R613" s="127"/>
      <c r="S613" s="127"/>
      <c r="T613" s="127"/>
      <c r="U613" s="127"/>
    </row>
    <row r="614" ht="14.25" customHeight="1">
      <c r="C614" s="126"/>
      <c r="D614" s="126"/>
      <c r="F614" s="127"/>
      <c r="G614" s="127"/>
      <c r="H614" s="127"/>
      <c r="I614" s="127"/>
      <c r="J614" s="126"/>
      <c r="P614" s="127"/>
      <c r="Q614" s="127"/>
      <c r="R614" s="127"/>
      <c r="S614" s="127"/>
      <c r="T614" s="127"/>
      <c r="U614" s="127"/>
    </row>
    <row r="615" ht="14.25" customHeight="1">
      <c r="C615" s="126"/>
      <c r="D615" s="126"/>
      <c r="F615" s="127"/>
      <c r="G615" s="127"/>
      <c r="H615" s="127"/>
      <c r="I615" s="127"/>
      <c r="J615" s="126"/>
      <c r="P615" s="127"/>
      <c r="Q615" s="127"/>
      <c r="R615" s="127"/>
      <c r="S615" s="127"/>
      <c r="T615" s="127"/>
      <c r="U615" s="127"/>
    </row>
    <row r="616" ht="14.25" customHeight="1">
      <c r="C616" s="126"/>
      <c r="D616" s="126"/>
      <c r="F616" s="127"/>
      <c r="G616" s="127"/>
      <c r="H616" s="127"/>
      <c r="I616" s="127"/>
      <c r="J616" s="126"/>
      <c r="P616" s="127"/>
      <c r="Q616" s="127"/>
      <c r="R616" s="127"/>
      <c r="S616" s="127"/>
      <c r="T616" s="127"/>
      <c r="U616" s="127"/>
    </row>
    <row r="617" ht="14.25" customHeight="1">
      <c r="C617" s="126"/>
      <c r="D617" s="126"/>
      <c r="F617" s="127"/>
      <c r="G617" s="127"/>
      <c r="H617" s="127"/>
      <c r="I617" s="127"/>
      <c r="J617" s="126"/>
      <c r="P617" s="127"/>
      <c r="Q617" s="127"/>
      <c r="R617" s="127"/>
      <c r="S617" s="127"/>
      <c r="T617" s="127"/>
      <c r="U617" s="127"/>
    </row>
    <row r="618" ht="14.25" customHeight="1">
      <c r="C618" s="126"/>
      <c r="D618" s="126"/>
      <c r="F618" s="127"/>
      <c r="G618" s="127"/>
      <c r="H618" s="127"/>
      <c r="I618" s="127"/>
      <c r="J618" s="126"/>
      <c r="P618" s="127"/>
      <c r="Q618" s="127"/>
      <c r="R618" s="127"/>
      <c r="S618" s="127"/>
      <c r="T618" s="127"/>
      <c r="U618" s="127"/>
    </row>
    <row r="619" ht="14.25" customHeight="1">
      <c r="C619" s="126"/>
      <c r="D619" s="126"/>
      <c r="F619" s="127"/>
      <c r="G619" s="127"/>
      <c r="H619" s="127"/>
      <c r="I619" s="127"/>
      <c r="J619" s="126"/>
      <c r="P619" s="127"/>
      <c r="Q619" s="127"/>
      <c r="R619" s="127"/>
      <c r="S619" s="127"/>
      <c r="T619" s="127"/>
      <c r="U619" s="127"/>
    </row>
    <row r="620" ht="14.25" customHeight="1">
      <c r="C620" s="126"/>
      <c r="D620" s="126"/>
      <c r="F620" s="127"/>
      <c r="G620" s="127"/>
      <c r="H620" s="127"/>
      <c r="I620" s="127"/>
      <c r="J620" s="126"/>
      <c r="P620" s="127"/>
      <c r="Q620" s="127"/>
      <c r="R620" s="127"/>
      <c r="S620" s="127"/>
      <c r="T620" s="127"/>
      <c r="U620" s="127"/>
    </row>
    <row r="621" ht="14.25" customHeight="1">
      <c r="C621" s="126"/>
      <c r="D621" s="126"/>
      <c r="F621" s="127"/>
      <c r="G621" s="127"/>
      <c r="H621" s="127"/>
      <c r="I621" s="127"/>
      <c r="J621" s="126"/>
      <c r="P621" s="127"/>
      <c r="Q621" s="127"/>
      <c r="R621" s="127"/>
      <c r="S621" s="127"/>
      <c r="T621" s="127"/>
      <c r="U621" s="127"/>
    </row>
    <row r="622" ht="14.25" customHeight="1">
      <c r="C622" s="126"/>
      <c r="D622" s="126"/>
      <c r="F622" s="127"/>
      <c r="G622" s="127"/>
      <c r="H622" s="127"/>
      <c r="I622" s="127"/>
      <c r="J622" s="126"/>
      <c r="P622" s="127"/>
      <c r="Q622" s="127"/>
      <c r="R622" s="127"/>
      <c r="S622" s="127"/>
      <c r="T622" s="127"/>
      <c r="U622" s="127"/>
    </row>
    <row r="623" ht="14.25" customHeight="1">
      <c r="C623" s="126"/>
      <c r="D623" s="126"/>
      <c r="F623" s="127"/>
      <c r="G623" s="127"/>
      <c r="H623" s="127"/>
      <c r="I623" s="127"/>
      <c r="J623" s="126"/>
      <c r="P623" s="127"/>
      <c r="Q623" s="127"/>
      <c r="R623" s="127"/>
      <c r="S623" s="127"/>
      <c r="T623" s="127"/>
      <c r="U623" s="127"/>
    </row>
    <row r="624" ht="14.25" customHeight="1">
      <c r="C624" s="126"/>
      <c r="D624" s="126"/>
      <c r="F624" s="127"/>
      <c r="G624" s="127"/>
      <c r="H624" s="127"/>
      <c r="I624" s="127"/>
      <c r="J624" s="126"/>
      <c r="P624" s="127"/>
      <c r="Q624" s="127"/>
      <c r="R624" s="127"/>
      <c r="S624" s="127"/>
      <c r="T624" s="127"/>
      <c r="U624" s="127"/>
    </row>
    <row r="625" ht="14.25" customHeight="1">
      <c r="C625" s="126"/>
      <c r="D625" s="126"/>
      <c r="F625" s="127"/>
      <c r="G625" s="127"/>
      <c r="H625" s="127"/>
      <c r="I625" s="127"/>
      <c r="J625" s="126"/>
      <c r="P625" s="127"/>
      <c r="Q625" s="127"/>
      <c r="R625" s="127"/>
      <c r="S625" s="127"/>
      <c r="T625" s="127"/>
      <c r="U625" s="127"/>
    </row>
    <row r="626" ht="14.25" customHeight="1">
      <c r="C626" s="126"/>
      <c r="D626" s="126"/>
      <c r="F626" s="127"/>
      <c r="G626" s="127"/>
      <c r="H626" s="127"/>
      <c r="I626" s="127"/>
      <c r="J626" s="126"/>
      <c r="P626" s="127"/>
      <c r="Q626" s="127"/>
      <c r="R626" s="127"/>
      <c r="S626" s="127"/>
      <c r="T626" s="127"/>
      <c r="U626" s="127"/>
    </row>
    <row r="627" ht="14.25" customHeight="1">
      <c r="C627" s="126"/>
      <c r="D627" s="126"/>
      <c r="F627" s="127"/>
      <c r="G627" s="127"/>
      <c r="H627" s="127"/>
      <c r="I627" s="127"/>
      <c r="J627" s="126"/>
      <c r="P627" s="127"/>
      <c r="Q627" s="127"/>
      <c r="R627" s="127"/>
      <c r="S627" s="127"/>
      <c r="T627" s="127"/>
      <c r="U627" s="127"/>
    </row>
    <row r="628" ht="14.25" customHeight="1">
      <c r="C628" s="126"/>
      <c r="D628" s="126"/>
      <c r="F628" s="127"/>
      <c r="G628" s="127"/>
      <c r="H628" s="127"/>
      <c r="I628" s="127"/>
      <c r="J628" s="126"/>
      <c r="P628" s="127"/>
      <c r="Q628" s="127"/>
      <c r="R628" s="127"/>
      <c r="S628" s="127"/>
      <c r="T628" s="127"/>
      <c r="U628" s="127"/>
    </row>
    <row r="629" ht="14.25" customHeight="1">
      <c r="C629" s="126"/>
      <c r="D629" s="126"/>
      <c r="F629" s="127"/>
      <c r="G629" s="127"/>
      <c r="H629" s="127"/>
      <c r="I629" s="127"/>
      <c r="J629" s="126"/>
      <c r="P629" s="127"/>
      <c r="Q629" s="127"/>
      <c r="R629" s="127"/>
      <c r="S629" s="127"/>
      <c r="T629" s="127"/>
      <c r="U629" s="127"/>
    </row>
    <row r="630" ht="14.25" customHeight="1">
      <c r="C630" s="126"/>
      <c r="D630" s="126"/>
      <c r="F630" s="127"/>
      <c r="G630" s="127"/>
      <c r="H630" s="127"/>
      <c r="I630" s="127"/>
      <c r="J630" s="126"/>
      <c r="P630" s="127"/>
      <c r="Q630" s="127"/>
      <c r="R630" s="127"/>
      <c r="S630" s="127"/>
      <c r="T630" s="127"/>
      <c r="U630" s="127"/>
    </row>
    <row r="631" ht="14.25" customHeight="1">
      <c r="C631" s="126"/>
      <c r="D631" s="126"/>
      <c r="F631" s="127"/>
      <c r="G631" s="127"/>
      <c r="H631" s="127"/>
      <c r="I631" s="127"/>
      <c r="J631" s="126"/>
      <c r="P631" s="127"/>
      <c r="Q631" s="127"/>
      <c r="R631" s="127"/>
      <c r="S631" s="127"/>
      <c r="T631" s="127"/>
      <c r="U631" s="127"/>
    </row>
    <row r="632" ht="14.25" customHeight="1">
      <c r="C632" s="126"/>
      <c r="D632" s="126"/>
      <c r="F632" s="127"/>
      <c r="G632" s="127"/>
      <c r="H632" s="127"/>
      <c r="I632" s="127"/>
      <c r="J632" s="126"/>
      <c r="P632" s="127"/>
      <c r="Q632" s="127"/>
      <c r="R632" s="127"/>
      <c r="S632" s="127"/>
      <c r="T632" s="127"/>
      <c r="U632" s="127"/>
    </row>
    <row r="633" ht="14.25" customHeight="1">
      <c r="C633" s="126"/>
      <c r="D633" s="126"/>
      <c r="F633" s="127"/>
      <c r="G633" s="127"/>
      <c r="H633" s="127"/>
      <c r="I633" s="127"/>
      <c r="J633" s="126"/>
      <c r="P633" s="127"/>
      <c r="Q633" s="127"/>
      <c r="R633" s="127"/>
      <c r="S633" s="127"/>
      <c r="T633" s="127"/>
      <c r="U633" s="127"/>
    </row>
    <row r="634" ht="14.25" customHeight="1">
      <c r="C634" s="126"/>
      <c r="D634" s="126"/>
      <c r="F634" s="127"/>
      <c r="G634" s="127"/>
      <c r="H634" s="127"/>
      <c r="I634" s="127"/>
      <c r="J634" s="126"/>
      <c r="P634" s="127"/>
      <c r="Q634" s="127"/>
      <c r="R634" s="127"/>
      <c r="S634" s="127"/>
      <c r="T634" s="127"/>
      <c r="U634" s="127"/>
    </row>
    <row r="635" ht="14.25" customHeight="1">
      <c r="C635" s="126"/>
      <c r="D635" s="126"/>
      <c r="F635" s="127"/>
      <c r="G635" s="127"/>
      <c r="H635" s="127"/>
      <c r="I635" s="127"/>
      <c r="J635" s="126"/>
      <c r="P635" s="127"/>
      <c r="Q635" s="127"/>
      <c r="R635" s="127"/>
      <c r="S635" s="127"/>
      <c r="T635" s="127"/>
      <c r="U635" s="127"/>
    </row>
    <row r="636" ht="14.25" customHeight="1">
      <c r="C636" s="126"/>
      <c r="D636" s="126"/>
      <c r="F636" s="127"/>
      <c r="G636" s="127"/>
      <c r="H636" s="127"/>
      <c r="I636" s="127"/>
      <c r="J636" s="126"/>
      <c r="P636" s="127"/>
      <c r="Q636" s="127"/>
      <c r="R636" s="127"/>
      <c r="S636" s="127"/>
      <c r="T636" s="127"/>
      <c r="U636" s="127"/>
    </row>
    <row r="637" ht="14.25" customHeight="1">
      <c r="C637" s="126"/>
      <c r="D637" s="126"/>
      <c r="F637" s="127"/>
      <c r="G637" s="127"/>
      <c r="H637" s="127"/>
      <c r="I637" s="127"/>
      <c r="J637" s="126"/>
      <c r="P637" s="127"/>
      <c r="Q637" s="127"/>
      <c r="R637" s="127"/>
      <c r="S637" s="127"/>
      <c r="T637" s="127"/>
      <c r="U637" s="127"/>
    </row>
    <row r="638" ht="14.25" customHeight="1">
      <c r="C638" s="126"/>
      <c r="D638" s="126"/>
      <c r="F638" s="127"/>
      <c r="G638" s="127"/>
      <c r="H638" s="127"/>
      <c r="I638" s="127"/>
      <c r="J638" s="126"/>
      <c r="P638" s="127"/>
      <c r="Q638" s="127"/>
      <c r="R638" s="127"/>
      <c r="S638" s="127"/>
      <c r="T638" s="127"/>
      <c r="U638" s="127"/>
    </row>
    <row r="639" ht="14.25" customHeight="1">
      <c r="C639" s="126"/>
      <c r="D639" s="126"/>
      <c r="F639" s="127"/>
      <c r="G639" s="127"/>
      <c r="H639" s="127"/>
      <c r="I639" s="127"/>
      <c r="J639" s="126"/>
      <c r="P639" s="127"/>
      <c r="Q639" s="127"/>
      <c r="R639" s="127"/>
      <c r="S639" s="127"/>
      <c r="T639" s="127"/>
      <c r="U639" s="127"/>
    </row>
    <row r="640" ht="14.25" customHeight="1">
      <c r="C640" s="126"/>
      <c r="D640" s="126"/>
      <c r="F640" s="127"/>
      <c r="G640" s="127"/>
      <c r="H640" s="127"/>
      <c r="I640" s="127"/>
      <c r="J640" s="126"/>
      <c r="P640" s="127"/>
      <c r="Q640" s="127"/>
      <c r="R640" s="127"/>
      <c r="S640" s="127"/>
      <c r="T640" s="127"/>
      <c r="U640" s="127"/>
    </row>
    <row r="641" ht="14.25" customHeight="1">
      <c r="C641" s="126"/>
      <c r="D641" s="126"/>
      <c r="F641" s="127"/>
      <c r="G641" s="127"/>
      <c r="H641" s="127"/>
      <c r="I641" s="127"/>
      <c r="J641" s="126"/>
      <c r="P641" s="127"/>
      <c r="Q641" s="127"/>
      <c r="R641" s="127"/>
      <c r="S641" s="127"/>
      <c r="T641" s="127"/>
      <c r="U641" s="127"/>
    </row>
    <row r="642" ht="14.25" customHeight="1">
      <c r="C642" s="126"/>
      <c r="D642" s="126"/>
      <c r="F642" s="127"/>
      <c r="G642" s="127"/>
      <c r="H642" s="127"/>
      <c r="I642" s="127"/>
      <c r="J642" s="126"/>
      <c r="P642" s="127"/>
      <c r="Q642" s="127"/>
      <c r="R642" s="127"/>
      <c r="S642" s="127"/>
      <c r="T642" s="127"/>
      <c r="U642" s="127"/>
    </row>
    <row r="643" ht="14.25" customHeight="1">
      <c r="C643" s="126"/>
      <c r="D643" s="126"/>
      <c r="F643" s="127"/>
      <c r="G643" s="127"/>
      <c r="H643" s="127"/>
      <c r="I643" s="127"/>
      <c r="J643" s="126"/>
      <c r="P643" s="127"/>
      <c r="Q643" s="127"/>
      <c r="R643" s="127"/>
      <c r="S643" s="127"/>
      <c r="T643" s="127"/>
      <c r="U643" s="127"/>
    </row>
    <row r="644" ht="14.25" customHeight="1">
      <c r="C644" s="126"/>
      <c r="D644" s="126"/>
      <c r="F644" s="127"/>
      <c r="G644" s="127"/>
      <c r="H644" s="127"/>
      <c r="I644" s="127"/>
      <c r="J644" s="126"/>
      <c r="P644" s="127"/>
      <c r="Q644" s="127"/>
      <c r="R644" s="127"/>
      <c r="S644" s="127"/>
      <c r="T644" s="127"/>
      <c r="U644" s="127"/>
    </row>
    <row r="645" ht="14.25" customHeight="1">
      <c r="C645" s="126"/>
      <c r="D645" s="126"/>
      <c r="F645" s="127"/>
      <c r="G645" s="127"/>
      <c r="H645" s="127"/>
      <c r="I645" s="127"/>
      <c r="J645" s="126"/>
      <c r="P645" s="127"/>
      <c r="Q645" s="127"/>
      <c r="R645" s="127"/>
      <c r="S645" s="127"/>
      <c r="T645" s="127"/>
      <c r="U645" s="127"/>
    </row>
    <row r="646" ht="14.25" customHeight="1">
      <c r="C646" s="126"/>
      <c r="D646" s="126"/>
      <c r="F646" s="127"/>
      <c r="G646" s="127"/>
      <c r="H646" s="127"/>
      <c r="I646" s="127"/>
      <c r="J646" s="126"/>
      <c r="P646" s="127"/>
      <c r="Q646" s="127"/>
      <c r="R646" s="127"/>
      <c r="S646" s="127"/>
      <c r="T646" s="127"/>
      <c r="U646" s="127"/>
    </row>
    <row r="647" ht="14.25" customHeight="1">
      <c r="C647" s="126"/>
      <c r="D647" s="126"/>
      <c r="F647" s="127"/>
      <c r="G647" s="127"/>
      <c r="H647" s="127"/>
      <c r="I647" s="127"/>
      <c r="J647" s="126"/>
      <c r="P647" s="127"/>
      <c r="Q647" s="127"/>
      <c r="R647" s="127"/>
      <c r="S647" s="127"/>
      <c r="T647" s="127"/>
      <c r="U647" s="127"/>
    </row>
    <row r="648" ht="14.25" customHeight="1">
      <c r="C648" s="126"/>
      <c r="D648" s="126"/>
      <c r="F648" s="127"/>
      <c r="G648" s="127"/>
      <c r="H648" s="127"/>
      <c r="I648" s="127"/>
      <c r="J648" s="126"/>
      <c r="P648" s="127"/>
      <c r="Q648" s="127"/>
      <c r="R648" s="127"/>
      <c r="S648" s="127"/>
      <c r="T648" s="127"/>
      <c r="U648" s="127"/>
    </row>
    <row r="649" ht="14.25" customHeight="1">
      <c r="C649" s="126"/>
      <c r="D649" s="126"/>
      <c r="F649" s="127"/>
      <c r="G649" s="127"/>
      <c r="H649" s="127"/>
      <c r="I649" s="127"/>
      <c r="J649" s="126"/>
      <c r="P649" s="127"/>
      <c r="Q649" s="127"/>
      <c r="R649" s="127"/>
      <c r="S649" s="127"/>
      <c r="T649" s="127"/>
      <c r="U649" s="127"/>
    </row>
    <row r="650" ht="14.25" customHeight="1">
      <c r="C650" s="126"/>
      <c r="D650" s="126"/>
      <c r="F650" s="127"/>
      <c r="G650" s="127"/>
      <c r="H650" s="127"/>
      <c r="I650" s="127"/>
      <c r="J650" s="126"/>
      <c r="P650" s="127"/>
      <c r="Q650" s="127"/>
      <c r="R650" s="127"/>
      <c r="S650" s="127"/>
      <c r="T650" s="127"/>
      <c r="U650" s="127"/>
    </row>
    <row r="651" ht="14.25" customHeight="1">
      <c r="C651" s="126"/>
      <c r="D651" s="126"/>
      <c r="F651" s="127"/>
      <c r="G651" s="127"/>
      <c r="H651" s="127"/>
      <c r="I651" s="127"/>
      <c r="J651" s="126"/>
      <c r="P651" s="127"/>
      <c r="Q651" s="127"/>
      <c r="R651" s="127"/>
      <c r="S651" s="127"/>
      <c r="T651" s="127"/>
      <c r="U651" s="127"/>
    </row>
    <row r="652" ht="14.25" customHeight="1">
      <c r="C652" s="126"/>
      <c r="D652" s="126"/>
      <c r="F652" s="127"/>
      <c r="G652" s="127"/>
      <c r="H652" s="127"/>
      <c r="I652" s="127"/>
      <c r="J652" s="126"/>
      <c r="P652" s="127"/>
      <c r="Q652" s="127"/>
      <c r="R652" s="127"/>
      <c r="S652" s="127"/>
      <c r="T652" s="127"/>
      <c r="U652" s="127"/>
    </row>
    <row r="653" ht="14.25" customHeight="1">
      <c r="C653" s="126"/>
      <c r="D653" s="126"/>
      <c r="F653" s="127"/>
      <c r="G653" s="127"/>
      <c r="H653" s="127"/>
      <c r="I653" s="127"/>
      <c r="J653" s="126"/>
      <c r="P653" s="127"/>
      <c r="Q653" s="127"/>
      <c r="R653" s="127"/>
      <c r="S653" s="127"/>
      <c r="T653" s="127"/>
      <c r="U653" s="127"/>
    </row>
    <row r="654" ht="14.25" customHeight="1">
      <c r="C654" s="126"/>
      <c r="D654" s="126"/>
      <c r="F654" s="127"/>
      <c r="G654" s="127"/>
      <c r="H654" s="127"/>
      <c r="I654" s="127"/>
      <c r="J654" s="126"/>
      <c r="P654" s="127"/>
      <c r="Q654" s="127"/>
      <c r="R654" s="127"/>
      <c r="S654" s="127"/>
      <c r="T654" s="127"/>
      <c r="U654" s="127"/>
    </row>
    <row r="655" ht="14.25" customHeight="1">
      <c r="C655" s="126"/>
      <c r="D655" s="126"/>
      <c r="F655" s="127"/>
      <c r="G655" s="127"/>
      <c r="H655" s="127"/>
      <c r="I655" s="127"/>
      <c r="J655" s="126"/>
      <c r="P655" s="127"/>
      <c r="Q655" s="127"/>
      <c r="R655" s="127"/>
      <c r="S655" s="127"/>
      <c r="T655" s="127"/>
      <c r="U655" s="127"/>
    </row>
    <row r="656" ht="14.25" customHeight="1">
      <c r="C656" s="126"/>
      <c r="D656" s="126"/>
      <c r="F656" s="127"/>
      <c r="G656" s="127"/>
      <c r="H656" s="127"/>
      <c r="I656" s="127"/>
      <c r="J656" s="126"/>
      <c r="P656" s="127"/>
      <c r="Q656" s="127"/>
      <c r="R656" s="127"/>
      <c r="S656" s="127"/>
      <c r="T656" s="127"/>
      <c r="U656" s="127"/>
    </row>
    <row r="657" ht="14.25" customHeight="1">
      <c r="C657" s="126"/>
      <c r="D657" s="126"/>
      <c r="F657" s="127"/>
      <c r="G657" s="127"/>
      <c r="H657" s="127"/>
      <c r="I657" s="127"/>
      <c r="J657" s="126"/>
      <c r="P657" s="127"/>
      <c r="Q657" s="127"/>
      <c r="R657" s="127"/>
      <c r="S657" s="127"/>
      <c r="T657" s="127"/>
      <c r="U657" s="127"/>
    </row>
    <row r="658" ht="14.25" customHeight="1">
      <c r="C658" s="126"/>
      <c r="D658" s="126"/>
      <c r="F658" s="127"/>
      <c r="G658" s="127"/>
      <c r="H658" s="127"/>
      <c r="I658" s="127"/>
      <c r="J658" s="126"/>
      <c r="P658" s="127"/>
      <c r="Q658" s="127"/>
      <c r="R658" s="127"/>
      <c r="S658" s="127"/>
      <c r="T658" s="127"/>
      <c r="U658" s="127"/>
    </row>
    <row r="659" ht="14.25" customHeight="1">
      <c r="C659" s="126"/>
      <c r="D659" s="126"/>
      <c r="F659" s="127"/>
      <c r="G659" s="127"/>
      <c r="H659" s="127"/>
      <c r="I659" s="127"/>
      <c r="J659" s="126"/>
      <c r="P659" s="127"/>
      <c r="Q659" s="127"/>
      <c r="R659" s="127"/>
      <c r="S659" s="127"/>
      <c r="T659" s="127"/>
      <c r="U659" s="127"/>
    </row>
    <row r="660" ht="14.25" customHeight="1">
      <c r="C660" s="126"/>
      <c r="D660" s="126"/>
      <c r="F660" s="127"/>
      <c r="G660" s="127"/>
      <c r="H660" s="127"/>
      <c r="I660" s="127"/>
      <c r="J660" s="126"/>
      <c r="P660" s="127"/>
      <c r="Q660" s="127"/>
      <c r="R660" s="127"/>
      <c r="S660" s="127"/>
      <c r="T660" s="127"/>
      <c r="U660" s="127"/>
    </row>
    <row r="661" ht="14.25" customHeight="1">
      <c r="C661" s="126"/>
      <c r="D661" s="126"/>
      <c r="F661" s="127"/>
      <c r="G661" s="127"/>
      <c r="H661" s="127"/>
      <c r="I661" s="127"/>
      <c r="J661" s="126"/>
      <c r="P661" s="127"/>
      <c r="Q661" s="127"/>
      <c r="R661" s="127"/>
      <c r="S661" s="127"/>
      <c r="T661" s="127"/>
      <c r="U661" s="127"/>
    </row>
    <row r="662" ht="14.25" customHeight="1">
      <c r="C662" s="126"/>
      <c r="D662" s="126"/>
      <c r="F662" s="127"/>
      <c r="G662" s="127"/>
      <c r="H662" s="127"/>
      <c r="I662" s="127"/>
      <c r="J662" s="126"/>
      <c r="P662" s="127"/>
      <c r="Q662" s="127"/>
      <c r="R662" s="127"/>
      <c r="S662" s="127"/>
      <c r="T662" s="127"/>
      <c r="U662" s="127"/>
    </row>
    <row r="663" ht="14.25" customHeight="1">
      <c r="C663" s="126"/>
      <c r="D663" s="126"/>
      <c r="F663" s="127"/>
      <c r="G663" s="127"/>
      <c r="H663" s="127"/>
      <c r="I663" s="127"/>
      <c r="J663" s="126"/>
      <c r="P663" s="127"/>
      <c r="Q663" s="127"/>
      <c r="R663" s="127"/>
      <c r="S663" s="127"/>
      <c r="T663" s="127"/>
      <c r="U663" s="127"/>
    </row>
    <row r="664" ht="14.25" customHeight="1">
      <c r="C664" s="126"/>
      <c r="D664" s="126"/>
      <c r="F664" s="127"/>
      <c r="G664" s="127"/>
      <c r="H664" s="127"/>
      <c r="I664" s="127"/>
      <c r="J664" s="126"/>
      <c r="P664" s="127"/>
      <c r="Q664" s="127"/>
      <c r="R664" s="127"/>
      <c r="S664" s="127"/>
      <c r="T664" s="127"/>
      <c r="U664" s="127"/>
    </row>
    <row r="665" ht="14.25" customHeight="1">
      <c r="C665" s="126"/>
      <c r="D665" s="126"/>
      <c r="F665" s="127"/>
      <c r="G665" s="127"/>
      <c r="H665" s="127"/>
      <c r="I665" s="127"/>
      <c r="J665" s="126"/>
      <c r="P665" s="127"/>
      <c r="Q665" s="127"/>
      <c r="R665" s="127"/>
      <c r="S665" s="127"/>
      <c r="T665" s="127"/>
      <c r="U665" s="127"/>
    </row>
    <row r="666" ht="14.25" customHeight="1">
      <c r="C666" s="126"/>
      <c r="D666" s="126"/>
      <c r="F666" s="127"/>
      <c r="G666" s="127"/>
      <c r="H666" s="127"/>
      <c r="I666" s="127"/>
      <c r="J666" s="126"/>
      <c r="P666" s="127"/>
      <c r="Q666" s="127"/>
      <c r="R666" s="127"/>
      <c r="S666" s="127"/>
      <c r="T666" s="127"/>
      <c r="U666" s="127"/>
    </row>
    <row r="667" ht="14.25" customHeight="1">
      <c r="C667" s="126"/>
      <c r="D667" s="126"/>
      <c r="F667" s="127"/>
      <c r="G667" s="127"/>
      <c r="H667" s="127"/>
      <c r="I667" s="127"/>
      <c r="J667" s="126"/>
      <c r="P667" s="127"/>
      <c r="Q667" s="127"/>
      <c r="R667" s="127"/>
      <c r="S667" s="127"/>
      <c r="T667" s="127"/>
      <c r="U667" s="127"/>
    </row>
    <row r="668" ht="14.25" customHeight="1">
      <c r="C668" s="126"/>
      <c r="D668" s="126"/>
      <c r="F668" s="127"/>
      <c r="G668" s="127"/>
      <c r="H668" s="127"/>
      <c r="I668" s="127"/>
      <c r="J668" s="126"/>
      <c r="P668" s="127"/>
      <c r="Q668" s="127"/>
      <c r="R668" s="127"/>
      <c r="S668" s="127"/>
      <c r="T668" s="127"/>
      <c r="U668" s="127"/>
    </row>
    <row r="669" ht="14.25" customHeight="1">
      <c r="C669" s="126"/>
      <c r="D669" s="126"/>
      <c r="F669" s="127"/>
      <c r="G669" s="127"/>
      <c r="H669" s="127"/>
      <c r="I669" s="127"/>
      <c r="J669" s="126"/>
      <c r="P669" s="127"/>
      <c r="Q669" s="127"/>
      <c r="R669" s="127"/>
      <c r="S669" s="127"/>
      <c r="T669" s="127"/>
      <c r="U669" s="127"/>
    </row>
    <row r="670" ht="14.25" customHeight="1">
      <c r="C670" s="126"/>
      <c r="D670" s="126"/>
      <c r="F670" s="127"/>
      <c r="G670" s="127"/>
      <c r="H670" s="127"/>
      <c r="I670" s="127"/>
      <c r="J670" s="126"/>
      <c r="P670" s="127"/>
      <c r="Q670" s="127"/>
      <c r="R670" s="127"/>
      <c r="S670" s="127"/>
      <c r="T670" s="127"/>
      <c r="U670" s="127"/>
    </row>
    <row r="671" ht="14.25" customHeight="1">
      <c r="C671" s="126"/>
      <c r="D671" s="126"/>
      <c r="F671" s="127"/>
      <c r="G671" s="127"/>
      <c r="H671" s="127"/>
      <c r="I671" s="127"/>
      <c r="J671" s="126"/>
      <c r="P671" s="127"/>
      <c r="Q671" s="127"/>
      <c r="R671" s="127"/>
      <c r="S671" s="127"/>
      <c r="T671" s="127"/>
      <c r="U671" s="127"/>
    </row>
    <row r="672" ht="14.25" customHeight="1">
      <c r="C672" s="126"/>
      <c r="D672" s="126"/>
      <c r="F672" s="127"/>
      <c r="G672" s="127"/>
      <c r="H672" s="127"/>
      <c r="I672" s="127"/>
      <c r="J672" s="126"/>
      <c r="P672" s="127"/>
      <c r="Q672" s="127"/>
      <c r="R672" s="127"/>
      <c r="S672" s="127"/>
      <c r="T672" s="127"/>
      <c r="U672" s="127"/>
    </row>
    <row r="673" ht="14.25" customHeight="1">
      <c r="C673" s="126"/>
      <c r="D673" s="126"/>
      <c r="F673" s="127"/>
      <c r="G673" s="127"/>
      <c r="H673" s="127"/>
      <c r="I673" s="127"/>
      <c r="J673" s="126"/>
      <c r="P673" s="127"/>
      <c r="Q673" s="127"/>
      <c r="R673" s="127"/>
      <c r="S673" s="127"/>
      <c r="T673" s="127"/>
      <c r="U673" s="127"/>
    </row>
    <row r="674" ht="14.25" customHeight="1">
      <c r="C674" s="126"/>
      <c r="D674" s="126"/>
      <c r="F674" s="127"/>
      <c r="G674" s="127"/>
      <c r="H674" s="127"/>
      <c r="I674" s="127"/>
      <c r="J674" s="126"/>
      <c r="P674" s="127"/>
      <c r="Q674" s="127"/>
      <c r="R674" s="127"/>
      <c r="S674" s="127"/>
      <c r="T674" s="127"/>
      <c r="U674" s="127"/>
    </row>
    <row r="675" ht="14.25" customHeight="1">
      <c r="C675" s="126"/>
      <c r="D675" s="126"/>
      <c r="F675" s="127"/>
      <c r="G675" s="127"/>
      <c r="H675" s="127"/>
      <c r="I675" s="127"/>
      <c r="J675" s="126"/>
      <c r="P675" s="127"/>
      <c r="Q675" s="127"/>
      <c r="R675" s="127"/>
      <c r="S675" s="127"/>
      <c r="T675" s="127"/>
      <c r="U675" s="127"/>
    </row>
    <row r="676" ht="14.25" customHeight="1">
      <c r="C676" s="126"/>
      <c r="D676" s="126"/>
      <c r="F676" s="127"/>
      <c r="G676" s="127"/>
      <c r="H676" s="127"/>
      <c r="I676" s="127"/>
      <c r="J676" s="126"/>
      <c r="P676" s="127"/>
      <c r="Q676" s="127"/>
      <c r="R676" s="127"/>
      <c r="S676" s="127"/>
      <c r="T676" s="127"/>
      <c r="U676" s="127"/>
    </row>
    <row r="677" ht="14.25" customHeight="1">
      <c r="C677" s="126"/>
      <c r="D677" s="126"/>
      <c r="F677" s="127"/>
      <c r="G677" s="127"/>
      <c r="H677" s="127"/>
      <c r="I677" s="127"/>
      <c r="J677" s="126"/>
      <c r="P677" s="127"/>
      <c r="Q677" s="127"/>
      <c r="R677" s="127"/>
      <c r="S677" s="127"/>
      <c r="T677" s="127"/>
      <c r="U677" s="127"/>
    </row>
    <row r="678" ht="14.25" customHeight="1">
      <c r="C678" s="126"/>
      <c r="D678" s="126"/>
      <c r="F678" s="127"/>
      <c r="G678" s="127"/>
      <c r="H678" s="127"/>
      <c r="I678" s="127"/>
      <c r="J678" s="126"/>
      <c r="P678" s="127"/>
      <c r="Q678" s="127"/>
      <c r="R678" s="127"/>
      <c r="S678" s="127"/>
      <c r="T678" s="127"/>
      <c r="U678" s="127"/>
    </row>
    <row r="679" ht="14.25" customHeight="1">
      <c r="C679" s="126"/>
      <c r="D679" s="126"/>
      <c r="F679" s="127"/>
      <c r="G679" s="127"/>
      <c r="H679" s="127"/>
      <c r="I679" s="127"/>
      <c r="J679" s="126"/>
      <c r="P679" s="127"/>
      <c r="Q679" s="127"/>
      <c r="R679" s="127"/>
      <c r="S679" s="127"/>
      <c r="T679" s="127"/>
      <c r="U679" s="127"/>
    </row>
    <row r="680" ht="14.25" customHeight="1">
      <c r="C680" s="126"/>
      <c r="D680" s="126"/>
      <c r="F680" s="127"/>
      <c r="G680" s="127"/>
      <c r="H680" s="127"/>
      <c r="I680" s="127"/>
      <c r="J680" s="126"/>
      <c r="P680" s="127"/>
      <c r="Q680" s="127"/>
      <c r="R680" s="127"/>
      <c r="S680" s="127"/>
      <c r="T680" s="127"/>
      <c r="U680" s="127"/>
    </row>
    <row r="681" ht="14.25" customHeight="1">
      <c r="C681" s="126"/>
      <c r="D681" s="126"/>
      <c r="F681" s="127"/>
      <c r="G681" s="127"/>
      <c r="H681" s="127"/>
      <c r="I681" s="127"/>
      <c r="J681" s="126"/>
      <c r="P681" s="127"/>
      <c r="Q681" s="127"/>
      <c r="R681" s="127"/>
      <c r="S681" s="127"/>
      <c r="T681" s="127"/>
      <c r="U681" s="127"/>
    </row>
    <row r="682" ht="14.25" customHeight="1">
      <c r="C682" s="126"/>
      <c r="D682" s="126"/>
      <c r="F682" s="127"/>
      <c r="G682" s="127"/>
      <c r="H682" s="127"/>
      <c r="I682" s="127"/>
      <c r="J682" s="126"/>
      <c r="P682" s="127"/>
      <c r="Q682" s="127"/>
      <c r="R682" s="127"/>
      <c r="S682" s="127"/>
      <c r="T682" s="127"/>
      <c r="U682" s="127"/>
    </row>
    <row r="683" ht="14.25" customHeight="1">
      <c r="C683" s="126"/>
      <c r="D683" s="126"/>
      <c r="F683" s="127"/>
      <c r="G683" s="127"/>
      <c r="H683" s="127"/>
      <c r="I683" s="127"/>
      <c r="J683" s="126"/>
      <c r="P683" s="127"/>
      <c r="Q683" s="127"/>
      <c r="R683" s="127"/>
      <c r="S683" s="127"/>
      <c r="T683" s="127"/>
      <c r="U683" s="127"/>
    </row>
    <row r="684" ht="14.25" customHeight="1">
      <c r="C684" s="126"/>
      <c r="D684" s="126"/>
      <c r="F684" s="127"/>
      <c r="G684" s="127"/>
      <c r="H684" s="127"/>
      <c r="I684" s="127"/>
      <c r="J684" s="126"/>
      <c r="P684" s="127"/>
      <c r="Q684" s="127"/>
      <c r="R684" s="127"/>
      <c r="S684" s="127"/>
      <c r="T684" s="127"/>
      <c r="U684" s="127"/>
    </row>
    <row r="685" ht="14.25" customHeight="1">
      <c r="C685" s="126"/>
      <c r="D685" s="126"/>
      <c r="F685" s="127"/>
      <c r="G685" s="127"/>
      <c r="H685" s="127"/>
      <c r="I685" s="127"/>
      <c r="J685" s="126"/>
      <c r="P685" s="127"/>
      <c r="Q685" s="127"/>
      <c r="R685" s="127"/>
      <c r="S685" s="127"/>
      <c r="T685" s="127"/>
      <c r="U685" s="127"/>
    </row>
    <row r="686" ht="14.25" customHeight="1">
      <c r="C686" s="126"/>
      <c r="D686" s="126"/>
      <c r="F686" s="127"/>
      <c r="G686" s="127"/>
      <c r="H686" s="127"/>
      <c r="I686" s="127"/>
      <c r="J686" s="126"/>
      <c r="P686" s="127"/>
      <c r="Q686" s="127"/>
      <c r="R686" s="127"/>
      <c r="S686" s="127"/>
      <c r="T686" s="127"/>
      <c r="U686" s="127"/>
    </row>
    <row r="687" ht="14.25" customHeight="1">
      <c r="C687" s="126"/>
      <c r="D687" s="126"/>
      <c r="F687" s="127"/>
      <c r="G687" s="127"/>
      <c r="H687" s="127"/>
      <c r="I687" s="127"/>
      <c r="J687" s="126"/>
      <c r="P687" s="127"/>
      <c r="Q687" s="127"/>
      <c r="R687" s="127"/>
      <c r="S687" s="127"/>
      <c r="T687" s="127"/>
      <c r="U687" s="127"/>
    </row>
    <row r="688" ht="14.25" customHeight="1">
      <c r="C688" s="126"/>
      <c r="D688" s="126"/>
      <c r="F688" s="127"/>
      <c r="G688" s="127"/>
      <c r="H688" s="127"/>
      <c r="I688" s="127"/>
      <c r="J688" s="126"/>
      <c r="P688" s="127"/>
      <c r="Q688" s="127"/>
      <c r="R688" s="127"/>
      <c r="S688" s="127"/>
      <c r="T688" s="127"/>
      <c r="U688" s="127"/>
    </row>
    <row r="689" ht="14.25" customHeight="1">
      <c r="C689" s="126"/>
      <c r="D689" s="126"/>
      <c r="F689" s="127"/>
      <c r="G689" s="127"/>
      <c r="H689" s="127"/>
      <c r="I689" s="127"/>
      <c r="J689" s="126"/>
      <c r="P689" s="127"/>
      <c r="Q689" s="127"/>
      <c r="R689" s="127"/>
      <c r="S689" s="127"/>
      <c r="T689" s="127"/>
      <c r="U689" s="127"/>
    </row>
    <row r="690" ht="14.25" customHeight="1">
      <c r="C690" s="126"/>
      <c r="D690" s="126"/>
      <c r="F690" s="127"/>
      <c r="G690" s="127"/>
      <c r="H690" s="127"/>
      <c r="I690" s="127"/>
      <c r="J690" s="126"/>
      <c r="P690" s="127"/>
      <c r="Q690" s="127"/>
      <c r="R690" s="127"/>
      <c r="S690" s="127"/>
      <c r="T690" s="127"/>
      <c r="U690" s="127"/>
    </row>
    <row r="691" ht="14.25" customHeight="1">
      <c r="C691" s="126"/>
      <c r="D691" s="126"/>
      <c r="F691" s="127"/>
      <c r="G691" s="127"/>
      <c r="H691" s="127"/>
      <c r="I691" s="127"/>
      <c r="J691" s="126"/>
      <c r="P691" s="127"/>
      <c r="Q691" s="127"/>
      <c r="R691" s="127"/>
      <c r="S691" s="127"/>
      <c r="T691" s="127"/>
      <c r="U691" s="127"/>
    </row>
    <row r="692" ht="14.25" customHeight="1">
      <c r="C692" s="126"/>
      <c r="D692" s="126"/>
      <c r="F692" s="127"/>
      <c r="G692" s="127"/>
      <c r="H692" s="127"/>
      <c r="I692" s="127"/>
      <c r="J692" s="126"/>
      <c r="P692" s="127"/>
      <c r="Q692" s="127"/>
      <c r="R692" s="127"/>
      <c r="S692" s="127"/>
      <c r="T692" s="127"/>
      <c r="U692" s="127"/>
    </row>
    <row r="693" ht="14.25" customHeight="1">
      <c r="C693" s="126"/>
      <c r="D693" s="126"/>
      <c r="F693" s="127"/>
      <c r="G693" s="127"/>
      <c r="H693" s="127"/>
      <c r="I693" s="127"/>
      <c r="J693" s="126"/>
      <c r="P693" s="127"/>
      <c r="Q693" s="127"/>
      <c r="R693" s="127"/>
      <c r="S693" s="127"/>
      <c r="T693" s="127"/>
      <c r="U693" s="127"/>
    </row>
    <row r="694" ht="14.25" customHeight="1">
      <c r="C694" s="126"/>
      <c r="D694" s="126"/>
      <c r="F694" s="127"/>
      <c r="G694" s="127"/>
      <c r="H694" s="127"/>
      <c r="I694" s="127"/>
      <c r="J694" s="126"/>
      <c r="P694" s="127"/>
      <c r="Q694" s="127"/>
      <c r="R694" s="127"/>
      <c r="S694" s="127"/>
      <c r="T694" s="127"/>
      <c r="U694" s="127"/>
    </row>
    <row r="695" ht="14.25" customHeight="1">
      <c r="C695" s="126"/>
      <c r="D695" s="126"/>
      <c r="F695" s="127"/>
      <c r="G695" s="127"/>
      <c r="H695" s="127"/>
      <c r="I695" s="127"/>
      <c r="J695" s="126"/>
      <c r="P695" s="127"/>
      <c r="Q695" s="127"/>
      <c r="R695" s="127"/>
      <c r="S695" s="127"/>
      <c r="T695" s="127"/>
      <c r="U695" s="127"/>
    </row>
    <row r="696" ht="14.25" customHeight="1">
      <c r="C696" s="126"/>
      <c r="D696" s="126"/>
      <c r="F696" s="127"/>
      <c r="G696" s="127"/>
      <c r="H696" s="127"/>
      <c r="I696" s="127"/>
      <c r="J696" s="126"/>
      <c r="P696" s="127"/>
      <c r="Q696" s="127"/>
      <c r="R696" s="127"/>
      <c r="S696" s="127"/>
      <c r="T696" s="127"/>
      <c r="U696" s="127"/>
    </row>
    <row r="697" ht="14.25" customHeight="1">
      <c r="C697" s="126"/>
      <c r="D697" s="126"/>
      <c r="F697" s="127"/>
      <c r="G697" s="127"/>
      <c r="H697" s="127"/>
      <c r="I697" s="127"/>
      <c r="J697" s="126"/>
      <c r="P697" s="127"/>
      <c r="Q697" s="127"/>
      <c r="R697" s="127"/>
      <c r="S697" s="127"/>
      <c r="T697" s="127"/>
      <c r="U697" s="127"/>
    </row>
    <row r="698" ht="14.25" customHeight="1">
      <c r="C698" s="126"/>
      <c r="D698" s="126"/>
      <c r="F698" s="127"/>
      <c r="G698" s="127"/>
      <c r="H698" s="127"/>
      <c r="I698" s="127"/>
      <c r="J698" s="126"/>
      <c r="P698" s="127"/>
      <c r="Q698" s="127"/>
      <c r="R698" s="127"/>
      <c r="S698" s="127"/>
      <c r="T698" s="127"/>
      <c r="U698" s="127"/>
    </row>
    <row r="699" ht="14.25" customHeight="1">
      <c r="C699" s="126"/>
      <c r="D699" s="126"/>
      <c r="F699" s="127"/>
      <c r="G699" s="127"/>
      <c r="H699" s="127"/>
      <c r="I699" s="127"/>
      <c r="J699" s="126"/>
      <c r="P699" s="127"/>
      <c r="Q699" s="127"/>
      <c r="R699" s="127"/>
      <c r="S699" s="127"/>
      <c r="T699" s="127"/>
      <c r="U699" s="127"/>
    </row>
    <row r="700" ht="14.25" customHeight="1">
      <c r="C700" s="126"/>
      <c r="D700" s="126"/>
      <c r="F700" s="127"/>
      <c r="G700" s="127"/>
      <c r="H700" s="127"/>
      <c r="I700" s="127"/>
      <c r="J700" s="126"/>
      <c r="P700" s="127"/>
      <c r="Q700" s="127"/>
      <c r="R700" s="127"/>
      <c r="S700" s="127"/>
      <c r="T700" s="127"/>
      <c r="U700" s="127"/>
    </row>
    <row r="701" ht="14.25" customHeight="1">
      <c r="C701" s="126"/>
      <c r="D701" s="126"/>
      <c r="F701" s="127"/>
      <c r="G701" s="127"/>
      <c r="H701" s="127"/>
      <c r="I701" s="127"/>
      <c r="J701" s="126"/>
      <c r="P701" s="127"/>
      <c r="Q701" s="127"/>
      <c r="R701" s="127"/>
      <c r="S701" s="127"/>
      <c r="T701" s="127"/>
      <c r="U701" s="127"/>
    </row>
    <row r="702" ht="14.25" customHeight="1">
      <c r="C702" s="126"/>
      <c r="D702" s="126"/>
      <c r="F702" s="127"/>
      <c r="G702" s="127"/>
      <c r="H702" s="127"/>
      <c r="I702" s="127"/>
      <c r="J702" s="126"/>
      <c r="P702" s="127"/>
      <c r="Q702" s="127"/>
      <c r="R702" s="127"/>
      <c r="S702" s="127"/>
      <c r="T702" s="127"/>
      <c r="U702" s="127"/>
    </row>
    <row r="703" ht="14.25" customHeight="1">
      <c r="C703" s="126"/>
      <c r="D703" s="126"/>
      <c r="F703" s="127"/>
      <c r="G703" s="127"/>
      <c r="H703" s="127"/>
      <c r="I703" s="127"/>
      <c r="J703" s="126"/>
      <c r="P703" s="127"/>
      <c r="Q703" s="127"/>
      <c r="R703" s="127"/>
      <c r="S703" s="127"/>
      <c r="T703" s="127"/>
      <c r="U703" s="127"/>
    </row>
    <row r="704" ht="14.25" customHeight="1">
      <c r="C704" s="126"/>
      <c r="D704" s="126"/>
      <c r="F704" s="127"/>
      <c r="G704" s="127"/>
      <c r="H704" s="127"/>
      <c r="I704" s="127"/>
      <c r="J704" s="126"/>
      <c r="P704" s="127"/>
      <c r="Q704" s="127"/>
      <c r="R704" s="127"/>
      <c r="S704" s="127"/>
      <c r="T704" s="127"/>
      <c r="U704" s="127"/>
    </row>
    <row r="705" ht="14.25" customHeight="1">
      <c r="C705" s="126"/>
      <c r="D705" s="126"/>
      <c r="F705" s="127"/>
      <c r="G705" s="127"/>
      <c r="H705" s="127"/>
      <c r="I705" s="127"/>
      <c r="J705" s="126"/>
      <c r="P705" s="127"/>
      <c r="Q705" s="127"/>
      <c r="R705" s="127"/>
      <c r="S705" s="127"/>
      <c r="T705" s="127"/>
      <c r="U705" s="127"/>
    </row>
    <row r="706" ht="14.25" customHeight="1">
      <c r="C706" s="126"/>
      <c r="D706" s="126"/>
      <c r="F706" s="127"/>
      <c r="G706" s="127"/>
      <c r="H706" s="127"/>
      <c r="I706" s="127"/>
      <c r="J706" s="126"/>
      <c r="P706" s="127"/>
      <c r="Q706" s="127"/>
      <c r="R706" s="127"/>
      <c r="S706" s="127"/>
      <c r="T706" s="127"/>
      <c r="U706" s="127"/>
    </row>
    <row r="707" ht="14.25" customHeight="1">
      <c r="C707" s="126"/>
      <c r="D707" s="126"/>
      <c r="F707" s="127"/>
      <c r="G707" s="127"/>
      <c r="H707" s="127"/>
      <c r="I707" s="127"/>
      <c r="J707" s="126"/>
      <c r="P707" s="127"/>
      <c r="Q707" s="127"/>
      <c r="R707" s="127"/>
      <c r="S707" s="127"/>
      <c r="T707" s="127"/>
      <c r="U707" s="127"/>
    </row>
    <row r="708" ht="14.25" customHeight="1">
      <c r="C708" s="126"/>
      <c r="D708" s="126"/>
      <c r="F708" s="127"/>
      <c r="G708" s="127"/>
      <c r="H708" s="127"/>
      <c r="I708" s="127"/>
      <c r="J708" s="126"/>
      <c r="P708" s="127"/>
      <c r="Q708" s="127"/>
      <c r="R708" s="127"/>
      <c r="S708" s="127"/>
      <c r="T708" s="127"/>
      <c r="U708" s="127"/>
    </row>
    <row r="709" ht="14.25" customHeight="1">
      <c r="C709" s="126"/>
      <c r="D709" s="126"/>
      <c r="F709" s="127"/>
      <c r="G709" s="127"/>
      <c r="H709" s="127"/>
      <c r="I709" s="127"/>
      <c r="J709" s="126"/>
      <c r="P709" s="127"/>
      <c r="Q709" s="127"/>
      <c r="R709" s="127"/>
      <c r="S709" s="127"/>
      <c r="T709" s="127"/>
      <c r="U709" s="127"/>
    </row>
    <row r="710" ht="14.25" customHeight="1">
      <c r="C710" s="126"/>
      <c r="D710" s="126"/>
      <c r="F710" s="127"/>
      <c r="G710" s="127"/>
      <c r="H710" s="127"/>
      <c r="I710" s="127"/>
      <c r="J710" s="126"/>
      <c r="P710" s="127"/>
      <c r="Q710" s="127"/>
      <c r="R710" s="127"/>
      <c r="S710" s="127"/>
      <c r="T710" s="127"/>
      <c r="U710" s="127"/>
    </row>
    <row r="711" ht="14.25" customHeight="1">
      <c r="C711" s="126"/>
      <c r="D711" s="126"/>
      <c r="F711" s="127"/>
      <c r="G711" s="127"/>
      <c r="H711" s="127"/>
      <c r="I711" s="127"/>
      <c r="J711" s="126"/>
      <c r="P711" s="127"/>
      <c r="Q711" s="127"/>
      <c r="R711" s="127"/>
      <c r="S711" s="127"/>
      <c r="T711" s="127"/>
      <c r="U711" s="127"/>
    </row>
    <row r="712" ht="14.25" customHeight="1">
      <c r="C712" s="126"/>
      <c r="D712" s="126"/>
      <c r="F712" s="127"/>
      <c r="G712" s="127"/>
      <c r="H712" s="127"/>
      <c r="I712" s="127"/>
      <c r="J712" s="126"/>
      <c r="P712" s="127"/>
      <c r="Q712" s="127"/>
      <c r="R712" s="127"/>
      <c r="S712" s="127"/>
      <c r="T712" s="127"/>
      <c r="U712" s="127"/>
    </row>
    <row r="713" ht="14.25" customHeight="1">
      <c r="C713" s="126"/>
      <c r="D713" s="126"/>
      <c r="F713" s="127"/>
      <c r="G713" s="127"/>
      <c r="H713" s="127"/>
      <c r="I713" s="127"/>
      <c r="J713" s="126"/>
      <c r="P713" s="127"/>
      <c r="Q713" s="127"/>
      <c r="R713" s="127"/>
      <c r="S713" s="127"/>
      <c r="T713" s="127"/>
      <c r="U713" s="127"/>
    </row>
    <row r="714" ht="14.25" customHeight="1">
      <c r="C714" s="126"/>
      <c r="D714" s="126"/>
      <c r="F714" s="127"/>
      <c r="G714" s="127"/>
      <c r="H714" s="127"/>
      <c r="I714" s="127"/>
      <c r="J714" s="126"/>
      <c r="P714" s="127"/>
      <c r="Q714" s="127"/>
      <c r="R714" s="127"/>
      <c r="S714" s="127"/>
      <c r="T714" s="127"/>
      <c r="U714" s="127"/>
    </row>
    <row r="715" ht="14.25" customHeight="1">
      <c r="C715" s="126"/>
      <c r="D715" s="126"/>
      <c r="F715" s="127"/>
      <c r="G715" s="127"/>
      <c r="H715" s="127"/>
      <c r="I715" s="127"/>
      <c r="J715" s="126"/>
      <c r="P715" s="127"/>
      <c r="Q715" s="127"/>
      <c r="R715" s="127"/>
      <c r="S715" s="127"/>
      <c r="T715" s="127"/>
      <c r="U715" s="127"/>
    </row>
    <row r="716" ht="14.25" customHeight="1">
      <c r="C716" s="126"/>
      <c r="D716" s="126"/>
      <c r="F716" s="127"/>
      <c r="G716" s="127"/>
      <c r="H716" s="127"/>
      <c r="I716" s="127"/>
      <c r="J716" s="126"/>
      <c r="P716" s="127"/>
      <c r="Q716" s="127"/>
      <c r="R716" s="127"/>
      <c r="S716" s="127"/>
      <c r="T716" s="127"/>
      <c r="U716" s="127"/>
    </row>
    <row r="717" ht="14.25" customHeight="1">
      <c r="C717" s="126"/>
      <c r="D717" s="126"/>
      <c r="F717" s="127"/>
      <c r="G717" s="127"/>
      <c r="H717" s="127"/>
      <c r="I717" s="127"/>
      <c r="J717" s="126"/>
      <c r="P717" s="127"/>
      <c r="Q717" s="127"/>
      <c r="R717" s="127"/>
      <c r="S717" s="127"/>
      <c r="T717" s="127"/>
      <c r="U717" s="127"/>
    </row>
    <row r="718" ht="14.25" customHeight="1">
      <c r="C718" s="126"/>
      <c r="D718" s="126"/>
      <c r="F718" s="127"/>
      <c r="G718" s="127"/>
      <c r="H718" s="127"/>
      <c r="I718" s="127"/>
      <c r="J718" s="126"/>
      <c r="P718" s="127"/>
      <c r="Q718" s="127"/>
      <c r="R718" s="127"/>
      <c r="S718" s="127"/>
      <c r="T718" s="127"/>
      <c r="U718" s="127"/>
    </row>
    <row r="719" ht="14.25" customHeight="1">
      <c r="C719" s="126"/>
      <c r="D719" s="126"/>
      <c r="F719" s="127"/>
      <c r="G719" s="127"/>
      <c r="H719" s="127"/>
      <c r="I719" s="127"/>
      <c r="J719" s="126"/>
      <c r="P719" s="127"/>
      <c r="Q719" s="127"/>
      <c r="R719" s="127"/>
      <c r="S719" s="127"/>
      <c r="T719" s="127"/>
      <c r="U719" s="127"/>
    </row>
    <row r="720" ht="14.25" customHeight="1">
      <c r="C720" s="126"/>
      <c r="D720" s="126"/>
      <c r="F720" s="127"/>
      <c r="G720" s="127"/>
      <c r="H720" s="127"/>
      <c r="I720" s="127"/>
      <c r="J720" s="126"/>
      <c r="P720" s="127"/>
      <c r="Q720" s="127"/>
      <c r="R720" s="127"/>
      <c r="S720" s="127"/>
      <c r="T720" s="127"/>
      <c r="U720" s="127"/>
    </row>
    <row r="721" ht="14.25" customHeight="1">
      <c r="C721" s="126"/>
      <c r="D721" s="126"/>
      <c r="F721" s="127"/>
      <c r="G721" s="127"/>
      <c r="H721" s="127"/>
      <c r="I721" s="127"/>
      <c r="J721" s="126"/>
      <c r="P721" s="127"/>
      <c r="Q721" s="127"/>
      <c r="R721" s="127"/>
      <c r="S721" s="127"/>
      <c r="T721" s="127"/>
      <c r="U721" s="127"/>
    </row>
    <row r="722" ht="14.25" customHeight="1">
      <c r="C722" s="126"/>
      <c r="D722" s="126"/>
      <c r="F722" s="127"/>
      <c r="G722" s="127"/>
      <c r="H722" s="127"/>
      <c r="I722" s="127"/>
      <c r="J722" s="126"/>
      <c r="P722" s="127"/>
      <c r="Q722" s="127"/>
      <c r="R722" s="127"/>
      <c r="S722" s="127"/>
      <c r="T722" s="127"/>
      <c r="U722" s="127"/>
    </row>
    <row r="723" ht="14.25" customHeight="1">
      <c r="C723" s="126"/>
      <c r="D723" s="126"/>
      <c r="F723" s="127"/>
      <c r="G723" s="127"/>
      <c r="H723" s="127"/>
      <c r="I723" s="127"/>
      <c r="J723" s="126"/>
      <c r="P723" s="127"/>
      <c r="Q723" s="127"/>
      <c r="R723" s="127"/>
      <c r="S723" s="127"/>
      <c r="T723" s="127"/>
      <c r="U723" s="127"/>
    </row>
    <row r="724" ht="14.25" customHeight="1">
      <c r="C724" s="126"/>
      <c r="D724" s="126"/>
      <c r="F724" s="127"/>
      <c r="G724" s="127"/>
      <c r="H724" s="127"/>
      <c r="I724" s="127"/>
      <c r="J724" s="126"/>
      <c r="P724" s="127"/>
      <c r="Q724" s="127"/>
      <c r="R724" s="127"/>
      <c r="S724" s="127"/>
      <c r="T724" s="127"/>
      <c r="U724" s="127"/>
    </row>
    <row r="725" ht="14.25" customHeight="1">
      <c r="C725" s="126"/>
      <c r="D725" s="126"/>
      <c r="F725" s="127"/>
      <c r="G725" s="127"/>
      <c r="H725" s="127"/>
      <c r="I725" s="127"/>
      <c r="J725" s="126"/>
      <c r="P725" s="127"/>
      <c r="Q725" s="127"/>
      <c r="R725" s="127"/>
      <c r="S725" s="127"/>
      <c r="T725" s="127"/>
      <c r="U725" s="127"/>
    </row>
    <row r="726" ht="14.25" customHeight="1">
      <c r="C726" s="126"/>
      <c r="D726" s="126"/>
      <c r="F726" s="127"/>
      <c r="G726" s="127"/>
      <c r="H726" s="127"/>
      <c r="I726" s="127"/>
      <c r="J726" s="126"/>
      <c r="P726" s="127"/>
      <c r="Q726" s="127"/>
      <c r="R726" s="127"/>
      <c r="S726" s="127"/>
      <c r="T726" s="127"/>
      <c r="U726" s="127"/>
    </row>
    <row r="727" ht="14.25" customHeight="1">
      <c r="C727" s="126"/>
      <c r="D727" s="126"/>
      <c r="F727" s="127"/>
      <c r="G727" s="127"/>
      <c r="H727" s="127"/>
      <c r="I727" s="127"/>
      <c r="J727" s="126"/>
      <c r="P727" s="127"/>
      <c r="Q727" s="127"/>
      <c r="R727" s="127"/>
      <c r="S727" s="127"/>
      <c r="T727" s="127"/>
      <c r="U727" s="127"/>
    </row>
    <row r="728" ht="14.25" customHeight="1">
      <c r="C728" s="126"/>
      <c r="D728" s="126"/>
      <c r="F728" s="127"/>
      <c r="G728" s="127"/>
      <c r="H728" s="127"/>
      <c r="I728" s="127"/>
      <c r="J728" s="126"/>
      <c r="P728" s="127"/>
      <c r="Q728" s="127"/>
      <c r="R728" s="127"/>
      <c r="S728" s="127"/>
      <c r="T728" s="127"/>
      <c r="U728" s="127"/>
    </row>
    <row r="729" ht="14.25" customHeight="1">
      <c r="C729" s="126"/>
      <c r="D729" s="126"/>
      <c r="F729" s="127"/>
      <c r="G729" s="127"/>
      <c r="H729" s="127"/>
      <c r="I729" s="127"/>
      <c r="J729" s="126"/>
      <c r="P729" s="127"/>
      <c r="Q729" s="127"/>
      <c r="R729" s="127"/>
      <c r="S729" s="127"/>
      <c r="T729" s="127"/>
      <c r="U729" s="127"/>
    </row>
    <row r="730" ht="14.25" customHeight="1">
      <c r="C730" s="126"/>
      <c r="D730" s="126"/>
      <c r="F730" s="127"/>
      <c r="G730" s="127"/>
      <c r="H730" s="127"/>
      <c r="I730" s="127"/>
      <c r="J730" s="126"/>
      <c r="P730" s="127"/>
      <c r="Q730" s="127"/>
      <c r="R730" s="127"/>
      <c r="S730" s="127"/>
      <c r="T730" s="127"/>
      <c r="U730" s="127"/>
    </row>
    <row r="731" ht="14.25" customHeight="1">
      <c r="C731" s="126"/>
      <c r="D731" s="126"/>
      <c r="F731" s="127"/>
      <c r="G731" s="127"/>
      <c r="H731" s="127"/>
      <c r="I731" s="127"/>
      <c r="J731" s="126"/>
      <c r="P731" s="127"/>
      <c r="Q731" s="127"/>
      <c r="R731" s="127"/>
      <c r="S731" s="127"/>
      <c r="T731" s="127"/>
      <c r="U731" s="127"/>
    </row>
    <row r="732" ht="14.25" customHeight="1">
      <c r="C732" s="126"/>
      <c r="D732" s="126"/>
      <c r="F732" s="127"/>
      <c r="G732" s="127"/>
      <c r="H732" s="127"/>
      <c r="I732" s="127"/>
      <c r="J732" s="126"/>
      <c r="P732" s="127"/>
      <c r="Q732" s="127"/>
      <c r="R732" s="127"/>
      <c r="S732" s="127"/>
      <c r="T732" s="127"/>
      <c r="U732" s="127"/>
    </row>
    <row r="733" ht="14.25" customHeight="1">
      <c r="C733" s="126"/>
      <c r="D733" s="126"/>
      <c r="F733" s="127"/>
      <c r="G733" s="127"/>
      <c r="H733" s="127"/>
      <c r="I733" s="127"/>
      <c r="J733" s="126"/>
      <c r="P733" s="127"/>
      <c r="Q733" s="127"/>
      <c r="R733" s="127"/>
      <c r="S733" s="127"/>
      <c r="T733" s="127"/>
      <c r="U733" s="127"/>
    </row>
    <row r="734" ht="14.25" customHeight="1">
      <c r="C734" s="126"/>
      <c r="D734" s="126"/>
      <c r="F734" s="127"/>
      <c r="G734" s="127"/>
      <c r="H734" s="127"/>
      <c r="I734" s="127"/>
      <c r="J734" s="126"/>
      <c r="P734" s="127"/>
      <c r="Q734" s="127"/>
      <c r="R734" s="127"/>
      <c r="S734" s="127"/>
      <c r="T734" s="127"/>
      <c r="U734" s="127"/>
    </row>
    <row r="735" ht="14.25" customHeight="1">
      <c r="C735" s="126"/>
      <c r="D735" s="126"/>
      <c r="F735" s="127"/>
      <c r="G735" s="127"/>
      <c r="H735" s="127"/>
      <c r="I735" s="127"/>
      <c r="J735" s="126"/>
      <c r="P735" s="127"/>
      <c r="Q735" s="127"/>
      <c r="R735" s="127"/>
      <c r="S735" s="127"/>
      <c r="T735" s="127"/>
      <c r="U735" s="127"/>
    </row>
    <row r="736" ht="14.25" customHeight="1">
      <c r="C736" s="126"/>
      <c r="D736" s="126"/>
      <c r="F736" s="127"/>
      <c r="G736" s="127"/>
      <c r="H736" s="127"/>
      <c r="I736" s="127"/>
      <c r="J736" s="126"/>
      <c r="P736" s="127"/>
      <c r="Q736" s="127"/>
      <c r="R736" s="127"/>
      <c r="S736" s="127"/>
      <c r="T736" s="127"/>
      <c r="U736" s="127"/>
    </row>
    <row r="737" ht="14.25" customHeight="1">
      <c r="C737" s="126"/>
      <c r="D737" s="126"/>
      <c r="F737" s="127"/>
      <c r="G737" s="127"/>
      <c r="H737" s="127"/>
      <c r="I737" s="127"/>
      <c r="J737" s="126"/>
      <c r="P737" s="127"/>
      <c r="Q737" s="127"/>
      <c r="R737" s="127"/>
      <c r="S737" s="127"/>
      <c r="T737" s="127"/>
      <c r="U737" s="127"/>
    </row>
    <row r="738" ht="14.25" customHeight="1">
      <c r="C738" s="126"/>
      <c r="D738" s="126"/>
      <c r="F738" s="127"/>
      <c r="G738" s="127"/>
      <c r="H738" s="127"/>
      <c r="I738" s="127"/>
      <c r="J738" s="126"/>
      <c r="P738" s="127"/>
      <c r="Q738" s="127"/>
      <c r="R738" s="127"/>
      <c r="S738" s="127"/>
      <c r="T738" s="127"/>
      <c r="U738" s="127"/>
    </row>
    <row r="739" ht="14.25" customHeight="1">
      <c r="C739" s="126"/>
      <c r="D739" s="126"/>
      <c r="F739" s="127"/>
      <c r="G739" s="127"/>
      <c r="H739" s="127"/>
      <c r="I739" s="127"/>
      <c r="J739" s="126"/>
      <c r="P739" s="127"/>
      <c r="Q739" s="127"/>
      <c r="R739" s="127"/>
      <c r="S739" s="127"/>
      <c r="T739" s="127"/>
      <c r="U739" s="127"/>
    </row>
    <row r="740" ht="14.25" customHeight="1">
      <c r="C740" s="126"/>
      <c r="D740" s="126"/>
      <c r="F740" s="127"/>
      <c r="G740" s="127"/>
      <c r="H740" s="127"/>
      <c r="I740" s="127"/>
      <c r="J740" s="126"/>
      <c r="P740" s="127"/>
      <c r="Q740" s="127"/>
      <c r="R740" s="127"/>
      <c r="S740" s="127"/>
      <c r="T740" s="127"/>
      <c r="U740" s="127"/>
    </row>
    <row r="741" ht="14.25" customHeight="1">
      <c r="C741" s="126"/>
      <c r="D741" s="126"/>
      <c r="F741" s="127"/>
      <c r="G741" s="127"/>
      <c r="H741" s="127"/>
      <c r="I741" s="127"/>
      <c r="J741" s="126"/>
      <c r="P741" s="127"/>
      <c r="Q741" s="127"/>
      <c r="R741" s="127"/>
      <c r="S741" s="127"/>
      <c r="T741" s="127"/>
      <c r="U741" s="127"/>
    </row>
    <row r="742" ht="14.25" customHeight="1">
      <c r="C742" s="126"/>
      <c r="D742" s="126"/>
      <c r="F742" s="127"/>
      <c r="G742" s="127"/>
      <c r="H742" s="127"/>
      <c r="I742" s="127"/>
      <c r="J742" s="126"/>
      <c r="P742" s="127"/>
      <c r="Q742" s="127"/>
      <c r="R742" s="127"/>
      <c r="S742" s="127"/>
      <c r="T742" s="127"/>
      <c r="U742" s="127"/>
    </row>
    <row r="743" ht="14.25" customHeight="1">
      <c r="C743" s="126"/>
      <c r="D743" s="126"/>
      <c r="F743" s="127"/>
      <c r="G743" s="127"/>
      <c r="H743" s="127"/>
      <c r="I743" s="127"/>
      <c r="J743" s="126"/>
      <c r="P743" s="127"/>
      <c r="Q743" s="127"/>
      <c r="R743" s="127"/>
      <c r="S743" s="127"/>
      <c r="T743" s="127"/>
      <c r="U743" s="127"/>
    </row>
    <row r="744" ht="14.25" customHeight="1">
      <c r="C744" s="126"/>
      <c r="D744" s="126"/>
      <c r="F744" s="127"/>
      <c r="G744" s="127"/>
      <c r="H744" s="127"/>
      <c r="I744" s="127"/>
      <c r="J744" s="126"/>
      <c r="P744" s="127"/>
      <c r="Q744" s="127"/>
      <c r="R744" s="127"/>
      <c r="S744" s="127"/>
      <c r="T744" s="127"/>
      <c r="U744" s="127"/>
    </row>
    <row r="745" ht="14.25" customHeight="1">
      <c r="C745" s="126"/>
      <c r="D745" s="126"/>
      <c r="F745" s="127"/>
      <c r="G745" s="127"/>
      <c r="H745" s="127"/>
      <c r="I745" s="127"/>
      <c r="J745" s="126"/>
      <c r="P745" s="127"/>
      <c r="Q745" s="127"/>
      <c r="R745" s="127"/>
      <c r="S745" s="127"/>
      <c r="T745" s="127"/>
      <c r="U745" s="127"/>
    </row>
    <row r="746" ht="14.25" customHeight="1">
      <c r="C746" s="126"/>
      <c r="D746" s="126"/>
      <c r="F746" s="127"/>
      <c r="G746" s="127"/>
      <c r="H746" s="127"/>
      <c r="I746" s="127"/>
      <c r="J746" s="126"/>
      <c r="P746" s="127"/>
      <c r="Q746" s="127"/>
      <c r="R746" s="127"/>
      <c r="S746" s="127"/>
      <c r="T746" s="127"/>
      <c r="U746" s="127"/>
    </row>
    <row r="747" ht="14.25" customHeight="1">
      <c r="C747" s="126"/>
      <c r="D747" s="126"/>
      <c r="F747" s="127"/>
      <c r="G747" s="127"/>
      <c r="H747" s="127"/>
      <c r="I747" s="127"/>
      <c r="J747" s="126"/>
      <c r="P747" s="127"/>
      <c r="Q747" s="127"/>
      <c r="R747" s="127"/>
      <c r="S747" s="127"/>
      <c r="T747" s="127"/>
      <c r="U747" s="127"/>
    </row>
    <row r="748" ht="14.25" customHeight="1">
      <c r="C748" s="126"/>
      <c r="D748" s="126"/>
      <c r="F748" s="127"/>
      <c r="G748" s="127"/>
      <c r="H748" s="127"/>
      <c r="I748" s="127"/>
      <c r="J748" s="126"/>
      <c r="P748" s="127"/>
      <c r="Q748" s="127"/>
      <c r="R748" s="127"/>
      <c r="S748" s="127"/>
      <c r="T748" s="127"/>
      <c r="U748" s="127"/>
    </row>
    <row r="749" ht="14.25" customHeight="1">
      <c r="C749" s="126"/>
      <c r="D749" s="126"/>
      <c r="F749" s="127"/>
      <c r="G749" s="127"/>
      <c r="H749" s="127"/>
      <c r="I749" s="127"/>
      <c r="J749" s="126"/>
      <c r="P749" s="127"/>
      <c r="Q749" s="127"/>
      <c r="R749" s="127"/>
      <c r="S749" s="127"/>
      <c r="T749" s="127"/>
      <c r="U749" s="127"/>
    </row>
    <row r="750" ht="14.25" customHeight="1">
      <c r="C750" s="126"/>
      <c r="D750" s="126"/>
      <c r="F750" s="127"/>
      <c r="G750" s="127"/>
      <c r="H750" s="127"/>
      <c r="I750" s="127"/>
      <c r="J750" s="126"/>
      <c r="P750" s="127"/>
      <c r="Q750" s="127"/>
      <c r="R750" s="127"/>
      <c r="S750" s="127"/>
      <c r="T750" s="127"/>
      <c r="U750" s="127"/>
    </row>
    <row r="751" ht="14.25" customHeight="1">
      <c r="C751" s="126"/>
      <c r="D751" s="126"/>
      <c r="F751" s="127"/>
      <c r="G751" s="127"/>
      <c r="H751" s="127"/>
      <c r="I751" s="127"/>
      <c r="J751" s="126"/>
      <c r="P751" s="127"/>
      <c r="Q751" s="127"/>
      <c r="R751" s="127"/>
      <c r="S751" s="127"/>
      <c r="T751" s="127"/>
      <c r="U751" s="127"/>
    </row>
    <row r="752" ht="14.25" customHeight="1">
      <c r="C752" s="126"/>
      <c r="D752" s="126"/>
      <c r="F752" s="127"/>
      <c r="G752" s="127"/>
      <c r="H752" s="127"/>
      <c r="I752" s="127"/>
      <c r="J752" s="126"/>
      <c r="P752" s="127"/>
      <c r="Q752" s="127"/>
      <c r="R752" s="127"/>
      <c r="S752" s="127"/>
      <c r="T752" s="127"/>
      <c r="U752" s="127"/>
    </row>
    <row r="753" ht="14.25" customHeight="1">
      <c r="C753" s="126"/>
      <c r="D753" s="126"/>
      <c r="F753" s="127"/>
      <c r="G753" s="127"/>
      <c r="H753" s="127"/>
      <c r="I753" s="127"/>
      <c r="J753" s="126"/>
      <c r="P753" s="127"/>
      <c r="Q753" s="127"/>
      <c r="R753" s="127"/>
      <c r="S753" s="127"/>
      <c r="T753" s="127"/>
      <c r="U753" s="127"/>
    </row>
    <row r="754" ht="14.25" customHeight="1">
      <c r="C754" s="126"/>
      <c r="D754" s="126"/>
      <c r="F754" s="127"/>
      <c r="G754" s="127"/>
      <c r="H754" s="127"/>
      <c r="I754" s="127"/>
      <c r="J754" s="126"/>
      <c r="P754" s="127"/>
      <c r="Q754" s="127"/>
      <c r="R754" s="127"/>
      <c r="S754" s="127"/>
      <c r="T754" s="127"/>
      <c r="U754" s="127"/>
    </row>
    <row r="755" ht="14.25" customHeight="1">
      <c r="C755" s="126"/>
      <c r="D755" s="126"/>
      <c r="F755" s="127"/>
      <c r="G755" s="127"/>
      <c r="H755" s="127"/>
      <c r="I755" s="127"/>
      <c r="J755" s="126"/>
      <c r="P755" s="127"/>
      <c r="Q755" s="127"/>
      <c r="R755" s="127"/>
      <c r="S755" s="127"/>
      <c r="T755" s="127"/>
      <c r="U755" s="127"/>
    </row>
    <row r="756" ht="14.25" customHeight="1">
      <c r="C756" s="126"/>
      <c r="D756" s="126"/>
      <c r="F756" s="127"/>
      <c r="G756" s="127"/>
      <c r="H756" s="127"/>
      <c r="I756" s="127"/>
      <c r="J756" s="126"/>
      <c r="P756" s="127"/>
      <c r="Q756" s="127"/>
      <c r="R756" s="127"/>
      <c r="S756" s="127"/>
      <c r="T756" s="127"/>
      <c r="U756" s="127"/>
    </row>
    <row r="757" ht="14.25" customHeight="1">
      <c r="C757" s="126"/>
      <c r="D757" s="126"/>
      <c r="F757" s="127"/>
      <c r="G757" s="127"/>
      <c r="H757" s="127"/>
      <c r="I757" s="127"/>
      <c r="J757" s="126"/>
      <c r="P757" s="127"/>
      <c r="Q757" s="127"/>
      <c r="R757" s="127"/>
      <c r="S757" s="127"/>
      <c r="T757" s="127"/>
      <c r="U757" s="127"/>
    </row>
    <row r="758" ht="14.25" customHeight="1">
      <c r="C758" s="126"/>
      <c r="D758" s="126"/>
      <c r="F758" s="127"/>
      <c r="G758" s="127"/>
      <c r="H758" s="127"/>
      <c r="I758" s="127"/>
      <c r="J758" s="126"/>
      <c r="P758" s="127"/>
      <c r="Q758" s="127"/>
      <c r="R758" s="127"/>
      <c r="S758" s="127"/>
      <c r="T758" s="127"/>
      <c r="U758" s="127"/>
    </row>
    <row r="759" ht="14.25" customHeight="1">
      <c r="C759" s="126"/>
      <c r="D759" s="126"/>
      <c r="F759" s="127"/>
      <c r="G759" s="127"/>
      <c r="H759" s="127"/>
      <c r="I759" s="127"/>
      <c r="J759" s="126"/>
      <c r="P759" s="127"/>
      <c r="Q759" s="127"/>
      <c r="R759" s="127"/>
      <c r="S759" s="127"/>
      <c r="T759" s="127"/>
      <c r="U759" s="127"/>
    </row>
    <row r="760" ht="14.25" customHeight="1">
      <c r="C760" s="126"/>
      <c r="D760" s="126"/>
      <c r="F760" s="127"/>
      <c r="G760" s="127"/>
      <c r="H760" s="127"/>
      <c r="I760" s="127"/>
      <c r="J760" s="126"/>
      <c r="P760" s="127"/>
      <c r="Q760" s="127"/>
      <c r="R760" s="127"/>
      <c r="S760" s="127"/>
      <c r="T760" s="127"/>
      <c r="U760" s="127"/>
    </row>
    <row r="761" ht="14.25" customHeight="1">
      <c r="C761" s="126"/>
      <c r="D761" s="126"/>
      <c r="F761" s="127"/>
      <c r="G761" s="127"/>
      <c r="H761" s="127"/>
      <c r="I761" s="127"/>
      <c r="J761" s="126"/>
      <c r="P761" s="127"/>
      <c r="Q761" s="127"/>
      <c r="R761" s="127"/>
      <c r="S761" s="127"/>
      <c r="T761" s="127"/>
      <c r="U761" s="127"/>
    </row>
    <row r="762" ht="14.25" customHeight="1">
      <c r="C762" s="126"/>
      <c r="D762" s="126"/>
      <c r="F762" s="127"/>
      <c r="G762" s="127"/>
      <c r="H762" s="127"/>
      <c r="I762" s="127"/>
      <c r="J762" s="126"/>
      <c r="P762" s="127"/>
      <c r="Q762" s="127"/>
      <c r="R762" s="127"/>
      <c r="S762" s="127"/>
      <c r="T762" s="127"/>
      <c r="U762" s="127"/>
    </row>
    <row r="763" ht="14.25" customHeight="1">
      <c r="C763" s="126"/>
      <c r="D763" s="126"/>
      <c r="F763" s="127"/>
      <c r="G763" s="127"/>
      <c r="H763" s="127"/>
      <c r="I763" s="127"/>
      <c r="J763" s="126"/>
      <c r="P763" s="127"/>
      <c r="Q763" s="127"/>
      <c r="R763" s="127"/>
      <c r="S763" s="127"/>
      <c r="T763" s="127"/>
      <c r="U763" s="127"/>
    </row>
    <row r="764" ht="14.25" customHeight="1">
      <c r="C764" s="126"/>
      <c r="D764" s="126"/>
      <c r="F764" s="127"/>
      <c r="G764" s="127"/>
      <c r="H764" s="127"/>
      <c r="I764" s="127"/>
      <c r="J764" s="126"/>
      <c r="P764" s="127"/>
      <c r="Q764" s="127"/>
      <c r="R764" s="127"/>
      <c r="S764" s="127"/>
      <c r="T764" s="127"/>
      <c r="U764" s="127"/>
    </row>
    <row r="765" ht="14.25" customHeight="1">
      <c r="C765" s="126"/>
      <c r="D765" s="126"/>
      <c r="F765" s="127"/>
      <c r="G765" s="127"/>
      <c r="H765" s="127"/>
      <c r="I765" s="127"/>
      <c r="J765" s="126"/>
      <c r="P765" s="127"/>
      <c r="Q765" s="127"/>
      <c r="R765" s="127"/>
      <c r="S765" s="127"/>
      <c r="T765" s="127"/>
      <c r="U765" s="127"/>
    </row>
    <row r="766" ht="14.25" customHeight="1">
      <c r="C766" s="126"/>
      <c r="D766" s="126"/>
      <c r="F766" s="127"/>
      <c r="G766" s="127"/>
      <c r="H766" s="127"/>
      <c r="I766" s="127"/>
      <c r="J766" s="126"/>
      <c r="P766" s="127"/>
      <c r="Q766" s="127"/>
      <c r="R766" s="127"/>
      <c r="S766" s="127"/>
      <c r="T766" s="127"/>
      <c r="U766" s="127"/>
    </row>
    <row r="767" ht="14.25" customHeight="1">
      <c r="C767" s="126"/>
      <c r="D767" s="126"/>
      <c r="F767" s="127"/>
      <c r="G767" s="127"/>
      <c r="H767" s="127"/>
      <c r="I767" s="127"/>
      <c r="J767" s="126"/>
      <c r="P767" s="127"/>
      <c r="Q767" s="127"/>
      <c r="R767" s="127"/>
      <c r="S767" s="127"/>
      <c r="T767" s="127"/>
      <c r="U767" s="127"/>
    </row>
    <row r="768" ht="14.25" customHeight="1">
      <c r="C768" s="126"/>
      <c r="D768" s="126"/>
      <c r="F768" s="127"/>
      <c r="G768" s="127"/>
      <c r="H768" s="127"/>
      <c r="I768" s="127"/>
      <c r="J768" s="126"/>
      <c r="P768" s="127"/>
      <c r="Q768" s="127"/>
      <c r="R768" s="127"/>
      <c r="S768" s="127"/>
      <c r="T768" s="127"/>
      <c r="U768" s="127"/>
    </row>
    <row r="769" ht="14.25" customHeight="1">
      <c r="C769" s="126"/>
      <c r="D769" s="126"/>
      <c r="F769" s="127"/>
      <c r="G769" s="127"/>
      <c r="H769" s="127"/>
      <c r="I769" s="127"/>
      <c r="J769" s="126"/>
      <c r="P769" s="127"/>
      <c r="Q769" s="127"/>
      <c r="R769" s="127"/>
      <c r="S769" s="127"/>
      <c r="T769" s="127"/>
      <c r="U769" s="127"/>
    </row>
    <row r="770" ht="14.25" customHeight="1">
      <c r="C770" s="126"/>
      <c r="D770" s="126"/>
      <c r="F770" s="127"/>
      <c r="G770" s="127"/>
      <c r="H770" s="127"/>
      <c r="I770" s="127"/>
      <c r="J770" s="126"/>
      <c r="P770" s="127"/>
      <c r="Q770" s="127"/>
      <c r="R770" s="127"/>
      <c r="S770" s="127"/>
      <c r="T770" s="127"/>
      <c r="U770" s="127"/>
    </row>
    <row r="771" ht="14.25" customHeight="1">
      <c r="C771" s="126"/>
      <c r="D771" s="126"/>
      <c r="F771" s="127"/>
      <c r="G771" s="127"/>
      <c r="H771" s="127"/>
      <c r="I771" s="127"/>
      <c r="J771" s="126"/>
      <c r="P771" s="127"/>
      <c r="Q771" s="127"/>
      <c r="R771" s="127"/>
      <c r="S771" s="127"/>
      <c r="T771" s="127"/>
      <c r="U771" s="127"/>
    </row>
    <row r="772" ht="14.25" customHeight="1">
      <c r="C772" s="126"/>
      <c r="D772" s="126"/>
      <c r="F772" s="127"/>
      <c r="G772" s="127"/>
      <c r="H772" s="127"/>
      <c r="I772" s="127"/>
      <c r="J772" s="126"/>
      <c r="P772" s="127"/>
      <c r="Q772" s="127"/>
      <c r="R772" s="127"/>
      <c r="S772" s="127"/>
      <c r="T772" s="127"/>
      <c r="U772" s="127"/>
    </row>
    <row r="773" ht="14.25" customHeight="1">
      <c r="C773" s="126"/>
      <c r="D773" s="126"/>
      <c r="F773" s="127"/>
      <c r="G773" s="127"/>
      <c r="H773" s="127"/>
      <c r="I773" s="127"/>
      <c r="J773" s="126"/>
      <c r="P773" s="127"/>
      <c r="Q773" s="127"/>
      <c r="R773" s="127"/>
      <c r="S773" s="127"/>
      <c r="T773" s="127"/>
      <c r="U773" s="127"/>
    </row>
    <row r="774" ht="14.25" customHeight="1">
      <c r="C774" s="126"/>
      <c r="D774" s="126"/>
      <c r="F774" s="127"/>
      <c r="G774" s="127"/>
      <c r="H774" s="127"/>
      <c r="I774" s="127"/>
      <c r="J774" s="126"/>
      <c r="P774" s="127"/>
      <c r="Q774" s="127"/>
      <c r="R774" s="127"/>
      <c r="S774" s="127"/>
      <c r="T774" s="127"/>
      <c r="U774" s="127"/>
    </row>
    <row r="775" ht="14.25" customHeight="1">
      <c r="C775" s="126"/>
      <c r="D775" s="126"/>
      <c r="F775" s="127"/>
      <c r="G775" s="127"/>
      <c r="H775" s="127"/>
      <c r="I775" s="127"/>
      <c r="J775" s="126"/>
      <c r="P775" s="127"/>
      <c r="Q775" s="127"/>
      <c r="R775" s="127"/>
      <c r="S775" s="127"/>
      <c r="T775" s="127"/>
      <c r="U775" s="127"/>
    </row>
    <row r="776" ht="14.25" customHeight="1">
      <c r="C776" s="126"/>
      <c r="D776" s="126"/>
      <c r="F776" s="127"/>
      <c r="G776" s="127"/>
      <c r="H776" s="127"/>
      <c r="I776" s="127"/>
      <c r="J776" s="126"/>
      <c r="P776" s="127"/>
      <c r="Q776" s="127"/>
      <c r="R776" s="127"/>
      <c r="S776" s="127"/>
      <c r="T776" s="127"/>
      <c r="U776" s="127"/>
    </row>
    <row r="777" ht="14.25" customHeight="1">
      <c r="C777" s="126"/>
      <c r="D777" s="126"/>
      <c r="F777" s="127"/>
      <c r="G777" s="127"/>
      <c r="H777" s="127"/>
      <c r="I777" s="127"/>
      <c r="J777" s="126"/>
      <c r="P777" s="127"/>
      <c r="Q777" s="127"/>
      <c r="R777" s="127"/>
      <c r="S777" s="127"/>
      <c r="T777" s="127"/>
      <c r="U777" s="127"/>
    </row>
    <row r="778" ht="14.25" customHeight="1">
      <c r="C778" s="126"/>
      <c r="D778" s="126"/>
      <c r="F778" s="127"/>
      <c r="G778" s="127"/>
      <c r="H778" s="127"/>
      <c r="I778" s="127"/>
      <c r="J778" s="126"/>
      <c r="P778" s="127"/>
      <c r="Q778" s="127"/>
      <c r="R778" s="127"/>
      <c r="S778" s="127"/>
      <c r="T778" s="127"/>
      <c r="U778" s="127"/>
    </row>
    <row r="779" ht="14.25" customHeight="1">
      <c r="C779" s="126"/>
      <c r="D779" s="126"/>
      <c r="F779" s="127"/>
      <c r="G779" s="127"/>
      <c r="H779" s="127"/>
      <c r="I779" s="127"/>
      <c r="J779" s="126"/>
      <c r="P779" s="127"/>
      <c r="Q779" s="127"/>
      <c r="R779" s="127"/>
      <c r="S779" s="127"/>
      <c r="T779" s="127"/>
      <c r="U779" s="127"/>
    </row>
    <row r="780" ht="14.25" customHeight="1">
      <c r="C780" s="126"/>
      <c r="D780" s="126"/>
      <c r="F780" s="127"/>
      <c r="G780" s="127"/>
      <c r="H780" s="127"/>
      <c r="I780" s="127"/>
      <c r="J780" s="126"/>
      <c r="P780" s="127"/>
      <c r="Q780" s="127"/>
      <c r="R780" s="127"/>
      <c r="S780" s="127"/>
      <c r="T780" s="127"/>
      <c r="U780" s="127"/>
    </row>
    <row r="781" ht="14.25" customHeight="1">
      <c r="C781" s="126"/>
      <c r="D781" s="126"/>
      <c r="F781" s="127"/>
      <c r="G781" s="127"/>
      <c r="H781" s="127"/>
      <c r="I781" s="127"/>
      <c r="J781" s="126"/>
      <c r="P781" s="127"/>
      <c r="Q781" s="127"/>
      <c r="R781" s="127"/>
      <c r="S781" s="127"/>
      <c r="T781" s="127"/>
      <c r="U781" s="127"/>
    </row>
    <row r="782" ht="14.25" customHeight="1">
      <c r="C782" s="126"/>
      <c r="D782" s="126"/>
      <c r="F782" s="127"/>
      <c r="G782" s="127"/>
      <c r="H782" s="127"/>
      <c r="I782" s="127"/>
      <c r="J782" s="126"/>
      <c r="P782" s="127"/>
      <c r="Q782" s="127"/>
      <c r="R782" s="127"/>
      <c r="S782" s="127"/>
      <c r="T782" s="127"/>
      <c r="U782" s="127"/>
    </row>
    <row r="783" ht="14.25" customHeight="1">
      <c r="C783" s="126"/>
      <c r="D783" s="126"/>
      <c r="F783" s="127"/>
      <c r="G783" s="127"/>
      <c r="H783" s="127"/>
      <c r="I783" s="127"/>
      <c r="J783" s="126"/>
      <c r="P783" s="127"/>
      <c r="Q783" s="127"/>
      <c r="R783" s="127"/>
      <c r="S783" s="127"/>
      <c r="T783" s="127"/>
      <c r="U783" s="127"/>
    </row>
    <row r="784" ht="14.25" customHeight="1">
      <c r="C784" s="126"/>
      <c r="D784" s="126"/>
      <c r="F784" s="127"/>
      <c r="G784" s="127"/>
      <c r="H784" s="127"/>
      <c r="I784" s="127"/>
      <c r="J784" s="126"/>
      <c r="P784" s="127"/>
      <c r="Q784" s="127"/>
      <c r="R784" s="127"/>
      <c r="S784" s="127"/>
      <c r="T784" s="127"/>
      <c r="U784" s="127"/>
    </row>
    <row r="785" ht="14.25" customHeight="1">
      <c r="C785" s="126"/>
      <c r="D785" s="126"/>
      <c r="F785" s="127"/>
      <c r="G785" s="127"/>
      <c r="H785" s="127"/>
      <c r="I785" s="127"/>
      <c r="J785" s="126"/>
      <c r="P785" s="127"/>
      <c r="Q785" s="127"/>
      <c r="R785" s="127"/>
      <c r="S785" s="127"/>
      <c r="T785" s="127"/>
      <c r="U785" s="127"/>
    </row>
    <row r="786" ht="14.25" customHeight="1">
      <c r="C786" s="126"/>
      <c r="D786" s="126"/>
      <c r="F786" s="127"/>
      <c r="G786" s="127"/>
      <c r="H786" s="127"/>
      <c r="I786" s="127"/>
      <c r="J786" s="126"/>
      <c r="P786" s="127"/>
      <c r="Q786" s="127"/>
      <c r="R786" s="127"/>
      <c r="S786" s="127"/>
      <c r="T786" s="127"/>
      <c r="U786" s="127"/>
    </row>
    <row r="787" ht="14.25" customHeight="1">
      <c r="C787" s="126"/>
      <c r="D787" s="126"/>
      <c r="F787" s="127"/>
      <c r="G787" s="127"/>
      <c r="H787" s="127"/>
      <c r="I787" s="127"/>
      <c r="J787" s="126"/>
      <c r="P787" s="127"/>
      <c r="Q787" s="127"/>
      <c r="R787" s="127"/>
      <c r="S787" s="127"/>
      <c r="T787" s="127"/>
      <c r="U787" s="127"/>
    </row>
    <row r="788" ht="14.25" customHeight="1">
      <c r="C788" s="126"/>
      <c r="D788" s="126"/>
      <c r="F788" s="127"/>
      <c r="G788" s="127"/>
      <c r="H788" s="127"/>
      <c r="I788" s="127"/>
      <c r="J788" s="126"/>
      <c r="P788" s="127"/>
      <c r="Q788" s="127"/>
      <c r="R788" s="127"/>
      <c r="S788" s="127"/>
      <c r="T788" s="127"/>
      <c r="U788" s="127"/>
    </row>
    <row r="789" ht="14.25" customHeight="1">
      <c r="C789" s="126"/>
      <c r="D789" s="126"/>
      <c r="F789" s="127"/>
      <c r="G789" s="127"/>
      <c r="H789" s="127"/>
      <c r="I789" s="127"/>
      <c r="J789" s="126"/>
      <c r="P789" s="127"/>
      <c r="Q789" s="127"/>
      <c r="R789" s="127"/>
      <c r="S789" s="127"/>
      <c r="T789" s="127"/>
      <c r="U789" s="127"/>
    </row>
    <row r="790" ht="14.25" customHeight="1">
      <c r="C790" s="126"/>
      <c r="D790" s="126"/>
      <c r="F790" s="127"/>
      <c r="G790" s="127"/>
      <c r="H790" s="127"/>
      <c r="I790" s="127"/>
      <c r="J790" s="126"/>
      <c r="P790" s="127"/>
      <c r="Q790" s="127"/>
      <c r="R790" s="127"/>
      <c r="S790" s="127"/>
      <c r="T790" s="127"/>
      <c r="U790" s="127"/>
    </row>
    <row r="791" ht="14.25" customHeight="1">
      <c r="C791" s="126"/>
      <c r="D791" s="126"/>
      <c r="F791" s="127"/>
      <c r="G791" s="127"/>
      <c r="H791" s="127"/>
      <c r="I791" s="127"/>
      <c r="J791" s="126"/>
      <c r="P791" s="127"/>
      <c r="Q791" s="127"/>
      <c r="R791" s="127"/>
      <c r="S791" s="127"/>
      <c r="T791" s="127"/>
      <c r="U791" s="127"/>
    </row>
    <row r="792" ht="14.25" customHeight="1">
      <c r="C792" s="126"/>
      <c r="D792" s="126"/>
      <c r="F792" s="127"/>
      <c r="G792" s="127"/>
      <c r="H792" s="127"/>
      <c r="I792" s="127"/>
      <c r="J792" s="126"/>
      <c r="P792" s="127"/>
      <c r="Q792" s="127"/>
      <c r="R792" s="127"/>
      <c r="S792" s="127"/>
      <c r="T792" s="127"/>
      <c r="U792" s="127"/>
    </row>
    <row r="793" ht="14.25" customHeight="1">
      <c r="C793" s="126"/>
      <c r="D793" s="126"/>
      <c r="F793" s="127"/>
      <c r="G793" s="127"/>
      <c r="H793" s="127"/>
      <c r="I793" s="127"/>
      <c r="J793" s="126"/>
      <c r="P793" s="127"/>
      <c r="Q793" s="127"/>
      <c r="R793" s="127"/>
      <c r="S793" s="127"/>
      <c r="T793" s="127"/>
      <c r="U793" s="127"/>
    </row>
    <row r="794" ht="14.25" customHeight="1">
      <c r="C794" s="126"/>
      <c r="D794" s="126"/>
      <c r="F794" s="127"/>
      <c r="G794" s="127"/>
      <c r="H794" s="127"/>
      <c r="I794" s="127"/>
      <c r="J794" s="126"/>
      <c r="P794" s="127"/>
      <c r="Q794" s="127"/>
      <c r="R794" s="127"/>
      <c r="S794" s="127"/>
      <c r="T794" s="127"/>
      <c r="U794" s="127"/>
    </row>
    <row r="795" ht="14.25" customHeight="1">
      <c r="C795" s="126"/>
      <c r="D795" s="126"/>
      <c r="F795" s="127"/>
      <c r="G795" s="127"/>
      <c r="H795" s="127"/>
      <c r="I795" s="127"/>
      <c r="J795" s="126"/>
      <c r="P795" s="127"/>
      <c r="Q795" s="127"/>
      <c r="R795" s="127"/>
      <c r="S795" s="127"/>
      <c r="T795" s="127"/>
      <c r="U795" s="127"/>
    </row>
    <row r="796" ht="14.25" customHeight="1">
      <c r="C796" s="126"/>
      <c r="D796" s="126"/>
      <c r="F796" s="127"/>
      <c r="G796" s="127"/>
      <c r="H796" s="127"/>
      <c r="I796" s="127"/>
      <c r="J796" s="126"/>
      <c r="P796" s="127"/>
      <c r="Q796" s="127"/>
      <c r="R796" s="127"/>
      <c r="S796" s="127"/>
      <c r="T796" s="127"/>
      <c r="U796" s="127"/>
    </row>
    <row r="797" ht="14.25" customHeight="1">
      <c r="C797" s="126"/>
      <c r="D797" s="126"/>
      <c r="F797" s="127"/>
      <c r="G797" s="127"/>
      <c r="H797" s="127"/>
      <c r="I797" s="127"/>
      <c r="J797" s="126"/>
      <c r="P797" s="127"/>
      <c r="Q797" s="127"/>
      <c r="R797" s="127"/>
      <c r="S797" s="127"/>
      <c r="T797" s="127"/>
      <c r="U797" s="127"/>
    </row>
    <row r="798" ht="14.25" customHeight="1">
      <c r="C798" s="126"/>
      <c r="D798" s="126"/>
      <c r="F798" s="127"/>
      <c r="G798" s="127"/>
      <c r="H798" s="127"/>
      <c r="I798" s="127"/>
      <c r="J798" s="126"/>
      <c r="P798" s="127"/>
      <c r="Q798" s="127"/>
      <c r="R798" s="127"/>
      <c r="S798" s="127"/>
      <c r="T798" s="127"/>
      <c r="U798" s="127"/>
    </row>
    <row r="799" ht="14.25" customHeight="1">
      <c r="C799" s="126"/>
      <c r="D799" s="126"/>
      <c r="F799" s="127"/>
      <c r="G799" s="127"/>
      <c r="H799" s="127"/>
      <c r="I799" s="127"/>
      <c r="J799" s="126"/>
      <c r="P799" s="127"/>
      <c r="Q799" s="127"/>
      <c r="R799" s="127"/>
      <c r="S799" s="127"/>
      <c r="T799" s="127"/>
      <c r="U799" s="127"/>
    </row>
    <row r="800" ht="14.25" customHeight="1">
      <c r="C800" s="126"/>
      <c r="D800" s="126"/>
      <c r="F800" s="127"/>
      <c r="G800" s="127"/>
      <c r="H800" s="127"/>
      <c r="I800" s="127"/>
      <c r="J800" s="126"/>
      <c r="P800" s="127"/>
      <c r="Q800" s="127"/>
      <c r="R800" s="127"/>
      <c r="S800" s="127"/>
      <c r="T800" s="127"/>
      <c r="U800" s="127"/>
    </row>
    <row r="801" ht="14.25" customHeight="1">
      <c r="C801" s="126"/>
      <c r="D801" s="126"/>
      <c r="F801" s="127"/>
      <c r="G801" s="127"/>
      <c r="H801" s="127"/>
      <c r="I801" s="127"/>
      <c r="J801" s="126"/>
      <c r="P801" s="127"/>
      <c r="Q801" s="127"/>
      <c r="R801" s="127"/>
      <c r="S801" s="127"/>
      <c r="T801" s="127"/>
      <c r="U801" s="127"/>
    </row>
    <row r="802" ht="14.25" customHeight="1">
      <c r="C802" s="126"/>
      <c r="D802" s="126"/>
      <c r="F802" s="127"/>
      <c r="G802" s="127"/>
      <c r="H802" s="127"/>
      <c r="I802" s="127"/>
      <c r="J802" s="126"/>
      <c r="P802" s="127"/>
      <c r="Q802" s="127"/>
      <c r="R802" s="127"/>
      <c r="S802" s="127"/>
      <c r="T802" s="127"/>
      <c r="U802" s="127"/>
    </row>
    <row r="803" ht="14.25" customHeight="1">
      <c r="C803" s="126"/>
      <c r="D803" s="126"/>
      <c r="F803" s="127"/>
      <c r="G803" s="127"/>
      <c r="H803" s="127"/>
      <c r="I803" s="127"/>
      <c r="J803" s="126"/>
      <c r="P803" s="127"/>
      <c r="Q803" s="127"/>
      <c r="R803" s="127"/>
      <c r="S803" s="127"/>
      <c r="T803" s="127"/>
      <c r="U803" s="127"/>
    </row>
    <row r="804" ht="14.25" customHeight="1">
      <c r="C804" s="126"/>
      <c r="D804" s="126"/>
      <c r="F804" s="127"/>
      <c r="G804" s="127"/>
      <c r="H804" s="127"/>
      <c r="I804" s="127"/>
      <c r="J804" s="126"/>
      <c r="P804" s="127"/>
      <c r="Q804" s="127"/>
      <c r="R804" s="127"/>
      <c r="S804" s="127"/>
      <c r="T804" s="127"/>
      <c r="U804" s="127"/>
    </row>
    <row r="805" ht="14.25" customHeight="1">
      <c r="C805" s="126"/>
      <c r="D805" s="126"/>
      <c r="F805" s="127"/>
      <c r="G805" s="127"/>
      <c r="H805" s="127"/>
      <c r="I805" s="127"/>
      <c r="J805" s="126"/>
      <c r="P805" s="127"/>
      <c r="Q805" s="127"/>
      <c r="R805" s="127"/>
      <c r="S805" s="127"/>
      <c r="T805" s="127"/>
      <c r="U805" s="127"/>
    </row>
    <row r="806" ht="14.25" customHeight="1">
      <c r="C806" s="126"/>
      <c r="D806" s="126"/>
      <c r="F806" s="127"/>
      <c r="G806" s="127"/>
      <c r="H806" s="127"/>
      <c r="I806" s="127"/>
      <c r="J806" s="126"/>
      <c r="P806" s="127"/>
      <c r="Q806" s="127"/>
      <c r="R806" s="127"/>
      <c r="S806" s="127"/>
      <c r="T806" s="127"/>
      <c r="U806" s="127"/>
    </row>
    <row r="807" ht="14.25" customHeight="1">
      <c r="C807" s="126"/>
      <c r="D807" s="126"/>
      <c r="F807" s="127"/>
      <c r="G807" s="127"/>
      <c r="H807" s="127"/>
      <c r="I807" s="127"/>
      <c r="J807" s="126"/>
      <c r="P807" s="127"/>
      <c r="Q807" s="127"/>
      <c r="R807" s="127"/>
      <c r="S807" s="127"/>
      <c r="T807" s="127"/>
      <c r="U807" s="127"/>
    </row>
    <row r="808" ht="14.25" customHeight="1">
      <c r="C808" s="126"/>
      <c r="D808" s="126"/>
      <c r="F808" s="127"/>
      <c r="G808" s="127"/>
      <c r="H808" s="127"/>
      <c r="I808" s="127"/>
      <c r="J808" s="126"/>
      <c r="P808" s="127"/>
      <c r="Q808" s="127"/>
      <c r="R808" s="127"/>
      <c r="S808" s="127"/>
      <c r="T808" s="127"/>
      <c r="U808" s="127"/>
    </row>
    <row r="809" ht="14.25" customHeight="1">
      <c r="C809" s="126"/>
      <c r="D809" s="126"/>
      <c r="F809" s="127"/>
      <c r="G809" s="127"/>
      <c r="H809" s="127"/>
      <c r="I809" s="127"/>
      <c r="J809" s="126"/>
      <c r="P809" s="127"/>
      <c r="Q809" s="127"/>
      <c r="R809" s="127"/>
      <c r="S809" s="127"/>
      <c r="T809" s="127"/>
      <c r="U809" s="127"/>
    </row>
    <row r="810" ht="14.25" customHeight="1">
      <c r="C810" s="126"/>
      <c r="D810" s="126"/>
      <c r="F810" s="127"/>
      <c r="G810" s="127"/>
      <c r="H810" s="127"/>
      <c r="I810" s="127"/>
      <c r="J810" s="126"/>
      <c r="P810" s="127"/>
      <c r="Q810" s="127"/>
      <c r="R810" s="127"/>
      <c r="S810" s="127"/>
      <c r="T810" s="127"/>
      <c r="U810" s="127"/>
    </row>
    <row r="811" ht="14.25" customHeight="1">
      <c r="C811" s="126"/>
      <c r="D811" s="126"/>
      <c r="F811" s="127"/>
      <c r="G811" s="127"/>
      <c r="H811" s="127"/>
      <c r="I811" s="127"/>
      <c r="J811" s="126"/>
      <c r="P811" s="127"/>
      <c r="Q811" s="127"/>
      <c r="R811" s="127"/>
      <c r="S811" s="127"/>
      <c r="T811" s="127"/>
      <c r="U811" s="127"/>
    </row>
    <row r="812" ht="14.25" customHeight="1">
      <c r="C812" s="126"/>
      <c r="D812" s="126"/>
      <c r="F812" s="127"/>
      <c r="G812" s="127"/>
      <c r="H812" s="127"/>
      <c r="I812" s="127"/>
      <c r="J812" s="126"/>
      <c r="P812" s="127"/>
      <c r="Q812" s="127"/>
      <c r="R812" s="127"/>
      <c r="S812" s="127"/>
      <c r="T812" s="127"/>
      <c r="U812" s="127"/>
    </row>
    <row r="813" ht="14.25" customHeight="1">
      <c r="C813" s="126"/>
      <c r="D813" s="126"/>
      <c r="F813" s="127"/>
      <c r="G813" s="127"/>
      <c r="H813" s="127"/>
      <c r="I813" s="127"/>
      <c r="J813" s="126"/>
      <c r="P813" s="127"/>
      <c r="Q813" s="127"/>
      <c r="R813" s="127"/>
      <c r="S813" s="127"/>
      <c r="T813" s="127"/>
      <c r="U813" s="127"/>
    </row>
    <row r="814" ht="14.25" customHeight="1">
      <c r="C814" s="126"/>
      <c r="D814" s="126"/>
      <c r="F814" s="127"/>
      <c r="G814" s="127"/>
      <c r="H814" s="127"/>
      <c r="I814" s="127"/>
      <c r="J814" s="126"/>
      <c r="P814" s="127"/>
      <c r="Q814" s="127"/>
      <c r="R814" s="127"/>
      <c r="S814" s="127"/>
      <c r="T814" s="127"/>
      <c r="U814" s="127"/>
    </row>
    <row r="815" ht="14.25" customHeight="1">
      <c r="C815" s="126"/>
      <c r="D815" s="126"/>
      <c r="F815" s="127"/>
      <c r="G815" s="127"/>
      <c r="H815" s="127"/>
      <c r="I815" s="127"/>
      <c r="J815" s="126"/>
      <c r="P815" s="127"/>
      <c r="Q815" s="127"/>
      <c r="R815" s="127"/>
      <c r="S815" s="127"/>
      <c r="T815" s="127"/>
      <c r="U815" s="127"/>
    </row>
    <row r="816" ht="14.25" customHeight="1">
      <c r="C816" s="126"/>
      <c r="D816" s="126"/>
      <c r="F816" s="127"/>
      <c r="G816" s="127"/>
      <c r="H816" s="127"/>
      <c r="I816" s="127"/>
      <c r="J816" s="126"/>
      <c r="P816" s="127"/>
      <c r="Q816" s="127"/>
      <c r="R816" s="127"/>
      <c r="S816" s="127"/>
      <c r="T816" s="127"/>
      <c r="U816" s="127"/>
    </row>
    <row r="817" ht="14.25" customHeight="1">
      <c r="C817" s="126"/>
      <c r="D817" s="126"/>
      <c r="F817" s="127"/>
      <c r="G817" s="127"/>
      <c r="H817" s="127"/>
      <c r="I817" s="127"/>
      <c r="J817" s="126"/>
      <c r="P817" s="127"/>
      <c r="Q817" s="127"/>
      <c r="R817" s="127"/>
      <c r="S817" s="127"/>
      <c r="T817" s="127"/>
      <c r="U817" s="127"/>
    </row>
    <row r="818" ht="14.25" customHeight="1">
      <c r="C818" s="126"/>
      <c r="D818" s="126"/>
      <c r="F818" s="127"/>
      <c r="G818" s="127"/>
      <c r="H818" s="127"/>
      <c r="I818" s="127"/>
      <c r="J818" s="126"/>
      <c r="P818" s="127"/>
      <c r="Q818" s="127"/>
      <c r="R818" s="127"/>
      <c r="S818" s="127"/>
      <c r="T818" s="127"/>
      <c r="U818" s="127"/>
    </row>
    <row r="819" ht="14.25" customHeight="1">
      <c r="C819" s="126"/>
      <c r="D819" s="126"/>
      <c r="F819" s="127"/>
      <c r="G819" s="127"/>
      <c r="H819" s="127"/>
      <c r="I819" s="127"/>
      <c r="J819" s="126"/>
      <c r="P819" s="127"/>
      <c r="Q819" s="127"/>
      <c r="R819" s="127"/>
      <c r="S819" s="127"/>
      <c r="T819" s="127"/>
      <c r="U819" s="127"/>
    </row>
    <row r="820" ht="14.25" customHeight="1">
      <c r="C820" s="126"/>
      <c r="D820" s="126"/>
      <c r="F820" s="127"/>
      <c r="G820" s="127"/>
      <c r="H820" s="127"/>
      <c r="I820" s="127"/>
      <c r="J820" s="126"/>
      <c r="P820" s="127"/>
      <c r="Q820" s="127"/>
      <c r="R820" s="127"/>
      <c r="S820" s="127"/>
      <c r="T820" s="127"/>
      <c r="U820" s="127"/>
    </row>
    <row r="821" ht="14.25" customHeight="1">
      <c r="C821" s="126"/>
      <c r="D821" s="126"/>
      <c r="F821" s="127"/>
      <c r="G821" s="127"/>
      <c r="H821" s="127"/>
      <c r="I821" s="127"/>
      <c r="J821" s="126"/>
      <c r="P821" s="127"/>
      <c r="Q821" s="127"/>
      <c r="R821" s="127"/>
      <c r="S821" s="127"/>
      <c r="T821" s="127"/>
      <c r="U821" s="127"/>
    </row>
    <row r="822" ht="14.25" customHeight="1">
      <c r="C822" s="126"/>
      <c r="D822" s="126"/>
      <c r="F822" s="127"/>
      <c r="G822" s="127"/>
      <c r="H822" s="127"/>
      <c r="I822" s="127"/>
      <c r="J822" s="126"/>
      <c r="P822" s="127"/>
      <c r="Q822" s="127"/>
      <c r="R822" s="127"/>
      <c r="S822" s="127"/>
      <c r="T822" s="127"/>
      <c r="U822" s="127"/>
    </row>
    <row r="823" ht="14.25" customHeight="1">
      <c r="C823" s="126"/>
      <c r="D823" s="126"/>
      <c r="F823" s="127"/>
      <c r="G823" s="127"/>
      <c r="H823" s="127"/>
      <c r="I823" s="127"/>
      <c r="J823" s="126"/>
      <c r="P823" s="127"/>
      <c r="Q823" s="127"/>
      <c r="R823" s="127"/>
      <c r="S823" s="127"/>
      <c r="T823" s="127"/>
      <c r="U823" s="127"/>
    </row>
    <row r="824" ht="14.25" customHeight="1">
      <c r="C824" s="126"/>
      <c r="D824" s="126"/>
      <c r="F824" s="127"/>
      <c r="G824" s="127"/>
      <c r="H824" s="127"/>
      <c r="I824" s="127"/>
      <c r="J824" s="126"/>
      <c r="P824" s="127"/>
      <c r="Q824" s="127"/>
      <c r="R824" s="127"/>
      <c r="S824" s="127"/>
      <c r="T824" s="127"/>
      <c r="U824" s="127"/>
    </row>
    <row r="825" ht="14.25" customHeight="1">
      <c r="C825" s="126"/>
      <c r="D825" s="126"/>
      <c r="F825" s="127"/>
      <c r="G825" s="127"/>
      <c r="H825" s="127"/>
      <c r="I825" s="127"/>
      <c r="J825" s="126"/>
      <c r="P825" s="127"/>
      <c r="Q825" s="127"/>
      <c r="R825" s="127"/>
      <c r="S825" s="127"/>
      <c r="T825" s="127"/>
      <c r="U825" s="127"/>
    </row>
    <row r="826" ht="14.25" customHeight="1">
      <c r="C826" s="126"/>
      <c r="D826" s="126"/>
      <c r="F826" s="127"/>
      <c r="G826" s="127"/>
      <c r="H826" s="127"/>
      <c r="I826" s="127"/>
      <c r="J826" s="126"/>
      <c r="P826" s="127"/>
      <c r="Q826" s="127"/>
      <c r="R826" s="127"/>
      <c r="S826" s="127"/>
      <c r="T826" s="127"/>
      <c r="U826" s="127"/>
    </row>
    <row r="827" ht="14.25" customHeight="1">
      <c r="C827" s="126"/>
      <c r="D827" s="126"/>
      <c r="F827" s="127"/>
      <c r="G827" s="127"/>
      <c r="H827" s="127"/>
      <c r="I827" s="127"/>
      <c r="J827" s="126"/>
      <c r="P827" s="127"/>
      <c r="Q827" s="127"/>
      <c r="R827" s="127"/>
      <c r="S827" s="127"/>
      <c r="T827" s="127"/>
      <c r="U827" s="127"/>
    </row>
    <row r="828" ht="14.25" customHeight="1">
      <c r="C828" s="126"/>
      <c r="D828" s="126"/>
      <c r="F828" s="127"/>
      <c r="G828" s="127"/>
      <c r="H828" s="127"/>
      <c r="I828" s="127"/>
      <c r="J828" s="126"/>
      <c r="P828" s="127"/>
      <c r="Q828" s="127"/>
      <c r="R828" s="127"/>
      <c r="S828" s="127"/>
      <c r="T828" s="127"/>
      <c r="U828" s="127"/>
    </row>
    <row r="829" ht="14.25" customHeight="1">
      <c r="C829" s="126"/>
      <c r="D829" s="126"/>
      <c r="F829" s="127"/>
      <c r="G829" s="127"/>
      <c r="H829" s="127"/>
      <c r="I829" s="127"/>
      <c r="J829" s="126"/>
      <c r="P829" s="127"/>
      <c r="Q829" s="127"/>
      <c r="R829" s="127"/>
      <c r="S829" s="127"/>
      <c r="T829" s="127"/>
      <c r="U829" s="127"/>
    </row>
    <row r="830" ht="14.25" customHeight="1">
      <c r="C830" s="126"/>
      <c r="D830" s="126"/>
      <c r="F830" s="127"/>
      <c r="G830" s="127"/>
      <c r="H830" s="127"/>
      <c r="I830" s="127"/>
      <c r="J830" s="126"/>
      <c r="P830" s="127"/>
      <c r="Q830" s="127"/>
      <c r="R830" s="127"/>
      <c r="S830" s="127"/>
      <c r="T830" s="127"/>
      <c r="U830" s="127"/>
    </row>
    <row r="831" ht="14.25" customHeight="1">
      <c r="C831" s="126"/>
      <c r="D831" s="126"/>
      <c r="F831" s="127"/>
      <c r="G831" s="127"/>
      <c r="H831" s="127"/>
      <c r="I831" s="127"/>
      <c r="J831" s="126"/>
      <c r="P831" s="127"/>
      <c r="Q831" s="127"/>
      <c r="R831" s="127"/>
      <c r="S831" s="127"/>
      <c r="T831" s="127"/>
      <c r="U831" s="127"/>
    </row>
    <row r="832" ht="14.25" customHeight="1">
      <c r="C832" s="126"/>
      <c r="D832" s="126"/>
      <c r="F832" s="127"/>
      <c r="G832" s="127"/>
      <c r="H832" s="127"/>
      <c r="I832" s="127"/>
      <c r="J832" s="126"/>
      <c r="P832" s="127"/>
      <c r="Q832" s="127"/>
      <c r="R832" s="127"/>
      <c r="S832" s="127"/>
      <c r="T832" s="127"/>
      <c r="U832" s="127"/>
    </row>
    <row r="833" ht="14.25" customHeight="1">
      <c r="C833" s="126"/>
      <c r="D833" s="126"/>
      <c r="F833" s="127"/>
      <c r="G833" s="127"/>
      <c r="H833" s="127"/>
      <c r="I833" s="127"/>
      <c r="J833" s="126"/>
      <c r="P833" s="127"/>
      <c r="Q833" s="127"/>
      <c r="R833" s="127"/>
      <c r="S833" s="127"/>
      <c r="T833" s="127"/>
      <c r="U833" s="127"/>
    </row>
    <row r="834" ht="14.25" customHeight="1">
      <c r="C834" s="126"/>
      <c r="D834" s="126"/>
      <c r="F834" s="127"/>
      <c r="G834" s="127"/>
      <c r="H834" s="127"/>
      <c r="I834" s="127"/>
      <c r="J834" s="126"/>
      <c r="P834" s="127"/>
      <c r="Q834" s="127"/>
      <c r="R834" s="127"/>
      <c r="S834" s="127"/>
      <c r="T834" s="127"/>
      <c r="U834" s="127"/>
    </row>
    <row r="835" ht="14.25" customHeight="1">
      <c r="C835" s="126"/>
      <c r="D835" s="126"/>
      <c r="F835" s="127"/>
      <c r="G835" s="127"/>
      <c r="H835" s="127"/>
      <c r="I835" s="127"/>
      <c r="J835" s="126"/>
      <c r="P835" s="127"/>
      <c r="Q835" s="127"/>
      <c r="R835" s="127"/>
      <c r="S835" s="127"/>
      <c r="T835" s="127"/>
      <c r="U835" s="127"/>
    </row>
    <row r="836" ht="14.25" customHeight="1">
      <c r="C836" s="126"/>
      <c r="D836" s="126"/>
      <c r="F836" s="127"/>
      <c r="G836" s="127"/>
      <c r="H836" s="127"/>
      <c r="I836" s="127"/>
      <c r="J836" s="126"/>
      <c r="P836" s="127"/>
      <c r="Q836" s="127"/>
      <c r="R836" s="127"/>
      <c r="S836" s="127"/>
      <c r="T836" s="127"/>
      <c r="U836" s="127"/>
    </row>
    <row r="837" ht="14.25" customHeight="1">
      <c r="C837" s="126"/>
      <c r="D837" s="126"/>
      <c r="F837" s="127"/>
      <c r="G837" s="127"/>
      <c r="H837" s="127"/>
      <c r="I837" s="127"/>
      <c r="J837" s="126"/>
      <c r="P837" s="127"/>
      <c r="Q837" s="127"/>
      <c r="R837" s="127"/>
      <c r="S837" s="127"/>
      <c r="T837" s="127"/>
      <c r="U837" s="127"/>
    </row>
    <row r="838" ht="14.25" customHeight="1">
      <c r="C838" s="126"/>
      <c r="D838" s="126"/>
      <c r="F838" s="127"/>
      <c r="G838" s="127"/>
      <c r="H838" s="127"/>
      <c r="I838" s="127"/>
      <c r="J838" s="126"/>
      <c r="P838" s="127"/>
      <c r="Q838" s="127"/>
      <c r="R838" s="127"/>
      <c r="S838" s="127"/>
      <c r="T838" s="127"/>
      <c r="U838" s="127"/>
    </row>
    <row r="839" ht="14.25" customHeight="1">
      <c r="C839" s="126"/>
      <c r="D839" s="126"/>
      <c r="F839" s="127"/>
      <c r="G839" s="127"/>
      <c r="H839" s="127"/>
      <c r="I839" s="127"/>
      <c r="J839" s="126"/>
      <c r="P839" s="127"/>
      <c r="Q839" s="127"/>
      <c r="R839" s="127"/>
      <c r="S839" s="127"/>
      <c r="T839" s="127"/>
      <c r="U839" s="127"/>
    </row>
    <row r="840" ht="14.25" customHeight="1">
      <c r="C840" s="126"/>
      <c r="D840" s="126"/>
      <c r="F840" s="127"/>
      <c r="G840" s="127"/>
      <c r="H840" s="127"/>
      <c r="I840" s="127"/>
      <c r="J840" s="126"/>
      <c r="P840" s="127"/>
      <c r="Q840" s="127"/>
      <c r="R840" s="127"/>
      <c r="S840" s="127"/>
      <c r="T840" s="127"/>
      <c r="U840" s="127"/>
    </row>
    <row r="841" ht="14.25" customHeight="1">
      <c r="C841" s="126"/>
      <c r="D841" s="126"/>
      <c r="F841" s="127"/>
      <c r="G841" s="127"/>
      <c r="H841" s="127"/>
      <c r="I841" s="127"/>
      <c r="J841" s="126"/>
      <c r="P841" s="127"/>
      <c r="Q841" s="127"/>
      <c r="R841" s="127"/>
      <c r="S841" s="127"/>
      <c r="T841" s="127"/>
      <c r="U841" s="127"/>
    </row>
    <row r="842" ht="14.25" customHeight="1">
      <c r="C842" s="126"/>
      <c r="D842" s="126"/>
      <c r="F842" s="127"/>
      <c r="G842" s="127"/>
      <c r="H842" s="127"/>
      <c r="I842" s="127"/>
      <c r="J842" s="126"/>
      <c r="P842" s="127"/>
      <c r="Q842" s="127"/>
      <c r="R842" s="127"/>
      <c r="S842" s="127"/>
      <c r="T842" s="127"/>
      <c r="U842" s="127"/>
    </row>
    <row r="843" ht="14.25" customHeight="1">
      <c r="C843" s="126"/>
      <c r="D843" s="126"/>
      <c r="F843" s="127"/>
      <c r="G843" s="127"/>
      <c r="H843" s="127"/>
      <c r="I843" s="127"/>
      <c r="J843" s="126"/>
      <c r="P843" s="127"/>
      <c r="Q843" s="127"/>
      <c r="R843" s="127"/>
      <c r="S843" s="127"/>
      <c r="T843" s="127"/>
      <c r="U843" s="127"/>
    </row>
    <row r="844" ht="14.25" customHeight="1">
      <c r="C844" s="126"/>
      <c r="D844" s="126"/>
      <c r="F844" s="127"/>
      <c r="G844" s="127"/>
      <c r="H844" s="127"/>
      <c r="I844" s="127"/>
      <c r="J844" s="126"/>
      <c r="P844" s="127"/>
      <c r="Q844" s="127"/>
      <c r="R844" s="127"/>
      <c r="S844" s="127"/>
      <c r="T844" s="127"/>
      <c r="U844" s="127"/>
    </row>
    <row r="845" ht="14.25" customHeight="1">
      <c r="C845" s="126"/>
      <c r="D845" s="126"/>
      <c r="F845" s="127"/>
      <c r="G845" s="127"/>
      <c r="H845" s="127"/>
      <c r="I845" s="127"/>
      <c r="J845" s="126"/>
      <c r="P845" s="127"/>
      <c r="Q845" s="127"/>
      <c r="R845" s="127"/>
      <c r="S845" s="127"/>
      <c r="T845" s="127"/>
      <c r="U845" s="127"/>
    </row>
    <row r="846" ht="14.25" customHeight="1">
      <c r="C846" s="126"/>
      <c r="D846" s="126"/>
      <c r="F846" s="127"/>
      <c r="G846" s="127"/>
      <c r="H846" s="127"/>
      <c r="I846" s="127"/>
      <c r="J846" s="126"/>
      <c r="P846" s="127"/>
      <c r="Q846" s="127"/>
      <c r="R846" s="127"/>
      <c r="S846" s="127"/>
      <c r="T846" s="127"/>
      <c r="U846" s="127"/>
    </row>
    <row r="847" ht="14.25" customHeight="1">
      <c r="C847" s="126"/>
      <c r="D847" s="126"/>
      <c r="F847" s="127"/>
      <c r="G847" s="127"/>
      <c r="H847" s="127"/>
      <c r="I847" s="127"/>
      <c r="J847" s="126"/>
      <c r="P847" s="127"/>
      <c r="Q847" s="127"/>
      <c r="R847" s="127"/>
      <c r="S847" s="127"/>
      <c r="T847" s="127"/>
      <c r="U847" s="127"/>
    </row>
    <row r="848" ht="14.25" customHeight="1">
      <c r="C848" s="126"/>
      <c r="D848" s="126"/>
      <c r="F848" s="127"/>
      <c r="G848" s="127"/>
      <c r="H848" s="127"/>
      <c r="I848" s="127"/>
      <c r="J848" s="126"/>
      <c r="P848" s="127"/>
      <c r="Q848" s="127"/>
      <c r="R848" s="127"/>
      <c r="S848" s="127"/>
      <c r="T848" s="127"/>
      <c r="U848" s="127"/>
    </row>
    <row r="849" ht="14.25" customHeight="1">
      <c r="C849" s="126"/>
      <c r="D849" s="126"/>
      <c r="F849" s="127"/>
      <c r="G849" s="127"/>
      <c r="H849" s="127"/>
      <c r="I849" s="127"/>
      <c r="J849" s="126"/>
      <c r="P849" s="127"/>
      <c r="Q849" s="127"/>
      <c r="R849" s="127"/>
      <c r="S849" s="127"/>
      <c r="T849" s="127"/>
      <c r="U849" s="127"/>
    </row>
    <row r="850" ht="14.25" customHeight="1">
      <c r="C850" s="126"/>
      <c r="D850" s="126"/>
      <c r="F850" s="127"/>
      <c r="G850" s="127"/>
      <c r="H850" s="127"/>
      <c r="I850" s="127"/>
      <c r="J850" s="126"/>
      <c r="P850" s="127"/>
      <c r="Q850" s="127"/>
      <c r="R850" s="127"/>
      <c r="S850" s="127"/>
      <c r="T850" s="127"/>
      <c r="U850" s="127"/>
    </row>
    <row r="851" ht="14.25" customHeight="1">
      <c r="C851" s="126"/>
      <c r="D851" s="126"/>
      <c r="F851" s="127"/>
      <c r="G851" s="127"/>
      <c r="H851" s="127"/>
      <c r="I851" s="127"/>
      <c r="J851" s="126"/>
      <c r="P851" s="127"/>
      <c r="Q851" s="127"/>
      <c r="R851" s="127"/>
      <c r="S851" s="127"/>
      <c r="T851" s="127"/>
      <c r="U851" s="127"/>
    </row>
    <row r="852" ht="14.25" customHeight="1">
      <c r="C852" s="126"/>
      <c r="D852" s="126"/>
      <c r="F852" s="127"/>
      <c r="G852" s="127"/>
      <c r="H852" s="127"/>
      <c r="I852" s="127"/>
      <c r="J852" s="126"/>
      <c r="P852" s="127"/>
      <c r="Q852" s="127"/>
      <c r="R852" s="127"/>
      <c r="S852" s="127"/>
      <c r="T852" s="127"/>
      <c r="U852" s="127"/>
    </row>
    <row r="853" ht="14.25" customHeight="1">
      <c r="C853" s="126"/>
      <c r="D853" s="126"/>
      <c r="F853" s="127"/>
      <c r="G853" s="127"/>
      <c r="H853" s="127"/>
      <c r="I853" s="127"/>
      <c r="J853" s="126"/>
      <c r="P853" s="127"/>
      <c r="Q853" s="127"/>
      <c r="R853" s="127"/>
      <c r="S853" s="127"/>
      <c r="T853" s="127"/>
      <c r="U853" s="127"/>
    </row>
    <row r="854" ht="14.25" customHeight="1">
      <c r="C854" s="126"/>
      <c r="D854" s="126"/>
      <c r="F854" s="127"/>
      <c r="G854" s="127"/>
      <c r="H854" s="127"/>
      <c r="I854" s="127"/>
      <c r="J854" s="126"/>
      <c r="P854" s="127"/>
      <c r="Q854" s="127"/>
      <c r="R854" s="127"/>
      <c r="S854" s="127"/>
      <c r="T854" s="127"/>
      <c r="U854" s="127"/>
    </row>
    <row r="855" ht="14.25" customHeight="1">
      <c r="C855" s="126"/>
      <c r="D855" s="126"/>
      <c r="F855" s="127"/>
      <c r="G855" s="127"/>
      <c r="H855" s="127"/>
      <c r="I855" s="127"/>
      <c r="J855" s="126"/>
      <c r="P855" s="127"/>
      <c r="Q855" s="127"/>
      <c r="R855" s="127"/>
      <c r="S855" s="127"/>
      <c r="T855" s="127"/>
      <c r="U855" s="127"/>
    </row>
    <row r="856" ht="14.25" customHeight="1">
      <c r="C856" s="126"/>
      <c r="D856" s="126"/>
      <c r="F856" s="127"/>
      <c r="G856" s="127"/>
      <c r="H856" s="127"/>
      <c r="I856" s="127"/>
      <c r="J856" s="126"/>
      <c r="P856" s="127"/>
      <c r="Q856" s="127"/>
      <c r="R856" s="127"/>
      <c r="S856" s="127"/>
      <c r="T856" s="127"/>
      <c r="U856" s="127"/>
    </row>
    <row r="857" ht="14.25" customHeight="1">
      <c r="C857" s="126"/>
      <c r="D857" s="126"/>
      <c r="F857" s="127"/>
      <c r="G857" s="127"/>
      <c r="H857" s="127"/>
      <c r="I857" s="127"/>
      <c r="J857" s="126"/>
      <c r="P857" s="127"/>
      <c r="Q857" s="127"/>
      <c r="R857" s="127"/>
      <c r="S857" s="127"/>
      <c r="T857" s="127"/>
      <c r="U857" s="127"/>
    </row>
    <row r="858" ht="14.25" customHeight="1">
      <c r="C858" s="126"/>
      <c r="D858" s="126"/>
      <c r="F858" s="127"/>
      <c r="G858" s="127"/>
      <c r="H858" s="127"/>
      <c r="I858" s="127"/>
      <c r="J858" s="126"/>
      <c r="P858" s="127"/>
      <c r="Q858" s="127"/>
      <c r="R858" s="127"/>
      <c r="S858" s="127"/>
      <c r="T858" s="127"/>
      <c r="U858" s="127"/>
    </row>
    <row r="859" ht="14.25" customHeight="1">
      <c r="C859" s="126"/>
      <c r="D859" s="126"/>
      <c r="F859" s="127"/>
      <c r="G859" s="127"/>
      <c r="H859" s="127"/>
      <c r="I859" s="127"/>
      <c r="J859" s="126"/>
      <c r="P859" s="127"/>
      <c r="Q859" s="127"/>
      <c r="R859" s="127"/>
      <c r="S859" s="127"/>
      <c r="T859" s="127"/>
      <c r="U859" s="127"/>
    </row>
    <row r="860" ht="14.25" customHeight="1">
      <c r="C860" s="126"/>
      <c r="D860" s="126"/>
      <c r="F860" s="127"/>
      <c r="G860" s="127"/>
      <c r="H860" s="127"/>
      <c r="I860" s="127"/>
      <c r="J860" s="126"/>
      <c r="P860" s="127"/>
      <c r="Q860" s="127"/>
      <c r="R860" s="127"/>
      <c r="S860" s="127"/>
      <c r="T860" s="127"/>
      <c r="U860" s="127"/>
    </row>
    <row r="861" ht="14.25" customHeight="1">
      <c r="C861" s="126"/>
      <c r="D861" s="126"/>
      <c r="F861" s="127"/>
      <c r="G861" s="127"/>
      <c r="H861" s="127"/>
      <c r="I861" s="127"/>
      <c r="J861" s="126"/>
      <c r="P861" s="127"/>
      <c r="Q861" s="127"/>
      <c r="R861" s="127"/>
      <c r="S861" s="127"/>
      <c r="T861" s="127"/>
      <c r="U861" s="127"/>
    </row>
    <row r="862" ht="14.25" customHeight="1">
      <c r="C862" s="126"/>
      <c r="D862" s="126"/>
      <c r="F862" s="127"/>
      <c r="G862" s="127"/>
      <c r="H862" s="127"/>
      <c r="I862" s="127"/>
      <c r="J862" s="126"/>
      <c r="P862" s="127"/>
      <c r="Q862" s="127"/>
      <c r="R862" s="127"/>
      <c r="S862" s="127"/>
      <c r="T862" s="127"/>
      <c r="U862" s="127"/>
    </row>
    <row r="863" ht="14.25" customHeight="1">
      <c r="C863" s="126"/>
      <c r="D863" s="126"/>
      <c r="F863" s="127"/>
      <c r="G863" s="127"/>
      <c r="H863" s="127"/>
      <c r="I863" s="127"/>
      <c r="J863" s="126"/>
      <c r="P863" s="127"/>
      <c r="Q863" s="127"/>
      <c r="R863" s="127"/>
      <c r="S863" s="127"/>
      <c r="T863" s="127"/>
      <c r="U863" s="127"/>
    </row>
    <row r="864" ht="14.25" customHeight="1">
      <c r="C864" s="126"/>
      <c r="D864" s="126"/>
      <c r="F864" s="127"/>
      <c r="G864" s="127"/>
      <c r="H864" s="127"/>
      <c r="I864" s="127"/>
      <c r="J864" s="126"/>
      <c r="P864" s="127"/>
      <c r="Q864" s="127"/>
      <c r="R864" s="127"/>
      <c r="S864" s="127"/>
      <c r="T864" s="127"/>
      <c r="U864" s="127"/>
    </row>
    <row r="865" ht="14.25" customHeight="1">
      <c r="C865" s="126"/>
      <c r="D865" s="126"/>
      <c r="F865" s="127"/>
      <c r="G865" s="127"/>
      <c r="H865" s="127"/>
      <c r="I865" s="127"/>
      <c r="J865" s="126"/>
      <c r="P865" s="127"/>
      <c r="Q865" s="127"/>
      <c r="R865" s="127"/>
      <c r="S865" s="127"/>
      <c r="T865" s="127"/>
      <c r="U865" s="127"/>
    </row>
    <row r="866" ht="14.25" customHeight="1">
      <c r="C866" s="126"/>
      <c r="D866" s="126"/>
      <c r="F866" s="127"/>
      <c r="G866" s="127"/>
      <c r="H866" s="127"/>
      <c r="I866" s="127"/>
      <c r="J866" s="126"/>
      <c r="P866" s="127"/>
      <c r="Q866" s="127"/>
      <c r="R866" s="127"/>
      <c r="S866" s="127"/>
      <c r="T866" s="127"/>
      <c r="U866" s="127"/>
    </row>
    <row r="867" ht="14.25" customHeight="1">
      <c r="C867" s="126"/>
      <c r="D867" s="126"/>
      <c r="F867" s="127"/>
      <c r="G867" s="127"/>
      <c r="H867" s="127"/>
      <c r="I867" s="127"/>
      <c r="J867" s="126"/>
      <c r="P867" s="127"/>
      <c r="Q867" s="127"/>
      <c r="R867" s="127"/>
      <c r="S867" s="127"/>
      <c r="T867" s="127"/>
      <c r="U867" s="127"/>
    </row>
    <row r="868" ht="14.25" customHeight="1">
      <c r="C868" s="126"/>
      <c r="D868" s="126"/>
      <c r="F868" s="127"/>
      <c r="G868" s="127"/>
      <c r="H868" s="127"/>
      <c r="I868" s="127"/>
      <c r="J868" s="126"/>
      <c r="P868" s="127"/>
      <c r="Q868" s="127"/>
      <c r="R868" s="127"/>
      <c r="S868" s="127"/>
      <c r="T868" s="127"/>
      <c r="U868" s="127"/>
    </row>
    <row r="869" ht="14.25" customHeight="1">
      <c r="C869" s="126"/>
      <c r="D869" s="126"/>
      <c r="F869" s="127"/>
      <c r="G869" s="127"/>
      <c r="H869" s="127"/>
      <c r="I869" s="127"/>
      <c r="J869" s="126"/>
      <c r="P869" s="127"/>
      <c r="Q869" s="127"/>
      <c r="R869" s="127"/>
      <c r="S869" s="127"/>
      <c r="T869" s="127"/>
      <c r="U869" s="127"/>
    </row>
    <row r="870" ht="14.25" customHeight="1">
      <c r="C870" s="126"/>
      <c r="D870" s="126"/>
      <c r="F870" s="127"/>
      <c r="G870" s="127"/>
      <c r="H870" s="127"/>
      <c r="I870" s="127"/>
      <c r="J870" s="126"/>
      <c r="P870" s="127"/>
      <c r="Q870" s="127"/>
      <c r="R870" s="127"/>
      <c r="S870" s="127"/>
      <c r="T870" s="127"/>
      <c r="U870" s="127"/>
    </row>
    <row r="871" ht="14.25" customHeight="1">
      <c r="C871" s="126"/>
      <c r="D871" s="126"/>
      <c r="F871" s="127"/>
      <c r="G871" s="127"/>
      <c r="H871" s="127"/>
      <c r="I871" s="127"/>
      <c r="J871" s="126"/>
      <c r="P871" s="127"/>
      <c r="Q871" s="127"/>
      <c r="R871" s="127"/>
      <c r="S871" s="127"/>
      <c r="T871" s="127"/>
      <c r="U871" s="127"/>
    </row>
    <row r="872" ht="14.25" customHeight="1">
      <c r="C872" s="126"/>
      <c r="D872" s="126"/>
      <c r="F872" s="127"/>
      <c r="G872" s="127"/>
      <c r="H872" s="127"/>
      <c r="I872" s="127"/>
      <c r="J872" s="126"/>
      <c r="P872" s="127"/>
      <c r="Q872" s="127"/>
      <c r="R872" s="127"/>
      <c r="S872" s="127"/>
      <c r="T872" s="127"/>
      <c r="U872" s="127"/>
    </row>
    <row r="873" ht="14.25" customHeight="1">
      <c r="C873" s="126"/>
      <c r="D873" s="126"/>
      <c r="F873" s="127"/>
      <c r="G873" s="127"/>
      <c r="H873" s="127"/>
      <c r="I873" s="127"/>
      <c r="J873" s="126"/>
      <c r="P873" s="127"/>
      <c r="Q873" s="127"/>
      <c r="R873" s="127"/>
      <c r="S873" s="127"/>
      <c r="T873" s="127"/>
      <c r="U873" s="127"/>
    </row>
    <row r="874" ht="14.25" customHeight="1">
      <c r="C874" s="126"/>
      <c r="D874" s="126"/>
      <c r="F874" s="127"/>
      <c r="G874" s="127"/>
      <c r="H874" s="127"/>
      <c r="I874" s="127"/>
      <c r="J874" s="126"/>
      <c r="P874" s="127"/>
      <c r="Q874" s="127"/>
      <c r="R874" s="127"/>
      <c r="S874" s="127"/>
      <c r="T874" s="127"/>
      <c r="U874" s="127"/>
    </row>
    <row r="875" ht="14.25" customHeight="1">
      <c r="C875" s="126"/>
      <c r="D875" s="126"/>
      <c r="F875" s="127"/>
      <c r="G875" s="127"/>
      <c r="H875" s="127"/>
      <c r="I875" s="127"/>
      <c r="J875" s="126"/>
      <c r="P875" s="127"/>
      <c r="Q875" s="127"/>
      <c r="R875" s="127"/>
      <c r="S875" s="127"/>
      <c r="T875" s="127"/>
      <c r="U875" s="127"/>
    </row>
    <row r="876" ht="14.25" customHeight="1">
      <c r="C876" s="126"/>
      <c r="D876" s="126"/>
      <c r="F876" s="127"/>
      <c r="G876" s="127"/>
      <c r="H876" s="127"/>
      <c r="I876" s="127"/>
      <c r="J876" s="126"/>
      <c r="P876" s="127"/>
      <c r="Q876" s="127"/>
      <c r="R876" s="127"/>
      <c r="S876" s="127"/>
      <c r="T876" s="127"/>
      <c r="U876" s="127"/>
    </row>
    <row r="877" ht="14.25" customHeight="1">
      <c r="C877" s="126"/>
      <c r="D877" s="126"/>
      <c r="F877" s="127"/>
      <c r="G877" s="127"/>
      <c r="H877" s="127"/>
      <c r="I877" s="127"/>
      <c r="J877" s="126"/>
      <c r="P877" s="127"/>
      <c r="Q877" s="127"/>
      <c r="R877" s="127"/>
      <c r="S877" s="127"/>
      <c r="T877" s="127"/>
      <c r="U877" s="127"/>
    </row>
    <row r="878" ht="14.25" customHeight="1">
      <c r="C878" s="126"/>
      <c r="D878" s="126"/>
      <c r="F878" s="127"/>
      <c r="G878" s="127"/>
      <c r="H878" s="127"/>
      <c r="I878" s="127"/>
      <c r="J878" s="126"/>
      <c r="P878" s="127"/>
      <c r="Q878" s="127"/>
      <c r="R878" s="127"/>
      <c r="S878" s="127"/>
      <c r="T878" s="127"/>
      <c r="U878" s="127"/>
    </row>
    <row r="879" ht="14.25" customHeight="1">
      <c r="C879" s="126"/>
      <c r="D879" s="126"/>
      <c r="F879" s="127"/>
      <c r="G879" s="127"/>
      <c r="H879" s="127"/>
      <c r="I879" s="127"/>
      <c r="J879" s="126"/>
      <c r="P879" s="127"/>
      <c r="Q879" s="127"/>
      <c r="R879" s="127"/>
      <c r="S879" s="127"/>
      <c r="T879" s="127"/>
      <c r="U879" s="127"/>
    </row>
    <row r="880" ht="14.25" customHeight="1">
      <c r="C880" s="126"/>
      <c r="D880" s="126"/>
      <c r="F880" s="127"/>
      <c r="G880" s="127"/>
      <c r="H880" s="127"/>
      <c r="I880" s="127"/>
      <c r="J880" s="126"/>
      <c r="P880" s="127"/>
      <c r="Q880" s="127"/>
      <c r="R880" s="127"/>
      <c r="S880" s="127"/>
      <c r="T880" s="127"/>
      <c r="U880" s="127"/>
    </row>
    <row r="881" ht="14.25" customHeight="1">
      <c r="C881" s="126"/>
      <c r="D881" s="126"/>
      <c r="F881" s="127"/>
      <c r="G881" s="127"/>
      <c r="H881" s="127"/>
      <c r="I881" s="127"/>
      <c r="J881" s="126"/>
      <c r="P881" s="127"/>
      <c r="Q881" s="127"/>
      <c r="R881" s="127"/>
      <c r="S881" s="127"/>
      <c r="T881" s="127"/>
      <c r="U881" s="127"/>
    </row>
    <row r="882" ht="14.25" customHeight="1">
      <c r="C882" s="126"/>
      <c r="D882" s="126"/>
      <c r="F882" s="127"/>
      <c r="G882" s="127"/>
      <c r="H882" s="127"/>
      <c r="I882" s="127"/>
      <c r="J882" s="126"/>
      <c r="P882" s="127"/>
      <c r="Q882" s="127"/>
      <c r="R882" s="127"/>
      <c r="S882" s="127"/>
      <c r="T882" s="127"/>
      <c r="U882" s="127"/>
    </row>
    <row r="883" ht="14.25" customHeight="1">
      <c r="C883" s="126"/>
      <c r="D883" s="126"/>
      <c r="F883" s="127"/>
      <c r="G883" s="127"/>
      <c r="H883" s="127"/>
      <c r="I883" s="127"/>
      <c r="J883" s="126"/>
      <c r="P883" s="127"/>
      <c r="Q883" s="127"/>
      <c r="R883" s="127"/>
      <c r="S883" s="127"/>
      <c r="T883" s="127"/>
      <c r="U883" s="127"/>
    </row>
    <row r="884" ht="14.25" customHeight="1">
      <c r="C884" s="126"/>
      <c r="D884" s="126"/>
      <c r="F884" s="127"/>
      <c r="G884" s="127"/>
      <c r="H884" s="127"/>
      <c r="I884" s="127"/>
      <c r="J884" s="126"/>
      <c r="P884" s="127"/>
      <c r="Q884" s="127"/>
      <c r="R884" s="127"/>
      <c r="S884" s="127"/>
      <c r="T884" s="127"/>
      <c r="U884" s="127"/>
    </row>
    <row r="885" ht="14.25" customHeight="1">
      <c r="C885" s="126"/>
      <c r="D885" s="126"/>
      <c r="F885" s="127"/>
      <c r="G885" s="127"/>
      <c r="H885" s="127"/>
      <c r="I885" s="127"/>
      <c r="J885" s="126"/>
      <c r="P885" s="127"/>
      <c r="Q885" s="127"/>
      <c r="R885" s="127"/>
      <c r="S885" s="127"/>
      <c r="T885" s="127"/>
      <c r="U885" s="127"/>
    </row>
    <row r="886" ht="14.25" customHeight="1">
      <c r="C886" s="126"/>
      <c r="D886" s="126"/>
      <c r="F886" s="127"/>
      <c r="G886" s="127"/>
      <c r="H886" s="127"/>
      <c r="I886" s="127"/>
      <c r="J886" s="126"/>
      <c r="P886" s="127"/>
      <c r="Q886" s="127"/>
      <c r="R886" s="127"/>
      <c r="S886" s="127"/>
      <c r="T886" s="127"/>
      <c r="U886" s="127"/>
    </row>
    <row r="887" ht="14.25" customHeight="1">
      <c r="C887" s="126"/>
      <c r="D887" s="126"/>
      <c r="F887" s="127"/>
      <c r="G887" s="127"/>
      <c r="H887" s="127"/>
      <c r="I887" s="127"/>
      <c r="J887" s="126"/>
      <c r="P887" s="127"/>
      <c r="Q887" s="127"/>
      <c r="R887" s="127"/>
      <c r="S887" s="127"/>
      <c r="T887" s="127"/>
      <c r="U887" s="127"/>
    </row>
    <row r="888" ht="14.25" customHeight="1">
      <c r="C888" s="126"/>
      <c r="D888" s="126"/>
      <c r="F888" s="127"/>
      <c r="G888" s="127"/>
      <c r="H888" s="127"/>
      <c r="I888" s="127"/>
      <c r="J888" s="126"/>
      <c r="P888" s="127"/>
      <c r="Q888" s="127"/>
      <c r="R888" s="127"/>
      <c r="S888" s="127"/>
      <c r="T888" s="127"/>
      <c r="U888" s="127"/>
    </row>
    <row r="889" ht="14.25" customHeight="1">
      <c r="C889" s="126"/>
      <c r="D889" s="126"/>
      <c r="F889" s="127"/>
      <c r="G889" s="127"/>
      <c r="H889" s="127"/>
      <c r="I889" s="127"/>
      <c r="J889" s="126"/>
      <c r="P889" s="127"/>
      <c r="Q889" s="127"/>
      <c r="R889" s="127"/>
      <c r="S889" s="127"/>
      <c r="T889" s="127"/>
      <c r="U889" s="127"/>
    </row>
    <row r="890" ht="14.25" customHeight="1">
      <c r="C890" s="126"/>
      <c r="D890" s="126"/>
      <c r="F890" s="127"/>
      <c r="G890" s="127"/>
      <c r="H890" s="127"/>
      <c r="I890" s="127"/>
      <c r="J890" s="126"/>
      <c r="P890" s="127"/>
      <c r="Q890" s="127"/>
      <c r="R890" s="127"/>
      <c r="S890" s="127"/>
      <c r="T890" s="127"/>
      <c r="U890" s="127"/>
    </row>
    <row r="891" ht="14.25" customHeight="1">
      <c r="C891" s="126"/>
      <c r="D891" s="126"/>
      <c r="F891" s="127"/>
      <c r="G891" s="127"/>
      <c r="H891" s="127"/>
      <c r="I891" s="127"/>
      <c r="J891" s="126"/>
      <c r="P891" s="127"/>
      <c r="Q891" s="127"/>
      <c r="R891" s="127"/>
      <c r="S891" s="127"/>
      <c r="T891" s="127"/>
      <c r="U891" s="127"/>
    </row>
    <row r="892" ht="14.25" customHeight="1">
      <c r="C892" s="126"/>
      <c r="D892" s="126"/>
      <c r="F892" s="127"/>
      <c r="G892" s="127"/>
      <c r="H892" s="127"/>
      <c r="I892" s="127"/>
      <c r="J892" s="126"/>
      <c r="P892" s="127"/>
      <c r="Q892" s="127"/>
      <c r="R892" s="127"/>
      <c r="S892" s="127"/>
      <c r="T892" s="127"/>
      <c r="U892" s="127"/>
    </row>
    <row r="893" ht="14.25" customHeight="1">
      <c r="C893" s="126"/>
      <c r="D893" s="126"/>
      <c r="F893" s="127"/>
      <c r="G893" s="127"/>
      <c r="H893" s="127"/>
      <c r="I893" s="127"/>
      <c r="J893" s="126"/>
      <c r="P893" s="127"/>
      <c r="Q893" s="127"/>
      <c r="R893" s="127"/>
      <c r="S893" s="127"/>
      <c r="T893" s="127"/>
      <c r="U893" s="127"/>
    </row>
    <row r="894" ht="14.25" customHeight="1">
      <c r="C894" s="126"/>
      <c r="D894" s="126"/>
      <c r="F894" s="127"/>
      <c r="G894" s="127"/>
      <c r="H894" s="127"/>
      <c r="I894" s="127"/>
      <c r="J894" s="126"/>
      <c r="P894" s="127"/>
      <c r="Q894" s="127"/>
      <c r="R894" s="127"/>
      <c r="S894" s="127"/>
      <c r="T894" s="127"/>
      <c r="U894" s="127"/>
    </row>
    <row r="895" ht="14.25" customHeight="1">
      <c r="C895" s="126"/>
      <c r="D895" s="126"/>
      <c r="F895" s="127"/>
      <c r="G895" s="127"/>
      <c r="H895" s="127"/>
      <c r="I895" s="127"/>
      <c r="J895" s="126"/>
      <c r="P895" s="127"/>
      <c r="Q895" s="127"/>
      <c r="R895" s="127"/>
      <c r="S895" s="127"/>
      <c r="T895" s="127"/>
      <c r="U895" s="127"/>
    </row>
    <row r="896" ht="14.25" customHeight="1">
      <c r="C896" s="126"/>
      <c r="D896" s="126"/>
      <c r="F896" s="127"/>
      <c r="G896" s="127"/>
      <c r="H896" s="127"/>
      <c r="I896" s="127"/>
      <c r="J896" s="126"/>
      <c r="P896" s="127"/>
      <c r="Q896" s="127"/>
      <c r="R896" s="127"/>
      <c r="S896" s="127"/>
      <c r="T896" s="127"/>
      <c r="U896" s="127"/>
    </row>
    <row r="897" ht="14.25" customHeight="1">
      <c r="C897" s="126"/>
      <c r="D897" s="126"/>
      <c r="F897" s="127"/>
      <c r="G897" s="127"/>
      <c r="H897" s="127"/>
      <c r="I897" s="127"/>
      <c r="J897" s="126"/>
      <c r="P897" s="127"/>
      <c r="Q897" s="127"/>
      <c r="R897" s="127"/>
      <c r="S897" s="127"/>
      <c r="T897" s="127"/>
      <c r="U897" s="127"/>
    </row>
    <row r="898" ht="14.25" customHeight="1">
      <c r="C898" s="126"/>
      <c r="D898" s="126"/>
      <c r="F898" s="127"/>
      <c r="G898" s="127"/>
      <c r="H898" s="127"/>
      <c r="I898" s="127"/>
      <c r="J898" s="126"/>
      <c r="P898" s="127"/>
      <c r="Q898" s="127"/>
      <c r="R898" s="127"/>
      <c r="S898" s="127"/>
      <c r="T898" s="127"/>
      <c r="U898" s="127"/>
    </row>
    <row r="899" ht="14.25" customHeight="1">
      <c r="C899" s="126"/>
      <c r="D899" s="126"/>
      <c r="F899" s="127"/>
      <c r="G899" s="127"/>
      <c r="H899" s="127"/>
      <c r="I899" s="127"/>
      <c r="J899" s="126"/>
      <c r="P899" s="127"/>
      <c r="Q899" s="127"/>
      <c r="R899" s="127"/>
      <c r="S899" s="127"/>
      <c r="T899" s="127"/>
      <c r="U899" s="127"/>
    </row>
    <row r="900" ht="14.25" customHeight="1">
      <c r="C900" s="126"/>
      <c r="D900" s="126"/>
      <c r="F900" s="127"/>
      <c r="G900" s="127"/>
      <c r="H900" s="127"/>
      <c r="I900" s="127"/>
      <c r="J900" s="126"/>
      <c r="P900" s="127"/>
      <c r="Q900" s="127"/>
      <c r="R900" s="127"/>
      <c r="S900" s="127"/>
      <c r="T900" s="127"/>
      <c r="U900" s="127"/>
    </row>
    <row r="901" ht="14.25" customHeight="1">
      <c r="C901" s="126"/>
      <c r="D901" s="126"/>
      <c r="F901" s="127"/>
      <c r="G901" s="127"/>
      <c r="H901" s="127"/>
      <c r="I901" s="127"/>
      <c r="J901" s="126"/>
      <c r="P901" s="127"/>
      <c r="Q901" s="127"/>
      <c r="R901" s="127"/>
      <c r="S901" s="127"/>
      <c r="T901" s="127"/>
      <c r="U901" s="127"/>
    </row>
    <row r="902" ht="14.25" customHeight="1">
      <c r="C902" s="126"/>
      <c r="D902" s="126"/>
      <c r="F902" s="127"/>
      <c r="G902" s="127"/>
      <c r="H902" s="127"/>
      <c r="I902" s="127"/>
      <c r="J902" s="126"/>
      <c r="P902" s="127"/>
      <c r="Q902" s="127"/>
      <c r="R902" s="127"/>
      <c r="S902" s="127"/>
      <c r="T902" s="127"/>
      <c r="U902" s="127"/>
    </row>
    <row r="903" ht="14.25" customHeight="1">
      <c r="C903" s="126"/>
      <c r="D903" s="126"/>
      <c r="F903" s="127"/>
      <c r="G903" s="127"/>
      <c r="H903" s="127"/>
      <c r="I903" s="127"/>
      <c r="J903" s="126"/>
      <c r="P903" s="127"/>
      <c r="Q903" s="127"/>
      <c r="R903" s="127"/>
      <c r="S903" s="127"/>
      <c r="T903" s="127"/>
      <c r="U903" s="127"/>
    </row>
    <row r="904" ht="14.25" customHeight="1">
      <c r="C904" s="126"/>
      <c r="D904" s="126"/>
      <c r="F904" s="127"/>
      <c r="G904" s="127"/>
      <c r="H904" s="127"/>
      <c r="I904" s="127"/>
      <c r="J904" s="126"/>
      <c r="P904" s="127"/>
      <c r="Q904" s="127"/>
      <c r="R904" s="127"/>
      <c r="S904" s="127"/>
      <c r="T904" s="127"/>
      <c r="U904" s="127"/>
    </row>
    <row r="905" ht="14.25" customHeight="1">
      <c r="C905" s="126"/>
      <c r="D905" s="126"/>
      <c r="F905" s="127"/>
      <c r="G905" s="127"/>
      <c r="H905" s="127"/>
      <c r="I905" s="127"/>
      <c r="J905" s="126"/>
      <c r="P905" s="127"/>
      <c r="Q905" s="127"/>
      <c r="R905" s="127"/>
      <c r="S905" s="127"/>
      <c r="T905" s="127"/>
      <c r="U905" s="127"/>
    </row>
    <row r="906" ht="14.25" customHeight="1">
      <c r="C906" s="126"/>
      <c r="D906" s="126"/>
      <c r="F906" s="127"/>
      <c r="G906" s="127"/>
      <c r="H906" s="127"/>
      <c r="I906" s="127"/>
      <c r="J906" s="126"/>
      <c r="P906" s="127"/>
      <c r="Q906" s="127"/>
      <c r="R906" s="127"/>
      <c r="S906" s="127"/>
      <c r="T906" s="127"/>
      <c r="U906" s="127"/>
    </row>
    <row r="907" ht="14.25" customHeight="1">
      <c r="C907" s="126"/>
      <c r="D907" s="126"/>
      <c r="F907" s="127"/>
      <c r="G907" s="127"/>
      <c r="H907" s="127"/>
      <c r="I907" s="127"/>
      <c r="J907" s="126"/>
      <c r="P907" s="127"/>
      <c r="Q907" s="127"/>
      <c r="R907" s="127"/>
      <c r="S907" s="127"/>
      <c r="T907" s="127"/>
      <c r="U907" s="127"/>
    </row>
    <row r="908" ht="14.25" customHeight="1">
      <c r="C908" s="126"/>
      <c r="D908" s="126"/>
      <c r="F908" s="127"/>
      <c r="G908" s="127"/>
      <c r="H908" s="127"/>
      <c r="I908" s="127"/>
      <c r="J908" s="126"/>
      <c r="P908" s="127"/>
      <c r="Q908" s="127"/>
      <c r="R908" s="127"/>
      <c r="S908" s="127"/>
      <c r="T908" s="127"/>
      <c r="U908" s="127"/>
    </row>
    <row r="909" ht="14.25" customHeight="1">
      <c r="C909" s="126"/>
      <c r="D909" s="126"/>
      <c r="F909" s="127"/>
      <c r="G909" s="127"/>
      <c r="H909" s="127"/>
      <c r="I909" s="127"/>
      <c r="J909" s="126"/>
      <c r="P909" s="127"/>
      <c r="Q909" s="127"/>
      <c r="R909" s="127"/>
      <c r="S909" s="127"/>
      <c r="T909" s="127"/>
      <c r="U909" s="127"/>
    </row>
    <row r="910" ht="14.25" customHeight="1">
      <c r="C910" s="126"/>
      <c r="D910" s="126"/>
      <c r="F910" s="127"/>
      <c r="G910" s="127"/>
      <c r="H910" s="127"/>
      <c r="I910" s="127"/>
      <c r="J910" s="126"/>
      <c r="P910" s="127"/>
      <c r="Q910" s="127"/>
      <c r="R910" s="127"/>
      <c r="S910" s="127"/>
      <c r="T910" s="127"/>
      <c r="U910" s="127"/>
    </row>
    <row r="911" ht="14.25" customHeight="1">
      <c r="C911" s="126"/>
      <c r="D911" s="126"/>
      <c r="F911" s="127"/>
      <c r="G911" s="127"/>
      <c r="H911" s="127"/>
      <c r="I911" s="127"/>
      <c r="J911" s="126"/>
      <c r="P911" s="127"/>
      <c r="Q911" s="127"/>
      <c r="R911" s="127"/>
      <c r="S911" s="127"/>
      <c r="T911" s="127"/>
      <c r="U911" s="127"/>
    </row>
    <row r="912" ht="14.25" customHeight="1">
      <c r="C912" s="126"/>
      <c r="D912" s="126"/>
      <c r="F912" s="127"/>
      <c r="G912" s="127"/>
      <c r="H912" s="127"/>
      <c r="I912" s="127"/>
      <c r="J912" s="126"/>
      <c r="P912" s="127"/>
      <c r="Q912" s="127"/>
      <c r="R912" s="127"/>
      <c r="S912" s="127"/>
      <c r="T912" s="127"/>
      <c r="U912" s="127"/>
    </row>
    <row r="913" ht="14.25" customHeight="1">
      <c r="C913" s="126"/>
      <c r="D913" s="126"/>
      <c r="F913" s="127"/>
      <c r="G913" s="127"/>
      <c r="H913" s="127"/>
      <c r="I913" s="127"/>
      <c r="J913" s="126"/>
      <c r="P913" s="127"/>
      <c r="Q913" s="127"/>
      <c r="R913" s="127"/>
      <c r="S913" s="127"/>
      <c r="T913" s="127"/>
      <c r="U913" s="127"/>
    </row>
    <row r="914" ht="14.25" customHeight="1">
      <c r="C914" s="126"/>
      <c r="D914" s="126"/>
      <c r="F914" s="127"/>
      <c r="G914" s="127"/>
      <c r="H914" s="127"/>
      <c r="I914" s="127"/>
      <c r="J914" s="126"/>
      <c r="P914" s="127"/>
      <c r="Q914" s="127"/>
      <c r="R914" s="127"/>
      <c r="S914" s="127"/>
      <c r="T914" s="127"/>
      <c r="U914" s="127"/>
    </row>
    <row r="915" ht="14.25" customHeight="1">
      <c r="C915" s="126"/>
      <c r="D915" s="126"/>
      <c r="F915" s="127"/>
      <c r="G915" s="127"/>
      <c r="H915" s="127"/>
      <c r="I915" s="127"/>
      <c r="J915" s="126"/>
      <c r="P915" s="127"/>
      <c r="Q915" s="127"/>
      <c r="R915" s="127"/>
      <c r="S915" s="127"/>
      <c r="T915" s="127"/>
      <c r="U915" s="127"/>
    </row>
    <row r="916" ht="14.25" customHeight="1">
      <c r="C916" s="126"/>
      <c r="D916" s="126"/>
      <c r="F916" s="127"/>
      <c r="G916" s="127"/>
      <c r="H916" s="127"/>
      <c r="I916" s="127"/>
      <c r="J916" s="126"/>
      <c r="P916" s="127"/>
      <c r="Q916" s="127"/>
      <c r="R916" s="127"/>
      <c r="S916" s="127"/>
      <c r="T916" s="127"/>
      <c r="U916" s="127"/>
    </row>
    <row r="917" ht="14.25" customHeight="1">
      <c r="C917" s="126"/>
      <c r="D917" s="126"/>
      <c r="F917" s="127"/>
      <c r="G917" s="127"/>
      <c r="H917" s="127"/>
      <c r="I917" s="127"/>
      <c r="J917" s="126"/>
      <c r="P917" s="127"/>
      <c r="Q917" s="127"/>
      <c r="R917" s="127"/>
      <c r="S917" s="127"/>
      <c r="T917" s="127"/>
      <c r="U917" s="127"/>
    </row>
    <row r="918" ht="14.25" customHeight="1">
      <c r="C918" s="126"/>
      <c r="D918" s="126"/>
      <c r="F918" s="127"/>
      <c r="G918" s="127"/>
      <c r="H918" s="127"/>
      <c r="I918" s="127"/>
      <c r="J918" s="126"/>
      <c r="P918" s="127"/>
      <c r="Q918" s="127"/>
      <c r="R918" s="127"/>
      <c r="S918" s="127"/>
      <c r="T918" s="127"/>
      <c r="U918" s="127"/>
    </row>
    <row r="919" ht="14.25" customHeight="1">
      <c r="C919" s="126"/>
      <c r="D919" s="126"/>
      <c r="F919" s="127"/>
      <c r="G919" s="127"/>
      <c r="H919" s="127"/>
      <c r="I919" s="127"/>
      <c r="J919" s="126"/>
      <c r="P919" s="127"/>
      <c r="Q919" s="127"/>
      <c r="R919" s="127"/>
      <c r="S919" s="127"/>
      <c r="T919" s="127"/>
      <c r="U919" s="127"/>
    </row>
    <row r="920" ht="14.25" customHeight="1">
      <c r="C920" s="126"/>
      <c r="D920" s="126"/>
      <c r="F920" s="127"/>
      <c r="G920" s="127"/>
      <c r="H920" s="127"/>
      <c r="I920" s="127"/>
      <c r="J920" s="126"/>
      <c r="P920" s="127"/>
      <c r="Q920" s="127"/>
      <c r="R920" s="127"/>
      <c r="S920" s="127"/>
      <c r="T920" s="127"/>
      <c r="U920" s="127"/>
    </row>
    <row r="921" ht="14.25" customHeight="1">
      <c r="C921" s="126"/>
      <c r="D921" s="126"/>
      <c r="F921" s="127"/>
      <c r="G921" s="127"/>
      <c r="H921" s="127"/>
      <c r="I921" s="127"/>
      <c r="J921" s="126"/>
      <c r="P921" s="127"/>
      <c r="Q921" s="127"/>
      <c r="R921" s="127"/>
      <c r="S921" s="127"/>
      <c r="T921" s="127"/>
      <c r="U921" s="127"/>
    </row>
    <row r="922" ht="14.25" customHeight="1">
      <c r="C922" s="126"/>
      <c r="D922" s="126"/>
      <c r="F922" s="127"/>
      <c r="G922" s="127"/>
      <c r="H922" s="127"/>
      <c r="I922" s="127"/>
      <c r="J922" s="126"/>
      <c r="P922" s="127"/>
      <c r="Q922" s="127"/>
      <c r="R922" s="127"/>
      <c r="S922" s="127"/>
      <c r="T922" s="127"/>
      <c r="U922" s="127"/>
    </row>
    <row r="923" ht="14.25" customHeight="1">
      <c r="C923" s="126"/>
      <c r="D923" s="126"/>
      <c r="F923" s="127"/>
      <c r="G923" s="127"/>
      <c r="H923" s="127"/>
      <c r="I923" s="127"/>
      <c r="J923" s="126"/>
      <c r="P923" s="127"/>
      <c r="Q923" s="127"/>
      <c r="R923" s="127"/>
      <c r="S923" s="127"/>
      <c r="T923" s="127"/>
      <c r="U923" s="127"/>
    </row>
    <row r="924" ht="14.25" customHeight="1">
      <c r="C924" s="126"/>
      <c r="D924" s="126"/>
      <c r="F924" s="127"/>
      <c r="G924" s="127"/>
      <c r="H924" s="127"/>
      <c r="I924" s="127"/>
      <c r="J924" s="126"/>
      <c r="P924" s="127"/>
      <c r="Q924" s="127"/>
      <c r="R924" s="127"/>
      <c r="S924" s="127"/>
      <c r="T924" s="127"/>
      <c r="U924" s="127"/>
    </row>
    <row r="925" ht="14.25" customHeight="1">
      <c r="C925" s="126"/>
      <c r="D925" s="126"/>
      <c r="F925" s="127"/>
      <c r="G925" s="127"/>
      <c r="H925" s="127"/>
      <c r="I925" s="127"/>
      <c r="J925" s="126"/>
      <c r="P925" s="127"/>
      <c r="Q925" s="127"/>
      <c r="R925" s="127"/>
      <c r="S925" s="127"/>
      <c r="T925" s="127"/>
      <c r="U925" s="127"/>
    </row>
    <row r="926" ht="14.25" customHeight="1">
      <c r="C926" s="126"/>
      <c r="D926" s="126"/>
      <c r="F926" s="127"/>
      <c r="G926" s="127"/>
      <c r="H926" s="127"/>
      <c r="I926" s="127"/>
      <c r="J926" s="126"/>
      <c r="P926" s="127"/>
      <c r="Q926" s="127"/>
      <c r="R926" s="127"/>
      <c r="S926" s="127"/>
      <c r="T926" s="127"/>
      <c r="U926" s="127"/>
    </row>
    <row r="927" ht="14.25" customHeight="1">
      <c r="C927" s="126"/>
      <c r="D927" s="126"/>
      <c r="F927" s="127"/>
      <c r="G927" s="127"/>
      <c r="H927" s="127"/>
      <c r="I927" s="127"/>
      <c r="J927" s="126"/>
      <c r="P927" s="127"/>
      <c r="Q927" s="127"/>
      <c r="R927" s="127"/>
      <c r="S927" s="127"/>
      <c r="T927" s="127"/>
      <c r="U927" s="127"/>
    </row>
    <row r="928" ht="14.25" customHeight="1">
      <c r="C928" s="126"/>
      <c r="D928" s="126"/>
      <c r="F928" s="127"/>
      <c r="G928" s="127"/>
      <c r="H928" s="127"/>
      <c r="I928" s="127"/>
      <c r="J928" s="126"/>
      <c r="P928" s="127"/>
      <c r="Q928" s="127"/>
      <c r="R928" s="127"/>
      <c r="S928" s="127"/>
      <c r="T928" s="127"/>
      <c r="U928" s="127"/>
    </row>
    <row r="929" ht="14.25" customHeight="1">
      <c r="C929" s="126"/>
      <c r="D929" s="126"/>
      <c r="F929" s="127"/>
      <c r="G929" s="127"/>
      <c r="H929" s="127"/>
      <c r="I929" s="127"/>
      <c r="J929" s="126"/>
      <c r="P929" s="127"/>
      <c r="Q929" s="127"/>
      <c r="R929" s="127"/>
      <c r="S929" s="127"/>
      <c r="T929" s="127"/>
      <c r="U929" s="127"/>
    </row>
    <row r="930" ht="14.25" customHeight="1">
      <c r="C930" s="126"/>
      <c r="D930" s="126"/>
      <c r="F930" s="127"/>
      <c r="G930" s="127"/>
      <c r="H930" s="127"/>
      <c r="I930" s="127"/>
      <c r="J930" s="126"/>
      <c r="P930" s="127"/>
      <c r="Q930" s="127"/>
      <c r="R930" s="127"/>
      <c r="S930" s="127"/>
      <c r="T930" s="127"/>
      <c r="U930" s="127"/>
    </row>
    <row r="931" ht="14.25" customHeight="1">
      <c r="C931" s="126"/>
      <c r="D931" s="126"/>
      <c r="F931" s="127"/>
      <c r="G931" s="127"/>
      <c r="H931" s="127"/>
      <c r="I931" s="127"/>
      <c r="J931" s="126"/>
      <c r="P931" s="127"/>
      <c r="Q931" s="127"/>
      <c r="R931" s="127"/>
      <c r="S931" s="127"/>
      <c r="T931" s="127"/>
      <c r="U931" s="127"/>
    </row>
    <row r="932" ht="14.25" customHeight="1">
      <c r="C932" s="126"/>
      <c r="D932" s="126"/>
      <c r="F932" s="127"/>
      <c r="G932" s="127"/>
      <c r="H932" s="127"/>
      <c r="I932" s="127"/>
      <c r="J932" s="126"/>
      <c r="P932" s="127"/>
      <c r="Q932" s="127"/>
      <c r="R932" s="127"/>
      <c r="S932" s="127"/>
      <c r="T932" s="127"/>
      <c r="U932" s="127"/>
    </row>
    <row r="933" ht="14.25" customHeight="1">
      <c r="C933" s="126"/>
      <c r="D933" s="126"/>
      <c r="F933" s="127"/>
      <c r="G933" s="127"/>
      <c r="H933" s="127"/>
      <c r="I933" s="127"/>
      <c r="J933" s="126"/>
      <c r="P933" s="127"/>
      <c r="Q933" s="127"/>
      <c r="R933" s="127"/>
      <c r="S933" s="127"/>
      <c r="T933" s="127"/>
      <c r="U933" s="127"/>
    </row>
    <row r="934" ht="14.25" customHeight="1">
      <c r="C934" s="126"/>
      <c r="D934" s="126"/>
      <c r="F934" s="127"/>
      <c r="G934" s="127"/>
      <c r="H934" s="127"/>
      <c r="I934" s="127"/>
      <c r="J934" s="126"/>
      <c r="P934" s="127"/>
      <c r="Q934" s="127"/>
      <c r="R934" s="127"/>
      <c r="S934" s="127"/>
      <c r="T934" s="127"/>
      <c r="U934" s="127"/>
    </row>
    <row r="935" ht="14.25" customHeight="1">
      <c r="C935" s="126"/>
      <c r="D935" s="126"/>
      <c r="F935" s="127"/>
      <c r="G935" s="127"/>
      <c r="H935" s="127"/>
      <c r="I935" s="127"/>
      <c r="J935" s="126"/>
      <c r="P935" s="127"/>
      <c r="Q935" s="127"/>
      <c r="R935" s="127"/>
      <c r="S935" s="127"/>
      <c r="T935" s="127"/>
      <c r="U935" s="127"/>
    </row>
    <row r="936" ht="14.25" customHeight="1">
      <c r="C936" s="126"/>
      <c r="D936" s="126"/>
      <c r="F936" s="127"/>
      <c r="G936" s="127"/>
      <c r="H936" s="127"/>
      <c r="I936" s="127"/>
      <c r="J936" s="126"/>
      <c r="P936" s="127"/>
      <c r="Q936" s="127"/>
      <c r="R936" s="127"/>
      <c r="S936" s="127"/>
      <c r="T936" s="127"/>
      <c r="U936" s="127"/>
    </row>
    <row r="937" ht="14.25" customHeight="1">
      <c r="C937" s="126"/>
      <c r="D937" s="126"/>
      <c r="F937" s="127"/>
      <c r="G937" s="127"/>
      <c r="H937" s="127"/>
      <c r="I937" s="127"/>
      <c r="J937" s="126"/>
      <c r="P937" s="127"/>
      <c r="Q937" s="127"/>
      <c r="R937" s="127"/>
      <c r="S937" s="127"/>
      <c r="T937" s="127"/>
      <c r="U937" s="127"/>
    </row>
    <row r="938" ht="14.25" customHeight="1">
      <c r="C938" s="126"/>
      <c r="D938" s="126"/>
      <c r="F938" s="127"/>
      <c r="G938" s="127"/>
      <c r="H938" s="127"/>
      <c r="I938" s="127"/>
      <c r="J938" s="126"/>
      <c r="P938" s="127"/>
      <c r="Q938" s="127"/>
      <c r="R938" s="127"/>
      <c r="S938" s="127"/>
      <c r="T938" s="127"/>
      <c r="U938" s="127"/>
    </row>
    <row r="939" ht="14.25" customHeight="1">
      <c r="C939" s="126"/>
      <c r="D939" s="126"/>
      <c r="F939" s="127"/>
      <c r="G939" s="127"/>
      <c r="H939" s="127"/>
      <c r="I939" s="127"/>
      <c r="J939" s="126"/>
      <c r="P939" s="127"/>
      <c r="Q939" s="127"/>
      <c r="R939" s="127"/>
      <c r="S939" s="127"/>
      <c r="T939" s="127"/>
      <c r="U939" s="127"/>
    </row>
    <row r="940" ht="14.25" customHeight="1">
      <c r="C940" s="126"/>
      <c r="D940" s="126"/>
      <c r="F940" s="127"/>
      <c r="G940" s="127"/>
      <c r="H940" s="127"/>
      <c r="I940" s="127"/>
      <c r="J940" s="126"/>
      <c r="P940" s="127"/>
      <c r="Q940" s="127"/>
      <c r="R940" s="127"/>
      <c r="S940" s="127"/>
      <c r="T940" s="127"/>
      <c r="U940" s="127"/>
    </row>
    <row r="941" ht="14.25" customHeight="1">
      <c r="C941" s="126"/>
      <c r="D941" s="126"/>
      <c r="F941" s="127"/>
      <c r="G941" s="127"/>
      <c r="H941" s="127"/>
      <c r="I941" s="127"/>
      <c r="J941" s="126"/>
      <c r="P941" s="127"/>
      <c r="Q941" s="127"/>
      <c r="R941" s="127"/>
      <c r="S941" s="127"/>
      <c r="T941" s="127"/>
      <c r="U941" s="127"/>
    </row>
    <row r="942" ht="14.25" customHeight="1">
      <c r="C942" s="126"/>
      <c r="D942" s="126"/>
      <c r="F942" s="127"/>
      <c r="G942" s="127"/>
      <c r="H942" s="127"/>
      <c r="I942" s="127"/>
      <c r="J942" s="126"/>
      <c r="P942" s="127"/>
      <c r="Q942" s="127"/>
      <c r="R942" s="127"/>
      <c r="S942" s="127"/>
      <c r="T942" s="127"/>
      <c r="U942" s="127"/>
    </row>
    <row r="943" ht="14.25" customHeight="1">
      <c r="C943" s="126"/>
      <c r="D943" s="126"/>
      <c r="F943" s="127"/>
      <c r="G943" s="127"/>
      <c r="H943" s="127"/>
      <c r="I943" s="127"/>
      <c r="J943" s="126"/>
      <c r="P943" s="127"/>
      <c r="Q943" s="127"/>
      <c r="R943" s="127"/>
      <c r="S943" s="127"/>
      <c r="T943" s="127"/>
      <c r="U943" s="127"/>
    </row>
    <row r="944" ht="14.25" customHeight="1">
      <c r="C944" s="126"/>
      <c r="D944" s="126"/>
      <c r="F944" s="127"/>
      <c r="G944" s="127"/>
      <c r="H944" s="127"/>
      <c r="I944" s="127"/>
      <c r="J944" s="126"/>
      <c r="P944" s="127"/>
      <c r="Q944" s="127"/>
      <c r="R944" s="127"/>
      <c r="S944" s="127"/>
      <c r="T944" s="127"/>
      <c r="U944" s="127"/>
    </row>
    <row r="945" ht="14.25" customHeight="1">
      <c r="C945" s="126"/>
      <c r="D945" s="126"/>
      <c r="F945" s="127"/>
      <c r="G945" s="127"/>
      <c r="H945" s="127"/>
      <c r="I945" s="127"/>
      <c r="J945" s="126"/>
      <c r="P945" s="127"/>
      <c r="Q945" s="127"/>
      <c r="R945" s="127"/>
      <c r="S945" s="127"/>
      <c r="T945" s="127"/>
      <c r="U945" s="127"/>
    </row>
    <row r="946" ht="14.25" customHeight="1">
      <c r="C946" s="126"/>
      <c r="D946" s="126"/>
      <c r="F946" s="127"/>
      <c r="G946" s="127"/>
      <c r="H946" s="127"/>
      <c r="I946" s="127"/>
      <c r="J946" s="126"/>
      <c r="P946" s="127"/>
      <c r="Q946" s="127"/>
      <c r="R946" s="127"/>
      <c r="S946" s="127"/>
      <c r="T946" s="127"/>
      <c r="U946" s="127"/>
    </row>
    <row r="947" ht="14.25" customHeight="1">
      <c r="C947" s="126"/>
      <c r="D947" s="126"/>
      <c r="F947" s="127"/>
      <c r="G947" s="127"/>
      <c r="H947" s="127"/>
      <c r="I947" s="127"/>
      <c r="J947" s="126"/>
      <c r="P947" s="127"/>
      <c r="Q947" s="127"/>
      <c r="R947" s="127"/>
      <c r="S947" s="127"/>
      <c r="T947" s="127"/>
      <c r="U947" s="127"/>
    </row>
    <row r="948" ht="14.25" customHeight="1">
      <c r="C948" s="126"/>
      <c r="D948" s="126"/>
      <c r="F948" s="127"/>
      <c r="G948" s="127"/>
      <c r="H948" s="127"/>
      <c r="I948" s="127"/>
      <c r="J948" s="126"/>
      <c r="P948" s="127"/>
      <c r="Q948" s="127"/>
      <c r="R948" s="127"/>
      <c r="S948" s="127"/>
      <c r="T948" s="127"/>
      <c r="U948" s="127"/>
    </row>
    <row r="949" ht="14.25" customHeight="1">
      <c r="C949" s="126"/>
      <c r="D949" s="126"/>
      <c r="F949" s="127"/>
      <c r="G949" s="127"/>
      <c r="H949" s="127"/>
      <c r="I949" s="127"/>
      <c r="J949" s="126"/>
      <c r="P949" s="127"/>
      <c r="Q949" s="127"/>
      <c r="R949" s="127"/>
      <c r="S949" s="127"/>
      <c r="T949" s="127"/>
      <c r="U949" s="127"/>
    </row>
    <row r="950" ht="14.25" customHeight="1">
      <c r="C950" s="126"/>
      <c r="D950" s="126"/>
      <c r="F950" s="127"/>
      <c r="G950" s="127"/>
      <c r="H950" s="127"/>
      <c r="I950" s="127"/>
      <c r="J950" s="126"/>
      <c r="P950" s="127"/>
      <c r="Q950" s="127"/>
      <c r="R950" s="127"/>
      <c r="S950" s="127"/>
      <c r="T950" s="127"/>
      <c r="U950" s="127"/>
    </row>
    <row r="951" ht="14.25" customHeight="1">
      <c r="C951" s="126"/>
      <c r="D951" s="126"/>
      <c r="F951" s="127"/>
      <c r="G951" s="127"/>
      <c r="H951" s="127"/>
      <c r="I951" s="127"/>
      <c r="J951" s="126"/>
      <c r="P951" s="127"/>
      <c r="Q951" s="127"/>
      <c r="R951" s="127"/>
      <c r="S951" s="127"/>
      <c r="T951" s="127"/>
      <c r="U951" s="127"/>
    </row>
    <row r="952" ht="14.25" customHeight="1">
      <c r="C952" s="126"/>
      <c r="D952" s="126"/>
      <c r="F952" s="127"/>
      <c r="G952" s="127"/>
      <c r="H952" s="127"/>
      <c r="I952" s="127"/>
      <c r="J952" s="126"/>
      <c r="P952" s="127"/>
      <c r="Q952" s="127"/>
      <c r="R952" s="127"/>
      <c r="S952" s="127"/>
      <c r="T952" s="127"/>
      <c r="U952" s="127"/>
    </row>
    <row r="953" ht="14.25" customHeight="1">
      <c r="C953" s="126"/>
      <c r="D953" s="126"/>
      <c r="F953" s="127"/>
      <c r="G953" s="127"/>
      <c r="H953" s="127"/>
      <c r="I953" s="127"/>
      <c r="J953" s="126"/>
      <c r="P953" s="127"/>
      <c r="Q953" s="127"/>
      <c r="R953" s="127"/>
      <c r="S953" s="127"/>
      <c r="T953" s="127"/>
      <c r="U953" s="127"/>
    </row>
    <row r="954" ht="14.25" customHeight="1">
      <c r="C954" s="126"/>
      <c r="D954" s="126"/>
      <c r="F954" s="127"/>
      <c r="G954" s="127"/>
      <c r="H954" s="127"/>
      <c r="I954" s="127"/>
      <c r="J954" s="126"/>
      <c r="P954" s="127"/>
      <c r="Q954" s="127"/>
      <c r="R954" s="127"/>
      <c r="S954" s="127"/>
      <c r="T954" s="127"/>
      <c r="U954" s="127"/>
    </row>
    <row r="955" ht="14.25" customHeight="1">
      <c r="C955" s="126"/>
      <c r="D955" s="126"/>
      <c r="F955" s="127"/>
      <c r="G955" s="127"/>
      <c r="H955" s="127"/>
      <c r="I955" s="127"/>
      <c r="J955" s="126"/>
      <c r="P955" s="127"/>
      <c r="Q955" s="127"/>
      <c r="R955" s="127"/>
      <c r="S955" s="127"/>
      <c r="T955" s="127"/>
      <c r="U955" s="127"/>
    </row>
    <row r="956" ht="14.25" customHeight="1">
      <c r="C956" s="126"/>
      <c r="D956" s="126"/>
      <c r="F956" s="127"/>
      <c r="G956" s="127"/>
      <c r="H956" s="127"/>
      <c r="I956" s="127"/>
      <c r="J956" s="126"/>
      <c r="P956" s="127"/>
      <c r="Q956" s="127"/>
      <c r="R956" s="127"/>
      <c r="S956" s="127"/>
      <c r="T956" s="127"/>
      <c r="U956" s="127"/>
    </row>
    <row r="957" ht="14.25" customHeight="1">
      <c r="C957" s="126"/>
      <c r="D957" s="126"/>
      <c r="F957" s="127"/>
      <c r="G957" s="127"/>
      <c r="H957" s="127"/>
      <c r="I957" s="127"/>
      <c r="J957" s="126"/>
      <c r="P957" s="127"/>
      <c r="Q957" s="127"/>
      <c r="R957" s="127"/>
      <c r="S957" s="127"/>
      <c r="T957" s="127"/>
      <c r="U957" s="127"/>
    </row>
    <row r="958" ht="14.25" customHeight="1">
      <c r="C958" s="126"/>
      <c r="D958" s="126"/>
      <c r="F958" s="127"/>
      <c r="G958" s="127"/>
      <c r="H958" s="127"/>
      <c r="I958" s="127"/>
      <c r="J958" s="126"/>
      <c r="P958" s="127"/>
      <c r="Q958" s="127"/>
      <c r="R958" s="127"/>
      <c r="S958" s="127"/>
      <c r="T958" s="127"/>
      <c r="U958" s="127"/>
    </row>
    <row r="959" ht="14.25" customHeight="1">
      <c r="C959" s="126"/>
      <c r="D959" s="126"/>
      <c r="F959" s="127"/>
      <c r="G959" s="127"/>
      <c r="H959" s="127"/>
      <c r="I959" s="127"/>
      <c r="J959" s="126"/>
      <c r="P959" s="127"/>
      <c r="Q959" s="127"/>
      <c r="R959" s="127"/>
      <c r="S959" s="127"/>
      <c r="T959" s="127"/>
      <c r="U959" s="127"/>
    </row>
    <row r="960" ht="14.25" customHeight="1">
      <c r="C960" s="126"/>
      <c r="D960" s="126"/>
      <c r="F960" s="127"/>
      <c r="G960" s="127"/>
      <c r="H960" s="127"/>
      <c r="I960" s="127"/>
      <c r="J960" s="126"/>
      <c r="P960" s="127"/>
      <c r="Q960" s="127"/>
      <c r="R960" s="127"/>
      <c r="S960" s="127"/>
      <c r="T960" s="127"/>
      <c r="U960" s="127"/>
    </row>
    <row r="961" ht="14.25" customHeight="1">
      <c r="C961" s="126"/>
      <c r="D961" s="126"/>
      <c r="F961" s="127"/>
      <c r="G961" s="127"/>
      <c r="H961" s="127"/>
      <c r="I961" s="127"/>
      <c r="J961" s="126"/>
      <c r="P961" s="127"/>
      <c r="Q961" s="127"/>
      <c r="R961" s="127"/>
      <c r="S961" s="127"/>
      <c r="T961" s="127"/>
      <c r="U961" s="127"/>
    </row>
    <row r="962" ht="14.25" customHeight="1">
      <c r="C962" s="126"/>
      <c r="D962" s="126"/>
      <c r="F962" s="127"/>
      <c r="G962" s="127"/>
      <c r="H962" s="127"/>
      <c r="I962" s="127"/>
      <c r="J962" s="126"/>
      <c r="P962" s="127"/>
      <c r="Q962" s="127"/>
      <c r="R962" s="127"/>
      <c r="S962" s="127"/>
      <c r="T962" s="127"/>
      <c r="U962" s="127"/>
    </row>
    <row r="963" ht="14.25" customHeight="1">
      <c r="C963" s="126"/>
      <c r="D963" s="126"/>
      <c r="F963" s="127"/>
      <c r="G963" s="127"/>
      <c r="H963" s="127"/>
      <c r="I963" s="127"/>
      <c r="J963" s="126"/>
      <c r="P963" s="127"/>
      <c r="Q963" s="127"/>
      <c r="R963" s="127"/>
      <c r="S963" s="127"/>
      <c r="T963" s="127"/>
      <c r="U963" s="127"/>
    </row>
    <row r="964" ht="14.25" customHeight="1">
      <c r="C964" s="126"/>
      <c r="D964" s="126"/>
      <c r="F964" s="127"/>
      <c r="G964" s="127"/>
      <c r="H964" s="127"/>
      <c r="I964" s="127"/>
      <c r="J964" s="126"/>
      <c r="P964" s="127"/>
      <c r="Q964" s="127"/>
      <c r="R964" s="127"/>
      <c r="S964" s="127"/>
      <c r="T964" s="127"/>
      <c r="U964" s="127"/>
    </row>
    <row r="965" ht="14.25" customHeight="1">
      <c r="C965" s="126"/>
      <c r="D965" s="126"/>
      <c r="F965" s="127"/>
      <c r="G965" s="127"/>
      <c r="H965" s="127"/>
      <c r="I965" s="127"/>
      <c r="J965" s="126"/>
      <c r="P965" s="127"/>
      <c r="Q965" s="127"/>
      <c r="R965" s="127"/>
      <c r="S965" s="127"/>
      <c r="T965" s="127"/>
      <c r="U965" s="127"/>
    </row>
    <row r="966" ht="14.25" customHeight="1">
      <c r="C966" s="126"/>
      <c r="D966" s="126"/>
      <c r="F966" s="127"/>
      <c r="G966" s="127"/>
      <c r="H966" s="127"/>
      <c r="I966" s="127"/>
      <c r="J966" s="126"/>
      <c r="P966" s="127"/>
      <c r="Q966" s="127"/>
      <c r="R966" s="127"/>
      <c r="S966" s="127"/>
      <c r="T966" s="127"/>
      <c r="U966" s="127"/>
    </row>
    <row r="967" ht="14.25" customHeight="1">
      <c r="C967" s="126"/>
      <c r="D967" s="126"/>
      <c r="F967" s="127"/>
      <c r="G967" s="127"/>
      <c r="H967" s="127"/>
      <c r="I967" s="127"/>
      <c r="J967" s="126"/>
      <c r="P967" s="127"/>
      <c r="Q967" s="127"/>
      <c r="R967" s="127"/>
      <c r="S967" s="127"/>
      <c r="T967" s="127"/>
      <c r="U967" s="127"/>
    </row>
    <row r="968" ht="14.25" customHeight="1">
      <c r="C968" s="126"/>
      <c r="D968" s="126"/>
      <c r="F968" s="127"/>
      <c r="G968" s="127"/>
      <c r="H968" s="127"/>
      <c r="I968" s="127"/>
      <c r="J968" s="126"/>
      <c r="P968" s="127"/>
      <c r="Q968" s="127"/>
      <c r="R968" s="127"/>
      <c r="S968" s="127"/>
      <c r="T968" s="127"/>
      <c r="U968" s="127"/>
    </row>
    <row r="969" ht="14.25" customHeight="1">
      <c r="C969" s="126"/>
      <c r="D969" s="126"/>
      <c r="F969" s="127"/>
      <c r="G969" s="127"/>
      <c r="H969" s="127"/>
      <c r="I969" s="127"/>
      <c r="J969" s="126"/>
      <c r="P969" s="127"/>
      <c r="Q969" s="127"/>
      <c r="R969" s="127"/>
      <c r="S969" s="127"/>
      <c r="T969" s="127"/>
      <c r="U969" s="127"/>
    </row>
    <row r="970" ht="14.25" customHeight="1">
      <c r="C970" s="126"/>
      <c r="D970" s="126"/>
      <c r="F970" s="127"/>
      <c r="G970" s="127"/>
      <c r="H970" s="127"/>
      <c r="I970" s="127"/>
      <c r="J970" s="126"/>
      <c r="P970" s="127"/>
      <c r="Q970" s="127"/>
      <c r="R970" s="127"/>
      <c r="S970" s="127"/>
      <c r="T970" s="127"/>
      <c r="U970" s="127"/>
    </row>
    <row r="971" ht="14.25" customHeight="1">
      <c r="C971" s="126"/>
      <c r="D971" s="126"/>
      <c r="F971" s="127"/>
      <c r="G971" s="127"/>
      <c r="H971" s="127"/>
      <c r="I971" s="127"/>
      <c r="J971" s="126"/>
      <c r="P971" s="127"/>
      <c r="Q971" s="127"/>
      <c r="R971" s="127"/>
      <c r="S971" s="127"/>
      <c r="T971" s="127"/>
      <c r="U971" s="127"/>
    </row>
    <row r="972" ht="14.25" customHeight="1">
      <c r="C972" s="126"/>
      <c r="D972" s="126"/>
      <c r="F972" s="127"/>
      <c r="G972" s="127"/>
      <c r="H972" s="127"/>
      <c r="I972" s="127"/>
      <c r="J972" s="126"/>
      <c r="P972" s="127"/>
      <c r="Q972" s="127"/>
      <c r="R972" s="127"/>
      <c r="S972" s="127"/>
      <c r="T972" s="127"/>
      <c r="U972" s="127"/>
    </row>
    <row r="973" ht="14.25" customHeight="1">
      <c r="C973" s="126"/>
      <c r="D973" s="126"/>
      <c r="F973" s="127"/>
      <c r="G973" s="127"/>
      <c r="H973" s="127"/>
      <c r="I973" s="127"/>
      <c r="J973" s="126"/>
      <c r="P973" s="127"/>
      <c r="Q973" s="127"/>
      <c r="R973" s="127"/>
      <c r="S973" s="127"/>
      <c r="T973" s="127"/>
      <c r="U973" s="127"/>
    </row>
    <row r="974" ht="14.25" customHeight="1">
      <c r="C974" s="126"/>
      <c r="D974" s="126"/>
      <c r="F974" s="127"/>
      <c r="G974" s="127"/>
      <c r="H974" s="127"/>
      <c r="I974" s="127"/>
      <c r="J974" s="126"/>
      <c r="P974" s="127"/>
      <c r="Q974" s="127"/>
      <c r="R974" s="127"/>
      <c r="S974" s="127"/>
      <c r="T974" s="127"/>
      <c r="U974" s="127"/>
    </row>
    <row r="975" ht="14.25" customHeight="1">
      <c r="C975" s="126"/>
      <c r="D975" s="126"/>
      <c r="F975" s="127"/>
      <c r="G975" s="127"/>
      <c r="H975" s="127"/>
      <c r="I975" s="127"/>
      <c r="J975" s="126"/>
      <c r="P975" s="127"/>
      <c r="Q975" s="127"/>
      <c r="R975" s="127"/>
      <c r="S975" s="127"/>
      <c r="T975" s="127"/>
      <c r="U975" s="127"/>
    </row>
    <row r="976" ht="14.25" customHeight="1">
      <c r="C976" s="126"/>
      <c r="D976" s="126"/>
      <c r="F976" s="127"/>
      <c r="G976" s="127"/>
      <c r="H976" s="127"/>
      <c r="I976" s="127"/>
      <c r="J976" s="126"/>
      <c r="P976" s="127"/>
      <c r="Q976" s="127"/>
      <c r="R976" s="127"/>
      <c r="S976" s="127"/>
      <c r="T976" s="127"/>
      <c r="U976" s="127"/>
    </row>
    <row r="977" ht="14.25" customHeight="1">
      <c r="C977" s="126"/>
      <c r="D977" s="126"/>
      <c r="F977" s="127"/>
      <c r="G977" s="127"/>
      <c r="H977" s="127"/>
      <c r="I977" s="127"/>
      <c r="J977" s="126"/>
      <c r="P977" s="127"/>
      <c r="Q977" s="127"/>
      <c r="R977" s="127"/>
      <c r="S977" s="127"/>
      <c r="T977" s="127"/>
      <c r="U977" s="127"/>
    </row>
    <row r="978" ht="14.25" customHeight="1">
      <c r="C978" s="126"/>
      <c r="D978" s="126"/>
      <c r="F978" s="127"/>
      <c r="G978" s="127"/>
      <c r="H978" s="127"/>
      <c r="I978" s="127"/>
      <c r="J978" s="126"/>
      <c r="P978" s="127"/>
      <c r="Q978" s="127"/>
      <c r="R978" s="127"/>
      <c r="S978" s="127"/>
      <c r="T978" s="127"/>
      <c r="U978" s="127"/>
    </row>
    <row r="979" ht="14.25" customHeight="1">
      <c r="C979" s="126"/>
      <c r="D979" s="126"/>
      <c r="F979" s="127"/>
      <c r="G979" s="127"/>
      <c r="H979" s="127"/>
      <c r="I979" s="127"/>
      <c r="J979" s="126"/>
      <c r="P979" s="127"/>
      <c r="Q979" s="127"/>
      <c r="R979" s="127"/>
      <c r="S979" s="127"/>
      <c r="T979" s="127"/>
      <c r="U979" s="127"/>
    </row>
    <row r="980" ht="14.25" customHeight="1">
      <c r="C980" s="126"/>
      <c r="D980" s="126"/>
      <c r="F980" s="127"/>
      <c r="G980" s="127"/>
      <c r="H980" s="127"/>
      <c r="I980" s="127"/>
      <c r="J980" s="126"/>
      <c r="P980" s="127"/>
      <c r="Q980" s="127"/>
      <c r="R980" s="127"/>
      <c r="S980" s="127"/>
      <c r="T980" s="127"/>
      <c r="U980" s="127"/>
    </row>
    <row r="981" ht="14.25" customHeight="1">
      <c r="C981" s="126"/>
      <c r="D981" s="126"/>
      <c r="F981" s="127"/>
      <c r="G981" s="127"/>
      <c r="H981" s="127"/>
      <c r="I981" s="127"/>
      <c r="J981" s="126"/>
      <c r="P981" s="127"/>
      <c r="Q981" s="127"/>
      <c r="R981" s="127"/>
      <c r="S981" s="127"/>
      <c r="T981" s="127"/>
      <c r="U981" s="127"/>
    </row>
    <row r="982" ht="14.25" customHeight="1">
      <c r="C982" s="126"/>
      <c r="D982" s="126"/>
      <c r="F982" s="127"/>
      <c r="G982" s="127"/>
      <c r="H982" s="127"/>
      <c r="I982" s="127"/>
      <c r="J982" s="126"/>
      <c r="P982" s="127"/>
      <c r="Q982" s="127"/>
      <c r="R982" s="127"/>
      <c r="S982" s="127"/>
      <c r="T982" s="127"/>
      <c r="U982" s="127"/>
    </row>
    <row r="983" ht="14.25" customHeight="1">
      <c r="C983" s="126"/>
      <c r="D983" s="126"/>
      <c r="F983" s="127"/>
      <c r="G983" s="127"/>
      <c r="H983" s="127"/>
      <c r="I983" s="127"/>
      <c r="J983" s="126"/>
      <c r="P983" s="127"/>
      <c r="Q983" s="127"/>
      <c r="R983" s="127"/>
      <c r="S983" s="127"/>
      <c r="T983" s="127"/>
      <c r="U983" s="127"/>
    </row>
    <row r="984" ht="14.25" customHeight="1">
      <c r="C984" s="126"/>
      <c r="D984" s="126"/>
      <c r="F984" s="127"/>
      <c r="G984" s="127"/>
      <c r="H984" s="127"/>
      <c r="I984" s="127"/>
      <c r="J984" s="126"/>
      <c r="P984" s="127"/>
      <c r="Q984" s="127"/>
      <c r="R984" s="127"/>
      <c r="S984" s="127"/>
      <c r="T984" s="127"/>
      <c r="U984" s="127"/>
    </row>
    <row r="985" ht="14.25" customHeight="1">
      <c r="C985" s="126"/>
      <c r="D985" s="126"/>
      <c r="F985" s="127"/>
      <c r="G985" s="127"/>
      <c r="H985" s="127"/>
      <c r="I985" s="127"/>
      <c r="J985" s="126"/>
      <c r="P985" s="127"/>
      <c r="Q985" s="127"/>
      <c r="R985" s="127"/>
      <c r="S985" s="127"/>
      <c r="T985" s="127"/>
      <c r="U985" s="127"/>
    </row>
    <row r="986" ht="14.25" customHeight="1">
      <c r="C986" s="126"/>
      <c r="D986" s="126"/>
      <c r="F986" s="127"/>
      <c r="G986" s="127"/>
      <c r="H986" s="127"/>
      <c r="I986" s="127"/>
      <c r="J986" s="126"/>
      <c r="P986" s="127"/>
      <c r="Q986" s="127"/>
      <c r="R986" s="127"/>
      <c r="S986" s="127"/>
      <c r="T986" s="127"/>
      <c r="U986" s="127"/>
    </row>
    <row r="987" ht="14.25" customHeight="1">
      <c r="C987" s="126"/>
      <c r="D987" s="126"/>
      <c r="F987" s="127"/>
      <c r="G987" s="127"/>
      <c r="H987" s="127"/>
      <c r="I987" s="127"/>
      <c r="J987" s="126"/>
      <c r="P987" s="127"/>
      <c r="Q987" s="127"/>
      <c r="R987" s="127"/>
      <c r="S987" s="127"/>
      <c r="T987" s="127"/>
      <c r="U987" s="127"/>
    </row>
    <row r="988" ht="14.25" customHeight="1">
      <c r="C988" s="126"/>
      <c r="D988" s="126"/>
      <c r="F988" s="127"/>
      <c r="G988" s="127"/>
      <c r="H988" s="127"/>
      <c r="I988" s="127"/>
      <c r="J988" s="126"/>
      <c r="P988" s="127"/>
      <c r="Q988" s="127"/>
      <c r="R988" s="127"/>
      <c r="S988" s="127"/>
      <c r="T988" s="127"/>
      <c r="U988" s="127"/>
    </row>
    <row r="989" ht="14.25" customHeight="1">
      <c r="C989" s="126"/>
      <c r="D989" s="126"/>
      <c r="F989" s="127"/>
      <c r="G989" s="127"/>
      <c r="H989" s="127"/>
      <c r="I989" s="127"/>
      <c r="J989" s="126"/>
      <c r="P989" s="127"/>
      <c r="Q989" s="127"/>
      <c r="R989" s="127"/>
      <c r="S989" s="127"/>
      <c r="T989" s="127"/>
      <c r="U989" s="127"/>
    </row>
    <row r="990" ht="14.25" customHeight="1">
      <c r="C990" s="126"/>
      <c r="D990" s="126"/>
      <c r="F990" s="127"/>
      <c r="G990" s="127"/>
      <c r="H990" s="127"/>
      <c r="I990" s="127"/>
      <c r="J990" s="126"/>
      <c r="P990" s="127"/>
      <c r="Q990" s="127"/>
      <c r="R990" s="127"/>
      <c r="S990" s="127"/>
      <c r="T990" s="127"/>
      <c r="U990" s="127"/>
    </row>
    <row r="991" ht="14.25" customHeight="1">
      <c r="C991" s="126"/>
      <c r="D991" s="126"/>
      <c r="F991" s="127"/>
      <c r="G991" s="127"/>
      <c r="H991" s="127"/>
      <c r="I991" s="127"/>
      <c r="J991" s="126"/>
      <c r="P991" s="127"/>
      <c r="Q991" s="127"/>
      <c r="R991" s="127"/>
      <c r="S991" s="127"/>
      <c r="T991" s="127"/>
      <c r="U991" s="127"/>
    </row>
    <row r="992" ht="14.25" customHeight="1">
      <c r="C992" s="126"/>
      <c r="D992" s="126"/>
      <c r="F992" s="127"/>
      <c r="G992" s="127"/>
      <c r="H992" s="127"/>
      <c r="I992" s="127"/>
      <c r="J992" s="126"/>
      <c r="P992" s="127"/>
      <c r="Q992" s="127"/>
      <c r="R992" s="127"/>
      <c r="S992" s="127"/>
      <c r="T992" s="127"/>
      <c r="U992" s="127"/>
    </row>
    <row r="993" ht="14.25" customHeight="1">
      <c r="C993" s="126"/>
      <c r="D993" s="126"/>
      <c r="F993" s="127"/>
      <c r="G993" s="127"/>
      <c r="H993" s="127"/>
      <c r="I993" s="127"/>
      <c r="J993" s="126"/>
      <c r="P993" s="127"/>
      <c r="Q993" s="127"/>
      <c r="R993" s="127"/>
      <c r="S993" s="127"/>
      <c r="T993" s="127"/>
      <c r="U993" s="127"/>
    </row>
    <row r="994" ht="14.25" customHeight="1">
      <c r="C994" s="126"/>
      <c r="D994" s="126"/>
      <c r="F994" s="127"/>
      <c r="G994" s="127"/>
      <c r="H994" s="127"/>
      <c r="I994" s="127"/>
      <c r="J994" s="126"/>
      <c r="P994" s="127"/>
      <c r="Q994" s="127"/>
      <c r="R994" s="127"/>
      <c r="S994" s="127"/>
      <c r="T994" s="127"/>
      <c r="U994" s="127"/>
    </row>
    <row r="995" ht="14.25" customHeight="1">
      <c r="C995" s="126"/>
      <c r="D995" s="126"/>
      <c r="F995" s="127"/>
      <c r="G995" s="127"/>
      <c r="H995" s="127"/>
      <c r="I995" s="127"/>
      <c r="J995" s="126"/>
      <c r="P995" s="127"/>
      <c r="Q995" s="127"/>
      <c r="R995" s="127"/>
      <c r="S995" s="127"/>
      <c r="T995" s="127"/>
      <c r="U995" s="127"/>
    </row>
    <row r="996" ht="14.25" customHeight="1">
      <c r="C996" s="126"/>
      <c r="D996" s="126"/>
      <c r="F996" s="127"/>
      <c r="G996" s="127"/>
      <c r="H996" s="127"/>
      <c r="I996" s="127"/>
      <c r="J996" s="126"/>
      <c r="P996" s="127"/>
      <c r="Q996" s="127"/>
      <c r="R996" s="127"/>
      <c r="S996" s="127"/>
      <c r="T996" s="127"/>
      <c r="U996" s="127"/>
    </row>
    <row r="997" ht="14.25" customHeight="1">
      <c r="C997" s="126"/>
      <c r="D997" s="126"/>
      <c r="F997" s="127"/>
      <c r="G997" s="127"/>
      <c r="H997" s="127"/>
      <c r="I997" s="127"/>
      <c r="J997" s="126"/>
      <c r="P997" s="127"/>
      <c r="Q997" s="127"/>
      <c r="R997" s="127"/>
      <c r="S997" s="127"/>
      <c r="T997" s="127"/>
      <c r="U997" s="127"/>
    </row>
    <row r="998" ht="14.25" customHeight="1">
      <c r="C998" s="126"/>
      <c r="D998" s="126"/>
      <c r="F998" s="127"/>
      <c r="G998" s="127"/>
      <c r="H998" s="127"/>
      <c r="I998" s="127"/>
      <c r="J998" s="126"/>
      <c r="P998" s="127"/>
      <c r="Q998" s="127"/>
      <c r="R998" s="127"/>
      <c r="S998" s="127"/>
      <c r="T998" s="127"/>
      <c r="U998" s="127"/>
    </row>
    <row r="999" ht="14.25" customHeight="1">
      <c r="C999" s="126"/>
      <c r="D999" s="126"/>
      <c r="F999" s="127"/>
      <c r="G999" s="127"/>
      <c r="H999" s="127"/>
      <c r="I999" s="127"/>
      <c r="J999" s="126"/>
      <c r="P999" s="127"/>
      <c r="Q999" s="127"/>
      <c r="R999" s="127"/>
      <c r="S999" s="127"/>
      <c r="T999" s="127"/>
      <c r="U999" s="127"/>
    </row>
    <row r="1000" ht="14.25" customHeight="1">
      <c r="C1000" s="126"/>
      <c r="D1000" s="126"/>
      <c r="F1000" s="127"/>
      <c r="G1000" s="127"/>
      <c r="H1000" s="127"/>
      <c r="I1000" s="127"/>
      <c r="J1000" s="126"/>
      <c r="P1000" s="127"/>
      <c r="Q1000" s="127"/>
      <c r="R1000" s="127"/>
      <c r="S1000" s="127"/>
      <c r="T1000" s="127"/>
      <c r="U1000" s="12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43"/>
    <col customWidth="1" min="2" max="3" width="13.43"/>
    <col customWidth="1" min="4" max="4" width="35.57"/>
    <col customWidth="1" min="5" max="5" width="17.57"/>
    <col customWidth="1" min="6" max="6" width="9.14"/>
    <col customWidth="1" min="7" max="7" width="13.57"/>
    <col customWidth="1" min="8" max="8" width="11.57"/>
    <col customWidth="1" min="9" max="10" width="9.29"/>
    <col customWidth="1" min="11" max="11" width="11.14"/>
    <col customWidth="1" min="12" max="12" width="15.43"/>
    <col customWidth="1" min="13" max="13" width="16.0"/>
    <col customWidth="1" min="14" max="14" width="13.57"/>
    <col customWidth="1" min="15" max="15" width="13.43"/>
    <col customWidth="1" min="16" max="16" width="24.86"/>
    <col customWidth="1" min="17" max="17" width="14.43"/>
    <col customWidth="1" min="18" max="18" width="14.0"/>
    <col customWidth="1" min="19" max="20" width="9.14"/>
    <col customWidth="1" min="21" max="21" width="11.57"/>
    <col customWidth="1" min="22" max="26" width="9.14"/>
  </cols>
  <sheetData>
    <row r="1" ht="14.25" customHeight="1">
      <c r="A1" s="154"/>
      <c r="G1" s="155"/>
      <c r="H1" s="155"/>
      <c r="I1" s="155"/>
      <c r="J1" s="155"/>
      <c r="K1" s="155"/>
      <c r="L1" s="155"/>
      <c r="M1" s="155"/>
    </row>
    <row r="2" ht="15.0" customHeight="1">
      <c r="A2" s="156"/>
      <c r="G2" s="155"/>
      <c r="H2" s="155"/>
      <c r="I2" s="155"/>
      <c r="J2" s="155"/>
      <c r="K2" s="155"/>
      <c r="L2" s="155"/>
      <c r="M2" s="155"/>
    </row>
    <row r="3" ht="14.25" customHeight="1">
      <c r="A3" s="126"/>
      <c r="G3" s="155"/>
      <c r="H3" s="155"/>
      <c r="I3" s="155"/>
      <c r="J3" s="155"/>
      <c r="K3" s="155"/>
      <c r="L3" s="155"/>
      <c r="M3" s="155"/>
      <c r="R3" s="157"/>
      <c r="S3" s="158"/>
      <c r="T3" s="158"/>
      <c r="U3" s="159"/>
      <c r="V3" s="160"/>
      <c r="W3" s="160"/>
      <c r="X3" s="160"/>
      <c r="Y3" s="160"/>
    </row>
    <row r="4" ht="14.25" customHeight="1">
      <c r="A4" s="161"/>
      <c r="B4" s="162"/>
      <c r="C4" s="162"/>
      <c r="D4" s="162"/>
      <c r="E4" s="162"/>
      <c r="F4" s="162"/>
      <c r="G4" s="163"/>
      <c r="H4" s="163"/>
      <c r="I4" s="163"/>
      <c r="J4" s="163"/>
      <c r="K4" s="163"/>
      <c r="L4" s="163"/>
      <c r="M4" s="163"/>
      <c r="N4" s="162"/>
      <c r="O4" s="162"/>
      <c r="P4" s="162"/>
      <c r="Q4" s="162"/>
      <c r="R4" s="164"/>
      <c r="S4" s="164"/>
      <c r="T4" s="164"/>
      <c r="U4" s="164"/>
      <c r="V4" s="164"/>
      <c r="W4" s="164"/>
      <c r="X4" s="164"/>
      <c r="Y4" s="164"/>
      <c r="Z4" s="165"/>
    </row>
    <row r="5" ht="14.25" customHeight="1">
      <c r="A5" s="144"/>
      <c r="B5" s="166"/>
      <c r="C5" s="167"/>
      <c r="D5" s="168"/>
      <c r="E5" s="146"/>
      <c r="F5" s="169"/>
      <c r="G5" s="170"/>
      <c r="H5" s="170"/>
      <c r="I5" s="170"/>
      <c r="J5" s="170"/>
      <c r="K5" s="170"/>
      <c r="L5" s="170"/>
      <c r="M5" s="163"/>
      <c r="N5" s="170"/>
      <c r="O5" s="145"/>
      <c r="P5" s="145"/>
      <c r="Q5" s="146"/>
      <c r="R5" s="170"/>
      <c r="S5" s="146"/>
      <c r="T5" s="146"/>
      <c r="U5" s="170"/>
      <c r="V5" s="170"/>
      <c r="W5" s="146"/>
      <c r="X5" s="146"/>
      <c r="Y5" s="170"/>
      <c r="Z5" s="170"/>
    </row>
    <row r="6" ht="14.25" customHeight="1">
      <c r="A6" s="144"/>
      <c r="B6" s="166"/>
      <c r="C6" s="167"/>
      <c r="D6" s="168"/>
      <c r="E6" s="146"/>
      <c r="F6" s="169"/>
      <c r="G6" s="170"/>
      <c r="H6" s="170"/>
      <c r="I6" s="170"/>
      <c r="J6" s="170"/>
      <c r="K6" s="170"/>
      <c r="L6" s="170"/>
      <c r="M6" s="163"/>
      <c r="N6" s="170"/>
      <c r="O6" s="145"/>
      <c r="P6" s="145"/>
      <c r="Q6" s="146"/>
      <c r="R6" s="170"/>
      <c r="S6" s="146"/>
      <c r="T6" s="146"/>
      <c r="U6" s="170"/>
      <c r="V6" s="170"/>
      <c r="W6" s="146"/>
      <c r="X6" s="146"/>
      <c r="Y6" s="170"/>
      <c r="Z6" s="170"/>
    </row>
    <row r="7" ht="14.25" customHeight="1">
      <c r="A7" s="144"/>
      <c r="B7" s="166"/>
      <c r="C7" s="167"/>
      <c r="D7" s="168"/>
      <c r="E7" s="146"/>
      <c r="F7" s="169"/>
      <c r="G7" s="170"/>
      <c r="H7" s="170"/>
      <c r="I7" s="170"/>
      <c r="J7" s="170"/>
      <c r="K7" s="170"/>
      <c r="L7" s="170"/>
      <c r="M7" s="163"/>
      <c r="N7" s="170"/>
      <c r="O7" s="145"/>
      <c r="P7" s="145"/>
      <c r="Q7" s="146"/>
      <c r="R7" s="170"/>
      <c r="S7" s="146"/>
      <c r="T7" s="146"/>
      <c r="U7" s="170"/>
      <c r="V7" s="170"/>
      <c r="W7" s="146"/>
      <c r="X7" s="146"/>
      <c r="Y7" s="170"/>
      <c r="Z7" s="170"/>
    </row>
    <row r="8" ht="14.25" customHeight="1">
      <c r="A8" s="161"/>
      <c r="B8" s="162"/>
      <c r="C8" s="162"/>
      <c r="D8" s="162"/>
      <c r="E8" s="162"/>
      <c r="F8" s="162"/>
      <c r="G8" s="163"/>
      <c r="H8" s="163"/>
      <c r="I8" s="163"/>
      <c r="J8" s="163"/>
      <c r="K8" s="163"/>
      <c r="L8" s="163"/>
      <c r="M8" s="163"/>
      <c r="N8" s="162"/>
      <c r="O8" s="162"/>
      <c r="P8" s="162"/>
      <c r="Q8" s="162"/>
      <c r="R8" s="163"/>
      <c r="S8" s="163"/>
      <c r="T8" s="163"/>
      <c r="U8" s="163"/>
      <c r="V8" s="163"/>
      <c r="W8" s="163"/>
      <c r="X8" s="163"/>
      <c r="Y8" s="163"/>
      <c r="Z8" s="163"/>
    </row>
    <row r="9" ht="14.25" customHeight="1">
      <c r="A9" s="126"/>
      <c r="G9" s="155"/>
      <c r="H9" s="155"/>
      <c r="I9" s="155"/>
      <c r="J9" s="155"/>
      <c r="K9" s="155"/>
      <c r="L9" s="155"/>
      <c r="M9" s="155"/>
    </row>
    <row r="10" ht="14.25" customHeight="1">
      <c r="A10" s="126"/>
      <c r="C10" s="126"/>
      <c r="G10" s="155"/>
      <c r="H10" s="155"/>
      <c r="I10" s="155"/>
      <c r="J10" s="155"/>
      <c r="K10" s="155"/>
      <c r="L10" s="155"/>
      <c r="M10" s="155"/>
      <c r="N10" s="155"/>
      <c r="O10" s="155"/>
    </row>
    <row r="11" ht="14.25" customHeight="1">
      <c r="A11" s="126"/>
      <c r="C11" s="126"/>
      <c r="G11" s="155"/>
      <c r="H11" s="155"/>
      <c r="I11" s="155"/>
      <c r="J11" s="155"/>
      <c r="K11" s="155"/>
      <c r="L11" s="155"/>
      <c r="M11" s="155"/>
      <c r="N11" s="155"/>
      <c r="O11" s="155"/>
    </row>
    <row r="12" ht="14.25" customHeight="1">
      <c r="A12" s="126"/>
      <c r="C12" s="126"/>
      <c r="G12" s="155"/>
      <c r="H12" s="155"/>
      <c r="I12" s="155"/>
      <c r="J12" s="155"/>
      <c r="K12" s="155"/>
      <c r="L12" s="155"/>
      <c r="M12" s="155"/>
      <c r="N12" s="155"/>
      <c r="O12" s="155"/>
    </row>
    <row r="13" ht="14.25" customHeight="1">
      <c r="A13" s="126"/>
      <c r="C13" s="126"/>
      <c r="G13" s="155"/>
      <c r="H13" s="155"/>
      <c r="I13" s="155"/>
      <c r="J13" s="155"/>
      <c r="K13" s="155"/>
      <c r="L13" s="155"/>
      <c r="M13" s="155"/>
      <c r="N13" s="155"/>
      <c r="O13" s="155"/>
    </row>
    <row r="14" ht="14.25" customHeight="1">
      <c r="A14" s="126"/>
      <c r="C14" s="126"/>
      <c r="G14" s="155"/>
      <c r="H14" s="155"/>
      <c r="I14" s="155"/>
      <c r="J14" s="155"/>
      <c r="K14" s="155"/>
      <c r="L14" s="155"/>
      <c r="M14" s="155"/>
      <c r="N14" s="155"/>
      <c r="O14" s="155"/>
    </row>
    <row r="15" ht="14.25" customHeight="1">
      <c r="A15" s="126"/>
      <c r="G15" s="155"/>
      <c r="H15" s="155"/>
      <c r="I15" s="155"/>
      <c r="J15" s="155"/>
      <c r="K15" s="155"/>
      <c r="L15" s="155"/>
      <c r="M15" s="155"/>
    </row>
    <row r="16" ht="14.25" customHeight="1">
      <c r="A16" s="126"/>
      <c r="G16" s="155"/>
      <c r="H16" s="155"/>
      <c r="I16" s="155"/>
      <c r="J16" s="155"/>
      <c r="K16" s="155"/>
      <c r="L16" s="155"/>
      <c r="M16" s="155"/>
    </row>
    <row r="17" ht="14.25" customHeight="1">
      <c r="A17" s="126"/>
      <c r="G17" s="155"/>
      <c r="H17" s="155"/>
      <c r="I17" s="155"/>
      <c r="J17" s="155"/>
      <c r="K17" s="155"/>
      <c r="L17" s="155"/>
      <c r="M17" s="155"/>
    </row>
    <row r="18" ht="14.25" customHeight="1">
      <c r="A18" s="126"/>
      <c r="G18" s="155"/>
      <c r="H18" s="155"/>
      <c r="I18" s="155"/>
      <c r="J18" s="155"/>
      <c r="K18" s="155"/>
      <c r="L18" s="155"/>
      <c r="M18" s="155"/>
    </row>
    <row r="19" ht="14.25" customHeight="1">
      <c r="A19" s="126"/>
      <c r="G19" s="155"/>
      <c r="H19" s="155"/>
      <c r="I19" s="155"/>
      <c r="J19" s="155"/>
      <c r="K19" s="155"/>
      <c r="L19" s="155"/>
      <c r="M19" s="155"/>
    </row>
    <row r="20" ht="14.25" customHeight="1">
      <c r="A20" s="126"/>
      <c r="G20" s="155"/>
      <c r="H20" s="155"/>
      <c r="I20" s="155"/>
      <c r="J20" s="155"/>
      <c r="K20" s="155"/>
      <c r="L20" s="155"/>
      <c r="M20" s="155"/>
    </row>
    <row r="21" ht="14.25" customHeight="1">
      <c r="A21" s="126"/>
      <c r="G21" s="155"/>
      <c r="H21" s="155"/>
      <c r="I21" s="155"/>
      <c r="J21" s="155"/>
      <c r="K21" s="155"/>
      <c r="L21" s="155"/>
      <c r="M21" s="155"/>
    </row>
    <row r="22" ht="14.25" customHeight="1">
      <c r="A22" s="126"/>
      <c r="G22" s="155"/>
      <c r="H22" s="155"/>
      <c r="I22" s="155"/>
      <c r="J22" s="155"/>
      <c r="K22" s="155"/>
      <c r="L22" s="155"/>
      <c r="M22" s="155"/>
    </row>
    <row r="23" ht="14.25" customHeight="1">
      <c r="A23" s="126"/>
      <c r="G23" s="155"/>
      <c r="H23" s="155"/>
      <c r="I23" s="155"/>
      <c r="J23" s="155"/>
      <c r="K23" s="155"/>
      <c r="L23" s="155"/>
      <c r="M23" s="155"/>
    </row>
    <row r="24" ht="14.25" customHeight="1">
      <c r="A24" s="126"/>
      <c r="G24" s="155"/>
      <c r="H24" s="155"/>
      <c r="I24" s="155"/>
      <c r="J24" s="155"/>
      <c r="K24" s="155"/>
      <c r="L24" s="155"/>
      <c r="M24" s="155"/>
    </row>
    <row r="25" ht="14.25" customHeight="1">
      <c r="A25" s="126"/>
      <c r="G25" s="155"/>
      <c r="H25" s="155"/>
      <c r="I25" s="155"/>
      <c r="J25" s="155"/>
      <c r="K25" s="155"/>
      <c r="L25" s="155"/>
      <c r="M25" s="155"/>
    </row>
    <row r="26" ht="14.25" customHeight="1">
      <c r="A26" s="126"/>
      <c r="G26" s="155"/>
      <c r="H26" s="155"/>
      <c r="I26" s="155"/>
      <c r="J26" s="155"/>
      <c r="K26" s="155"/>
      <c r="L26" s="155"/>
      <c r="M26" s="155"/>
    </row>
    <row r="27" ht="14.25" customHeight="1">
      <c r="A27" s="126"/>
      <c r="G27" s="155"/>
      <c r="H27" s="155"/>
      <c r="I27" s="155"/>
      <c r="J27" s="155"/>
      <c r="K27" s="155"/>
      <c r="L27" s="155"/>
      <c r="M27" s="155"/>
    </row>
    <row r="28" ht="14.25" customHeight="1">
      <c r="A28" s="126"/>
      <c r="G28" s="155"/>
      <c r="H28" s="155"/>
      <c r="I28" s="155"/>
      <c r="J28" s="155"/>
      <c r="K28" s="155"/>
      <c r="L28" s="155"/>
      <c r="M28" s="155"/>
    </row>
    <row r="29" ht="14.25" customHeight="1">
      <c r="A29" s="126"/>
      <c r="G29" s="155"/>
      <c r="H29" s="155"/>
      <c r="I29" s="155"/>
      <c r="J29" s="155"/>
      <c r="K29" s="155"/>
      <c r="L29" s="155"/>
      <c r="M29" s="155"/>
    </row>
    <row r="30" ht="14.25" customHeight="1">
      <c r="A30" s="126"/>
      <c r="G30" s="155"/>
      <c r="H30" s="155"/>
      <c r="I30" s="155"/>
      <c r="J30" s="155"/>
      <c r="K30" s="155"/>
      <c r="L30" s="155"/>
      <c r="M30" s="155"/>
    </row>
    <row r="31" ht="14.25" customHeight="1">
      <c r="A31" s="126"/>
      <c r="G31" s="155"/>
      <c r="H31" s="155"/>
      <c r="I31" s="155"/>
      <c r="J31" s="155"/>
      <c r="K31" s="155"/>
      <c r="L31" s="155"/>
      <c r="M31" s="155"/>
    </row>
    <row r="32" ht="14.25" customHeight="1">
      <c r="A32" s="126"/>
      <c r="G32" s="155"/>
      <c r="H32" s="155"/>
      <c r="I32" s="155"/>
      <c r="J32" s="155"/>
      <c r="K32" s="155"/>
      <c r="L32" s="155"/>
      <c r="M32" s="155"/>
    </row>
    <row r="33" ht="14.25" customHeight="1">
      <c r="A33" s="126"/>
      <c r="G33" s="155"/>
      <c r="H33" s="155"/>
      <c r="I33" s="155"/>
      <c r="J33" s="155"/>
      <c r="K33" s="155"/>
      <c r="L33" s="155"/>
      <c r="M33" s="155"/>
    </row>
    <row r="34" ht="14.25" customHeight="1">
      <c r="A34" s="126"/>
      <c r="G34" s="155"/>
      <c r="H34" s="155"/>
      <c r="I34" s="155"/>
      <c r="J34" s="155"/>
      <c r="K34" s="155"/>
      <c r="L34" s="155"/>
      <c r="M34" s="155"/>
    </row>
    <row r="35" ht="14.25" customHeight="1">
      <c r="A35" s="126"/>
      <c r="G35" s="155"/>
      <c r="H35" s="155"/>
      <c r="I35" s="155"/>
      <c r="J35" s="155"/>
      <c r="K35" s="155"/>
      <c r="L35" s="155"/>
      <c r="M35" s="155"/>
    </row>
    <row r="36" ht="14.25" customHeight="1">
      <c r="A36" s="126"/>
      <c r="G36" s="155"/>
      <c r="H36" s="155"/>
      <c r="I36" s="155"/>
      <c r="J36" s="155"/>
      <c r="K36" s="155"/>
      <c r="L36" s="155"/>
      <c r="M36" s="155"/>
    </row>
    <row r="37" ht="14.25" customHeight="1">
      <c r="A37" s="126"/>
      <c r="G37" s="155"/>
      <c r="H37" s="155"/>
      <c r="I37" s="155"/>
      <c r="J37" s="155"/>
      <c r="K37" s="155"/>
      <c r="L37" s="155"/>
      <c r="M37" s="155"/>
    </row>
    <row r="38" ht="14.25" customHeight="1">
      <c r="A38" s="126"/>
      <c r="G38" s="155"/>
      <c r="H38" s="155"/>
      <c r="I38" s="155"/>
      <c r="J38" s="155"/>
      <c r="K38" s="155"/>
      <c r="L38" s="155"/>
      <c r="M38" s="155"/>
    </row>
    <row r="39" ht="14.25" customHeight="1">
      <c r="A39" s="126"/>
      <c r="G39" s="155"/>
      <c r="H39" s="155"/>
      <c r="I39" s="155"/>
      <c r="J39" s="155"/>
      <c r="K39" s="155"/>
      <c r="L39" s="155"/>
      <c r="M39" s="155"/>
    </row>
    <row r="40" ht="14.25" customHeight="1">
      <c r="A40" s="126"/>
      <c r="G40" s="155"/>
      <c r="H40" s="155"/>
      <c r="I40" s="155"/>
      <c r="J40" s="155"/>
      <c r="K40" s="155"/>
      <c r="L40" s="155"/>
      <c r="M40" s="155"/>
    </row>
    <row r="41" ht="14.25" customHeight="1">
      <c r="A41" s="126"/>
      <c r="G41" s="155"/>
      <c r="H41" s="155"/>
      <c r="I41" s="155"/>
      <c r="J41" s="155"/>
      <c r="K41" s="155"/>
      <c r="L41" s="155"/>
      <c r="M41" s="155"/>
    </row>
    <row r="42" ht="14.25" customHeight="1">
      <c r="A42" s="126"/>
      <c r="G42" s="155"/>
      <c r="H42" s="155"/>
      <c r="I42" s="155"/>
      <c r="J42" s="155"/>
      <c r="K42" s="155"/>
      <c r="L42" s="155"/>
      <c r="M42" s="155"/>
    </row>
    <row r="43" ht="14.25" customHeight="1">
      <c r="A43" s="126"/>
      <c r="G43" s="155"/>
      <c r="H43" s="155"/>
      <c r="I43" s="155"/>
      <c r="J43" s="155"/>
      <c r="K43" s="155"/>
      <c r="L43" s="155"/>
      <c r="M43" s="155"/>
    </row>
    <row r="44" ht="14.25" customHeight="1">
      <c r="A44" s="126"/>
      <c r="G44" s="155"/>
      <c r="H44" s="155"/>
      <c r="I44" s="155"/>
      <c r="J44" s="155"/>
      <c r="K44" s="155"/>
      <c r="L44" s="155"/>
      <c r="M44" s="155"/>
    </row>
    <row r="45" ht="14.25" customHeight="1">
      <c r="A45" s="126"/>
      <c r="G45" s="155"/>
      <c r="H45" s="155"/>
      <c r="I45" s="155"/>
      <c r="J45" s="155"/>
      <c r="K45" s="155"/>
      <c r="L45" s="155"/>
      <c r="M45" s="155"/>
    </row>
    <row r="46" ht="14.25" customHeight="1">
      <c r="A46" s="126"/>
      <c r="G46" s="155"/>
      <c r="H46" s="155"/>
      <c r="I46" s="155"/>
      <c r="J46" s="155"/>
      <c r="K46" s="155"/>
      <c r="L46" s="155"/>
      <c r="M46" s="155"/>
    </row>
    <row r="47" ht="14.25" customHeight="1">
      <c r="A47" s="126"/>
      <c r="G47" s="155"/>
      <c r="H47" s="155"/>
      <c r="I47" s="155"/>
      <c r="J47" s="155"/>
      <c r="K47" s="155"/>
      <c r="L47" s="155"/>
      <c r="M47" s="155"/>
    </row>
    <row r="48" ht="14.25" customHeight="1">
      <c r="A48" s="126"/>
      <c r="G48" s="155"/>
      <c r="H48" s="155"/>
      <c r="I48" s="155"/>
      <c r="J48" s="155"/>
      <c r="K48" s="155"/>
      <c r="L48" s="155"/>
      <c r="M48" s="155"/>
    </row>
    <row r="49" ht="14.25" customHeight="1">
      <c r="A49" s="126"/>
      <c r="G49" s="155"/>
      <c r="H49" s="155"/>
      <c r="I49" s="155"/>
      <c r="J49" s="155"/>
      <c r="K49" s="155"/>
      <c r="L49" s="155"/>
      <c r="M49" s="155"/>
    </row>
    <row r="50" ht="14.25" customHeight="1">
      <c r="A50" s="126"/>
      <c r="G50" s="155"/>
      <c r="H50" s="155"/>
      <c r="I50" s="155"/>
      <c r="J50" s="155"/>
      <c r="K50" s="155"/>
      <c r="L50" s="155"/>
      <c r="M50" s="155"/>
    </row>
    <row r="51" ht="14.25" customHeight="1">
      <c r="A51" s="126"/>
      <c r="G51" s="155"/>
      <c r="H51" s="155"/>
      <c r="I51" s="155"/>
      <c r="J51" s="155"/>
      <c r="K51" s="155"/>
      <c r="L51" s="155"/>
      <c r="M51" s="155"/>
    </row>
    <row r="52" ht="14.25" customHeight="1">
      <c r="A52" s="126"/>
      <c r="G52" s="155"/>
      <c r="H52" s="155"/>
      <c r="I52" s="155"/>
      <c r="J52" s="155"/>
      <c r="K52" s="155"/>
      <c r="L52" s="155"/>
      <c r="M52" s="155"/>
    </row>
    <row r="53" ht="14.25" customHeight="1">
      <c r="A53" s="126"/>
      <c r="G53" s="155"/>
      <c r="H53" s="155"/>
      <c r="I53" s="155"/>
      <c r="J53" s="155"/>
      <c r="K53" s="155"/>
      <c r="L53" s="155"/>
      <c r="M53" s="155"/>
    </row>
    <row r="54" ht="14.25" customHeight="1">
      <c r="A54" s="126"/>
      <c r="G54" s="155"/>
      <c r="H54" s="155"/>
      <c r="I54" s="155"/>
      <c r="J54" s="155"/>
      <c r="K54" s="155"/>
      <c r="L54" s="155"/>
      <c r="M54" s="155"/>
    </row>
    <row r="55" ht="14.25" customHeight="1">
      <c r="A55" s="126"/>
      <c r="G55" s="155"/>
      <c r="H55" s="155"/>
      <c r="I55" s="155"/>
      <c r="J55" s="155"/>
      <c r="K55" s="155"/>
      <c r="L55" s="155"/>
      <c r="M55" s="155"/>
    </row>
    <row r="56" ht="14.25" customHeight="1">
      <c r="A56" s="126"/>
      <c r="G56" s="155"/>
      <c r="H56" s="155"/>
      <c r="I56" s="155"/>
      <c r="J56" s="155"/>
      <c r="K56" s="155"/>
      <c r="L56" s="155"/>
      <c r="M56" s="155"/>
    </row>
    <row r="57" ht="14.25" customHeight="1">
      <c r="A57" s="126"/>
      <c r="G57" s="155"/>
      <c r="H57" s="155"/>
      <c r="I57" s="155"/>
      <c r="J57" s="155"/>
      <c r="K57" s="155"/>
      <c r="L57" s="155"/>
      <c r="M57" s="155"/>
    </row>
    <row r="58" ht="14.25" customHeight="1">
      <c r="A58" s="126"/>
      <c r="G58" s="155"/>
      <c r="H58" s="155"/>
      <c r="I58" s="155"/>
      <c r="J58" s="155"/>
      <c r="K58" s="155"/>
      <c r="L58" s="155"/>
      <c r="M58" s="155"/>
    </row>
    <row r="59" ht="14.25" customHeight="1">
      <c r="A59" s="126"/>
      <c r="G59" s="155"/>
      <c r="H59" s="155"/>
      <c r="I59" s="155"/>
      <c r="J59" s="155"/>
      <c r="K59" s="155"/>
      <c r="L59" s="155"/>
      <c r="M59" s="155"/>
    </row>
    <row r="60" ht="14.25" customHeight="1">
      <c r="A60" s="126"/>
      <c r="G60" s="155"/>
      <c r="H60" s="155"/>
      <c r="I60" s="155"/>
      <c r="J60" s="155"/>
      <c r="K60" s="155"/>
      <c r="L60" s="155"/>
      <c r="M60" s="155"/>
    </row>
    <row r="61" ht="14.25" customHeight="1">
      <c r="A61" s="126"/>
      <c r="G61" s="155"/>
      <c r="H61" s="155"/>
      <c r="I61" s="155"/>
      <c r="J61" s="155"/>
      <c r="K61" s="155"/>
      <c r="L61" s="155"/>
      <c r="M61" s="155"/>
    </row>
    <row r="62" ht="14.25" customHeight="1">
      <c r="A62" s="126"/>
      <c r="G62" s="155"/>
      <c r="H62" s="155"/>
      <c r="I62" s="155"/>
      <c r="J62" s="155"/>
      <c r="K62" s="155"/>
      <c r="L62" s="155"/>
      <c r="M62" s="155"/>
    </row>
    <row r="63" ht="14.25" customHeight="1">
      <c r="A63" s="126"/>
      <c r="G63" s="155"/>
      <c r="H63" s="155"/>
      <c r="I63" s="155"/>
      <c r="J63" s="155"/>
      <c r="K63" s="155"/>
      <c r="L63" s="155"/>
      <c r="M63" s="155"/>
    </row>
    <row r="64" ht="14.25" customHeight="1">
      <c r="A64" s="126"/>
      <c r="G64" s="155"/>
      <c r="H64" s="155"/>
      <c r="I64" s="155"/>
      <c r="J64" s="155"/>
      <c r="K64" s="155"/>
      <c r="L64" s="155"/>
      <c r="M64" s="155"/>
    </row>
    <row r="65" ht="14.25" customHeight="1">
      <c r="A65" s="126"/>
      <c r="G65" s="155"/>
      <c r="H65" s="155"/>
      <c r="I65" s="155"/>
      <c r="J65" s="155"/>
      <c r="K65" s="155"/>
      <c r="L65" s="155"/>
      <c r="M65" s="155"/>
    </row>
    <row r="66" ht="14.25" customHeight="1">
      <c r="A66" s="126"/>
      <c r="G66" s="155"/>
      <c r="H66" s="155"/>
      <c r="I66" s="155"/>
      <c r="J66" s="155"/>
      <c r="K66" s="155"/>
      <c r="L66" s="155"/>
      <c r="M66" s="155"/>
    </row>
    <row r="67" ht="14.25" customHeight="1">
      <c r="A67" s="126"/>
      <c r="G67" s="155"/>
      <c r="H67" s="155"/>
      <c r="I67" s="155"/>
      <c r="J67" s="155"/>
      <c r="K67" s="155"/>
      <c r="L67" s="155"/>
      <c r="M67" s="155"/>
    </row>
    <row r="68" ht="14.25" customHeight="1">
      <c r="A68" s="126"/>
      <c r="G68" s="155"/>
      <c r="H68" s="155"/>
      <c r="I68" s="155"/>
      <c r="J68" s="155"/>
      <c r="K68" s="155"/>
      <c r="L68" s="155"/>
      <c r="M68" s="155"/>
    </row>
    <row r="69" ht="14.25" customHeight="1">
      <c r="A69" s="126"/>
      <c r="G69" s="155"/>
      <c r="H69" s="155"/>
      <c r="I69" s="155"/>
      <c r="J69" s="155"/>
      <c r="K69" s="155"/>
      <c r="L69" s="155"/>
      <c r="M69" s="155"/>
    </row>
    <row r="70" ht="14.25" customHeight="1">
      <c r="A70" s="126"/>
      <c r="G70" s="155"/>
      <c r="H70" s="155"/>
      <c r="I70" s="155"/>
      <c r="J70" s="155"/>
      <c r="K70" s="155"/>
      <c r="L70" s="155"/>
      <c r="M70" s="155"/>
    </row>
    <row r="71" ht="14.25" customHeight="1">
      <c r="A71" s="126"/>
      <c r="G71" s="155"/>
      <c r="H71" s="155"/>
      <c r="I71" s="155"/>
      <c r="J71" s="155"/>
      <c r="K71" s="155"/>
      <c r="L71" s="155"/>
      <c r="M71" s="155"/>
    </row>
    <row r="72" ht="14.25" customHeight="1">
      <c r="A72" s="126"/>
      <c r="G72" s="155"/>
      <c r="H72" s="155"/>
      <c r="I72" s="155"/>
      <c r="J72" s="155"/>
      <c r="K72" s="155"/>
      <c r="L72" s="155"/>
      <c r="M72" s="155"/>
    </row>
    <row r="73" ht="14.25" customHeight="1">
      <c r="A73" s="126"/>
      <c r="G73" s="155"/>
      <c r="H73" s="155"/>
      <c r="I73" s="155"/>
      <c r="J73" s="155"/>
      <c r="K73" s="155"/>
      <c r="L73" s="155"/>
      <c r="M73" s="155"/>
    </row>
    <row r="74" ht="14.25" customHeight="1">
      <c r="A74" s="126"/>
      <c r="G74" s="155"/>
      <c r="H74" s="155"/>
      <c r="I74" s="155"/>
      <c r="J74" s="155"/>
      <c r="K74" s="155"/>
      <c r="L74" s="155"/>
      <c r="M74" s="155"/>
    </row>
    <row r="75" ht="14.25" customHeight="1">
      <c r="A75" s="126"/>
      <c r="G75" s="155"/>
      <c r="H75" s="155"/>
      <c r="I75" s="155"/>
      <c r="J75" s="155"/>
      <c r="K75" s="155"/>
      <c r="L75" s="155"/>
      <c r="M75" s="155"/>
    </row>
    <row r="76" ht="14.25" customHeight="1">
      <c r="A76" s="126"/>
      <c r="G76" s="155"/>
      <c r="H76" s="155"/>
      <c r="I76" s="155"/>
      <c r="J76" s="155"/>
      <c r="K76" s="155"/>
      <c r="L76" s="155"/>
      <c r="M76" s="155"/>
    </row>
    <row r="77" ht="14.25" customHeight="1">
      <c r="A77" s="126"/>
      <c r="G77" s="155"/>
      <c r="H77" s="155"/>
      <c r="I77" s="155"/>
      <c r="J77" s="155"/>
      <c r="K77" s="155"/>
      <c r="L77" s="155"/>
      <c r="M77" s="155"/>
    </row>
    <row r="78" ht="14.25" customHeight="1">
      <c r="A78" s="126"/>
      <c r="G78" s="155"/>
      <c r="H78" s="155"/>
      <c r="I78" s="155"/>
      <c r="J78" s="155"/>
      <c r="K78" s="155"/>
      <c r="L78" s="155"/>
      <c r="M78" s="155"/>
    </row>
    <row r="79" ht="14.25" customHeight="1">
      <c r="A79" s="126"/>
      <c r="G79" s="155"/>
      <c r="H79" s="155"/>
      <c r="I79" s="155"/>
      <c r="J79" s="155"/>
      <c r="K79" s="155"/>
      <c r="L79" s="155"/>
      <c r="M79" s="155"/>
    </row>
    <row r="80" ht="14.25" customHeight="1">
      <c r="A80" s="126"/>
      <c r="G80" s="155"/>
      <c r="H80" s="155"/>
      <c r="I80" s="155"/>
      <c r="J80" s="155"/>
      <c r="K80" s="155"/>
      <c r="L80" s="155"/>
      <c r="M80" s="155"/>
    </row>
    <row r="81" ht="14.25" customHeight="1">
      <c r="A81" s="126"/>
      <c r="G81" s="155"/>
      <c r="H81" s="155"/>
      <c r="I81" s="155"/>
      <c r="J81" s="155"/>
      <c r="K81" s="155"/>
      <c r="L81" s="155"/>
      <c r="M81" s="155"/>
    </row>
    <row r="82" ht="14.25" customHeight="1">
      <c r="A82" s="126"/>
      <c r="G82" s="155"/>
      <c r="H82" s="155"/>
      <c r="I82" s="155"/>
      <c r="J82" s="155"/>
      <c r="K82" s="155"/>
      <c r="L82" s="155"/>
      <c r="M82" s="155"/>
    </row>
    <row r="83" ht="14.25" customHeight="1">
      <c r="A83" s="126"/>
      <c r="G83" s="155"/>
      <c r="H83" s="155"/>
      <c r="I83" s="155"/>
      <c r="J83" s="155"/>
      <c r="K83" s="155"/>
      <c r="L83" s="155"/>
      <c r="M83" s="155"/>
    </row>
    <row r="84" ht="14.25" customHeight="1">
      <c r="A84" s="126"/>
      <c r="G84" s="155"/>
      <c r="H84" s="155"/>
      <c r="I84" s="155"/>
      <c r="J84" s="155"/>
      <c r="K84" s="155"/>
      <c r="L84" s="155"/>
      <c r="M84" s="155"/>
    </row>
    <row r="85" ht="14.25" customHeight="1">
      <c r="A85" s="126"/>
      <c r="G85" s="155"/>
      <c r="H85" s="155"/>
      <c r="I85" s="155"/>
      <c r="J85" s="155"/>
      <c r="K85" s="155"/>
      <c r="L85" s="155"/>
      <c r="M85" s="155"/>
    </row>
    <row r="86" ht="14.25" customHeight="1">
      <c r="A86" s="126"/>
      <c r="G86" s="155"/>
      <c r="H86" s="155"/>
      <c r="I86" s="155"/>
      <c r="J86" s="155"/>
      <c r="K86" s="155"/>
      <c r="L86" s="155"/>
      <c r="M86" s="155"/>
    </row>
    <row r="87" ht="14.25" customHeight="1">
      <c r="A87" s="126"/>
      <c r="G87" s="155"/>
      <c r="H87" s="155"/>
      <c r="I87" s="155"/>
      <c r="J87" s="155"/>
      <c r="K87" s="155"/>
      <c r="L87" s="155"/>
      <c r="M87" s="155"/>
    </row>
    <row r="88" ht="14.25" customHeight="1">
      <c r="A88" s="126"/>
      <c r="G88" s="155"/>
      <c r="H88" s="155"/>
      <c r="I88" s="155"/>
      <c r="J88" s="155"/>
      <c r="K88" s="155"/>
      <c r="L88" s="155"/>
      <c r="M88" s="155"/>
    </row>
    <row r="89" ht="14.25" customHeight="1">
      <c r="A89" s="126"/>
      <c r="G89" s="155"/>
      <c r="H89" s="155"/>
      <c r="I89" s="155"/>
      <c r="J89" s="155"/>
      <c r="K89" s="155"/>
      <c r="L89" s="155"/>
      <c r="M89" s="155"/>
    </row>
    <row r="90" ht="14.25" customHeight="1">
      <c r="A90" s="126"/>
      <c r="G90" s="155"/>
      <c r="H90" s="155"/>
      <c r="I90" s="155"/>
      <c r="J90" s="155"/>
      <c r="K90" s="155"/>
      <c r="L90" s="155"/>
      <c r="M90" s="155"/>
    </row>
    <row r="91" ht="14.25" customHeight="1">
      <c r="A91" s="126"/>
      <c r="G91" s="155"/>
      <c r="H91" s="155"/>
      <c r="I91" s="155"/>
      <c r="J91" s="155"/>
      <c r="K91" s="155"/>
      <c r="L91" s="155"/>
      <c r="M91" s="155"/>
    </row>
    <row r="92" ht="14.25" customHeight="1">
      <c r="A92" s="126"/>
      <c r="G92" s="155"/>
      <c r="H92" s="155"/>
      <c r="I92" s="155"/>
      <c r="J92" s="155"/>
      <c r="K92" s="155"/>
      <c r="L92" s="155"/>
      <c r="M92" s="155"/>
    </row>
    <row r="93" ht="14.25" customHeight="1">
      <c r="A93" s="126"/>
      <c r="G93" s="155"/>
      <c r="H93" s="155"/>
      <c r="I93" s="155"/>
      <c r="J93" s="155"/>
      <c r="K93" s="155"/>
      <c r="L93" s="155"/>
      <c r="M93" s="155"/>
    </row>
    <row r="94" ht="14.25" customHeight="1">
      <c r="A94" s="126"/>
      <c r="G94" s="155"/>
      <c r="H94" s="155"/>
      <c r="I94" s="155"/>
      <c r="J94" s="155"/>
      <c r="K94" s="155"/>
      <c r="L94" s="155"/>
      <c r="M94" s="155"/>
    </row>
    <row r="95" ht="14.25" customHeight="1">
      <c r="A95" s="126"/>
      <c r="G95" s="155"/>
      <c r="H95" s="155"/>
      <c r="I95" s="155"/>
      <c r="J95" s="155"/>
      <c r="K95" s="155"/>
      <c r="L95" s="155"/>
      <c r="M95" s="155"/>
    </row>
    <row r="96" ht="14.25" customHeight="1">
      <c r="A96" s="126"/>
      <c r="G96" s="155"/>
      <c r="H96" s="155"/>
      <c r="I96" s="155"/>
      <c r="J96" s="155"/>
      <c r="K96" s="155"/>
      <c r="L96" s="155"/>
      <c r="M96" s="155"/>
    </row>
    <row r="97" ht="14.25" customHeight="1">
      <c r="A97" s="126"/>
      <c r="G97" s="155"/>
      <c r="H97" s="155"/>
      <c r="I97" s="155"/>
      <c r="J97" s="155"/>
      <c r="K97" s="155"/>
      <c r="L97" s="155"/>
      <c r="M97" s="155"/>
    </row>
    <row r="98" ht="14.25" customHeight="1">
      <c r="A98" s="126"/>
      <c r="G98" s="155"/>
      <c r="H98" s="155"/>
      <c r="I98" s="155"/>
      <c r="J98" s="155"/>
      <c r="K98" s="155"/>
      <c r="L98" s="155"/>
      <c r="M98" s="155"/>
    </row>
    <row r="99" ht="14.25" customHeight="1">
      <c r="A99" s="126"/>
      <c r="G99" s="155"/>
      <c r="H99" s="155"/>
      <c r="I99" s="155"/>
      <c r="J99" s="155"/>
      <c r="K99" s="155"/>
      <c r="L99" s="155"/>
      <c r="M99" s="155"/>
    </row>
    <row r="100" ht="14.25" customHeight="1">
      <c r="A100" s="126"/>
      <c r="G100" s="155"/>
      <c r="H100" s="155"/>
      <c r="I100" s="155"/>
      <c r="J100" s="155"/>
      <c r="K100" s="155"/>
      <c r="L100" s="155"/>
      <c r="M100" s="155"/>
    </row>
    <row r="101" ht="14.25" customHeight="1">
      <c r="A101" s="126"/>
      <c r="G101" s="155"/>
      <c r="H101" s="155"/>
      <c r="I101" s="155"/>
      <c r="J101" s="155"/>
      <c r="K101" s="155"/>
      <c r="L101" s="155"/>
      <c r="M101" s="155"/>
    </row>
    <row r="102" ht="14.25" customHeight="1">
      <c r="A102" s="126"/>
      <c r="G102" s="155"/>
      <c r="H102" s="155"/>
      <c r="I102" s="155"/>
      <c r="J102" s="155"/>
      <c r="K102" s="155"/>
      <c r="L102" s="155"/>
      <c r="M102" s="155"/>
    </row>
    <row r="103" ht="14.25" customHeight="1">
      <c r="A103" s="126"/>
      <c r="G103" s="155"/>
      <c r="H103" s="155"/>
      <c r="I103" s="155"/>
      <c r="J103" s="155"/>
      <c r="K103" s="155"/>
      <c r="L103" s="155"/>
      <c r="M103" s="155"/>
    </row>
    <row r="104" ht="14.25" customHeight="1">
      <c r="A104" s="126"/>
      <c r="G104" s="155"/>
      <c r="H104" s="155"/>
      <c r="I104" s="155"/>
      <c r="J104" s="155"/>
      <c r="K104" s="155"/>
      <c r="L104" s="155"/>
      <c r="M104" s="155"/>
    </row>
    <row r="105" ht="14.25" customHeight="1">
      <c r="A105" s="126"/>
      <c r="G105" s="155"/>
      <c r="H105" s="155"/>
      <c r="I105" s="155"/>
      <c r="J105" s="155"/>
      <c r="K105" s="155"/>
      <c r="L105" s="155"/>
      <c r="M105" s="155"/>
    </row>
    <row r="106" ht="14.25" customHeight="1">
      <c r="A106" s="126"/>
      <c r="G106" s="155"/>
      <c r="H106" s="155"/>
      <c r="I106" s="155"/>
      <c r="J106" s="155"/>
      <c r="K106" s="155"/>
      <c r="L106" s="155"/>
      <c r="M106" s="155"/>
    </row>
    <row r="107" ht="14.25" customHeight="1">
      <c r="A107" s="126"/>
      <c r="G107" s="155"/>
      <c r="H107" s="155"/>
      <c r="I107" s="155"/>
      <c r="J107" s="155"/>
      <c r="K107" s="155"/>
      <c r="L107" s="155"/>
      <c r="M107" s="155"/>
    </row>
    <row r="108" ht="14.25" customHeight="1">
      <c r="A108" s="126"/>
      <c r="G108" s="155"/>
      <c r="H108" s="155"/>
      <c r="I108" s="155"/>
      <c r="J108" s="155"/>
      <c r="K108" s="155"/>
      <c r="L108" s="155"/>
      <c r="M108" s="155"/>
    </row>
    <row r="109" ht="14.25" customHeight="1">
      <c r="A109" s="126"/>
      <c r="G109" s="155"/>
      <c r="H109" s="155"/>
      <c r="I109" s="155"/>
      <c r="J109" s="155"/>
      <c r="K109" s="155"/>
      <c r="L109" s="155"/>
      <c r="M109" s="155"/>
    </row>
    <row r="110" ht="14.25" customHeight="1">
      <c r="A110" s="126"/>
      <c r="G110" s="155"/>
      <c r="H110" s="155"/>
      <c r="I110" s="155"/>
      <c r="J110" s="155"/>
      <c r="K110" s="155"/>
      <c r="L110" s="155"/>
      <c r="M110" s="155"/>
    </row>
    <row r="111" ht="14.25" customHeight="1">
      <c r="A111" s="126"/>
      <c r="G111" s="155"/>
      <c r="H111" s="155"/>
      <c r="I111" s="155"/>
      <c r="J111" s="155"/>
      <c r="K111" s="155"/>
      <c r="L111" s="155"/>
      <c r="M111" s="155"/>
    </row>
    <row r="112" ht="14.25" customHeight="1">
      <c r="A112" s="126"/>
      <c r="G112" s="155"/>
      <c r="H112" s="155"/>
      <c r="I112" s="155"/>
      <c r="J112" s="155"/>
      <c r="K112" s="155"/>
      <c r="L112" s="155"/>
      <c r="M112" s="155"/>
    </row>
    <row r="113" ht="14.25" customHeight="1">
      <c r="A113" s="126"/>
      <c r="G113" s="155"/>
      <c r="H113" s="155"/>
      <c r="I113" s="155"/>
      <c r="J113" s="155"/>
      <c r="K113" s="155"/>
      <c r="L113" s="155"/>
      <c r="M113" s="155"/>
    </row>
    <row r="114" ht="14.25" customHeight="1">
      <c r="A114" s="126"/>
      <c r="G114" s="155"/>
      <c r="H114" s="155"/>
      <c r="I114" s="155"/>
      <c r="J114" s="155"/>
      <c r="K114" s="155"/>
      <c r="L114" s="155"/>
      <c r="M114" s="155"/>
    </row>
    <row r="115" ht="14.25" customHeight="1">
      <c r="A115" s="126"/>
      <c r="G115" s="155"/>
      <c r="H115" s="155"/>
      <c r="I115" s="155"/>
      <c r="J115" s="155"/>
      <c r="K115" s="155"/>
      <c r="L115" s="155"/>
      <c r="M115" s="155"/>
    </row>
    <row r="116" ht="14.25" customHeight="1">
      <c r="A116" s="126"/>
      <c r="G116" s="155"/>
      <c r="H116" s="155"/>
      <c r="I116" s="155"/>
      <c r="J116" s="155"/>
      <c r="K116" s="155"/>
      <c r="L116" s="155"/>
      <c r="M116" s="155"/>
    </row>
    <row r="117" ht="14.25" customHeight="1">
      <c r="A117" s="126"/>
      <c r="G117" s="155"/>
      <c r="H117" s="155"/>
      <c r="I117" s="155"/>
      <c r="J117" s="155"/>
      <c r="K117" s="155"/>
      <c r="L117" s="155"/>
      <c r="M117" s="155"/>
    </row>
    <row r="118" ht="14.25" customHeight="1">
      <c r="A118" s="126"/>
      <c r="G118" s="155"/>
      <c r="H118" s="155"/>
      <c r="I118" s="155"/>
      <c r="J118" s="155"/>
      <c r="K118" s="155"/>
      <c r="L118" s="155"/>
      <c r="M118" s="155"/>
    </row>
    <row r="119" ht="14.25" customHeight="1">
      <c r="A119" s="126"/>
      <c r="G119" s="155"/>
      <c r="H119" s="155"/>
      <c r="I119" s="155"/>
      <c r="J119" s="155"/>
      <c r="K119" s="155"/>
      <c r="L119" s="155"/>
      <c r="M119" s="155"/>
    </row>
    <row r="120" ht="14.25" customHeight="1">
      <c r="A120" s="126"/>
      <c r="G120" s="155"/>
      <c r="H120" s="155"/>
      <c r="I120" s="155"/>
      <c r="J120" s="155"/>
      <c r="K120" s="155"/>
      <c r="L120" s="155"/>
      <c r="M120" s="155"/>
    </row>
    <row r="121" ht="14.25" customHeight="1">
      <c r="A121" s="126"/>
      <c r="G121" s="155"/>
      <c r="H121" s="155"/>
      <c r="I121" s="155"/>
      <c r="J121" s="155"/>
      <c r="K121" s="155"/>
      <c r="L121" s="155"/>
      <c r="M121" s="155"/>
    </row>
    <row r="122" ht="14.25" customHeight="1">
      <c r="A122" s="126"/>
      <c r="G122" s="155"/>
      <c r="H122" s="155"/>
      <c r="I122" s="155"/>
      <c r="J122" s="155"/>
      <c r="K122" s="155"/>
      <c r="L122" s="155"/>
      <c r="M122" s="155"/>
    </row>
    <row r="123" ht="14.25" customHeight="1">
      <c r="A123" s="126"/>
      <c r="G123" s="155"/>
      <c r="H123" s="155"/>
      <c r="I123" s="155"/>
      <c r="J123" s="155"/>
      <c r="K123" s="155"/>
      <c r="L123" s="155"/>
      <c r="M123" s="155"/>
    </row>
    <row r="124" ht="14.25" customHeight="1">
      <c r="A124" s="126"/>
      <c r="G124" s="155"/>
      <c r="H124" s="155"/>
      <c r="I124" s="155"/>
      <c r="J124" s="155"/>
      <c r="K124" s="155"/>
      <c r="L124" s="155"/>
      <c r="M124" s="155"/>
    </row>
    <row r="125" ht="14.25" customHeight="1">
      <c r="A125" s="126"/>
      <c r="G125" s="155"/>
      <c r="H125" s="155"/>
      <c r="I125" s="155"/>
      <c r="J125" s="155"/>
      <c r="K125" s="155"/>
      <c r="L125" s="155"/>
      <c r="M125" s="155"/>
    </row>
    <row r="126" ht="14.25" customHeight="1">
      <c r="A126" s="126"/>
      <c r="G126" s="155"/>
      <c r="H126" s="155"/>
      <c r="I126" s="155"/>
      <c r="J126" s="155"/>
      <c r="K126" s="155"/>
      <c r="L126" s="155"/>
      <c r="M126" s="155"/>
    </row>
    <row r="127" ht="14.25" customHeight="1">
      <c r="A127" s="126"/>
      <c r="G127" s="155"/>
      <c r="H127" s="155"/>
      <c r="I127" s="155"/>
      <c r="J127" s="155"/>
      <c r="K127" s="155"/>
      <c r="L127" s="155"/>
      <c r="M127" s="155"/>
    </row>
    <row r="128" ht="14.25" customHeight="1">
      <c r="A128" s="126"/>
      <c r="G128" s="155"/>
      <c r="H128" s="155"/>
      <c r="I128" s="155"/>
      <c r="J128" s="155"/>
      <c r="K128" s="155"/>
      <c r="L128" s="155"/>
      <c r="M128" s="155"/>
    </row>
    <row r="129" ht="14.25" customHeight="1">
      <c r="A129" s="126"/>
      <c r="G129" s="155"/>
      <c r="H129" s="155"/>
      <c r="I129" s="155"/>
      <c r="J129" s="155"/>
      <c r="K129" s="155"/>
      <c r="L129" s="155"/>
      <c r="M129" s="155"/>
    </row>
    <row r="130" ht="14.25" customHeight="1">
      <c r="A130" s="126"/>
      <c r="G130" s="155"/>
      <c r="H130" s="155"/>
      <c r="I130" s="155"/>
      <c r="J130" s="155"/>
      <c r="K130" s="155"/>
      <c r="L130" s="155"/>
      <c r="M130" s="155"/>
    </row>
    <row r="131" ht="14.25" customHeight="1">
      <c r="A131" s="126"/>
      <c r="G131" s="155"/>
      <c r="H131" s="155"/>
      <c r="I131" s="155"/>
      <c r="J131" s="155"/>
      <c r="K131" s="155"/>
      <c r="L131" s="155"/>
      <c r="M131" s="155"/>
    </row>
    <row r="132" ht="14.25" customHeight="1">
      <c r="A132" s="126"/>
      <c r="G132" s="155"/>
      <c r="H132" s="155"/>
      <c r="I132" s="155"/>
      <c r="J132" s="155"/>
      <c r="K132" s="155"/>
      <c r="L132" s="155"/>
      <c r="M132" s="155"/>
    </row>
    <row r="133" ht="14.25" customHeight="1">
      <c r="A133" s="126"/>
      <c r="G133" s="155"/>
      <c r="H133" s="155"/>
      <c r="I133" s="155"/>
      <c r="J133" s="155"/>
      <c r="K133" s="155"/>
      <c r="L133" s="155"/>
      <c r="M133" s="155"/>
    </row>
    <row r="134" ht="14.25" customHeight="1">
      <c r="A134" s="126"/>
      <c r="G134" s="155"/>
      <c r="H134" s="155"/>
      <c r="I134" s="155"/>
      <c r="J134" s="155"/>
      <c r="K134" s="155"/>
      <c r="L134" s="155"/>
      <c r="M134" s="155"/>
    </row>
    <row r="135" ht="14.25" customHeight="1">
      <c r="A135" s="126"/>
      <c r="G135" s="155"/>
      <c r="H135" s="155"/>
      <c r="I135" s="155"/>
      <c r="J135" s="155"/>
      <c r="K135" s="155"/>
      <c r="L135" s="155"/>
      <c r="M135" s="155"/>
    </row>
    <row r="136" ht="14.25" customHeight="1">
      <c r="A136" s="126"/>
      <c r="G136" s="155"/>
      <c r="H136" s="155"/>
      <c r="I136" s="155"/>
      <c r="J136" s="155"/>
      <c r="K136" s="155"/>
      <c r="L136" s="155"/>
      <c r="M136" s="155"/>
    </row>
    <row r="137" ht="14.25" customHeight="1">
      <c r="A137" s="126"/>
      <c r="G137" s="155"/>
      <c r="H137" s="155"/>
      <c r="I137" s="155"/>
      <c r="J137" s="155"/>
      <c r="K137" s="155"/>
      <c r="L137" s="155"/>
      <c r="M137" s="155"/>
    </row>
    <row r="138" ht="14.25" customHeight="1">
      <c r="A138" s="126"/>
      <c r="G138" s="155"/>
      <c r="H138" s="155"/>
      <c r="I138" s="155"/>
      <c r="J138" s="155"/>
      <c r="K138" s="155"/>
      <c r="L138" s="155"/>
      <c r="M138" s="155"/>
    </row>
    <row r="139" ht="14.25" customHeight="1">
      <c r="A139" s="126"/>
      <c r="G139" s="155"/>
      <c r="H139" s="155"/>
      <c r="I139" s="155"/>
      <c r="J139" s="155"/>
      <c r="K139" s="155"/>
      <c r="L139" s="155"/>
      <c r="M139" s="155"/>
    </row>
    <row r="140" ht="14.25" customHeight="1">
      <c r="A140" s="126"/>
      <c r="G140" s="155"/>
      <c r="H140" s="155"/>
      <c r="I140" s="155"/>
      <c r="J140" s="155"/>
      <c r="K140" s="155"/>
      <c r="L140" s="155"/>
      <c r="M140" s="155"/>
    </row>
    <row r="141" ht="14.25" customHeight="1">
      <c r="A141" s="126"/>
      <c r="G141" s="155"/>
      <c r="H141" s="155"/>
      <c r="I141" s="155"/>
      <c r="J141" s="155"/>
      <c r="K141" s="155"/>
      <c r="L141" s="155"/>
      <c r="M141" s="155"/>
    </row>
    <row r="142" ht="14.25" customHeight="1">
      <c r="A142" s="126"/>
      <c r="G142" s="155"/>
      <c r="H142" s="155"/>
      <c r="I142" s="155"/>
      <c r="J142" s="155"/>
      <c r="K142" s="155"/>
      <c r="L142" s="155"/>
      <c r="M142" s="155"/>
    </row>
    <row r="143" ht="14.25" customHeight="1">
      <c r="A143" s="126"/>
      <c r="G143" s="155"/>
      <c r="H143" s="155"/>
      <c r="I143" s="155"/>
      <c r="J143" s="155"/>
      <c r="K143" s="155"/>
      <c r="L143" s="155"/>
      <c r="M143" s="155"/>
    </row>
    <row r="144" ht="14.25" customHeight="1">
      <c r="A144" s="126"/>
      <c r="G144" s="155"/>
      <c r="H144" s="155"/>
      <c r="I144" s="155"/>
      <c r="J144" s="155"/>
      <c r="K144" s="155"/>
      <c r="L144" s="155"/>
      <c r="M144" s="155"/>
    </row>
    <row r="145" ht="14.25" customHeight="1">
      <c r="A145" s="126"/>
      <c r="G145" s="155"/>
      <c r="H145" s="155"/>
      <c r="I145" s="155"/>
      <c r="J145" s="155"/>
      <c r="K145" s="155"/>
      <c r="L145" s="155"/>
      <c r="M145" s="155"/>
    </row>
    <row r="146" ht="14.25" customHeight="1">
      <c r="A146" s="126"/>
      <c r="G146" s="155"/>
      <c r="H146" s="155"/>
      <c r="I146" s="155"/>
      <c r="J146" s="155"/>
      <c r="K146" s="155"/>
      <c r="L146" s="155"/>
      <c r="M146" s="155"/>
    </row>
    <row r="147" ht="14.25" customHeight="1">
      <c r="A147" s="126"/>
      <c r="G147" s="155"/>
      <c r="H147" s="155"/>
      <c r="I147" s="155"/>
      <c r="J147" s="155"/>
      <c r="K147" s="155"/>
      <c r="L147" s="155"/>
      <c r="M147" s="155"/>
    </row>
    <row r="148" ht="14.25" customHeight="1">
      <c r="A148" s="126"/>
      <c r="G148" s="155"/>
      <c r="H148" s="155"/>
      <c r="I148" s="155"/>
      <c r="J148" s="155"/>
      <c r="K148" s="155"/>
      <c r="L148" s="155"/>
      <c r="M148" s="155"/>
    </row>
    <row r="149" ht="14.25" customHeight="1">
      <c r="A149" s="126"/>
      <c r="G149" s="155"/>
      <c r="H149" s="155"/>
      <c r="I149" s="155"/>
      <c r="J149" s="155"/>
      <c r="K149" s="155"/>
      <c r="L149" s="155"/>
      <c r="M149" s="155"/>
    </row>
    <row r="150" ht="14.25" customHeight="1">
      <c r="A150" s="126"/>
      <c r="G150" s="155"/>
      <c r="H150" s="155"/>
      <c r="I150" s="155"/>
      <c r="J150" s="155"/>
      <c r="K150" s="155"/>
      <c r="L150" s="155"/>
      <c r="M150" s="155"/>
    </row>
    <row r="151" ht="14.25" customHeight="1">
      <c r="A151" s="126"/>
      <c r="G151" s="155"/>
      <c r="H151" s="155"/>
      <c r="I151" s="155"/>
      <c r="J151" s="155"/>
      <c r="K151" s="155"/>
      <c r="L151" s="155"/>
      <c r="M151" s="155"/>
    </row>
    <row r="152" ht="14.25" customHeight="1">
      <c r="A152" s="126"/>
      <c r="G152" s="155"/>
      <c r="H152" s="155"/>
      <c r="I152" s="155"/>
      <c r="J152" s="155"/>
      <c r="K152" s="155"/>
      <c r="L152" s="155"/>
      <c r="M152" s="155"/>
    </row>
    <row r="153" ht="14.25" customHeight="1">
      <c r="A153" s="126"/>
      <c r="G153" s="155"/>
      <c r="H153" s="155"/>
      <c r="I153" s="155"/>
      <c r="J153" s="155"/>
      <c r="K153" s="155"/>
      <c r="L153" s="155"/>
      <c r="M153" s="155"/>
    </row>
    <row r="154" ht="14.25" customHeight="1">
      <c r="A154" s="126"/>
      <c r="G154" s="155"/>
      <c r="H154" s="155"/>
      <c r="I154" s="155"/>
      <c r="J154" s="155"/>
      <c r="K154" s="155"/>
      <c r="L154" s="155"/>
      <c r="M154" s="155"/>
    </row>
    <row r="155" ht="14.25" customHeight="1">
      <c r="A155" s="126"/>
      <c r="G155" s="155"/>
      <c r="H155" s="155"/>
      <c r="I155" s="155"/>
      <c r="J155" s="155"/>
      <c r="K155" s="155"/>
      <c r="L155" s="155"/>
      <c r="M155" s="155"/>
    </row>
    <row r="156" ht="14.25" customHeight="1">
      <c r="A156" s="126"/>
      <c r="G156" s="155"/>
      <c r="H156" s="155"/>
      <c r="I156" s="155"/>
      <c r="J156" s="155"/>
      <c r="K156" s="155"/>
      <c r="L156" s="155"/>
      <c r="M156" s="155"/>
    </row>
    <row r="157" ht="14.25" customHeight="1">
      <c r="A157" s="126"/>
      <c r="G157" s="155"/>
      <c r="H157" s="155"/>
      <c r="I157" s="155"/>
      <c r="J157" s="155"/>
      <c r="K157" s="155"/>
      <c r="L157" s="155"/>
      <c r="M157" s="155"/>
    </row>
    <row r="158" ht="14.25" customHeight="1">
      <c r="A158" s="126"/>
      <c r="G158" s="155"/>
      <c r="H158" s="155"/>
      <c r="I158" s="155"/>
      <c r="J158" s="155"/>
      <c r="K158" s="155"/>
      <c r="L158" s="155"/>
      <c r="M158" s="155"/>
    </row>
    <row r="159" ht="14.25" customHeight="1">
      <c r="A159" s="126"/>
      <c r="G159" s="155"/>
      <c r="H159" s="155"/>
      <c r="I159" s="155"/>
      <c r="J159" s="155"/>
      <c r="K159" s="155"/>
      <c r="L159" s="155"/>
      <c r="M159" s="155"/>
    </row>
    <row r="160" ht="14.25" customHeight="1">
      <c r="A160" s="126"/>
      <c r="G160" s="155"/>
      <c r="H160" s="155"/>
      <c r="I160" s="155"/>
      <c r="J160" s="155"/>
      <c r="K160" s="155"/>
      <c r="L160" s="155"/>
      <c r="M160" s="155"/>
    </row>
    <row r="161" ht="14.25" customHeight="1">
      <c r="A161" s="126"/>
      <c r="G161" s="155"/>
      <c r="H161" s="155"/>
      <c r="I161" s="155"/>
      <c r="J161" s="155"/>
      <c r="K161" s="155"/>
      <c r="L161" s="155"/>
      <c r="M161" s="155"/>
    </row>
    <row r="162" ht="14.25" customHeight="1">
      <c r="A162" s="126"/>
      <c r="G162" s="155"/>
      <c r="H162" s="155"/>
      <c r="I162" s="155"/>
      <c r="J162" s="155"/>
      <c r="K162" s="155"/>
      <c r="L162" s="155"/>
      <c r="M162" s="155"/>
    </row>
    <row r="163" ht="14.25" customHeight="1">
      <c r="A163" s="126"/>
      <c r="G163" s="155"/>
      <c r="H163" s="155"/>
      <c r="I163" s="155"/>
      <c r="J163" s="155"/>
      <c r="K163" s="155"/>
      <c r="L163" s="155"/>
      <c r="M163" s="155"/>
    </row>
    <row r="164" ht="14.25" customHeight="1">
      <c r="A164" s="126"/>
      <c r="G164" s="155"/>
      <c r="H164" s="155"/>
      <c r="I164" s="155"/>
      <c r="J164" s="155"/>
      <c r="K164" s="155"/>
      <c r="L164" s="155"/>
      <c r="M164" s="155"/>
    </row>
    <row r="165" ht="14.25" customHeight="1">
      <c r="A165" s="126"/>
      <c r="G165" s="155"/>
      <c r="H165" s="155"/>
      <c r="I165" s="155"/>
      <c r="J165" s="155"/>
      <c r="K165" s="155"/>
      <c r="L165" s="155"/>
      <c r="M165" s="155"/>
    </row>
    <row r="166" ht="14.25" customHeight="1">
      <c r="A166" s="126"/>
      <c r="G166" s="155"/>
      <c r="H166" s="155"/>
      <c r="I166" s="155"/>
      <c r="J166" s="155"/>
      <c r="K166" s="155"/>
      <c r="L166" s="155"/>
      <c r="M166" s="155"/>
    </row>
    <row r="167" ht="14.25" customHeight="1">
      <c r="A167" s="126"/>
      <c r="G167" s="155"/>
      <c r="H167" s="155"/>
      <c r="I167" s="155"/>
      <c r="J167" s="155"/>
      <c r="K167" s="155"/>
      <c r="L167" s="155"/>
      <c r="M167" s="155"/>
    </row>
    <row r="168" ht="14.25" customHeight="1">
      <c r="A168" s="126"/>
      <c r="G168" s="155"/>
      <c r="H168" s="155"/>
      <c r="I168" s="155"/>
      <c r="J168" s="155"/>
      <c r="K168" s="155"/>
      <c r="L168" s="155"/>
      <c r="M168" s="155"/>
    </row>
    <row r="169" ht="14.25" customHeight="1">
      <c r="A169" s="126"/>
      <c r="G169" s="155"/>
      <c r="H169" s="155"/>
      <c r="I169" s="155"/>
      <c r="J169" s="155"/>
      <c r="K169" s="155"/>
      <c r="L169" s="155"/>
      <c r="M169" s="155"/>
    </row>
    <row r="170" ht="14.25" customHeight="1">
      <c r="A170" s="126"/>
      <c r="G170" s="155"/>
      <c r="H170" s="155"/>
      <c r="I170" s="155"/>
      <c r="J170" s="155"/>
      <c r="K170" s="155"/>
      <c r="L170" s="155"/>
      <c r="M170" s="155"/>
    </row>
    <row r="171" ht="14.25" customHeight="1">
      <c r="A171" s="126"/>
      <c r="G171" s="155"/>
      <c r="H171" s="155"/>
      <c r="I171" s="155"/>
      <c r="J171" s="155"/>
      <c r="K171" s="155"/>
      <c r="L171" s="155"/>
      <c r="M171" s="155"/>
    </row>
    <row r="172" ht="14.25" customHeight="1">
      <c r="A172" s="126"/>
      <c r="G172" s="155"/>
      <c r="H172" s="155"/>
      <c r="I172" s="155"/>
      <c r="J172" s="155"/>
      <c r="K172" s="155"/>
      <c r="L172" s="155"/>
      <c r="M172" s="155"/>
    </row>
    <row r="173" ht="14.25" customHeight="1">
      <c r="A173" s="126"/>
      <c r="G173" s="155"/>
      <c r="H173" s="155"/>
      <c r="I173" s="155"/>
      <c r="J173" s="155"/>
      <c r="K173" s="155"/>
      <c r="L173" s="155"/>
      <c r="M173" s="155"/>
    </row>
    <row r="174" ht="14.25" customHeight="1">
      <c r="A174" s="126"/>
      <c r="G174" s="155"/>
      <c r="H174" s="155"/>
      <c r="I174" s="155"/>
      <c r="J174" s="155"/>
      <c r="K174" s="155"/>
      <c r="L174" s="155"/>
      <c r="M174" s="155"/>
    </row>
    <row r="175" ht="14.25" customHeight="1">
      <c r="A175" s="126"/>
      <c r="G175" s="155"/>
      <c r="H175" s="155"/>
      <c r="I175" s="155"/>
      <c r="J175" s="155"/>
      <c r="K175" s="155"/>
      <c r="L175" s="155"/>
      <c r="M175" s="155"/>
    </row>
    <row r="176" ht="14.25" customHeight="1">
      <c r="A176" s="126"/>
      <c r="G176" s="155"/>
      <c r="H176" s="155"/>
      <c r="I176" s="155"/>
      <c r="J176" s="155"/>
      <c r="K176" s="155"/>
      <c r="L176" s="155"/>
      <c r="M176" s="155"/>
    </row>
    <row r="177" ht="14.25" customHeight="1">
      <c r="A177" s="126"/>
      <c r="G177" s="155"/>
      <c r="H177" s="155"/>
      <c r="I177" s="155"/>
      <c r="J177" s="155"/>
      <c r="K177" s="155"/>
      <c r="L177" s="155"/>
      <c r="M177" s="155"/>
    </row>
    <row r="178" ht="14.25" customHeight="1">
      <c r="A178" s="126"/>
      <c r="G178" s="155"/>
      <c r="H178" s="155"/>
      <c r="I178" s="155"/>
      <c r="J178" s="155"/>
      <c r="K178" s="155"/>
      <c r="L178" s="155"/>
      <c r="M178" s="155"/>
    </row>
    <row r="179" ht="14.25" customHeight="1">
      <c r="A179" s="126"/>
      <c r="G179" s="155"/>
      <c r="H179" s="155"/>
      <c r="I179" s="155"/>
      <c r="J179" s="155"/>
      <c r="K179" s="155"/>
      <c r="L179" s="155"/>
      <c r="M179" s="155"/>
    </row>
    <row r="180" ht="14.25" customHeight="1">
      <c r="A180" s="126"/>
      <c r="G180" s="155"/>
      <c r="H180" s="155"/>
      <c r="I180" s="155"/>
      <c r="J180" s="155"/>
      <c r="K180" s="155"/>
      <c r="L180" s="155"/>
      <c r="M180" s="155"/>
    </row>
    <row r="181" ht="14.25" customHeight="1">
      <c r="A181" s="126"/>
      <c r="G181" s="155"/>
      <c r="H181" s="155"/>
      <c r="I181" s="155"/>
      <c r="J181" s="155"/>
      <c r="K181" s="155"/>
      <c r="L181" s="155"/>
      <c r="M181" s="155"/>
    </row>
    <row r="182" ht="14.25" customHeight="1">
      <c r="A182" s="126"/>
      <c r="G182" s="155"/>
      <c r="H182" s="155"/>
      <c r="I182" s="155"/>
      <c r="J182" s="155"/>
      <c r="K182" s="155"/>
      <c r="L182" s="155"/>
      <c r="M182" s="155"/>
    </row>
    <row r="183" ht="14.25" customHeight="1">
      <c r="A183" s="126"/>
      <c r="G183" s="155"/>
      <c r="H183" s="155"/>
      <c r="I183" s="155"/>
      <c r="J183" s="155"/>
      <c r="K183" s="155"/>
      <c r="L183" s="155"/>
      <c r="M183" s="155"/>
    </row>
    <row r="184" ht="14.25" customHeight="1">
      <c r="A184" s="126"/>
      <c r="G184" s="155"/>
      <c r="H184" s="155"/>
      <c r="I184" s="155"/>
      <c r="J184" s="155"/>
      <c r="K184" s="155"/>
      <c r="L184" s="155"/>
      <c r="M184" s="155"/>
    </row>
    <row r="185" ht="14.25" customHeight="1">
      <c r="A185" s="126"/>
      <c r="G185" s="155"/>
      <c r="H185" s="155"/>
      <c r="I185" s="155"/>
      <c r="J185" s="155"/>
      <c r="K185" s="155"/>
      <c r="L185" s="155"/>
      <c r="M185" s="155"/>
    </row>
    <row r="186" ht="14.25" customHeight="1">
      <c r="A186" s="126"/>
      <c r="G186" s="155"/>
      <c r="H186" s="155"/>
      <c r="I186" s="155"/>
      <c r="J186" s="155"/>
      <c r="K186" s="155"/>
      <c r="L186" s="155"/>
      <c r="M186" s="155"/>
    </row>
    <row r="187" ht="14.25" customHeight="1">
      <c r="A187" s="126"/>
      <c r="G187" s="155"/>
      <c r="H187" s="155"/>
      <c r="I187" s="155"/>
      <c r="J187" s="155"/>
      <c r="K187" s="155"/>
      <c r="L187" s="155"/>
      <c r="M187" s="155"/>
    </row>
    <row r="188" ht="14.25" customHeight="1">
      <c r="A188" s="126"/>
      <c r="G188" s="155"/>
      <c r="H188" s="155"/>
      <c r="I188" s="155"/>
      <c r="J188" s="155"/>
      <c r="K188" s="155"/>
      <c r="L188" s="155"/>
      <c r="M188" s="155"/>
    </row>
    <row r="189" ht="14.25" customHeight="1">
      <c r="A189" s="126"/>
      <c r="G189" s="155"/>
      <c r="H189" s="155"/>
      <c r="I189" s="155"/>
      <c r="J189" s="155"/>
      <c r="K189" s="155"/>
      <c r="L189" s="155"/>
      <c r="M189" s="155"/>
    </row>
    <row r="190" ht="14.25" customHeight="1">
      <c r="A190" s="126"/>
      <c r="G190" s="155"/>
      <c r="H190" s="155"/>
      <c r="I190" s="155"/>
      <c r="J190" s="155"/>
      <c r="K190" s="155"/>
      <c r="L190" s="155"/>
      <c r="M190" s="155"/>
    </row>
    <row r="191" ht="14.25" customHeight="1">
      <c r="A191" s="126"/>
      <c r="G191" s="155"/>
      <c r="H191" s="155"/>
      <c r="I191" s="155"/>
      <c r="J191" s="155"/>
      <c r="K191" s="155"/>
      <c r="L191" s="155"/>
      <c r="M191" s="155"/>
    </row>
    <row r="192" ht="14.25" customHeight="1">
      <c r="A192" s="126"/>
      <c r="G192" s="155"/>
      <c r="H192" s="155"/>
      <c r="I192" s="155"/>
      <c r="J192" s="155"/>
      <c r="K192" s="155"/>
      <c r="L192" s="155"/>
      <c r="M192" s="155"/>
    </row>
    <row r="193" ht="14.25" customHeight="1">
      <c r="A193" s="126"/>
      <c r="G193" s="155"/>
      <c r="H193" s="155"/>
      <c r="I193" s="155"/>
      <c r="J193" s="155"/>
      <c r="K193" s="155"/>
      <c r="L193" s="155"/>
      <c r="M193" s="155"/>
    </row>
    <row r="194" ht="14.25" customHeight="1">
      <c r="A194" s="126"/>
      <c r="G194" s="155"/>
      <c r="H194" s="155"/>
      <c r="I194" s="155"/>
      <c r="J194" s="155"/>
      <c r="K194" s="155"/>
      <c r="L194" s="155"/>
      <c r="M194" s="155"/>
    </row>
    <row r="195" ht="14.25" customHeight="1">
      <c r="A195" s="126"/>
      <c r="G195" s="155"/>
      <c r="H195" s="155"/>
      <c r="I195" s="155"/>
      <c r="J195" s="155"/>
      <c r="K195" s="155"/>
      <c r="L195" s="155"/>
      <c r="M195" s="155"/>
    </row>
    <row r="196" ht="14.25" customHeight="1">
      <c r="A196" s="126"/>
      <c r="G196" s="155"/>
      <c r="H196" s="155"/>
      <c r="I196" s="155"/>
      <c r="J196" s="155"/>
      <c r="K196" s="155"/>
      <c r="L196" s="155"/>
      <c r="M196" s="155"/>
    </row>
    <row r="197" ht="14.25" customHeight="1">
      <c r="A197" s="126"/>
      <c r="G197" s="155"/>
      <c r="H197" s="155"/>
      <c r="I197" s="155"/>
      <c r="J197" s="155"/>
      <c r="K197" s="155"/>
      <c r="L197" s="155"/>
      <c r="M197" s="155"/>
    </row>
    <row r="198" ht="14.25" customHeight="1">
      <c r="A198" s="126"/>
      <c r="G198" s="155"/>
      <c r="H198" s="155"/>
      <c r="I198" s="155"/>
      <c r="J198" s="155"/>
      <c r="K198" s="155"/>
      <c r="L198" s="155"/>
      <c r="M198" s="155"/>
    </row>
    <row r="199" ht="14.25" customHeight="1">
      <c r="A199" s="126"/>
      <c r="G199" s="155"/>
      <c r="H199" s="155"/>
      <c r="I199" s="155"/>
      <c r="J199" s="155"/>
      <c r="K199" s="155"/>
      <c r="L199" s="155"/>
      <c r="M199" s="155"/>
    </row>
    <row r="200" ht="14.25" customHeight="1">
      <c r="A200" s="126"/>
      <c r="G200" s="155"/>
      <c r="H200" s="155"/>
      <c r="I200" s="155"/>
      <c r="J200" s="155"/>
      <c r="K200" s="155"/>
      <c r="L200" s="155"/>
      <c r="M200" s="155"/>
    </row>
    <row r="201" ht="14.25" customHeight="1">
      <c r="A201" s="126"/>
      <c r="G201" s="155"/>
      <c r="H201" s="155"/>
      <c r="I201" s="155"/>
      <c r="J201" s="155"/>
      <c r="K201" s="155"/>
      <c r="L201" s="155"/>
      <c r="M201" s="155"/>
    </row>
    <row r="202" ht="14.25" customHeight="1">
      <c r="A202" s="126"/>
      <c r="G202" s="155"/>
      <c r="H202" s="155"/>
      <c r="I202" s="155"/>
      <c r="J202" s="155"/>
      <c r="K202" s="155"/>
      <c r="L202" s="155"/>
      <c r="M202" s="155"/>
    </row>
    <row r="203" ht="14.25" customHeight="1">
      <c r="A203" s="126"/>
      <c r="G203" s="155"/>
      <c r="H203" s="155"/>
      <c r="I203" s="155"/>
      <c r="J203" s="155"/>
      <c r="K203" s="155"/>
      <c r="L203" s="155"/>
      <c r="M203" s="155"/>
    </row>
    <row r="204" ht="14.25" customHeight="1">
      <c r="A204" s="126"/>
      <c r="G204" s="155"/>
      <c r="H204" s="155"/>
      <c r="I204" s="155"/>
      <c r="J204" s="155"/>
      <c r="K204" s="155"/>
      <c r="L204" s="155"/>
      <c r="M204" s="155"/>
    </row>
    <row r="205" ht="14.25" customHeight="1">
      <c r="A205" s="126"/>
      <c r="G205" s="155"/>
      <c r="H205" s="155"/>
      <c r="I205" s="155"/>
      <c r="J205" s="155"/>
      <c r="K205" s="155"/>
      <c r="L205" s="155"/>
      <c r="M205" s="155"/>
    </row>
    <row r="206" ht="14.25" customHeight="1">
      <c r="A206" s="126"/>
      <c r="G206" s="155"/>
      <c r="H206" s="155"/>
      <c r="I206" s="155"/>
      <c r="J206" s="155"/>
      <c r="K206" s="155"/>
      <c r="L206" s="155"/>
      <c r="M206" s="155"/>
    </row>
    <row r="207" ht="14.25" customHeight="1">
      <c r="A207" s="126"/>
      <c r="G207" s="155"/>
      <c r="H207" s="155"/>
      <c r="I207" s="155"/>
      <c r="J207" s="155"/>
      <c r="K207" s="155"/>
      <c r="L207" s="155"/>
      <c r="M207" s="155"/>
    </row>
    <row r="208" ht="14.25" customHeight="1">
      <c r="A208" s="126"/>
      <c r="G208" s="155"/>
      <c r="H208" s="155"/>
      <c r="I208" s="155"/>
      <c r="J208" s="155"/>
      <c r="K208" s="155"/>
      <c r="L208" s="155"/>
      <c r="M208" s="155"/>
    </row>
    <row r="209" ht="14.25" customHeight="1">
      <c r="A209" s="126"/>
      <c r="G209" s="155"/>
      <c r="H209" s="155"/>
      <c r="I209" s="155"/>
      <c r="J209" s="155"/>
      <c r="K209" s="155"/>
      <c r="L209" s="155"/>
      <c r="M209" s="155"/>
    </row>
    <row r="210" ht="14.25" customHeight="1">
      <c r="A210" s="126"/>
      <c r="G210" s="155"/>
      <c r="H210" s="155"/>
      <c r="I210" s="155"/>
      <c r="J210" s="155"/>
      <c r="K210" s="155"/>
      <c r="L210" s="155"/>
      <c r="M210" s="155"/>
    </row>
    <row r="211" ht="14.25" customHeight="1">
      <c r="A211" s="126"/>
      <c r="G211" s="155"/>
      <c r="H211" s="155"/>
      <c r="I211" s="155"/>
      <c r="J211" s="155"/>
      <c r="K211" s="155"/>
      <c r="L211" s="155"/>
      <c r="M211" s="155"/>
    </row>
    <row r="212" ht="14.25" customHeight="1">
      <c r="A212" s="126"/>
      <c r="G212" s="155"/>
      <c r="H212" s="155"/>
      <c r="I212" s="155"/>
      <c r="J212" s="155"/>
      <c r="K212" s="155"/>
      <c r="L212" s="155"/>
      <c r="M212" s="155"/>
    </row>
    <row r="213" ht="14.25" customHeight="1">
      <c r="A213" s="126"/>
      <c r="G213" s="155"/>
      <c r="H213" s="155"/>
      <c r="I213" s="155"/>
      <c r="J213" s="155"/>
      <c r="K213" s="155"/>
      <c r="L213" s="155"/>
      <c r="M213" s="155"/>
    </row>
    <row r="214" ht="14.25" customHeight="1">
      <c r="A214" s="126"/>
      <c r="G214" s="155"/>
      <c r="H214" s="155"/>
      <c r="I214" s="155"/>
      <c r="J214" s="155"/>
      <c r="K214" s="155"/>
      <c r="L214" s="155"/>
      <c r="M214" s="155"/>
    </row>
    <row r="215" ht="14.25" customHeight="1">
      <c r="A215" s="126"/>
      <c r="G215" s="155"/>
      <c r="H215" s="155"/>
      <c r="I215" s="155"/>
      <c r="J215" s="155"/>
      <c r="K215" s="155"/>
      <c r="L215" s="155"/>
      <c r="M215" s="155"/>
    </row>
    <row r="216" ht="14.25" customHeight="1">
      <c r="A216" s="126"/>
      <c r="G216" s="155"/>
      <c r="H216" s="155"/>
      <c r="I216" s="155"/>
      <c r="J216" s="155"/>
      <c r="K216" s="155"/>
      <c r="L216" s="155"/>
      <c r="M216" s="155"/>
    </row>
    <row r="217" ht="14.25" customHeight="1">
      <c r="A217" s="126"/>
      <c r="G217" s="155"/>
      <c r="H217" s="155"/>
      <c r="I217" s="155"/>
      <c r="J217" s="155"/>
      <c r="K217" s="155"/>
      <c r="L217" s="155"/>
      <c r="M217" s="155"/>
    </row>
    <row r="218" ht="14.25" customHeight="1">
      <c r="A218" s="126"/>
      <c r="G218" s="155"/>
      <c r="H218" s="155"/>
      <c r="I218" s="155"/>
      <c r="J218" s="155"/>
      <c r="K218" s="155"/>
      <c r="L218" s="155"/>
      <c r="M218" s="155"/>
    </row>
    <row r="219" ht="14.25" customHeight="1">
      <c r="A219" s="126"/>
      <c r="G219" s="155"/>
      <c r="H219" s="155"/>
      <c r="I219" s="155"/>
      <c r="J219" s="155"/>
      <c r="K219" s="155"/>
      <c r="L219" s="155"/>
      <c r="M219" s="155"/>
    </row>
    <row r="220" ht="14.25" customHeight="1">
      <c r="A220" s="126"/>
      <c r="G220" s="155"/>
      <c r="H220" s="155"/>
      <c r="I220" s="155"/>
      <c r="J220" s="155"/>
      <c r="K220" s="155"/>
      <c r="L220" s="155"/>
      <c r="M220" s="155"/>
    </row>
    <row r="221" ht="14.25" customHeight="1">
      <c r="A221" s="126"/>
      <c r="G221" s="155"/>
      <c r="H221" s="155"/>
      <c r="I221" s="155"/>
      <c r="J221" s="155"/>
      <c r="K221" s="155"/>
      <c r="L221" s="155"/>
      <c r="M221" s="155"/>
    </row>
    <row r="222" ht="14.25" customHeight="1">
      <c r="A222" s="126"/>
      <c r="G222" s="155"/>
      <c r="H222" s="155"/>
      <c r="I222" s="155"/>
      <c r="J222" s="155"/>
      <c r="K222" s="155"/>
      <c r="L222" s="155"/>
      <c r="M222" s="155"/>
    </row>
    <row r="223" ht="14.25" customHeight="1">
      <c r="A223" s="126"/>
      <c r="G223" s="155"/>
      <c r="H223" s="155"/>
      <c r="I223" s="155"/>
      <c r="J223" s="155"/>
      <c r="K223" s="155"/>
      <c r="L223" s="155"/>
      <c r="M223" s="155"/>
    </row>
    <row r="224" ht="14.25" customHeight="1">
      <c r="A224" s="126"/>
      <c r="G224" s="155"/>
      <c r="H224" s="155"/>
      <c r="I224" s="155"/>
      <c r="J224" s="155"/>
      <c r="K224" s="155"/>
      <c r="L224" s="155"/>
      <c r="M224" s="155"/>
    </row>
    <row r="225" ht="14.25" customHeight="1">
      <c r="A225" s="126"/>
      <c r="G225" s="155"/>
      <c r="H225" s="155"/>
      <c r="I225" s="155"/>
      <c r="J225" s="155"/>
      <c r="K225" s="155"/>
      <c r="L225" s="155"/>
      <c r="M225" s="155"/>
    </row>
    <row r="226" ht="14.25" customHeight="1">
      <c r="A226" s="126"/>
      <c r="G226" s="155"/>
      <c r="H226" s="155"/>
      <c r="I226" s="155"/>
      <c r="J226" s="155"/>
      <c r="K226" s="155"/>
      <c r="L226" s="155"/>
      <c r="M226" s="155"/>
    </row>
    <row r="227" ht="14.25" customHeight="1">
      <c r="A227" s="126"/>
      <c r="G227" s="155"/>
      <c r="H227" s="155"/>
      <c r="I227" s="155"/>
      <c r="J227" s="155"/>
      <c r="K227" s="155"/>
      <c r="L227" s="155"/>
      <c r="M227" s="155"/>
    </row>
    <row r="228" ht="14.25" customHeight="1">
      <c r="A228" s="126"/>
      <c r="G228" s="155"/>
      <c r="H228" s="155"/>
      <c r="I228" s="155"/>
      <c r="J228" s="155"/>
      <c r="K228" s="155"/>
      <c r="L228" s="155"/>
      <c r="M228" s="155"/>
    </row>
    <row r="229" ht="14.25" customHeight="1">
      <c r="A229" s="126"/>
      <c r="G229" s="155"/>
      <c r="H229" s="155"/>
      <c r="I229" s="155"/>
      <c r="J229" s="155"/>
      <c r="K229" s="155"/>
      <c r="L229" s="155"/>
      <c r="M229" s="155"/>
    </row>
    <row r="230" ht="14.25" customHeight="1">
      <c r="A230" s="126"/>
      <c r="G230" s="155"/>
      <c r="H230" s="155"/>
      <c r="I230" s="155"/>
      <c r="J230" s="155"/>
      <c r="K230" s="155"/>
      <c r="L230" s="155"/>
      <c r="M230" s="155"/>
    </row>
    <row r="231" ht="14.25" customHeight="1">
      <c r="A231" s="126"/>
      <c r="G231" s="155"/>
      <c r="H231" s="155"/>
      <c r="I231" s="155"/>
      <c r="J231" s="155"/>
      <c r="K231" s="155"/>
      <c r="L231" s="155"/>
      <c r="M231" s="155"/>
    </row>
    <row r="232" ht="14.25" customHeight="1">
      <c r="A232" s="126"/>
      <c r="G232" s="155"/>
      <c r="H232" s="155"/>
      <c r="I232" s="155"/>
      <c r="J232" s="155"/>
      <c r="K232" s="155"/>
      <c r="L232" s="155"/>
      <c r="M232" s="155"/>
    </row>
    <row r="233" ht="14.25" customHeight="1">
      <c r="A233" s="126"/>
      <c r="G233" s="155"/>
      <c r="H233" s="155"/>
      <c r="I233" s="155"/>
      <c r="J233" s="155"/>
      <c r="K233" s="155"/>
      <c r="L233" s="155"/>
      <c r="M233" s="155"/>
    </row>
    <row r="234" ht="14.25" customHeight="1">
      <c r="A234" s="126"/>
      <c r="G234" s="155"/>
      <c r="H234" s="155"/>
      <c r="I234" s="155"/>
      <c r="J234" s="155"/>
      <c r="K234" s="155"/>
      <c r="L234" s="155"/>
      <c r="M234" s="155"/>
    </row>
    <row r="235" ht="14.25" customHeight="1">
      <c r="A235" s="126"/>
      <c r="G235" s="155"/>
      <c r="H235" s="155"/>
      <c r="I235" s="155"/>
      <c r="J235" s="155"/>
      <c r="K235" s="155"/>
      <c r="L235" s="155"/>
      <c r="M235" s="155"/>
    </row>
    <row r="236" ht="14.25" customHeight="1">
      <c r="A236" s="126"/>
      <c r="G236" s="155"/>
      <c r="H236" s="155"/>
      <c r="I236" s="155"/>
      <c r="J236" s="155"/>
      <c r="K236" s="155"/>
      <c r="L236" s="155"/>
      <c r="M236" s="155"/>
    </row>
    <row r="237" ht="14.25" customHeight="1">
      <c r="A237" s="126"/>
      <c r="G237" s="155"/>
      <c r="H237" s="155"/>
      <c r="I237" s="155"/>
      <c r="J237" s="155"/>
      <c r="K237" s="155"/>
      <c r="L237" s="155"/>
      <c r="M237" s="155"/>
    </row>
    <row r="238" ht="14.25" customHeight="1">
      <c r="A238" s="126"/>
      <c r="G238" s="155"/>
      <c r="H238" s="155"/>
      <c r="I238" s="155"/>
      <c r="J238" s="155"/>
      <c r="K238" s="155"/>
      <c r="L238" s="155"/>
      <c r="M238" s="155"/>
    </row>
    <row r="239" ht="14.25" customHeight="1">
      <c r="A239" s="126"/>
      <c r="G239" s="155"/>
      <c r="H239" s="155"/>
      <c r="I239" s="155"/>
      <c r="J239" s="155"/>
      <c r="K239" s="155"/>
      <c r="L239" s="155"/>
      <c r="M239" s="155"/>
    </row>
    <row r="240" ht="14.25" customHeight="1">
      <c r="A240" s="126"/>
      <c r="G240" s="155"/>
      <c r="H240" s="155"/>
      <c r="I240" s="155"/>
      <c r="J240" s="155"/>
      <c r="K240" s="155"/>
      <c r="L240" s="155"/>
      <c r="M240" s="155"/>
    </row>
    <row r="241" ht="14.25" customHeight="1">
      <c r="A241" s="126"/>
      <c r="G241" s="155"/>
      <c r="H241" s="155"/>
      <c r="I241" s="155"/>
      <c r="J241" s="155"/>
      <c r="K241" s="155"/>
      <c r="L241" s="155"/>
      <c r="M241" s="155"/>
    </row>
    <row r="242" ht="14.25" customHeight="1">
      <c r="A242" s="126"/>
      <c r="G242" s="155"/>
      <c r="H242" s="155"/>
      <c r="I242" s="155"/>
      <c r="J242" s="155"/>
      <c r="K242" s="155"/>
      <c r="L242" s="155"/>
      <c r="M242" s="155"/>
    </row>
    <row r="243" ht="14.25" customHeight="1">
      <c r="A243" s="126"/>
      <c r="G243" s="155"/>
      <c r="H243" s="155"/>
      <c r="I243" s="155"/>
      <c r="J243" s="155"/>
      <c r="K243" s="155"/>
      <c r="L243" s="155"/>
      <c r="M243" s="155"/>
    </row>
    <row r="244" ht="14.25" customHeight="1">
      <c r="A244" s="126"/>
      <c r="G244" s="155"/>
      <c r="H244" s="155"/>
      <c r="I244" s="155"/>
      <c r="J244" s="155"/>
      <c r="K244" s="155"/>
      <c r="L244" s="155"/>
      <c r="M244" s="155"/>
    </row>
    <row r="245" ht="14.25" customHeight="1">
      <c r="A245" s="126"/>
      <c r="G245" s="155"/>
      <c r="H245" s="155"/>
      <c r="I245" s="155"/>
      <c r="J245" s="155"/>
      <c r="K245" s="155"/>
      <c r="L245" s="155"/>
      <c r="M245" s="155"/>
    </row>
    <row r="246" ht="14.25" customHeight="1">
      <c r="A246" s="126"/>
      <c r="G246" s="155"/>
      <c r="H246" s="155"/>
      <c r="I246" s="155"/>
      <c r="J246" s="155"/>
      <c r="K246" s="155"/>
      <c r="L246" s="155"/>
      <c r="M246" s="155"/>
    </row>
    <row r="247" ht="14.25" customHeight="1">
      <c r="A247" s="126"/>
      <c r="G247" s="155"/>
      <c r="H247" s="155"/>
      <c r="I247" s="155"/>
      <c r="J247" s="155"/>
      <c r="K247" s="155"/>
      <c r="L247" s="155"/>
      <c r="M247" s="155"/>
    </row>
    <row r="248" ht="14.25" customHeight="1">
      <c r="A248" s="126"/>
      <c r="G248" s="155"/>
      <c r="H248" s="155"/>
      <c r="I248" s="155"/>
      <c r="J248" s="155"/>
      <c r="K248" s="155"/>
      <c r="L248" s="155"/>
      <c r="M248" s="155"/>
    </row>
    <row r="249" ht="14.25" customHeight="1">
      <c r="A249" s="126"/>
      <c r="G249" s="155"/>
      <c r="H249" s="155"/>
      <c r="I249" s="155"/>
      <c r="J249" s="155"/>
      <c r="K249" s="155"/>
      <c r="L249" s="155"/>
      <c r="M249" s="155"/>
    </row>
    <row r="250" ht="14.25" customHeight="1">
      <c r="A250" s="126"/>
      <c r="G250" s="155"/>
      <c r="H250" s="155"/>
      <c r="I250" s="155"/>
      <c r="J250" s="155"/>
      <c r="K250" s="155"/>
      <c r="L250" s="155"/>
      <c r="M250" s="155"/>
    </row>
    <row r="251" ht="14.25" customHeight="1">
      <c r="A251" s="126"/>
      <c r="G251" s="155"/>
      <c r="H251" s="155"/>
      <c r="I251" s="155"/>
      <c r="J251" s="155"/>
      <c r="K251" s="155"/>
      <c r="L251" s="155"/>
      <c r="M251" s="155"/>
    </row>
    <row r="252" ht="14.25" customHeight="1">
      <c r="A252" s="126"/>
      <c r="G252" s="155"/>
      <c r="H252" s="155"/>
      <c r="I252" s="155"/>
      <c r="J252" s="155"/>
      <c r="K252" s="155"/>
      <c r="L252" s="155"/>
      <c r="M252" s="155"/>
    </row>
    <row r="253" ht="14.25" customHeight="1">
      <c r="A253" s="126"/>
      <c r="G253" s="155"/>
      <c r="H253" s="155"/>
      <c r="I253" s="155"/>
      <c r="J253" s="155"/>
      <c r="K253" s="155"/>
      <c r="L253" s="155"/>
      <c r="M253" s="155"/>
    </row>
    <row r="254" ht="14.25" customHeight="1">
      <c r="A254" s="126"/>
      <c r="G254" s="155"/>
      <c r="H254" s="155"/>
      <c r="I254" s="155"/>
      <c r="J254" s="155"/>
      <c r="K254" s="155"/>
      <c r="L254" s="155"/>
      <c r="M254" s="155"/>
    </row>
    <row r="255" ht="14.25" customHeight="1">
      <c r="A255" s="126"/>
      <c r="G255" s="155"/>
      <c r="H255" s="155"/>
      <c r="I255" s="155"/>
      <c r="J255" s="155"/>
      <c r="K255" s="155"/>
      <c r="L255" s="155"/>
      <c r="M255" s="155"/>
    </row>
    <row r="256" ht="14.25" customHeight="1">
      <c r="A256" s="126"/>
      <c r="G256" s="155"/>
      <c r="H256" s="155"/>
      <c r="I256" s="155"/>
      <c r="J256" s="155"/>
      <c r="K256" s="155"/>
      <c r="L256" s="155"/>
      <c r="M256" s="155"/>
    </row>
    <row r="257" ht="14.25" customHeight="1">
      <c r="A257" s="126"/>
      <c r="G257" s="155"/>
      <c r="H257" s="155"/>
      <c r="I257" s="155"/>
      <c r="J257" s="155"/>
      <c r="K257" s="155"/>
      <c r="L257" s="155"/>
      <c r="M257" s="155"/>
    </row>
    <row r="258" ht="14.25" customHeight="1">
      <c r="A258" s="126"/>
      <c r="G258" s="155"/>
      <c r="H258" s="155"/>
      <c r="I258" s="155"/>
      <c r="J258" s="155"/>
      <c r="K258" s="155"/>
      <c r="L258" s="155"/>
      <c r="M258" s="155"/>
    </row>
    <row r="259" ht="14.25" customHeight="1">
      <c r="A259" s="126"/>
      <c r="G259" s="155"/>
      <c r="H259" s="155"/>
      <c r="I259" s="155"/>
      <c r="J259" s="155"/>
      <c r="K259" s="155"/>
      <c r="L259" s="155"/>
      <c r="M259" s="155"/>
    </row>
    <row r="260" ht="14.25" customHeight="1">
      <c r="A260" s="126"/>
      <c r="G260" s="155"/>
      <c r="H260" s="155"/>
      <c r="I260" s="155"/>
      <c r="J260" s="155"/>
      <c r="K260" s="155"/>
      <c r="L260" s="155"/>
      <c r="M260" s="155"/>
    </row>
    <row r="261" ht="14.25" customHeight="1">
      <c r="A261" s="126"/>
      <c r="G261" s="155"/>
      <c r="H261" s="155"/>
      <c r="I261" s="155"/>
      <c r="J261" s="155"/>
      <c r="K261" s="155"/>
      <c r="L261" s="155"/>
      <c r="M261" s="155"/>
    </row>
    <row r="262" ht="14.25" customHeight="1">
      <c r="A262" s="126"/>
      <c r="G262" s="155"/>
      <c r="H262" s="155"/>
      <c r="I262" s="155"/>
      <c r="J262" s="155"/>
      <c r="K262" s="155"/>
      <c r="L262" s="155"/>
      <c r="M262" s="155"/>
    </row>
    <row r="263" ht="14.25" customHeight="1">
      <c r="A263" s="126"/>
      <c r="G263" s="155"/>
      <c r="H263" s="155"/>
      <c r="I263" s="155"/>
      <c r="J263" s="155"/>
      <c r="K263" s="155"/>
      <c r="L263" s="155"/>
      <c r="M263" s="155"/>
    </row>
    <row r="264" ht="14.25" customHeight="1">
      <c r="A264" s="126"/>
      <c r="G264" s="155"/>
      <c r="H264" s="155"/>
      <c r="I264" s="155"/>
      <c r="J264" s="155"/>
      <c r="K264" s="155"/>
      <c r="L264" s="155"/>
      <c r="M264" s="155"/>
    </row>
    <row r="265" ht="14.25" customHeight="1">
      <c r="A265" s="126"/>
      <c r="G265" s="155"/>
      <c r="H265" s="155"/>
      <c r="I265" s="155"/>
      <c r="J265" s="155"/>
      <c r="K265" s="155"/>
      <c r="L265" s="155"/>
      <c r="M265" s="155"/>
    </row>
    <row r="266" ht="14.25" customHeight="1">
      <c r="A266" s="126"/>
      <c r="G266" s="155"/>
      <c r="H266" s="155"/>
      <c r="I266" s="155"/>
      <c r="J266" s="155"/>
      <c r="K266" s="155"/>
      <c r="L266" s="155"/>
      <c r="M266" s="155"/>
    </row>
    <row r="267" ht="14.25" customHeight="1">
      <c r="A267" s="126"/>
      <c r="G267" s="155"/>
      <c r="H267" s="155"/>
      <c r="I267" s="155"/>
      <c r="J267" s="155"/>
      <c r="K267" s="155"/>
      <c r="L267" s="155"/>
      <c r="M267" s="155"/>
    </row>
    <row r="268" ht="14.25" customHeight="1">
      <c r="A268" s="126"/>
      <c r="G268" s="155"/>
      <c r="H268" s="155"/>
      <c r="I268" s="155"/>
      <c r="J268" s="155"/>
      <c r="K268" s="155"/>
      <c r="L268" s="155"/>
      <c r="M268" s="155"/>
    </row>
    <row r="269" ht="14.25" customHeight="1">
      <c r="A269" s="126"/>
      <c r="G269" s="155"/>
      <c r="H269" s="155"/>
      <c r="I269" s="155"/>
      <c r="J269" s="155"/>
      <c r="K269" s="155"/>
      <c r="L269" s="155"/>
      <c r="M269" s="155"/>
    </row>
    <row r="270" ht="14.25" customHeight="1">
      <c r="A270" s="126"/>
      <c r="G270" s="155"/>
      <c r="H270" s="155"/>
      <c r="I270" s="155"/>
      <c r="J270" s="155"/>
      <c r="K270" s="155"/>
      <c r="L270" s="155"/>
      <c r="M270" s="155"/>
    </row>
    <row r="271" ht="14.25" customHeight="1">
      <c r="A271" s="126"/>
      <c r="G271" s="155"/>
      <c r="H271" s="155"/>
      <c r="I271" s="155"/>
      <c r="J271" s="155"/>
      <c r="K271" s="155"/>
      <c r="L271" s="155"/>
      <c r="M271" s="155"/>
    </row>
    <row r="272" ht="14.25" customHeight="1">
      <c r="A272" s="126"/>
      <c r="G272" s="155"/>
      <c r="H272" s="155"/>
      <c r="I272" s="155"/>
      <c r="J272" s="155"/>
      <c r="K272" s="155"/>
      <c r="L272" s="155"/>
      <c r="M272" s="155"/>
    </row>
    <row r="273" ht="14.25" customHeight="1">
      <c r="A273" s="126"/>
      <c r="G273" s="155"/>
      <c r="H273" s="155"/>
      <c r="I273" s="155"/>
      <c r="J273" s="155"/>
      <c r="K273" s="155"/>
      <c r="L273" s="155"/>
      <c r="M273" s="155"/>
    </row>
    <row r="274" ht="14.25" customHeight="1">
      <c r="A274" s="126"/>
      <c r="G274" s="155"/>
      <c r="H274" s="155"/>
      <c r="I274" s="155"/>
      <c r="J274" s="155"/>
      <c r="K274" s="155"/>
      <c r="L274" s="155"/>
      <c r="M274" s="155"/>
    </row>
    <row r="275" ht="14.25" customHeight="1">
      <c r="A275" s="126"/>
      <c r="G275" s="155"/>
      <c r="H275" s="155"/>
      <c r="I275" s="155"/>
      <c r="J275" s="155"/>
      <c r="K275" s="155"/>
      <c r="L275" s="155"/>
      <c r="M275" s="155"/>
    </row>
    <row r="276" ht="14.25" customHeight="1">
      <c r="A276" s="126"/>
      <c r="G276" s="155"/>
      <c r="H276" s="155"/>
      <c r="I276" s="155"/>
      <c r="J276" s="155"/>
      <c r="K276" s="155"/>
      <c r="L276" s="155"/>
      <c r="M276" s="155"/>
    </row>
    <row r="277" ht="14.25" customHeight="1">
      <c r="A277" s="126"/>
      <c r="G277" s="155"/>
      <c r="H277" s="155"/>
      <c r="I277" s="155"/>
      <c r="J277" s="155"/>
      <c r="K277" s="155"/>
      <c r="L277" s="155"/>
      <c r="M277" s="155"/>
    </row>
    <row r="278" ht="14.25" customHeight="1">
      <c r="A278" s="126"/>
      <c r="G278" s="155"/>
      <c r="H278" s="155"/>
      <c r="I278" s="155"/>
      <c r="J278" s="155"/>
      <c r="K278" s="155"/>
      <c r="L278" s="155"/>
      <c r="M278" s="155"/>
    </row>
    <row r="279" ht="14.25" customHeight="1">
      <c r="A279" s="126"/>
      <c r="G279" s="155"/>
      <c r="H279" s="155"/>
      <c r="I279" s="155"/>
      <c r="J279" s="155"/>
      <c r="K279" s="155"/>
      <c r="L279" s="155"/>
      <c r="M279" s="155"/>
    </row>
    <row r="280" ht="14.25" customHeight="1">
      <c r="A280" s="126"/>
      <c r="G280" s="155"/>
      <c r="H280" s="155"/>
      <c r="I280" s="155"/>
      <c r="J280" s="155"/>
      <c r="K280" s="155"/>
      <c r="L280" s="155"/>
      <c r="M280" s="155"/>
    </row>
    <row r="281" ht="14.25" customHeight="1">
      <c r="A281" s="126"/>
      <c r="G281" s="155"/>
      <c r="H281" s="155"/>
      <c r="I281" s="155"/>
      <c r="J281" s="155"/>
      <c r="K281" s="155"/>
      <c r="L281" s="155"/>
      <c r="M281" s="155"/>
    </row>
    <row r="282" ht="14.25" customHeight="1">
      <c r="A282" s="126"/>
      <c r="G282" s="155"/>
      <c r="H282" s="155"/>
      <c r="I282" s="155"/>
      <c r="J282" s="155"/>
      <c r="K282" s="155"/>
      <c r="L282" s="155"/>
      <c r="M282" s="155"/>
    </row>
    <row r="283" ht="14.25" customHeight="1">
      <c r="A283" s="126"/>
      <c r="G283" s="155"/>
      <c r="H283" s="155"/>
      <c r="I283" s="155"/>
      <c r="J283" s="155"/>
      <c r="K283" s="155"/>
      <c r="L283" s="155"/>
      <c r="M283" s="155"/>
    </row>
    <row r="284" ht="14.25" customHeight="1">
      <c r="A284" s="126"/>
      <c r="G284" s="155"/>
      <c r="H284" s="155"/>
      <c r="I284" s="155"/>
      <c r="J284" s="155"/>
      <c r="K284" s="155"/>
      <c r="L284" s="155"/>
      <c r="M284" s="155"/>
    </row>
    <row r="285" ht="14.25" customHeight="1">
      <c r="A285" s="126"/>
      <c r="G285" s="155"/>
      <c r="H285" s="155"/>
      <c r="I285" s="155"/>
      <c r="J285" s="155"/>
      <c r="K285" s="155"/>
      <c r="L285" s="155"/>
      <c r="M285" s="155"/>
    </row>
    <row r="286" ht="14.25" customHeight="1">
      <c r="A286" s="126"/>
      <c r="G286" s="155"/>
      <c r="H286" s="155"/>
      <c r="I286" s="155"/>
      <c r="J286" s="155"/>
      <c r="K286" s="155"/>
      <c r="L286" s="155"/>
      <c r="M286" s="155"/>
    </row>
    <row r="287" ht="14.25" customHeight="1">
      <c r="A287" s="126"/>
      <c r="G287" s="155"/>
      <c r="H287" s="155"/>
      <c r="I287" s="155"/>
      <c r="J287" s="155"/>
      <c r="K287" s="155"/>
      <c r="L287" s="155"/>
      <c r="M287" s="155"/>
    </row>
    <row r="288" ht="14.25" customHeight="1">
      <c r="A288" s="126"/>
      <c r="G288" s="155"/>
      <c r="H288" s="155"/>
      <c r="I288" s="155"/>
      <c r="J288" s="155"/>
      <c r="K288" s="155"/>
      <c r="L288" s="155"/>
      <c r="M288" s="155"/>
    </row>
    <row r="289" ht="14.25" customHeight="1">
      <c r="A289" s="126"/>
      <c r="G289" s="155"/>
      <c r="H289" s="155"/>
      <c r="I289" s="155"/>
      <c r="J289" s="155"/>
      <c r="K289" s="155"/>
      <c r="L289" s="155"/>
      <c r="M289" s="155"/>
    </row>
    <row r="290" ht="14.25" customHeight="1">
      <c r="A290" s="126"/>
      <c r="G290" s="155"/>
      <c r="H290" s="155"/>
      <c r="I290" s="155"/>
      <c r="J290" s="155"/>
      <c r="K290" s="155"/>
      <c r="L290" s="155"/>
      <c r="M290" s="155"/>
    </row>
    <row r="291" ht="14.25" customHeight="1">
      <c r="A291" s="126"/>
      <c r="G291" s="155"/>
      <c r="H291" s="155"/>
      <c r="I291" s="155"/>
      <c r="J291" s="155"/>
      <c r="K291" s="155"/>
      <c r="L291" s="155"/>
      <c r="M291" s="155"/>
    </row>
    <row r="292" ht="14.25" customHeight="1">
      <c r="A292" s="126"/>
      <c r="G292" s="155"/>
      <c r="H292" s="155"/>
      <c r="I292" s="155"/>
      <c r="J292" s="155"/>
      <c r="K292" s="155"/>
      <c r="L292" s="155"/>
      <c r="M292" s="155"/>
    </row>
    <row r="293" ht="14.25" customHeight="1">
      <c r="A293" s="126"/>
      <c r="G293" s="155"/>
      <c r="H293" s="155"/>
      <c r="I293" s="155"/>
      <c r="J293" s="155"/>
      <c r="K293" s="155"/>
      <c r="L293" s="155"/>
      <c r="M293" s="155"/>
    </row>
    <row r="294" ht="14.25" customHeight="1">
      <c r="A294" s="126"/>
      <c r="G294" s="155"/>
      <c r="H294" s="155"/>
      <c r="I294" s="155"/>
      <c r="J294" s="155"/>
      <c r="K294" s="155"/>
      <c r="L294" s="155"/>
      <c r="M294" s="155"/>
    </row>
    <row r="295" ht="14.25" customHeight="1">
      <c r="A295" s="126"/>
      <c r="G295" s="155"/>
      <c r="H295" s="155"/>
      <c r="I295" s="155"/>
      <c r="J295" s="155"/>
      <c r="K295" s="155"/>
      <c r="L295" s="155"/>
      <c r="M295" s="155"/>
    </row>
    <row r="296" ht="14.25" customHeight="1">
      <c r="A296" s="126"/>
      <c r="G296" s="155"/>
      <c r="H296" s="155"/>
      <c r="I296" s="155"/>
      <c r="J296" s="155"/>
      <c r="K296" s="155"/>
      <c r="L296" s="155"/>
      <c r="M296" s="155"/>
    </row>
    <row r="297" ht="14.25" customHeight="1">
      <c r="A297" s="126"/>
      <c r="G297" s="155"/>
      <c r="H297" s="155"/>
      <c r="I297" s="155"/>
      <c r="J297" s="155"/>
      <c r="K297" s="155"/>
      <c r="L297" s="155"/>
      <c r="M297" s="155"/>
    </row>
    <row r="298" ht="14.25" customHeight="1">
      <c r="A298" s="126"/>
      <c r="G298" s="155"/>
      <c r="H298" s="155"/>
      <c r="I298" s="155"/>
      <c r="J298" s="155"/>
      <c r="K298" s="155"/>
      <c r="L298" s="155"/>
      <c r="M298" s="155"/>
    </row>
    <row r="299" ht="14.25" customHeight="1">
      <c r="A299" s="126"/>
      <c r="G299" s="155"/>
      <c r="H299" s="155"/>
      <c r="I299" s="155"/>
      <c r="J299" s="155"/>
      <c r="K299" s="155"/>
      <c r="L299" s="155"/>
      <c r="M299" s="155"/>
    </row>
    <row r="300" ht="14.25" customHeight="1">
      <c r="A300" s="126"/>
      <c r="G300" s="155"/>
      <c r="H300" s="155"/>
      <c r="I300" s="155"/>
      <c r="J300" s="155"/>
      <c r="K300" s="155"/>
      <c r="L300" s="155"/>
      <c r="M300" s="155"/>
    </row>
    <row r="301" ht="14.25" customHeight="1">
      <c r="A301" s="126"/>
      <c r="G301" s="155"/>
      <c r="H301" s="155"/>
      <c r="I301" s="155"/>
      <c r="J301" s="155"/>
      <c r="K301" s="155"/>
      <c r="L301" s="155"/>
      <c r="M301" s="155"/>
    </row>
    <row r="302" ht="14.25" customHeight="1">
      <c r="A302" s="126"/>
      <c r="G302" s="155"/>
      <c r="H302" s="155"/>
      <c r="I302" s="155"/>
      <c r="J302" s="155"/>
      <c r="K302" s="155"/>
      <c r="L302" s="155"/>
      <c r="M302" s="155"/>
    </row>
    <row r="303" ht="14.25" customHeight="1">
      <c r="A303" s="126"/>
      <c r="G303" s="155"/>
      <c r="H303" s="155"/>
      <c r="I303" s="155"/>
      <c r="J303" s="155"/>
      <c r="K303" s="155"/>
      <c r="L303" s="155"/>
      <c r="M303" s="155"/>
    </row>
    <row r="304" ht="14.25" customHeight="1">
      <c r="A304" s="126"/>
      <c r="G304" s="155"/>
      <c r="H304" s="155"/>
      <c r="I304" s="155"/>
      <c r="J304" s="155"/>
      <c r="K304" s="155"/>
      <c r="L304" s="155"/>
      <c r="M304" s="155"/>
    </row>
    <row r="305" ht="14.25" customHeight="1">
      <c r="A305" s="126"/>
      <c r="G305" s="155"/>
      <c r="H305" s="155"/>
      <c r="I305" s="155"/>
      <c r="J305" s="155"/>
      <c r="K305" s="155"/>
      <c r="L305" s="155"/>
      <c r="M305" s="155"/>
    </row>
    <row r="306" ht="14.25" customHeight="1">
      <c r="A306" s="126"/>
      <c r="G306" s="155"/>
      <c r="H306" s="155"/>
      <c r="I306" s="155"/>
      <c r="J306" s="155"/>
      <c r="K306" s="155"/>
      <c r="L306" s="155"/>
      <c r="M306" s="155"/>
    </row>
    <row r="307" ht="14.25" customHeight="1">
      <c r="A307" s="126"/>
      <c r="G307" s="155"/>
      <c r="H307" s="155"/>
      <c r="I307" s="155"/>
      <c r="J307" s="155"/>
      <c r="K307" s="155"/>
      <c r="L307" s="155"/>
      <c r="M307" s="155"/>
    </row>
    <row r="308" ht="14.25" customHeight="1">
      <c r="A308" s="126"/>
      <c r="G308" s="155"/>
      <c r="H308" s="155"/>
      <c r="I308" s="155"/>
      <c r="J308" s="155"/>
      <c r="K308" s="155"/>
      <c r="L308" s="155"/>
      <c r="M308" s="155"/>
    </row>
    <row r="309" ht="14.25" customHeight="1">
      <c r="A309" s="126"/>
      <c r="G309" s="155"/>
      <c r="H309" s="155"/>
      <c r="I309" s="155"/>
      <c r="J309" s="155"/>
      <c r="K309" s="155"/>
      <c r="L309" s="155"/>
      <c r="M309" s="155"/>
    </row>
    <row r="310" ht="14.25" customHeight="1">
      <c r="A310" s="126"/>
      <c r="G310" s="155"/>
      <c r="H310" s="155"/>
      <c r="I310" s="155"/>
      <c r="J310" s="155"/>
      <c r="K310" s="155"/>
      <c r="L310" s="155"/>
      <c r="M310" s="155"/>
    </row>
    <row r="311" ht="14.25" customHeight="1">
      <c r="A311" s="126"/>
      <c r="G311" s="155"/>
      <c r="H311" s="155"/>
      <c r="I311" s="155"/>
      <c r="J311" s="155"/>
      <c r="K311" s="155"/>
      <c r="L311" s="155"/>
      <c r="M311" s="155"/>
    </row>
    <row r="312" ht="14.25" customHeight="1">
      <c r="A312" s="126"/>
      <c r="G312" s="155"/>
      <c r="H312" s="155"/>
      <c r="I312" s="155"/>
      <c r="J312" s="155"/>
      <c r="K312" s="155"/>
      <c r="L312" s="155"/>
      <c r="M312" s="155"/>
    </row>
    <row r="313" ht="14.25" customHeight="1">
      <c r="A313" s="126"/>
      <c r="G313" s="155"/>
      <c r="H313" s="155"/>
      <c r="I313" s="155"/>
      <c r="J313" s="155"/>
      <c r="K313" s="155"/>
      <c r="L313" s="155"/>
      <c r="M313" s="155"/>
    </row>
    <row r="314" ht="14.25" customHeight="1">
      <c r="A314" s="126"/>
      <c r="G314" s="155"/>
      <c r="H314" s="155"/>
      <c r="I314" s="155"/>
      <c r="J314" s="155"/>
      <c r="K314" s="155"/>
      <c r="L314" s="155"/>
      <c r="M314" s="155"/>
    </row>
    <row r="315" ht="14.25" customHeight="1">
      <c r="A315" s="126"/>
      <c r="G315" s="155"/>
      <c r="H315" s="155"/>
      <c r="I315" s="155"/>
      <c r="J315" s="155"/>
      <c r="K315" s="155"/>
      <c r="L315" s="155"/>
      <c r="M315" s="155"/>
    </row>
    <row r="316" ht="14.25" customHeight="1">
      <c r="A316" s="126"/>
      <c r="G316" s="155"/>
      <c r="H316" s="155"/>
      <c r="I316" s="155"/>
      <c r="J316" s="155"/>
      <c r="K316" s="155"/>
      <c r="L316" s="155"/>
      <c r="M316" s="155"/>
    </row>
    <row r="317" ht="14.25" customHeight="1">
      <c r="A317" s="126"/>
      <c r="G317" s="155"/>
      <c r="H317" s="155"/>
      <c r="I317" s="155"/>
      <c r="J317" s="155"/>
      <c r="K317" s="155"/>
      <c r="L317" s="155"/>
      <c r="M317" s="155"/>
    </row>
    <row r="318" ht="14.25" customHeight="1">
      <c r="A318" s="126"/>
      <c r="G318" s="155"/>
      <c r="H318" s="155"/>
      <c r="I318" s="155"/>
      <c r="J318" s="155"/>
      <c r="K318" s="155"/>
      <c r="L318" s="155"/>
      <c r="M318" s="155"/>
    </row>
    <row r="319" ht="14.25" customHeight="1">
      <c r="A319" s="126"/>
      <c r="G319" s="155"/>
      <c r="H319" s="155"/>
      <c r="I319" s="155"/>
      <c r="J319" s="155"/>
      <c r="K319" s="155"/>
      <c r="L319" s="155"/>
      <c r="M319" s="155"/>
    </row>
    <row r="320" ht="14.25" customHeight="1">
      <c r="A320" s="126"/>
      <c r="G320" s="155"/>
      <c r="H320" s="155"/>
      <c r="I320" s="155"/>
      <c r="J320" s="155"/>
      <c r="K320" s="155"/>
      <c r="L320" s="155"/>
      <c r="M320" s="155"/>
    </row>
    <row r="321" ht="14.25" customHeight="1">
      <c r="A321" s="126"/>
      <c r="G321" s="155"/>
      <c r="H321" s="155"/>
      <c r="I321" s="155"/>
      <c r="J321" s="155"/>
      <c r="K321" s="155"/>
      <c r="L321" s="155"/>
      <c r="M321" s="155"/>
    </row>
    <row r="322" ht="14.25" customHeight="1">
      <c r="A322" s="126"/>
      <c r="G322" s="155"/>
      <c r="H322" s="155"/>
      <c r="I322" s="155"/>
      <c r="J322" s="155"/>
      <c r="K322" s="155"/>
      <c r="L322" s="155"/>
      <c r="M322" s="155"/>
    </row>
    <row r="323" ht="14.25" customHeight="1">
      <c r="A323" s="126"/>
      <c r="G323" s="155"/>
      <c r="H323" s="155"/>
      <c r="I323" s="155"/>
      <c r="J323" s="155"/>
      <c r="K323" s="155"/>
      <c r="L323" s="155"/>
      <c r="M323" s="155"/>
    </row>
    <row r="324" ht="14.25" customHeight="1">
      <c r="A324" s="126"/>
      <c r="G324" s="155"/>
      <c r="H324" s="155"/>
      <c r="I324" s="155"/>
      <c r="J324" s="155"/>
      <c r="K324" s="155"/>
      <c r="L324" s="155"/>
      <c r="M324" s="155"/>
    </row>
    <row r="325" ht="14.25" customHeight="1">
      <c r="A325" s="126"/>
      <c r="G325" s="155"/>
      <c r="H325" s="155"/>
      <c r="I325" s="155"/>
      <c r="J325" s="155"/>
      <c r="K325" s="155"/>
      <c r="L325" s="155"/>
      <c r="M325" s="155"/>
    </row>
    <row r="326" ht="14.25" customHeight="1">
      <c r="A326" s="126"/>
      <c r="G326" s="155"/>
      <c r="H326" s="155"/>
      <c r="I326" s="155"/>
      <c r="J326" s="155"/>
      <c r="K326" s="155"/>
      <c r="L326" s="155"/>
      <c r="M326" s="155"/>
    </row>
    <row r="327" ht="14.25" customHeight="1">
      <c r="A327" s="126"/>
      <c r="G327" s="155"/>
      <c r="H327" s="155"/>
      <c r="I327" s="155"/>
      <c r="J327" s="155"/>
      <c r="K327" s="155"/>
      <c r="L327" s="155"/>
      <c r="M327" s="155"/>
    </row>
    <row r="328" ht="14.25" customHeight="1">
      <c r="A328" s="126"/>
      <c r="G328" s="155"/>
      <c r="H328" s="155"/>
      <c r="I328" s="155"/>
      <c r="J328" s="155"/>
      <c r="K328" s="155"/>
      <c r="L328" s="155"/>
      <c r="M328" s="155"/>
    </row>
    <row r="329" ht="14.25" customHeight="1">
      <c r="A329" s="126"/>
      <c r="G329" s="155"/>
      <c r="H329" s="155"/>
      <c r="I329" s="155"/>
      <c r="J329" s="155"/>
      <c r="K329" s="155"/>
      <c r="L329" s="155"/>
      <c r="M329" s="155"/>
    </row>
    <row r="330" ht="14.25" customHeight="1">
      <c r="A330" s="126"/>
      <c r="G330" s="155"/>
      <c r="H330" s="155"/>
      <c r="I330" s="155"/>
      <c r="J330" s="155"/>
      <c r="K330" s="155"/>
      <c r="L330" s="155"/>
      <c r="M330" s="155"/>
    </row>
    <row r="331" ht="14.25" customHeight="1">
      <c r="A331" s="126"/>
      <c r="G331" s="155"/>
      <c r="H331" s="155"/>
      <c r="I331" s="155"/>
      <c r="J331" s="155"/>
      <c r="K331" s="155"/>
      <c r="L331" s="155"/>
      <c r="M331" s="155"/>
    </row>
    <row r="332" ht="14.25" customHeight="1">
      <c r="A332" s="126"/>
      <c r="G332" s="155"/>
      <c r="H332" s="155"/>
      <c r="I332" s="155"/>
      <c r="J332" s="155"/>
      <c r="K332" s="155"/>
      <c r="L332" s="155"/>
      <c r="M332" s="155"/>
    </row>
    <row r="333" ht="14.25" customHeight="1">
      <c r="A333" s="126"/>
      <c r="G333" s="155"/>
      <c r="H333" s="155"/>
      <c r="I333" s="155"/>
      <c r="J333" s="155"/>
      <c r="K333" s="155"/>
      <c r="L333" s="155"/>
      <c r="M333" s="155"/>
    </row>
    <row r="334" ht="14.25" customHeight="1">
      <c r="A334" s="126"/>
      <c r="G334" s="155"/>
      <c r="H334" s="155"/>
      <c r="I334" s="155"/>
      <c r="J334" s="155"/>
      <c r="K334" s="155"/>
      <c r="L334" s="155"/>
      <c r="M334" s="155"/>
    </row>
    <row r="335" ht="14.25" customHeight="1">
      <c r="A335" s="126"/>
      <c r="G335" s="155"/>
      <c r="H335" s="155"/>
      <c r="I335" s="155"/>
      <c r="J335" s="155"/>
      <c r="K335" s="155"/>
      <c r="L335" s="155"/>
      <c r="M335" s="155"/>
    </row>
    <row r="336" ht="14.25" customHeight="1">
      <c r="A336" s="126"/>
      <c r="G336" s="155"/>
      <c r="H336" s="155"/>
      <c r="I336" s="155"/>
      <c r="J336" s="155"/>
      <c r="K336" s="155"/>
      <c r="L336" s="155"/>
      <c r="M336" s="155"/>
    </row>
    <row r="337" ht="14.25" customHeight="1">
      <c r="A337" s="126"/>
      <c r="G337" s="155"/>
      <c r="H337" s="155"/>
      <c r="I337" s="155"/>
      <c r="J337" s="155"/>
      <c r="K337" s="155"/>
      <c r="L337" s="155"/>
      <c r="M337" s="155"/>
    </row>
    <row r="338" ht="14.25" customHeight="1">
      <c r="A338" s="126"/>
      <c r="G338" s="155"/>
      <c r="H338" s="155"/>
      <c r="I338" s="155"/>
      <c r="J338" s="155"/>
      <c r="K338" s="155"/>
      <c r="L338" s="155"/>
      <c r="M338" s="155"/>
    </row>
    <row r="339" ht="14.25" customHeight="1">
      <c r="A339" s="126"/>
      <c r="G339" s="155"/>
      <c r="H339" s="155"/>
      <c r="I339" s="155"/>
      <c r="J339" s="155"/>
      <c r="K339" s="155"/>
      <c r="L339" s="155"/>
      <c r="M339" s="155"/>
    </row>
    <row r="340" ht="14.25" customHeight="1">
      <c r="A340" s="126"/>
      <c r="G340" s="155"/>
      <c r="H340" s="155"/>
      <c r="I340" s="155"/>
      <c r="J340" s="155"/>
      <c r="K340" s="155"/>
      <c r="L340" s="155"/>
      <c r="M340" s="155"/>
    </row>
    <row r="341" ht="14.25" customHeight="1">
      <c r="A341" s="126"/>
      <c r="G341" s="155"/>
      <c r="H341" s="155"/>
      <c r="I341" s="155"/>
      <c r="J341" s="155"/>
      <c r="K341" s="155"/>
      <c r="L341" s="155"/>
      <c r="M341" s="155"/>
    </row>
    <row r="342" ht="14.25" customHeight="1">
      <c r="A342" s="126"/>
      <c r="G342" s="155"/>
      <c r="H342" s="155"/>
      <c r="I342" s="155"/>
      <c r="J342" s="155"/>
      <c r="K342" s="155"/>
      <c r="L342" s="155"/>
      <c r="M342" s="155"/>
    </row>
    <row r="343" ht="14.25" customHeight="1">
      <c r="A343" s="126"/>
      <c r="G343" s="155"/>
      <c r="H343" s="155"/>
      <c r="I343" s="155"/>
      <c r="J343" s="155"/>
      <c r="K343" s="155"/>
      <c r="L343" s="155"/>
      <c r="M343" s="155"/>
    </row>
    <row r="344" ht="14.25" customHeight="1">
      <c r="A344" s="126"/>
      <c r="G344" s="155"/>
      <c r="H344" s="155"/>
      <c r="I344" s="155"/>
      <c r="J344" s="155"/>
      <c r="K344" s="155"/>
      <c r="L344" s="155"/>
      <c r="M344" s="155"/>
    </row>
    <row r="345" ht="14.25" customHeight="1">
      <c r="A345" s="126"/>
      <c r="G345" s="155"/>
      <c r="H345" s="155"/>
      <c r="I345" s="155"/>
      <c r="J345" s="155"/>
      <c r="K345" s="155"/>
      <c r="L345" s="155"/>
      <c r="M345" s="155"/>
    </row>
    <row r="346" ht="14.25" customHeight="1">
      <c r="A346" s="126"/>
      <c r="G346" s="155"/>
      <c r="H346" s="155"/>
      <c r="I346" s="155"/>
      <c r="J346" s="155"/>
      <c r="K346" s="155"/>
      <c r="L346" s="155"/>
      <c r="M346" s="155"/>
    </row>
    <row r="347" ht="14.25" customHeight="1">
      <c r="A347" s="126"/>
      <c r="G347" s="155"/>
      <c r="H347" s="155"/>
      <c r="I347" s="155"/>
      <c r="J347" s="155"/>
      <c r="K347" s="155"/>
      <c r="L347" s="155"/>
      <c r="M347" s="155"/>
    </row>
    <row r="348" ht="14.25" customHeight="1">
      <c r="A348" s="126"/>
      <c r="G348" s="155"/>
      <c r="H348" s="155"/>
      <c r="I348" s="155"/>
      <c r="J348" s="155"/>
      <c r="K348" s="155"/>
      <c r="L348" s="155"/>
      <c r="M348" s="155"/>
    </row>
    <row r="349" ht="14.25" customHeight="1">
      <c r="A349" s="126"/>
      <c r="G349" s="155"/>
      <c r="H349" s="155"/>
      <c r="I349" s="155"/>
      <c r="J349" s="155"/>
      <c r="K349" s="155"/>
      <c r="L349" s="155"/>
      <c r="M349" s="155"/>
    </row>
    <row r="350" ht="14.25" customHeight="1">
      <c r="A350" s="126"/>
      <c r="G350" s="155"/>
      <c r="H350" s="155"/>
      <c r="I350" s="155"/>
      <c r="J350" s="155"/>
      <c r="K350" s="155"/>
      <c r="L350" s="155"/>
      <c r="M350" s="155"/>
    </row>
    <row r="351" ht="14.25" customHeight="1">
      <c r="A351" s="126"/>
      <c r="G351" s="155"/>
      <c r="H351" s="155"/>
      <c r="I351" s="155"/>
      <c r="J351" s="155"/>
      <c r="K351" s="155"/>
      <c r="L351" s="155"/>
      <c r="M351" s="155"/>
    </row>
    <row r="352" ht="14.25" customHeight="1">
      <c r="A352" s="126"/>
      <c r="G352" s="155"/>
      <c r="H352" s="155"/>
      <c r="I352" s="155"/>
      <c r="J352" s="155"/>
      <c r="K352" s="155"/>
      <c r="L352" s="155"/>
      <c r="M352" s="155"/>
    </row>
    <row r="353" ht="14.25" customHeight="1">
      <c r="A353" s="126"/>
      <c r="G353" s="155"/>
      <c r="H353" s="155"/>
      <c r="I353" s="155"/>
      <c r="J353" s="155"/>
      <c r="K353" s="155"/>
      <c r="L353" s="155"/>
      <c r="M353" s="155"/>
    </row>
    <row r="354" ht="14.25" customHeight="1">
      <c r="A354" s="126"/>
      <c r="G354" s="155"/>
      <c r="H354" s="155"/>
      <c r="I354" s="155"/>
      <c r="J354" s="155"/>
      <c r="K354" s="155"/>
      <c r="L354" s="155"/>
      <c r="M354" s="155"/>
    </row>
    <row r="355" ht="14.25" customHeight="1">
      <c r="A355" s="126"/>
      <c r="G355" s="155"/>
      <c r="H355" s="155"/>
      <c r="I355" s="155"/>
      <c r="J355" s="155"/>
      <c r="K355" s="155"/>
      <c r="L355" s="155"/>
      <c r="M355" s="155"/>
    </row>
    <row r="356" ht="14.25" customHeight="1">
      <c r="A356" s="126"/>
      <c r="G356" s="155"/>
      <c r="H356" s="155"/>
      <c r="I356" s="155"/>
      <c r="J356" s="155"/>
      <c r="K356" s="155"/>
      <c r="L356" s="155"/>
      <c r="M356" s="155"/>
    </row>
    <row r="357" ht="14.25" customHeight="1">
      <c r="A357" s="126"/>
      <c r="G357" s="155"/>
      <c r="H357" s="155"/>
      <c r="I357" s="155"/>
      <c r="J357" s="155"/>
      <c r="K357" s="155"/>
      <c r="L357" s="155"/>
      <c r="M357" s="155"/>
    </row>
    <row r="358" ht="14.25" customHeight="1">
      <c r="A358" s="126"/>
      <c r="G358" s="155"/>
      <c r="H358" s="155"/>
      <c r="I358" s="155"/>
      <c r="J358" s="155"/>
      <c r="K358" s="155"/>
      <c r="L358" s="155"/>
      <c r="M358" s="155"/>
    </row>
    <row r="359" ht="14.25" customHeight="1">
      <c r="A359" s="126"/>
      <c r="G359" s="155"/>
      <c r="H359" s="155"/>
      <c r="I359" s="155"/>
      <c r="J359" s="155"/>
      <c r="K359" s="155"/>
      <c r="L359" s="155"/>
      <c r="M359" s="155"/>
    </row>
    <row r="360" ht="14.25" customHeight="1">
      <c r="A360" s="126"/>
      <c r="G360" s="155"/>
      <c r="H360" s="155"/>
      <c r="I360" s="155"/>
      <c r="J360" s="155"/>
      <c r="K360" s="155"/>
      <c r="L360" s="155"/>
      <c r="M360" s="155"/>
    </row>
    <row r="361" ht="14.25" customHeight="1">
      <c r="A361" s="126"/>
      <c r="G361" s="155"/>
      <c r="H361" s="155"/>
      <c r="I361" s="155"/>
      <c r="J361" s="155"/>
      <c r="K361" s="155"/>
      <c r="L361" s="155"/>
      <c r="M361" s="155"/>
    </row>
    <row r="362" ht="14.25" customHeight="1">
      <c r="A362" s="126"/>
      <c r="G362" s="155"/>
      <c r="H362" s="155"/>
      <c r="I362" s="155"/>
      <c r="J362" s="155"/>
      <c r="K362" s="155"/>
      <c r="L362" s="155"/>
      <c r="M362" s="155"/>
    </row>
    <row r="363" ht="14.25" customHeight="1">
      <c r="A363" s="126"/>
      <c r="G363" s="155"/>
      <c r="H363" s="155"/>
      <c r="I363" s="155"/>
      <c r="J363" s="155"/>
      <c r="K363" s="155"/>
      <c r="L363" s="155"/>
      <c r="M363" s="155"/>
    </row>
    <row r="364" ht="14.25" customHeight="1">
      <c r="A364" s="126"/>
      <c r="G364" s="155"/>
      <c r="H364" s="155"/>
      <c r="I364" s="155"/>
      <c r="J364" s="155"/>
      <c r="K364" s="155"/>
      <c r="L364" s="155"/>
      <c r="M364" s="155"/>
    </row>
    <row r="365" ht="14.25" customHeight="1">
      <c r="A365" s="126"/>
      <c r="G365" s="155"/>
      <c r="H365" s="155"/>
      <c r="I365" s="155"/>
      <c r="J365" s="155"/>
      <c r="K365" s="155"/>
      <c r="L365" s="155"/>
      <c r="M365" s="155"/>
    </row>
    <row r="366" ht="14.25" customHeight="1">
      <c r="A366" s="126"/>
      <c r="G366" s="155"/>
      <c r="H366" s="155"/>
      <c r="I366" s="155"/>
      <c r="J366" s="155"/>
      <c r="K366" s="155"/>
      <c r="L366" s="155"/>
      <c r="M366" s="155"/>
    </row>
    <row r="367" ht="14.25" customHeight="1">
      <c r="A367" s="126"/>
      <c r="G367" s="155"/>
      <c r="H367" s="155"/>
      <c r="I367" s="155"/>
      <c r="J367" s="155"/>
      <c r="K367" s="155"/>
      <c r="L367" s="155"/>
      <c r="M367" s="155"/>
    </row>
    <row r="368" ht="14.25" customHeight="1">
      <c r="A368" s="126"/>
      <c r="G368" s="155"/>
      <c r="H368" s="155"/>
      <c r="I368" s="155"/>
      <c r="J368" s="155"/>
      <c r="K368" s="155"/>
      <c r="L368" s="155"/>
      <c r="M368" s="155"/>
    </row>
    <row r="369" ht="14.25" customHeight="1">
      <c r="A369" s="126"/>
      <c r="G369" s="155"/>
      <c r="H369" s="155"/>
      <c r="I369" s="155"/>
      <c r="J369" s="155"/>
      <c r="K369" s="155"/>
      <c r="L369" s="155"/>
      <c r="M369" s="155"/>
    </row>
    <row r="370" ht="14.25" customHeight="1">
      <c r="A370" s="126"/>
      <c r="G370" s="155"/>
      <c r="H370" s="155"/>
      <c r="I370" s="155"/>
      <c r="J370" s="155"/>
      <c r="K370" s="155"/>
      <c r="L370" s="155"/>
      <c r="M370" s="155"/>
    </row>
    <row r="371" ht="14.25" customHeight="1">
      <c r="A371" s="126"/>
      <c r="G371" s="155"/>
      <c r="H371" s="155"/>
      <c r="I371" s="155"/>
      <c r="J371" s="155"/>
      <c r="K371" s="155"/>
      <c r="L371" s="155"/>
      <c r="M371" s="155"/>
    </row>
    <row r="372" ht="14.25" customHeight="1">
      <c r="A372" s="126"/>
      <c r="G372" s="155"/>
      <c r="H372" s="155"/>
      <c r="I372" s="155"/>
      <c r="J372" s="155"/>
      <c r="K372" s="155"/>
      <c r="L372" s="155"/>
      <c r="M372" s="155"/>
    </row>
    <row r="373" ht="14.25" customHeight="1">
      <c r="A373" s="126"/>
      <c r="G373" s="155"/>
      <c r="H373" s="155"/>
      <c r="I373" s="155"/>
      <c r="J373" s="155"/>
      <c r="K373" s="155"/>
      <c r="L373" s="155"/>
      <c r="M373" s="155"/>
    </row>
    <row r="374" ht="14.25" customHeight="1">
      <c r="A374" s="126"/>
      <c r="G374" s="155"/>
      <c r="H374" s="155"/>
      <c r="I374" s="155"/>
      <c r="J374" s="155"/>
      <c r="K374" s="155"/>
      <c r="L374" s="155"/>
      <c r="M374" s="155"/>
    </row>
    <row r="375" ht="14.25" customHeight="1">
      <c r="A375" s="126"/>
      <c r="G375" s="155"/>
      <c r="H375" s="155"/>
      <c r="I375" s="155"/>
      <c r="J375" s="155"/>
      <c r="K375" s="155"/>
      <c r="L375" s="155"/>
      <c r="M375" s="155"/>
    </row>
    <row r="376" ht="14.25" customHeight="1">
      <c r="A376" s="126"/>
      <c r="G376" s="155"/>
      <c r="H376" s="155"/>
      <c r="I376" s="155"/>
      <c r="J376" s="155"/>
      <c r="K376" s="155"/>
      <c r="L376" s="155"/>
      <c r="M376" s="155"/>
    </row>
    <row r="377" ht="14.25" customHeight="1">
      <c r="A377" s="126"/>
      <c r="G377" s="155"/>
      <c r="H377" s="155"/>
      <c r="I377" s="155"/>
      <c r="J377" s="155"/>
      <c r="K377" s="155"/>
      <c r="L377" s="155"/>
      <c r="M377" s="155"/>
    </row>
    <row r="378" ht="14.25" customHeight="1">
      <c r="A378" s="126"/>
      <c r="G378" s="155"/>
      <c r="H378" s="155"/>
      <c r="I378" s="155"/>
      <c r="J378" s="155"/>
      <c r="K378" s="155"/>
      <c r="L378" s="155"/>
      <c r="M378" s="155"/>
    </row>
    <row r="379" ht="14.25" customHeight="1">
      <c r="A379" s="126"/>
      <c r="G379" s="155"/>
      <c r="H379" s="155"/>
      <c r="I379" s="155"/>
      <c r="J379" s="155"/>
      <c r="K379" s="155"/>
      <c r="L379" s="155"/>
      <c r="M379" s="155"/>
    </row>
    <row r="380" ht="14.25" customHeight="1">
      <c r="A380" s="126"/>
      <c r="G380" s="155"/>
      <c r="H380" s="155"/>
      <c r="I380" s="155"/>
      <c r="J380" s="155"/>
      <c r="K380" s="155"/>
      <c r="L380" s="155"/>
      <c r="M380" s="155"/>
    </row>
    <row r="381" ht="14.25" customHeight="1">
      <c r="A381" s="126"/>
      <c r="G381" s="155"/>
      <c r="H381" s="155"/>
      <c r="I381" s="155"/>
      <c r="J381" s="155"/>
      <c r="K381" s="155"/>
      <c r="L381" s="155"/>
      <c r="M381" s="155"/>
    </row>
    <row r="382" ht="14.25" customHeight="1">
      <c r="A382" s="126"/>
      <c r="G382" s="155"/>
      <c r="H382" s="155"/>
      <c r="I382" s="155"/>
      <c r="J382" s="155"/>
      <c r="K382" s="155"/>
      <c r="L382" s="155"/>
      <c r="M382" s="155"/>
    </row>
    <row r="383" ht="14.25" customHeight="1">
      <c r="A383" s="126"/>
      <c r="G383" s="155"/>
      <c r="H383" s="155"/>
      <c r="I383" s="155"/>
      <c r="J383" s="155"/>
      <c r="K383" s="155"/>
      <c r="L383" s="155"/>
      <c r="M383" s="155"/>
    </row>
    <row r="384" ht="14.25" customHeight="1">
      <c r="A384" s="126"/>
      <c r="G384" s="155"/>
      <c r="H384" s="155"/>
      <c r="I384" s="155"/>
      <c r="J384" s="155"/>
      <c r="K384" s="155"/>
      <c r="L384" s="155"/>
      <c r="M384" s="155"/>
    </row>
    <row r="385" ht="14.25" customHeight="1">
      <c r="A385" s="126"/>
      <c r="G385" s="155"/>
      <c r="H385" s="155"/>
      <c r="I385" s="155"/>
      <c r="J385" s="155"/>
      <c r="K385" s="155"/>
      <c r="L385" s="155"/>
      <c r="M385" s="155"/>
    </row>
    <row r="386" ht="14.25" customHeight="1">
      <c r="A386" s="126"/>
      <c r="G386" s="155"/>
      <c r="H386" s="155"/>
      <c r="I386" s="155"/>
      <c r="J386" s="155"/>
      <c r="K386" s="155"/>
      <c r="L386" s="155"/>
      <c r="M386" s="155"/>
    </row>
    <row r="387" ht="14.25" customHeight="1">
      <c r="A387" s="126"/>
      <c r="G387" s="155"/>
      <c r="H387" s="155"/>
      <c r="I387" s="155"/>
      <c r="J387" s="155"/>
      <c r="K387" s="155"/>
      <c r="L387" s="155"/>
      <c r="M387" s="155"/>
    </row>
    <row r="388" ht="14.25" customHeight="1">
      <c r="A388" s="126"/>
      <c r="G388" s="155"/>
      <c r="H388" s="155"/>
      <c r="I388" s="155"/>
      <c r="J388" s="155"/>
      <c r="K388" s="155"/>
      <c r="L388" s="155"/>
      <c r="M388" s="155"/>
    </row>
    <row r="389" ht="14.25" customHeight="1">
      <c r="A389" s="126"/>
      <c r="G389" s="155"/>
      <c r="H389" s="155"/>
      <c r="I389" s="155"/>
      <c r="J389" s="155"/>
      <c r="K389" s="155"/>
      <c r="L389" s="155"/>
      <c r="M389" s="155"/>
    </row>
    <row r="390" ht="14.25" customHeight="1">
      <c r="A390" s="126"/>
      <c r="G390" s="155"/>
      <c r="H390" s="155"/>
      <c r="I390" s="155"/>
      <c r="J390" s="155"/>
      <c r="K390" s="155"/>
      <c r="L390" s="155"/>
      <c r="M390" s="155"/>
    </row>
    <row r="391" ht="14.25" customHeight="1">
      <c r="A391" s="126"/>
      <c r="G391" s="155"/>
      <c r="H391" s="155"/>
      <c r="I391" s="155"/>
      <c r="J391" s="155"/>
      <c r="K391" s="155"/>
      <c r="L391" s="155"/>
      <c r="M391" s="155"/>
    </row>
    <row r="392" ht="14.25" customHeight="1">
      <c r="A392" s="126"/>
      <c r="G392" s="155"/>
      <c r="H392" s="155"/>
      <c r="I392" s="155"/>
      <c r="J392" s="155"/>
      <c r="K392" s="155"/>
      <c r="L392" s="155"/>
      <c r="M392" s="155"/>
    </row>
    <row r="393" ht="14.25" customHeight="1">
      <c r="A393" s="126"/>
      <c r="G393" s="155"/>
      <c r="H393" s="155"/>
      <c r="I393" s="155"/>
      <c r="J393" s="155"/>
      <c r="K393" s="155"/>
      <c r="L393" s="155"/>
      <c r="M393" s="155"/>
    </row>
    <row r="394" ht="14.25" customHeight="1">
      <c r="A394" s="126"/>
      <c r="G394" s="155"/>
      <c r="H394" s="155"/>
      <c r="I394" s="155"/>
      <c r="J394" s="155"/>
      <c r="K394" s="155"/>
      <c r="L394" s="155"/>
      <c r="M394" s="155"/>
    </row>
    <row r="395" ht="14.25" customHeight="1">
      <c r="A395" s="126"/>
      <c r="G395" s="155"/>
      <c r="H395" s="155"/>
      <c r="I395" s="155"/>
      <c r="J395" s="155"/>
      <c r="K395" s="155"/>
      <c r="L395" s="155"/>
      <c r="M395" s="155"/>
    </row>
    <row r="396" ht="14.25" customHeight="1">
      <c r="A396" s="126"/>
      <c r="G396" s="155"/>
      <c r="H396" s="155"/>
      <c r="I396" s="155"/>
      <c r="J396" s="155"/>
      <c r="K396" s="155"/>
      <c r="L396" s="155"/>
      <c r="M396" s="155"/>
    </row>
    <row r="397" ht="14.25" customHeight="1">
      <c r="A397" s="126"/>
      <c r="G397" s="155"/>
      <c r="H397" s="155"/>
      <c r="I397" s="155"/>
      <c r="J397" s="155"/>
      <c r="K397" s="155"/>
      <c r="L397" s="155"/>
      <c r="M397" s="155"/>
    </row>
    <row r="398" ht="14.25" customHeight="1">
      <c r="A398" s="126"/>
      <c r="G398" s="155"/>
      <c r="H398" s="155"/>
      <c r="I398" s="155"/>
      <c r="J398" s="155"/>
      <c r="K398" s="155"/>
      <c r="L398" s="155"/>
      <c r="M398" s="155"/>
    </row>
    <row r="399" ht="14.25" customHeight="1">
      <c r="A399" s="126"/>
      <c r="G399" s="155"/>
      <c r="H399" s="155"/>
      <c r="I399" s="155"/>
      <c r="J399" s="155"/>
      <c r="K399" s="155"/>
      <c r="L399" s="155"/>
      <c r="M399" s="155"/>
    </row>
    <row r="400" ht="14.25" customHeight="1">
      <c r="A400" s="126"/>
      <c r="G400" s="155"/>
      <c r="H400" s="155"/>
      <c r="I400" s="155"/>
      <c r="J400" s="155"/>
      <c r="K400" s="155"/>
      <c r="L400" s="155"/>
      <c r="M400" s="155"/>
    </row>
    <row r="401" ht="14.25" customHeight="1">
      <c r="A401" s="126"/>
      <c r="G401" s="155"/>
      <c r="H401" s="155"/>
      <c r="I401" s="155"/>
      <c r="J401" s="155"/>
      <c r="K401" s="155"/>
      <c r="L401" s="155"/>
      <c r="M401" s="155"/>
    </row>
    <row r="402" ht="14.25" customHeight="1">
      <c r="A402" s="126"/>
      <c r="G402" s="155"/>
      <c r="H402" s="155"/>
      <c r="I402" s="155"/>
      <c r="J402" s="155"/>
      <c r="K402" s="155"/>
      <c r="L402" s="155"/>
      <c r="M402" s="155"/>
    </row>
    <row r="403" ht="14.25" customHeight="1">
      <c r="A403" s="126"/>
      <c r="G403" s="155"/>
      <c r="H403" s="155"/>
      <c r="I403" s="155"/>
      <c r="J403" s="155"/>
      <c r="K403" s="155"/>
      <c r="L403" s="155"/>
      <c r="M403" s="155"/>
    </row>
    <row r="404" ht="14.25" customHeight="1">
      <c r="A404" s="126"/>
      <c r="G404" s="155"/>
      <c r="H404" s="155"/>
      <c r="I404" s="155"/>
      <c r="J404" s="155"/>
      <c r="K404" s="155"/>
      <c r="L404" s="155"/>
      <c r="M404" s="155"/>
    </row>
    <row r="405" ht="14.25" customHeight="1">
      <c r="A405" s="126"/>
      <c r="G405" s="155"/>
      <c r="H405" s="155"/>
      <c r="I405" s="155"/>
      <c r="J405" s="155"/>
      <c r="K405" s="155"/>
      <c r="L405" s="155"/>
      <c r="M405" s="155"/>
    </row>
    <row r="406" ht="14.25" customHeight="1">
      <c r="A406" s="126"/>
      <c r="G406" s="155"/>
      <c r="H406" s="155"/>
      <c r="I406" s="155"/>
      <c r="J406" s="155"/>
      <c r="K406" s="155"/>
      <c r="L406" s="155"/>
      <c r="M406" s="155"/>
    </row>
    <row r="407" ht="14.25" customHeight="1">
      <c r="A407" s="126"/>
      <c r="G407" s="155"/>
      <c r="H407" s="155"/>
      <c r="I407" s="155"/>
      <c r="J407" s="155"/>
      <c r="K407" s="155"/>
      <c r="L407" s="155"/>
      <c r="M407" s="155"/>
    </row>
    <row r="408" ht="14.25" customHeight="1">
      <c r="A408" s="126"/>
      <c r="G408" s="155"/>
      <c r="H408" s="155"/>
      <c r="I408" s="155"/>
      <c r="J408" s="155"/>
      <c r="K408" s="155"/>
      <c r="L408" s="155"/>
      <c r="M408" s="155"/>
    </row>
    <row r="409" ht="14.25" customHeight="1">
      <c r="A409" s="126"/>
      <c r="G409" s="155"/>
      <c r="H409" s="155"/>
      <c r="I409" s="155"/>
      <c r="J409" s="155"/>
      <c r="K409" s="155"/>
      <c r="L409" s="155"/>
      <c r="M409" s="155"/>
    </row>
    <row r="410" ht="14.25" customHeight="1">
      <c r="A410" s="126"/>
      <c r="G410" s="155"/>
      <c r="H410" s="155"/>
      <c r="I410" s="155"/>
      <c r="J410" s="155"/>
      <c r="K410" s="155"/>
      <c r="L410" s="155"/>
      <c r="M410" s="155"/>
    </row>
    <row r="411" ht="14.25" customHeight="1">
      <c r="A411" s="126"/>
      <c r="G411" s="155"/>
      <c r="H411" s="155"/>
      <c r="I411" s="155"/>
      <c r="J411" s="155"/>
      <c r="K411" s="155"/>
      <c r="L411" s="155"/>
      <c r="M411" s="155"/>
    </row>
    <row r="412" ht="14.25" customHeight="1">
      <c r="A412" s="126"/>
      <c r="G412" s="155"/>
      <c r="H412" s="155"/>
      <c r="I412" s="155"/>
      <c r="J412" s="155"/>
      <c r="K412" s="155"/>
      <c r="L412" s="155"/>
      <c r="M412" s="155"/>
    </row>
    <row r="413" ht="14.25" customHeight="1">
      <c r="A413" s="126"/>
      <c r="G413" s="155"/>
      <c r="H413" s="155"/>
      <c r="I413" s="155"/>
      <c r="J413" s="155"/>
      <c r="K413" s="155"/>
      <c r="L413" s="155"/>
      <c r="M413" s="155"/>
    </row>
    <row r="414" ht="14.25" customHeight="1">
      <c r="A414" s="126"/>
      <c r="G414" s="155"/>
      <c r="H414" s="155"/>
      <c r="I414" s="155"/>
      <c r="J414" s="155"/>
      <c r="K414" s="155"/>
      <c r="L414" s="155"/>
      <c r="M414" s="155"/>
    </row>
    <row r="415" ht="14.25" customHeight="1">
      <c r="A415" s="126"/>
      <c r="G415" s="155"/>
      <c r="H415" s="155"/>
      <c r="I415" s="155"/>
      <c r="J415" s="155"/>
      <c r="K415" s="155"/>
      <c r="L415" s="155"/>
      <c r="M415" s="155"/>
    </row>
    <row r="416" ht="14.25" customHeight="1">
      <c r="A416" s="126"/>
      <c r="G416" s="155"/>
      <c r="H416" s="155"/>
      <c r="I416" s="155"/>
      <c r="J416" s="155"/>
      <c r="K416" s="155"/>
      <c r="L416" s="155"/>
      <c r="M416" s="155"/>
    </row>
    <row r="417" ht="14.25" customHeight="1">
      <c r="A417" s="126"/>
      <c r="G417" s="155"/>
      <c r="H417" s="155"/>
      <c r="I417" s="155"/>
      <c r="J417" s="155"/>
      <c r="K417" s="155"/>
      <c r="L417" s="155"/>
      <c r="M417" s="155"/>
    </row>
    <row r="418" ht="14.25" customHeight="1">
      <c r="A418" s="126"/>
      <c r="G418" s="155"/>
      <c r="H418" s="155"/>
      <c r="I418" s="155"/>
      <c r="J418" s="155"/>
      <c r="K418" s="155"/>
      <c r="L418" s="155"/>
      <c r="M418" s="155"/>
    </row>
    <row r="419" ht="14.25" customHeight="1">
      <c r="A419" s="126"/>
      <c r="G419" s="155"/>
      <c r="H419" s="155"/>
      <c r="I419" s="155"/>
      <c r="J419" s="155"/>
      <c r="K419" s="155"/>
      <c r="L419" s="155"/>
      <c r="M419" s="155"/>
    </row>
    <row r="420" ht="14.25" customHeight="1">
      <c r="A420" s="126"/>
      <c r="G420" s="155"/>
      <c r="H420" s="155"/>
      <c r="I420" s="155"/>
      <c r="J420" s="155"/>
      <c r="K420" s="155"/>
      <c r="L420" s="155"/>
      <c r="M420" s="155"/>
    </row>
    <row r="421" ht="14.25" customHeight="1">
      <c r="A421" s="126"/>
      <c r="G421" s="155"/>
      <c r="H421" s="155"/>
      <c r="I421" s="155"/>
      <c r="J421" s="155"/>
      <c r="K421" s="155"/>
      <c r="L421" s="155"/>
      <c r="M421" s="155"/>
    </row>
    <row r="422" ht="14.25" customHeight="1">
      <c r="A422" s="126"/>
      <c r="G422" s="155"/>
      <c r="H422" s="155"/>
      <c r="I422" s="155"/>
      <c r="J422" s="155"/>
      <c r="K422" s="155"/>
      <c r="L422" s="155"/>
      <c r="M422" s="155"/>
    </row>
    <row r="423" ht="14.25" customHeight="1">
      <c r="A423" s="126"/>
      <c r="G423" s="155"/>
      <c r="H423" s="155"/>
      <c r="I423" s="155"/>
      <c r="J423" s="155"/>
      <c r="K423" s="155"/>
      <c r="L423" s="155"/>
      <c r="M423" s="155"/>
    </row>
    <row r="424" ht="14.25" customHeight="1">
      <c r="A424" s="126"/>
      <c r="G424" s="155"/>
      <c r="H424" s="155"/>
      <c r="I424" s="155"/>
      <c r="J424" s="155"/>
      <c r="K424" s="155"/>
      <c r="L424" s="155"/>
      <c r="M424" s="155"/>
    </row>
    <row r="425" ht="14.25" customHeight="1">
      <c r="A425" s="126"/>
      <c r="G425" s="155"/>
      <c r="H425" s="155"/>
      <c r="I425" s="155"/>
      <c r="J425" s="155"/>
      <c r="K425" s="155"/>
      <c r="L425" s="155"/>
      <c r="M425" s="155"/>
    </row>
    <row r="426" ht="14.25" customHeight="1">
      <c r="A426" s="126"/>
      <c r="G426" s="155"/>
      <c r="H426" s="155"/>
      <c r="I426" s="155"/>
      <c r="J426" s="155"/>
      <c r="K426" s="155"/>
      <c r="L426" s="155"/>
      <c r="M426" s="155"/>
    </row>
    <row r="427" ht="14.25" customHeight="1">
      <c r="A427" s="126"/>
      <c r="G427" s="155"/>
      <c r="H427" s="155"/>
      <c r="I427" s="155"/>
      <c r="J427" s="155"/>
      <c r="K427" s="155"/>
      <c r="L427" s="155"/>
      <c r="M427" s="155"/>
    </row>
    <row r="428" ht="14.25" customHeight="1">
      <c r="A428" s="126"/>
      <c r="G428" s="155"/>
      <c r="H428" s="155"/>
      <c r="I428" s="155"/>
      <c r="J428" s="155"/>
      <c r="K428" s="155"/>
      <c r="L428" s="155"/>
      <c r="M428" s="155"/>
    </row>
    <row r="429" ht="14.25" customHeight="1">
      <c r="A429" s="126"/>
      <c r="G429" s="155"/>
      <c r="H429" s="155"/>
      <c r="I429" s="155"/>
      <c r="J429" s="155"/>
      <c r="K429" s="155"/>
      <c r="L429" s="155"/>
      <c r="M429" s="155"/>
    </row>
    <row r="430" ht="14.25" customHeight="1">
      <c r="A430" s="126"/>
      <c r="G430" s="155"/>
      <c r="H430" s="155"/>
      <c r="I430" s="155"/>
      <c r="J430" s="155"/>
      <c r="K430" s="155"/>
      <c r="L430" s="155"/>
      <c r="M430" s="155"/>
    </row>
    <row r="431" ht="14.25" customHeight="1">
      <c r="A431" s="126"/>
      <c r="G431" s="155"/>
      <c r="H431" s="155"/>
      <c r="I431" s="155"/>
      <c r="J431" s="155"/>
      <c r="K431" s="155"/>
      <c r="L431" s="155"/>
      <c r="M431" s="155"/>
    </row>
    <row r="432" ht="14.25" customHeight="1">
      <c r="A432" s="126"/>
      <c r="G432" s="155"/>
      <c r="H432" s="155"/>
      <c r="I432" s="155"/>
      <c r="J432" s="155"/>
      <c r="K432" s="155"/>
      <c r="L432" s="155"/>
      <c r="M432" s="155"/>
    </row>
    <row r="433" ht="14.25" customHeight="1">
      <c r="A433" s="126"/>
      <c r="G433" s="155"/>
      <c r="H433" s="155"/>
      <c r="I433" s="155"/>
      <c r="J433" s="155"/>
      <c r="K433" s="155"/>
      <c r="L433" s="155"/>
      <c r="M433" s="155"/>
    </row>
    <row r="434" ht="14.25" customHeight="1">
      <c r="A434" s="126"/>
      <c r="G434" s="155"/>
      <c r="H434" s="155"/>
      <c r="I434" s="155"/>
      <c r="J434" s="155"/>
      <c r="K434" s="155"/>
      <c r="L434" s="155"/>
      <c r="M434" s="155"/>
    </row>
    <row r="435" ht="14.25" customHeight="1">
      <c r="A435" s="126"/>
      <c r="G435" s="155"/>
      <c r="H435" s="155"/>
      <c r="I435" s="155"/>
      <c r="J435" s="155"/>
      <c r="K435" s="155"/>
      <c r="L435" s="155"/>
      <c r="M435" s="155"/>
    </row>
    <row r="436" ht="14.25" customHeight="1">
      <c r="A436" s="126"/>
      <c r="G436" s="155"/>
      <c r="H436" s="155"/>
      <c r="I436" s="155"/>
      <c r="J436" s="155"/>
      <c r="K436" s="155"/>
      <c r="L436" s="155"/>
      <c r="M436" s="155"/>
    </row>
    <row r="437" ht="14.25" customHeight="1">
      <c r="A437" s="126"/>
      <c r="G437" s="155"/>
      <c r="H437" s="155"/>
      <c r="I437" s="155"/>
      <c r="J437" s="155"/>
      <c r="K437" s="155"/>
      <c r="L437" s="155"/>
      <c r="M437" s="155"/>
    </row>
    <row r="438" ht="14.25" customHeight="1">
      <c r="A438" s="126"/>
      <c r="G438" s="155"/>
      <c r="H438" s="155"/>
      <c r="I438" s="155"/>
      <c r="J438" s="155"/>
      <c r="K438" s="155"/>
      <c r="L438" s="155"/>
      <c r="M438" s="155"/>
    </row>
    <row r="439" ht="14.25" customHeight="1">
      <c r="A439" s="126"/>
      <c r="G439" s="155"/>
      <c r="H439" s="155"/>
      <c r="I439" s="155"/>
      <c r="J439" s="155"/>
      <c r="K439" s="155"/>
      <c r="L439" s="155"/>
      <c r="M439" s="155"/>
    </row>
    <row r="440" ht="14.25" customHeight="1">
      <c r="A440" s="126"/>
      <c r="G440" s="155"/>
      <c r="H440" s="155"/>
      <c r="I440" s="155"/>
      <c r="J440" s="155"/>
      <c r="K440" s="155"/>
      <c r="L440" s="155"/>
      <c r="M440" s="155"/>
    </row>
    <row r="441" ht="14.25" customHeight="1">
      <c r="A441" s="126"/>
      <c r="G441" s="155"/>
      <c r="H441" s="155"/>
      <c r="I441" s="155"/>
      <c r="J441" s="155"/>
      <c r="K441" s="155"/>
      <c r="L441" s="155"/>
      <c r="M441" s="155"/>
    </row>
    <row r="442" ht="14.25" customHeight="1">
      <c r="A442" s="126"/>
      <c r="G442" s="155"/>
      <c r="H442" s="155"/>
      <c r="I442" s="155"/>
      <c r="J442" s="155"/>
      <c r="K442" s="155"/>
      <c r="L442" s="155"/>
      <c r="M442" s="155"/>
    </row>
    <row r="443" ht="14.25" customHeight="1">
      <c r="A443" s="126"/>
      <c r="G443" s="155"/>
      <c r="H443" s="155"/>
      <c r="I443" s="155"/>
      <c r="J443" s="155"/>
      <c r="K443" s="155"/>
      <c r="L443" s="155"/>
      <c r="M443" s="155"/>
    </row>
    <row r="444" ht="14.25" customHeight="1">
      <c r="A444" s="126"/>
      <c r="G444" s="155"/>
      <c r="H444" s="155"/>
      <c r="I444" s="155"/>
      <c r="J444" s="155"/>
      <c r="K444" s="155"/>
      <c r="L444" s="155"/>
      <c r="M444" s="155"/>
    </row>
    <row r="445" ht="14.25" customHeight="1">
      <c r="A445" s="126"/>
      <c r="G445" s="155"/>
      <c r="H445" s="155"/>
      <c r="I445" s="155"/>
      <c r="J445" s="155"/>
      <c r="K445" s="155"/>
      <c r="L445" s="155"/>
      <c r="M445" s="155"/>
    </row>
    <row r="446" ht="14.25" customHeight="1">
      <c r="A446" s="126"/>
      <c r="G446" s="155"/>
      <c r="H446" s="155"/>
      <c r="I446" s="155"/>
      <c r="J446" s="155"/>
      <c r="K446" s="155"/>
      <c r="L446" s="155"/>
      <c r="M446" s="155"/>
    </row>
    <row r="447" ht="14.25" customHeight="1">
      <c r="A447" s="126"/>
      <c r="G447" s="155"/>
      <c r="H447" s="155"/>
      <c r="I447" s="155"/>
      <c r="J447" s="155"/>
      <c r="K447" s="155"/>
      <c r="L447" s="155"/>
      <c r="M447" s="155"/>
    </row>
    <row r="448" ht="14.25" customHeight="1">
      <c r="A448" s="126"/>
      <c r="G448" s="155"/>
      <c r="H448" s="155"/>
      <c r="I448" s="155"/>
      <c r="J448" s="155"/>
      <c r="K448" s="155"/>
      <c r="L448" s="155"/>
      <c r="M448" s="155"/>
    </row>
    <row r="449" ht="14.25" customHeight="1">
      <c r="A449" s="126"/>
      <c r="G449" s="155"/>
      <c r="H449" s="155"/>
      <c r="I449" s="155"/>
      <c r="J449" s="155"/>
      <c r="K449" s="155"/>
      <c r="L449" s="155"/>
      <c r="M449" s="155"/>
    </row>
    <row r="450" ht="14.25" customHeight="1">
      <c r="A450" s="126"/>
      <c r="G450" s="155"/>
      <c r="H450" s="155"/>
      <c r="I450" s="155"/>
      <c r="J450" s="155"/>
      <c r="K450" s="155"/>
      <c r="L450" s="155"/>
      <c r="M450" s="155"/>
    </row>
    <row r="451" ht="14.25" customHeight="1">
      <c r="A451" s="126"/>
      <c r="G451" s="155"/>
      <c r="H451" s="155"/>
      <c r="I451" s="155"/>
      <c r="J451" s="155"/>
      <c r="K451" s="155"/>
      <c r="L451" s="155"/>
      <c r="M451" s="155"/>
    </row>
    <row r="452" ht="14.25" customHeight="1">
      <c r="A452" s="126"/>
      <c r="G452" s="155"/>
      <c r="H452" s="155"/>
      <c r="I452" s="155"/>
      <c r="J452" s="155"/>
      <c r="K452" s="155"/>
      <c r="L452" s="155"/>
      <c r="M452" s="155"/>
    </row>
    <row r="453" ht="14.25" customHeight="1">
      <c r="A453" s="126"/>
      <c r="G453" s="155"/>
      <c r="H453" s="155"/>
      <c r="I453" s="155"/>
      <c r="J453" s="155"/>
      <c r="K453" s="155"/>
      <c r="L453" s="155"/>
      <c r="M453" s="155"/>
    </row>
    <row r="454" ht="14.25" customHeight="1">
      <c r="A454" s="126"/>
      <c r="G454" s="155"/>
      <c r="H454" s="155"/>
      <c r="I454" s="155"/>
      <c r="J454" s="155"/>
      <c r="K454" s="155"/>
      <c r="L454" s="155"/>
      <c r="M454" s="155"/>
    </row>
    <row r="455" ht="14.25" customHeight="1">
      <c r="A455" s="126"/>
      <c r="G455" s="155"/>
      <c r="H455" s="155"/>
      <c r="I455" s="155"/>
      <c r="J455" s="155"/>
      <c r="K455" s="155"/>
      <c r="L455" s="155"/>
      <c r="M455" s="155"/>
    </row>
    <row r="456" ht="14.25" customHeight="1">
      <c r="A456" s="126"/>
      <c r="G456" s="155"/>
      <c r="H456" s="155"/>
      <c r="I456" s="155"/>
      <c r="J456" s="155"/>
      <c r="K456" s="155"/>
      <c r="L456" s="155"/>
      <c r="M456" s="155"/>
    </row>
    <row r="457" ht="14.25" customHeight="1">
      <c r="A457" s="126"/>
      <c r="G457" s="155"/>
      <c r="H457" s="155"/>
      <c r="I457" s="155"/>
      <c r="J457" s="155"/>
      <c r="K457" s="155"/>
      <c r="L457" s="155"/>
      <c r="M457" s="155"/>
    </row>
    <row r="458" ht="14.25" customHeight="1">
      <c r="A458" s="126"/>
      <c r="G458" s="155"/>
      <c r="H458" s="155"/>
      <c r="I458" s="155"/>
      <c r="J458" s="155"/>
      <c r="K458" s="155"/>
      <c r="L458" s="155"/>
      <c r="M458" s="155"/>
    </row>
    <row r="459" ht="14.25" customHeight="1">
      <c r="A459" s="126"/>
      <c r="G459" s="155"/>
      <c r="H459" s="155"/>
      <c r="I459" s="155"/>
      <c r="J459" s="155"/>
      <c r="K459" s="155"/>
      <c r="L459" s="155"/>
      <c r="M459" s="155"/>
    </row>
    <row r="460" ht="14.25" customHeight="1">
      <c r="A460" s="126"/>
      <c r="G460" s="155"/>
      <c r="H460" s="155"/>
      <c r="I460" s="155"/>
      <c r="J460" s="155"/>
      <c r="K460" s="155"/>
      <c r="L460" s="155"/>
      <c r="M460" s="155"/>
    </row>
    <row r="461" ht="14.25" customHeight="1">
      <c r="A461" s="126"/>
      <c r="G461" s="155"/>
      <c r="H461" s="155"/>
      <c r="I461" s="155"/>
      <c r="J461" s="155"/>
      <c r="K461" s="155"/>
      <c r="L461" s="155"/>
      <c r="M461" s="155"/>
    </row>
    <row r="462" ht="14.25" customHeight="1">
      <c r="A462" s="126"/>
      <c r="G462" s="155"/>
      <c r="H462" s="155"/>
      <c r="I462" s="155"/>
      <c r="J462" s="155"/>
      <c r="K462" s="155"/>
      <c r="L462" s="155"/>
      <c r="M462" s="155"/>
    </row>
    <row r="463" ht="14.25" customHeight="1">
      <c r="A463" s="126"/>
      <c r="G463" s="155"/>
      <c r="H463" s="155"/>
      <c r="I463" s="155"/>
      <c r="J463" s="155"/>
      <c r="K463" s="155"/>
      <c r="L463" s="155"/>
      <c r="M463" s="155"/>
    </row>
    <row r="464" ht="14.25" customHeight="1">
      <c r="A464" s="126"/>
      <c r="G464" s="155"/>
      <c r="H464" s="155"/>
      <c r="I464" s="155"/>
      <c r="J464" s="155"/>
      <c r="K464" s="155"/>
      <c r="L464" s="155"/>
      <c r="M464" s="155"/>
    </row>
    <row r="465" ht="14.25" customHeight="1">
      <c r="A465" s="126"/>
      <c r="G465" s="155"/>
      <c r="H465" s="155"/>
      <c r="I465" s="155"/>
      <c r="J465" s="155"/>
      <c r="K465" s="155"/>
      <c r="L465" s="155"/>
      <c r="M465" s="155"/>
    </row>
    <row r="466" ht="14.25" customHeight="1">
      <c r="A466" s="126"/>
      <c r="G466" s="155"/>
      <c r="H466" s="155"/>
      <c r="I466" s="155"/>
      <c r="J466" s="155"/>
      <c r="K466" s="155"/>
      <c r="L466" s="155"/>
      <c r="M466" s="155"/>
    </row>
    <row r="467" ht="14.25" customHeight="1">
      <c r="A467" s="126"/>
      <c r="G467" s="155"/>
      <c r="H467" s="155"/>
      <c r="I467" s="155"/>
      <c r="J467" s="155"/>
      <c r="K467" s="155"/>
      <c r="L467" s="155"/>
      <c r="M467" s="155"/>
    </row>
    <row r="468" ht="14.25" customHeight="1">
      <c r="A468" s="126"/>
      <c r="G468" s="155"/>
      <c r="H468" s="155"/>
      <c r="I468" s="155"/>
      <c r="J468" s="155"/>
      <c r="K468" s="155"/>
      <c r="L468" s="155"/>
      <c r="M468" s="155"/>
    </row>
    <row r="469" ht="14.25" customHeight="1">
      <c r="A469" s="126"/>
      <c r="G469" s="155"/>
      <c r="H469" s="155"/>
      <c r="I469" s="155"/>
      <c r="J469" s="155"/>
      <c r="K469" s="155"/>
      <c r="L469" s="155"/>
      <c r="M469" s="155"/>
    </row>
    <row r="470" ht="14.25" customHeight="1">
      <c r="A470" s="126"/>
      <c r="G470" s="155"/>
      <c r="H470" s="155"/>
      <c r="I470" s="155"/>
      <c r="J470" s="155"/>
      <c r="K470" s="155"/>
      <c r="L470" s="155"/>
      <c r="M470" s="155"/>
    </row>
    <row r="471" ht="14.25" customHeight="1">
      <c r="A471" s="126"/>
      <c r="G471" s="155"/>
      <c r="H471" s="155"/>
      <c r="I471" s="155"/>
      <c r="J471" s="155"/>
      <c r="K471" s="155"/>
      <c r="L471" s="155"/>
      <c r="M471" s="155"/>
    </row>
    <row r="472" ht="14.25" customHeight="1">
      <c r="A472" s="126"/>
      <c r="G472" s="155"/>
      <c r="H472" s="155"/>
      <c r="I472" s="155"/>
      <c r="J472" s="155"/>
      <c r="K472" s="155"/>
      <c r="L472" s="155"/>
      <c r="M472" s="155"/>
    </row>
    <row r="473" ht="14.25" customHeight="1">
      <c r="A473" s="126"/>
      <c r="G473" s="155"/>
      <c r="H473" s="155"/>
      <c r="I473" s="155"/>
      <c r="J473" s="155"/>
      <c r="K473" s="155"/>
      <c r="L473" s="155"/>
      <c r="M473" s="155"/>
    </row>
    <row r="474" ht="14.25" customHeight="1">
      <c r="A474" s="126"/>
      <c r="G474" s="155"/>
      <c r="H474" s="155"/>
      <c r="I474" s="155"/>
      <c r="J474" s="155"/>
      <c r="K474" s="155"/>
      <c r="L474" s="155"/>
      <c r="M474" s="155"/>
    </row>
    <row r="475" ht="14.25" customHeight="1">
      <c r="A475" s="126"/>
      <c r="G475" s="155"/>
      <c r="H475" s="155"/>
      <c r="I475" s="155"/>
      <c r="J475" s="155"/>
      <c r="K475" s="155"/>
      <c r="L475" s="155"/>
      <c r="M475" s="155"/>
    </row>
    <row r="476" ht="14.25" customHeight="1">
      <c r="A476" s="126"/>
      <c r="G476" s="155"/>
      <c r="H476" s="155"/>
      <c r="I476" s="155"/>
      <c r="J476" s="155"/>
      <c r="K476" s="155"/>
      <c r="L476" s="155"/>
      <c r="M476" s="155"/>
    </row>
    <row r="477" ht="14.25" customHeight="1">
      <c r="A477" s="126"/>
      <c r="G477" s="155"/>
      <c r="H477" s="155"/>
      <c r="I477" s="155"/>
      <c r="J477" s="155"/>
      <c r="K477" s="155"/>
      <c r="L477" s="155"/>
      <c r="M477" s="155"/>
    </row>
    <row r="478" ht="14.25" customHeight="1">
      <c r="A478" s="126"/>
      <c r="G478" s="155"/>
      <c r="H478" s="155"/>
      <c r="I478" s="155"/>
      <c r="J478" s="155"/>
      <c r="K478" s="155"/>
      <c r="L478" s="155"/>
      <c r="M478" s="155"/>
    </row>
    <row r="479" ht="14.25" customHeight="1">
      <c r="A479" s="126"/>
      <c r="G479" s="155"/>
      <c r="H479" s="155"/>
      <c r="I479" s="155"/>
      <c r="J479" s="155"/>
      <c r="K479" s="155"/>
      <c r="L479" s="155"/>
      <c r="M479" s="155"/>
    </row>
    <row r="480" ht="14.25" customHeight="1">
      <c r="A480" s="126"/>
      <c r="G480" s="155"/>
      <c r="H480" s="155"/>
      <c r="I480" s="155"/>
      <c r="J480" s="155"/>
      <c r="K480" s="155"/>
      <c r="L480" s="155"/>
      <c r="M480" s="155"/>
    </row>
    <row r="481" ht="14.25" customHeight="1">
      <c r="A481" s="126"/>
      <c r="G481" s="155"/>
      <c r="H481" s="155"/>
      <c r="I481" s="155"/>
      <c r="J481" s="155"/>
      <c r="K481" s="155"/>
      <c r="L481" s="155"/>
      <c r="M481" s="155"/>
    </row>
    <row r="482" ht="14.25" customHeight="1">
      <c r="A482" s="126"/>
      <c r="G482" s="155"/>
      <c r="H482" s="155"/>
      <c r="I482" s="155"/>
      <c r="J482" s="155"/>
      <c r="K482" s="155"/>
      <c r="L482" s="155"/>
      <c r="M482" s="155"/>
    </row>
    <row r="483" ht="14.25" customHeight="1">
      <c r="A483" s="126"/>
      <c r="G483" s="155"/>
      <c r="H483" s="155"/>
      <c r="I483" s="155"/>
      <c r="J483" s="155"/>
      <c r="K483" s="155"/>
      <c r="L483" s="155"/>
      <c r="M483" s="155"/>
    </row>
    <row r="484" ht="14.25" customHeight="1">
      <c r="A484" s="126"/>
      <c r="G484" s="155"/>
      <c r="H484" s="155"/>
      <c r="I484" s="155"/>
      <c r="J484" s="155"/>
      <c r="K484" s="155"/>
      <c r="L484" s="155"/>
      <c r="M484" s="155"/>
    </row>
    <row r="485" ht="14.25" customHeight="1">
      <c r="A485" s="126"/>
      <c r="G485" s="155"/>
      <c r="H485" s="155"/>
      <c r="I485" s="155"/>
      <c r="J485" s="155"/>
      <c r="K485" s="155"/>
      <c r="L485" s="155"/>
      <c r="M485" s="155"/>
    </row>
    <row r="486" ht="14.25" customHeight="1">
      <c r="A486" s="126"/>
      <c r="G486" s="155"/>
      <c r="H486" s="155"/>
      <c r="I486" s="155"/>
      <c r="J486" s="155"/>
      <c r="K486" s="155"/>
      <c r="L486" s="155"/>
      <c r="M486" s="155"/>
    </row>
    <row r="487" ht="14.25" customHeight="1">
      <c r="A487" s="126"/>
      <c r="G487" s="155"/>
      <c r="H487" s="155"/>
      <c r="I487" s="155"/>
      <c r="J487" s="155"/>
      <c r="K487" s="155"/>
      <c r="L487" s="155"/>
      <c r="M487" s="155"/>
    </row>
    <row r="488" ht="14.25" customHeight="1">
      <c r="A488" s="126"/>
      <c r="G488" s="155"/>
      <c r="H488" s="155"/>
      <c r="I488" s="155"/>
      <c r="J488" s="155"/>
      <c r="K488" s="155"/>
      <c r="L488" s="155"/>
      <c r="M488" s="155"/>
    </row>
    <row r="489" ht="14.25" customHeight="1">
      <c r="A489" s="126"/>
      <c r="G489" s="155"/>
      <c r="H489" s="155"/>
      <c r="I489" s="155"/>
      <c r="J489" s="155"/>
      <c r="K489" s="155"/>
      <c r="L489" s="155"/>
      <c r="M489" s="155"/>
    </row>
    <row r="490" ht="14.25" customHeight="1">
      <c r="A490" s="126"/>
      <c r="G490" s="155"/>
      <c r="H490" s="155"/>
      <c r="I490" s="155"/>
      <c r="J490" s="155"/>
      <c r="K490" s="155"/>
      <c r="L490" s="155"/>
      <c r="M490" s="155"/>
    </row>
    <row r="491" ht="14.25" customHeight="1">
      <c r="A491" s="126"/>
      <c r="G491" s="155"/>
      <c r="H491" s="155"/>
      <c r="I491" s="155"/>
      <c r="J491" s="155"/>
      <c r="K491" s="155"/>
      <c r="L491" s="155"/>
      <c r="M491" s="155"/>
    </row>
    <row r="492" ht="14.25" customHeight="1">
      <c r="A492" s="126"/>
      <c r="G492" s="155"/>
      <c r="H492" s="155"/>
      <c r="I492" s="155"/>
      <c r="J492" s="155"/>
      <c r="K492" s="155"/>
      <c r="L492" s="155"/>
      <c r="M492" s="155"/>
    </row>
    <row r="493" ht="14.25" customHeight="1">
      <c r="A493" s="126"/>
      <c r="G493" s="155"/>
      <c r="H493" s="155"/>
      <c r="I493" s="155"/>
      <c r="J493" s="155"/>
      <c r="K493" s="155"/>
      <c r="L493" s="155"/>
      <c r="M493" s="155"/>
    </row>
    <row r="494" ht="14.25" customHeight="1">
      <c r="A494" s="126"/>
      <c r="G494" s="155"/>
      <c r="H494" s="155"/>
      <c r="I494" s="155"/>
      <c r="J494" s="155"/>
      <c r="K494" s="155"/>
      <c r="L494" s="155"/>
      <c r="M494" s="155"/>
    </row>
    <row r="495" ht="14.25" customHeight="1">
      <c r="A495" s="126"/>
      <c r="G495" s="155"/>
      <c r="H495" s="155"/>
      <c r="I495" s="155"/>
      <c r="J495" s="155"/>
      <c r="K495" s="155"/>
      <c r="L495" s="155"/>
      <c r="M495" s="155"/>
    </row>
    <row r="496" ht="14.25" customHeight="1">
      <c r="A496" s="126"/>
      <c r="G496" s="155"/>
      <c r="H496" s="155"/>
      <c r="I496" s="155"/>
      <c r="J496" s="155"/>
      <c r="K496" s="155"/>
      <c r="L496" s="155"/>
      <c r="M496" s="155"/>
    </row>
    <row r="497" ht="14.25" customHeight="1">
      <c r="A497" s="126"/>
      <c r="G497" s="155"/>
      <c r="H497" s="155"/>
      <c r="I497" s="155"/>
      <c r="J497" s="155"/>
      <c r="K497" s="155"/>
      <c r="L497" s="155"/>
      <c r="M497" s="155"/>
    </row>
    <row r="498" ht="14.25" customHeight="1">
      <c r="A498" s="126"/>
      <c r="G498" s="155"/>
      <c r="H498" s="155"/>
      <c r="I498" s="155"/>
      <c r="J498" s="155"/>
      <c r="K498" s="155"/>
      <c r="L498" s="155"/>
      <c r="M498" s="155"/>
    </row>
    <row r="499" ht="14.25" customHeight="1">
      <c r="A499" s="126"/>
      <c r="G499" s="155"/>
      <c r="H499" s="155"/>
      <c r="I499" s="155"/>
      <c r="J499" s="155"/>
      <c r="K499" s="155"/>
      <c r="L499" s="155"/>
      <c r="M499" s="155"/>
    </row>
    <row r="500" ht="14.25" customHeight="1">
      <c r="A500" s="126"/>
      <c r="G500" s="155"/>
      <c r="H500" s="155"/>
      <c r="I500" s="155"/>
      <c r="J500" s="155"/>
      <c r="K500" s="155"/>
      <c r="L500" s="155"/>
      <c r="M500" s="155"/>
    </row>
    <row r="501" ht="14.25" customHeight="1">
      <c r="A501" s="126"/>
      <c r="G501" s="155"/>
      <c r="H501" s="155"/>
      <c r="I501" s="155"/>
      <c r="J501" s="155"/>
      <c r="K501" s="155"/>
      <c r="L501" s="155"/>
      <c r="M501" s="155"/>
    </row>
    <row r="502" ht="14.25" customHeight="1">
      <c r="A502" s="126"/>
      <c r="G502" s="155"/>
      <c r="H502" s="155"/>
      <c r="I502" s="155"/>
      <c r="J502" s="155"/>
      <c r="K502" s="155"/>
      <c r="L502" s="155"/>
      <c r="M502" s="155"/>
    </row>
    <row r="503" ht="14.25" customHeight="1">
      <c r="A503" s="126"/>
      <c r="G503" s="155"/>
      <c r="H503" s="155"/>
      <c r="I503" s="155"/>
      <c r="J503" s="155"/>
      <c r="K503" s="155"/>
      <c r="L503" s="155"/>
      <c r="M503" s="155"/>
    </row>
    <row r="504" ht="14.25" customHeight="1">
      <c r="A504" s="126"/>
      <c r="G504" s="155"/>
      <c r="H504" s="155"/>
      <c r="I504" s="155"/>
      <c r="J504" s="155"/>
      <c r="K504" s="155"/>
      <c r="L504" s="155"/>
      <c r="M504" s="155"/>
    </row>
    <row r="505" ht="14.25" customHeight="1">
      <c r="A505" s="126"/>
      <c r="G505" s="155"/>
      <c r="H505" s="155"/>
      <c r="I505" s="155"/>
      <c r="J505" s="155"/>
      <c r="K505" s="155"/>
      <c r="L505" s="155"/>
      <c r="M505" s="155"/>
    </row>
    <row r="506" ht="14.25" customHeight="1">
      <c r="A506" s="126"/>
      <c r="G506" s="155"/>
      <c r="H506" s="155"/>
      <c r="I506" s="155"/>
      <c r="J506" s="155"/>
      <c r="K506" s="155"/>
      <c r="L506" s="155"/>
      <c r="M506" s="155"/>
    </row>
    <row r="507" ht="14.25" customHeight="1">
      <c r="A507" s="126"/>
      <c r="G507" s="155"/>
      <c r="H507" s="155"/>
      <c r="I507" s="155"/>
      <c r="J507" s="155"/>
      <c r="K507" s="155"/>
      <c r="L507" s="155"/>
      <c r="M507" s="155"/>
    </row>
    <row r="508" ht="14.25" customHeight="1">
      <c r="A508" s="126"/>
      <c r="G508" s="155"/>
      <c r="H508" s="155"/>
      <c r="I508" s="155"/>
      <c r="J508" s="155"/>
      <c r="K508" s="155"/>
      <c r="L508" s="155"/>
      <c r="M508" s="155"/>
    </row>
    <row r="509" ht="14.25" customHeight="1">
      <c r="A509" s="126"/>
      <c r="G509" s="155"/>
      <c r="H509" s="155"/>
      <c r="I509" s="155"/>
      <c r="J509" s="155"/>
      <c r="K509" s="155"/>
      <c r="L509" s="155"/>
      <c r="M509" s="155"/>
    </row>
    <row r="510" ht="14.25" customHeight="1">
      <c r="A510" s="126"/>
      <c r="G510" s="155"/>
      <c r="H510" s="155"/>
      <c r="I510" s="155"/>
      <c r="J510" s="155"/>
      <c r="K510" s="155"/>
      <c r="L510" s="155"/>
      <c r="M510" s="155"/>
    </row>
    <row r="511" ht="14.25" customHeight="1">
      <c r="A511" s="126"/>
      <c r="G511" s="155"/>
      <c r="H511" s="155"/>
      <c r="I511" s="155"/>
      <c r="J511" s="155"/>
      <c r="K511" s="155"/>
      <c r="L511" s="155"/>
      <c r="M511" s="155"/>
    </row>
    <row r="512" ht="14.25" customHeight="1">
      <c r="A512" s="126"/>
      <c r="G512" s="155"/>
      <c r="H512" s="155"/>
      <c r="I512" s="155"/>
      <c r="J512" s="155"/>
      <c r="K512" s="155"/>
      <c r="L512" s="155"/>
      <c r="M512" s="155"/>
    </row>
    <row r="513" ht="14.25" customHeight="1">
      <c r="A513" s="126"/>
      <c r="G513" s="155"/>
      <c r="H513" s="155"/>
      <c r="I513" s="155"/>
      <c r="J513" s="155"/>
      <c r="K513" s="155"/>
      <c r="L513" s="155"/>
      <c r="M513" s="155"/>
    </row>
    <row r="514" ht="14.25" customHeight="1">
      <c r="A514" s="126"/>
      <c r="G514" s="155"/>
      <c r="H514" s="155"/>
      <c r="I514" s="155"/>
      <c r="J514" s="155"/>
      <c r="K514" s="155"/>
      <c r="L514" s="155"/>
      <c r="M514" s="155"/>
    </row>
    <row r="515" ht="14.25" customHeight="1">
      <c r="A515" s="126"/>
      <c r="G515" s="155"/>
      <c r="H515" s="155"/>
      <c r="I515" s="155"/>
      <c r="J515" s="155"/>
      <c r="K515" s="155"/>
      <c r="L515" s="155"/>
      <c r="M515" s="155"/>
    </row>
    <row r="516" ht="14.25" customHeight="1">
      <c r="A516" s="126"/>
      <c r="G516" s="155"/>
      <c r="H516" s="155"/>
      <c r="I516" s="155"/>
      <c r="J516" s="155"/>
      <c r="K516" s="155"/>
      <c r="L516" s="155"/>
      <c r="M516" s="155"/>
    </row>
    <row r="517" ht="14.25" customHeight="1">
      <c r="A517" s="126"/>
      <c r="G517" s="155"/>
      <c r="H517" s="155"/>
      <c r="I517" s="155"/>
      <c r="J517" s="155"/>
      <c r="K517" s="155"/>
      <c r="L517" s="155"/>
      <c r="M517" s="155"/>
    </row>
    <row r="518" ht="14.25" customHeight="1">
      <c r="A518" s="126"/>
      <c r="G518" s="155"/>
      <c r="H518" s="155"/>
      <c r="I518" s="155"/>
      <c r="J518" s="155"/>
      <c r="K518" s="155"/>
      <c r="L518" s="155"/>
      <c r="M518" s="155"/>
    </row>
    <row r="519" ht="14.25" customHeight="1">
      <c r="A519" s="126"/>
      <c r="G519" s="155"/>
      <c r="H519" s="155"/>
      <c r="I519" s="155"/>
      <c r="J519" s="155"/>
      <c r="K519" s="155"/>
      <c r="L519" s="155"/>
      <c r="M519" s="155"/>
    </row>
    <row r="520" ht="14.25" customHeight="1">
      <c r="A520" s="126"/>
      <c r="G520" s="155"/>
      <c r="H520" s="155"/>
      <c r="I520" s="155"/>
      <c r="J520" s="155"/>
      <c r="K520" s="155"/>
      <c r="L520" s="155"/>
      <c r="M520" s="155"/>
    </row>
    <row r="521" ht="14.25" customHeight="1">
      <c r="A521" s="126"/>
      <c r="G521" s="155"/>
      <c r="H521" s="155"/>
      <c r="I521" s="155"/>
      <c r="J521" s="155"/>
      <c r="K521" s="155"/>
      <c r="L521" s="155"/>
      <c r="M521" s="155"/>
    </row>
    <row r="522" ht="14.25" customHeight="1">
      <c r="A522" s="126"/>
      <c r="G522" s="155"/>
      <c r="H522" s="155"/>
      <c r="I522" s="155"/>
      <c r="J522" s="155"/>
      <c r="K522" s="155"/>
      <c r="L522" s="155"/>
      <c r="M522" s="155"/>
    </row>
    <row r="523" ht="14.25" customHeight="1">
      <c r="A523" s="126"/>
      <c r="G523" s="155"/>
      <c r="H523" s="155"/>
      <c r="I523" s="155"/>
      <c r="J523" s="155"/>
      <c r="K523" s="155"/>
      <c r="L523" s="155"/>
      <c r="M523" s="155"/>
    </row>
    <row r="524" ht="14.25" customHeight="1">
      <c r="A524" s="126"/>
      <c r="G524" s="155"/>
      <c r="H524" s="155"/>
      <c r="I524" s="155"/>
      <c r="J524" s="155"/>
      <c r="K524" s="155"/>
      <c r="L524" s="155"/>
      <c r="M524" s="155"/>
    </row>
    <row r="525" ht="14.25" customHeight="1">
      <c r="A525" s="126"/>
      <c r="G525" s="155"/>
      <c r="H525" s="155"/>
      <c r="I525" s="155"/>
      <c r="J525" s="155"/>
      <c r="K525" s="155"/>
      <c r="L525" s="155"/>
      <c r="M525" s="155"/>
    </row>
    <row r="526" ht="14.25" customHeight="1">
      <c r="A526" s="126"/>
      <c r="G526" s="155"/>
      <c r="H526" s="155"/>
      <c r="I526" s="155"/>
      <c r="J526" s="155"/>
      <c r="K526" s="155"/>
      <c r="L526" s="155"/>
      <c r="M526" s="155"/>
    </row>
    <row r="527" ht="14.25" customHeight="1">
      <c r="A527" s="126"/>
      <c r="G527" s="155"/>
      <c r="H527" s="155"/>
      <c r="I527" s="155"/>
      <c r="J527" s="155"/>
      <c r="K527" s="155"/>
      <c r="L527" s="155"/>
      <c r="M527" s="155"/>
    </row>
    <row r="528" ht="14.25" customHeight="1">
      <c r="A528" s="126"/>
      <c r="G528" s="155"/>
      <c r="H528" s="155"/>
      <c r="I528" s="155"/>
      <c r="J528" s="155"/>
      <c r="K528" s="155"/>
      <c r="L528" s="155"/>
      <c r="M528" s="155"/>
    </row>
    <row r="529" ht="14.25" customHeight="1">
      <c r="A529" s="126"/>
      <c r="G529" s="155"/>
      <c r="H529" s="155"/>
      <c r="I529" s="155"/>
      <c r="J529" s="155"/>
      <c r="K529" s="155"/>
      <c r="L529" s="155"/>
      <c r="M529" s="155"/>
    </row>
    <row r="530" ht="14.25" customHeight="1">
      <c r="A530" s="126"/>
      <c r="G530" s="155"/>
      <c r="H530" s="155"/>
      <c r="I530" s="155"/>
      <c r="J530" s="155"/>
      <c r="K530" s="155"/>
      <c r="L530" s="155"/>
      <c r="M530" s="155"/>
    </row>
    <row r="531" ht="14.25" customHeight="1">
      <c r="A531" s="126"/>
      <c r="G531" s="155"/>
      <c r="H531" s="155"/>
      <c r="I531" s="155"/>
      <c r="J531" s="155"/>
      <c r="K531" s="155"/>
      <c r="L531" s="155"/>
      <c r="M531" s="155"/>
    </row>
    <row r="532" ht="14.25" customHeight="1">
      <c r="A532" s="126"/>
      <c r="G532" s="155"/>
      <c r="H532" s="155"/>
      <c r="I532" s="155"/>
      <c r="J532" s="155"/>
      <c r="K532" s="155"/>
      <c r="L532" s="155"/>
      <c r="M532" s="155"/>
    </row>
    <row r="533" ht="14.25" customHeight="1">
      <c r="A533" s="126"/>
      <c r="G533" s="155"/>
      <c r="H533" s="155"/>
      <c r="I533" s="155"/>
      <c r="J533" s="155"/>
      <c r="K533" s="155"/>
      <c r="L533" s="155"/>
      <c r="M533" s="155"/>
    </row>
    <row r="534" ht="14.25" customHeight="1">
      <c r="A534" s="126"/>
      <c r="G534" s="155"/>
      <c r="H534" s="155"/>
      <c r="I534" s="155"/>
      <c r="J534" s="155"/>
      <c r="K534" s="155"/>
      <c r="L534" s="155"/>
      <c r="M534" s="155"/>
    </row>
    <row r="535" ht="14.25" customHeight="1">
      <c r="A535" s="126"/>
      <c r="G535" s="155"/>
      <c r="H535" s="155"/>
      <c r="I535" s="155"/>
      <c r="J535" s="155"/>
      <c r="K535" s="155"/>
      <c r="L535" s="155"/>
      <c r="M535" s="155"/>
    </row>
    <row r="536" ht="14.25" customHeight="1">
      <c r="A536" s="126"/>
      <c r="G536" s="155"/>
      <c r="H536" s="155"/>
      <c r="I536" s="155"/>
      <c r="J536" s="155"/>
      <c r="K536" s="155"/>
      <c r="L536" s="155"/>
      <c r="M536" s="155"/>
    </row>
    <row r="537" ht="14.25" customHeight="1">
      <c r="A537" s="126"/>
      <c r="G537" s="155"/>
      <c r="H537" s="155"/>
      <c r="I537" s="155"/>
      <c r="J537" s="155"/>
      <c r="K537" s="155"/>
      <c r="L537" s="155"/>
      <c r="M537" s="155"/>
    </row>
    <row r="538" ht="14.25" customHeight="1">
      <c r="A538" s="126"/>
      <c r="G538" s="155"/>
      <c r="H538" s="155"/>
      <c r="I538" s="155"/>
      <c r="J538" s="155"/>
      <c r="K538" s="155"/>
      <c r="L538" s="155"/>
      <c r="M538" s="155"/>
    </row>
    <row r="539" ht="14.25" customHeight="1">
      <c r="A539" s="126"/>
      <c r="G539" s="155"/>
      <c r="H539" s="155"/>
      <c r="I539" s="155"/>
      <c r="J539" s="155"/>
      <c r="K539" s="155"/>
      <c r="L539" s="155"/>
      <c r="M539" s="155"/>
    </row>
    <row r="540" ht="14.25" customHeight="1">
      <c r="A540" s="126"/>
      <c r="G540" s="155"/>
      <c r="H540" s="155"/>
      <c r="I540" s="155"/>
      <c r="J540" s="155"/>
      <c r="K540" s="155"/>
      <c r="L540" s="155"/>
      <c r="M540" s="155"/>
    </row>
    <row r="541" ht="14.25" customHeight="1">
      <c r="A541" s="126"/>
      <c r="G541" s="155"/>
      <c r="H541" s="155"/>
      <c r="I541" s="155"/>
      <c r="J541" s="155"/>
      <c r="K541" s="155"/>
      <c r="L541" s="155"/>
      <c r="M541" s="155"/>
    </row>
    <row r="542" ht="14.25" customHeight="1">
      <c r="A542" s="126"/>
      <c r="G542" s="155"/>
      <c r="H542" s="155"/>
      <c r="I542" s="155"/>
      <c r="J542" s="155"/>
      <c r="K542" s="155"/>
      <c r="L542" s="155"/>
      <c r="M542" s="155"/>
    </row>
    <row r="543" ht="14.25" customHeight="1">
      <c r="A543" s="126"/>
      <c r="G543" s="155"/>
      <c r="H543" s="155"/>
      <c r="I543" s="155"/>
      <c r="J543" s="155"/>
      <c r="K543" s="155"/>
      <c r="L543" s="155"/>
      <c r="M543" s="155"/>
    </row>
    <row r="544" ht="14.25" customHeight="1">
      <c r="A544" s="126"/>
      <c r="G544" s="155"/>
      <c r="H544" s="155"/>
      <c r="I544" s="155"/>
      <c r="J544" s="155"/>
      <c r="K544" s="155"/>
      <c r="L544" s="155"/>
      <c r="M544" s="155"/>
    </row>
    <row r="545" ht="14.25" customHeight="1">
      <c r="A545" s="126"/>
      <c r="G545" s="155"/>
      <c r="H545" s="155"/>
      <c r="I545" s="155"/>
      <c r="J545" s="155"/>
      <c r="K545" s="155"/>
      <c r="L545" s="155"/>
      <c r="M545" s="155"/>
    </row>
    <row r="546" ht="14.25" customHeight="1">
      <c r="A546" s="126"/>
      <c r="G546" s="155"/>
      <c r="H546" s="155"/>
      <c r="I546" s="155"/>
      <c r="J546" s="155"/>
      <c r="K546" s="155"/>
      <c r="L546" s="155"/>
      <c r="M546" s="155"/>
    </row>
    <row r="547" ht="14.25" customHeight="1">
      <c r="A547" s="126"/>
      <c r="G547" s="155"/>
      <c r="H547" s="155"/>
      <c r="I547" s="155"/>
      <c r="J547" s="155"/>
      <c r="K547" s="155"/>
      <c r="L547" s="155"/>
      <c r="M547" s="155"/>
    </row>
    <row r="548" ht="14.25" customHeight="1">
      <c r="A548" s="126"/>
      <c r="G548" s="155"/>
      <c r="H548" s="155"/>
      <c r="I548" s="155"/>
      <c r="J548" s="155"/>
      <c r="K548" s="155"/>
      <c r="L548" s="155"/>
      <c r="M548" s="155"/>
    </row>
    <row r="549" ht="14.25" customHeight="1">
      <c r="A549" s="126"/>
      <c r="G549" s="155"/>
      <c r="H549" s="155"/>
      <c r="I549" s="155"/>
      <c r="J549" s="155"/>
      <c r="K549" s="155"/>
      <c r="L549" s="155"/>
      <c r="M549" s="155"/>
    </row>
    <row r="550" ht="14.25" customHeight="1">
      <c r="A550" s="126"/>
      <c r="G550" s="155"/>
      <c r="H550" s="155"/>
      <c r="I550" s="155"/>
      <c r="J550" s="155"/>
      <c r="K550" s="155"/>
      <c r="L550" s="155"/>
      <c r="M550" s="155"/>
    </row>
    <row r="551" ht="14.25" customHeight="1">
      <c r="A551" s="126"/>
      <c r="G551" s="155"/>
      <c r="H551" s="155"/>
      <c r="I551" s="155"/>
      <c r="J551" s="155"/>
      <c r="K551" s="155"/>
      <c r="L551" s="155"/>
      <c r="M551" s="155"/>
    </row>
    <row r="552" ht="14.25" customHeight="1">
      <c r="A552" s="126"/>
      <c r="G552" s="155"/>
      <c r="H552" s="155"/>
      <c r="I552" s="155"/>
      <c r="J552" s="155"/>
      <c r="K552" s="155"/>
      <c r="L552" s="155"/>
      <c r="M552" s="155"/>
    </row>
    <row r="553" ht="14.25" customHeight="1">
      <c r="A553" s="126"/>
      <c r="G553" s="155"/>
      <c r="H553" s="155"/>
      <c r="I553" s="155"/>
      <c r="J553" s="155"/>
      <c r="K553" s="155"/>
      <c r="L553" s="155"/>
      <c r="M553" s="155"/>
    </row>
    <row r="554" ht="14.25" customHeight="1">
      <c r="A554" s="126"/>
      <c r="G554" s="155"/>
      <c r="H554" s="155"/>
      <c r="I554" s="155"/>
      <c r="J554" s="155"/>
      <c r="K554" s="155"/>
      <c r="L554" s="155"/>
      <c r="M554" s="155"/>
    </row>
    <row r="555" ht="14.25" customHeight="1">
      <c r="A555" s="126"/>
      <c r="G555" s="155"/>
      <c r="H555" s="155"/>
      <c r="I555" s="155"/>
      <c r="J555" s="155"/>
      <c r="K555" s="155"/>
      <c r="L555" s="155"/>
      <c r="M555" s="155"/>
    </row>
    <row r="556" ht="14.25" customHeight="1">
      <c r="A556" s="126"/>
      <c r="G556" s="155"/>
      <c r="H556" s="155"/>
      <c r="I556" s="155"/>
      <c r="J556" s="155"/>
      <c r="K556" s="155"/>
      <c r="L556" s="155"/>
      <c r="M556" s="155"/>
    </row>
    <row r="557" ht="14.25" customHeight="1">
      <c r="A557" s="126"/>
      <c r="G557" s="155"/>
      <c r="H557" s="155"/>
      <c r="I557" s="155"/>
      <c r="J557" s="155"/>
      <c r="K557" s="155"/>
      <c r="L557" s="155"/>
      <c r="M557" s="155"/>
    </row>
    <row r="558" ht="14.25" customHeight="1">
      <c r="A558" s="126"/>
      <c r="G558" s="155"/>
      <c r="H558" s="155"/>
      <c r="I558" s="155"/>
      <c r="J558" s="155"/>
      <c r="K558" s="155"/>
      <c r="L558" s="155"/>
      <c r="M558" s="155"/>
    </row>
    <row r="559" ht="14.25" customHeight="1">
      <c r="A559" s="126"/>
      <c r="G559" s="155"/>
      <c r="H559" s="155"/>
      <c r="I559" s="155"/>
      <c r="J559" s="155"/>
      <c r="K559" s="155"/>
      <c r="L559" s="155"/>
      <c r="M559" s="155"/>
    </row>
    <row r="560" ht="14.25" customHeight="1">
      <c r="A560" s="126"/>
      <c r="G560" s="155"/>
      <c r="H560" s="155"/>
      <c r="I560" s="155"/>
      <c r="J560" s="155"/>
      <c r="K560" s="155"/>
      <c r="L560" s="155"/>
      <c r="M560" s="155"/>
    </row>
    <row r="561" ht="14.25" customHeight="1">
      <c r="A561" s="126"/>
      <c r="G561" s="155"/>
      <c r="H561" s="155"/>
      <c r="I561" s="155"/>
      <c r="J561" s="155"/>
      <c r="K561" s="155"/>
      <c r="L561" s="155"/>
      <c r="M561" s="155"/>
    </row>
    <row r="562" ht="14.25" customHeight="1">
      <c r="A562" s="126"/>
      <c r="G562" s="155"/>
      <c r="H562" s="155"/>
      <c r="I562" s="155"/>
      <c r="J562" s="155"/>
      <c r="K562" s="155"/>
      <c r="L562" s="155"/>
      <c r="M562" s="155"/>
    </row>
    <row r="563" ht="14.25" customHeight="1">
      <c r="A563" s="126"/>
      <c r="G563" s="155"/>
      <c r="H563" s="155"/>
      <c r="I563" s="155"/>
      <c r="J563" s="155"/>
      <c r="K563" s="155"/>
      <c r="L563" s="155"/>
      <c r="M563" s="155"/>
    </row>
    <row r="564" ht="14.25" customHeight="1">
      <c r="A564" s="126"/>
      <c r="G564" s="155"/>
      <c r="H564" s="155"/>
      <c r="I564" s="155"/>
      <c r="J564" s="155"/>
      <c r="K564" s="155"/>
      <c r="L564" s="155"/>
      <c r="M564" s="155"/>
    </row>
    <row r="565" ht="14.25" customHeight="1">
      <c r="A565" s="126"/>
      <c r="G565" s="155"/>
      <c r="H565" s="155"/>
      <c r="I565" s="155"/>
      <c r="J565" s="155"/>
      <c r="K565" s="155"/>
      <c r="L565" s="155"/>
      <c r="M565" s="155"/>
    </row>
    <row r="566" ht="14.25" customHeight="1">
      <c r="A566" s="126"/>
      <c r="G566" s="155"/>
      <c r="H566" s="155"/>
      <c r="I566" s="155"/>
      <c r="J566" s="155"/>
      <c r="K566" s="155"/>
      <c r="L566" s="155"/>
      <c r="M566" s="155"/>
    </row>
    <row r="567" ht="14.25" customHeight="1">
      <c r="A567" s="126"/>
      <c r="G567" s="155"/>
      <c r="H567" s="155"/>
      <c r="I567" s="155"/>
      <c r="J567" s="155"/>
      <c r="K567" s="155"/>
      <c r="L567" s="155"/>
      <c r="M567" s="155"/>
    </row>
    <row r="568" ht="14.25" customHeight="1">
      <c r="A568" s="126"/>
      <c r="G568" s="155"/>
      <c r="H568" s="155"/>
      <c r="I568" s="155"/>
      <c r="J568" s="155"/>
      <c r="K568" s="155"/>
      <c r="L568" s="155"/>
      <c r="M568" s="155"/>
    </row>
    <row r="569" ht="14.25" customHeight="1">
      <c r="A569" s="126"/>
      <c r="G569" s="155"/>
      <c r="H569" s="155"/>
      <c r="I569" s="155"/>
      <c r="J569" s="155"/>
      <c r="K569" s="155"/>
      <c r="L569" s="155"/>
      <c r="M569" s="155"/>
    </row>
    <row r="570" ht="14.25" customHeight="1">
      <c r="A570" s="126"/>
      <c r="G570" s="155"/>
      <c r="H570" s="155"/>
      <c r="I570" s="155"/>
      <c r="J570" s="155"/>
      <c r="K570" s="155"/>
      <c r="L570" s="155"/>
      <c r="M570" s="155"/>
    </row>
    <row r="571" ht="14.25" customHeight="1">
      <c r="A571" s="126"/>
      <c r="G571" s="155"/>
      <c r="H571" s="155"/>
      <c r="I571" s="155"/>
      <c r="J571" s="155"/>
      <c r="K571" s="155"/>
      <c r="L571" s="155"/>
      <c r="M571" s="155"/>
    </row>
    <row r="572" ht="14.25" customHeight="1">
      <c r="A572" s="126"/>
      <c r="G572" s="155"/>
      <c r="H572" s="155"/>
      <c r="I572" s="155"/>
      <c r="J572" s="155"/>
      <c r="K572" s="155"/>
      <c r="L572" s="155"/>
      <c r="M572" s="155"/>
    </row>
    <row r="573" ht="14.25" customHeight="1">
      <c r="A573" s="126"/>
      <c r="G573" s="155"/>
      <c r="H573" s="155"/>
      <c r="I573" s="155"/>
      <c r="J573" s="155"/>
      <c r="K573" s="155"/>
      <c r="L573" s="155"/>
      <c r="M573" s="155"/>
    </row>
    <row r="574" ht="14.25" customHeight="1">
      <c r="A574" s="126"/>
      <c r="G574" s="155"/>
      <c r="H574" s="155"/>
      <c r="I574" s="155"/>
      <c r="J574" s="155"/>
      <c r="K574" s="155"/>
      <c r="L574" s="155"/>
      <c r="M574" s="155"/>
    </row>
    <row r="575" ht="14.25" customHeight="1">
      <c r="A575" s="126"/>
      <c r="G575" s="155"/>
      <c r="H575" s="155"/>
      <c r="I575" s="155"/>
      <c r="J575" s="155"/>
      <c r="K575" s="155"/>
      <c r="L575" s="155"/>
      <c r="M575" s="155"/>
    </row>
    <row r="576" ht="14.25" customHeight="1">
      <c r="A576" s="126"/>
      <c r="G576" s="155"/>
      <c r="H576" s="155"/>
      <c r="I576" s="155"/>
      <c r="J576" s="155"/>
      <c r="K576" s="155"/>
      <c r="L576" s="155"/>
      <c r="M576" s="155"/>
    </row>
    <row r="577" ht="14.25" customHeight="1">
      <c r="A577" s="126"/>
      <c r="G577" s="155"/>
      <c r="H577" s="155"/>
      <c r="I577" s="155"/>
      <c r="J577" s="155"/>
      <c r="K577" s="155"/>
      <c r="L577" s="155"/>
      <c r="M577" s="155"/>
    </row>
    <row r="578" ht="14.25" customHeight="1">
      <c r="A578" s="126"/>
      <c r="G578" s="155"/>
      <c r="H578" s="155"/>
      <c r="I578" s="155"/>
      <c r="J578" s="155"/>
      <c r="K578" s="155"/>
      <c r="L578" s="155"/>
      <c r="M578" s="155"/>
    </row>
    <row r="579" ht="14.25" customHeight="1">
      <c r="A579" s="126"/>
      <c r="G579" s="155"/>
      <c r="H579" s="155"/>
      <c r="I579" s="155"/>
      <c r="J579" s="155"/>
      <c r="K579" s="155"/>
      <c r="L579" s="155"/>
      <c r="M579" s="155"/>
    </row>
    <row r="580" ht="14.25" customHeight="1">
      <c r="A580" s="126"/>
      <c r="G580" s="155"/>
      <c r="H580" s="155"/>
      <c r="I580" s="155"/>
      <c r="J580" s="155"/>
      <c r="K580" s="155"/>
      <c r="L580" s="155"/>
      <c r="M580" s="155"/>
    </row>
    <row r="581" ht="14.25" customHeight="1">
      <c r="A581" s="126"/>
      <c r="G581" s="155"/>
      <c r="H581" s="155"/>
      <c r="I581" s="155"/>
      <c r="J581" s="155"/>
      <c r="K581" s="155"/>
      <c r="L581" s="155"/>
      <c r="M581" s="155"/>
    </row>
    <row r="582" ht="14.25" customHeight="1">
      <c r="A582" s="126"/>
      <c r="G582" s="155"/>
      <c r="H582" s="155"/>
      <c r="I582" s="155"/>
      <c r="J582" s="155"/>
      <c r="K582" s="155"/>
      <c r="L582" s="155"/>
      <c r="M582" s="155"/>
    </row>
    <row r="583" ht="14.25" customHeight="1">
      <c r="A583" s="126"/>
      <c r="G583" s="155"/>
      <c r="H583" s="155"/>
      <c r="I583" s="155"/>
      <c r="J583" s="155"/>
      <c r="K583" s="155"/>
      <c r="L583" s="155"/>
      <c r="M583" s="155"/>
    </row>
    <row r="584" ht="14.25" customHeight="1">
      <c r="A584" s="126"/>
      <c r="G584" s="155"/>
      <c r="H584" s="155"/>
      <c r="I584" s="155"/>
      <c r="J584" s="155"/>
      <c r="K584" s="155"/>
      <c r="L584" s="155"/>
      <c r="M584" s="155"/>
    </row>
    <row r="585" ht="14.25" customHeight="1">
      <c r="A585" s="126"/>
      <c r="G585" s="155"/>
      <c r="H585" s="155"/>
      <c r="I585" s="155"/>
      <c r="J585" s="155"/>
      <c r="K585" s="155"/>
      <c r="L585" s="155"/>
      <c r="M585" s="155"/>
    </row>
    <row r="586" ht="14.25" customHeight="1">
      <c r="A586" s="126"/>
      <c r="G586" s="155"/>
      <c r="H586" s="155"/>
      <c r="I586" s="155"/>
      <c r="J586" s="155"/>
      <c r="K586" s="155"/>
      <c r="L586" s="155"/>
      <c r="M586" s="155"/>
    </row>
    <row r="587" ht="14.25" customHeight="1">
      <c r="A587" s="126"/>
      <c r="G587" s="155"/>
      <c r="H587" s="155"/>
      <c r="I587" s="155"/>
      <c r="J587" s="155"/>
      <c r="K587" s="155"/>
      <c r="L587" s="155"/>
      <c r="M587" s="155"/>
    </row>
    <row r="588" ht="14.25" customHeight="1">
      <c r="A588" s="126"/>
      <c r="G588" s="155"/>
      <c r="H588" s="155"/>
      <c r="I588" s="155"/>
      <c r="J588" s="155"/>
      <c r="K588" s="155"/>
      <c r="L588" s="155"/>
      <c r="M588" s="155"/>
    </row>
    <row r="589" ht="14.25" customHeight="1">
      <c r="A589" s="126"/>
      <c r="G589" s="155"/>
      <c r="H589" s="155"/>
      <c r="I589" s="155"/>
      <c r="J589" s="155"/>
      <c r="K589" s="155"/>
      <c r="L589" s="155"/>
      <c r="M589" s="155"/>
    </row>
    <row r="590" ht="14.25" customHeight="1">
      <c r="A590" s="126"/>
      <c r="G590" s="155"/>
      <c r="H590" s="155"/>
      <c r="I590" s="155"/>
      <c r="J590" s="155"/>
      <c r="K590" s="155"/>
      <c r="L590" s="155"/>
      <c r="M590" s="155"/>
    </row>
    <row r="591" ht="14.25" customHeight="1">
      <c r="A591" s="126"/>
      <c r="G591" s="155"/>
      <c r="H591" s="155"/>
      <c r="I591" s="155"/>
      <c r="J591" s="155"/>
      <c r="K591" s="155"/>
      <c r="L591" s="155"/>
      <c r="M591" s="155"/>
    </row>
    <row r="592" ht="14.25" customHeight="1">
      <c r="A592" s="126"/>
      <c r="G592" s="155"/>
      <c r="H592" s="155"/>
      <c r="I592" s="155"/>
      <c r="J592" s="155"/>
      <c r="K592" s="155"/>
      <c r="L592" s="155"/>
      <c r="M592" s="155"/>
    </row>
    <row r="593" ht="14.25" customHeight="1">
      <c r="A593" s="126"/>
      <c r="G593" s="155"/>
      <c r="H593" s="155"/>
      <c r="I593" s="155"/>
      <c r="J593" s="155"/>
      <c r="K593" s="155"/>
      <c r="L593" s="155"/>
      <c r="M593" s="155"/>
    </row>
    <row r="594" ht="14.25" customHeight="1">
      <c r="A594" s="126"/>
      <c r="G594" s="155"/>
      <c r="H594" s="155"/>
      <c r="I594" s="155"/>
      <c r="J594" s="155"/>
      <c r="K594" s="155"/>
      <c r="L594" s="155"/>
      <c r="M594" s="155"/>
    </row>
    <row r="595" ht="14.25" customHeight="1">
      <c r="A595" s="126"/>
      <c r="G595" s="155"/>
      <c r="H595" s="155"/>
      <c r="I595" s="155"/>
      <c r="J595" s="155"/>
      <c r="K595" s="155"/>
      <c r="L595" s="155"/>
      <c r="M595" s="155"/>
    </row>
    <row r="596" ht="14.25" customHeight="1">
      <c r="A596" s="126"/>
      <c r="G596" s="155"/>
      <c r="H596" s="155"/>
      <c r="I596" s="155"/>
      <c r="J596" s="155"/>
      <c r="K596" s="155"/>
      <c r="L596" s="155"/>
      <c r="M596" s="155"/>
    </row>
    <row r="597" ht="14.25" customHeight="1">
      <c r="A597" s="126"/>
      <c r="G597" s="155"/>
      <c r="H597" s="155"/>
      <c r="I597" s="155"/>
      <c r="J597" s="155"/>
      <c r="K597" s="155"/>
      <c r="L597" s="155"/>
      <c r="M597" s="155"/>
    </row>
    <row r="598" ht="14.25" customHeight="1">
      <c r="A598" s="126"/>
      <c r="G598" s="155"/>
      <c r="H598" s="155"/>
      <c r="I598" s="155"/>
      <c r="J598" s="155"/>
      <c r="K598" s="155"/>
      <c r="L598" s="155"/>
      <c r="M598" s="155"/>
    </row>
    <row r="599" ht="14.25" customHeight="1">
      <c r="A599" s="126"/>
      <c r="G599" s="155"/>
      <c r="H599" s="155"/>
      <c r="I599" s="155"/>
      <c r="J599" s="155"/>
      <c r="K599" s="155"/>
      <c r="L599" s="155"/>
      <c r="M599" s="155"/>
    </row>
    <row r="600" ht="14.25" customHeight="1">
      <c r="A600" s="126"/>
      <c r="G600" s="155"/>
      <c r="H600" s="155"/>
      <c r="I600" s="155"/>
      <c r="J600" s="155"/>
      <c r="K600" s="155"/>
      <c r="L600" s="155"/>
      <c r="M600" s="155"/>
    </row>
    <row r="601" ht="14.25" customHeight="1">
      <c r="A601" s="126"/>
      <c r="G601" s="155"/>
      <c r="H601" s="155"/>
      <c r="I601" s="155"/>
      <c r="J601" s="155"/>
      <c r="K601" s="155"/>
      <c r="L601" s="155"/>
      <c r="M601" s="155"/>
    </row>
    <row r="602" ht="14.25" customHeight="1">
      <c r="A602" s="126"/>
      <c r="G602" s="155"/>
      <c r="H602" s="155"/>
      <c r="I602" s="155"/>
      <c r="J602" s="155"/>
      <c r="K602" s="155"/>
      <c r="L602" s="155"/>
      <c r="M602" s="155"/>
    </row>
    <row r="603" ht="14.25" customHeight="1">
      <c r="A603" s="126"/>
      <c r="G603" s="155"/>
      <c r="H603" s="155"/>
      <c r="I603" s="155"/>
      <c r="J603" s="155"/>
      <c r="K603" s="155"/>
      <c r="L603" s="155"/>
      <c r="M603" s="155"/>
    </row>
    <row r="604" ht="14.25" customHeight="1">
      <c r="A604" s="126"/>
      <c r="G604" s="155"/>
      <c r="H604" s="155"/>
      <c r="I604" s="155"/>
      <c r="J604" s="155"/>
      <c r="K604" s="155"/>
      <c r="L604" s="155"/>
      <c r="M604" s="155"/>
    </row>
    <row r="605" ht="14.25" customHeight="1">
      <c r="A605" s="126"/>
      <c r="G605" s="155"/>
      <c r="H605" s="155"/>
      <c r="I605" s="155"/>
      <c r="J605" s="155"/>
      <c r="K605" s="155"/>
      <c r="L605" s="155"/>
      <c r="M605" s="155"/>
    </row>
    <row r="606" ht="14.25" customHeight="1">
      <c r="A606" s="126"/>
      <c r="G606" s="155"/>
      <c r="H606" s="155"/>
      <c r="I606" s="155"/>
      <c r="J606" s="155"/>
      <c r="K606" s="155"/>
      <c r="L606" s="155"/>
      <c r="M606" s="155"/>
    </row>
    <row r="607" ht="14.25" customHeight="1">
      <c r="A607" s="126"/>
      <c r="G607" s="155"/>
      <c r="H607" s="155"/>
      <c r="I607" s="155"/>
      <c r="J607" s="155"/>
      <c r="K607" s="155"/>
      <c r="L607" s="155"/>
      <c r="M607" s="155"/>
    </row>
    <row r="608" ht="14.25" customHeight="1">
      <c r="A608" s="126"/>
      <c r="G608" s="155"/>
      <c r="H608" s="155"/>
      <c r="I608" s="155"/>
      <c r="J608" s="155"/>
      <c r="K608" s="155"/>
      <c r="L608" s="155"/>
      <c r="M608" s="155"/>
    </row>
    <row r="609" ht="14.25" customHeight="1">
      <c r="A609" s="126"/>
      <c r="G609" s="155"/>
      <c r="H609" s="155"/>
      <c r="I609" s="155"/>
      <c r="J609" s="155"/>
      <c r="K609" s="155"/>
      <c r="L609" s="155"/>
      <c r="M609" s="155"/>
    </row>
    <row r="610" ht="14.25" customHeight="1">
      <c r="A610" s="126"/>
      <c r="G610" s="155"/>
      <c r="H610" s="155"/>
      <c r="I610" s="155"/>
      <c r="J610" s="155"/>
      <c r="K610" s="155"/>
      <c r="L610" s="155"/>
      <c r="M610" s="155"/>
    </row>
    <row r="611" ht="14.25" customHeight="1">
      <c r="A611" s="126"/>
      <c r="G611" s="155"/>
      <c r="H611" s="155"/>
      <c r="I611" s="155"/>
      <c r="J611" s="155"/>
      <c r="K611" s="155"/>
      <c r="L611" s="155"/>
      <c r="M611" s="155"/>
    </row>
    <row r="612" ht="14.25" customHeight="1">
      <c r="A612" s="126"/>
      <c r="G612" s="155"/>
      <c r="H612" s="155"/>
      <c r="I612" s="155"/>
      <c r="J612" s="155"/>
      <c r="K612" s="155"/>
      <c r="L612" s="155"/>
      <c r="M612" s="155"/>
    </row>
    <row r="613" ht="14.25" customHeight="1">
      <c r="A613" s="126"/>
      <c r="G613" s="155"/>
      <c r="H613" s="155"/>
      <c r="I613" s="155"/>
      <c r="J613" s="155"/>
      <c r="K613" s="155"/>
      <c r="L613" s="155"/>
      <c r="M613" s="155"/>
    </row>
    <row r="614" ht="14.25" customHeight="1">
      <c r="A614" s="126"/>
      <c r="G614" s="155"/>
      <c r="H614" s="155"/>
      <c r="I614" s="155"/>
      <c r="J614" s="155"/>
      <c r="K614" s="155"/>
      <c r="L614" s="155"/>
      <c r="M614" s="155"/>
    </row>
    <row r="615" ht="14.25" customHeight="1">
      <c r="A615" s="126"/>
      <c r="G615" s="155"/>
      <c r="H615" s="155"/>
      <c r="I615" s="155"/>
      <c r="J615" s="155"/>
      <c r="K615" s="155"/>
      <c r="L615" s="155"/>
      <c r="M615" s="155"/>
    </row>
    <row r="616" ht="14.25" customHeight="1">
      <c r="A616" s="126"/>
      <c r="G616" s="155"/>
      <c r="H616" s="155"/>
      <c r="I616" s="155"/>
      <c r="J616" s="155"/>
      <c r="K616" s="155"/>
      <c r="L616" s="155"/>
      <c r="M616" s="155"/>
    </row>
    <row r="617" ht="14.25" customHeight="1">
      <c r="A617" s="126"/>
      <c r="G617" s="155"/>
      <c r="H617" s="155"/>
      <c r="I617" s="155"/>
      <c r="J617" s="155"/>
      <c r="K617" s="155"/>
      <c r="L617" s="155"/>
      <c r="M617" s="155"/>
    </row>
    <row r="618" ht="14.25" customHeight="1">
      <c r="A618" s="126"/>
      <c r="G618" s="155"/>
      <c r="H618" s="155"/>
      <c r="I618" s="155"/>
      <c r="J618" s="155"/>
      <c r="K618" s="155"/>
      <c r="L618" s="155"/>
      <c r="M618" s="155"/>
    </row>
    <row r="619" ht="14.25" customHeight="1">
      <c r="A619" s="126"/>
      <c r="G619" s="155"/>
      <c r="H619" s="155"/>
      <c r="I619" s="155"/>
      <c r="J619" s="155"/>
      <c r="K619" s="155"/>
      <c r="L619" s="155"/>
      <c r="M619" s="155"/>
    </row>
    <row r="620" ht="14.25" customHeight="1">
      <c r="A620" s="126"/>
      <c r="G620" s="155"/>
      <c r="H620" s="155"/>
      <c r="I620" s="155"/>
      <c r="J620" s="155"/>
      <c r="K620" s="155"/>
      <c r="L620" s="155"/>
      <c r="M620" s="155"/>
    </row>
    <row r="621" ht="14.25" customHeight="1">
      <c r="A621" s="126"/>
      <c r="G621" s="155"/>
      <c r="H621" s="155"/>
      <c r="I621" s="155"/>
      <c r="J621" s="155"/>
      <c r="K621" s="155"/>
      <c r="L621" s="155"/>
      <c r="M621" s="155"/>
    </row>
    <row r="622" ht="14.25" customHeight="1">
      <c r="A622" s="126"/>
      <c r="G622" s="155"/>
      <c r="H622" s="155"/>
      <c r="I622" s="155"/>
      <c r="J622" s="155"/>
      <c r="K622" s="155"/>
      <c r="L622" s="155"/>
      <c r="M622" s="155"/>
    </row>
    <row r="623" ht="14.25" customHeight="1">
      <c r="A623" s="126"/>
      <c r="G623" s="155"/>
      <c r="H623" s="155"/>
      <c r="I623" s="155"/>
      <c r="J623" s="155"/>
      <c r="K623" s="155"/>
      <c r="L623" s="155"/>
      <c r="M623" s="155"/>
    </row>
    <row r="624" ht="14.25" customHeight="1">
      <c r="A624" s="126"/>
      <c r="G624" s="155"/>
      <c r="H624" s="155"/>
      <c r="I624" s="155"/>
      <c r="J624" s="155"/>
      <c r="K624" s="155"/>
      <c r="L624" s="155"/>
      <c r="M624" s="155"/>
    </row>
    <row r="625" ht="14.25" customHeight="1">
      <c r="A625" s="126"/>
      <c r="G625" s="155"/>
      <c r="H625" s="155"/>
      <c r="I625" s="155"/>
      <c r="J625" s="155"/>
      <c r="K625" s="155"/>
      <c r="L625" s="155"/>
      <c r="M625" s="155"/>
    </row>
    <row r="626" ht="14.25" customHeight="1">
      <c r="A626" s="126"/>
      <c r="G626" s="155"/>
      <c r="H626" s="155"/>
      <c r="I626" s="155"/>
      <c r="J626" s="155"/>
      <c r="K626" s="155"/>
      <c r="L626" s="155"/>
      <c r="M626" s="155"/>
    </row>
    <row r="627" ht="14.25" customHeight="1">
      <c r="A627" s="126"/>
      <c r="G627" s="155"/>
      <c r="H627" s="155"/>
      <c r="I627" s="155"/>
      <c r="J627" s="155"/>
      <c r="K627" s="155"/>
      <c r="L627" s="155"/>
      <c r="M627" s="155"/>
    </row>
    <row r="628" ht="14.25" customHeight="1">
      <c r="A628" s="126"/>
      <c r="G628" s="155"/>
      <c r="H628" s="155"/>
      <c r="I628" s="155"/>
      <c r="J628" s="155"/>
      <c r="K628" s="155"/>
      <c r="L628" s="155"/>
      <c r="M628" s="155"/>
    </row>
    <row r="629" ht="14.25" customHeight="1">
      <c r="A629" s="126"/>
      <c r="G629" s="155"/>
      <c r="H629" s="155"/>
      <c r="I629" s="155"/>
      <c r="J629" s="155"/>
      <c r="K629" s="155"/>
      <c r="L629" s="155"/>
      <c r="M629" s="155"/>
    </row>
    <row r="630" ht="14.25" customHeight="1">
      <c r="A630" s="126"/>
      <c r="G630" s="155"/>
      <c r="H630" s="155"/>
      <c r="I630" s="155"/>
      <c r="J630" s="155"/>
      <c r="K630" s="155"/>
      <c r="L630" s="155"/>
      <c r="M630" s="155"/>
    </row>
    <row r="631" ht="14.25" customHeight="1">
      <c r="A631" s="126"/>
      <c r="G631" s="155"/>
      <c r="H631" s="155"/>
      <c r="I631" s="155"/>
      <c r="J631" s="155"/>
      <c r="K631" s="155"/>
      <c r="L631" s="155"/>
      <c r="M631" s="155"/>
    </row>
    <row r="632" ht="14.25" customHeight="1">
      <c r="A632" s="126"/>
      <c r="G632" s="155"/>
      <c r="H632" s="155"/>
      <c r="I632" s="155"/>
      <c r="J632" s="155"/>
      <c r="K632" s="155"/>
      <c r="L632" s="155"/>
      <c r="M632" s="155"/>
    </row>
    <row r="633" ht="14.25" customHeight="1">
      <c r="A633" s="126"/>
      <c r="G633" s="155"/>
      <c r="H633" s="155"/>
      <c r="I633" s="155"/>
      <c r="J633" s="155"/>
      <c r="K633" s="155"/>
      <c r="L633" s="155"/>
      <c r="M633" s="155"/>
    </row>
    <row r="634" ht="14.25" customHeight="1">
      <c r="A634" s="126"/>
      <c r="G634" s="155"/>
      <c r="H634" s="155"/>
      <c r="I634" s="155"/>
      <c r="J634" s="155"/>
      <c r="K634" s="155"/>
      <c r="L634" s="155"/>
      <c r="M634" s="155"/>
    </row>
    <row r="635" ht="14.25" customHeight="1">
      <c r="A635" s="126"/>
      <c r="G635" s="155"/>
      <c r="H635" s="155"/>
      <c r="I635" s="155"/>
      <c r="J635" s="155"/>
      <c r="K635" s="155"/>
      <c r="L635" s="155"/>
      <c r="M635" s="155"/>
    </row>
    <row r="636" ht="14.25" customHeight="1">
      <c r="A636" s="126"/>
      <c r="G636" s="155"/>
      <c r="H636" s="155"/>
      <c r="I636" s="155"/>
      <c r="J636" s="155"/>
      <c r="K636" s="155"/>
      <c r="L636" s="155"/>
      <c r="M636" s="155"/>
    </row>
    <row r="637" ht="14.25" customHeight="1">
      <c r="A637" s="126"/>
      <c r="G637" s="155"/>
      <c r="H637" s="155"/>
      <c r="I637" s="155"/>
      <c r="J637" s="155"/>
      <c r="K637" s="155"/>
      <c r="L637" s="155"/>
      <c r="M637" s="155"/>
    </row>
    <row r="638" ht="14.25" customHeight="1">
      <c r="A638" s="126"/>
      <c r="G638" s="155"/>
      <c r="H638" s="155"/>
      <c r="I638" s="155"/>
      <c r="J638" s="155"/>
      <c r="K638" s="155"/>
      <c r="L638" s="155"/>
      <c r="M638" s="155"/>
    </row>
    <row r="639" ht="14.25" customHeight="1">
      <c r="A639" s="126"/>
      <c r="G639" s="155"/>
      <c r="H639" s="155"/>
      <c r="I639" s="155"/>
      <c r="J639" s="155"/>
      <c r="K639" s="155"/>
      <c r="L639" s="155"/>
      <c r="M639" s="155"/>
    </row>
    <row r="640" ht="14.25" customHeight="1">
      <c r="A640" s="126"/>
      <c r="G640" s="155"/>
      <c r="H640" s="155"/>
      <c r="I640" s="155"/>
      <c r="J640" s="155"/>
      <c r="K640" s="155"/>
      <c r="L640" s="155"/>
      <c r="M640" s="155"/>
    </row>
    <row r="641" ht="14.25" customHeight="1">
      <c r="A641" s="126"/>
      <c r="G641" s="155"/>
      <c r="H641" s="155"/>
      <c r="I641" s="155"/>
      <c r="J641" s="155"/>
      <c r="K641" s="155"/>
      <c r="L641" s="155"/>
      <c r="M641" s="155"/>
    </row>
    <row r="642" ht="14.25" customHeight="1">
      <c r="A642" s="126"/>
      <c r="G642" s="155"/>
      <c r="H642" s="155"/>
      <c r="I642" s="155"/>
      <c r="J642" s="155"/>
      <c r="K642" s="155"/>
      <c r="L642" s="155"/>
      <c r="M642" s="155"/>
    </row>
    <row r="643" ht="14.25" customHeight="1">
      <c r="A643" s="126"/>
      <c r="G643" s="155"/>
      <c r="H643" s="155"/>
      <c r="I643" s="155"/>
      <c r="J643" s="155"/>
      <c r="K643" s="155"/>
      <c r="L643" s="155"/>
      <c r="M643" s="155"/>
    </row>
    <row r="644" ht="14.25" customHeight="1">
      <c r="A644" s="126"/>
      <c r="G644" s="155"/>
      <c r="H644" s="155"/>
      <c r="I644" s="155"/>
      <c r="J644" s="155"/>
      <c r="K644" s="155"/>
      <c r="L644" s="155"/>
      <c r="M644" s="155"/>
    </row>
    <row r="645" ht="14.25" customHeight="1">
      <c r="A645" s="126"/>
      <c r="G645" s="155"/>
      <c r="H645" s="155"/>
      <c r="I645" s="155"/>
      <c r="J645" s="155"/>
      <c r="K645" s="155"/>
      <c r="L645" s="155"/>
      <c r="M645" s="155"/>
    </row>
    <row r="646" ht="14.25" customHeight="1">
      <c r="A646" s="126"/>
      <c r="G646" s="155"/>
      <c r="H646" s="155"/>
      <c r="I646" s="155"/>
      <c r="J646" s="155"/>
      <c r="K646" s="155"/>
      <c r="L646" s="155"/>
      <c r="M646" s="155"/>
    </row>
    <row r="647" ht="14.25" customHeight="1">
      <c r="A647" s="126"/>
      <c r="G647" s="155"/>
      <c r="H647" s="155"/>
      <c r="I647" s="155"/>
      <c r="J647" s="155"/>
      <c r="K647" s="155"/>
      <c r="L647" s="155"/>
      <c r="M647" s="155"/>
    </row>
    <row r="648" ht="14.25" customHeight="1">
      <c r="A648" s="126"/>
      <c r="G648" s="155"/>
      <c r="H648" s="155"/>
      <c r="I648" s="155"/>
      <c r="J648" s="155"/>
      <c r="K648" s="155"/>
      <c r="L648" s="155"/>
      <c r="M648" s="155"/>
    </row>
    <row r="649" ht="14.25" customHeight="1">
      <c r="A649" s="126"/>
      <c r="G649" s="155"/>
      <c r="H649" s="155"/>
      <c r="I649" s="155"/>
      <c r="J649" s="155"/>
      <c r="K649" s="155"/>
      <c r="L649" s="155"/>
      <c r="M649" s="155"/>
    </row>
    <row r="650" ht="14.25" customHeight="1">
      <c r="A650" s="126"/>
      <c r="G650" s="155"/>
      <c r="H650" s="155"/>
      <c r="I650" s="155"/>
      <c r="J650" s="155"/>
      <c r="K650" s="155"/>
      <c r="L650" s="155"/>
      <c r="M650" s="155"/>
    </row>
    <row r="651" ht="14.25" customHeight="1">
      <c r="A651" s="126"/>
      <c r="G651" s="155"/>
      <c r="H651" s="155"/>
      <c r="I651" s="155"/>
      <c r="J651" s="155"/>
      <c r="K651" s="155"/>
      <c r="L651" s="155"/>
      <c r="M651" s="155"/>
    </row>
    <row r="652" ht="14.25" customHeight="1">
      <c r="A652" s="126"/>
      <c r="G652" s="155"/>
      <c r="H652" s="155"/>
      <c r="I652" s="155"/>
      <c r="J652" s="155"/>
      <c r="K652" s="155"/>
      <c r="L652" s="155"/>
      <c r="M652" s="155"/>
    </row>
    <row r="653" ht="14.25" customHeight="1">
      <c r="A653" s="126"/>
      <c r="G653" s="155"/>
      <c r="H653" s="155"/>
      <c r="I653" s="155"/>
      <c r="J653" s="155"/>
      <c r="K653" s="155"/>
      <c r="L653" s="155"/>
      <c r="M653" s="155"/>
    </row>
    <row r="654" ht="14.25" customHeight="1">
      <c r="A654" s="126"/>
      <c r="G654" s="155"/>
      <c r="H654" s="155"/>
      <c r="I654" s="155"/>
      <c r="J654" s="155"/>
      <c r="K654" s="155"/>
      <c r="L654" s="155"/>
      <c r="M654" s="155"/>
    </row>
    <row r="655" ht="14.25" customHeight="1">
      <c r="A655" s="126"/>
      <c r="G655" s="155"/>
      <c r="H655" s="155"/>
      <c r="I655" s="155"/>
      <c r="J655" s="155"/>
      <c r="K655" s="155"/>
      <c r="L655" s="155"/>
      <c r="M655" s="155"/>
    </row>
    <row r="656" ht="14.25" customHeight="1">
      <c r="A656" s="126"/>
      <c r="G656" s="155"/>
      <c r="H656" s="155"/>
      <c r="I656" s="155"/>
      <c r="J656" s="155"/>
      <c r="K656" s="155"/>
      <c r="L656" s="155"/>
      <c r="M656" s="155"/>
    </row>
    <row r="657" ht="14.25" customHeight="1">
      <c r="A657" s="126"/>
      <c r="G657" s="155"/>
      <c r="H657" s="155"/>
      <c r="I657" s="155"/>
      <c r="J657" s="155"/>
      <c r="K657" s="155"/>
      <c r="L657" s="155"/>
      <c r="M657" s="155"/>
    </row>
    <row r="658" ht="14.25" customHeight="1">
      <c r="A658" s="126"/>
      <c r="G658" s="155"/>
      <c r="H658" s="155"/>
      <c r="I658" s="155"/>
      <c r="J658" s="155"/>
      <c r="K658" s="155"/>
      <c r="L658" s="155"/>
      <c r="M658" s="155"/>
    </row>
    <row r="659" ht="14.25" customHeight="1">
      <c r="A659" s="126"/>
      <c r="G659" s="155"/>
      <c r="H659" s="155"/>
      <c r="I659" s="155"/>
      <c r="J659" s="155"/>
      <c r="K659" s="155"/>
      <c r="L659" s="155"/>
      <c r="M659" s="155"/>
    </row>
    <row r="660" ht="14.25" customHeight="1">
      <c r="A660" s="126"/>
      <c r="G660" s="155"/>
      <c r="H660" s="155"/>
      <c r="I660" s="155"/>
      <c r="J660" s="155"/>
      <c r="K660" s="155"/>
      <c r="L660" s="155"/>
      <c r="M660" s="155"/>
    </row>
    <row r="661" ht="14.25" customHeight="1">
      <c r="A661" s="126"/>
      <c r="G661" s="155"/>
      <c r="H661" s="155"/>
      <c r="I661" s="155"/>
      <c r="J661" s="155"/>
      <c r="K661" s="155"/>
      <c r="L661" s="155"/>
      <c r="M661" s="155"/>
    </row>
    <row r="662" ht="14.25" customHeight="1">
      <c r="A662" s="126"/>
      <c r="G662" s="155"/>
      <c r="H662" s="155"/>
      <c r="I662" s="155"/>
      <c r="J662" s="155"/>
      <c r="K662" s="155"/>
      <c r="L662" s="155"/>
      <c r="M662" s="155"/>
    </row>
    <row r="663" ht="14.25" customHeight="1">
      <c r="A663" s="126"/>
      <c r="G663" s="155"/>
      <c r="H663" s="155"/>
      <c r="I663" s="155"/>
      <c r="J663" s="155"/>
      <c r="K663" s="155"/>
      <c r="L663" s="155"/>
      <c r="M663" s="155"/>
    </row>
    <row r="664" ht="14.25" customHeight="1">
      <c r="A664" s="126"/>
      <c r="G664" s="155"/>
      <c r="H664" s="155"/>
      <c r="I664" s="155"/>
      <c r="J664" s="155"/>
      <c r="K664" s="155"/>
      <c r="L664" s="155"/>
      <c r="M664" s="155"/>
    </row>
    <row r="665" ht="14.25" customHeight="1">
      <c r="A665" s="126"/>
      <c r="G665" s="155"/>
      <c r="H665" s="155"/>
      <c r="I665" s="155"/>
      <c r="J665" s="155"/>
      <c r="K665" s="155"/>
      <c r="L665" s="155"/>
      <c r="M665" s="155"/>
    </row>
    <row r="666" ht="14.25" customHeight="1">
      <c r="A666" s="126"/>
      <c r="G666" s="155"/>
      <c r="H666" s="155"/>
      <c r="I666" s="155"/>
      <c r="J666" s="155"/>
      <c r="K666" s="155"/>
      <c r="L666" s="155"/>
      <c r="M666" s="155"/>
    </row>
    <row r="667" ht="14.25" customHeight="1">
      <c r="A667" s="126"/>
      <c r="G667" s="155"/>
      <c r="H667" s="155"/>
      <c r="I667" s="155"/>
      <c r="J667" s="155"/>
      <c r="K667" s="155"/>
      <c r="L667" s="155"/>
      <c r="M667" s="155"/>
    </row>
    <row r="668" ht="14.25" customHeight="1">
      <c r="A668" s="126"/>
      <c r="G668" s="155"/>
      <c r="H668" s="155"/>
      <c r="I668" s="155"/>
      <c r="J668" s="155"/>
      <c r="K668" s="155"/>
      <c r="L668" s="155"/>
      <c r="M668" s="155"/>
    </row>
    <row r="669" ht="14.25" customHeight="1">
      <c r="A669" s="126"/>
      <c r="G669" s="155"/>
      <c r="H669" s="155"/>
      <c r="I669" s="155"/>
      <c r="J669" s="155"/>
      <c r="K669" s="155"/>
      <c r="L669" s="155"/>
      <c r="M669" s="155"/>
    </row>
    <row r="670" ht="14.25" customHeight="1">
      <c r="A670" s="126"/>
      <c r="G670" s="155"/>
      <c r="H670" s="155"/>
      <c r="I670" s="155"/>
      <c r="J670" s="155"/>
      <c r="K670" s="155"/>
      <c r="L670" s="155"/>
      <c r="M670" s="155"/>
    </row>
    <row r="671" ht="14.25" customHeight="1">
      <c r="A671" s="126"/>
      <c r="G671" s="155"/>
      <c r="H671" s="155"/>
      <c r="I671" s="155"/>
      <c r="J671" s="155"/>
      <c r="K671" s="155"/>
      <c r="L671" s="155"/>
      <c r="M671" s="155"/>
    </row>
    <row r="672" ht="14.25" customHeight="1">
      <c r="A672" s="126"/>
      <c r="G672" s="155"/>
      <c r="H672" s="155"/>
      <c r="I672" s="155"/>
      <c r="J672" s="155"/>
      <c r="K672" s="155"/>
      <c r="L672" s="155"/>
      <c r="M672" s="155"/>
    </row>
    <row r="673" ht="14.25" customHeight="1">
      <c r="A673" s="126"/>
      <c r="G673" s="155"/>
      <c r="H673" s="155"/>
      <c r="I673" s="155"/>
      <c r="J673" s="155"/>
      <c r="K673" s="155"/>
      <c r="L673" s="155"/>
      <c r="M673" s="155"/>
    </row>
    <row r="674" ht="14.25" customHeight="1">
      <c r="A674" s="126"/>
      <c r="G674" s="155"/>
      <c r="H674" s="155"/>
      <c r="I674" s="155"/>
      <c r="J674" s="155"/>
      <c r="K674" s="155"/>
      <c r="L674" s="155"/>
      <c r="M674" s="155"/>
    </row>
    <row r="675" ht="14.25" customHeight="1">
      <c r="A675" s="126"/>
      <c r="G675" s="155"/>
      <c r="H675" s="155"/>
      <c r="I675" s="155"/>
      <c r="J675" s="155"/>
      <c r="K675" s="155"/>
      <c r="L675" s="155"/>
      <c r="M675" s="155"/>
    </row>
    <row r="676" ht="14.25" customHeight="1">
      <c r="A676" s="126"/>
      <c r="G676" s="155"/>
      <c r="H676" s="155"/>
      <c r="I676" s="155"/>
      <c r="J676" s="155"/>
      <c r="K676" s="155"/>
      <c r="L676" s="155"/>
      <c r="M676" s="155"/>
    </row>
    <row r="677" ht="14.25" customHeight="1">
      <c r="A677" s="126"/>
      <c r="G677" s="155"/>
      <c r="H677" s="155"/>
      <c r="I677" s="155"/>
      <c r="J677" s="155"/>
      <c r="K677" s="155"/>
      <c r="L677" s="155"/>
      <c r="M677" s="155"/>
    </row>
    <row r="678" ht="14.25" customHeight="1">
      <c r="A678" s="126"/>
      <c r="G678" s="155"/>
      <c r="H678" s="155"/>
      <c r="I678" s="155"/>
      <c r="J678" s="155"/>
      <c r="K678" s="155"/>
      <c r="L678" s="155"/>
      <c r="M678" s="155"/>
    </row>
    <row r="679" ht="14.25" customHeight="1">
      <c r="A679" s="126"/>
      <c r="G679" s="155"/>
      <c r="H679" s="155"/>
      <c r="I679" s="155"/>
      <c r="J679" s="155"/>
      <c r="K679" s="155"/>
      <c r="L679" s="155"/>
      <c r="M679" s="155"/>
    </row>
    <row r="680" ht="14.25" customHeight="1">
      <c r="A680" s="126"/>
      <c r="G680" s="155"/>
      <c r="H680" s="155"/>
      <c r="I680" s="155"/>
      <c r="J680" s="155"/>
      <c r="K680" s="155"/>
      <c r="L680" s="155"/>
      <c r="M680" s="155"/>
    </row>
    <row r="681" ht="14.25" customHeight="1">
      <c r="A681" s="126"/>
      <c r="G681" s="155"/>
      <c r="H681" s="155"/>
      <c r="I681" s="155"/>
      <c r="J681" s="155"/>
      <c r="K681" s="155"/>
      <c r="L681" s="155"/>
      <c r="M681" s="155"/>
    </row>
    <row r="682" ht="14.25" customHeight="1">
      <c r="A682" s="126"/>
      <c r="G682" s="155"/>
      <c r="H682" s="155"/>
      <c r="I682" s="155"/>
      <c r="J682" s="155"/>
      <c r="K682" s="155"/>
      <c r="L682" s="155"/>
      <c r="M682" s="155"/>
    </row>
    <row r="683" ht="14.25" customHeight="1">
      <c r="A683" s="126"/>
      <c r="G683" s="155"/>
      <c r="H683" s="155"/>
      <c r="I683" s="155"/>
      <c r="J683" s="155"/>
      <c r="K683" s="155"/>
      <c r="L683" s="155"/>
      <c r="M683" s="155"/>
    </row>
    <row r="684" ht="14.25" customHeight="1">
      <c r="A684" s="126"/>
      <c r="G684" s="155"/>
      <c r="H684" s="155"/>
      <c r="I684" s="155"/>
      <c r="J684" s="155"/>
      <c r="K684" s="155"/>
      <c r="L684" s="155"/>
      <c r="M684" s="155"/>
    </row>
    <row r="685" ht="14.25" customHeight="1">
      <c r="A685" s="126"/>
      <c r="G685" s="155"/>
      <c r="H685" s="155"/>
      <c r="I685" s="155"/>
      <c r="J685" s="155"/>
      <c r="K685" s="155"/>
      <c r="L685" s="155"/>
      <c r="M685" s="155"/>
    </row>
    <row r="686" ht="14.25" customHeight="1">
      <c r="A686" s="126"/>
      <c r="G686" s="155"/>
      <c r="H686" s="155"/>
      <c r="I686" s="155"/>
      <c r="J686" s="155"/>
      <c r="K686" s="155"/>
      <c r="L686" s="155"/>
      <c r="M686" s="155"/>
    </row>
    <row r="687" ht="14.25" customHeight="1">
      <c r="A687" s="126"/>
      <c r="G687" s="155"/>
      <c r="H687" s="155"/>
      <c r="I687" s="155"/>
      <c r="J687" s="155"/>
      <c r="K687" s="155"/>
      <c r="L687" s="155"/>
      <c r="M687" s="155"/>
    </row>
    <row r="688" ht="14.25" customHeight="1">
      <c r="A688" s="126"/>
      <c r="G688" s="155"/>
      <c r="H688" s="155"/>
      <c r="I688" s="155"/>
      <c r="J688" s="155"/>
      <c r="K688" s="155"/>
      <c r="L688" s="155"/>
      <c r="M688" s="155"/>
    </row>
    <row r="689" ht="14.25" customHeight="1">
      <c r="A689" s="126"/>
      <c r="G689" s="155"/>
      <c r="H689" s="155"/>
      <c r="I689" s="155"/>
      <c r="J689" s="155"/>
      <c r="K689" s="155"/>
      <c r="L689" s="155"/>
      <c r="M689" s="155"/>
    </row>
    <row r="690" ht="14.25" customHeight="1">
      <c r="A690" s="126"/>
      <c r="G690" s="155"/>
      <c r="H690" s="155"/>
      <c r="I690" s="155"/>
      <c r="J690" s="155"/>
      <c r="K690" s="155"/>
      <c r="L690" s="155"/>
      <c r="M690" s="155"/>
    </row>
    <row r="691" ht="14.25" customHeight="1">
      <c r="A691" s="126"/>
      <c r="G691" s="155"/>
      <c r="H691" s="155"/>
      <c r="I691" s="155"/>
      <c r="J691" s="155"/>
      <c r="K691" s="155"/>
      <c r="L691" s="155"/>
      <c r="M691" s="155"/>
    </row>
    <row r="692" ht="14.25" customHeight="1">
      <c r="A692" s="126"/>
      <c r="G692" s="155"/>
      <c r="H692" s="155"/>
      <c r="I692" s="155"/>
      <c r="J692" s="155"/>
      <c r="K692" s="155"/>
      <c r="L692" s="155"/>
      <c r="M692" s="155"/>
    </row>
    <row r="693" ht="14.25" customHeight="1">
      <c r="A693" s="126"/>
      <c r="G693" s="155"/>
      <c r="H693" s="155"/>
      <c r="I693" s="155"/>
      <c r="J693" s="155"/>
      <c r="K693" s="155"/>
      <c r="L693" s="155"/>
      <c r="M693" s="155"/>
    </row>
    <row r="694" ht="14.25" customHeight="1">
      <c r="A694" s="126"/>
      <c r="G694" s="155"/>
      <c r="H694" s="155"/>
      <c r="I694" s="155"/>
      <c r="J694" s="155"/>
      <c r="K694" s="155"/>
      <c r="L694" s="155"/>
      <c r="M694" s="155"/>
    </row>
    <row r="695" ht="14.25" customHeight="1">
      <c r="A695" s="126"/>
      <c r="G695" s="155"/>
      <c r="H695" s="155"/>
      <c r="I695" s="155"/>
      <c r="J695" s="155"/>
      <c r="K695" s="155"/>
      <c r="L695" s="155"/>
      <c r="M695" s="155"/>
    </row>
    <row r="696" ht="14.25" customHeight="1">
      <c r="A696" s="126"/>
      <c r="G696" s="155"/>
      <c r="H696" s="155"/>
      <c r="I696" s="155"/>
      <c r="J696" s="155"/>
      <c r="K696" s="155"/>
      <c r="L696" s="155"/>
      <c r="M696" s="155"/>
    </row>
    <row r="697" ht="14.25" customHeight="1">
      <c r="A697" s="126"/>
      <c r="G697" s="155"/>
      <c r="H697" s="155"/>
      <c r="I697" s="155"/>
      <c r="J697" s="155"/>
      <c r="K697" s="155"/>
      <c r="L697" s="155"/>
      <c r="M697" s="155"/>
    </row>
    <row r="698" ht="14.25" customHeight="1">
      <c r="A698" s="126"/>
      <c r="G698" s="155"/>
      <c r="H698" s="155"/>
      <c r="I698" s="155"/>
      <c r="J698" s="155"/>
      <c r="K698" s="155"/>
      <c r="L698" s="155"/>
      <c r="M698" s="155"/>
    </row>
    <row r="699" ht="14.25" customHeight="1">
      <c r="A699" s="126"/>
      <c r="G699" s="155"/>
      <c r="H699" s="155"/>
      <c r="I699" s="155"/>
      <c r="J699" s="155"/>
      <c r="K699" s="155"/>
      <c r="L699" s="155"/>
      <c r="M699" s="155"/>
    </row>
    <row r="700" ht="14.25" customHeight="1">
      <c r="A700" s="126"/>
      <c r="G700" s="155"/>
      <c r="H700" s="155"/>
      <c r="I700" s="155"/>
      <c r="J700" s="155"/>
      <c r="K700" s="155"/>
      <c r="L700" s="155"/>
      <c r="M700" s="155"/>
    </row>
    <row r="701" ht="14.25" customHeight="1">
      <c r="A701" s="126"/>
      <c r="G701" s="155"/>
      <c r="H701" s="155"/>
      <c r="I701" s="155"/>
      <c r="J701" s="155"/>
      <c r="K701" s="155"/>
      <c r="L701" s="155"/>
      <c r="M701" s="155"/>
    </row>
    <row r="702" ht="14.25" customHeight="1">
      <c r="A702" s="126"/>
      <c r="G702" s="155"/>
      <c r="H702" s="155"/>
      <c r="I702" s="155"/>
      <c r="J702" s="155"/>
      <c r="K702" s="155"/>
      <c r="L702" s="155"/>
      <c r="M702" s="155"/>
    </row>
    <row r="703" ht="14.25" customHeight="1">
      <c r="A703" s="126"/>
      <c r="G703" s="155"/>
      <c r="H703" s="155"/>
      <c r="I703" s="155"/>
      <c r="J703" s="155"/>
      <c r="K703" s="155"/>
      <c r="L703" s="155"/>
      <c r="M703" s="155"/>
    </row>
    <row r="704" ht="14.25" customHeight="1">
      <c r="A704" s="126"/>
      <c r="G704" s="155"/>
      <c r="H704" s="155"/>
      <c r="I704" s="155"/>
      <c r="J704" s="155"/>
      <c r="K704" s="155"/>
      <c r="L704" s="155"/>
      <c r="M704" s="155"/>
    </row>
    <row r="705" ht="14.25" customHeight="1">
      <c r="A705" s="126"/>
      <c r="G705" s="155"/>
      <c r="H705" s="155"/>
      <c r="I705" s="155"/>
      <c r="J705" s="155"/>
      <c r="K705" s="155"/>
      <c r="L705" s="155"/>
      <c r="M705" s="155"/>
    </row>
    <row r="706" ht="14.25" customHeight="1">
      <c r="A706" s="126"/>
      <c r="G706" s="155"/>
      <c r="H706" s="155"/>
      <c r="I706" s="155"/>
      <c r="J706" s="155"/>
      <c r="K706" s="155"/>
      <c r="L706" s="155"/>
      <c r="M706" s="155"/>
    </row>
    <row r="707" ht="14.25" customHeight="1">
      <c r="A707" s="126"/>
      <c r="G707" s="155"/>
      <c r="H707" s="155"/>
      <c r="I707" s="155"/>
      <c r="J707" s="155"/>
      <c r="K707" s="155"/>
      <c r="L707" s="155"/>
      <c r="M707" s="155"/>
    </row>
    <row r="708" ht="14.25" customHeight="1">
      <c r="A708" s="126"/>
      <c r="G708" s="155"/>
      <c r="H708" s="155"/>
      <c r="I708" s="155"/>
      <c r="J708" s="155"/>
      <c r="K708" s="155"/>
      <c r="L708" s="155"/>
      <c r="M708" s="155"/>
    </row>
    <row r="709" ht="14.25" customHeight="1">
      <c r="A709" s="126"/>
      <c r="G709" s="155"/>
      <c r="H709" s="155"/>
      <c r="I709" s="155"/>
      <c r="J709" s="155"/>
      <c r="K709" s="155"/>
      <c r="L709" s="155"/>
      <c r="M709" s="155"/>
    </row>
    <row r="710" ht="14.25" customHeight="1">
      <c r="A710" s="126"/>
      <c r="G710" s="155"/>
      <c r="H710" s="155"/>
      <c r="I710" s="155"/>
      <c r="J710" s="155"/>
      <c r="K710" s="155"/>
      <c r="L710" s="155"/>
      <c r="M710" s="155"/>
    </row>
    <row r="711" ht="14.25" customHeight="1">
      <c r="A711" s="126"/>
      <c r="G711" s="155"/>
      <c r="H711" s="155"/>
      <c r="I711" s="155"/>
      <c r="J711" s="155"/>
      <c r="K711" s="155"/>
      <c r="L711" s="155"/>
      <c r="M711" s="155"/>
    </row>
    <row r="712" ht="14.25" customHeight="1">
      <c r="A712" s="126"/>
      <c r="G712" s="155"/>
      <c r="H712" s="155"/>
      <c r="I712" s="155"/>
      <c r="J712" s="155"/>
      <c r="K712" s="155"/>
      <c r="L712" s="155"/>
      <c r="M712" s="155"/>
    </row>
    <row r="713" ht="14.25" customHeight="1">
      <c r="A713" s="126"/>
      <c r="G713" s="155"/>
      <c r="H713" s="155"/>
      <c r="I713" s="155"/>
      <c r="J713" s="155"/>
      <c r="K713" s="155"/>
      <c r="L713" s="155"/>
      <c r="M713" s="155"/>
    </row>
    <row r="714" ht="14.25" customHeight="1">
      <c r="A714" s="126"/>
      <c r="G714" s="155"/>
      <c r="H714" s="155"/>
      <c r="I714" s="155"/>
      <c r="J714" s="155"/>
      <c r="K714" s="155"/>
      <c r="L714" s="155"/>
      <c r="M714" s="155"/>
    </row>
    <row r="715" ht="14.25" customHeight="1">
      <c r="A715" s="126"/>
      <c r="G715" s="155"/>
      <c r="H715" s="155"/>
      <c r="I715" s="155"/>
      <c r="J715" s="155"/>
      <c r="K715" s="155"/>
      <c r="L715" s="155"/>
      <c r="M715" s="155"/>
    </row>
    <row r="716" ht="14.25" customHeight="1">
      <c r="A716" s="126"/>
      <c r="G716" s="155"/>
      <c r="H716" s="155"/>
      <c r="I716" s="155"/>
      <c r="J716" s="155"/>
      <c r="K716" s="155"/>
      <c r="L716" s="155"/>
      <c r="M716" s="155"/>
    </row>
    <row r="717" ht="14.25" customHeight="1">
      <c r="A717" s="126"/>
      <c r="G717" s="155"/>
      <c r="H717" s="155"/>
      <c r="I717" s="155"/>
      <c r="J717" s="155"/>
      <c r="K717" s="155"/>
      <c r="L717" s="155"/>
      <c r="M717" s="155"/>
    </row>
    <row r="718" ht="14.25" customHeight="1">
      <c r="A718" s="126"/>
      <c r="G718" s="155"/>
      <c r="H718" s="155"/>
      <c r="I718" s="155"/>
      <c r="J718" s="155"/>
      <c r="K718" s="155"/>
      <c r="L718" s="155"/>
      <c r="M718" s="155"/>
    </row>
    <row r="719" ht="14.25" customHeight="1">
      <c r="A719" s="126"/>
      <c r="G719" s="155"/>
      <c r="H719" s="155"/>
      <c r="I719" s="155"/>
      <c r="J719" s="155"/>
      <c r="K719" s="155"/>
      <c r="L719" s="155"/>
      <c r="M719" s="155"/>
    </row>
    <row r="720" ht="14.25" customHeight="1">
      <c r="A720" s="126"/>
      <c r="G720" s="155"/>
      <c r="H720" s="155"/>
      <c r="I720" s="155"/>
      <c r="J720" s="155"/>
      <c r="K720" s="155"/>
      <c r="L720" s="155"/>
      <c r="M720" s="155"/>
    </row>
    <row r="721" ht="14.25" customHeight="1">
      <c r="A721" s="126"/>
      <c r="G721" s="155"/>
      <c r="H721" s="155"/>
      <c r="I721" s="155"/>
      <c r="J721" s="155"/>
      <c r="K721" s="155"/>
      <c r="L721" s="155"/>
      <c r="M721" s="155"/>
    </row>
    <row r="722" ht="14.25" customHeight="1">
      <c r="A722" s="126"/>
      <c r="G722" s="155"/>
      <c r="H722" s="155"/>
      <c r="I722" s="155"/>
      <c r="J722" s="155"/>
      <c r="K722" s="155"/>
      <c r="L722" s="155"/>
      <c r="M722" s="155"/>
    </row>
    <row r="723" ht="14.25" customHeight="1">
      <c r="A723" s="126"/>
      <c r="G723" s="155"/>
      <c r="H723" s="155"/>
      <c r="I723" s="155"/>
      <c r="J723" s="155"/>
      <c r="K723" s="155"/>
      <c r="L723" s="155"/>
      <c r="M723" s="155"/>
    </row>
    <row r="724" ht="14.25" customHeight="1">
      <c r="A724" s="126"/>
      <c r="G724" s="155"/>
      <c r="H724" s="155"/>
      <c r="I724" s="155"/>
      <c r="J724" s="155"/>
      <c r="K724" s="155"/>
      <c r="L724" s="155"/>
      <c r="M724" s="155"/>
    </row>
    <row r="725" ht="14.25" customHeight="1">
      <c r="A725" s="126"/>
      <c r="G725" s="155"/>
      <c r="H725" s="155"/>
      <c r="I725" s="155"/>
      <c r="J725" s="155"/>
      <c r="K725" s="155"/>
      <c r="L725" s="155"/>
      <c r="M725" s="155"/>
    </row>
    <row r="726" ht="14.25" customHeight="1">
      <c r="A726" s="126"/>
      <c r="G726" s="155"/>
      <c r="H726" s="155"/>
      <c r="I726" s="155"/>
      <c r="J726" s="155"/>
      <c r="K726" s="155"/>
      <c r="L726" s="155"/>
      <c r="M726" s="155"/>
    </row>
    <row r="727" ht="14.25" customHeight="1">
      <c r="A727" s="126"/>
      <c r="G727" s="155"/>
      <c r="H727" s="155"/>
      <c r="I727" s="155"/>
      <c r="J727" s="155"/>
      <c r="K727" s="155"/>
      <c r="L727" s="155"/>
      <c r="M727" s="155"/>
    </row>
    <row r="728" ht="14.25" customHeight="1">
      <c r="A728" s="126"/>
      <c r="G728" s="155"/>
      <c r="H728" s="155"/>
      <c r="I728" s="155"/>
      <c r="J728" s="155"/>
      <c r="K728" s="155"/>
      <c r="L728" s="155"/>
      <c r="M728" s="155"/>
    </row>
    <row r="729" ht="14.25" customHeight="1">
      <c r="A729" s="126"/>
      <c r="G729" s="155"/>
      <c r="H729" s="155"/>
      <c r="I729" s="155"/>
      <c r="J729" s="155"/>
      <c r="K729" s="155"/>
      <c r="L729" s="155"/>
      <c r="M729" s="155"/>
    </row>
    <row r="730" ht="14.25" customHeight="1">
      <c r="A730" s="126"/>
      <c r="G730" s="155"/>
      <c r="H730" s="155"/>
      <c r="I730" s="155"/>
      <c r="J730" s="155"/>
      <c r="K730" s="155"/>
      <c r="L730" s="155"/>
      <c r="M730" s="155"/>
    </row>
    <row r="731" ht="14.25" customHeight="1">
      <c r="A731" s="126"/>
      <c r="G731" s="155"/>
      <c r="H731" s="155"/>
      <c r="I731" s="155"/>
      <c r="J731" s="155"/>
      <c r="K731" s="155"/>
      <c r="L731" s="155"/>
      <c r="M731" s="155"/>
    </row>
    <row r="732" ht="14.25" customHeight="1">
      <c r="A732" s="126"/>
      <c r="G732" s="155"/>
      <c r="H732" s="155"/>
      <c r="I732" s="155"/>
      <c r="J732" s="155"/>
      <c r="K732" s="155"/>
      <c r="L732" s="155"/>
      <c r="M732" s="155"/>
    </row>
    <row r="733" ht="14.25" customHeight="1">
      <c r="A733" s="126"/>
      <c r="G733" s="155"/>
      <c r="H733" s="155"/>
      <c r="I733" s="155"/>
      <c r="J733" s="155"/>
      <c r="K733" s="155"/>
      <c r="L733" s="155"/>
      <c r="M733" s="155"/>
    </row>
    <row r="734" ht="14.25" customHeight="1">
      <c r="A734" s="126"/>
      <c r="G734" s="155"/>
      <c r="H734" s="155"/>
      <c r="I734" s="155"/>
      <c r="J734" s="155"/>
      <c r="K734" s="155"/>
      <c r="L734" s="155"/>
      <c r="M734" s="155"/>
    </row>
    <row r="735" ht="14.25" customHeight="1">
      <c r="A735" s="126"/>
      <c r="G735" s="155"/>
      <c r="H735" s="155"/>
      <c r="I735" s="155"/>
      <c r="J735" s="155"/>
      <c r="K735" s="155"/>
      <c r="L735" s="155"/>
      <c r="M735" s="155"/>
    </row>
    <row r="736" ht="14.25" customHeight="1">
      <c r="A736" s="126"/>
      <c r="G736" s="155"/>
      <c r="H736" s="155"/>
      <c r="I736" s="155"/>
      <c r="J736" s="155"/>
      <c r="K736" s="155"/>
      <c r="L736" s="155"/>
      <c r="M736" s="155"/>
    </row>
    <row r="737" ht="14.25" customHeight="1">
      <c r="A737" s="126"/>
      <c r="G737" s="155"/>
      <c r="H737" s="155"/>
      <c r="I737" s="155"/>
      <c r="J737" s="155"/>
      <c r="K737" s="155"/>
      <c r="L737" s="155"/>
      <c r="M737" s="155"/>
    </row>
    <row r="738" ht="14.25" customHeight="1">
      <c r="A738" s="126"/>
      <c r="G738" s="155"/>
      <c r="H738" s="155"/>
      <c r="I738" s="155"/>
      <c r="J738" s="155"/>
      <c r="K738" s="155"/>
      <c r="L738" s="155"/>
      <c r="M738" s="155"/>
    </row>
    <row r="739" ht="14.25" customHeight="1">
      <c r="A739" s="126"/>
      <c r="G739" s="155"/>
      <c r="H739" s="155"/>
      <c r="I739" s="155"/>
      <c r="J739" s="155"/>
      <c r="K739" s="155"/>
      <c r="L739" s="155"/>
      <c r="M739" s="155"/>
    </row>
    <row r="740" ht="14.25" customHeight="1">
      <c r="A740" s="126"/>
      <c r="G740" s="155"/>
      <c r="H740" s="155"/>
      <c r="I740" s="155"/>
      <c r="J740" s="155"/>
      <c r="K740" s="155"/>
      <c r="L740" s="155"/>
      <c r="M740" s="155"/>
    </row>
    <row r="741" ht="14.25" customHeight="1">
      <c r="A741" s="126"/>
      <c r="G741" s="155"/>
      <c r="H741" s="155"/>
      <c r="I741" s="155"/>
      <c r="J741" s="155"/>
      <c r="K741" s="155"/>
      <c r="L741" s="155"/>
      <c r="M741" s="155"/>
    </row>
    <row r="742" ht="14.25" customHeight="1">
      <c r="A742" s="126"/>
      <c r="G742" s="155"/>
      <c r="H742" s="155"/>
      <c r="I742" s="155"/>
      <c r="J742" s="155"/>
      <c r="K742" s="155"/>
      <c r="L742" s="155"/>
      <c r="M742" s="155"/>
    </row>
    <row r="743" ht="14.25" customHeight="1">
      <c r="A743" s="126"/>
      <c r="G743" s="155"/>
      <c r="H743" s="155"/>
      <c r="I743" s="155"/>
      <c r="J743" s="155"/>
      <c r="K743" s="155"/>
      <c r="L743" s="155"/>
      <c r="M743" s="155"/>
    </row>
    <row r="744" ht="14.25" customHeight="1">
      <c r="A744" s="126"/>
      <c r="G744" s="155"/>
      <c r="H744" s="155"/>
      <c r="I744" s="155"/>
      <c r="J744" s="155"/>
      <c r="K744" s="155"/>
      <c r="L744" s="155"/>
      <c r="M744" s="155"/>
    </row>
    <row r="745" ht="14.25" customHeight="1">
      <c r="A745" s="126"/>
      <c r="G745" s="155"/>
      <c r="H745" s="155"/>
      <c r="I745" s="155"/>
      <c r="J745" s="155"/>
      <c r="K745" s="155"/>
      <c r="L745" s="155"/>
      <c r="M745" s="155"/>
    </row>
    <row r="746" ht="14.25" customHeight="1">
      <c r="A746" s="126"/>
      <c r="G746" s="155"/>
      <c r="H746" s="155"/>
      <c r="I746" s="155"/>
      <c r="J746" s="155"/>
      <c r="K746" s="155"/>
      <c r="L746" s="155"/>
      <c r="M746" s="155"/>
    </row>
    <row r="747" ht="14.25" customHeight="1">
      <c r="A747" s="126"/>
      <c r="G747" s="155"/>
      <c r="H747" s="155"/>
      <c r="I747" s="155"/>
      <c r="J747" s="155"/>
      <c r="K747" s="155"/>
      <c r="L747" s="155"/>
      <c r="M747" s="155"/>
    </row>
    <row r="748" ht="14.25" customHeight="1">
      <c r="A748" s="126"/>
      <c r="G748" s="155"/>
      <c r="H748" s="155"/>
      <c r="I748" s="155"/>
      <c r="J748" s="155"/>
      <c r="K748" s="155"/>
      <c r="L748" s="155"/>
      <c r="M748" s="155"/>
    </row>
    <row r="749" ht="14.25" customHeight="1">
      <c r="A749" s="126"/>
      <c r="G749" s="155"/>
      <c r="H749" s="155"/>
      <c r="I749" s="155"/>
      <c r="J749" s="155"/>
      <c r="K749" s="155"/>
      <c r="L749" s="155"/>
      <c r="M749" s="155"/>
    </row>
    <row r="750" ht="14.25" customHeight="1">
      <c r="A750" s="126"/>
      <c r="G750" s="155"/>
      <c r="H750" s="155"/>
      <c r="I750" s="155"/>
      <c r="J750" s="155"/>
      <c r="K750" s="155"/>
      <c r="L750" s="155"/>
      <c r="M750" s="155"/>
    </row>
    <row r="751" ht="14.25" customHeight="1">
      <c r="A751" s="126"/>
      <c r="G751" s="155"/>
      <c r="H751" s="155"/>
      <c r="I751" s="155"/>
      <c r="J751" s="155"/>
      <c r="K751" s="155"/>
      <c r="L751" s="155"/>
      <c r="M751" s="155"/>
    </row>
    <row r="752" ht="14.25" customHeight="1">
      <c r="A752" s="126"/>
      <c r="G752" s="155"/>
      <c r="H752" s="155"/>
      <c r="I752" s="155"/>
      <c r="J752" s="155"/>
      <c r="K752" s="155"/>
      <c r="L752" s="155"/>
      <c r="M752" s="155"/>
    </row>
    <row r="753" ht="14.25" customHeight="1">
      <c r="A753" s="126"/>
      <c r="G753" s="155"/>
      <c r="H753" s="155"/>
      <c r="I753" s="155"/>
      <c r="J753" s="155"/>
      <c r="K753" s="155"/>
      <c r="L753" s="155"/>
      <c r="M753" s="155"/>
    </row>
    <row r="754" ht="14.25" customHeight="1">
      <c r="A754" s="126"/>
      <c r="G754" s="155"/>
      <c r="H754" s="155"/>
      <c r="I754" s="155"/>
      <c r="J754" s="155"/>
      <c r="K754" s="155"/>
      <c r="L754" s="155"/>
      <c r="M754" s="155"/>
    </row>
    <row r="755" ht="14.25" customHeight="1">
      <c r="A755" s="126"/>
      <c r="G755" s="155"/>
      <c r="H755" s="155"/>
      <c r="I755" s="155"/>
      <c r="J755" s="155"/>
      <c r="K755" s="155"/>
      <c r="L755" s="155"/>
      <c r="M755" s="155"/>
    </row>
    <row r="756" ht="14.25" customHeight="1">
      <c r="A756" s="126"/>
      <c r="G756" s="155"/>
      <c r="H756" s="155"/>
      <c r="I756" s="155"/>
      <c r="J756" s="155"/>
      <c r="K756" s="155"/>
      <c r="L756" s="155"/>
      <c r="M756" s="155"/>
    </row>
    <row r="757" ht="14.25" customHeight="1">
      <c r="A757" s="126"/>
      <c r="G757" s="155"/>
      <c r="H757" s="155"/>
      <c r="I757" s="155"/>
      <c r="J757" s="155"/>
      <c r="K757" s="155"/>
      <c r="L757" s="155"/>
      <c r="M757" s="155"/>
    </row>
    <row r="758" ht="14.25" customHeight="1">
      <c r="A758" s="126"/>
      <c r="G758" s="155"/>
      <c r="H758" s="155"/>
      <c r="I758" s="155"/>
      <c r="J758" s="155"/>
      <c r="K758" s="155"/>
      <c r="L758" s="155"/>
      <c r="M758" s="155"/>
    </row>
    <row r="759" ht="14.25" customHeight="1">
      <c r="A759" s="126"/>
      <c r="G759" s="155"/>
      <c r="H759" s="155"/>
      <c r="I759" s="155"/>
      <c r="J759" s="155"/>
      <c r="K759" s="155"/>
      <c r="L759" s="155"/>
      <c r="M759" s="155"/>
    </row>
    <row r="760" ht="14.25" customHeight="1">
      <c r="A760" s="126"/>
      <c r="G760" s="155"/>
      <c r="H760" s="155"/>
      <c r="I760" s="155"/>
      <c r="J760" s="155"/>
      <c r="K760" s="155"/>
      <c r="L760" s="155"/>
      <c r="M760" s="155"/>
    </row>
    <row r="761" ht="14.25" customHeight="1">
      <c r="A761" s="126"/>
      <c r="G761" s="155"/>
      <c r="H761" s="155"/>
      <c r="I761" s="155"/>
      <c r="J761" s="155"/>
      <c r="K761" s="155"/>
      <c r="L761" s="155"/>
      <c r="M761" s="155"/>
    </row>
    <row r="762" ht="14.25" customHeight="1">
      <c r="A762" s="126"/>
      <c r="G762" s="155"/>
      <c r="H762" s="155"/>
      <c r="I762" s="155"/>
      <c r="J762" s="155"/>
      <c r="K762" s="155"/>
      <c r="L762" s="155"/>
      <c r="M762" s="155"/>
    </row>
    <row r="763" ht="14.25" customHeight="1">
      <c r="A763" s="126"/>
      <c r="G763" s="155"/>
      <c r="H763" s="155"/>
      <c r="I763" s="155"/>
      <c r="J763" s="155"/>
      <c r="K763" s="155"/>
      <c r="L763" s="155"/>
      <c r="M763" s="155"/>
    </row>
    <row r="764" ht="14.25" customHeight="1">
      <c r="A764" s="126"/>
      <c r="G764" s="155"/>
      <c r="H764" s="155"/>
      <c r="I764" s="155"/>
      <c r="J764" s="155"/>
      <c r="K764" s="155"/>
      <c r="L764" s="155"/>
      <c r="M764" s="155"/>
    </row>
    <row r="765" ht="14.25" customHeight="1">
      <c r="A765" s="126"/>
      <c r="G765" s="155"/>
      <c r="H765" s="155"/>
      <c r="I765" s="155"/>
      <c r="J765" s="155"/>
      <c r="K765" s="155"/>
      <c r="L765" s="155"/>
      <c r="M765" s="155"/>
    </row>
    <row r="766" ht="14.25" customHeight="1">
      <c r="A766" s="126"/>
      <c r="G766" s="155"/>
      <c r="H766" s="155"/>
      <c r="I766" s="155"/>
      <c r="J766" s="155"/>
      <c r="K766" s="155"/>
      <c r="L766" s="155"/>
      <c r="M766" s="155"/>
    </row>
    <row r="767" ht="14.25" customHeight="1">
      <c r="A767" s="126"/>
      <c r="G767" s="155"/>
      <c r="H767" s="155"/>
      <c r="I767" s="155"/>
      <c r="J767" s="155"/>
      <c r="K767" s="155"/>
      <c r="L767" s="155"/>
      <c r="M767" s="155"/>
    </row>
    <row r="768" ht="14.25" customHeight="1">
      <c r="A768" s="126"/>
      <c r="G768" s="155"/>
      <c r="H768" s="155"/>
      <c r="I768" s="155"/>
      <c r="J768" s="155"/>
      <c r="K768" s="155"/>
      <c r="L768" s="155"/>
      <c r="M768" s="155"/>
    </row>
    <row r="769" ht="14.25" customHeight="1">
      <c r="A769" s="126"/>
      <c r="G769" s="155"/>
      <c r="H769" s="155"/>
      <c r="I769" s="155"/>
      <c r="J769" s="155"/>
      <c r="K769" s="155"/>
      <c r="L769" s="155"/>
      <c r="M769" s="155"/>
    </row>
    <row r="770" ht="14.25" customHeight="1">
      <c r="A770" s="126"/>
      <c r="G770" s="155"/>
      <c r="H770" s="155"/>
      <c r="I770" s="155"/>
      <c r="J770" s="155"/>
      <c r="K770" s="155"/>
      <c r="L770" s="155"/>
      <c r="M770" s="155"/>
    </row>
    <row r="771" ht="14.25" customHeight="1">
      <c r="A771" s="126"/>
      <c r="G771" s="155"/>
      <c r="H771" s="155"/>
      <c r="I771" s="155"/>
      <c r="J771" s="155"/>
      <c r="K771" s="155"/>
      <c r="L771" s="155"/>
      <c r="M771" s="155"/>
    </row>
    <row r="772" ht="14.25" customHeight="1">
      <c r="A772" s="126"/>
      <c r="G772" s="155"/>
      <c r="H772" s="155"/>
      <c r="I772" s="155"/>
      <c r="J772" s="155"/>
      <c r="K772" s="155"/>
      <c r="L772" s="155"/>
      <c r="M772" s="155"/>
    </row>
    <row r="773" ht="14.25" customHeight="1">
      <c r="A773" s="126"/>
      <c r="G773" s="155"/>
      <c r="H773" s="155"/>
      <c r="I773" s="155"/>
      <c r="J773" s="155"/>
      <c r="K773" s="155"/>
      <c r="L773" s="155"/>
      <c r="M773" s="155"/>
    </row>
    <row r="774" ht="14.25" customHeight="1">
      <c r="A774" s="126"/>
      <c r="G774" s="155"/>
      <c r="H774" s="155"/>
      <c r="I774" s="155"/>
      <c r="J774" s="155"/>
      <c r="K774" s="155"/>
      <c r="L774" s="155"/>
      <c r="M774" s="155"/>
    </row>
    <row r="775" ht="14.25" customHeight="1">
      <c r="A775" s="126"/>
      <c r="G775" s="155"/>
      <c r="H775" s="155"/>
      <c r="I775" s="155"/>
      <c r="J775" s="155"/>
      <c r="K775" s="155"/>
      <c r="L775" s="155"/>
      <c r="M775" s="155"/>
    </row>
    <row r="776" ht="14.25" customHeight="1">
      <c r="A776" s="126"/>
      <c r="G776" s="155"/>
      <c r="H776" s="155"/>
      <c r="I776" s="155"/>
      <c r="J776" s="155"/>
      <c r="K776" s="155"/>
      <c r="L776" s="155"/>
      <c r="M776" s="155"/>
    </row>
    <row r="777" ht="14.25" customHeight="1">
      <c r="A777" s="126"/>
      <c r="G777" s="155"/>
      <c r="H777" s="155"/>
      <c r="I777" s="155"/>
      <c r="J777" s="155"/>
      <c r="K777" s="155"/>
      <c r="L777" s="155"/>
      <c r="M777" s="155"/>
    </row>
    <row r="778" ht="14.25" customHeight="1">
      <c r="A778" s="126"/>
      <c r="G778" s="155"/>
      <c r="H778" s="155"/>
      <c r="I778" s="155"/>
      <c r="J778" s="155"/>
      <c r="K778" s="155"/>
      <c r="L778" s="155"/>
      <c r="M778" s="155"/>
    </row>
    <row r="779" ht="14.25" customHeight="1">
      <c r="A779" s="126"/>
      <c r="G779" s="155"/>
      <c r="H779" s="155"/>
      <c r="I779" s="155"/>
      <c r="J779" s="155"/>
      <c r="K779" s="155"/>
      <c r="L779" s="155"/>
      <c r="M779" s="155"/>
    </row>
    <row r="780" ht="14.25" customHeight="1">
      <c r="A780" s="126"/>
      <c r="G780" s="155"/>
      <c r="H780" s="155"/>
      <c r="I780" s="155"/>
      <c r="J780" s="155"/>
      <c r="K780" s="155"/>
      <c r="L780" s="155"/>
      <c r="M780" s="155"/>
    </row>
    <row r="781" ht="14.25" customHeight="1">
      <c r="A781" s="126"/>
      <c r="G781" s="155"/>
      <c r="H781" s="155"/>
      <c r="I781" s="155"/>
      <c r="J781" s="155"/>
      <c r="K781" s="155"/>
      <c r="L781" s="155"/>
      <c r="M781" s="155"/>
    </row>
    <row r="782" ht="14.25" customHeight="1">
      <c r="A782" s="126"/>
      <c r="G782" s="155"/>
      <c r="H782" s="155"/>
      <c r="I782" s="155"/>
      <c r="J782" s="155"/>
      <c r="K782" s="155"/>
      <c r="L782" s="155"/>
      <c r="M782" s="155"/>
    </row>
    <row r="783" ht="14.25" customHeight="1">
      <c r="A783" s="126"/>
      <c r="G783" s="155"/>
      <c r="H783" s="155"/>
      <c r="I783" s="155"/>
      <c r="J783" s="155"/>
      <c r="K783" s="155"/>
      <c r="L783" s="155"/>
      <c r="M783" s="155"/>
    </row>
    <row r="784" ht="14.25" customHeight="1">
      <c r="A784" s="126"/>
      <c r="G784" s="155"/>
      <c r="H784" s="155"/>
      <c r="I784" s="155"/>
      <c r="J784" s="155"/>
      <c r="K784" s="155"/>
      <c r="L784" s="155"/>
      <c r="M784" s="155"/>
    </row>
    <row r="785" ht="14.25" customHeight="1">
      <c r="A785" s="126"/>
      <c r="G785" s="155"/>
      <c r="H785" s="155"/>
      <c r="I785" s="155"/>
      <c r="J785" s="155"/>
      <c r="K785" s="155"/>
      <c r="L785" s="155"/>
      <c r="M785" s="155"/>
    </row>
    <row r="786" ht="14.25" customHeight="1">
      <c r="A786" s="126"/>
      <c r="G786" s="155"/>
      <c r="H786" s="155"/>
      <c r="I786" s="155"/>
      <c r="J786" s="155"/>
      <c r="K786" s="155"/>
      <c r="L786" s="155"/>
      <c r="M786" s="155"/>
    </row>
    <row r="787" ht="14.25" customHeight="1">
      <c r="A787" s="126"/>
      <c r="G787" s="155"/>
      <c r="H787" s="155"/>
      <c r="I787" s="155"/>
      <c r="J787" s="155"/>
      <c r="K787" s="155"/>
      <c r="L787" s="155"/>
      <c r="M787" s="155"/>
    </row>
    <row r="788" ht="14.25" customHeight="1">
      <c r="A788" s="126"/>
      <c r="G788" s="155"/>
      <c r="H788" s="155"/>
      <c r="I788" s="155"/>
      <c r="J788" s="155"/>
      <c r="K788" s="155"/>
      <c r="L788" s="155"/>
      <c r="M788" s="155"/>
    </row>
    <row r="789" ht="14.25" customHeight="1">
      <c r="A789" s="126"/>
      <c r="G789" s="155"/>
      <c r="H789" s="155"/>
      <c r="I789" s="155"/>
      <c r="J789" s="155"/>
      <c r="K789" s="155"/>
      <c r="L789" s="155"/>
      <c r="M789" s="155"/>
    </row>
    <row r="790" ht="14.25" customHeight="1">
      <c r="A790" s="126"/>
      <c r="G790" s="155"/>
      <c r="H790" s="155"/>
      <c r="I790" s="155"/>
      <c r="J790" s="155"/>
      <c r="K790" s="155"/>
      <c r="L790" s="155"/>
      <c r="M790" s="155"/>
    </row>
    <row r="791" ht="14.25" customHeight="1">
      <c r="A791" s="126"/>
      <c r="G791" s="155"/>
      <c r="H791" s="155"/>
      <c r="I791" s="155"/>
      <c r="J791" s="155"/>
      <c r="K791" s="155"/>
      <c r="L791" s="155"/>
      <c r="M791" s="155"/>
    </row>
    <row r="792" ht="14.25" customHeight="1">
      <c r="A792" s="126"/>
      <c r="G792" s="155"/>
      <c r="H792" s="155"/>
      <c r="I792" s="155"/>
      <c r="J792" s="155"/>
      <c r="K792" s="155"/>
      <c r="L792" s="155"/>
      <c r="M792" s="155"/>
    </row>
    <row r="793" ht="14.25" customHeight="1">
      <c r="A793" s="126"/>
      <c r="G793" s="155"/>
      <c r="H793" s="155"/>
      <c r="I793" s="155"/>
      <c r="J793" s="155"/>
      <c r="K793" s="155"/>
      <c r="L793" s="155"/>
      <c r="M793" s="155"/>
    </row>
    <row r="794" ht="14.25" customHeight="1">
      <c r="A794" s="126"/>
      <c r="G794" s="155"/>
      <c r="H794" s="155"/>
      <c r="I794" s="155"/>
      <c r="J794" s="155"/>
      <c r="K794" s="155"/>
      <c r="L794" s="155"/>
      <c r="M794" s="155"/>
    </row>
    <row r="795" ht="14.25" customHeight="1">
      <c r="A795" s="126"/>
      <c r="G795" s="155"/>
      <c r="H795" s="155"/>
      <c r="I795" s="155"/>
      <c r="J795" s="155"/>
      <c r="K795" s="155"/>
      <c r="L795" s="155"/>
      <c r="M795" s="155"/>
    </row>
    <row r="796" ht="14.25" customHeight="1">
      <c r="A796" s="126"/>
      <c r="G796" s="155"/>
      <c r="H796" s="155"/>
      <c r="I796" s="155"/>
      <c r="J796" s="155"/>
      <c r="K796" s="155"/>
      <c r="L796" s="155"/>
      <c r="M796" s="155"/>
    </row>
    <row r="797" ht="14.25" customHeight="1">
      <c r="A797" s="126"/>
      <c r="G797" s="155"/>
      <c r="H797" s="155"/>
      <c r="I797" s="155"/>
      <c r="J797" s="155"/>
      <c r="K797" s="155"/>
      <c r="L797" s="155"/>
      <c r="M797" s="155"/>
    </row>
    <row r="798" ht="14.25" customHeight="1">
      <c r="A798" s="126"/>
      <c r="G798" s="155"/>
      <c r="H798" s="155"/>
      <c r="I798" s="155"/>
      <c r="J798" s="155"/>
      <c r="K798" s="155"/>
      <c r="L798" s="155"/>
      <c r="M798" s="155"/>
    </row>
    <row r="799" ht="14.25" customHeight="1">
      <c r="A799" s="126"/>
      <c r="G799" s="155"/>
      <c r="H799" s="155"/>
      <c r="I799" s="155"/>
      <c r="J799" s="155"/>
      <c r="K799" s="155"/>
      <c r="L799" s="155"/>
      <c r="M799" s="155"/>
    </row>
    <row r="800" ht="14.25" customHeight="1">
      <c r="A800" s="126"/>
      <c r="G800" s="155"/>
      <c r="H800" s="155"/>
      <c r="I800" s="155"/>
      <c r="J800" s="155"/>
      <c r="K800" s="155"/>
      <c r="L800" s="155"/>
      <c r="M800" s="155"/>
    </row>
    <row r="801" ht="14.25" customHeight="1">
      <c r="A801" s="126"/>
      <c r="G801" s="155"/>
      <c r="H801" s="155"/>
      <c r="I801" s="155"/>
      <c r="J801" s="155"/>
      <c r="K801" s="155"/>
      <c r="L801" s="155"/>
      <c r="M801" s="155"/>
    </row>
    <row r="802" ht="14.25" customHeight="1">
      <c r="A802" s="126"/>
      <c r="G802" s="155"/>
      <c r="H802" s="155"/>
      <c r="I802" s="155"/>
      <c r="J802" s="155"/>
      <c r="K802" s="155"/>
      <c r="L802" s="155"/>
      <c r="M802" s="155"/>
    </row>
    <row r="803" ht="14.25" customHeight="1">
      <c r="A803" s="126"/>
      <c r="G803" s="155"/>
      <c r="H803" s="155"/>
      <c r="I803" s="155"/>
      <c r="J803" s="155"/>
      <c r="K803" s="155"/>
      <c r="L803" s="155"/>
      <c r="M803" s="155"/>
    </row>
    <row r="804" ht="14.25" customHeight="1">
      <c r="A804" s="126"/>
      <c r="G804" s="155"/>
      <c r="H804" s="155"/>
      <c r="I804" s="155"/>
      <c r="J804" s="155"/>
      <c r="K804" s="155"/>
      <c r="L804" s="155"/>
      <c r="M804" s="155"/>
    </row>
    <row r="805" ht="14.25" customHeight="1">
      <c r="A805" s="126"/>
      <c r="G805" s="155"/>
      <c r="H805" s="155"/>
      <c r="I805" s="155"/>
      <c r="J805" s="155"/>
      <c r="K805" s="155"/>
      <c r="L805" s="155"/>
      <c r="M805" s="155"/>
    </row>
    <row r="806" ht="14.25" customHeight="1">
      <c r="A806" s="126"/>
      <c r="G806" s="155"/>
      <c r="H806" s="155"/>
      <c r="I806" s="155"/>
      <c r="J806" s="155"/>
      <c r="K806" s="155"/>
      <c r="L806" s="155"/>
      <c r="M806" s="155"/>
    </row>
    <row r="807" ht="14.25" customHeight="1">
      <c r="A807" s="126"/>
      <c r="G807" s="155"/>
      <c r="H807" s="155"/>
      <c r="I807" s="155"/>
      <c r="J807" s="155"/>
      <c r="K807" s="155"/>
      <c r="L807" s="155"/>
      <c r="M807" s="155"/>
    </row>
    <row r="808" ht="14.25" customHeight="1">
      <c r="A808" s="126"/>
      <c r="G808" s="155"/>
      <c r="H808" s="155"/>
      <c r="I808" s="155"/>
      <c r="J808" s="155"/>
      <c r="K808" s="155"/>
      <c r="L808" s="155"/>
      <c r="M808" s="155"/>
    </row>
    <row r="809" ht="14.25" customHeight="1">
      <c r="A809" s="126"/>
      <c r="G809" s="155"/>
      <c r="H809" s="155"/>
      <c r="I809" s="155"/>
      <c r="J809" s="155"/>
      <c r="K809" s="155"/>
      <c r="L809" s="155"/>
      <c r="M809" s="155"/>
    </row>
    <row r="810" ht="14.25" customHeight="1">
      <c r="A810" s="126"/>
      <c r="G810" s="155"/>
      <c r="H810" s="155"/>
      <c r="I810" s="155"/>
      <c r="J810" s="155"/>
      <c r="K810" s="155"/>
      <c r="L810" s="155"/>
      <c r="M810" s="155"/>
    </row>
    <row r="811" ht="14.25" customHeight="1">
      <c r="A811" s="126"/>
      <c r="G811" s="155"/>
      <c r="H811" s="155"/>
      <c r="I811" s="155"/>
      <c r="J811" s="155"/>
      <c r="K811" s="155"/>
      <c r="L811" s="155"/>
      <c r="M811" s="155"/>
    </row>
    <row r="812" ht="14.25" customHeight="1">
      <c r="A812" s="126"/>
      <c r="G812" s="155"/>
      <c r="H812" s="155"/>
      <c r="I812" s="155"/>
      <c r="J812" s="155"/>
      <c r="K812" s="155"/>
      <c r="L812" s="155"/>
      <c r="M812" s="155"/>
    </row>
    <row r="813" ht="14.25" customHeight="1">
      <c r="A813" s="126"/>
      <c r="G813" s="155"/>
      <c r="H813" s="155"/>
      <c r="I813" s="155"/>
      <c r="J813" s="155"/>
      <c r="K813" s="155"/>
      <c r="L813" s="155"/>
      <c r="M813" s="155"/>
    </row>
    <row r="814" ht="14.25" customHeight="1">
      <c r="A814" s="126"/>
      <c r="G814" s="155"/>
      <c r="H814" s="155"/>
      <c r="I814" s="155"/>
      <c r="J814" s="155"/>
      <c r="K814" s="155"/>
      <c r="L814" s="155"/>
      <c r="M814" s="155"/>
    </row>
    <row r="815" ht="14.25" customHeight="1">
      <c r="A815" s="126"/>
      <c r="G815" s="155"/>
      <c r="H815" s="155"/>
      <c r="I815" s="155"/>
      <c r="J815" s="155"/>
      <c r="K815" s="155"/>
      <c r="L815" s="155"/>
      <c r="M815" s="155"/>
    </row>
    <row r="816" ht="14.25" customHeight="1">
      <c r="A816" s="126"/>
      <c r="G816" s="155"/>
      <c r="H816" s="155"/>
      <c r="I816" s="155"/>
      <c r="J816" s="155"/>
      <c r="K816" s="155"/>
      <c r="L816" s="155"/>
      <c r="M816" s="155"/>
    </row>
    <row r="817" ht="14.25" customHeight="1">
      <c r="A817" s="126"/>
      <c r="G817" s="155"/>
      <c r="H817" s="155"/>
      <c r="I817" s="155"/>
      <c r="J817" s="155"/>
      <c r="K817" s="155"/>
      <c r="L817" s="155"/>
      <c r="M817" s="155"/>
    </row>
    <row r="818" ht="14.25" customHeight="1">
      <c r="A818" s="126"/>
      <c r="G818" s="155"/>
      <c r="H818" s="155"/>
      <c r="I818" s="155"/>
      <c r="J818" s="155"/>
      <c r="K818" s="155"/>
      <c r="L818" s="155"/>
      <c r="M818" s="155"/>
    </row>
    <row r="819" ht="14.25" customHeight="1">
      <c r="A819" s="126"/>
      <c r="G819" s="155"/>
      <c r="H819" s="155"/>
      <c r="I819" s="155"/>
      <c r="J819" s="155"/>
      <c r="K819" s="155"/>
      <c r="L819" s="155"/>
      <c r="M819" s="155"/>
    </row>
    <row r="820" ht="14.25" customHeight="1">
      <c r="A820" s="126"/>
      <c r="G820" s="155"/>
      <c r="H820" s="155"/>
      <c r="I820" s="155"/>
      <c r="J820" s="155"/>
      <c r="K820" s="155"/>
      <c r="L820" s="155"/>
      <c r="M820" s="155"/>
    </row>
    <row r="821" ht="14.25" customHeight="1">
      <c r="A821" s="126"/>
      <c r="G821" s="155"/>
      <c r="H821" s="155"/>
      <c r="I821" s="155"/>
      <c r="J821" s="155"/>
      <c r="K821" s="155"/>
      <c r="L821" s="155"/>
      <c r="M821" s="155"/>
    </row>
    <row r="822" ht="14.25" customHeight="1">
      <c r="A822" s="126"/>
      <c r="G822" s="155"/>
      <c r="H822" s="155"/>
      <c r="I822" s="155"/>
      <c r="J822" s="155"/>
      <c r="K822" s="155"/>
      <c r="L822" s="155"/>
      <c r="M822" s="155"/>
    </row>
    <row r="823" ht="14.25" customHeight="1">
      <c r="A823" s="126"/>
      <c r="G823" s="155"/>
      <c r="H823" s="155"/>
      <c r="I823" s="155"/>
      <c r="J823" s="155"/>
      <c r="K823" s="155"/>
      <c r="L823" s="155"/>
      <c r="M823" s="155"/>
    </row>
    <row r="824" ht="14.25" customHeight="1">
      <c r="A824" s="126"/>
      <c r="G824" s="155"/>
      <c r="H824" s="155"/>
      <c r="I824" s="155"/>
      <c r="J824" s="155"/>
      <c r="K824" s="155"/>
      <c r="L824" s="155"/>
      <c r="M824" s="155"/>
    </row>
    <row r="825" ht="14.25" customHeight="1">
      <c r="A825" s="126"/>
      <c r="G825" s="155"/>
      <c r="H825" s="155"/>
      <c r="I825" s="155"/>
      <c r="J825" s="155"/>
      <c r="K825" s="155"/>
      <c r="L825" s="155"/>
      <c r="M825" s="155"/>
    </row>
    <row r="826" ht="14.25" customHeight="1">
      <c r="A826" s="126"/>
      <c r="G826" s="155"/>
      <c r="H826" s="155"/>
      <c r="I826" s="155"/>
      <c r="J826" s="155"/>
      <c r="K826" s="155"/>
      <c r="L826" s="155"/>
      <c r="M826" s="155"/>
    </row>
    <row r="827" ht="14.25" customHeight="1">
      <c r="A827" s="126"/>
      <c r="G827" s="155"/>
      <c r="H827" s="155"/>
      <c r="I827" s="155"/>
      <c r="J827" s="155"/>
      <c r="K827" s="155"/>
      <c r="L827" s="155"/>
      <c r="M827" s="155"/>
    </row>
    <row r="828" ht="14.25" customHeight="1">
      <c r="A828" s="126"/>
      <c r="G828" s="155"/>
      <c r="H828" s="155"/>
      <c r="I828" s="155"/>
      <c r="J828" s="155"/>
      <c r="K828" s="155"/>
      <c r="L828" s="155"/>
      <c r="M828" s="155"/>
    </row>
    <row r="829" ht="14.25" customHeight="1">
      <c r="A829" s="126"/>
      <c r="G829" s="155"/>
      <c r="H829" s="155"/>
      <c r="I829" s="155"/>
      <c r="J829" s="155"/>
      <c r="K829" s="155"/>
      <c r="L829" s="155"/>
      <c r="M829" s="155"/>
    </row>
    <row r="830" ht="14.25" customHeight="1">
      <c r="A830" s="126"/>
      <c r="G830" s="155"/>
      <c r="H830" s="155"/>
      <c r="I830" s="155"/>
      <c r="J830" s="155"/>
      <c r="K830" s="155"/>
      <c r="L830" s="155"/>
      <c r="M830" s="155"/>
    </row>
    <row r="831" ht="14.25" customHeight="1">
      <c r="A831" s="126"/>
      <c r="G831" s="155"/>
      <c r="H831" s="155"/>
      <c r="I831" s="155"/>
      <c r="J831" s="155"/>
      <c r="K831" s="155"/>
      <c r="L831" s="155"/>
      <c r="M831" s="155"/>
    </row>
    <row r="832" ht="14.25" customHeight="1">
      <c r="A832" s="126"/>
      <c r="G832" s="155"/>
      <c r="H832" s="155"/>
      <c r="I832" s="155"/>
      <c r="J832" s="155"/>
      <c r="K832" s="155"/>
      <c r="L832" s="155"/>
      <c r="M832" s="155"/>
    </row>
    <row r="833" ht="14.25" customHeight="1">
      <c r="A833" s="126"/>
      <c r="G833" s="155"/>
      <c r="H833" s="155"/>
      <c r="I833" s="155"/>
      <c r="J833" s="155"/>
      <c r="K833" s="155"/>
      <c r="L833" s="155"/>
      <c r="M833" s="155"/>
    </row>
    <row r="834" ht="14.25" customHeight="1">
      <c r="A834" s="126"/>
      <c r="G834" s="155"/>
      <c r="H834" s="155"/>
      <c r="I834" s="155"/>
      <c r="J834" s="155"/>
      <c r="K834" s="155"/>
      <c r="L834" s="155"/>
      <c r="M834" s="155"/>
    </row>
    <row r="835" ht="14.25" customHeight="1">
      <c r="A835" s="126"/>
      <c r="G835" s="155"/>
      <c r="H835" s="155"/>
      <c r="I835" s="155"/>
      <c r="J835" s="155"/>
      <c r="K835" s="155"/>
      <c r="L835" s="155"/>
      <c r="M835" s="155"/>
    </row>
    <row r="836" ht="14.25" customHeight="1">
      <c r="A836" s="126"/>
      <c r="G836" s="155"/>
      <c r="H836" s="155"/>
      <c r="I836" s="155"/>
      <c r="J836" s="155"/>
      <c r="K836" s="155"/>
      <c r="L836" s="155"/>
      <c r="M836" s="155"/>
    </row>
    <row r="837" ht="14.25" customHeight="1">
      <c r="A837" s="126"/>
      <c r="G837" s="155"/>
      <c r="H837" s="155"/>
      <c r="I837" s="155"/>
      <c r="J837" s="155"/>
      <c r="K837" s="155"/>
      <c r="L837" s="155"/>
      <c r="M837" s="155"/>
    </row>
    <row r="838" ht="14.25" customHeight="1">
      <c r="A838" s="126"/>
      <c r="G838" s="155"/>
      <c r="H838" s="155"/>
      <c r="I838" s="155"/>
      <c r="J838" s="155"/>
      <c r="K838" s="155"/>
      <c r="L838" s="155"/>
      <c r="M838" s="155"/>
    </row>
    <row r="839" ht="14.25" customHeight="1">
      <c r="A839" s="126"/>
      <c r="G839" s="155"/>
      <c r="H839" s="155"/>
      <c r="I839" s="155"/>
      <c r="J839" s="155"/>
      <c r="K839" s="155"/>
      <c r="L839" s="155"/>
      <c r="M839" s="155"/>
    </row>
    <row r="840" ht="14.25" customHeight="1">
      <c r="A840" s="126"/>
      <c r="G840" s="155"/>
      <c r="H840" s="155"/>
      <c r="I840" s="155"/>
      <c r="J840" s="155"/>
      <c r="K840" s="155"/>
      <c r="L840" s="155"/>
      <c r="M840" s="155"/>
    </row>
    <row r="841" ht="14.25" customHeight="1">
      <c r="A841" s="126"/>
      <c r="G841" s="155"/>
      <c r="H841" s="155"/>
      <c r="I841" s="155"/>
      <c r="J841" s="155"/>
      <c r="K841" s="155"/>
      <c r="L841" s="155"/>
      <c r="M841" s="155"/>
    </row>
    <row r="842" ht="14.25" customHeight="1">
      <c r="A842" s="126"/>
      <c r="G842" s="155"/>
      <c r="H842" s="155"/>
      <c r="I842" s="155"/>
      <c r="J842" s="155"/>
      <c r="K842" s="155"/>
      <c r="L842" s="155"/>
      <c r="M842" s="155"/>
    </row>
    <row r="843" ht="14.25" customHeight="1">
      <c r="A843" s="126"/>
      <c r="G843" s="155"/>
      <c r="H843" s="155"/>
      <c r="I843" s="155"/>
      <c r="J843" s="155"/>
      <c r="K843" s="155"/>
      <c r="L843" s="155"/>
      <c r="M843" s="155"/>
    </row>
    <row r="844" ht="14.25" customHeight="1">
      <c r="A844" s="126"/>
      <c r="G844" s="155"/>
      <c r="H844" s="155"/>
      <c r="I844" s="155"/>
      <c r="J844" s="155"/>
      <c r="K844" s="155"/>
      <c r="L844" s="155"/>
      <c r="M844" s="155"/>
    </row>
    <row r="845" ht="14.25" customHeight="1">
      <c r="A845" s="126"/>
      <c r="G845" s="155"/>
      <c r="H845" s="155"/>
      <c r="I845" s="155"/>
      <c r="J845" s="155"/>
      <c r="K845" s="155"/>
      <c r="L845" s="155"/>
      <c r="M845" s="155"/>
    </row>
    <row r="846" ht="14.25" customHeight="1">
      <c r="A846" s="126"/>
      <c r="G846" s="155"/>
      <c r="H846" s="155"/>
      <c r="I846" s="155"/>
      <c r="J846" s="155"/>
      <c r="K846" s="155"/>
      <c r="L846" s="155"/>
      <c r="M846" s="155"/>
    </row>
    <row r="847" ht="14.25" customHeight="1">
      <c r="A847" s="126"/>
      <c r="G847" s="155"/>
      <c r="H847" s="155"/>
      <c r="I847" s="155"/>
      <c r="J847" s="155"/>
      <c r="K847" s="155"/>
      <c r="L847" s="155"/>
      <c r="M847" s="155"/>
    </row>
    <row r="848" ht="14.25" customHeight="1">
      <c r="A848" s="126"/>
      <c r="G848" s="155"/>
      <c r="H848" s="155"/>
      <c r="I848" s="155"/>
      <c r="J848" s="155"/>
      <c r="K848" s="155"/>
      <c r="L848" s="155"/>
      <c r="M848" s="155"/>
    </row>
    <row r="849" ht="14.25" customHeight="1">
      <c r="A849" s="126"/>
      <c r="G849" s="155"/>
      <c r="H849" s="155"/>
      <c r="I849" s="155"/>
      <c r="J849" s="155"/>
      <c r="K849" s="155"/>
      <c r="L849" s="155"/>
      <c r="M849" s="155"/>
    </row>
    <row r="850" ht="14.25" customHeight="1">
      <c r="A850" s="126"/>
      <c r="G850" s="155"/>
      <c r="H850" s="155"/>
      <c r="I850" s="155"/>
      <c r="J850" s="155"/>
      <c r="K850" s="155"/>
      <c r="L850" s="155"/>
      <c r="M850" s="155"/>
    </row>
    <row r="851" ht="14.25" customHeight="1">
      <c r="A851" s="126"/>
      <c r="G851" s="155"/>
      <c r="H851" s="155"/>
      <c r="I851" s="155"/>
      <c r="J851" s="155"/>
      <c r="K851" s="155"/>
      <c r="L851" s="155"/>
      <c r="M851" s="155"/>
    </row>
    <row r="852" ht="14.25" customHeight="1">
      <c r="A852" s="126"/>
      <c r="G852" s="155"/>
      <c r="H852" s="155"/>
      <c r="I852" s="155"/>
      <c r="J852" s="155"/>
      <c r="K852" s="155"/>
      <c r="L852" s="155"/>
      <c r="M852" s="155"/>
    </row>
    <row r="853" ht="14.25" customHeight="1">
      <c r="A853" s="126"/>
      <c r="G853" s="155"/>
      <c r="H853" s="155"/>
      <c r="I853" s="155"/>
      <c r="J853" s="155"/>
      <c r="K853" s="155"/>
      <c r="L853" s="155"/>
      <c r="M853" s="155"/>
    </row>
    <row r="854" ht="14.25" customHeight="1">
      <c r="A854" s="126"/>
      <c r="G854" s="155"/>
      <c r="H854" s="155"/>
      <c r="I854" s="155"/>
      <c r="J854" s="155"/>
      <c r="K854" s="155"/>
      <c r="L854" s="155"/>
      <c r="M854" s="155"/>
    </row>
    <row r="855" ht="14.25" customHeight="1">
      <c r="A855" s="126"/>
      <c r="G855" s="155"/>
      <c r="H855" s="155"/>
      <c r="I855" s="155"/>
      <c r="J855" s="155"/>
      <c r="K855" s="155"/>
      <c r="L855" s="155"/>
      <c r="M855" s="155"/>
    </row>
    <row r="856" ht="14.25" customHeight="1">
      <c r="A856" s="126"/>
      <c r="G856" s="155"/>
      <c r="H856" s="155"/>
      <c r="I856" s="155"/>
      <c r="J856" s="155"/>
      <c r="K856" s="155"/>
      <c r="L856" s="155"/>
      <c r="M856" s="155"/>
    </row>
    <row r="857" ht="14.25" customHeight="1">
      <c r="A857" s="126"/>
      <c r="G857" s="155"/>
      <c r="H857" s="155"/>
      <c r="I857" s="155"/>
      <c r="J857" s="155"/>
      <c r="K857" s="155"/>
      <c r="L857" s="155"/>
      <c r="M857" s="155"/>
    </row>
    <row r="858" ht="14.25" customHeight="1">
      <c r="A858" s="126"/>
      <c r="G858" s="155"/>
      <c r="H858" s="155"/>
      <c r="I858" s="155"/>
      <c r="J858" s="155"/>
      <c r="K858" s="155"/>
      <c r="L858" s="155"/>
      <c r="M858" s="155"/>
    </row>
    <row r="859" ht="14.25" customHeight="1">
      <c r="A859" s="126"/>
      <c r="G859" s="155"/>
      <c r="H859" s="155"/>
      <c r="I859" s="155"/>
      <c r="J859" s="155"/>
      <c r="K859" s="155"/>
      <c r="L859" s="155"/>
      <c r="M859" s="155"/>
    </row>
    <row r="860" ht="14.25" customHeight="1">
      <c r="A860" s="126"/>
      <c r="G860" s="155"/>
      <c r="H860" s="155"/>
      <c r="I860" s="155"/>
      <c r="J860" s="155"/>
      <c r="K860" s="155"/>
      <c r="L860" s="155"/>
      <c r="M860" s="155"/>
    </row>
    <row r="861" ht="14.25" customHeight="1">
      <c r="A861" s="126"/>
      <c r="G861" s="155"/>
      <c r="H861" s="155"/>
      <c r="I861" s="155"/>
      <c r="J861" s="155"/>
      <c r="K861" s="155"/>
      <c r="L861" s="155"/>
      <c r="M861" s="155"/>
    </row>
    <row r="862" ht="14.25" customHeight="1">
      <c r="A862" s="126"/>
      <c r="G862" s="155"/>
      <c r="H862" s="155"/>
      <c r="I862" s="155"/>
      <c r="J862" s="155"/>
      <c r="K862" s="155"/>
      <c r="L862" s="155"/>
      <c r="M862" s="155"/>
    </row>
    <row r="863" ht="14.25" customHeight="1">
      <c r="A863" s="126"/>
      <c r="G863" s="155"/>
      <c r="H863" s="155"/>
      <c r="I863" s="155"/>
      <c r="J863" s="155"/>
      <c r="K863" s="155"/>
      <c r="L863" s="155"/>
      <c r="M863" s="155"/>
    </row>
    <row r="864" ht="14.25" customHeight="1">
      <c r="A864" s="126"/>
      <c r="G864" s="155"/>
      <c r="H864" s="155"/>
      <c r="I864" s="155"/>
      <c r="J864" s="155"/>
      <c r="K864" s="155"/>
      <c r="L864" s="155"/>
      <c r="M864" s="155"/>
    </row>
    <row r="865" ht="14.25" customHeight="1">
      <c r="A865" s="126"/>
      <c r="G865" s="155"/>
      <c r="H865" s="155"/>
      <c r="I865" s="155"/>
      <c r="J865" s="155"/>
      <c r="K865" s="155"/>
      <c r="L865" s="155"/>
      <c r="M865" s="155"/>
    </row>
    <row r="866" ht="14.25" customHeight="1">
      <c r="A866" s="126"/>
      <c r="G866" s="155"/>
      <c r="H866" s="155"/>
      <c r="I866" s="155"/>
      <c r="J866" s="155"/>
      <c r="K866" s="155"/>
      <c r="L866" s="155"/>
      <c r="M866" s="155"/>
    </row>
    <row r="867" ht="14.25" customHeight="1">
      <c r="A867" s="126"/>
      <c r="G867" s="155"/>
      <c r="H867" s="155"/>
      <c r="I867" s="155"/>
      <c r="J867" s="155"/>
      <c r="K867" s="155"/>
      <c r="L867" s="155"/>
      <c r="M867" s="155"/>
    </row>
    <row r="868" ht="14.25" customHeight="1">
      <c r="A868" s="126"/>
      <c r="G868" s="155"/>
      <c r="H868" s="155"/>
      <c r="I868" s="155"/>
      <c r="J868" s="155"/>
      <c r="K868" s="155"/>
      <c r="L868" s="155"/>
      <c r="M868" s="155"/>
    </row>
    <row r="869" ht="14.25" customHeight="1">
      <c r="A869" s="126"/>
      <c r="G869" s="155"/>
      <c r="H869" s="155"/>
      <c r="I869" s="155"/>
      <c r="J869" s="155"/>
      <c r="K869" s="155"/>
      <c r="L869" s="155"/>
      <c r="M869" s="155"/>
    </row>
    <row r="870" ht="14.25" customHeight="1">
      <c r="A870" s="126"/>
      <c r="G870" s="155"/>
      <c r="H870" s="155"/>
      <c r="I870" s="155"/>
      <c r="J870" s="155"/>
      <c r="K870" s="155"/>
      <c r="L870" s="155"/>
      <c r="M870" s="155"/>
    </row>
    <row r="871" ht="14.25" customHeight="1">
      <c r="A871" s="126"/>
      <c r="G871" s="155"/>
      <c r="H871" s="155"/>
      <c r="I871" s="155"/>
      <c r="J871" s="155"/>
      <c r="K871" s="155"/>
      <c r="L871" s="155"/>
      <c r="M871" s="155"/>
    </row>
    <row r="872" ht="14.25" customHeight="1">
      <c r="A872" s="126"/>
      <c r="G872" s="155"/>
      <c r="H872" s="155"/>
      <c r="I872" s="155"/>
      <c r="J872" s="155"/>
      <c r="K872" s="155"/>
      <c r="L872" s="155"/>
      <c r="M872" s="155"/>
    </row>
    <row r="873" ht="14.25" customHeight="1">
      <c r="A873" s="126"/>
      <c r="G873" s="155"/>
      <c r="H873" s="155"/>
      <c r="I873" s="155"/>
      <c r="J873" s="155"/>
      <c r="K873" s="155"/>
      <c r="L873" s="155"/>
      <c r="M873" s="155"/>
    </row>
    <row r="874" ht="14.25" customHeight="1">
      <c r="A874" s="126"/>
      <c r="G874" s="155"/>
      <c r="H874" s="155"/>
      <c r="I874" s="155"/>
      <c r="J874" s="155"/>
      <c r="K874" s="155"/>
      <c r="L874" s="155"/>
      <c r="M874" s="155"/>
    </row>
    <row r="875" ht="14.25" customHeight="1">
      <c r="A875" s="126"/>
      <c r="G875" s="155"/>
      <c r="H875" s="155"/>
      <c r="I875" s="155"/>
      <c r="J875" s="155"/>
      <c r="K875" s="155"/>
      <c r="L875" s="155"/>
      <c r="M875" s="155"/>
    </row>
    <row r="876" ht="14.25" customHeight="1">
      <c r="A876" s="126"/>
      <c r="G876" s="155"/>
      <c r="H876" s="155"/>
      <c r="I876" s="155"/>
      <c r="J876" s="155"/>
      <c r="K876" s="155"/>
      <c r="L876" s="155"/>
      <c r="M876" s="155"/>
    </row>
    <row r="877" ht="14.25" customHeight="1">
      <c r="A877" s="126"/>
      <c r="G877" s="155"/>
      <c r="H877" s="155"/>
      <c r="I877" s="155"/>
      <c r="J877" s="155"/>
      <c r="K877" s="155"/>
      <c r="L877" s="155"/>
      <c r="M877" s="155"/>
    </row>
    <row r="878" ht="14.25" customHeight="1">
      <c r="A878" s="126"/>
      <c r="G878" s="155"/>
      <c r="H878" s="155"/>
      <c r="I878" s="155"/>
      <c r="J878" s="155"/>
      <c r="K878" s="155"/>
      <c r="L878" s="155"/>
      <c r="M878" s="155"/>
    </row>
    <row r="879" ht="14.25" customHeight="1">
      <c r="A879" s="126"/>
      <c r="G879" s="155"/>
      <c r="H879" s="155"/>
      <c r="I879" s="155"/>
      <c r="J879" s="155"/>
      <c r="K879" s="155"/>
      <c r="L879" s="155"/>
      <c r="M879" s="155"/>
    </row>
    <row r="880" ht="14.25" customHeight="1">
      <c r="A880" s="126"/>
      <c r="G880" s="155"/>
      <c r="H880" s="155"/>
      <c r="I880" s="155"/>
      <c r="J880" s="155"/>
      <c r="K880" s="155"/>
      <c r="L880" s="155"/>
      <c r="M880" s="155"/>
    </row>
    <row r="881" ht="14.25" customHeight="1">
      <c r="A881" s="126"/>
      <c r="G881" s="155"/>
      <c r="H881" s="155"/>
      <c r="I881" s="155"/>
      <c r="J881" s="155"/>
      <c r="K881" s="155"/>
      <c r="L881" s="155"/>
      <c r="M881" s="155"/>
    </row>
    <row r="882" ht="14.25" customHeight="1">
      <c r="A882" s="126"/>
      <c r="G882" s="155"/>
      <c r="H882" s="155"/>
      <c r="I882" s="155"/>
      <c r="J882" s="155"/>
      <c r="K882" s="155"/>
      <c r="L882" s="155"/>
      <c r="M882" s="155"/>
    </row>
    <row r="883" ht="14.25" customHeight="1">
      <c r="A883" s="126"/>
      <c r="G883" s="155"/>
      <c r="H883" s="155"/>
      <c r="I883" s="155"/>
      <c r="J883" s="155"/>
      <c r="K883" s="155"/>
      <c r="L883" s="155"/>
      <c r="M883" s="155"/>
    </row>
    <row r="884" ht="14.25" customHeight="1">
      <c r="A884" s="126"/>
      <c r="G884" s="155"/>
      <c r="H884" s="155"/>
      <c r="I884" s="155"/>
      <c r="J884" s="155"/>
      <c r="K884" s="155"/>
      <c r="L884" s="155"/>
      <c r="M884" s="155"/>
    </row>
    <row r="885" ht="14.25" customHeight="1">
      <c r="A885" s="126"/>
      <c r="G885" s="155"/>
      <c r="H885" s="155"/>
      <c r="I885" s="155"/>
      <c r="J885" s="155"/>
      <c r="K885" s="155"/>
      <c r="L885" s="155"/>
      <c r="M885" s="155"/>
    </row>
    <row r="886" ht="14.25" customHeight="1">
      <c r="A886" s="126"/>
      <c r="G886" s="155"/>
      <c r="H886" s="155"/>
      <c r="I886" s="155"/>
      <c r="J886" s="155"/>
      <c r="K886" s="155"/>
      <c r="L886" s="155"/>
      <c r="M886" s="155"/>
    </row>
    <row r="887" ht="14.25" customHeight="1">
      <c r="A887" s="126"/>
      <c r="G887" s="155"/>
      <c r="H887" s="155"/>
      <c r="I887" s="155"/>
      <c r="J887" s="155"/>
      <c r="K887" s="155"/>
      <c r="L887" s="155"/>
      <c r="M887" s="155"/>
    </row>
    <row r="888" ht="14.25" customHeight="1">
      <c r="A888" s="126"/>
      <c r="G888" s="155"/>
      <c r="H888" s="155"/>
      <c r="I888" s="155"/>
      <c r="J888" s="155"/>
      <c r="K888" s="155"/>
      <c r="L888" s="155"/>
      <c r="M888" s="155"/>
    </row>
    <row r="889" ht="14.25" customHeight="1">
      <c r="A889" s="126"/>
      <c r="G889" s="155"/>
      <c r="H889" s="155"/>
      <c r="I889" s="155"/>
      <c r="J889" s="155"/>
      <c r="K889" s="155"/>
      <c r="L889" s="155"/>
      <c r="M889" s="155"/>
    </row>
    <row r="890" ht="14.25" customHeight="1">
      <c r="A890" s="126"/>
      <c r="G890" s="155"/>
      <c r="H890" s="155"/>
      <c r="I890" s="155"/>
      <c r="J890" s="155"/>
      <c r="K890" s="155"/>
      <c r="L890" s="155"/>
      <c r="M890" s="155"/>
    </row>
    <row r="891" ht="14.25" customHeight="1">
      <c r="A891" s="126"/>
      <c r="G891" s="155"/>
      <c r="H891" s="155"/>
      <c r="I891" s="155"/>
      <c r="J891" s="155"/>
      <c r="K891" s="155"/>
      <c r="L891" s="155"/>
      <c r="M891" s="155"/>
    </row>
    <row r="892" ht="14.25" customHeight="1">
      <c r="A892" s="126"/>
      <c r="G892" s="155"/>
      <c r="H892" s="155"/>
      <c r="I892" s="155"/>
      <c r="J892" s="155"/>
      <c r="K892" s="155"/>
      <c r="L892" s="155"/>
      <c r="M892" s="155"/>
    </row>
    <row r="893" ht="14.25" customHeight="1">
      <c r="A893" s="126"/>
      <c r="G893" s="155"/>
      <c r="H893" s="155"/>
      <c r="I893" s="155"/>
      <c r="J893" s="155"/>
      <c r="K893" s="155"/>
      <c r="L893" s="155"/>
      <c r="M893" s="155"/>
    </row>
    <row r="894" ht="14.25" customHeight="1">
      <c r="A894" s="126"/>
      <c r="G894" s="155"/>
      <c r="H894" s="155"/>
      <c r="I894" s="155"/>
      <c r="J894" s="155"/>
      <c r="K894" s="155"/>
      <c r="L894" s="155"/>
      <c r="M894" s="155"/>
    </row>
    <row r="895" ht="14.25" customHeight="1">
      <c r="A895" s="126"/>
      <c r="G895" s="155"/>
      <c r="H895" s="155"/>
      <c r="I895" s="155"/>
      <c r="J895" s="155"/>
      <c r="K895" s="155"/>
      <c r="L895" s="155"/>
      <c r="M895" s="155"/>
    </row>
    <row r="896" ht="14.25" customHeight="1">
      <c r="A896" s="126"/>
      <c r="G896" s="155"/>
      <c r="H896" s="155"/>
      <c r="I896" s="155"/>
      <c r="J896" s="155"/>
      <c r="K896" s="155"/>
      <c r="L896" s="155"/>
      <c r="M896" s="155"/>
    </row>
    <row r="897" ht="14.25" customHeight="1">
      <c r="A897" s="126"/>
      <c r="G897" s="155"/>
      <c r="H897" s="155"/>
      <c r="I897" s="155"/>
      <c r="J897" s="155"/>
      <c r="K897" s="155"/>
      <c r="L897" s="155"/>
      <c r="M897" s="155"/>
    </row>
    <row r="898" ht="14.25" customHeight="1">
      <c r="A898" s="126"/>
      <c r="G898" s="155"/>
      <c r="H898" s="155"/>
      <c r="I898" s="155"/>
      <c r="J898" s="155"/>
      <c r="K898" s="155"/>
      <c r="L898" s="155"/>
      <c r="M898" s="155"/>
    </row>
    <row r="899" ht="14.25" customHeight="1">
      <c r="A899" s="126"/>
      <c r="G899" s="155"/>
      <c r="H899" s="155"/>
      <c r="I899" s="155"/>
      <c r="J899" s="155"/>
      <c r="K899" s="155"/>
      <c r="L899" s="155"/>
      <c r="M899" s="155"/>
    </row>
    <row r="900" ht="14.25" customHeight="1">
      <c r="A900" s="126"/>
      <c r="G900" s="155"/>
      <c r="H900" s="155"/>
      <c r="I900" s="155"/>
      <c r="J900" s="155"/>
      <c r="K900" s="155"/>
      <c r="L900" s="155"/>
      <c r="M900" s="155"/>
    </row>
    <row r="901" ht="14.25" customHeight="1">
      <c r="A901" s="126"/>
      <c r="G901" s="155"/>
      <c r="H901" s="155"/>
      <c r="I901" s="155"/>
      <c r="J901" s="155"/>
      <c r="K901" s="155"/>
      <c r="L901" s="155"/>
      <c r="M901" s="155"/>
    </row>
    <row r="902" ht="14.25" customHeight="1">
      <c r="A902" s="126"/>
      <c r="G902" s="155"/>
      <c r="H902" s="155"/>
      <c r="I902" s="155"/>
      <c r="J902" s="155"/>
      <c r="K902" s="155"/>
      <c r="L902" s="155"/>
      <c r="M902" s="155"/>
    </row>
    <row r="903" ht="14.25" customHeight="1">
      <c r="A903" s="126"/>
      <c r="G903" s="155"/>
      <c r="H903" s="155"/>
      <c r="I903" s="155"/>
      <c r="J903" s="155"/>
      <c r="K903" s="155"/>
      <c r="L903" s="155"/>
      <c r="M903" s="155"/>
    </row>
    <row r="904" ht="14.25" customHeight="1">
      <c r="A904" s="126"/>
      <c r="G904" s="155"/>
      <c r="H904" s="155"/>
      <c r="I904" s="155"/>
      <c r="J904" s="155"/>
      <c r="K904" s="155"/>
      <c r="L904" s="155"/>
      <c r="M904" s="155"/>
    </row>
    <row r="905" ht="14.25" customHeight="1">
      <c r="A905" s="126"/>
      <c r="G905" s="155"/>
      <c r="H905" s="155"/>
      <c r="I905" s="155"/>
      <c r="J905" s="155"/>
      <c r="K905" s="155"/>
      <c r="L905" s="155"/>
      <c r="M905" s="155"/>
    </row>
    <row r="906" ht="14.25" customHeight="1">
      <c r="A906" s="126"/>
      <c r="G906" s="155"/>
      <c r="H906" s="155"/>
      <c r="I906" s="155"/>
      <c r="J906" s="155"/>
      <c r="K906" s="155"/>
      <c r="L906" s="155"/>
      <c r="M906" s="155"/>
    </row>
    <row r="907" ht="14.25" customHeight="1">
      <c r="A907" s="126"/>
      <c r="G907" s="155"/>
      <c r="H907" s="155"/>
      <c r="I907" s="155"/>
      <c r="J907" s="155"/>
      <c r="K907" s="155"/>
      <c r="L907" s="155"/>
      <c r="M907" s="155"/>
    </row>
    <row r="908" ht="14.25" customHeight="1">
      <c r="A908" s="126"/>
      <c r="G908" s="155"/>
      <c r="H908" s="155"/>
      <c r="I908" s="155"/>
      <c r="J908" s="155"/>
      <c r="K908" s="155"/>
      <c r="L908" s="155"/>
      <c r="M908" s="155"/>
    </row>
    <row r="909" ht="14.25" customHeight="1">
      <c r="A909" s="126"/>
      <c r="G909" s="155"/>
      <c r="H909" s="155"/>
      <c r="I909" s="155"/>
      <c r="J909" s="155"/>
      <c r="K909" s="155"/>
      <c r="L909" s="155"/>
      <c r="M909" s="155"/>
    </row>
    <row r="910" ht="14.25" customHeight="1">
      <c r="A910" s="126"/>
      <c r="G910" s="155"/>
      <c r="H910" s="155"/>
      <c r="I910" s="155"/>
      <c r="J910" s="155"/>
      <c r="K910" s="155"/>
      <c r="L910" s="155"/>
      <c r="M910" s="155"/>
    </row>
    <row r="911" ht="14.25" customHeight="1">
      <c r="A911" s="126"/>
      <c r="G911" s="155"/>
      <c r="H911" s="155"/>
      <c r="I911" s="155"/>
      <c r="J911" s="155"/>
      <c r="K911" s="155"/>
      <c r="L911" s="155"/>
      <c r="M911" s="155"/>
    </row>
    <row r="912" ht="14.25" customHeight="1">
      <c r="A912" s="126"/>
      <c r="G912" s="155"/>
      <c r="H912" s="155"/>
      <c r="I912" s="155"/>
      <c r="J912" s="155"/>
      <c r="K912" s="155"/>
      <c r="L912" s="155"/>
      <c r="M912" s="155"/>
    </row>
    <row r="913" ht="14.25" customHeight="1">
      <c r="A913" s="126"/>
      <c r="G913" s="155"/>
      <c r="H913" s="155"/>
      <c r="I913" s="155"/>
      <c r="J913" s="155"/>
      <c r="K913" s="155"/>
      <c r="L913" s="155"/>
      <c r="M913" s="155"/>
    </row>
    <row r="914" ht="14.25" customHeight="1">
      <c r="A914" s="126"/>
      <c r="G914" s="155"/>
      <c r="H914" s="155"/>
      <c r="I914" s="155"/>
      <c r="J914" s="155"/>
      <c r="K914" s="155"/>
      <c r="L914" s="155"/>
      <c r="M914" s="155"/>
    </row>
    <row r="915" ht="14.25" customHeight="1">
      <c r="A915" s="126"/>
      <c r="G915" s="155"/>
      <c r="H915" s="155"/>
      <c r="I915" s="155"/>
      <c r="J915" s="155"/>
      <c r="K915" s="155"/>
      <c r="L915" s="155"/>
      <c r="M915" s="155"/>
    </row>
    <row r="916" ht="14.25" customHeight="1">
      <c r="A916" s="126"/>
      <c r="G916" s="155"/>
      <c r="H916" s="155"/>
      <c r="I916" s="155"/>
      <c r="J916" s="155"/>
      <c r="K916" s="155"/>
      <c r="L916" s="155"/>
      <c r="M916" s="155"/>
    </row>
    <row r="917" ht="14.25" customHeight="1">
      <c r="A917" s="126"/>
      <c r="G917" s="155"/>
      <c r="H917" s="155"/>
      <c r="I917" s="155"/>
      <c r="J917" s="155"/>
      <c r="K917" s="155"/>
      <c r="L917" s="155"/>
      <c r="M917" s="155"/>
    </row>
    <row r="918" ht="14.25" customHeight="1">
      <c r="A918" s="126"/>
      <c r="G918" s="155"/>
      <c r="H918" s="155"/>
      <c r="I918" s="155"/>
      <c r="J918" s="155"/>
      <c r="K918" s="155"/>
      <c r="L918" s="155"/>
      <c r="M918" s="155"/>
    </row>
    <row r="919" ht="14.25" customHeight="1">
      <c r="A919" s="126"/>
      <c r="G919" s="155"/>
      <c r="H919" s="155"/>
      <c r="I919" s="155"/>
      <c r="J919" s="155"/>
      <c r="K919" s="155"/>
      <c r="L919" s="155"/>
      <c r="M919" s="155"/>
    </row>
    <row r="920" ht="14.25" customHeight="1">
      <c r="A920" s="126"/>
      <c r="G920" s="155"/>
      <c r="H920" s="155"/>
      <c r="I920" s="155"/>
      <c r="J920" s="155"/>
      <c r="K920" s="155"/>
      <c r="L920" s="155"/>
      <c r="M920" s="155"/>
    </row>
    <row r="921" ht="14.25" customHeight="1">
      <c r="A921" s="126"/>
      <c r="G921" s="155"/>
      <c r="H921" s="155"/>
      <c r="I921" s="155"/>
      <c r="J921" s="155"/>
      <c r="K921" s="155"/>
      <c r="L921" s="155"/>
      <c r="M921" s="155"/>
    </row>
    <row r="922" ht="14.25" customHeight="1">
      <c r="A922" s="126"/>
      <c r="G922" s="155"/>
      <c r="H922" s="155"/>
      <c r="I922" s="155"/>
      <c r="J922" s="155"/>
      <c r="K922" s="155"/>
      <c r="L922" s="155"/>
      <c r="M922" s="155"/>
    </row>
    <row r="923" ht="14.25" customHeight="1">
      <c r="A923" s="126"/>
      <c r="G923" s="155"/>
      <c r="H923" s="155"/>
      <c r="I923" s="155"/>
      <c r="J923" s="155"/>
      <c r="K923" s="155"/>
      <c r="L923" s="155"/>
      <c r="M923" s="155"/>
    </row>
    <row r="924" ht="14.25" customHeight="1">
      <c r="A924" s="126"/>
      <c r="G924" s="155"/>
      <c r="H924" s="155"/>
      <c r="I924" s="155"/>
      <c r="J924" s="155"/>
      <c r="K924" s="155"/>
      <c r="L924" s="155"/>
      <c r="M924" s="155"/>
    </row>
    <row r="925" ht="14.25" customHeight="1">
      <c r="A925" s="126"/>
      <c r="G925" s="155"/>
      <c r="H925" s="155"/>
      <c r="I925" s="155"/>
      <c r="J925" s="155"/>
      <c r="K925" s="155"/>
      <c r="L925" s="155"/>
      <c r="M925" s="155"/>
    </row>
    <row r="926" ht="14.25" customHeight="1">
      <c r="A926" s="126"/>
      <c r="G926" s="155"/>
      <c r="H926" s="155"/>
      <c r="I926" s="155"/>
      <c r="J926" s="155"/>
      <c r="K926" s="155"/>
      <c r="L926" s="155"/>
      <c r="M926" s="155"/>
    </row>
    <row r="927" ht="14.25" customHeight="1">
      <c r="A927" s="126"/>
      <c r="G927" s="155"/>
      <c r="H927" s="155"/>
      <c r="I927" s="155"/>
      <c r="J927" s="155"/>
      <c r="K927" s="155"/>
      <c r="L927" s="155"/>
      <c r="M927" s="155"/>
    </row>
    <row r="928" ht="14.25" customHeight="1">
      <c r="A928" s="126"/>
      <c r="G928" s="155"/>
      <c r="H928" s="155"/>
      <c r="I928" s="155"/>
      <c r="J928" s="155"/>
      <c r="K928" s="155"/>
      <c r="L928" s="155"/>
      <c r="M928" s="155"/>
    </row>
    <row r="929" ht="14.25" customHeight="1">
      <c r="A929" s="126"/>
      <c r="G929" s="155"/>
      <c r="H929" s="155"/>
      <c r="I929" s="155"/>
      <c r="J929" s="155"/>
      <c r="K929" s="155"/>
      <c r="L929" s="155"/>
      <c r="M929" s="155"/>
    </row>
    <row r="930" ht="14.25" customHeight="1">
      <c r="A930" s="126"/>
      <c r="G930" s="155"/>
      <c r="H930" s="155"/>
      <c r="I930" s="155"/>
      <c r="J930" s="155"/>
      <c r="K930" s="155"/>
      <c r="L930" s="155"/>
      <c r="M930" s="155"/>
    </row>
    <row r="931" ht="14.25" customHeight="1">
      <c r="A931" s="126"/>
      <c r="G931" s="155"/>
      <c r="H931" s="155"/>
      <c r="I931" s="155"/>
      <c r="J931" s="155"/>
      <c r="K931" s="155"/>
      <c r="L931" s="155"/>
      <c r="M931" s="155"/>
    </row>
    <row r="932" ht="14.25" customHeight="1">
      <c r="A932" s="126"/>
      <c r="G932" s="155"/>
      <c r="H932" s="155"/>
      <c r="I932" s="155"/>
      <c r="J932" s="155"/>
      <c r="K932" s="155"/>
      <c r="L932" s="155"/>
      <c r="M932" s="155"/>
    </row>
    <row r="933" ht="14.25" customHeight="1">
      <c r="A933" s="126"/>
      <c r="G933" s="155"/>
      <c r="H933" s="155"/>
      <c r="I933" s="155"/>
      <c r="J933" s="155"/>
      <c r="K933" s="155"/>
      <c r="L933" s="155"/>
      <c r="M933" s="155"/>
    </row>
    <row r="934" ht="14.25" customHeight="1">
      <c r="A934" s="126"/>
      <c r="G934" s="155"/>
      <c r="H934" s="155"/>
      <c r="I934" s="155"/>
      <c r="J934" s="155"/>
      <c r="K934" s="155"/>
      <c r="L934" s="155"/>
      <c r="M934" s="155"/>
    </row>
    <row r="935" ht="14.25" customHeight="1">
      <c r="A935" s="126"/>
      <c r="G935" s="155"/>
      <c r="H935" s="155"/>
      <c r="I935" s="155"/>
      <c r="J935" s="155"/>
      <c r="K935" s="155"/>
      <c r="L935" s="155"/>
      <c r="M935" s="155"/>
    </row>
    <row r="936" ht="14.25" customHeight="1">
      <c r="A936" s="126"/>
      <c r="G936" s="155"/>
      <c r="H936" s="155"/>
      <c r="I936" s="155"/>
      <c r="J936" s="155"/>
      <c r="K936" s="155"/>
      <c r="L936" s="155"/>
      <c r="M936" s="155"/>
    </row>
    <row r="937" ht="14.25" customHeight="1">
      <c r="A937" s="126"/>
      <c r="G937" s="155"/>
      <c r="H937" s="155"/>
      <c r="I937" s="155"/>
      <c r="J937" s="155"/>
      <c r="K937" s="155"/>
      <c r="L937" s="155"/>
      <c r="M937" s="155"/>
    </row>
    <row r="938" ht="14.25" customHeight="1">
      <c r="A938" s="126"/>
      <c r="G938" s="155"/>
      <c r="H938" s="155"/>
      <c r="I938" s="155"/>
      <c r="J938" s="155"/>
      <c r="K938" s="155"/>
      <c r="L938" s="155"/>
      <c r="M938" s="155"/>
    </row>
    <row r="939" ht="14.25" customHeight="1">
      <c r="A939" s="126"/>
      <c r="G939" s="155"/>
      <c r="H939" s="155"/>
      <c r="I939" s="155"/>
      <c r="J939" s="155"/>
      <c r="K939" s="155"/>
      <c r="L939" s="155"/>
      <c r="M939" s="155"/>
    </row>
    <row r="940" ht="14.25" customHeight="1">
      <c r="A940" s="126"/>
      <c r="G940" s="155"/>
      <c r="H940" s="155"/>
      <c r="I940" s="155"/>
      <c r="J940" s="155"/>
      <c r="K940" s="155"/>
      <c r="L940" s="155"/>
      <c r="M940" s="155"/>
    </row>
    <row r="941" ht="14.25" customHeight="1">
      <c r="A941" s="126"/>
      <c r="G941" s="155"/>
      <c r="H941" s="155"/>
      <c r="I941" s="155"/>
      <c r="J941" s="155"/>
      <c r="K941" s="155"/>
      <c r="L941" s="155"/>
      <c r="M941" s="155"/>
    </row>
    <row r="942" ht="14.25" customHeight="1">
      <c r="A942" s="126"/>
      <c r="G942" s="155"/>
      <c r="H942" s="155"/>
      <c r="I942" s="155"/>
      <c r="J942" s="155"/>
      <c r="K942" s="155"/>
      <c r="L942" s="155"/>
      <c r="M942" s="155"/>
    </row>
    <row r="943" ht="14.25" customHeight="1">
      <c r="A943" s="126"/>
      <c r="G943" s="155"/>
      <c r="H943" s="155"/>
      <c r="I943" s="155"/>
      <c r="J943" s="155"/>
      <c r="K943" s="155"/>
      <c r="L943" s="155"/>
      <c r="M943" s="155"/>
    </row>
    <row r="944" ht="14.25" customHeight="1">
      <c r="A944" s="126"/>
      <c r="G944" s="155"/>
      <c r="H944" s="155"/>
      <c r="I944" s="155"/>
      <c r="J944" s="155"/>
      <c r="K944" s="155"/>
      <c r="L944" s="155"/>
      <c r="M944" s="155"/>
    </row>
    <row r="945" ht="14.25" customHeight="1">
      <c r="A945" s="126"/>
      <c r="G945" s="155"/>
      <c r="H945" s="155"/>
      <c r="I945" s="155"/>
      <c r="J945" s="155"/>
      <c r="K945" s="155"/>
      <c r="L945" s="155"/>
      <c r="M945" s="155"/>
    </row>
    <row r="946" ht="14.25" customHeight="1">
      <c r="A946" s="126"/>
      <c r="G946" s="155"/>
      <c r="H946" s="155"/>
      <c r="I946" s="155"/>
      <c r="J946" s="155"/>
      <c r="K946" s="155"/>
      <c r="L946" s="155"/>
      <c r="M946" s="155"/>
    </row>
    <row r="947" ht="14.25" customHeight="1">
      <c r="A947" s="126"/>
      <c r="G947" s="155"/>
      <c r="H947" s="155"/>
      <c r="I947" s="155"/>
      <c r="J947" s="155"/>
      <c r="K947" s="155"/>
      <c r="L947" s="155"/>
      <c r="M947" s="155"/>
    </row>
    <row r="948" ht="14.25" customHeight="1">
      <c r="A948" s="126"/>
      <c r="G948" s="155"/>
      <c r="H948" s="155"/>
      <c r="I948" s="155"/>
      <c r="J948" s="155"/>
      <c r="K948" s="155"/>
      <c r="L948" s="155"/>
      <c r="M948" s="155"/>
    </row>
    <row r="949" ht="14.25" customHeight="1">
      <c r="A949" s="126"/>
      <c r="G949" s="155"/>
      <c r="H949" s="155"/>
      <c r="I949" s="155"/>
      <c r="J949" s="155"/>
      <c r="K949" s="155"/>
      <c r="L949" s="155"/>
      <c r="M949" s="155"/>
    </row>
    <row r="950" ht="14.25" customHeight="1">
      <c r="A950" s="126"/>
      <c r="G950" s="155"/>
      <c r="H950" s="155"/>
      <c r="I950" s="155"/>
      <c r="J950" s="155"/>
      <c r="K950" s="155"/>
      <c r="L950" s="155"/>
      <c r="M950" s="155"/>
    </row>
    <row r="951" ht="14.25" customHeight="1">
      <c r="A951" s="126"/>
      <c r="G951" s="155"/>
      <c r="H951" s="155"/>
      <c r="I951" s="155"/>
      <c r="J951" s="155"/>
      <c r="K951" s="155"/>
      <c r="L951" s="155"/>
      <c r="M951" s="155"/>
    </row>
    <row r="952" ht="14.25" customHeight="1">
      <c r="A952" s="126"/>
      <c r="G952" s="155"/>
      <c r="H952" s="155"/>
      <c r="I952" s="155"/>
      <c r="J952" s="155"/>
      <c r="K952" s="155"/>
      <c r="L952" s="155"/>
      <c r="M952" s="155"/>
    </row>
    <row r="953" ht="14.25" customHeight="1">
      <c r="A953" s="126"/>
      <c r="G953" s="155"/>
      <c r="H953" s="155"/>
      <c r="I953" s="155"/>
      <c r="J953" s="155"/>
      <c r="K953" s="155"/>
      <c r="L953" s="155"/>
      <c r="M953" s="155"/>
    </row>
    <row r="954" ht="14.25" customHeight="1">
      <c r="A954" s="126"/>
      <c r="G954" s="155"/>
      <c r="H954" s="155"/>
      <c r="I954" s="155"/>
      <c r="J954" s="155"/>
      <c r="K954" s="155"/>
      <c r="L954" s="155"/>
      <c r="M954" s="155"/>
    </row>
    <row r="955" ht="14.25" customHeight="1">
      <c r="A955" s="126"/>
      <c r="G955" s="155"/>
      <c r="H955" s="155"/>
      <c r="I955" s="155"/>
      <c r="J955" s="155"/>
      <c r="K955" s="155"/>
      <c r="L955" s="155"/>
      <c r="M955" s="155"/>
    </row>
    <row r="956" ht="14.25" customHeight="1">
      <c r="A956" s="126"/>
      <c r="G956" s="155"/>
      <c r="H956" s="155"/>
      <c r="I956" s="155"/>
      <c r="J956" s="155"/>
      <c r="K956" s="155"/>
      <c r="L956" s="155"/>
      <c r="M956" s="155"/>
    </row>
    <row r="957" ht="14.25" customHeight="1">
      <c r="A957" s="126"/>
      <c r="G957" s="155"/>
      <c r="H957" s="155"/>
      <c r="I957" s="155"/>
      <c r="J957" s="155"/>
      <c r="K957" s="155"/>
      <c r="L957" s="155"/>
      <c r="M957" s="155"/>
    </row>
    <row r="958" ht="14.25" customHeight="1">
      <c r="A958" s="126"/>
      <c r="G958" s="155"/>
      <c r="H958" s="155"/>
      <c r="I958" s="155"/>
      <c r="J958" s="155"/>
      <c r="K958" s="155"/>
      <c r="L958" s="155"/>
      <c r="M958" s="155"/>
    </row>
    <row r="959" ht="14.25" customHeight="1">
      <c r="A959" s="126"/>
      <c r="G959" s="155"/>
      <c r="H959" s="155"/>
      <c r="I959" s="155"/>
      <c r="J959" s="155"/>
      <c r="K959" s="155"/>
      <c r="L959" s="155"/>
      <c r="M959" s="155"/>
    </row>
    <row r="960" ht="14.25" customHeight="1">
      <c r="A960" s="126"/>
      <c r="G960" s="155"/>
      <c r="H960" s="155"/>
      <c r="I960" s="155"/>
      <c r="J960" s="155"/>
      <c r="K960" s="155"/>
      <c r="L960" s="155"/>
      <c r="M960" s="155"/>
    </row>
    <row r="961" ht="14.25" customHeight="1">
      <c r="A961" s="126"/>
      <c r="G961" s="155"/>
      <c r="H961" s="155"/>
      <c r="I961" s="155"/>
      <c r="J961" s="155"/>
      <c r="K961" s="155"/>
      <c r="L961" s="155"/>
      <c r="M961" s="155"/>
    </row>
    <row r="962" ht="14.25" customHeight="1">
      <c r="A962" s="126"/>
      <c r="G962" s="155"/>
      <c r="H962" s="155"/>
      <c r="I962" s="155"/>
      <c r="J962" s="155"/>
      <c r="K962" s="155"/>
      <c r="L962" s="155"/>
      <c r="M962" s="155"/>
    </row>
    <row r="963" ht="14.25" customHeight="1">
      <c r="A963" s="126"/>
      <c r="G963" s="155"/>
      <c r="H963" s="155"/>
      <c r="I963" s="155"/>
      <c r="J963" s="155"/>
      <c r="K963" s="155"/>
      <c r="L963" s="155"/>
      <c r="M963" s="155"/>
    </row>
    <row r="964" ht="14.25" customHeight="1">
      <c r="A964" s="126"/>
      <c r="G964" s="155"/>
      <c r="H964" s="155"/>
      <c r="I964" s="155"/>
      <c r="J964" s="155"/>
      <c r="K964" s="155"/>
      <c r="L964" s="155"/>
      <c r="M964" s="155"/>
    </row>
    <row r="965" ht="14.25" customHeight="1">
      <c r="A965" s="126"/>
      <c r="G965" s="155"/>
      <c r="H965" s="155"/>
      <c r="I965" s="155"/>
      <c r="J965" s="155"/>
      <c r="K965" s="155"/>
      <c r="L965" s="155"/>
      <c r="M965" s="155"/>
    </row>
    <row r="966" ht="14.25" customHeight="1">
      <c r="A966" s="126"/>
      <c r="G966" s="155"/>
      <c r="H966" s="155"/>
      <c r="I966" s="155"/>
      <c r="J966" s="155"/>
      <c r="K966" s="155"/>
      <c r="L966" s="155"/>
      <c r="M966" s="155"/>
    </row>
    <row r="967" ht="14.25" customHeight="1">
      <c r="A967" s="126"/>
      <c r="G967" s="155"/>
      <c r="H967" s="155"/>
      <c r="I967" s="155"/>
      <c r="J967" s="155"/>
      <c r="K967" s="155"/>
      <c r="L967" s="155"/>
      <c r="M967" s="155"/>
    </row>
    <row r="968" ht="14.25" customHeight="1">
      <c r="A968" s="126"/>
      <c r="G968" s="155"/>
      <c r="H968" s="155"/>
      <c r="I968" s="155"/>
      <c r="J968" s="155"/>
      <c r="K968" s="155"/>
      <c r="L968" s="155"/>
      <c r="M968" s="155"/>
    </row>
    <row r="969" ht="14.25" customHeight="1">
      <c r="A969" s="126"/>
      <c r="G969" s="155"/>
      <c r="H969" s="155"/>
      <c r="I969" s="155"/>
      <c r="J969" s="155"/>
      <c r="K969" s="155"/>
      <c r="L969" s="155"/>
      <c r="M969" s="155"/>
    </row>
    <row r="970" ht="14.25" customHeight="1">
      <c r="A970" s="126"/>
      <c r="G970" s="155"/>
      <c r="H970" s="155"/>
      <c r="I970" s="155"/>
      <c r="J970" s="155"/>
      <c r="K970" s="155"/>
      <c r="L970" s="155"/>
      <c r="M970" s="155"/>
    </row>
    <row r="971" ht="14.25" customHeight="1">
      <c r="A971" s="126"/>
      <c r="G971" s="155"/>
      <c r="H971" s="155"/>
      <c r="I971" s="155"/>
      <c r="J971" s="155"/>
      <c r="K971" s="155"/>
      <c r="L971" s="155"/>
      <c r="M971" s="155"/>
    </row>
    <row r="972" ht="14.25" customHeight="1">
      <c r="A972" s="126"/>
      <c r="G972" s="155"/>
      <c r="H972" s="155"/>
      <c r="I972" s="155"/>
      <c r="J972" s="155"/>
      <c r="K972" s="155"/>
      <c r="L972" s="155"/>
      <c r="M972" s="155"/>
    </row>
    <row r="973" ht="14.25" customHeight="1">
      <c r="A973" s="126"/>
      <c r="G973" s="155"/>
      <c r="H973" s="155"/>
      <c r="I973" s="155"/>
      <c r="J973" s="155"/>
      <c r="K973" s="155"/>
      <c r="L973" s="155"/>
      <c r="M973" s="155"/>
    </row>
    <row r="974" ht="14.25" customHeight="1">
      <c r="A974" s="126"/>
      <c r="G974" s="155"/>
      <c r="H974" s="155"/>
      <c r="I974" s="155"/>
      <c r="J974" s="155"/>
      <c r="K974" s="155"/>
      <c r="L974" s="155"/>
      <c r="M974" s="155"/>
    </row>
    <row r="975" ht="14.25" customHeight="1">
      <c r="A975" s="126"/>
      <c r="G975" s="155"/>
      <c r="H975" s="155"/>
      <c r="I975" s="155"/>
      <c r="J975" s="155"/>
      <c r="K975" s="155"/>
      <c r="L975" s="155"/>
      <c r="M975" s="155"/>
    </row>
    <row r="976" ht="14.25" customHeight="1">
      <c r="A976" s="126"/>
      <c r="G976" s="155"/>
      <c r="H976" s="155"/>
      <c r="I976" s="155"/>
      <c r="J976" s="155"/>
      <c r="K976" s="155"/>
      <c r="L976" s="155"/>
      <c r="M976" s="155"/>
    </row>
    <row r="977" ht="14.25" customHeight="1">
      <c r="A977" s="126"/>
      <c r="G977" s="155"/>
      <c r="H977" s="155"/>
      <c r="I977" s="155"/>
      <c r="J977" s="155"/>
      <c r="K977" s="155"/>
      <c r="L977" s="155"/>
      <c r="M977" s="155"/>
    </row>
    <row r="978" ht="14.25" customHeight="1">
      <c r="A978" s="126"/>
      <c r="G978" s="155"/>
      <c r="H978" s="155"/>
      <c r="I978" s="155"/>
      <c r="J978" s="155"/>
      <c r="K978" s="155"/>
      <c r="L978" s="155"/>
      <c r="M978" s="155"/>
    </row>
    <row r="979" ht="14.25" customHeight="1">
      <c r="A979" s="126"/>
      <c r="G979" s="155"/>
      <c r="H979" s="155"/>
      <c r="I979" s="155"/>
      <c r="J979" s="155"/>
      <c r="K979" s="155"/>
      <c r="L979" s="155"/>
      <c r="M979" s="155"/>
    </row>
    <row r="980" ht="14.25" customHeight="1">
      <c r="A980" s="126"/>
      <c r="G980" s="155"/>
      <c r="H980" s="155"/>
      <c r="I980" s="155"/>
      <c r="J980" s="155"/>
      <c r="K980" s="155"/>
      <c r="L980" s="155"/>
      <c r="M980" s="155"/>
    </row>
    <row r="981" ht="14.25" customHeight="1">
      <c r="A981" s="126"/>
      <c r="G981" s="155"/>
      <c r="H981" s="155"/>
      <c r="I981" s="155"/>
      <c r="J981" s="155"/>
      <c r="K981" s="155"/>
      <c r="L981" s="155"/>
      <c r="M981" s="155"/>
    </row>
    <row r="982" ht="14.25" customHeight="1">
      <c r="A982" s="126"/>
      <c r="G982" s="155"/>
      <c r="H982" s="155"/>
      <c r="I982" s="155"/>
      <c r="J982" s="155"/>
      <c r="K982" s="155"/>
      <c r="L982" s="155"/>
      <c r="M982" s="155"/>
    </row>
    <row r="983" ht="14.25" customHeight="1">
      <c r="A983" s="126"/>
      <c r="G983" s="155"/>
      <c r="H983" s="155"/>
      <c r="I983" s="155"/>
      <c r="J983" s="155"/>
      <c r="K983" s="155"/>
      <c r="L983" s="155"/>
      <c r="M983" s="155"/>
    </row>
    <row r="984" ht="14.25" customHeight="1">
      <c r="A984" s="126"/>
      <c r="G984" s="155"/>
      <c r="H984" s="155"/>
      <c r="I984" s="155"/>
      <c r="J984" s="155"/>
      <c r="K984" s="155"/>
      <c r="L984" s="155"/>
      <c r="M984" s="155"/>
    </row>
    <row r="985" ht="14.25" customHeight="1">
      <c r="A985" s="126"/>
      <c r="G985" s="155"/>
      <c r="H985" s="155"/>
      <c r="I985" s="155"/>
      <c r="J985" s="155"/>
      <c r="K985" s="155"/>
      <c r="L985" s="155"/>
      <c r="M985" s="155"/>
    </row>
    <row r="986" ht="14.25" customHeight="1">
      <c r="A986" s="126"/>
      <c r="G986" s="155"/>
      <c r="H986" s="155"/>
      <c r="I986" s="155"/>
      <c r="J986" s="155"/>
      <c r="K986" s="155"/>
      <c r="L986" s="155"/>
      <c r="M986" s="155"/>
    </row>
    <row r="987" ht="14.25" customHeight="1">
      <c r="A987" s="126"/>
      <c r="G987" s="155"/>
      <c r="H987" s="155"/>
      <c r="I987" s="155"/>
      <c r="J987" s="155"/>
      <c r="K987" s="155"/>
      <c r="L987" s="155"/>
      <c r="M987" s="155"/>
    </row>
    <row r="988" ht="14.25" customHeight="1">
      <c r="A988" s="126"/>
      <c r="G988" s="155"/>
      <c r="H988" s="155"/>
      <c r="I988" s="155"/>
      <c r="J988" s="155"/>
      <c r="K988" s="155"/>
      <c r="L988" s="155"/>
      <c r="M988" s="155"/>
    </row>
    <row r="989" ht="14.25" customHeight="1">
      <c r="A989" s="126"/>
      <c r="G989" s="155"/>
      <c r="H989" s="155"/>
      <c r="I989" s="155"/>
      <c r="J989" s="155"/>
      <c r="K989" s="155"/>
      <c r="L989" s="155"/>
      <c r="M989" s="155"/>
    </row>
    <row r="990" ht="14.25" customHeight="1">
      <c r="A990" s="126"/>
      <c r="G990" s="155"/>
      <c r="H990" s="155"/>
      <c r="I990" s="155"/>
      <c r="J990" s="155"/>
      <c r="K990" s="155"/>
      <c r="L990" s="155"/>
      <c r="M990" s="155"/>
    </row>
    <row r="991" ht="14.25" customHeight="1">
      <c r="A991" s="126"/>
      <c r="G991" s="155"/>
      <c r="H991" s="155"/>
      <c r="I991" s="155"/>
      <c r="J991" s="155"/>
      <c r="K991" s="155"/>
      <c r="L991" s="155"/>
      <c r="M991" s="155"/>
    </row>
    <row r="992" ht="14.25" customHeight="1">
      <c r="A992" s="126"/>
      <c r="G992" s="155"/>
      <c r="H992" s="155"/>
      <c r="I992" s="155"/>
      <c r="J992" s="155"/>
      <c r="K992" s="155"/>
      <c r="L992" s="155"/>
      <c r="M992" s="155"/>
    </row>
    <row r="993" ht="14.25" customHeight="1">
      <c r="A993" s="126"/>
      <c r="G993" s="155"/>
      <c r="H993" s="155"/>
      <c r="I993" s="155"/>
      <c r="J993" s="155"/>
      <c r="K993" s="155"/>
      <c r="L993" s="155"/>
      <c r="M993" s="155"/>
    </row>
    <row r="994" ht="14.25" customHeight="1">
      <c r="A994" s="126"/>
      <c r="G994" s="155"/>
      <c r="H994" s="155"/>
      <c r="I994" s="155"/>
      <c r="J994" s="155"/>
      <c r="K994" s="155"/>
      <c r="L994" s="155"/>
      <c r="M994" s="155"/>
    </row>
    <row r="995" ht="14.25" customHeight="1">
      <c r="A995" s="126"/>
      <c r="G995" s="155"/>
      <c r="H995" s="155"/>
      <c r="I995" s="155"/>
      <c r="J995" s="155"/>
      <c r="K995" s="155"/>
      <c r="L995" s="155"/>
      <c r="M995" s="155"/>
    </row>
    <row r="996" ht="14.25" customHeight="1">
      <c r="A996" s="126"/>
      <c r="G996" s="155"/>
      <c r="H996" s="155"/>
      <c r="I996" s="155"/>
      <c r="J996" s="155"/>
      <c r="K996" s="155"/>
      <c r="L996" s="155"/>
      <c r="M996" s="155"/>
    </row>
    <row r="997" ht="14.25" customHeight="1">
      <c r="A997" s="126"/>
      <c r="G997" s="155"/>
      <c r="H997" s="155"/>
      <c r="I997" s="155"/>
      <c r="J997" s="155"/>
      <c r="K997" s="155"/>
      <c r="L997" s="155"/>
      <c r="M997" s="155"/>
    </row>
    <row r="998" ht="14.25" customHeight="1">
      <c r="A998" s="126"/>
      <c r="G998" s="155"/>
      <c r="H998" s="155"/>
      <c r="I998" s="155"/>
      <c r="J998" s="155"/>
      <c r="K998" s="155"/>
      <c r="L998" s="155"/>
      <c r="M998" s="155"/>
    </row>
    <row r="999" ht="14.25" customHeight="1">
      <c r="A999" s="126"/>
      <c r="G999" s="155"/>
      <c r="H999" s="155"/>
      <c r="I999" s="155"/>
      <c r="J999" s="155"/>
      <c r="K999" s="155"/>
      <c r="L999" s="155"/>
      <c r="M999" s="155"/>
    </row>
    <row r="1000" ht="14.25" customHeight="1">
      <c r="A1000" s="126"/>
      <c r="G1000" s="155"/>
      <c r="H1000" s="155"/>
      <c r="I1000" s="155"/>
      <c r="J1000" s="155"/>
      <c r="K1000" s="155"/>
      <c r="L1000" s="155"/>
      <c r="M1000" s="155"/>
    </row>
  </sheetData>
  <mergeCells count="3">
    <mergeCell ref="A1:E1"/>
    <mergeCell ref="A2:E2"/>
    <mergeCell ref="R3:U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71"/>
    <col customWidth="1" min="2" max="2" width="14.71"/>
    <col customWidth="1" min="3" max="3" width="7.0"/>
    <col customWidth="1" min="4" max="4" width="31.86"/>
    <col customWidth="1" min="5" max="5" width="27.43"/>
    <col customWidth="1" min="6" max="6" width="18.29"/>
    <col customWidth="1" min="7" max="7" width="10.86"/>
    <col customWidth="1" min="8" max="8" width="21.71"/>
    <col customWidth="1" min="9" max="9" width="17.86"/>
    <col customWidth="1" min="10" max="10" width="15.86"/>
    <col customWidth="1" min="11" max="11" width="21.57"/>
    <col customWidth="1" min="12" max="12" width="23.43"/>
    <col customWidth="1" min="13" max="13" width="11.14"/>
    <col customWidth="1" min="14" max="14" width="9.57"/>
    <col customWidth="1" min="15" max="15" width="17.29"/>
    <col customWidth="1" min="16" max="16" width="13.43"/>
    <col customWidth="1" min="17" max="17" width="9.86"/>
    <col customWidth="1" min="18" max="18" width="10.0"/>
    <col customWidth="1" min="19" max="19" width="11.86"/>
    <col customWidth="1" min="20" max="20" width="15.29"/>
    <col customWidth="1" min="21" max="21" width="34.86"/>
    <col customWidth="1" min="22" max="22" width="22.71"/>
    <col customWidth="1" min="23" max="23" width="14.43"/>
    <col customWidth="1" min="24" max="24" width="17.43"/>
    <col customWidth="1" min="25" max="26" width="9.86"/>
    <col customWidth="1" min="27" max="27" width="12.57"/>
    <col customWidth="1" min="28" max="28" width="8.86"/>
    <col customWidth="1" min="29" max="29" width="12.57"/>
    <col customWidth="1" min="30" max="30" width="10.29"/>
    <col customWidth="1" min="31" max="31" width="12.29"/>
    <col customWidth="1" min="32" max="32" width="14.14"/>
    <col customWidth="1" min="33" max="33" width="34.86"/>
    <col customWidth="1" min="34" max="34" width="18.43"/>
    <col customWidth="1" min="35" max="37" width="12.0"/>
    <col customWidth="1" min="38" max="39" width="17.43"/>
    <col customWidth="1" min="40" max="40" width="13.57"/>
    <col customWidth="1" min="41" max="41" width="11.86"/>
    <col customWidth="1" min="42" max="43" width="10.86"/>
    <col customWidth="1" min="44" max="44" width="7.43"/>
    <col customWidth="1" min="45" max="45" width="10.43"/>
    <col customWidth="1" min="46" max="46" width="6.86"/>
    <col customWidth="1" min="47" max="47" width="11.57"/>
    <col customWidth="1" min="48" max="48" width="6.86"/>
    <col customWidth="1" min="49" max="49" width="16.71"/>
    <col customWidth="1" min="50" max="50" width="13.29"/>
    <col customWidth="1" min="51" max="51" width="11.43"/>
    <col customWidth="1" min="52" max="52" width="13.0"/>
    <col customWidth="1" min="53" max="53" width="7.57"/>
    <col customWidth="1" min="54" max="54" width="9.14"/>
    <col customWidth="1" min="55" max="55" width="34.86"/>
    <col customWidth="1" min="56" max="56" width="20.86"/>
    <col customWidth="1" min="57" max="57" width="30.14"/>
    <col customWidth="1" min="58" max="58" width="16.0"/>
    <col customWidth="1" min="59" max="59" width="15.43"/>
    <col customWidth="1" min="60" max="60" width="15.57"/>
    <col customWidth="1" min="61" max="61" width="34.86"/>
    <col customWidth="1" min="62" max="62" width="16.29"/>
    <col customWidth="1" min="63" max="63" width="9.14"/>
  </cols>
  <sheetData>
    <row r="1" ht="14.25" customHeight="1">
      <c r="AL1" s="171">
        <f>SUBTOTAL(9,AL3:AL46)</f>
        <v>89063007.62</v>
      </c>
      <c r="AO1" s="171">
        <f t="shared" ref="AO1:AR1" si="1">SUBTOTAL(9,AO3:AO46)</f>
        <v>3255738.9</v>
      </c>
      <c r="AP1" s="171">
        <f t="shared" si="1"/>
        <v>3255738.9</v>
      </c>
      <c r="AQ1" s="171">
        <f t="shared" si="1"/>
        <v>9519863.56</v>
      </c>
      <c r="AR1" s="171">
        <f t="shared" si="1"/>
        <v>0</v>
      </c>
      <c r="AT1" s="171">
        <f>SUBTOTAL(9,AT3:AT46)</f>
        <v>0</v>
      </c>
      <c r="AV1" s="171">
        <f>SUBTOTAL(9,AV3:AV46)</f>
        <v>0</v>
      </c>
    </row>
    <row r="2" ht="14.25" customHeight="1">
      <c r="A2" s="118" t="s">
        <v>64</v>
      </c>
      <c r="B2" s="119" t="s">
        <v>65</v>
      </c>
      <c r="C2" s="119" t="s">
        <v>66</v>
      </c>
      <c r="D2" s="119" t="s">
        <v>67</v>
      </c>
      <c r="E2" s="119" t="s">
        <v>68</v>
      </c>
      <c r="F2" s="119" t="s">
        <v>69</v>
      </c>
      <c r="G2" s="119" t="s">
        <v>127</v>
      </c>
      <c r="H2" s="119" t="s">
        <v>70</v>
      </c>
      <c r="I2" s="119" t="s">
        <v>71</v>
      </c>
      <c r="J2" s="119" t="s">
        <v>72</v>
      </c>
      <c r="K2" s="119" t="s">
        <v>128</v>
      </c>
      <c r="L2" s="119" t="s">
        <v>73</v>
      </c>
      <c r="M2" s="119" t="s">
        <v>74</v>
      </c>
      <c r="N2" s="119" t="s">
        <v>75</v>
      </c>
      <c r="O2" s="119" t="s">
        <v>76</v>
      </c>
      <c r="P2" s="119" t="s">
        <v>77</v>
      </c>
      <c r="Q2" s="119" t="s">
        <v>78</v>
      </c>
      <c r="R2" s="119" t="s">
        <v>79</v>
      </c>
      <c r="S2" s="119" t="s">
        <v>80</v>
      </c>
      <c r="T2" s="119" t="s">
        <v>81</v>
      </c>
      <c r="U2" s="118" t="s">
        <v>82</v>
      </c>
      <c r="V2" s="119" t="s">
        <v>83</v>
      </c>
      <c r="W2" s="119" t="s">
        <v>129</v>
      </c>
      <c r="X2" s="118" t="s">
        <v>84</v>
      </c>
      <c r="Y2" s="119" t="s">
        <v>85</v>
      </c>
      <c r="Z2" s="119" t="s">
        <v>130</v>
      </c>
      <c r="AA2" s="119" t="s">
        <v>86</v>
      </c>
      <c r="AB2" s="119" t="s">
        <v>87</v>
      </c>
      <c r="AC2" s="119" t="s">
        <v>88</v>
      </c>
      <c r="AD2" s="119" t="s">
        <v>89</v>
      </c>
      <c r="AE2" s="119" t="s">
        <v>92</v>
      </c>
      <c r="AF2" s="119" t="s">
        <v>93</v>
      </c>
      <c r="AG2" s="119" t="s">
        <v>131</v>
      </c>
      <c r="AH2" s="119" t="s">
        <v>132</v>
      </c>
      <c r="AI2" s="119" t="s">
        <v>133</v>
      </c>
      <c r="AJ2" s="119" t="s">
        <v>134</v>
      </c>
      <c r="AK2" s="119" t="s">
        <v>135</v>
      </c>
      <c r="AL2" s="119" t="s">
        <v>95</v>
      </c>
      <c r="AM2" s="119" t="s">
        <v>136</v>
      </c>
      <c r="AN2" s="119" t="s">
        <v>96</v>
      </c>
      <c r="AO2" s="118" t="s">
        <v>62</v>
      </c>
      <c r="AP2" s="119" t="s">
        <v>61</v>
      </c>
      <c r="AQ2" s="119" t="s">
        <v>60</v>
      </c>
      <c r="AR2" s="119" t="s">
        <v>98</v>
      </c>
      <c r="AS2" s="119" t="s">
        <v>99</v>
      </c>
      <c r="AT2" s="119" t="s">
        <v>100</v>
      </c>
      <c r="AU2" s="119" t="s">
        <v>101</v>
      </c>
      <c r="AV2" s="119" t="s">
        <v>102</v>
      </c>
      <c r="AW2" s="119" t="s">
        <v>103</v>
      </c>
      <c r="AX2" s="119" t="s">
        <v>104</v>
      </c>
      <c r="AY2" s="119" t="s">
        <v>105</v>
      </c>
      <c r="AZ2" s="119" t="s">
        <v>137</v>
      </c>
      <c r="BA2" s="119" t="s">
        <v>107</v>
      </c>
      <c r="BB2" s="119" t="s">
        <v>108</v>
      </c>
      <c r="BC2" s="119" t="s">
        <v>138</v>
      </c>
      <c r="BD2" s="119" t="s">
        <v>139</v>
      </c>
      <c r="BE2" s="119" t="s">
        <v>111</v>
      </c>
      <c r="BF2" s="119" t="s">
        <v>112</v>
      </c>
      <c r="BG2" s="119" t="s">
        <v>140</v>
      </c>
      <c r="BH2" s="119" t="s">
        <v>141</v>
      </c>
      <c r="BI2" s="119" t="s">
        <v>142</v>
      </c>
      <c r="BJ2" s="119" t="s">
        <v>143</v>
      </c>
    </row>
    <row r="3" ht="14.25" customHeight="1">
      <c r="A3" s="122" t="s">
        <v>144</v>
      </c>
      <c r="B3" s="123" t="s">
        <v>145</v>
      </c>
      <c r="C3" s="123">
        <v>107.0</v>
      </c>
      <c r="D3" s="123" t="s">
        <v>146</v>
      </c>
      <c r="E3" s="123" t="s">
        <v>147</v>
      </c>
      <c r="F3" s="123" t="s">
        <v>148</v>
      </c>
      <c r="G3" s="124"/>
      <c r="H3" s="123" t="s">
        <v>149</v>
      </c>
      <c r="I3" s="123" t="s">
        <v>2</v>
      </c>
      <c r="J3" s="123" t="s">
        <v>150</v>
      </c>
      <c r="K3" s="123" t="s">
        <v>151</v>
      </c>
      <c r="L3" s="123" t="s">
        <v>152</v>
      </c>
      <c r="M3" s="124"/>
      <c r="N3" s="124"/>
      <c r="O3" s="125">
        <v>46142.0</v>
      </c>
      <c r="P3" s="123" t="s">
        <v>153</v>
      </c>
      <c r="Q3" s="123">
        <v>2.7210284E7</v>
      </c>
      <c r="R3" s="125">
        <v>46142.0</v>
      </c>
      <c r="S3" s="123" t="s">
        <v>154</v>
      </c>
      <c r="T3" s="123">
        <v>445074.0</v>
      </c>
      <c r="U3" s="122" t="s">
        <v>6</v>
      </c>
      <c r="V3" s="123" t="s">
        <v>155</v>
      </c>
      <c r="W3" s="123" t="s">
        <v>1</v>
      </c>
      <c r="X3" s="122" t="s">
        <v>156</v>
      </c>
      <c r="Y3" s="124"/>
      <c r="Z3" s="124"/>
      <c r="AA3" s="123">
        <v>243260.0</v>
      </c>
      <c r="AB3" s="123">
        <v>1.0</v>
      </c>
      <c r="AC3" s="123">
        <v>243260.0</v>
      </c>
      <c r="AD3" s="123" t="s">
        <v>157</v>
      </c>
      <c r="AE3" s="124"/>
      <c r="AF3" s="123">
        <v>998599.0</v>
      </c>
      <c r="AG3" s="123" t="s">
        <v>158</v>
      </c>
      <c r="AH3" s="124"/>
      <c r="AI3" s="124"/>
      <c r="AJ3" s="123">
        <v>0.0</v>
      </c>
      <c r="AK3" s="123">
        <v>0.0</v>
      </c>
      <c r="AL3" s="123">
        <v>243260.0</v>
      </c>
      <c r="AM3" s="123" t="s">
        <v>159</v>
      </c>
      <c r="AN3" s="123">
        <v>18.0</v>
      </c>
      <c r="AO3" s="122">
        <v>0.0</v>
      </c>
      <c r="AP3" s="123">
        <v>0.0</v>
      </c>
      <c r="AQ3" s="123">
        <v>43786.8</v>
      </c>
      <c r="AR3" s="123">
        <v>0.0</v>
      </c>
      <c r="AS3" s="123">
        <v>0.0</v>
      </c>
      <c r="AT3" s="123">
        <v>0.0</v>
      </c>
      <c r="AU3" s="123">
        <v>0.0</v>
      </c>
      <c r="AV3" s="123">
        <v>0.0</v>
      </c>
      <c r="AW3" s="124"/>
      <c r="AX3" s="124"/>
      <c r="AY3" s="123">
        <v>0.0</v>
      </c>
      <c r="AZ3" s="123">
        <v>287046.8</v>
      </c>
      <c r="BA3" s="123" t="s">
        <v>20</v>
      </c>
      <c r="BB3" s="123" t="s">
        <v>31</v>
      </c>
      <c r="BC3" s="123" t="s">
        <v>160</v>
      </c>
      <c r="BD3" s="123" t="s">
        <v>148</v>
      </c>
      <c r="BE3" s="123" t="s">
        <v>161</v>
      </c>
      <c r="BF3" s="123" t="s">
        <v>162</v>
      </c>
      <c r="BG3" s="124"/>
      <c r="BH3" s="124"/>
      <c r="BI3" s="123" t="s">
        <v>163</v>
      </c>
      <c r="BJ3" s="172">
        <v>46142.586805555555</v>
      </c>
      <c r="BK3" s="171" t="s">
        <v>164</v>
      </c>
    </row>
    <row r="4" ht="14.25" customHeight="1">
      <c r="A4" s="122" t="s">
        <v>144</v>
      </c>
      <c r="B4" s="123" t="s">
        <v>165</v>
      </c>
      <c r="C4" s="123">
        <v>107.0</v>
      </c>
      <c r="D4" s="123" t="s">
        <v>146</v>
      </c>
      <c r="E4" s="123" t="s">
        <v>147</v>
      </c>
      <c r="F4" s="123" t="s">
        <v>166</v>
      </c>
      <c r="G4" s="124"/>
      <c r="H4" s="123" t="s">
        <v>149</v>
      </c>
      <c r="I4" s="123" t="s">
        <v>2</v>
      </c>
      <c r="J4" s="123" t="s">
        <v>150</v>
      </c>
      <c r="K4" s="123" t="s">
        <v>151</v>
      </c>
      <c r="L4" s="123" t="s">
        <v>152</v>
      </c>
      <c r="M4" s="124"/>
      <c r="N4" s="124"/>
      <c r="O4" s="125">
        <v>46142.0</v>
      </c>
      <c r="P4" s="123" t="s">
        <v>167</v>
      </c>
      <c r="Q4" s="123">
        <v>2.7210352E7</v>
      </c>
      <c r="R4" s="125">
        <v>46142.0</v>
      </c>
      <c r="S4" s="123" t="s">
        <v>154</v>
      </c>
      <c r="T4" s="123">
        <v>2889.0</v>
      </c>
      <c r="U4" s="122" t="s">
        <v>168</v>
      </c>
      <c r="V4" s="123" t="s">
        <v>169</v>
      </c>
      <c r="W4" s="123" t="s">
        <v>1</v>
      </c>
      <c r="X4" s="122" t="s">
        <v>170</v>
      </c>
      <c r="Y4" s="124"/>
      <c r="Z4" s="124"/>
      <c r="AA4" s="123">
        <v>379724.0</v>
      </c>
      <c r="AB4" s="123">
        <v>1.0</v>
      </c>
      <c r="AC4" s="123">
        <v>379724.0</v>
      </c>
      <c r="AD4" s="123" t="s">
        <v>157</v>
      </c>
      <c r="AE4" s="124"/>
      <c r="AF4" s="123">
        <v>998599.0</v>
      </c>
      <c r="AG4" s="123" t="s">
        <v>158</v>
      </c>
      <c r="AH4" s="124"/>
      <c r="AI4" s="124"/>
      <c r="AJ4" s="123">
        <v>0.0</v>
      </c>
      <c r="AK4" s="123">
        <v>0.0</v>
      </c>
      <c r="AL4" s="123">
        <v>379724.0</v>
      </c>
      <c r="AM4" s="123" t="s">
        <v>159</v>
      </c>
      <c r="AN4" s="123">
        <v>18.0</v>
      </c>
      <c r="AO4" s="122">
        <v>0.0</v>
      </c>
      <c r="AP4" s="123">
        <v>0.0</v>
      </c>
      <c r="AQ4" s="123">
        <v>68350.32</v>
      </c>
      <c r="AR4" s="123">
        <v>0.0</v>
      </c>
      <c r="AS4" s="123">
        <v>0.0</v>
      </c>
      <c r="AT4" s="123">
        <v>0.0</v>
      </c>
      <c r="AU4" s="123">
        <v>0.0</v>
      </c>
      <c r="AV4" s="123">
        <v>0.0</v>
      </c>
      <c r="AW4" s="124"/>
      <c r="AX4" s="124"/>
      <c r="AY4" s="123">
        <v>0.0</v>
      </c>
      <c r="AZ4" s="123">
        <v>448074.32</v>
      </c>
      <c r="BA4" s="123" t="s">
        <v>20</v>
      </c>
      <c r="BB4" s="123" t="s">
        <v>31</v>
      </c>
      <c r="BC4" s="123" t="s">
        <v>160</v>
      </c>
      <c r="BD4" s="123" t="s">
        <v>166</v>
      </c>
      <c r="BE4" s="123" t="s">
        <v>161</v>
      </c>
      <c r="BF4" s="123" t="s">
        <v>162</v>
      </c>
      <c r="BG4" s="124"/>
      <c r="BH4" s="124"/>
      <c r="BI4" s="123" t="s">
        <v>171</v>
      </c>
      <c r="BJ4" s="172">
        <v>46142.61597222222</v>
      </c>
      <c r="BK4" s="171" t="s">
        <v>164</v>
      </c>
    </row>
    <row r="5" ht="14.25" customHeight="1">
      <c r="A5" s="122" t="s">
        <v>144</v>
      </c>
      <c r="B5" s="123" t="s">
        <v>172</v>
      </c>
      <c r="C5" s="123">
        <v>107.0</v>
      </c>
      <c r="D5" s="123" t="s">
        <v>146</v>
      </c>
      <c r="E5" s="123" t="s">
        <v>147</v>
      </c>
      <c r="F5" s="123" t="s">
        <v>173</v>
      </c>
      <c r="G5" s="124"/>
      <c r="H5" s="123" t="s">
        <v>149</v>
      </c>
      <c r="I5" s="123" t="s">
        <v>2</v>
      </c>
      <c r="J5" s="123" t="s">
        <v>150</v>
      </c>
      <c r="K5" s="123" t="s">
        <v>151</v>
      </c>
      <c r="L5" s="123" t="s">
        <v>152</v>
      </c>
      <c r="M5" s="124"/>
      <c r="N5" s="124"/>
      <c r="O5" s="125">
        <v>46142.0</v>
      </c>
      <c r="P5" s="123" t="s">
        <v>174</v>
      </c>
      <c r="Q5" s="123">
        <v>2.7210294E7</v>
      </c>
      <c r="R5" s="125">
        <v>46142.0</v>
      </c>
      <c r="S5" s="123" t="s">
        <v>154</v>
      </c>
      <c r="T5" s="123">
        <v>445076.0</v>
      </c>
      <c r="U5" s="122" t="s">
        <v>175</v>
      </c>
      <c r="V5" s="123" t="s">
        <v>176</v>
      </c>
      <c r="W5" s="123" t="s">
        <v>1</v>
      </c>
      <c r="X5" s="122" t="s">
        <v>177</v>
      </c>
      <c r="Y5" s="124"/>
      <c r="Z5" s="124"/>
      <c r="AA5" s="123">
        <v>621770.0</v>
      </c>
      <c r="AB5" s="123">
        <v>1.0</v>
      </c>
      <c r="AC5" s="123">
        <v>621770.0</v>
      </c>
      <c r="AD5" s="123" t="s">
        <v>157</v>
      </c>
      <c r="AE5" s="124"/>
      <c r="AF5" s="123">
        <v>998599.0</v>
      </c>
      <c r="AG5" s="123" t="s">
        <v>158</v>
      </c>
      <c r="AH5" s="124"/>
      <c r="AI5" s="124"/>
      <c r="AJ5" s="123">
        <v>0.0</v>
      </c>
      <c r="AK5" s="123">
        <v>0.0</v>
      </c>
      <c r="AL5" s="123">
        <v>621770.0</v>
      </c>
      <c r="AM5" s="123" t="s">
        <v>159</v>
      </c>
      <c r="AN5" s="123">
        <v>18.0</v>
      </c>
      <c r="AO5" s="122">
        <v>0.0</v>
      </c>
      <c r="AP5" s="123">
        <v>0.0</v>
      </c>
      <c r="AQ5" s="123">
        <v>111918.6</v>
      </c>
      <c r="AR5" s="123">
        <v>0.0</v>
      </c>
      <c r="AS5" s="123">
        <v>0.0</v>
      </c>
      <c r="AT5" s="123">
        <v>0.0</v>
      </c>
      <c r="AU5" s="123">
        <v>0.0</v>
      </c>
      <c r="AV5" s="123">
        <v>0.0</v>
      </c>
      <c r="AW5" s="124"/>
      <c r="AX5" s="124"/>
      <c r="AY5" s="123">
        <v>0.0</v>
      </c>
      <c r="AZ5" s="123">
        <v>733688.6</v>
      </c>
      <c r="BA5" s="123" t="s">
        <v>20</v>
      </c>
      <c r="BB5" s="123" t="s">
        <v>31</v>
      </c>
      <c r="BC5" s="123" t="s">
        <v>160</v>
      </c>
      <c r="BD5" s="123" t="s">
        <v>173</v>
      </c>
      <c r="BE5" s="123" t="s">
        <v>161</v>
      </c>
      <c r="BF5" s="123" t="s">
        <v>162</v>
      </c>
      <c r="BG5" s="124"/>
      <c r="BH5" s="124"/>
      <c r="BI5" s="123" t="s">
        <v>178</v>
      </c>
      <c r="BJ5" s="172">
        <v>46142.59513888889</v>
      </c>
      <c r="BK5" s="171" t="s">
        <v>164</v>
      </c>
    </row>
    <row r="6" ht="14.25" customHeight="1">
      <c r="A6" s="122" t="s">
        <v>144</v>
      </c>
      <c r="B6" s="123" t="s">
        <v>179</v>
      </c>
      <c r="C6" s="123">
        <v>107.0</v>
      </c>
      <c r="D6" s="123" t="s">
        <v>146</v>
      </c>
      <c r="E6" s="123" t="s">
        <v>147</v>
      </c>
      <c r="F6" s="123" t="s">
        <v>180</v>
      </c>
      <c r="G6" s="124"/>
      <c r="H6" s="123" t="s">
        <v>149</v>
      </c>
      <c r="I6" s="123" t="s">
        <v>2</v>
      </c>
      <c r="J6" s="123" t="s">
        <v>150</v>
      </c>
      <c r="K6" s="123" t="s">
        <v>151</v>
      </c>
      <c r="L6" s="123" t="s">
        <v>152</v>
      </c>
      <c r="M6" s="124"/>
      <c r="N6" s="124"/>
      <c r="O6" s="125">
        <v>46141.0</v>
      </c>
      <c r="P6" s="123" t="s">
        <v>181</v>
      </c>
      <c r="Q6" s="123">
        <v>2.7208567E7</v>
      </c>
      <c r="R6" s="125">
        <v>46141.0</v>
      </c>
      <c r="S6" s="123" t="s">
        <v>154</v>
      </c>
      <c r="T6" s="123">
        <v>866092.0</v>
      </c>
      <c r="U6" s="122" t="s">
        <v>182</v>
      </c>
      <c r="V6" s="123" t="s">
        <v>183</v>
      </c>
      <c r="W6" s="123" t="s">
        <v>1</v>
      </c>
      <c r="X6" s="122" t="s">
        <v>184</v>
      </c>
      <c r="Y6" s="124"/>
      <c r="Z6" s="124"/>
      <c r="AA6" s="123">
        <v>3100.0</v>
      </c>
      <c r="AB6" s="123">
        <v>1.0</v>
      </c>
      <c r="AC6" s="123">
        <v>3100.0</v>
      </c>
      <c r="AD6" s="123" t="s">
        <v>157</v>
      </c>
      <c r="AE6" s="124"/>
      <c r="AF6" s="123">
        <v>997212.0</v>
      </c>
      <c r="AG6" s="123" t="s">
        <v>185</v>
      </c>
      <c r="AH6" s="124"/>
      <c r="AI6" s="124"/>
      <c r="AJ6" s="123">
        <v>0.0</v>
      </c>
      <c r="AK6" s="123">
        <v>0.0</v>
      </c>
      <c r="AL6" s="123">
        <v>3100.0</v>
      </c>
      <c r="AM6" s="123" t="s">
        <v>159</v>
      </c>
      <c r="AN6" s="123">
        <v>18.0</v>
      </c>
      <c r="AO6" s="122">
        <v>279.0</v>
      </c>
      <c r="AP6" s="123">
        <v>279.0</v>
      </c>
      <c r="AQ6" s="123">
        <v>0.0</v>
      </c>
      <c r="AR6" s="123">
        <v>0.0</v>
      </c>
      <c r="AS6" s="123">
        <v>0.0</v>
      </c>
      <c r="AT6" s="123">
        <v>0.0</v>
      </c>
      <c r="AU6" s="123">
        <v>0.0</v>
      </c>
      <c r="AV6" s="123">
        <v>0.0</v>
      </c>
      <c r="AW6" s="124"/>
      <c r="AX6" s="124"/>
      <c r="AY6" s="123">
        <v>0.0</v>
      </c>
      <c r="AZ6" s="123">
        <v>3658.0</v>
      </c>
      <c r="BA6" s="123" t="s">
        <v>20</v>
      </c>
      <c r="BB6" s="123" t="s">
        <v>31</v>
      </c>
      <c r="BC6" s="123" t="s">
        <v>186</v>
      </c>
      <c r="BD6" s="123" t="s">
        <v>180</v>
      </c>
      <c r="BE6" s="123" t="s">
        <v>187</v>
      </c>
      <c r="BF6" s="123" t="s">
        <v>162</v>
      </c>
      <c r="BG6" s="124"/>
      <c r="BH6" s="124"/>
      <c r="BI6" s="123" t="s">
        <v>188</v>
      </c>
      <c r="BJ6" s="172">
        <v>46141.665972222225</v>
      </c>
      <c r="BK6" s="171" t="s">
        <v>164</v>
      </c>
    </row>
    <row r="7" ht="14.25" customHeight="1">
      <c r="A7" s="122" t="s">
        <v>144</v>
      </c>
      <c r="B7" s="123" t="s">
        <v>189</v>
      </c>
      <c r="C7" s="123">
        <v>107.0</v>
      </c>
      <c r="D7" s="123" t="s">
        <v>146</v>
      </c>
      <c r="E7" s="123" t="s">
        <v>147</v>
      </c>
      <c r="F7" s="123" t="s">
        <v>190</v>
      </c>
      <c r="G7" s="124"/>
      <c r="H7" s="123" t="s">
        <v>149</v>
      </c>
      <c r="I7" s="123" t="s">
        <v>2</v>
      </c>
      <c r="J7" s="123" t="s">
        <v>150</v>
      </c>
      <c r="K7" s="123" t="s">
        <v>151</v>
      </c>
      <c r="L7" s="123" t="s">
        <v>152</v>
      </c>
      <c r="M7" s="124"/>
      <c r="N7" s="124"/>
      <c r="O7" s="125">
        <v>46135.0</v>
      </c>
      <c r="P7" s="123" t="s">
        <v>191</v>
      </c>
      <c r="Q7" s="123">
        <v>2.720071E7</v>
      </c>
      <c r="R7" s="125">
        <v>46135.0</v>
      </c>
      <c r="S7" s="123" t="s">
        <v>154</v>
      </c>
      <c r="T7" s="123">
        <v>1242122.0</v>
      </c>
      <c r="U7" s="122" t="s">
        <v>192</v>
      </c>
      <c r="V7" s="123" t="s">
        <v>193</v>
      </c>
      <c r="W7" s="123" t="s">
        <v>1</v>
      </c>
      <c r="X7" s="122" t="s">
        <v>194</v>
      </c>
      <c r="Y7" s="124"/>
      <c r="Z7" s="124"/>
      <c r="AA7" s="123">
        <v>2069542.0</v>
      </c>
      <c r="AB7" s="123">
        <v>1.0</v>
      </c>
      <c r="AC7" s="123">
        <v>2069542.0</v>
      </c>
      <c r="AD7" s="123" t="s">
        <v>157</v>
      </c>
      <c r="AE7" s="124"/>
      <c r="AF7" s="123">
        <v>998371.0</v>
      </c>
      <c r="AG7" s="123" t="s">
        <v>195</v>
      </c>
      <c r="AH7" s="124"/>
      <c r="AI7" s="124"/>
      <c r="AJ7" s="123">
        <v>0.0</v>
      </c>
      <c r="AK7" s="123">
        <v>0.0</v>
      </c>
      <c r="AL7" s="123">
        <v>2069542.0</v>
      </c>
      <c r="AM7" s="123" t="s">
        <v>159</v>
      </c>
      <c r="AN7" s="123">
        <v>18.0</v>
      </c>
      <c r="AO7" s="122">
        <v>0.0</v>
      </c>
      <c r="AP7" s="123">
        <v>0.0</v>
      </c>
      <c r="AQ7" s="123">
        <v>372517.56</v>
      </c>
      <c r="AR7" s="123">
        <v>0.0</v>
      </c>
      <c r="AS7" s="123">
        <v>0.0</v>
      </c>
      <c r="AT7" s="123">
        <v>0.0</v>
      </c>
      <c r="AU7" s="123">
        <v>0.0</v>
      </c>
      <c r="AV7" s="123">
        <v>0.0</v>
      </c>
      <c r="AW7" s="124"/>
      <c r="AX7" s="124"/>
      <c r="AY7" s="123">
        <v>0.0</v>
      </c>
      <c r="AZ7" s="123">
        <v>2442059.56</v>
      </c>
      <c r="BA7" s="123" t="s">
        <v>20</v>
      </c>
      <c r="BB7" s="123" t="s">
        <v>31</v>
      </c>
      <c r="BC7" s="123" t="s">
        <v>196</v>
      </c>
      <c r="BD7" s="123" t="s">
        <v>190</v>
      </c>
      <c r="BE7" s="123" t="s">
        <v>161</v>
      </c>
      <c r="BF7" s="123" t="s">
        <v>162</v>
      </c>
      <c r="BG7" s="124"/>
      <c r="BH7" s="124"/>
      <c r="BI7" s="123" t="s">
        <v>197</v>
      </c>
      <c r="BJ7" s="172">
        <v>46135.53680555556</v>
      </c>
      <c r="BK7" s="171" t="s">
        <v>164</v>
      </c>
    </row>
    <row r="8" ht="14.25" customHeight="1">
      <c r="A8" s="122" t="s">
        <v>144</v>
      </c>
      <c r="B8" s="123" t="s">
        <v>198</v>
      </c>
      <c r="C8" s="123">
        <v>107.0</v>
      </c>
      <c r="D8" s="123" t="s">
        <v>146</v>
      </c>
      <c r="E8" s="123" t="s">
        <v>147</v>
      </c>
      <c r="F8" s="123" t="s">
        <v>199</v>
      </c>
      <c r="G8" s="124"/>
      <c r="H8" s="123" t="s">
        <v>149</v>
      </c>
      <c r="I8" s="123" t="s">
        <v>2</v>
      </c>
      <c r="J8" s="123" t="s">
        <v>150</v>
      </c>
      <c r="K8" s="123" t="s">
        <v>151</v>
      </c>
      <c r="L8" s="123" t="s">
        <v>152</v>
      </c>
      <c r="M8" s="124"/>
      <c r="N8" s="124"/>
      <c r="O8" s="125">
        <v>46142.0</v>
      </c>
      <c r="P8" s="123" t="s">
        <v>200</v>
      </c>
      <c r="Q8" s="123">
        <v>2.7210244E7</v>
      </c>
      <c r="R8" s="125">
        <v>46142.0</v>
      </c>
      <c r="S8" s="123" t="s">
        <v>154</v>
      </c>
      <c r="T8" s="123">
        <v>446063.0</v>
      </c>
      <c r="U8" s="122" t="s">
        <v>175</v>
      </c>
      <c r="V8" s="123" t="s">
        <v>201</v>
      </c>
      <c r="W8" s="123" t="s">
        <v>1</v>
      </c>
      <c r="X8" s="122" t="s">
        <v>202</v>
      </c>
      <c r="Y8" s="124"/>
      <c r="Z8" s="124"/>
      <c r="AA8" s="123">
        <v>50230.0</v>
      </c>
      <c r="AB8" s="123">
        <v>1.0</v>
      </c>
      <c r="AC8" s="123">
        <v>50230.0</v>
      </c>
      <c r="AD8" s="123" t="s">
        <v>157</v>
      </c>
      <c r="AE8" s="124"/>
      <c r="AF8" s="123">
        <v>998599.0</v>
      </c>
      <c r="AG8" s="123" t="s">
        <v>158</v>
      </c>
      <c r="AH8" s="124"/>
      <c r="AI8" s="124"/>
      <c r="AJ8" s="123">
        <v>0.0</v>
      </c>
      <c r="AK8" s="123">
        <v>0.0</v>
      </c>
      <c r="AL8" s="123">
        <v>50230.0</v>
      </c>
      <c r="AM8" s="123" t="s">
        <v>159</v>
      </c>
      <c r="AN8" s="123">
        <v>18.0</v>
      </c>
      <c r="AO8" s="122">
        <v>0.0</v>
      </c>
      <c r="AP8" s="123">
        <v>0.0</v>
      </c>
      <c r="AQ8" s="123">
        <v>9041.4</v>
      </c>
      <c r="AR8" s="123">
        <v>0.0</v>
      </c>
      <c r="AS8" s="123">
        <v>0.0</v>
      </c>
      <c r="AT8" s="123">
        <v>0.0</v>
      </c>
      <c r="AU8" s="123">
        <v>0.0</v>
      </c>
      <c r="AV8" s="123">
        <v>0.0</v>
      </c>
      <c r="AW8" s="124"/>
      <c r="AX8" s="124"/>
      <c r="AY8" s="123">
        <v>0.0</v>
      </c>
      <c r="AZ8" s="123">
        <v>59271.4</v>
      </c>
      <c r="BA8" s="123" t="s">
        <v>20</v>
      </c>
      <c r="BB8" s="123" t="s">
        <v>31</v>
      </c>
      <c r="BC8" s="123" t="s">
        <v>160</v>
      </c>
      <c r="BD8" s="123" t="s">
        <v>199</v>
      </c>
      <c r="BE8" s="123" t="s">
        <v>161</v>
      </c>
      <c r="BF8" s="123" t="s">
        <v>162</v>
      </c>
      <c r="BG8" s="124"/>
      <c r="BH8" s="124"/>
      <c r="BI8" s="123" t="s">
        <v>203</v>
      </c>
      <c r="BJ8" s="172">
        <v>46142.55347222222</v>
      </c>
      <c r="BK8" s="171" t="s">
        <v>164</v>
      </c>
    </row>
    <row r="9" ht="14.25" customHeight="1">
      <c r="A9" s="122" t="s">
        <v>144</v>
      </c>
      <c r="B9" s="123" t="s">
        <v>204</v>
      </c>
      <c r="C9" s="123">
        <v>107.0</v>
      </c>
      <c r="D9" s="123" t="s">
        <v>146</v>
      </c>
      <c r="E9" s="123" t="s">
        <v>147</v>
      </c>
      <c r="F9" s="123" t="s">
        <v>205</v>
      </c>
      <c r="G9" s="124"/>
      <c r="H9" s="123" t="s">
        <v>149</v>
      </c>
      <c r="I9" s="123" t="s">
        <v>2</v>
      </c>
      <c r="J9" s="123" t="s">
        <v>150</v>
      </c>
      <c r="K9" s="123" t="s">
        <v>151</v>
      </c>
      <c r="L9" s="123" t="s">
        <v>152</v>
      </c>
      <c r="M9" s="124"/>
      <c r="N9" s="124"/>
      <c r="O9" s="125">
        <v>46142.0</v>
      </c>
      <c r="P9" s="123" t="s">
        <v>206</v>
      </c>
      <c r="Q9" s="123">
        <v>2.7210289E7</v>
      </c>
      <c r="R9" s="125">
        <v>46142.0</v>
      </c>
      <c r="S9" s="123" t="s">
        <v>154</v>
      </c>
      <c r="T9" s="123">
        <v>823087.0</v>
      </c>
      <c r="U9" s="122" t="s">
        <v>207</v>
      </c>
      <c r="V9" s="123" t="s">
        <v>208</v>
      </c>
      <c r="W9" s="123" t="s">
        <v>1</v>
      </c>
      <c r="X9" s="122" t="s">
        <v>209</v>
      </c>
      <c r="Y9" s="124"/>
      <c r="Z9" s="124"/>
      <c r="AA9" s="123">
        <v>465529.0</v>
      </c>
      <c r="AB9" s="123">
        <v>1.0</v>
      </c>
      <c r="AC9" s="123">
        <v>465529.0</v>
      </c>
      <c r="AD9" s="123" t="s">
        <v>157</v>
      </c>
      <c r="AE9" s="124"/>
      <c r="AF9" s="123">
        <v>998599.0</v>
      </c>
      <c r="AG9" s="123" t="s">
        <v>158</v>
      </c>
      <c r="AH9" s="124"/>
      <c r="AI9" s="124"/>
      <c r="AJ9" s="123">
        <v>0.0</v>
      </c>
      <c r="AK9" s="123">
        <v>0.0</v>
      </c>
      <c r="AL9" s="123">
        <v>465529.0</v>
      </c>
      <c r="AM9" s="123" t="s">
        <v>159</v>
      </c>
      <c r="AN9" s="123">
        <v>18.0</v>
      </c>
      <c r="AO9" s="122">
        <v>0.0</v>
      </c>
      <c r="AP9" s="123">
        <v>0.0</v>
      </c>
      <c r="AQ9" s="123">
        <v>83795.22</v>
      </c>
      <c r="AR9" s="123">
        <v>0.0</v>
      </c>
      <c r="AS9" s="123">
        <v>0.0</v>
      </c>
      <c r="AT9" s="123">
        <v>0.0</v>
      </c>
      <c r="AU9" s="123">
        <v>0.0</v>
      </c>
      <c r="AV9" s="123">
        <v>0.0</v>
      </c>
      <c r="AW9" s="124"/>
      <c r="AX9" s="124"/>
      <c r="AY9" s="123">
        <v>0.0</v>
      </c>
      <c r="AZ9" s="123">
        <v>549324.22</v>
      </c>
      <c r="BA9" s="123" t="s">
        <v>20</v>
      </c>
      <c r="BB9" s="123" t="s">
        <v>31</v>
      </c>
      <c r="BC9" s="123" t="s">
        <v>160</v>
      </c>
      <c r="BD9" s="123" t="s">
        <v>205</v>
      </c>
      <c r="BE9" s="123" t="s">
        <v>161</v>
      </c>
      <c r="BF9" s="123" t="s">
        <v>162</v>
      </c>
      <c r="BG9" s="124"/>
      <c r="BH9" s="124"/>
      <c r="BI9" s="123" t="s">
        <v>210</v>
      </c>
      <c r="BJ9" s="172">
        <v>46142.586805555555</v>
      </c>
      <c r="BK9" s="171" t="s">
        <v>164</v>
      </c>
    </row>
    <row r="10" ht="14.25" customHeight="1">
      <c r="A10" s="122" t="s">
        <v>144</v>
      </c>
      <c r="B10" s="123" t="s">
        <v>211</v>
      </c>
      <c r="C10" s="123">
        <v>107.0</v>
      </c>
      <c r="D10" s="123" t="s">
        <v>146</v>
      </c>
      <c r="E10" s="123" t="s">
        <v>147</v>
      </c>
      <c r="F10" s="123" t="s">
        <v>212</v>
      </c>
      <c r="G10" s="124"/>
      <c r="H10" s="123" t="s">
        <v>149</v>
      </c>
      <c r="I10" s="123" t="s">
        <v>2</v>
      </c>
      <c r="J10" s="123" t="s">
        <v>150</v>
      </c>
      <c r="K10" s="123" t="s">
        <v>151</v>
      </c>
      <c r="L10" s="123" t="s">
        <v>152</v>
      </c>
      <c r="M10" s="124"/>
      <c r="N10" s="124"/>
      <c r="O10" s="125">
        <v>46142.0</v>
      </c>
      <c r="P10" s="123" t="s">
        <v>213</v>
      </c>
      <c r="Q10" s="123">
        <v>2.721034E7</v>
      </c>
      <c r="R10" s="125">
        <v>46142.0</v>
      </c>
      <c r="S10" s="123" t="s">
        <v>154</v>
      </c>
      <c r="T10" s="123">
        <v>2892.0</v>
      </c>
      <c r="U10" s="122" t="s">
        <v>214</v>
      </c>
      <c r="V10" s="123" t="s">
        <v>215</v>
      </c>
      <c r="W10" s="123" t="s">
        <v>1</v>
      </c>
      <c r="X10" s="122" t="s">
        <v>216</v>
      </c>
      <c r="Y10" s="124"/>
      <c r="Z10" s="124"/>
      <c r="AA10" s="123">
        <v>1057196.0</v>
      </c>
      <c r="AB10" s="123">
        <v>1.0</v>
      </c>
      <c r="AC10" s="123">
        <v>1057196.0</v>
      </c>
      <c r="AD10" s="123" t="s">
        <v>157</v>
      </c>
      <c r="AE10" s="124"/>
      <c r="AF10" s="123">
        <v>998599.0</v>
      </c>
      <c r="AG10" s="123" t="s">
        <v>158</v>
      </c>
      <c r="AH10" s="124"/>
      <c r="AI10" s="124"/>
      <c r="AJ10" s="123">
        <v>0.0</v>
      </c>
      <c r="AK10" s="123">
        <v>0.0</v>
      </c>
      <c r="AL10" s="123">
        <v>1057196.0</v>
      </c>
      <c r="AM10" s="123" t="s">
        <v>159</v>
      </c>
      <c r="AN10" s="123">
        <v>18.0</v>
      </c>
      <c r="AO10" s="122">
        <v>0.0</v>
      </c>
      <c r="AP10" s="123">
        <v>0.0</v>
      </c>
      <c r="AQ10" s="123">
        <v>190295.28</v>
      </c>
      <c r="AR10" s="123">
        <v>0.0</v>
      </c>
      <c r="AS10" s="123">
        <v>0.0</v>
      </c>
      <c r="AT10" s="123">
        <v>0.0</v>
      </c>
      <c r="AU10" s="123">
        <v>0.0</v>
      </c>
      <c r="AV10" s="123">
        <v>0.0</v>
      </c>
      <c r="AW10" s="124"/>
      <c r="AX10" s="124"/>
      <c r="AY10" s="123">
        <v>0.0</v>
      </c>
      <c r="AZ10" s="123">
        <v>1247491.28</v>
      </c>
      <c r="BA10" s="123" t="s">
        <v>20</v>
      </c>
      <c r="BB10" s="123" t="s">
        <v>31</v>
      </c>
      <c r="BC10" s="123" t="s">
        <v>160</v>
      </c>
      <c r="BD10" s="123" t="s">
        <v>212</v>
      </c>
      <c r="BE10" s="123" t="s">
        <v>161</v>
      </c>
      <c r="BF10" s="123" t="s">
        <v>162</v>
      </c>
      <c r="BG10" s="124"/>
      <c r="BH10" s="124"/>
      <c r="BI10" s="123" t="s">
        <v>217</v>
      </c>
      <c r="BJ10" s="172">
        <v>46142.60763888889</v>
      </c>
      <c r="BK10" s="171" t="s">
        <v>164</v>
      </c>
    </row>
    <row r="11" ht="14.25" customHeight="1">
      <c r="A11" s="122" t="s">
        <v>144</v>
      </c>
      <c r="B11" s="123" t="s">
        <v>218</v>
      </c>
      <c r="C11" s="123">
        <v>107.0</v>
      </c>
      <c r="D11" s="123" t="s">
        <v>146</v>
      </c>
      <c r="E11" s="123" t="s">
        <v>147</v>
      </c>
      <c r="F11" s="123" t="s">
        <v>219</v>
      </c>
      <c r="G11" s="124"/>
      <c r="H11" s="123" t="s">
        <v>149</v>
      </c>
      <c r="I11" s="123" t="s">
        <v>2</v>
      </c>
      <c r="J11" s="123" t="s">
        <v>150</v>
      </c>
      <c r="K11" s="123" t="s">
        <v>151</v>
      </c>
      <c r="L11" s="123" t="s">
        <v>152</v>
      </c>
      <c r="M11" s="124"/>
      <c r="N11" s="124"/>
      <c r="O11" s="125">
        <v>46142.0</v>
      </c>
      <c r="P11" s="123" t="s">
        <v>220</v>
      </c>
      <c r="Q11" s="123">
        <v>2.7210504E7</v>
      </c>
      <c r="R11" s="125">
        <v>46142.0</v>
      </c>
      <c r="S11" s="123" t="s">
        <v>154</v>
      </c>
      <c r="T11" s="123">
        <v>1006109.0</v>
      </c>
      <c r="U11" s="122" t="s">
        <v>221</v>
      </c>
      <c r="V11" s="123" t="s">
        <v>222</v>
      </c>
      <c r="W11" s="123" t="s">
        <v>1</v>
      </c>
      <c r="X11" s="122" t="s">
        <v>223</v>
      </c>
      <c r="Y11" s="124"/>
      <c r="Z11" s="124"/>
      <c r="AA11" s="123">
        <v>641574.0</v>
      </c>
      <c r="AB11" s="123">
        <v>1.0</v>
      </c>
      <c r="AC11" s="123">
        <v>641574.0</v>
      </c>
      <c r="AD11" s="123" t="s">
        <v>157</v>
      </c>
      <c r="AE11" s="124"/>
      <c r="AF11" s="123">
        <v>998599.0</v>
      </c>
      <c r="AG11" s="123" t="s">
        <v>158</v>
      </c>
      <c r="AH11" s="124"/>
      <c r="AI11" s="124"/>
      <c r="AJ11" s="123">
        <v>0.0</v>
      </c>
      <c r="AK11" s="123">
        <v>0.0</v>
      </c>
      <c r="AL11" s="123">
        <v>641574.0</v>
      </c>
      <c r="AM11" s="123" t="s">
        <v>159</v>
      </c>
      <c r="AN11" s="123">
        <v>18.0</v>
      </c>
      <c r="AO11" s="122">
        <v>0.0</v>
      </c>
      <c r="AP11" s="123">
        <v>0.0</v>
      </c>
      <c r="AQ11" s="123">
        <v>115483.32</v>
      </c>
      <c r="AR11" s="123">
        <v>0.0</v>
      </c>
      <c r="AS11" s="123">
        <v>0.0</v>
      </c>
      <c r="AT11" s="123">
        <v>0.0</v>
      </c>
      <c r="AU11" s="123">
        <v>0.0</v>
      </c>
      <c r="AV11" s="123">
        <v>0.0</v>
      </c>
      <c r="AW11" s="124"/>
      <c r="AX11" s="124"/>
      <c r="AY11" s="123">
        <v>0.0</v>
      </c>
      <c r="AZ11" s="123">
        <v>757057.32</v>
      </c>
      <c r="BA11" s="123" t="s">
        <v>20</v>
      </c>
      <c r="BB11" s="123" t="s">
        <v>31</v>
      </c>
      <c r="BC11" s="123" t="s">
        <v>160</v>
      </c>
      <c r="BD11" s="123" t="s">
        <v>219</v>
      </c>
      <c r="BE11" s="123" t="s">
        <v>161</v>
      </c>
      <c r="BF11" s="123" t="s">
        <v>162</v>
      </c>
      <c r="BG11" s="124"/>
      <c r="BH11" s="124"/>
      <c r="BI11" s="123" t="s">
        <v>224</v>
      </c>
      <c r="BJ11" s="172">
        <v>46142.663888888885</v>
      </c>
      <c r="BK11" s="171" t="s">
        <v>164</v>
      </c>
    </row>
    <row r="12" ht="14.25" customHeight="1">
      <c r="A12" s="122" t="s">
        <v>144</v>
      </c>
      <c r="B12" s="123" t="s">
        <v>225</v>
      </c>
      <c r="C12" s="123">
        <v>107.0</v>
      </c>
      <c r="D12" s="123" t="s">
        <v>146</v>
      </c>
      <c r="E12" s="123" t="s">
        <v>147</v>
      </c>
      <c r="F12" s="123" t="s">
        <v>226</v>
      </c>
      <c r="G12" s="124"/>
      <c r="H12" s="123" t="s">
        <v>149</v>
      </c>
      <c r="I12" s="123" t="s">
        <v>2</v>
      </c>
      <c r="J12" s="123" t="s">
        <v>150</v>
      </c>
      <c r="K12" s="123" t="s">
        <v>151</v>
      </c>
      <c r="L12" s="123" t="s">
        <v>152</v>
      </c>
      <c r="M12" s="124"/>
      <c r="N12" s="124"/>
      <c r="O12" s="125">
        <v>46141.0</v>
      </c>
      <c r="P12" s="123" t="s">
        <v>227</v>
      </c>
      <c r="Q12" s="123">
        <v>2.7208564E7</v>
      </c>
      <c r="R12" s="125">
        <v>46141.0</v>
      </c>
      <c r="S12" s="123" t="s">
        <v>154</v>
      </c>
      <c r="T12" s="123">
        <v>5137.0</v>
      </c>
      <c r="U12" s="122" t="s">
        <v>228</v>
      </c>
      <c r="V12" s="123" t="s">
        <v>229</v>
      </c>
      <c r="W12" s="123" t="s">
        <v>1</v>
      </c>
      <c r="X12" s="122" t="s">
        <v>230</v>
      </c>
      <c r="Y12" s="124"/>
      <c r="Z12" s="124"/>
      <c r="AA12" s="123">
        <v>246500.0</v>
      </c>
      <c r="AB12" s="123">
        <v>1.0</v>
      </c>
      <c r="AC12" s="123">
        <v>246500.0</v>
      </c>
      <c r="AD12" s="123" t="s">
        <v>157</v>
      </c>
      <c r="AE12" s="124"/>
      <c r="AF12" s="123">
        <v>997212.0</v>
      </c>
      <c r="AG12" s="123" t="s">
        <v>231</v>
      </c>
      <c r="AH12" s="124"/>
      <c r="AI12" s="124"/>
      <c r="AJ12" s="123">
        <v>0.0</v>
      </c>
      <c r="AK12" s="123">
        <v>0.0</v>
      </c>
      <c r="AL12" s="123">
        <v>246500.0</v>
      </c>
      <c r="AM12" s="123" t="s">
        <v>159</v>
      </c>
      <c r="AN12" s="123">
        <v>18.0</v>
      </c>
      <c r="AO12" s="122">
        <v>22185.0</v>
      </c>
      <c r="AP12" s="123">
        <v>22185.0</v>
      </c>
      <c r="AQ12" s="123">
        <v>0.0</v>
      </c>
      <c r="AR12" s="123">
        <v>0.0</v>
      </c>
      <c r="AS12" s="123">
        <v>0.0</v>
      </c>
      <c r="AT12" s="123">
        <v>0.0</v>
      </c>
      <c r="AU12" s="123">
        <v>0.0</v>
      </c>
      <c r="AV12" s="123">
        <v>0.0</v>
      </c>
      <c r="AW12" s="124"/>
      <c r="AX12" s="124"/>
      <c r="AY12" s="123">
        <v>0.0</v>
      </c>
      <c r="AZ12" s="123">
        <v>290870.0</v>
      </c>
      <c r="BA12" s="123" t="s">
        <v>20</v>
      </c>
      <c r="BB12" s="123" t="s">
        <v>31</v>
      </c>
      <c r="BC12" s="123" t="s">
        <v>186</v>
      </c>
      <c r="BD12" s="123" t="s">
        <v>226</v>
      </c>
      <c r="BE12" s="123" t="s">
        <v>187</v>
      </c>
      <c r="BF12" s="123" t="s">
        <v>162</v>
      </c>
      <c r="BG12" s="124"/>
      <c r="BH12" s="124"/>
      <c r="BI12" s="123" t="s">
        <v>232</v>
      </c>
      <c r="BJ12" s="172">
        <v>46141.66180555556</v>
      </c>
      <c r="BK12" s="171" t="s">
        <v>164</v>
      </c>
    </row>
    <row r="13" ht="14.25" customHeight="1">
      <c r="A13" s="122" t="s">
        <v>144</v>
      </c>
      <c r="B13" s="123" t="s">
        <v>233</v>
      </c>
      <c r="C13" s="123">
        <v>107.0</v>
      </c>
      <c r="D13" s="123" t="s">
        <v>146</v>
      </c>
      <c r="E13" s="123" t="s">
        <v>147</v>
      </c>
      <c r="F13" s="123" t="s">
        <v>234</v>
      </c>
      <c r="G13" s="124"/>
      <c r="H13" s="123" t="s">
        <v>149</v>
      </c>
      <c r="I13" s="123" t="s">
        <v>2</v>
      </c>
      <c r="J13" s="123" t="s">
        <v>150</v>
      </c>
      <c r="K13" s="123" t="s">
        <v>151</v>
      </c>
      <c r="L13" s="123" t="s">
        <v>152</v>
      </c>
      <c r="M13" s="124"/>
      <c r="N13" s="124"/>
      <c r="O13" s="125">
        <v>46134.0</v>
      </c>
      <c r="P13" s="123" t="s">
        <v>235</v>
      </c>
      <c r="Q13" s="123">
        <v>2.7198626E7</v>
      </c>
      <c r="R13" s="125">
        <v>46134.0</v>
      </c>
      <c r="S13" s="123" t="s">
        <v>154</v>
      </c>
      <c r="T13" s="123">
        <v>1242122.0</v>
      </c>
      <c r="U13" s="122" t="s">
        <v>192</v>
      </c>
      <c r="V13" s="123" t="s">
        <v>193</v>
      </c>
      <c r="W13" s="123" t="s">
        <v>1</v>
      </c>
      <c r="X13" s="122" t="s">
        <v>194</v>
      </c>
      <c r="Y13" s="124"/>
      <c r="Z13" s="124"/>
      <c r="AA13" s="123">
        <v>2985024.0</v>
      </c>
      <c r="AB13" s="123">
        <v>1.0</v>
      </c>
      <c r="AC13" s="123">
        <v>2985024.0</v>
      </c>
      <c r="AD13" s="123" t="s">
        <v>157</v>
      </c>
      <c r="AE13" s="124"/>
      <c r="AF13" s="123">
        <v>998371.0</v>
      </c>
      <c r="AG13" s="123" t="s">
        <v>236</v>
      </c>
      <c r="AH13" s="124"/>
      <c r="AI13" s="124"/>
      <c r="AJ13" s="123">
        <v>0.0</v>
      </c>
      <c r="AK13" s="123">
        <v>0.0</v>
      </c>
      <c r="AL13" s="123">
        <v>2985024.0</v>
      </c>
      <c r="AM13" s="123" t="s">
        <v>159</v>
      </c>
      <c r="AN13" s="123">
        <v>18.0</v>
      </c>
      <c r="AO13" s="122">
        <v>0.0</v>
      </c>
      <c r="AP13" s="123">
        <v>0.0</v>
      </c>
      <c r="AQ13" s="123">
        <v>537304.32</v>
      </c>
      <c r="AR13" s="123">
        <v>0.0</v>
      </c>
      <c r="AS13" s="123">
        <v>0.0</v>
      </c>
      <c r="AT13" s="123">
        <v>0.0</v>
      </c>
      <c r="AU13" s="123">
        <v>0.0</v>
      </c>
      <c r="AV13" s="123">
        <v>0.0</v>
      </c>
      <c r="AW13" s="124"/>
      <c r="AX13" s="124"/>
      <c r="AY13" s="123">
        <v>0.0</v>
      </c>
      <c r="AZ13" s="123">
        <v>3522328.32</v>
      </c>
      <c r="BA13" s="123" t="s">
        <v>20</v>
      </c>
      <c r="BB13" s="123" t="s">
        <v>31</v>
      </c>
      <c r="BC13" s="123" t="s">
        <v>196</v>
      </c>
      <c r="BD13" s="123" t="s">
        <v>234</v>
      </c>
      <c r="BE13" s="123" t="s">
        <v>161</v>
      </c>
      <c r="BF13" s="123" t="s">
        <v>162</v>
      </c>
      <c r="BG13" s="124"/>
      <c r="BH13" s="124"/>
      <c r="BI13" s="123" t="s">
        <v>237</v>
      </c>
      <c r="BJ13" s="172">
        <v>46134.63055555556</v>
      </c>
      <c r="BK13" s="171" t="s">
        <v>164</v>
      </c>
    </row>
    <row r="14" ht="14.25" customHeight="1">
      <c r="A14" s="122" t="s">
        <v>238</v>
      </c>
      <c r="B14" s="123" t="s">
        <v>239</v>
      </c>
      <c r="C14" s="123">
        <v>107.0</v>
      </c>
      <c r="D14" s="123" t="s">
        <v>146</v>
      </c>
      <c r="E14" s="123" t="s">
        <v>147</v>
      </c>
      <c r="F14" s="123" t="s">
        <v>240</v>
      </c>
      <c r="G14" s="124"/>
      <c r="H14" s="123" t="s">
        <v>149</v>
      </c>
      <c r="I14" s="123" t="s">
        <v>2</v>
      </c>
      <c r="J14" s="123" t="s">
        <v>241</v>
      </c>
      <c r="K14" s="123" t="s">
        <v>242</v>
      </c>
      <c r="L14" s="123" t="s">
        <v>243</v>
      </c>
      <c r="M14" s="123" t="s">
        <v>244</v>
      </c>
      <c r="N14" s="123" t="s">
        <v>245</v>
      </c>
      <c r="O14" s="125">
        <v>46142.0</v>
      </c>
      <c r="P14" s="123" t="s">
        <v>246</v>
      </c>
      <c r="Q14" s="123">
        <v>1.08621355E8</v>
      </c>
      <c r="R14" s="125">
        <v>46142.0</v>
      </c>
      <c r="S14" s="123" t="s">
        <v>247</v>
      </c>
      <c r="T14" s="123">
        <v>2894.0</v>
      </c>
      <c r="U14" s="122" t="s">
        <v>248</v>
      </c>
      <c r="V14" s="123" t="s">
        <v>249</v>
      </c>
      <c r="W14" s="124"/>
      <c r="X14" s="122" t="s">
        <v>250</v>
      </c>
      <c r="Y14" s="124"/>
      <c r="Z14" s="124"/>
      <c r="AA14" s="123">
        <v>0.0</v>
      </c>
      <c r="AB14" s="123">
        <v>0.0</v>
      </c>
      <c r="AC14" s="123">
        <v>1.561525369E7</v>
      </c>
      <c r="AD14" s="123" t="s">
        <v>157</v>
      </c>
      <c r="AE14" s="123" t="s">
        <v>251</v>
      </c>
      <c r="AF14" s="123">
        <v>998346.0</v>
      </c>
      <c r="AG14" s="123" t="s">
        <v>251</v>
      </c>
      <c r="AH14" s="124"/>
      <c r="AI14" s="124"/>
      <c r="AJ14" s="123">
        <v>0.0</v>
      </c>
      <c r="AK14" s="123">
        <v>0.0</v>
      </c>
      <c r="AL14" s="123">
        <v>1.561525369E7</v>
      </c>
      <c r="AM14" s="123" t="s">
        <v>159</v>
      </c>
      <c r="AN14" s="123">
        <v>18.0</v>
      </c>
      <c r="AO14" s="122">
        <v>1405372.83</v>
      </c>
      <c r="AP14" s="123">
        <v>1405372.83</v>
      </c>
      <c r="AQ14" s="123">
        <v>0.0</v>
      </c>
      <c r="AR14" s="123">
        <v>0.0</v>
      </c>
      <c r="AS14" s="123">
        <v>0.0</v>
      </c>
      <c r="AT14" s="123">
        <v>0.0</v>
      </c>
      <c r="AU14" s="123">
        <v>0.0</v>
      </c>
      <c r="AV14" s="123">
        <v>0.0</v>
      </c>
      <c r="AW14" s="124"/>
      <c r="AX14" s="124"/>
      <c r="AY14" s="123">
        <v>0.0</v>
      </c>
      <c r="AZ14" s="123">
        <v>1.842599935E7</v>
      </c>
      <c r="BA14" s="123" t="s">
        <v>20</v>
      </c>
      <c r="BB14" s="123" t="s">
        <v>31</v>
      </c>
      <c r="BC14" s="123" t="s">
        <v>252</v>
      </c>
      <c r="BD14" s="124"/>
      <c r="BE14" s="124"/>
      <c r="BF14" s="124"/>
      <c r="BG14" s="124"/>
      <c r="BH14" s="124"/>
      <c r="BI14" s="123" t="s">
        <v>253</v>
      </c>
      <c r="BJ14" s="172">
        <v>46142.84305555555</v>
      </c>
      <c r="BK14" s="171" t="s">
        <v>164</v>
      </c>
    </row>
    <row r="15" ht="14.25" customHeight="1">
      <c r="A15" s="122" t="s">
        <v>144</v>
      </c>
      <c r="B15" s="123" t="s">
        <v>254</v>
      </c>
      <c r="C15" s="123">
        <v>107.0</v>
      </c>
      <c r="D15" s="123" t="s">
        <v>146</v>
      </c>
      <c r="E15" s="123" t="s">
        <v>147</v>
      </c>
      <c r="F15" s="123" t="s">
        <v>255</v>
      </c>
      <c r="G15" s="124"/>
      <c r="H15" s="123" t="s">
        <v>149</v>
      </c>
      <c r="I15" s="123" t="s">
        <v>2</v>
      </c>
      <c r="J15" s="123" t="s">
        <v>150</v>
      </c>
      <c r="K15" s="123" t="s">
        <v>151</v>
      </c>
      <c r="L15" s="123" t="s">
        <v>152</v>
      </c>
      <c r="M15" s="124"/>
      <c r="N15" s="124"/>
      <c r="O15" s="125">
        <v>46142.0</v>
      </c>
      <c r="P15" s="123" t="s">
        <v>256</v>
      </c>
      <c r="Q15" s="123">
        <v>2.7210283E7</v>
      </c>
      <c r="R15" s="125">
        <v>46142.0</v>
      </c>
      <c r="S15" s="123" t="s">
        <v>154</v>
      </c>
      <c r="T15" s="123">
        <v>445073.0</v>
      </c>
      <c r="U15" s="122" t="s">
        <v>175</v>
      </c>
      <c r="V15" s="123" t="s">
        <v>257</v>
      </c>
      <c r="W15" s="123" t="s">
        <v>1</v>
      </c>
      <c r="X15" s="122" t="s">
        <v>258</v>
      </c>
      <c r="Y15" s="124"/>
      <c r="Z15" s="124"/>
      <c r="AA15" s="123">
        <v>226700.0</v>
      </c>
      <c r="AB15" s="123">
        <v>1.0</v>
      </c>
      <c r="AC15" s="123">
        <v>226700.0</v>
      </c>
      <c r="AD15" s="123" t="s">
        <v>157</v>
      </c>
      <c r="AE15" s="124"/>
      <c r="AF15" s="123">
        <v>998599.0</v>
      </c>
      <c r="AG15" s="123" t="s">
        <v>158</v>
      </c>
      <c r="AH15" s="124"/>
      <c r="AI15" s="124"/>
      <c r="AJ15" s="123">
        <v>0.0</v>
      </c>
      <c r="AK15" s="123">
        <v>0.0</v>
      </c>
      <c r="AL15" s="123">
        <v>226700.0</v>
      </c>
      <c r="AM15" s="123" t="s">
        <v>159</v>
      </c>
      <c r="AN15" s="123">
        <v>18.0</v>
      </c>
      <c r="AO15" s="122">
        <v>0.0</v>
      </c>
      <c r="AP15" s="123">
        <v>0.0</v>
      </c>
      <c r="AQ15" s="123">
        <v>40806.0</v>
      </c>
      <c r="AR15" s="123">
        <v>0.0</v>
      </c>
      <c r="AS15" s="123">
        <v>0.0</v>
      </c>
      <c r="AT15" s="123">
        <v>0.0</v>
      </c>
      <c r="AU15" s="123">
        <v>0.0</v>
      </c>
      <c r="AV15" s="123">
        <v>0.0</v>
      </c>
      <c r="AW15" s="124"/>
      <c r="AX15" s="124"/>
      <c r="AY15" s="123">
        <v>0.0</v>
      </c>
      <c r="AZ15" s="123">
        <v>267506.0</v>
      </c>
      <c r="BA15" s="123" t="s">
        <v>20</v>
      </c>
      <c r="BB15" s="123" t="s">
        <v>31</v>
      </c>
      <c r="BC15" s="123" t="s">
        <v>160</v>
      </c>
      <c r="BD15" s="123" t="s">
        <v>255</v>
      </c>
      <c r="BE15" s="123" t="s">
        <v>161</v>
      </c>
      <c r="BF15" s="123" t="s">
        <v>162</v>
      </c>
      <c r="BG15" s="124"/>
      <c r="BH15" s="124"/>
      <c r="BI15" s="123" t="s">
        <v>259</v>
      </c>
      <c r="BJ15" s="172">
        <v>46142.58472222222</v>
      </c>
      <c r="BK15" s="171" t="s">
        <v>164</v>
      </c>
    </row>
    <row r="16" ht="14.25" customHeight="1">
      <c r="A16" s="122" t="s">
        <v>144</v>
      </c>
      <c r="B16" s="123" t="s">
        <v>260</v>
      </c>
      <c r="C16" s="123">
        <v>107.0</v>
      </c>
      <c r="D16" s="123" t="s">
        <v>146</v>
      </c>
      <c r="E16" s="123" t="s">
        <v>147</v>
      </c>
      <c r="F16" s="123" t="s">
        <v>261</v>
      </c>
      <c r="G16" s="124"/>
      <c r="H16" s="123" t="s">
        <v>149</v>
      </c>
      <c r="I16" s="123" t="s">
        <v>2</v>
      </c>
      <c r="J16" s="123" t="s">
        <v>150</v>
      </c>
      <c r="K16" s="123" t="s">
        <v>151</v>
      </c>
      <c r="L16" s="123" t="s">
        <v>152</v>
      </c>
      <c r="M16" s="124"/>
      <c r="N16" s="124"/>
      <c r="O16" s="125">
        <v>46113.0</v>
      </c>
      <c r="P16" s="123" t="s">
        <v>262</v>
      </c>
      <c r="Q16" s="123">
        <v>2.7165327E7</v>
      </c>
      <c r="R16" s="125">
        <v>46113.0</v>
      </c>
      <c r="S16" s="123" t="s">
        <v>154</v>
      </c>
      <c r="T16" s="123">
        <v>1044110.0</v>
      </c>
      <c r="U16" s="122" t="s">
        <v>263</v>
      </c>
      <c r="V16" s="123" t="s">
        <v>264</v>
      </c>
      <c r="W16" s="123" t="s">
        <v>1</v>
      </c>
      <c r="X16" s="122" t="s">
        <v>265</v>
      </c>
      <c r="Y16" s="124"/>
      <c r="Z16" s="124"/>
      <c r="AA16" s="123">
        <v>57185.63</v>
      </c>
      <c r="AB16" s="123">
        <v>1.0</v>
      </c>
      <c r="AC16" s="123">
        <v>57185.63</v>
      </c>
      <c r="AD16" s="123" t="s">
        <v>157</v>
      </c>
      <c r="AE16" s="124"/>
      <c r="AF16" s="123">
        <v>8.471301E7</v>
      </c>
      <c r="AG16" s="123" t="s">
        <v>266</v>
      </c>
      <c r="AH16" s="124"/>
      <c r="AI16" s="124"/>
      <c r="AJ16" s="123">
        <v>0.0</v>
      </c>
      <c r="AK16" s="123">
        <v>0.0</v>
      </c>
      <c r="AL16" s="123">
        <v>57185.63</v>
      </c>
      <c r="AM16" s="123" t="s">
        <v>159</v>
      </c>
      <c r="AN16" s="123">
        <v>18.0</v>
      </c>
      <c r="AO16" s="122">
        <v>0.0</v>
      </c>
      <c r="AP16" s="123">
        <v>0.0</v>
      </c>
      <c r="AQ16" s="123">
        <v>10293.41</v>
      </c>
      <c r="AR16" s="123">
        <v>0.0</v>
      </c>
      <c r="AS16" s="123">
        <v>0.0</v>
      </c>
      <c r="AT16" s="123">
        <v>0.0</v>
      </c>
      <c r="AU16" s="123">
        <v>0.0</v>
      </c>
      <c r="AV16" s="123">
        <v>0.0</v>
      </c>
      <c r="AW16" s="124"/>
      <c r="AX16" s="124"/>
      <c r="AY16" s="123">
        <v>0.0</v>
      </c>
      <c r="AZ16" s="123">
        <v>67479.04</v>
      </c>
      <c r="BA16" s="123" t="s">
        <v>20</v>
      </c>
      <c r="BB16" s="123" t="s">
        <v>31</v>
      </c>
      <c r="BC16" s="123" t="s">
        <v>267</v>
      </c>
      <c r="BD16" s="123" t="s">
        <v>261</v>
      </c>
      <c r="BE16" s="123" t="s">
        <v>161</v>
      </c>
      <c r="BF16" s="123" t="s">
        <v>268</v>
      </c>
      <c r="BG16" s="124"/>
      <c r="BH16" s="124"/>
      <c r="BI16" s="123" t="s">
        <v>269</v>
      </c>
      <c r="BJ16" s="172">
        <v>46113.50555555556</v>
      </c>
      <c r="BK16" s="171" t="s">
        <v>164</v>
      </c>
    </row>
    <row r="17" ht="14.25" customHeight="1">
      <c r="A17" s="122" t="s">
        <v>144</v>
      </c>
      <c r="B17" s="123" t="s">
        <v>270</v>
      </c>
      <c r="C17" s="123">
        <v>107.0</v>
      </c>
      <c r="D17" s="123" t="s">
        <v>146</v>
      </c>
      <c r="E17" s="123" t="s">
        <v>147</v>
      </c>
      <c r="F17" s="123" t="s">
        <v>271</v>
      </c>
      <c r="G17" s="124"/>
      <c r="H17" s="123" t="s">
        <v>149</v>
      </c>
      <c r="I17" s="123" t="s">
        <v>2</v>
      </c>
      <c r="J17" s="123" t="s">
        <v>150</v>
      </c>
      <c r="K17" s="123" t="s">
        <v>151</v>
      </c>
      <c r="L17" s="123" t="s">
        <v>152</v>
      </c>
      <c r="M17" s="124"/>
      <c r="N17" s="124"/>
      <c r="O17" s="125">
        <v>46129.0</v>
      </c>
      <c r="P17" s="123" t="s">
        <v>272</v>
      </c>
      <c r="Q17" s="123">
        <v>2.7192922E7</v>
      </c>
      <c r="R17" s="125">
        <v>46129.0</v>
      </c>
      <c r="S17" s="123" t="s">
        <v>154</v>
      </c>
      <c r="T17" s="123">
        <v>469067.0</v>
      </c>
      <c r="U17" s="122" t="s">
        <v>273</v>
      </c>
      <c r="V17" s="123" t="s">
        <v>274</v>
      </c>
      <c r="W17" s="124"/>
      <c r="X17" s="124"/>
      <c r="Y17" s="124"/>
      <c r="Z17" s="124"/>
      <c r="AA17" s="123">
        <v>3375.0</v>
      </c>
      <c r="AB17" s="123">
        <v>1.0</v>
      </c>
      <c r="AC17" s="123">
        <v>3375.0</v>
      </c>
      <c r="AD17" s="123" t="s">
        <v>157</v>
      </c>
      <c r="AE17" s="124"/>
      <c r="AF17" s="123">
        <v>8.471301E7</v>
      </c>
      <c r="AG17" s="123" t="s">
        <v>275</v>
      </c>
      <c r="AH17" s="124"/>
      <c r="AI17" s="124"/>
      <c r="AJ17" s="123">
        <v>0.0</v>
      </c>
      <c r="AK17" s="123">
        <v>0.0</v>
      </c>
      <c r="AL17" s="123">
        <v>13500.0</v>
      </c>
      <c r="AM17" s="123" t="s">
        <v>159</v>
      </c>
      <c r="AN17" s="123">
        <v>18.0</v>
      </c>
      <c r="AO17" s="122">
        <v>1215.0</v>
      </c>
      <c r="AP17" s="123">
        <v>1215.0</v>
      </c>
      <c r="AQ17" s="123">
        <v>0.0</v>
      </c>
      <c r="AR17" s="123">
        <v>0.0</v>
      </c>
      <c r="AS17" s="123">
        <v>0.0</v>
      </c>
      <c r="AT17" s="123">
        <v>0.0</v>
      </c>
      <c r="AU17" s="123">
        <v>0.0</v>
      </c>
      <c r="AV17" s="123">
        <v>0.0</v>
      </c>
      <c r="AW17" s="124"/>
      <c r="AX17" s="124"/>
      <c r="AY17" s="123">
        <v>0.0</v>
      </c>
      <c r="AZ17" s="123">
        <v>5805.0</v>
      </c>
      <c r="BA17" s="123" t="s">
        <v>20</v>
      </c>
      <c r="BB17" s="123" t="s">
        <v>31</v>
      </c>
      <c r="BC17" s="123" t="s">
        <v>276</v>
      </c>
      <c r="BD17" s="123" t="s">
        <v>271</v>
      </c>
      <c r="BE17" s="123" t="s">
        <v>187</v>
      </c>
      <c r="BF17" s="123" t="s">
        <v>268</v>
      </c>
      <c r="BG17" s="124"/>
      <c r="BH17" s="124"/>
      <c r="BI17" s="124"/>
      <c r="BJ17" s="124"/>
      <c r="BK17" s="171" t="s">
        <v>277</v>
      </c>
    </row>
    <row r="18" ht="14.25" customHeight="1">
      <c r="A18" s="122" t="s">
        <v>144</v>
      </c>
      <c r="B18" s="123" t="s">
        <v>278</v>
      </c>
      <c r="C18" s="123">
        <v>107.0</v>
      </c>
      <c r="D18" s="123" t="s">
        <v>146</v>
      </c>
      <c r="E18" s="123" t="s">
        <v>147</v>
      </c>
      <c r="F18" s="123" t="s">
        <v>279</v>
      </c>
      <c r="G18" s="124"/>
      <c r="H18" s="123" t="s">
        <v>149</v>
      </c>
      <c r="I18" s="123" t="s">
        <v>2</v>
      </c>
      <c r="J18" s="123" t="s">
        <v>150</v>
      </c>
      <c r="K18" s="123" t="s">
        <v>151</v>
      </c>
      <c r="L18" s="123" t="s">
        <v>152</v>
      </c>
      <c r="M18" s="124"/>
      <c r="N18" s="124"/>
      <c r="O18" s="125">
        <v>46141.0</v>
      </c>
      <c r="P18" s="123" t="s">
        <v>280</v>
      </c>
      <c r="Q18" s="123">
        <v>2.7208565E7</v>
      </c>
      <c r="R18" s="125">
        <v>46141.0</v>
      </c>
      <c r="S18" s="123" t="s">
        <v>154</v>
      </c>
      <c r="T18" s="123">
        <v>5137.0</v>
      </c>
      <c r="U18" s="122" t="s">
        <v>228</v>
      </c>
      <c r="V18" s="123" t="s">
        <v>229</v>
      </c>
      <c r="W18" s="123" t="s">
        <v>1</v>
      </c>
      <c r="X18" s="122" t="s">
        <v>230</v>
      </c>
      <c r="Y18" s="124"/>
      <c r="Z18" s="124"/>
      <c r="AA18" s="123">
        <v>285000.0</v>
      </c>
      <c r="AB18" s="123">
        <v>1.0</v>
      </c>
      <c r="AC18" s="123">
        <v>285000.0</v>
      </c>
      <c r="AD18" s="123" t="s">
        <v>157</v>
      </c>
      <c r="AE18" s="124"/>
      <c r="AF18" s="123">
        <v>997212.0</v>
      </c>
      <c r="AG18" s="123" t="s">
        <v>281</v>
      </c>
      <c r="AH18" s="124"/>
      <c r="AI18" s="124"/>
      <c r="AJ18" s="123">
        <v>0.0</v>
      </c>
      <c r="AK18" s="123">
        <v>0.0</v>
      </c>
      <c r="AL18" s="123">
        <v>285000.0</v>
      </c>
      <c r="AM18" s="123" t="s">
        <v>159</v>
      </c>
      <c r="AN18" s="123">
        <v>18.0</v>
      </c>
      <c r="AO18" s="122">
        <v>25650.0</v>
      </c>
      <c r="AP18" s="123">
        <v>25650.0</v>
      </c>
      <c r="AQ18" s="123">
        <v>0.0</v>
      </c>
      <c r="AR18" s="123">
        <v>0.0</v>
      </c>
      <c r="AS18" s="123">
        <v>0.0</v>
      </c>
      <c r="AT18" s="123">
        <v>0.0</v>
      </c>
      <c r="AU18" s="123">
        <v>0.0</v>
      </c>
      <c r="AV18" s="123">
        <v>0.0</v>
      </c>
      <c r="AW18" s="124"/>
      <c r="AX18" s="124"/>
      <c r="AY18" s="123">
        <v>0.0</v>
      </c>
      <c r="AZ18" s="123">
        <v>336300.0</v>
      </c>
      <c r="BA18" s="123" t="s">
        <v>20</v>
      </c>
      <c r="BB18" s="123" t="s">
        <v>31</v>
      </c>
      <c r="BC18" s="123" t="s">
        <v>186</v>
      </c>
      <c r="BD18" s="123" t="s">
        <v>279</v>
      </c>
      <c r="BE18" s="123" t="s">
        <v>187</v>
      </c>
      <c r="BF18" s="123" t="s">
        <v>162</v>
      </c>
      <c r="BG18" s="124"/>
      <c r="BH18" s="124"/>
      <c r="BI18" s="123" t="s">
        <v>282</v>
      </c>
      <c r="BJ18" s="172">
        <v>46141.663888888885</v>
      </c>
      <c r="BK18" s="171" t="s">
        <v>164</v>
      </c>
    </row>
    <row r="19" ht="14.25" customHeight="1">
      <c r="A19" s="122" t="s">
        <v>144</v>
      </c>
      <c r="B19" s="123" t="s">
        <v>283</v>
      </c>
      <c r="C19" s="123">
        <v>107.0</v>
      </c>
      <c r="D19" s="123" t="s">
        <v>146</v>
      </c>
      <c r="E19" s="123" t="s">
        <v>147</v>
      </c>
      <c r="F19" s="123" t="s">
        <v>284</v>
      </c>
      <c r="G19" s="124"/>
      <c r="H19" s="123" t="s">
        <v>149</v>
      </c>
      <c r="I19" s="123" t="s">
        <v>2</v>
      </c>
      <c r="J19" s="123" t="s">
        <v>150</v>
      </c>
      <c r="K19" s="123" t="s">
        <v>151</v>
      </c>
      <c r="L19" s="123" t="s">
        <v>152</v>
      </c>
      <c r="M19" s="124"/>
      <c r="N19" s="124"/>
      <c r="O19" s="125">
        <v>46142.0</v>
      </c>
      <c r="P19" s="123" t="s">
        <v>285</v>
      </c>
      <c r="Q19" s="123">
        <v>2.7210282E7</v>
      </c>
      <c r="R19" s="125">
        <v>46142.0</v>
      </c>
      <c r="S19" s="123" t="s">
        <v>154</v>
      </c>
      <c r="T19" s="123">
        <v>3311.0</v>
      </c>
      <c r="U19" s="122" t="s">
        <v>286</v>
      </c>
      <c r="V19" s="123" t="s">
        <v>287</v>
      </c>
      <c r="W19" s="123" t="s">
        <v>1</v>
      </c>
      <c r="X19" s="122" t="s">
        <v>288</v>
      </c>
      <c r="Y19" s="124"/>
      <c r="Z19" s="124"/>
      <c r="AA19" s="123">
        <v>248566.0</v>
      </c>
      <c r="AB19" s="123">
        <v>1.0</v>
      </c>
      <c r="AC19" s="123">
        <v>248566.0</v>
      </c>
      <c r="AD19" s="123" t="s">
        <v>157</v>
      </c>
      <c r="AE19" s="124"/>
      <c r="AF19" s="123">
        <v>998599.0</v>
      </c>
      <c r="AG19" s="123" t="s">
        <v>158</v>
      </c>
      <c r="AH19" s="124"/>
      <c r="AI19" s="124"/>
      <c r="AJ19" s="123">
        <v>0.0</v>
      </c>
      <c r="AK19" s="123">
        <v>0.0</v>
      </c>
      <c r="AL19" s="123">
        <v>248566.0</v>
      </c>
      <c r="AM19" s="123" t="s">
        <v>159</v>
      </c>
      <c r="AN19" s="123">
        <v>18.0</v>
      </c>
      <c r="AO19" s="122">
        <v>0.0</v>
      </c>
      <c r="AP19" s="123">
        <v>0.0</v>
      </c>
      <c r="AQ19" s="123">
        <v>44741.88</v>
      </c>
      <c r="AR19" s="123">
        <v>0.0</v>
      </c>
      <c r="AS19" s="123">
        <v>0.0</v>
      </c>
      <c r="AT19" s="123">
        <v>0.0</v>
      </c>
      <c r="AU19" s="123">
        <v>0.0</v>
      </c>
      <c r="AV19" s="123">
        <v>0.0</v>
      </c>
      <c r="AW19" s="124"/>
      <c r="AX19" s="124"/>
      <c r="AY19" s="123">
        <v>0.0</v>
      </c>
      <c r="AZ19" s="123">
        <v>293307.88</v>
      </c>
      <c r="BA19" s="123" t="s">
        <v>20</v>
      </c>
      <c r="BB19" s="123" t="s">
        <v>31</v>
      </c>
      <c r="BC19" s="123" t="s">
        <v>160</v>
      </c>
      <c r="BD19" s="123" t="s">
        <v>284</v>
      </c>
      <c r="BE19" s="123" t="s">
        <v>161</v>
      </c>
      <c r="BF19" s="123" t="s">
        <v>162</v>
      </c>
      <c r="BG19" s="124"/>
      <c r="BH19" s="124"/>
      <c r="BI19" s="123" t="s">
        <v>289</v>
      </c>
      <c r="BJ19" s="172">
        <v>46142.58263888889</v>
      </c>
      <c r="BK19" s="171" t="s">
        <v>164</v>
      </c>
    </row>
    <row r="20" ht="14.25" customHeight="1">
      <c r="A20" s="122" t="s">
        <v>144</v>
      </c>
      <c r="B20" s="123" t="s">
        <v>290</v>
      </c>
      <c r="C20" s="123">
        <v>107.0</v>
      </c>
      <c r="D20" s="123" t="s">
        <v>146</v>
      </c>
      <c r="E20" s="123" t="s">
        <v>147</v>
      </c>
      <c r="F20" s="123" t="s">
        <v>291</v>
      </c>
      <c r="G20" s="124"/>
      <c r="H20" s="123" t="s">
        <v>149</v>
      </c>
      <c r="I20" s="123" t="s">
        <v>2</v>
      </c>
      <c r="J20" s="123" t="s">
        <v>150</v>
      </c>
      <c r="K20" s="123" t="s">
        <v>151</v>
      </c>
      <c r="L20" s="123" t="s">
        <v>152</v>
      </c>
      <c r="M20" s="124"/>
      <c r="N20" s="124"/>
      <c r="O20" s="125">
        <v>46142.0</v>
      </c>
      <c r="P20" s="123" t="s">
        <v>292</v>
      </c>
      <c r="Q20" s="123">
        <v>2.7210345E7</v>
      </c>
      <c r="R20" s="125">
        <v>46142.0</v>
      </c>
      <c r="S20" s="123" t="s">
        <v>154</v>
      </c>
      <c r="T20" s="123">
        <v>2893.0</v>
      </c>
      <c r="U20" s="122" t="s">
        <v>293</v>
      </c>
      <c r="V20" s="123" t="s">
        <v>294</v>
      </c>
      <c r="W20" s="123" t="s">
        <v>1</v>
      </c>
      <c r="X20" s="122" t="s">
        <v>295</v>
      </c>
      <c r="Y20" s="124"/>
      <c r="Z20" s="124"/>
      <c r="AA20" s="123">
        <v>4288144.0</v>
      </c>
      <c r="AB20" s="123">
        <v>1.0</v>
      </c>
      <c r="AC20" s="123">
        <v>4288144.0</v>
      </c>
      <c r="AD20" s="123" t="s">
        <v>157</v>
      </c>
      <c r="AE20" s="124"/>
      <c r="AF20" s="123">
        <v>998599.0</v>
      </c>
      <c r="AG20" s="123" t="s">
        <v>158</v>
      </c>
      <c r="AH20" s="124"/>
      <c r="AI20" s="124"/>
      <c r="AJ20" s="123">
        <v>0.0</v>
      </c>
      <c r="AK20" s="123">
        <v>0.0</v>
      </c>
      <c r="AL20" s="123">
        <v>4288144.0</v>
      </c>
      <c r="AM20" s="123" t="s">
        <v>159</v>
      </c>
      <c r="AN20" s="123">
        <v>18.0</v>
      </c>
      <c r="AO20" s="122">
        <v>0.0</v>
      </c>
      <c r="AP20" s="123">
        <v>0.0</v>
      </c>
      <c r="AQ20" s="123">
        <v>771865.92</v>
      </c>
      <c r="AR20" s="123">
        <v>0.0</v>
      </c>
      <c r="AS20" s="123">
        <v>0.0</v>
      </c>
      <c r="AT20" s="123">
        <v>0.0</v>
      </c>
      <c r="AU20" s="123">
        <v>0.0</v>
      </c>
      <c r="AV20" s="123">
        <v>0.0</v>
      </c>
      <c r="AW20" s="124"/>
      <c r="AX20" s="124"/>
      <c r="AY20" s="123">
        <v>0.0</v>
      </c>
      <c r="AZ20" s="123">
        <v>5060009.92</v>
      </c>
      <c r="BA20" s="123" t="s">
        <v>20</v>
      </c>
      <c r="BB20" s="123" t="s">
        <v>31</v>
      </c>
      <c r="BC20" s="123" t="s">
        <v>160</v>
      </c>
      <c r="BD20" s="123" t="s">
        <v>291</v>
      </c>
      <c r="BE20" s="123" t="s">
        <v>161</v>
      </c>
      <c r="BF20" s="123" t="s">
        <v>162</v>
      </c>
      <c r="BG20" s="124"/>
      <c r="BH20" s="124"/>
      <c r="BI20" s="123" t="s">
        <v>296</v>
      </c>
      <c r="BJ20" s="172">
        <v>46142.60972222222</v>
      </c>
      <c r="BK20" s="171" t="s">
        <v>164</v>
      </c>
    </row>
    <row r="21" ht="14.25" customHeight="1">
      <c r="A21" s="122" t="s">
        <v>144</v>
      </c>
      <c r="B21" s="123" t="s">
        <v>297</v>
      </c>
      <c r="C21" s="123">
        <v>107.0</v>
      </c>
      <c r="D21" s="123" t="s">
        <v>146</v>
      </c>
      <c r="E21" s="123" t="s">
        <v>147</v>
      </c>
      <c r="F21" s="123" t="s">
        <v>298</v>
      </c>
      <c r="G21" s="124"/>
      <c r="H21" s="123" t="s">
        <v>149</v>
      </c>
      <c r="I21" s="123" t="s">
        <v>2</v>
      </c>
      <c r="J21" s="123" t="s">
        <v>150</v>
      </c>
      <c r="K21" s="123" t="s">
        <v>151</v>
      </c>
      <c r="L21" s="123" t="s">
        <v>152</v>
      </c>
      <c r="M21" s="124"/>
      <c r="N21" s="124"/>
      <c r="O21" s="125">
        <v>46142.0</v>
      </c>
      <c r="P21" s="123" t="s">
        <v>299</v>
      </c>
      <c r="Q21" s="123">
        <v>2.7210281E7</v>
      </c>
      <c r="R21" s="125">
        <v>46142.0</v>
      </c>
      <c r="S21" s="123" t="s">
        <v>154</v>
      </c>
      <c r="T21" s="123">
        <v>445072.0</v>
      </c>
      <c r="U21" s="122" t="s">
        <v>175</v>
      </c>
      <c r="V21" s="123" t="s">
        <v>300</v>
      </c>
      <c r="W21" s="123" t="s">
        <v>1</v>
      </c>
      <c r="X21" s="122" t="s">
        <v>301</v>
      </c>
      <c r="Y21" s="124"/>
      <c r="Z21" s="124"/>
      <c r="AA21" s="123">
        <v>96318.0</v>
      </c>
      <c r="AB21" s="123">
        <v>1.0</v>
      </c>
      <c r="AC21" s="123">
        <v>96318.0</v>
      </c>
      <c r="AD21" s="123" t="s">
        <v>157</v>
      </c>
      <c r="AE21" s="124"/>
      <c r="AF21" s="123">
        <v>998599.0</v>
      </c>
      <c r="AG21" s="123" t="s">
        <v>158</v>
      </c>
      <c r="AH21" s="124"/>
      <c r="AI21" s="124"/>
      <c r="AJ21" s="123">
        <v>0.0</v>
      </c>
      <c r="AK21" s="123">
        <v>0.0</v>
      </c>
      <c r="AL21" s="123">
        <v>96318.0</v>
      </c>
      <c r="AM21" s="123" t="s">
        <v>159</v>
      </c>
      <c r="AN21" s="123">
        <v>18.0</v>
      </c>
      <c r="AO21" s="122">
        <v>0.0</v>
      </c>
      <c r="AP21" s="123">
        <v>0.0</v>
      </c>
      <c r="AQ21" s="123">
        <v>17337.24</v>
      </c>
      <c r="AR21" s="123">
        <v>0.0</v>
      </c>
      <c r="AS21" s="123">
        <v>0.0</v>
      </c>
      <c r="AT21" s="123">
        <v>0.0</v>
      </c>
      <c r="AU21" s="123">
        <v>0.0</v>
      </c>
      <c r="AV21" s="123">
        <v>0.0</v>
      </c>
      <c r="AW21" s="124"/>
      <c r="AX21" s="124"/>
      <c r="AY21" s="123">
        <v>0.0</v>
      </c>
      <c r="AZ21" s="123">
        <v>113655.24</v>
      </c>
      <c r="BA21" s="123" t="s">
        <v>20</v>
      </c>
      <c r="BB21" s="123" t="s">
        <v>31</v>
      </c>
      <c r="BC21" s="123" t="s">
        <v>160</v>
      </c>
      <c r="BD21" s="123" t="s">
        <v>298</v>
      </c>
      <c r="BE21" s="123" t="s">
        <v>161</v>
      </c>
      <c r="BF21" s="123" t="s">
        <v>162</v>
      </c>
      <c r="BG21" s="124"/>
      <c r="BH21" s="124"/>
      <c r="BI21" s="123" t="s">
        <v>302</v>
      </c>
      <c r="BJ21" s="172">
        <v>46142.580555555556</v>
      </c>
      <c r="BK21" s="171" t="s">
        <v>164</v>
      </c>
    </row>
    <row r="22" ht="14.25" customHeight="1">
      <c r="A22" s="122" t="s">
        <v>144</v>
      </c>
      <c r="B22" s="123" t="s">
        <v>303</v>
      </c>
      <c r="C22" s="123">
        <v>107.0</v>
      </c>
      <c r="D22" s="123" t="s">
        <v>146</v>
      </c>
      <c r="E22" s="123" t="s">
        <v>147</v>
      </c>
      <c r="F22" s="123" t="s">
        <v>304</v>
      </c>
      <c r="G22" s="124"/>
      <c r="H22" s="123" t="s">
        <v>149</v>
      </c>
      <c r="I22" s="123" t="s">
        <v>2</v>
      </c>
      <c r="J22" s="123" t="s">
        <v>150</v>
      </c>
      <c r="K22" s="123" t="s">
        <v>151</v>
      </c>
      <c r="L22" s="123" t="s">
        <v>152</v>
      </c>
      <c r="M22" s="124"/>
      <c r="N22" s="124"/>
      <c r="O22" s="125">
        <v>46141.0</v>
      </c>
      <c r="P22" s="123" t="s">
        <v>305</v>
      </c>
      <c r="Q22" s="123">
        <v>2.7208486E7</v>
      </c>
      <c r="R22" s="125">
        <v>46141.0</v>
      </c>
      <c r="S22" s="123" t="s">
        <v>154</v>
      </c>
      <c r="T22" s="123">
        <v>56078.0</v>
      </c>
      <c r="U22" s="122" t="s">
        <v>306</v>
      </c>
      <c r="V22" s="123" t="s">
        <v>307</v>
      </c>
      <c r="W22" s="124"/>
      <c r="X22" s="124"/>
      <c r="Y22" s="124"/>
      <c r="Z22" s="124"/>
      <c r="AA22" s="123">
        <v>5000.0</v>
      </c>
      <c r="AB22" s="123">
        <v>1.0</v>
      </c>
      <c r="AC22" s="123">
        <v>5000.0</v>
      </c>
      <c r="AD22" s="123" t="s">
        <v>157</v>
      </c>
      <c r="AE22" s="124"/>
      <c r="AF22" s="123">
        <v>997212.0</v>
      </c>
      <c r="AG22" s="123" t="s">
        <v>308</v>
      </c>
      <c r="AH22" s="124"/>
      <c r="AI22" s="124"/>
      <c r="AJ22" s="123">
        <v>0.0</v>
      </c>
      <c r="AK22" s="123">
        <v>0.0</v>
      </c>
      <c r="AL22" s="123">
        <v>5000.0</v>
      </c>
      <c r="AM22" s="123" t="s">
        <v>159</v>
      </c>
      <c r="AN22" s="123">
        <v>18.0</v>
      </c>
      <c r="AO22" s="122">
        <v>450.0</v>
      </c>
      <c r="AP22" s="123">
        <v>450.0</v>
      </c>
      <c r="AQ22" s="123">
        <v>0.0</v>
      </c>
      <c r="AR22" s="123">
        <v>0.0</v>
      </c>
      <c r="AS22" s="123">
        <v>0.0</v>
      </c>
      <c r="AT22" s="123">
        <v>0.0</v>
      </c>
      <c r="AU22" s="123">
        <v>0.0</v>
      </c>
      <c r="AV22" s="123">
        <v>0.0</v>
      </c>
      <c r="AW22" s="124"/>
      <c r="AX22" s="124"/>
      <c r="AY22" s="123">
        <v>0.0</v>
      </c>
      <c r="AZ22" s="123">
        <v>5900.0</v>
      </c>
      <c r="BA22" s="123" t="s">
        <v>20</v>
      </c>
      <c r="BB22" s="123" t="s">
        <v>31</v>
      </c>
      <c r="BC22" s="123" t="s">
        <v>186</v>
      </c>
      <c r="BD22" s="123" t="s">
        <v>304</v>
      </c>
      <c r="BE22" s="123" t="s">
        <v>187</v>
      </c>
      <c r="BF22" s="123" t="s">
        <v>309</v>
      </c>
      <c r="BG22" s="124"/>
      <c r="BH22" s="124"/>
      <c r="BI22" s="124"/>
      <c r="BJ22" s="124"/>
      <c r="BK22" s="171" t="s">
        <v>277</v>
      </c>
    </row>
    <row r="23" ht="14.25" customHeight="1">
      <c r="A23" s="122" t="s">
        <v>144</v>
      </c>
      <c r="B23" s="123" t="s">
        <v>310</v>
      </c>
      <c r="C23" s="123">
        <v>107.0</v>
      </c>
      <c r="D23" s="123" t="s">
        <v>146</v>
      </c>
      <c r="E23" s="123" t="s">
        <v>147</v>
      </c>
      <c r="F23" s="123" t="s">
        <v>311</v>
      </c>
      <c r="G23" s="124"/>
      <c r="H23" s="123" t="s">
        <v>149</v>
      </c>
      <c r="I23" s="123" t="s">
        <v>2</v>
      </c>
      <c r="J23" s="123" t="s">
        <v>150</v>
      </c>
      <c r="K23" s="123" t="s">
        <v>151</v>
      </c>
      <c r="L23" s="123" t="s">
        <v>152</v>
      </c>
      <c r="M23" s="124"/>
      <c r="N23" s="124"/>
      <c r="O23" s="125">
        <v>46128.0</v>
      </c>
      <c r="P23" s="123" t="s">
        <v>312</v>
      </c>
      <c r="Q23" s="123">
        <v>2.7190294E7</v>
      </c>
      <c r="R23" s="125">
        <v>46128.0</v>
      </c>
      <c r="S23" s="123" t="s">
        <v>154</v>
      </c>
      <c r="T23" s="123">
        <v>2892.0</v>
      </c>
      <c r="U23" s="122" t="s">
        <v>214</v>
      </c>
      <c r="V23" s="123" t="s">
        <v>215</v>
      </c>
      <c r="W23" s="123" t="s">
        <v>1</v>
      </c>
      <c r="X23" s="122" t="s">
        <v>216</v>
      </c>
      <c r="Y23" s="124"/>
      <c r="Z23" s="124"/>
      <c r="AA23" s="123">
        <v>81783.1</v>
      </c>
      <c r="AB23" s="123">
        <v>1.0</v>
      </c>
      <c r="AC23" s="123">
        <v>81783.1</v>
      </c>
      <c r="AD23" s="123" t="s">
        <v>157</v>
      </c>
      <c r="AE23" s="124"/>
      <c r="AF23" s="123">
        <v>8.471301E7</v>
      </c>
      <c r="AG23" s="123" t="s">
        <v>313</v>
      </c>
      <c r="AH23" s="124"/>
      <c r="AI23" s="124"/>
      <c r="AJ23" s="123">
        <v>0.0</v>
      </c>
      <c r="AK23" s="123">
        <v>0.0</v>
      </c>
      <c r="AL23" s="123">
        <v>81783.1</v>
      </c>
      <c r="AM23" s="123" t="s">
        <v>159</v>
      </c>
      <c r="AN23" s="123">
        <v>18.0</v>
      </c>
      <c r="AO23" s="122">
        <v>0.0</v>
      </c>
      <c r="AP23" s="123">
        <v>0.0</v>
      </c>
      <c r="AQ23" s="123">
        <v>14720.96</v>
      </c>
      <c r="AR23" s="123">
        <v>0.0</v>
      </c>
      <c r="AS23" s="123">
        <v>0.0</v>
      </c>
      <c r="AT23" s="123">
        <v>0.0</v>
      </c>
      <c r="AU23" s="123">
        <v>0.0</v>
      </c>
      <c r="AV23" s="123">
        <v>0.0</v>
      </c>
      <c r="AW23" s="124"/>
      <c r="AX23" s="124"/>
      <c r="AY23" s="123">
        <v>0.0</v>
      </c>
      <c r="AZ23" s="123">
        <v>96504.06</v>
      </c>
      <c r="BA23" s="123" t="s">
        <v>20</v>
      </c>
      <c r="BB23" s="123" t="s">
        <v>31</v>
      </c>
      <c r="BC23" s="123" t="s">
        <v>314</v>
      </c>
      <c r="BD23" s="123" t="s">
        <v>311</v>
      </c>
      <c r="BE23" s="123" t="s">
        <v>161</v>
      </c>
      <c r="BF23" s="123" t="s">
        <v>268</v>
      </c>
      <c r="BG23" s="124"/>
      <c r="BH23" s="124"/>
      <c r="BI23" s="123" t="s">
        <v>315</v>
      </c>
      <c r="BJ23" s="172">
        <v>46128.53263888889</v>
      </c>
      <c r="BK23" s="171" t="s">
        <v>164</v>
      </c>
    </row>
    <row r="24" ht="14.25" customHeight="1">
      <c r="A24" s="122" t="s">
        <v>316</v>
      </c>
      <c r="B24" s="123" t="s">
        <v>317</v>
      </c>
      <c r="C24" s="123">
        <v>107.0</v>
      </c>
      <c r="D24" s="123" t="s">
        <v>146</v>
      </c>
      <c r="E24" s="123" t="s">
        <v>147</v>
      </c>
      <c r="F24" s="123" t="s">
        <v>318</v>
      </c>
      <c r="G24" s="124"/>
      <c r="H24" s="123" t="s">
        <v>149</v>
      </c>
      <c r="I24" s="123" t="s">
        <v>2</v>
      </c>
      <c r="J24" s="123" t="s">
        <v>150</v>
      </c>
      <c r="K24" s="123" t="s">
        <v>151</v>
      </c>
      <c r="L24" s="123" t="s">
        <v>319</v>
      </c>
      <c r="M24" s="124"/>
      <c r="N24" s="124"/>
      <c r="O24" s="125">
        <v>46113.0</v>
      </c>
      <c r="P24" s="123" t="s">
        <v>320</v>
      </c>
      <c r="Q24" s="123">
        <v>2.7165331E7</v>
      </c>
      <c r="R24" s="125">
        <v>46113.0</v>
      </c>
      <c r="S24" s="123" t="s">
        <v>154</v>
      </c>
      <c r="T24" s="123">
        <v>1044110.0</v>
      </c>
      <c r="U24" s="122" t="s">
        <v>263</v>
      </c>
      <c r="V24" s="123" t="s">
        <v>264</v>
      </c>
      <c r="W24" s="123" t="s">
        <v>1</v>
      </c>
      <c r="X24" s="122" t="s">
        <v>265</v>
      </c>
      <c r="Y24" s="124"/>
      <c r="Z24" s="124"/>
      <c r="AA24" s="123">
        <v>-57185.63</v>
      </c>
      <c r="AB24" s="123">
        <v>1.0</v>
      </c>
      <c r="AC24" s="123">
        <v>-57185.63</v>
      </c>
      <c r="AD24" s="123" t="s">
        <v>157</v>
      </c>
      <c r="AE24" s="124"/>
      <c r="AF24" s="123">
        <v>8.471301E7</v>
      </c>
      <c r="AG24" s="123" t="s">
        <v>321</v>
      </c>
      <c r="AH24" s="124"/>
      <c r="AI24" s="124"/>
      <c r="AJ24" s="123">
        <v>0.0</v>
      </c>
      <c r="AK24" s="123">
        <v>0.0</v>
      </c>
      <c r="AL24" s="123">
        <v>-57185.63</v>
      </c>
      <c r="AM24" s="123" t="s">
        <v>159</v>
      </c>
      <c r="AN24" s="123">
        <v>18.0</v>
      </c>
      <c r="AO24" s="122">
        <v>0.0</v>
      </c>
      <c r="AP24" s="123">
        <v>0.0</v>
      </c>
      <c r="AQ24" s="123">
        <v>-10293.41</v>
      </c>
      <c r="AR24" s="123">
        <v>0.0</v>
      </c>
      <c r="AS24" s="123">
        <v>0.0</v>
      </c>
      <c r="AT24" s="123">
        <v>0.0</v>
      </c>
      <c r="AU24" s="123">
        <v>0.0</v>
      </c>
      <c r="AV24" s="123">
        <v>0.0</v>
      </c>
      <c r="AW24" s="124"/>
      <c r="AX24" s="124"/>
      <c r="AY24" s="123">
        <v>0.0</v>
      </c>
      <c r="AZ24" s="123">
        <v>-67479.04</v>
      </c>
      <c r="BA24" s="123" t="s">
        <v>20</v>
      </c>
      <c r="BB24" s="123" t="s">
        <v>31</v>
      </c>
      <c r="BC24" s="123" t="s">
        <v>267</v>
      </c>
      <c r="BD24" s="123" t="s">
        <v>322</v>
      </c>
      <c r="BE24" s="123" t="s">
        <v>161</v>
      </c>
      <c r="BF24" s="123" t="s">
        <v>268</v>
      </c>
      <c r="BG24" s="124"/>
      <c r="BH24" s="124"/>
      <c r="BI24" s="123" t="s">
        <v>323</v>
      </c>
      <c r="BJ24" s="172">
        <v>46113.53263888889</v>
      </c>
      <c r="BK24" s="171" t="s">
        <v>324</v>
      </c>
    </row>
    <row r="25" ht="14.25" customHeight="1">
      <c r="A25" s="122" t="s">
        <v>144</v>
      </c>
      <c r="B25" s="123" t="s">
        <v>325</v>
      </c>
      <c r="C25" s="123">
        <v>107.0</v>
      </c>
      <c r="D25" s="123" t="s">
        <v>146</v>
      </c>
      <c r="E25" s="123" t="s">
        <v>147</v>
      </c>
      <c r="F25" s="123" t="s">
        <v>326</v>
      </c>
      <c r="G25" s="124"/>
      <c r="H25" s="123" t="s">
        <v>149</v>
      </c>
      <c r="I25" s="123" t="s">
        <v>2</v>
      </c>
      <c r="J25" s="123" t="s">
        <v>150</v>
      </c>
      <c r="K25" s="123" t="s">
        <v>151</v>
      </c>
      <c r="L25" s="123" t="s">
        <v>152</v>
      </c>
      <c r="M25" s="124"/>
      <c r="N25" s="124"/>
      <c r="O25" s="125">
        <v>46141.0</v>
      </c>
      <c r="P25" s="123" t="s">
        <v>327</v>
      </c>
      <c r="Q25" s="123">
        <v>2.7208568E7</v>
      </c>
      <c r="R25" s="125">
        <v>46141.0</v>
      </c>
      <c r="S25" s="123" t="s">
        <v>154</v>
      </c>
      <c r="T25" s="123">
        <v>1052115.0</v>
      </c>
      <c r="U25" s="122" t="s">
        <v>328</v>
      </c>
      <c r="V25" s="123" t="s">
        <v>329</v>
      </c>
      <c r="W25" s="123" t="s">
        <v>1</v>
      </c>
      <c r="X25" s="122" t="s">
        <v>330</v>
      </c>
      <c r="Y25" s="124"/>
      <c r="Z25" s="124"/>
      <c r="AA25" s="123">
        <v>5000.0</v>
      </c>
      <c r="AB25" s="123">
        <v>1.0</v>
      </c>
      <c r="AC25" s="123">
        <v>5000.0</v>
      </c>
      <c r="AD25" s="123" t="s">
        <v>157</v>
      </c>
      <c r="AE25" s="124"/>
      <c r="AF25" s="123">
        <v>997212.0</v>
      </c>
      <c r="AG25" s="123" t="s">
        <v>331</v>
      </c>
      <c r="AH25" s="124"/>
      <c r="AI25" s="124"/>
      <c r="AJ25" s="123">
        <v>0.0</v>
      </c>
      <c r="AK25" s="123">
        <v>0.0</v>
      </c>
      <c r="AL25" s="123">
        <v>5000.0</v>
      </c>
      <c r="AM25" s="123" t="s">
        <v>159</v>
      </c>
      <c r="AN25" s="123">
        <v>18.0</v>
      </c>
      <c r="AO25" s="122">
        <v>450.0</v>
      </c>
      <c r="AP25" s="123">
        <v>450.0</v>
      </c>
      <c r="AQ25" s="123">
        <v>0.0</v>
      </c>
      <c r="AR25" s="123">
        <v>0.0</v>
      </c>
      <c r="AS25" s="123">
        <v>0.0</v>
      </c>
      <c r="AT25" s="123">
        <v>0.0</v>
      </c>
      <c r="AU25" s="123">
        <v>0.0</v>
      </c>
      <c r="AV25" s="123">
        <v>0.0</v>
      </c>
      <c r="AW25" s="124"/>
      <c r="AX25" s="124"/>
      <c r="AY25" s="123">
        <v>0.0</v>
      </c>
      <c r="AZ25" s="123">
        <v>5900.0</v>
      </c>
      <c r="BA25" s="123" t="s">
        <v>20</v>
      </c>
      <c r="BB25" s="123" t="s">
        <v>31</v>
      </c>
      <c r="BC25" s="123" t="s">
        <v>186</v>
      </c>
      <c r="BD25" s="123" t="s">
        <v>326</v>
      </c>
      <c r="BE25" s="123" t="s">
        <v>187</v>
      </c>
      <c r="BF25" s="123" t="s">
        <v>162</v>
      </c>
      <c r="BG25" s="124"/>
      <c r="BH25" s="124"/>
      <c r="BI25" s="123" t="s">
        <v>332</v>
      </c>
      <c r="BJ25" s="172">
        <v>46141.66805555555</v>
      </c>
      <c r="BK25" s="171" t="s">
        <v>164</v>
      </c>
    </row>
    <row r="26" ht="14.25" customHeight="1">
      <c r="A26" s="122" t="s">
        <v>144</v>
      </c>
      <c r="B26" s="123" t="s">
        <v>333</v>
      </c>
      <c r="C26" s="123">
        <v>107.0</v>
      </c>
      <c r="D26" s="123" t="s">
        <v>146</v>
      </c>
      <c r="E26" s="123" t="s">
        <v>147</v>
      </c>
      <c r="F26" s="123" t="s">
        <v>334</v>
      </c>
      <c r="G26" s="124"/>
      <c r="H26" s="123" t="s">
        <v>149</v>
      </c>
      <c r="I26" s="123" t="s">
        <v>2</v>
      </c>
      <c r="J26" s="123" t="s">
        <v>150</v>
      </c>
      <c r="K26" s="123" t="s">
        <v>151</v>
      </c>
      <c r="L26" s="123" t="s">
        <v>152</v>
      </c>
      <c r="M26" s="124"/>
      <c r="N26" s="124"/>
      <c r="O26" s="125">
        <v>46141.0</v>
      </c>
      <c r="P26" s="123" t="s">
        <v>335</v>
      </c>
      <c r="Q26" s="123">
        <v>2.7208566E7</v>
      </c>
      <c r="R26" s="125">
        <v>46141.0</v>
      </c>
      <c r="S26" s="123" t="s">
        <v>154</v>
      </c>
      <c r="T26" s="123">
        <v>5137.0</v>
      </c>
      <c r="U26" s="122" t="s">
        <v>228</v>
      </c>
      <c r="V26" s="123" t="s">
        <v>229</v>
      </c>
      <c r="W26" s="123" t="s">
        <v>1</v>
      </c>
      <c r="X26" s="122" t="s">
        <v>230</v>
      </c>
      <c r="Y26" s="124"/>
      <c r="Z26" s="124"/>
      <c r="AA26" s="123">
        <v>500000.0</v>
      </c>
      <c r="AB26" s="123">
        <v>1.0</v>
      </c>
      <c r="AC26" s="123">
        <v>500000.0</v>
      </c>
      <c r="AD26" s="123" t="s">
        <v>157</v>
      </c>
      <c r="AE26" s="124"/>
      <c r="AF26" s="123">
        <v>997212.0</v>
      </c>
      <c r="AG26" s="123" t="s">
        <v>336</v>
      </c>
      <c r="AH26" s="124"/>
      <c r="AI26" s="124"/>
      <c r="AJ26" s="123">
        <v>0.0</v>
      </c>
      <c r="AK26" s="123">
        <v>0.0</v>
      </c>
      <c r="AL26" s="123">
        <v>500000.0</v>
      </c>
      <c r="AM26" s="123" t="s">
        <v>159</v>
      </c>
      <c r="AN26" s="123">
        <v>18.0</v>
      </c>
      <c r="AO26" s="122">
        <v>45000.0</v>
      </c>
      <c r="AP26" s="123">
        <v>45000.0</v>
      </c>
      <c r="AQ26" s="123">
        <v>0.0</v>
      </c>
      <c r="AR26" s="123">
        <v>0.0</v>
      </c>
      <c r="AS26" s="123">
        <v>0.0</v>
      </c>
      <c r="AT26" s="123">
        <v>0.0</v>
      </c>
      <c r="AU26" s="123">
        <v>0.0</v>
      </c>
      <c r="AV26" s="123">
        <v>0.0</v>
      </c>
      <c r="AW26" s="124"/>
      <c r="AX26" s="124"/>
      <c r="AY26" s="123">
        <v>0.0</v>
      </c>
      <c r="AZ26" s="123">
        <v>590000.0</v>
      </c>
      <c r="BA26" s="123" t="s">
        <v>20</v>
      </c>
      <c r="BB26" s="123" t="s">
        <v>31</v>
      </c>
      <c r="BC26" s="123" t="s">
        <v>186</v>
      </c>
      <c r="BD26" s="123" t="s">
        <v>334</v>
      </c>
      <c r="BE26" s="123" t="s">
        <v>187</v>
      </c>
      <c r="BF26" s="123" t="s">
        <v>162</v>
      </c>
      <c r="BG26" s="124"/>
      <c r="BH26" s="124"/>
      <c r="BI26" s="123" t="s">
        <v>337</v>
      </c>
      <c r="BJ26" s="172">
        <v>46141.665972222225</v>
      </c>
      <c r="BK26" s="171" t="s">
        <v>164</v>
      </c>
    </row>
    <row r="27" ht="14.25" customHeight="1">
      <c r="A27" s="122" t="s">
        <v>144</v>
      </c>
      <c r="B27" s="123" t="s">
        <v>338</v>
      </c>
      <c r="C27" s="123">
        <v>107.0</v>
      </c>
      <c r="D27" s="123" t="s">
        <v>146</v>
      </c>
      <c r="E27" s="123" t="s">
        <v>147</v>
      </c>
      <c r="F27" s="123" t="s">
        <v>339</v>
      </c>
      <c r="G27" s="124"/>
      <c r="H27" s="123" t="s">
        <v>149</v>
      </c>
      <c r="I27" s="123" t="s">
        <v>2</v>
      </c>
      <c r="J27" s="123" t="s">
        <v>150</v>
      </c>
      <c r="K27" s="123" t="s">
        <v>151</v>
      </c>
      <c r="L27" s="123" t="s">
        <v>152</v>
      </c>
      <c r="M27" s="124"/>
      <c r="N27" s="124"/>
      <c r="O27" s="125">
        <v>46113.0</v>
      </c>
      <c r="P27" s="123" t="s">
        <v>340</v>
      </c>
      <c r="Q27" s="123">
        <v>2.7165329E7</v>
      </c>
      <c r="R27" s="125">
        <v>46113.0</v>
      </c>
      <c r="S27" s="123" t="s">
        <v>154</v>
      </c>
      <c r="T27" s="123">
        <v>1045110.0</v>
      </c>
      <c r="U27" s="122" t="s">
        <v>341</v>
      </c>
      <c r="V27" s="123" t="s">
        <v>342</v>
      </c>
      <c r="W27" s="123" t="s">
        <v>1</v>
      </c>
      <c r="X27" s="122" t="s">
        <v>343</v>
      </c>
      <c r="Y27" s="124"/>
      <c r="Z27" s="124"/>
      <c r="AA27" s="123">
        <v>50526.0</v>
      </c>
      <c r="AB27" s="123">
        <v>1.0</v>
      </c>
      <c r="AC27" s="123">
        <v>50526.0</v>
      </c>
      <c r="AD27" s="123" t="s">
        <v>157</v>
      </c>
      <c r="AE27" s="124"/>
      <c r="AF27" s="123">
        <v>8.471301E7</v>
      </c>
      <c r="AG27" s="123" t="s">
        <v>344</v>
      </c>
      <c r="AH27" s="124"/>
      <c r="AI27" s="124"/>
      <c r="AJ27" s="123">
        <v>0.0</v>
      </c>
      <c r="AK27" s="123">
        <v>0.0</v>
      </c>
      <c r="AL27" s="123">
        <v>50526.0</v>
      </c>
      <c r="AM27" s="123" t="s">
        <v>159</v>
      </c>
      <c r="AN27" s="123">
        <v>18.0</v>
      </c>
      <c r="AO27" s="122">
        <v>0.0</v>
      </c>
      <c r="AP27" s="123">
        <v>0.0</v>
      </c>
      <c r="AQ27" s="123">
        <v>9094.68</v>
      </c>
      <c r="AR27" s="123">
        <v>0.0</v>
      </c>
      <c r="AS27" s="123">
        <v>0.0</v>
      </c>
      <c r="AT27" s="123">
        <v>0.0</v>
      </c>
      <c r="AU27" s="123">
        <v>0.0</v>
      </c>
      <c r="AV27" s="123">
        <v>0.0</v>
      </c>
      <c r="AW27" s="124"/>
      <c r="AX27" s="124"/>
      <c r="AY27" s="123">
        <v>0.0</v>
      </c>
      <c r="AZ27" s="123">
        <v>59620.68</v>
      </c>
      <c r="BA27" s="123" t="s">
        <v>20</v>
      </c>
      <c r="BB27" s="123" t="s">
        <v>31</v>
      </c>
      <c r="BC27" s="123" t="s">
        <v>345</v>
      </c>
      <c r="BD27" s="123" t="s">
        <v>339</v>
      </c>
      <c r="BE27" s="123" t="s">
        <v>161</v>
      </c>
      <c r="BF27" s="123" t="s">
        <v>268</v>
      </c>
      <c r="BG27" s="124"/>
      <c r="BH27" s="124"/>
      <c r="BI27" s="123" t="s">
        <v>346</v>
      </c>
      <c r="BJ27" s="172">
        <v>46113.51597222222</v>
      </c>
      <c r="BK27" s="171" t="s">
        <v>164</v>
      </c>
    </row>
    <row r="28" ht="14.25" customHeight="1">
      <c r="A28" s="122" t="s">
        <v>144</v>
      </c>
      <c r="B28" s="123" t="s">
        <v>347</v>
      </c>
      <c r="C28" s="123">
        <v>107.0</v>
      </c>
      <c r="D28" s="123" t="s">
        <v>146</v>
      </c>
      <c r="E28" s="123" t="s">
        <v>147</v>
      </c>
      <c r="F28" s="123" t="s">
        <v>348</v>
      </c>
      <c r="G28" s="124"/>
      <c r="H28" s="123" t="s">
        <v>149</v>
      </c>
      <c r="I28" s="123" t="s">
        <v>2</v>
      </c>
      <c r="J28" s="123" t="s">
        <v>150</v>
      </c>
      <c r="K28" s="123" t="s">
        <v>151</v>
      </c>
      <c r="L28" s="123" t="s">
        <v>152</v>
      </c>
      <c r="M28" s="124"/>
      <c r="N28" s="124"/>
      <c r="O28" s="125">
        <v>46142.0</v>
      </c>
      <c r="P28" s="123" t="s">
        <v>349</v>
      </c>
      <c r="Q28" s="123">
        <v>2.7210291E7</v>
      </c>
      <c r="R28" s="125">
        <v>46142.0</v>
      </c>
      <c r="S28" s="123" t="s">
        <v>154</v>
      </c>
      <c r="T28" s="123">
        <v>446062.0</v>
      </c>
      <c r="U28" s="122" t="s">
        <v>6</v>
      </c>
      <c r="V28" s="123" t="s">
        <v>350</v>
      </c>
      <c r="W28" s="123" t="s">
        <v>1</v>
      </c>
      <c r="X28" s="122" t="s">
        <v>351</v>
      </c>
      <c r="Y28" s="124"/>
      <c r="Z28" s="124"/>
      <c r="AA28" s="123">
        <v>99004.0</v>
      </c>
      <c r="AB28" s="123">
        <v>1.0</v>
      </c>
      <c r="AC28" s="123">
        <v>99004.0</v>
      </c>
      <c r="AD28" s="123" t="s">
        <v>157</v>
      </c>
      <c r="AE28" s="124"/>
      <c r="AF28" s="123">
        <v>998599.0</v>
      </c>
      <c r="AG28" s="123" t="s">
        <v>158</v>
      </c>
      <c r="AH28" s="124"/>
      <c r="AI28" s="124"/>
      <c r="AJ28" s="123">
        <v>0.0</v>
      </c>
      <c r="AK28" s="123">
        <v>0.0</v>
      </c>
      <c r="AL28" s="123">
        <v>99004.0</v>
      </c>
      <c r="AM28" s="123" t="s">
        <v>159</v>
      </c>
      <c r="AN28" s="123">
        <v>18.0</v>
      </c>
      <c r="AO28" s="122">
        <v>0.0</v>
      </c>
      <c r="AP28" s="123">
        <v>0.0</v>
      </c>
      <c r="AQ28" s="123">
        <v>17820.72</v>
      </c>
      <c r="AR28" s="123">
        <v>0.0</v>
      </c>
      <c r="AS28" s="123">
        <v>0.0</v>
      </c>
      <c r="AT28" s="123">
        <v>0.0</v>
      </c>
      <c r="AU28" s="123">
        <v>0.0</v>
      </c>
      <c r="AV28" s="123">
        <v>0.0</v>
      </c>
      <c r="AW28" s="124"/>
      <c r="AX28" s="124"/>
      <c r="AY28" s="123">
        <v>0.0</v>
      </c>
      <c r="AZ28" s="123">
        <v>116824.72</v>
      </c>
      <c r="BA28" s="123" t="s">
        <v>20</v>
      </c>
      <c r="BB28" s="123" t="s">
        <v>31</v>
      </c>
      <c r="BC28" s="123" t="s">
        <v>160</v>
      </c>
      <c r="BD28" s="123" t="s">
        <v>348</v>
      </c>
      <c r="BE28" s="123" t="s">
        <v>161</v>
      </c>
      <c r="BF28" s="123" t="s">
        <v>162</v>
      </c>
      <c r="BG28" s="124"/>
      <c r="BH28" s="124"/>
      <c r="BI28" s="123" t="s">
        <v>352</v>
      </c>
      <c r="BJ28" s="172">
        <v>46142.59097222222</v>
      </c>
      <c r="BK28" s="171" t="s">
        <v>164</v>
      </c>
    </row>
    <row r="29" ht="14.25" customHeight="1">
      <c r="A29" s="122" t="s">
        <v>144</v>
      </c>
      <c r="B29" s="123" t="s">
        <v>353</v>
      </c>
      <c r="C29" s="123">
        <v>107.0</v>
      </c>
      <c r="D29" s="123" t="s">
        <v>146</v>
      </c>
      <c r="E29" s="123" t="s">
        <v>147</v>
      </c>
      <c r="F29" s="123" t="s">
        <v>354</v>
      </c>
      <c r="G29" s="124"/>
      <c r="H29" s="123" t="s">
        <v>149</v>
      </c>
      <c r="I29" s="123" t="s">
        <v>2</v>
      </c>
      <c r="J29" s="123" t="s">
        <v>150</v>
      </c>
      <c r="K29" s="123" t="s">
        <v>151</v>
      </c>
      <c r="L29" s="123" t="s">
        <v>152</v>
      </c>
      <c r="M29" s="124"/>
      <c r="N29" s="124"/>
      <c r="O29" s="125">
        <v>46141.0</v>
      </c>
      <c r="P29" s="123" t="s">
        <v>355</v>
      </c>
      <c r="Q29" s="123">
        <v>2.7208487E7</v>
      </c>
      <c r="R29" s="125">
        <v>46141.0</v>
      </c>
      <c r="S29" s="123" t="s">
        <v>154</v>
      </c>
      <c r="T29" s="123">
        <v>156023.0</v>
      </c>
      <c r="U29" s="122" t="s">
        <v>356</v>
      </c>
      <c r="V29" s="123" t="s">
        <v>357</v>
      </c>
      <c r="W29" s="123" t="s">
        <v>1</v>
      </c>
      <c r="X29" s="122" t="s">
        <v>358</v>
      </c>
      <c r="Y29" s="124"/>
      <c r="Z29" s="124"/>
      <c r="AA29" s="123">
        <v>11000.0</v>
      </c>
      <c r="AB29" s="123">
        <v>1.0</v>
      </c>
      <c r="AC29" s="123">
        <v>11000.0</v>
      </c>
      <c r="AD29" s="123" t="s">
        <v>157</v>
      </c>
      <c r="AE29" s="124"/>
      <c r="AF29" s="123">
        <v>997212.0</v>
      </c>
      <c r="AG29" s="123" t="s">
        <v>359</v>
      </c>
      <c r="AH29" s="124"/>
      <c r="AI29" s="124"/>
      <c r="AJ29" s="123">
        <v>0.0</v>
      </c>
      <c r="AK29" s="123">
        <v>0.0</v>
      </c>
      <c r="AL29" s="123">
        <v>11000.0</v>
      </c>
      <c r="AM29" s="123" t="s">
        <v>159</v>
      </c>
      <c r="AN29" s="123">
        <v>18.0</v>
      </c>
      <c r="AO29" s="122">
        <v>990.0</v>
      </c>
      <c r="AP29" s="123">
        <v>990.0</v>
      </c>
      <c r="AQ29" s="123">
        <v>0.0</v>
      </c>
      <c r="AR29" s="123">
        <v>0.0</v>
      </c>
      <c r="AS29" s="123">
        <v>0.0</v>
      </c>
      <c r="AT29" s="123">
        <v>0.0</v>
      </c>
      <c r="AU29" s="123">
        <v>0.0</v>
      </c>
      <c r="AV29" s="123">
        <v>0.0</v>
      </c>
      <c r="AW29" s="124"/>
      <c r="AX29" s="124"/>
      <c r="AY29" s="123">
        <v>0.0</v>
      </c>
      <c r="AZ29" s="123">
        <v>12980.0</v>
      </c>
      <c r="BA29" s="123" t="s">
        <v>20</v>
      </c>
      <c r="BB29" s="123" t="s">
        <v>31</v>
      </c>
      <c r="BC29" s="123" t="s">
        <v>186</v>
      </c>
      <c r="BD29" s="123" t="s">
        <v>354</v>
      </c>
      <c r="BE29" s="123" t="s">
        <v>187</v>
      </c>
      <c r="BF29" s="123" t="s">
        <v>162</v>
      </c>
      <c r="BG29" s="124"/>
      <c r="BH29" s="124"/>
      <c r="BI29" s="123" t="s">
        <v>360</v>
      </c>
      <c r="BJ29" s="172">
        <v>46141.649305555555</v>
      </c>
      <c r="BK29" s="171" t="s">
        <v>164</v>
      </c>
    </row>
    <row r="30" ht="14.25" customHeight="1">
      <c r="A30" s="122" t="s">
        <v>144</v>
      </c>
      <c r="B30" s="123" t="s">
        <v>361</v>
      </c>
      <c r="C30" s="123">
        <v>107.0</v>
      </c>
      <c r="D30" s="123" t="s">
        <v>146</v>
      </c>
      <c r="E30" s="123" t="s">
        <v>147</v>
      </c>
      <c r="F30" s="123" t="s">
        <v>362</v>
      </c>
      <c r="G30" s="124"/>
      <c r="H30" s="123" t="s">
        <v>149</v>
      </c>
      <c r="I30" s="123" t="s">
        <v>2</v>
      </c>
      <c r="J30" s="123" t="s">
        <v>150</v>
      </c>
      <c r="K30" s="123" t="s">
        <v>151</v>
      </c>
      <c r="L30" s="123" t="s">
        <v>152</v>
      </c>
      <c r="M30" s="124"/>
      <c r="N30" s="124"/>
      <c r="O30" s="125">
        <v>46142.0</v>
      </c>
      <c r="P30" s="123" t="s">
        <v>363</v>
      </c>
      <c r="Q30" s="123">
        <v>2.7210351E7</v>
      </c>
      <c r="R30" s="125">
        <v>46142.0</v>
      </c>
      <c r="S30" s="123" t="s">
        <v>154</v>
      </c>
      <c r="T30" s="123">
        <v>445067.0</v>
      </c>
      <c r="U30" s="122" t="s">
        <v>175</v>
      </c>
      <c r="V30" s="123" t="s">
        <v>364</v>
      </c>
      <c r="W30" s="123" t="s">
        <v>1</v>
      </c>
      <c r="X30" s="122" t="s">
        <v>365</v>
      </c>
      <c r="Y30" s="124"/>
      <c r="Z30" s="124"/>
      <c r="AA30" s="123">
        <v>462317.0</v>
      </c>
      <c r="AB30" s="123">
        <v>1.0</v>
      </c>
      <c r="AC30" s="123">
        <v>462317.0</v>
      </c>
      <c r="AD30" s="123" t="s">
        <v>157</v>
      </c>
      <c r="AE30" s="124"/>
      <c r="AF30" s="123">
        <v>998599.0</v>
      </c>
      <c r="AG30" s="123" t="s">
        <v>158</v>
      </c>
      <c r="AH30" s="124"/>
      <c r="AI30" s="124"/>
      <c r="AJ30" s="123">
        <v>0.0</v>
      </c>
      <c r="AK30" s="123">
        <v>0.0</v>
      </c>
      <c r="AL30" s="123">
        <v>462317.0</v>
      </c>
      <c r="AM30" s="123" t="s">
        <v>159</v>
      </c>
      <c r="AN30" s="123">
        <v>18.0</v>
      </c>
      <c r="AO30" s="122">
        <v>0.0</v>
      </c>
      <c r="AP30" s="123">
        <v>0.0</v>
      </c>
      <c r="AQ30" s="123">
        <v>83217.06</v>
      </c>
      <c r="AR30" s="123">
        <v>0.0</v>
      </c>
      <c r="AS30" s="123">
        <v>0.0</v>
      </c>
      <c r="AT30" s="123">
        <v>0.0</v>
      </c>
      <c r="AU30" s="123">
        <v>0.0</v>
      </c>
      <c r="AV30" s="123">
        <v>0.0</v>
      </c>
      <c r="AW30" s="124"/>
      <c r="AX30" s="124"/>
      <c r="AY30" s="123">
        <v>0.0</v>
      </c>
      <c r="AZ30" s="123">
        <v>545534.06</v>
      </c>
      <c r="BA30" s="123" t="s">
        <v>20</v>
      </c>
      <c r="BB30" s="123" t="s">
        <v>31</v>
      </c>
      <c r="BC30" s="123" t="s">
        <v>160</v>
      </c>
      <c r="BD30" s="123" t="s">
        <v>362</v>
      </c>
      <c r="BE30" s="123" t="s">
        <v>161</v>
      </c>
      <c r="BF30" s="123" t="s">
        <v>162</v>
      </c>
      <c r="BG30" s="124"/>
      <c r="BH30" s="124"/>
      <c r="BI30" s="123" t="s">
        <v>366</v>
      </c>
      <c r="BJ30" s="172">
        <v>46142.61388888889</v>
      </c>
      <c r="BK30" s="171" t="s">
        <v>164</v>
      </c>
    </row>
    <row r="31" ht="14.25" customHeight="1">
      <c r="A31" s="122" t="s">
        <v>144</v>
      </c>
      <c r="B31" s="123" t="s">
        <v>367</v>
      </c>
      <c r="C31" s="123">
        <v>107.0</v>
      </c>
      <c r="D31" s="123" t="s">
        <v>146</v>
      </c>
      <c r="E31" s="123" t="s">
        <v>147</v>
      </c>
      <c r="F31" s="123" t="s">
        <v>368</v>
      </c>
      <c r="G31" s="124"/>
      <c r="H31" s="123" t="s">
        <v>149</v>
      </c>
      <c r="I31" s="123" t="s">
        <v>2</v>
      </c>
      <c r="J31" s="123" t="s">
        <v>150</v>
      </c>
      <c r="K31" s="123" t="s">
        <v>151</v>
      </c>
      <c r="L31" s="123" t="s">
        <v>152</v>
      </c>
      <c r="M31" s="124"/>
      <c r="N31" s="124"/>
      <c r="O31" s="125">
        <v>46133.0</v>
      </c>
      <c r="P31" s="123" t="s">
        <v>369</v>
      </c>
      <c r="Q31" s="123">
        <v>2.719921E7</v>
      </c>
      <c r="R31" s="125">
        <v>46133.0</v>
      </c>
      <c r="S31" s="123" t="s">
        <v>154</v>
      </c>
      <c r="T31" s="123">
        <v>1077115.0</v>
      </c>
      <c r="U31" s="122" t="s">
        <v>370</v>
      </c>
      <c r="V31" s="123" t="s">
        <v>371</v>
      </c>
      <c r="W31" s="123" t="s">
        <v>1</v>
      </c>
      <c r="X31" s="122" t="s">
        <v>372</v>
      </c>
      <c r="Y31" s="124"/>
      <c r="Z31" s="124"/>
      <c r="AA31" s="123">
        <v>329343.3</v>
      </c>
      <c r="AB31" s="123">
        <v>1.0</v>
      </c>
      <c r="AC31" s="123">
        <v>329343.3</v>
      </c>
      <c r="AD31" s="123" t="s">
        <v>157</v>
      </c>
      <c r="AE31" s="124"/>
      <c r="AF31" s="123">
        <v>998599.0</v>
      </c>
      <c r="AG31" s="123" t="s">
        <v>373</v>
      </c>
      <c r="AH31" s="124"/>
      <c r="AI31" s="124"/>
      <c r="AJ31" s="123">
        <v>0.0</v>
      </c>
      <c r="AK31" s="123">
        <v>0.0</v>
      </c>
      <c r="AL31" s="123">
        <v>329343.3</v>
      </c>
      <c r="AM31" s="123" t="s">
        <v>159</v>
      </c>
      <c r="AN31" s="123">
        <v>18.0</v>
      </c>
      <c r="AO31" s="122">
        <v>0.0</v>
      </c>
      <c r="AP31" s="123">
        <v>0.0</v>
      </c>
      <c r="AQ31" s="123">
        <v>59281.79</v>
      </c>
      <c r="AR31" s="123">
        <v>0.0</v>
      </c>
      <c r="AS31" s="123">
        <v>0.0</v>
      </c>
      <c r="AT31" s="123">
        <v>0.0</v>
      </c>
      <c r="AU31" s="123">
        <v>0.0</v>
      </c>
      <c r="AV31" s="123">
        <v>0.0</v>
      </c>
      <c r="AW31" s="124"/>
      <c r="AX31" s="124"/>
      <c r="AY31" s="123">
        <v>0.0</v>
      </c>
      <c r="AZ31" s="123">
        <v>388625.09</v>
      </c>
      <c r="BA31" s="123" t="s">
        <v>20</v>
      </c>
      <c r="BB31" s="123" t="s">
        <v>31</v>
      </c>
      <c r="BC31" s="123" t="s">
        <v>374</v>
      </c>
      <c r="BD31" s="123" t="s">
        <v>368</v>
      </c>
      <c r="BE31" s="123" t="s">
        <v>161</v>
      </c>
      <c r="BF31" s="123" t="s">
        <v>162</v>
      </c>
      <c r="BG31" s="124"/>
      <c r="BH31" s="124"/>
      <c r="BI31" s="123" t="s">
        <v>375</v>
      </c>
      <c r="BJ31" s="172">
        <v>46133.79722222222</v>
      </c>
      <c r="BK31" s="171" t="s">
        <v>164</v>
      </c>
    </row>
    <row r="32" ht="14.25" customHeight="1">
      <c r="A32" s="122" t="s">
        <v>144</v>
      </c>
      <c r="B32" s="123" t="s">
        <v>376</v>
      </c>
      <c r="C32" s="123">
        <v>107.0</v>
      </c>
      <c r="D32" s="123" t="s">
        <v>146</v>
      </c>
      <c r="E32" s="123" t="s">
        <v>147</v>
      </c>
      <c r="F32" s="123" t="s">
        <v>377</v>
      </c>
      <c r="G32" s="124"/>
      <c r="H32" s="123" t="s">
        <v>149</v>
      </c>
      <c r="I32" s="123" t="s">
        <v>2</v>
      </c>
      <c r="J32" s="123" t="s">
        <v>150</v>
      </c>
      <c r="K32" s="123" t="s">
        <v>151</v>
      </c>
      <c r="L32" s="123" t="s">
        <v>152</v>
      </c>
      <c r="M32" s="124"/>
      <c r="N32" s="124"/>
      <c r="O32" s="125">
        <v>46142.0</v>
      </c>
      <c r="P32" s="123" t="s">
        <v>378</v>
      </c>
      <c r="Q32" s="123">
        <v>2.7210245E7</v>
      </c>
      <c r="R32" s="125">
        <v>46142.0</v>
      </c>
      <c r="S32" s="123" t="s">
        <v>154</v>
      </c>
      <c r="T32" s="123">
        <v>445069.0</v>
      </c>
      <c r="U32" s="122" t="s">
        <v>175</v>
      </c>
      <c r="V32" s="123" t="s">
        <v>379</v>
      </c>
      <c r="W32" s="123" t="s">
        <v>1</v>
      </c>
      <c r="X32" s="122" t="s">
        <v>380</v>
      </c>
      <c r="Y32" s="124"/>
      <c r="Z32" s="124"/>
      <c r="AA32" s="123">
        <v>1495479.0</v>
      </c>
      <c r="AB32" s="123">
        <v>1.0</v>
      </c>
      <c r="AC32" s="123">
        <v>1495479.0</v>
      </c>
      <c r="AD32" s="123" t="s">
        <v>157</v>
      </c>
      <c r="AE32" s="124"/>
      <c r="AF32" s="123">
        <v>998599.0</v>
      </c>
      <c r="AG32" s="123" t="s">
        <v>158</v>
      </c>
      <c r="AH32" s="124"/>
      <c r="AI32" s="124"/>
      <c r="AJ32" s="123">
        <v>0.0</v>
      </c>
      <c r="AK32" s="123">
        <v>0.0</v>
      </c>
      <c r="AL32" s="123">
        <v>1495479.0</v>
      </c>
      <c r="AM32" s="123" t="s">
        <v>159</v>
      </c>
      <c r="AN32" s="123">
        <v>18.0</v>
      </c>
      <c r="AO32" s="122">
        <v>0.0</v>
      </c>
      <c r="AP32" s="123">
        <v>0.0</v>
      </c>
      <c r="AQ32" s="123">
        <v>269186.22</v>
      </c>
      <c r="AR32" s="123">
        <v>0.0</v>
      </c>
      <c r="AS32" s="123">
        <v>0.0</v>
      </c>
      <c r="AT32" s="123">
        <v>0.0</v>
      </c>
      <c r="AU32" s="123">
        <v>0.0</v>
      </c>
      <c r="AV32" s="123">
        <v>0.0</v>
      </c>
      <c r="AW32" s="124"/>
      <c r="AX32" s="124"/>
      <c r="AY32" s="123">
        <v>0.0</v>
      </c>
      <c r="AZ32" s="123">
        <v>1764665.22</v>
      </c>
      <c r="BA32" s="123" t="s">
        <v>20</v>
      </c>
      <c r="BB32" s="123" t="s">
        <v>31</v>
      </c>
      <c r="BC32" s="123" t="s">
        <v>160</v>
      </c>
      <c r="BD32" s="123" t="s">
        <v>377</v>
      </c>
      <c r="BE32" s="123" t="s">
        <v>161</v>
      </c>
      <c r="BF32" s="123" t="s">
        <v>162</v>
      </c>
      <c r="BG32" s="124"/>
      <c r="BH32" s="124"/>
      <c r="BI32" s="123" t="s">
        <v>381</v>
      </c>
      <c r="BJ32" s="172">
        <v>46142.55347222222</v>
      </c>
      <c r="BK32" s="171" t="s">
        <v>164</v>
      </c>
    </row>
    <row r="33" ht="14.25" customHeight="1">
      <c r="A33" s="122" t="s">
        <v>144</v>
      </c>
      <c r="B33" s="123" t="s">
        <v>382</v>
      </c>
      <c r="C33" s="123">
        <v>107.0</v>
      </c>
      <c r="D33" s="123" t="s">
        <v>146</v>
      </c>
      <c r="E33" s="123" t="s">
        <v>147</v>
      </c>
      <c r="F33" s="123" t="s">
        <v>383</v>
      </c>
      <c r="G33" s="124"/>
      <c r="H33" s="123" t="s">
        <v>149</v>
      </c>
      <c r="I33" s="123" t="s">
        <v>2</v>
      </c>
      <c r="J33" s="123" t="s">
        <v>150</v>
      </c>
      <c r="K33" s="123" t="s">
        <v>151</v>
      </c>
      <c r="L33" s="123" t="s">
        <v>152</v>
      </c>
      <c r="M33" s="124"/>
      <c r="N33" s="124"/>
      <c r="O33" s="125">
        <v>46142.0</v>
      </c>
      <c r="P33" s="123" t="s">
        <v>384</v>
      </c>
      <c r="Q33" s="123">
        <v>2.721029E7</v>
      </c>
      <c r="R33" s="125">
        <v>46142.0</v>
      </c>
      <c r="S33" s="123" t="s">
        <v>154</v>
      </c>
      <c r="T33" s="123">
        <v>445075.0</v>
      </c>
      <c r="U33" s="122" t="s">
        <v>6</v>
      </c>
      <c r="V33" s="123" t="s">
        <v>385</v>
      </c>
      <c r="W33" s="123" t="s">
        <v>1</v>
      </c>
      <c r="X33" s="122" t="s">
        <v>265</v>
      </c>
      <c r="Y33" s="124"/>
      <c r="Z33" s="124"/>
      <c r="AA33" s="123">
        <v>901643.0</v>
      </c>
      <c r="AB33" s="123">
        <v>1.0</v>
      </c>
      <c r="AC33" s="123">
        <v>901643.0</v>
      </c>
      <c r="AD33" s="123" t="s">
        <v>157</v>
      </c>
      <c r="AE33" s="124"/>
      <c r="AF33" s="123">
        <v>998599.0</v>
      </c>
      <c r="AG33" s="123" t="s">
        <v>158</v>
      </c>
      <c r="AH33" s="124"/>
      <c r="AI33" s="124"/>
      <c r="AJ33" s="123">
        <v>0.0</v>
      </c>
      <c r="AK33" s="123">
        <v>0.0</v>
      </c>
      <c r="AL33" s="123">
        <v>901643.0</v>
      </c>
      <c r="AM33" s="123" t="s">
        <v>159</v>
      </c>
      <c r="AN33" s="123">
        <v>18.0</v>
      </c>
      <c r="AO33" s="122">
        <v>0.0</v>
      </c>
      <c r="AP33" s="123">
        <v>0.0</v>
      </c>
      <c r="AQ33" s="123">
        <v>162295.74</v>
      </c>
      <c r="AR33" s="123">
        <v>0.0</v>
      </c>
      <c r="AS33" s="123">
        <v>0.0</v>
      </c>
      <c r="AT33" s="123">
        <v>0.0</v>
      </c>
      <c r="AU33" s="123">
        <v>0.0</v>
      </c>
      <c r="AV33" s="123">
        <v>0.0</v>
      </c>
      <c r="AW33" s="124"/>
      <c r="AX33" s="124"/>
      <c r="AY33" s="123">
        <v>0.0</v>
      </c>
      <c r="AZ33" s="123">
        <v>1063938.74</v>
      </c>
      <c r="BA33" s="123" t="s">
        <v>20</v>
      </c>
      <c r="BB33" s="123" t="s">
        <v>31</v>
      </c>
      <c r="BC33" s="123" t="s">
        <v>160</v>
      </c>
      <c r="BD33" s="123" t="s">
        <v>383</v>
      </c>
      <c r="BE33" s="123" t="s">
        <v>161</v>
      </c>
      <c r="BF33" s="123" t="s">
        <v>162</v>
      </c>
      <c r="BG33" s="124"/>
      <c r="BH33" s="124"/>
      <c r="BI33" s="123" t="s">
        <v>386</v>
      </c>
      <c r="BJ33" s="172">
        <v>46142.58888888889</v>
      </c>
      <c r="BK33" s="171" t="s">
        <v>164</v>
      </c>
    </row>
    <row r="34" ht="14.25" customHeight="1">
      <c r="A34" s="122" t="s">
        <v>144</v>
      </c>
      <c r="B34" s="123" t="s">
        <v>387</v>
      </c>
      <c r="C34" s="123">
        <v>107.0</v>
      </c>
      <c r="D34" s="123" t="s">
        <v>146</v>
      </c>
      <c r="E34" s="123" t="s">
        <v>147</v>
      </c>
      <c r="F34" s="123" t="s">
        <v>388</v>
      </c>
      <c r="G34" s="124"/>
      <c r="H34" s="123" t="s">
        <v>149</v>
      </c>
      <c r="I34" s="123" t="s">
        <v>2</v>
      </c>
      <c r="J34" s="123" t="s">
        <v>150</v>
      </c>
      <c r="K34" s="123" t="s">
        <v>151</v>
      </c>
      <c r="L34" s="123" t="s">
        <v>152</v>
      </c>
      <c r="M34" s="124"/>
      <c r="N34" s="124"/>
      <c r="O34" s="125">
        <v>46142.0</v>
      </c>
      <c r="P34" s="123" t="s">
        <v>389</v>
      </c>
      <c r="Q34" s="123">
        <v>2.7210238E7</v>
      </c>
      <c r="R34" s="125">
        <v>46142.0</v>
      </c>
      <c r="S34" s="123" t="s">
        <v>154</v>
      </c>
      <c r="T34" s="123">
        <v>445065.0</v>
      </c>
      <c r="U34" s="122" t="s">
        <v>6</v>
      </c>
      <c r="V34" s="123" t="s">
        <v>390</v>
      </c>
      <c r="W34" s="123" t="s">
        <v>1</v>
      </c>
      <c r="X34" s="122" t="s">
        <v>343</v>
      </c>
      <c r="Y34" s="124"/>
      <c r="Z34" s="124"/>
      <c r="AA34" s="123">
        <v>1151268.0</v>
      </c>
      <c r="AB34" s="123">
        <v>1.0</v>
      </c>
      <c r="AC34" s="123">
        <v>1151268.0</v>
      </c>
      <c r="AD34" s="123" t="s">
        <v>157</v>
      </c>
      <c r="AE34" s="124"/>
      <c r="AF34" s="123">
        <v>998599.0</v>
      </c>
      <c r="AG34" s="123" t="s">
        <v>158</v>
      </c>
      <c r="AH34" s="124"/>
      <c r="AI34" s="124"/>
      <c r="AJ34" s="123">
        <v>0.0</v>
      </c>
      <c r="AK34" s="123">
        <v>0.0</v>
      </c>
      <c r="AL34" s="123">
        <v>1151268.0</v>
      </c>
      <c r="AM34" s="123" t="s">
        <v>159</v>
      </c>
      <c r="AN34" s="123">
        <v>18.0</v>
      </c>
      <c r="AO34" s="122">
        <v>0.0</v>
      </c>
      <c r="AP34" s="123">
        <v>0.0</v>
      </c>
      <c r="AQ34" s="123">
        <v>207228.24</v>
      </c>
      <c r="AR34" s="123">
        <v>0.0</v>
      </c>
      <c r="AS34" s="123">
        <v>0.0</v>
      </c>
      <c r="AT34" s="123">
        <v>0.0</v>
      </c>
      <c r="AU34" s="123">
        <v>0.0</v>
      </c>
      <c r="AV34" s="123">
        <v>0.0</v>
      </c>
      <c r="AW34" s="124"/>
      <c r="AX34" s="124"/>
      <c r="AY34" s="123">
        <v>0.0</v>
      </c>
      <c r="AZ34" s="123">
        <v>1358496.24</v>
      </c>
      <c r="BA34" s="123" t="s">
        <v>20</v>
      </c>
      <c r="BB34" s="123" t="s">
        <v>31</v>
      </c>
      <c r="BC34" s="123" t="s">
        <v>160</v>
      </c>
      <c r="BD34" s="123" t="s">
        <v>388</v>
      </c>
      <c r="BE34" s="123" t="s">
        <v>161</v>
      </c>
      <c r="BF34" s="123" t="s">
        <v>162</v>
      </c>
      <c r="BG34" s="124"/>
      <c r="BH34" s="124"/>
      <c r="BI34" s="123" t="s">
        <v>391</v>
      </c>
      <c r="BJ34" s="172">
        <v>46142.665972222225</v>
      </c>
      <c r="BK34" s="171" t="s">
        <v>164</v>
      </c>
    </row>
    <row r="35" ht="14.25" customHeight="1">
      <c r="A35" s="122" t="s">
        <v>144</v>
      </c>
      <c r="B35" s="123" t="s">
        <v>392</v>
      </c>
      <c r="C35" s="123">
        <v>107.0</v>
      </c>
      <c r="D35" s="123" t="s">
        <v>146</v>
      </c>
      <c r="E35" s="123" t="s">
        <v>147</v>
      </c>
      <c r="F35" s="123" t="s">
        <v>393</v>
      </c>
      <c r="G35" s="124"/>
      <c r="H35" s="123" t="s">
        <v>149</v>
      </c>
      <c r="I35" s="123" t="s">
        <v>2</v>
      </c>
      <c r="J35" s="123" t="s">
        <v>150</v>
      </c>
      <c r="K35" s="123" t="s">
        <v>151</v>
      </c>
      <c r="L35" s="123" t="s">
        <v>152</v>
      </c>
      <c r="M35" s="124"/>
      <c r="N35" s="124"/>
      <c r="O35" s="125">
        <v>46141.0</v>
      </c>
      <c r="P35" s="123" t="s">
        <v>394</v>
      </c>
      <c r="Q35" s="123">
        <v>2.720854E7</v>
      </c>
      <c r="R35" s="125">
        <v>46141.0</v>
      </c>
      <c r="S35" s="123" t="s">
        <v>154</v>
      </c>
      <c r="T35" s="123">
        <v>5137.0</v>
      </c>
      <c r="U35" s="122" t="s">
        <v>228</v>
      </c>
      <c r="V35" s="123" t="s">
        <v>229</v>
      </c>
      <c r="W35" s="123" t="s">
        <v>1</v>
      </c>
      <c r="X35" s="122" t="s">
        <v>230</v>
      </c>
      <c r="Y35" s="124"/>
      <c r="Z35" s="124"/>
      <c r="AA35" s="123">
        <v>192000.0</v>
      </c>
      <c r="AB35" s="123">
        <v>1.0</v>
      </c>
      <c r="AC35" s="123">
        <v>192000.0</v>
      </c>
      <c r="AD35" s="123" t="s">
        <v>157</v>
      </c>
      <c r="AE35" s="124"/>
      <c r="AF35" s="123">
        <v>997212.0</v>
      </c>
      <c r="AG35" s="123" t="s">
        <v>395</v>
      </c>
      <c r="AH35" s="124"/>
      <c r="AI35" s="124"/>
      <c r="AJ35" s="123">
        <v>0.0</v>
      </c>
      <c r="AK35" s="123">
        <v>0.0</v>
      </c>
      <c r="AL35" s="123">
        <v>192000.0</v>
      </c>
      <c r="AM35" s="123" t="s">
        <v>159</v>
      </c>
      <c r="AN35" s="123">
        <v>18.0</v>
      </c>
      <c r="AO35" s="122">
        <v>17280.0</v>
      </c>
      <c r="AP35" s="123">
        <v>17280.0</v>
      </c>
      <c r="AQ35" s="123">
        <v>0.0</v>
      </c>
      <c r="AR35" s="123">
        <v>0.0</v>
      </c>
      <c r="AS35" s="123">
        <v>0.0</v>
      </c>
      <c r="AT35" s="123">
        <v>0.0</v>
      </c>
      <c r="AU35" s="123">
        <v>0.0</v>
      </c>
      <c r="AV35" s="123">
        <v>0.0</v>
      </c>
      <c r="AW35" s="124"/>
      <c r="AX35" s="124"/>
      <c r="AY35" s="123">
        <v>0.0</v>
      </c>
      <c r="AZ35" s="123">
        <v>226560.0</v>
      </c>
      <c r="BA35" s="123" t="s">
        <v>20</v>
      </c>
      <c r="BB35" s="123" t="s">
        <v>31</v>
      </c>
      <c r="BC35" s="123" t="s">
        <v>186</v>
      </c>
      <c r="BD35" s="123" t="s">
        <v>393</v>
      </c>
      <c r="BE35" s="123" t="s">
        <v>187</v>
      </c>
      <c r="BF35" s="123" t="s">
        <v>162</v>
      </c>
      <c r="BG35" s="124"/>
      <c r="BH35" s="124"/>
      <c r="BI35" s="123" t="s">
        <v>396</v>
      </c>
      <c r="BJ35" s="172">
        <v>46141.65972222222</v>
      </c>
      <c r="BK35" s="171" t="s">
        <v>164</v>
      </c>
    </row>
    <row r="36" ht="14.25" customHeight="1">
      <c r="A36" s="122" t="s">
        <v>144</v>
      </c>
      <c r="B36" s="123" t="s">
        <v>397</v>
      </c>
      <c r="C36" s="123">
        <v>107.0</v>
      </c>
      <c r="D36" s="123" t="s">
        <v>146</v>
      </c>
      <c r="E36" s="123" t="s">
        <v>147</v>
      </c>
      <c r="F36" s="123" t="s">
        <v>398</v>
      </c>
      <c r="G36" s="124"/>
      <c r="H36" s="123" t="s">
        <v>149</v>
      </c>
      <c r="I36" s="123" t="s">
        <v>2</v>
      </c>
      <c r="J36" s="123" t="s">
        <v>150</v>
      </c>
      <c r="K36" s="123" t="s">
        <v>151</v>
      </c>
      <c r="L36" s="123" t="s">
        <v>152</v>
      </c>
      <c r="M36" s="124"/>
      <c r="N36" s="124"/>
      <c r="O36" s="125">
        <v>46142.0</v>
      </c>
      <c r="P36" s="123" t="s">
        <v>399</v>
      </c>
      <c r="Q36" s="123">
        <v>2.7210292E7</v>
      </c>
      <c r="R36" s="125">
        <v>46142.0</v>
      </c>
      <c r="S36" s="123" t="s">
        <v>154</v>
      </c>
      <c r="T36" s="123">
        <v>16432.0</v>
      </c>
      <c r="U36" s="122" t="s">
        <v>400</v>
      </c>
      <c r="V36" s="123" t="s">
        <v>401</v>
      </c>
      <c r="W36" s="123" t="s">
        <v>1</v>
      </c>
      <c r="X36" s="122" t="s">
        <v>402</v>
      </c>
      <c r="Y36" s="124"/>
      <c r="Z36" s="124"/>
      <c r="AA36" s="123">
        <v>1.02886729E7</v>
      </c>
      <c r="AB36" s="123">
        <v>1.0</v>
      </c>
      <c r="AC36" s="123">
        <v>1.02886729E7</v>
      </c>
      <c r="AD36" s="123" t="s">
        <v>157</v>
      </c>
      <c r="AE36" s="124"/>
      <c r="AF36" s="123">
        <v>998599.0</v>
      </c>
      <c r="AG36" s="123" t="s">
        <v>158</v>
      </c>
      <c r="AH36" s="124"/>
      <c r="AI36" s="124"/>
      <c r="AJ36" s="123">
        <v>0.0</v>
      </c>
      <c r="AK36" s="123">
        <v>0.0</v>
      </c>
      <c r="AL36" s="123">
        <v>1.02886729E7</v>
      </c>
      <c r="AM36" s="123" t="s">
        <v>159</v>
      </c>
      <c r="AN36" s="123">
        <v>18.0</v>
      </c>
      <c r="AO36" s="122">
        <v>0.0</v>
      </c>
      <c r="AP36" s="123">
        <v>0.0</v>
      </c>
      <c r="AQ36" s="123">
        <v>1851961.12</v>
      </c>
      <c r="AR36" s="123">
        <v>0.0</v>
      </c>
      <c r="AS36" s="123">
        <v>0.0</v>
      </c>
      <c r="AT36" s="123">
        <v>0.0</v>
      </c>
      <c r="AU36" s="123">
        <v>0.0</v>
      </c>
      <c r="AV36" s="123">
        <v>0.0</v>
      </c>
      <c r="AW36" s="124"/>
      <c r="AX36" s="124"/>
      <c r="AY36" s="123">
        <v>0.0</v>
      </c>
      <c r="AZ36" s="123">
        <v>1.214063402E7</v>
      </c>
      <c r="BA36" s="123" t="s">
        <v>20</v>
      </c>
      <c r="BB36" s="123" t="s">
        <v>31</v>
      </c>
      <c r="BC36" s="123" t="s">
        <v>160</v>
      </c>
      <c r="BD36" s="123" t="s">
        <v>398</v>
      </c>
      <c r="BE36" s="123" t="s">
        <v>161</v>
      </c>
      <c r="BF36" s="123" t="s">
        <v>162</v>
      </c>
      <c r="BG36" s="124"/>
      <c r="BH36" s="124"/>
      <c r="BI36" s="123" t="s">
        <v>403</v>
      </c>
      <c r="BJ36" s="172">
        <v>46142.59305555555</v>
      </c>
      <c r="BK36" s="171" t="s">
        <v>164</v>
      </c>
    </row>
    <row r="37" ht="14.25" customHeight="1">
      <c r="A37" s="122" t="s">
        <v>144</v>
      </c>
      <c r="B37" s="123" t="s">
        <v>404</v>
      </c>
      <c r="C37" s="123">
        <v>107.0</v>
      </c>
      <c r="D37" s="123" t="s">
        <v>146</v>
      </c>
      <c r="E37" s="123" t="s">
        <v>147</v>
      </c>
      <c r="F37" s="123" t="s">
        <v>405</v>
      </c>
      <c r="G37" s="124"/>
      <c r="H37" s="123" t="s">
        <v>149</v>
      </c>
      <c r="I37" s="123" t="s">
        <v>2</v>
      </c>
      <c r="J37" s="123" t="s">
        <v>150</v>
      </c>
      <c r="K37" s="123" t="s">
        <v>151</v>
      </c>
      <c r="L37" s="123" t="s">
        <v>152</v>
      </c>
      <c r="M37" s="124"/>
      <c r="N37" s="124"/>
      <c r="O37" s="125">
        <v>46142.0</v>
      </c>
      <c r="P37" s="123" t="s">
        <v>406</v>
      </c>
      <c r="Q37" s="123">
        <v>2.721028E7</v>
      </c>
      <c r="R37" s="125">
        <v>46142.0</v>
      </c>
      <c r="S37" s="123" t="s">
        <v>154</v>
      </c>
      <c r="T37" s="123">
        <v>445070.0</v>
      </c>
      <c r="U37" s="122" t="s">
        <v>175</v>
      </c>
      <c r="V37" s="123" t="s">
        <v>407</v>
      </c>
      <c r="W37" s="123" t="s">
        <v>1</v>
      </c>
      <c r="X37" s="122" t="s">
        <v>408</v>
      </c>
      <c r="Y37" s="124"/>
      <c r="Z37" s="124"/>
      <c r="AA37" s="123">
        <v>641416.0</v>
      </c>
      <c r="AB37" s="123">
        <v>1.0</v>
      </c>
      <c r="AC37" s="123">
        <v>641416.0</v>
      </c>
      <c r="AD37" s="123" t="s">
        <v>157</v>
      </c>
      <c r="AE37" s="124"/>
      <c r="AF37" s="123">
        <v>998599.0</v>
      </c>
      <c r="AG37" s="123" t="s">
        <v>158</v>
      </c>
      <c r="AH37" s="124"/>
      <c r="AI37" s="124"/>
      <c r="AJ37" s="123">
        <v>0.0</v>
      </c>
      <c r="AK37" s="123">
        <v>0.0</v>
      </c>
      <c r="AL37" s="123">
        <v>641416.0</v>
      </c>
      <c r="AM37" s="123" t="s">
        <v>159</v>
      </c>
      <c r="AN37" s="123">
        <v>18.0</v>
      </c>
      <c r="AO37" s="122">
        <v>0.0</v>
      </c>
      <c r="AP37" s="123">
        <v>0.0</v>
      </c>
      <c r="AQ37" s="123">
        <v>115454.88</v>
      </c>
      <c r="AR37" s="123">
        <v>0.0</v>
      </c>
      <c r="AS37" s="123">
        <v>0.0</v>
      </c>
      <c r="AT37" s="123">
        <v>0.0</v>
      </c>
      <c r="AU37" s="123">
        <v>0.0</v>
      </c>
      <c r="AV37" s="123">
        <v>0.0</v>
      </c>
      <c r="AW37" s="124"/>
      <c r="AX37" s="124"/>
      <c r="AY37" s="123">
        <v>0.0</v>
      </c>
      <c r="AZ37" s="123">
        <v>756870.88</v>
      </c>
      <c r="BA37" s="123" t="s">
        <v>20</v>
      </c>
      <c r="BB37" s="123" t="s">
        <v>31</v>
      </c>
      <c r="BC37" s="123" t="s">
        <v>160</v>
      </c>
      <c r="BD37" s="123" t="s">
        <v>405</v>
      </c>
      <c r="BE37" s="123" t="s">
        <v>161</v>
      </c>
      <c r="BF37" s="123" t="s">
        <v>162</v>
      </c>
      <c r="BG37" s="124"/>
      <c r="BH37" s="124"/>
      <c r="BI37" s="123" t="s">
        <v>409</v>
      </c>
      <c r="BJ37" s="172">
        <v>46142.580555555556</v>
      </c>
      <c r="BK37" s="171" t="s">
        <v>164</v>
      </c>
    </row>
    <row r="38" ht="14.25" customHeight="1">
      <c r="A38" s="122" t="s">
        <v>144</v>
      </c>
      <c r="B38" s="123" t="s">
        <v>410</v>
      </c>
      <c r="C38" s="123">
        <v>107.0</v>
      </c>
      <c r="D38" s="123" t="s">
        <v>146</v>
      </c>
      <c r="E38" s="123" t="s">
        <v>147</v>
      </c>
      <c r="F38" s="123" t="s">
        <v>411</v>
      </c>
      <c r="G38" s="124"/>
      <c r="H38" s="123" t="s">
        <v>149</v>
      </c>
      <c r="I38" s="123" t="s">
        <v>2</v>
      </c>
      <c r="J38" s="123" t="s">
        <v>150</v>
      </c>
      <c r="K38" s="123" t="s">
        <v>151</v>
      </c>
      <c r="L38" s="123" t="s">
        <v>152</v>
      </c>
      <c r="M38" s="124"/>
      <c r="N38" s="124"/>
      <c r="O38" s="125">
        <v>46113.0</v>
      </c>
      <c r="P38" s="123" t="s">
        <v>412</v>
      </c>
      <c r="Q38" s="123">
        <v>2.7165332E7</v>
      </c>
      <c r="R38" s="125">
        <v>46113.0</v>
      </c>
      <c r="S38" s="123" t="s">
        <v>154</v>
      </c>
      <c r="T38" s="123">
        <v>445069.0</v>
      </c>
      <c r="U38" s="122" t="s">
        <v>175</v>
      </c>
      <c r="V38" s="123" t="s">
        <v>379</v>
      </c>
      <c r="W38" s="123" t="s">
        <v>1</v>
      </c>
      <c r="X38" s="122" t="s">
        <v>380</v>
      </c>
      <c r="Y38" s="124"/>
      <c r="Z38" s="124"/>
      <c r="AA38" s="123">
        <v>57185.63</v>
      </c>
      <c r="AB38" s="123">
        <v>1.0</v>
      </c>
      <c r="AC38" s="123">
        <v>57185.63</v>
      </c>
      <c r="AD38" s="123" t="s">
        <v>157</v>
      </c>
      <c r="AE38" s="124"/>
      <c r="AF38" s="123">
        <v>8.471301E7</v>
      </c>
      <c r="AG38" s="123" t="s">
        <v>266</v>
      </c>
      <c r="AH38" s="124"/>
      <c r="AI38" s="124"/>
      <c r="AJ38" s="123">
        <v>0.0</v>
      </c>
      <c r="AK38" s="123">
        <v>0.0</v>
      </c>
      <c r="AL38" s="123">
        <v>57185.63</v>
      </c>
      <c r="AM38" s="123" t="s">
        <v>159</v>
      </c>
      <c r="AN38" s="123">
        <v>18.0</v>
      </c>
      <c r="AO38" s="122">
        <v>0.0</v>
      </c>
      <c r="AP38" s="123">
        <v>0.0</v>
      </c>
      <c r="AQ38" s="123">
        <v>10293.41</v>
      </c>
      <c r="AR38" s="123">
        <v>0.0</v>
      </c>
      <c r="AS38" s="123">
        <v>0.0</v>
      </c>
      <c r="AT38" s="123">
        <v>0.0</v>
      </c>
      <c r="AU38" s="123">
        <v>0.0</v>
      </c>
      <c r="AV38" s="123">
        <v>0.0</v>
      </c>
      <c r="AW38" s="124"/>
      <c r="AX38" s="124"/>
      <c r="AY38" s="123">
        <v>0.0</v>
      </c>
      <c r="AZ38" s="123">
        <v>67479.04</v>
      </c>
      <c r="BA38" s="123" t="s">
        <v>20</v>
      </c>
      <c r="BB38" s="123" t="s">
        <v>31</v>
      </c>
      <c r="BC38" s="123" t="s">
        <v>267</v>
      </c>
      <c r="BD38" s="123" t="s">
        <v>411</v>
      </c>
      <c r="BE38" s="123" t="s">
        <v>161</v>
      </c>
      <c r="BF38" s="123" t="s">
        <v>268</v>
      </c>
      <c r="BG38" s="124"/>
      <c r="BH38" s="124"/>
      <c r="BI38" s="123" t="s">
        <v>413</v>
      </c>
      <c r="BJ38" s="172">
        <v>46113.53472222222</v>
      </c>
      <c r="BK38" s="171" t="s">
        <v>164</v>
      </c>
    </row>
    <row r="39" ht="14.25" customHeight="1">
      <c r="A39" s="122" t="s">
        <v>144</v>
      </c>
      <c r="B39" s="123" t="s">
        <v>414</v>
      </c>
      <c r="C39" s="123">
        <v>107.0</v>
      </c>
      <c r="D39" s="123" t="s">
        <v>146</v>
      </c>
      <c r="E39" s="123" t="s">
        <v>147</v>
      </c>
      <c r="F39" s="123" t="s">
        <v>415</v>
      </c>
      <c r="G39" s="124"/>
      <c r="H39" s="123" t="s">
        <v>149</v>
      </c>
      <c r="I39" s="123" t="s">
        <v>2</v>
      </c>
      <c r="J39" s="123" t="s">
        <v>150</v>
      </c>
      <c r="K39" s="123" t="s">
        <v>151</v>
      </c>
      <c r="L39" s="123" t="s">
        <v>152</v>
      </c>
      <c r="M39" s="124"/>
      <c r="N39" s="124"/>
      <c r="O39" s="125">
        <v>46141.0</v>
      </c>
      <c r="P39" s="123" t="s">
        <v>416</v>
      </c>
      <c r="Q39" s="123">
        <v>2.7208499E7</v>
      </c>
      <c r="R39" s="125">
        <v>46141.0</v>
      </c>
      <c r="S39" s="123" t="s">
        <v>154</v>
      </c>
      <c r="T39" s="123">
        <v>5097.0</v>
      </c>
      <c r="U39" s="122" t="s">
        <v>417</v>
      </c>
      <c r="V39" s="123" t="s">
        <v>418</v>
      </c>
      <c r="W39" s="123" t="s">
        <v>1</v>
      </c>
      <c r="X39" s="122" t="s">
        <v>419</v>
      </c>
      <c r="Y39" s="124"/>
      <c r="Z39" s="124"/>
      <c r="AA39" s="123">
        <v>15000.0</v>
      </c>
      <c r="AB39" s="123">
        <v>1.0</v>
      </c>
      <c r="AC39" s="123">
        <v>15000.0</v>
      </c>
      <c r="AD39" s="123" t="s">
        <v>157</v>
      </c>
      <c r="AE39" s="124"/>
      <c r="AF39" s="123">
        <v>997212.0</v>
      </c>
      <c r="AG39" s="123" t="s">
        <v>420</v>
      </c>
      <c r="AH39" s="124"/>
      <c r="AI39" s="124"/>
      <c r="AJ39" s="123">
        <v>0.0</v>
      </c>
      <c r="AK39" s="123">
        <v>0.0</v>
      </c>
      <c r="AL39" s="123">
        <v>15000.0</v>
      </c>
      <c r="AM39" s="123" t="s">
        <v>159</v>
      </c>
      <c r="AN39" s="123">
        <v>18.0</v>
      </c>
      <c r="AO39" s="122">
        <v>1350.0</v>
      </c>
      <c r="AP39" s="123">
        <v>1350.0</v>
      </c>
      <c r="AQ39" s="123">
        <v>0.0</v>
      </c>
      <c r="AR39" s="123">
        <v>0.0</v>
      </c>
      <c r="AS39" s="123">
        <v>0.0</v>
      </c>
      <c r="AT39" s="123">
        <v>0.0</v>
      </c>
      <c r="AU39" s="123">
        <v>0.0</v>
      </c>
      <c r="AV39" s="123">
        <v>0.0</v>
      </c>
      <c r="AW39" s="124"/>
      <c r="AX39" s="124"/>
      <c r="AY39" s="123">
        <v>0.0</v>
      </c>
      <c r="AZ39" s="123">
        <v>17700.0</v>
      </c>
      <c r="BA39" s="123" t="s">
        <v>20</v>
      </c>
      <c r="BB39" s="123" t="s">
        <v>31</v>
      </c>
      <c r="BC39" s="123" t="s">
        <v>186</v>
      </c>
      <c r="BD39" s="123" t="s">
        <v>415</v>
      </c>
      <c r="BE39" s="123" t="s">
        <v>187</v>
      </c>
      <c r="BF39" s="123" t="s">
        <v>162</v>
      </c>
      <c r="BG39" s="124"/>
      <c r="BH39" s="124"/>
      <c r="BI39" s="123" t="s">
        <v>421</v>
      </c>
      <c r="BJ39" s="172">
        <v>46141.65138888889</v>
      </c>
      <c r="BK39" s="171" t="s">
        <v>164</v>
      </c>
    </row>
    <row r="40" ht="14.25" customHeight="1">
      <c r="A40" s="122" t="s">
        <v>144</v>
      </c>
      <c r="B40" s="123" t="s">
        <v>422</v>
      </c>
      <c r="C40" s="123">
        <v>107.0</v>
      </c>
      <c r="D40" s="123" t="s">
        <v>146</v>
      </c>
      <c r="E40" s="123" t="s">
        <v>147</v>
      </c>
      <c r="F40" s="123" t="s">
        <v>423</v>
      </c>
      <c r="G40" s="124"/>
      <c r="H40" s="123" t="s">
        <v>149</v>
      </c>
      <c r="I40" s="123" t="s">
        <v>2</v>
      </c>
      <c r="J40" s="123" t="s">
        <v>150</v>
      </c>
      <c r="K40" s="123" t="s">
        <v>151</v>
      </c>
      <c r="L40" s="123" t="s">
        <v>152</v>
      </c>
      <c r="M40" s="124"/>
      <c r="N40" s="124"/>
      <c r="O40" s="125">
        <v>46142.0</v>
      </c>
      <c r="P40" s="123" t="s">
        <v>424</v>
      </c>
      <c r="Q40" s="123">
        <v>2.7210279E7</v>
      </c>
      <c r="R40" s="125">
        <v>46142.0</v>
      </c>
      <c r="S40" s="123" t="s">
        <v>154</v>
      </c>
      <c r="T40" s="123">
        <v>2891.0</v>
      </c>
      <c r="U40" s="122" t="s">
        <v>425</v>
      </c>
      <c r="V40" s="123" t="s">
        <v>426</v>
      </c>
      <c r="W40" s="123" t="s">
        <v>1</v>
      </c>
      <c r="X40" s="122" t="s">
        <v>427</v>
      </c>
      <c r="Y40" s="124"/>
      <c r="Z40" s="124"/>
      <c r="AA40" s="123">
        <v>7657508.0</v>
      </c>
      <c r="AB40" s="123">
        <v>1.0</v>
      </c>
      <c r="AC40" s="123">
        <v>7657508.0</v>
      </c>
      <c r="AD40" s="123" t="s">
        <v>157</v>
      </c>
      <c r="AE40" s="124"/>
      <c r="AF40" s="123">
        <v>998599.0</v>
      </c>
      <c r="AG40" s="123" t="s">
        <v>158</v>
      </c>
      <c r="AH40" s="124"/>
      <c r="AI40" s="124"/>
      <c r="AJ40" s="123">
        <v>0.0</v>
      </c>
      <c r="AK40" s="123">
        <v>0.0</v>
      </c>
      <c r="AL40" s="123">
        <v>7657508.0</v>
      </c>
      <c r="AM40" s="123" t="s">
        <v>159</v>
      </c>
      <c r="AN40" s="123">
        <v>18.0</v>
      </c>
      <c r="AO40" s="122">
        <v>0.0</v>
      </c>
      <c r="AP40" s="123">
        <v>0.0</v>
      </c>
      <c r="AQ40" s="123">
        <v>1378351.44</v>
      </c>
      <c r="AR40" s="123">
        <v>0.0</v>
      </c>
      <c r="AS40" s="123">
        <v>0.0</v>
      </c>
      <c r="AT40" s="123">
        <v>0.0</v>
      </c>
      <c r="AU40" s="123">
        <v>0.0</v>
      </c>
      <c r="AV40" s="123">
        <v>0.0</v>
      </c>
      <c r="AW40" s="124"/>
      <c r="AX40" s="124"/>
      <c r="AY40" s="123">
        <v>0.0</v>
      </c>
      <c r="AZ40" s="123">
        <v>9035859.44</v>
      </c>
      <c r="BA40" s="123" t="s">
        <v>20</v>
      </c>
      <c r="BB40" s="123" t="s">
        <v>31</v>
      </c>
      <c r="BC40" s="123" t="s">
        <v>160</v>
      </c>
      <c r="BD40" s="123" t="s">
        <v>423</v>
      </c>
      <c r="BE40" s="123" t="s">
        <v>161</v>
      </c>
      <c r="BF40" s="123" t="s">
        <v>162</v>
      </c>
      <c r="BG40" s="124"/>
      <c r="BH40" s="124"/>
      <c r="BI40" s="173" t="s">
        <v>428</v>
      </c>
      <c r="BJ40" s="172">
        <v>46142.57638888889</v>
      </c>
      <c r="BK40" s="171" t="s">
        <v>164</v>
      </c>
    </row>
    <row r="41" ht="14.25" customHeight="1">
      <c r="A41" s="122" t="s">
        <v>144</v>
      </c>
      <c r="B41" s="123" t="s">
        <v>429</v>
      </c>
      <c r="C41" s="123">
        <v>107.0</v>
      </c>
      <c r="D41" s="123" t="s">
        <v>146</v>
      </c>
      <c r="E41" s="123" t="s">
        <v>147</v>
      </c>
      <c r="F41" s="123" t="s">
        <v>430</v>
      </c>
      <c r="G41" s="124"/>
      <c r="H41" s="123" t="s">
        <v>149</v>
      </c>
      <c r="I41" s="123" t="s">
        <v>2</v>
      </c>
      <c r="J41" s="123" t="s">
        <v>150</v>
      </c>
      <c r="K41" s="123" t="s">
        <v>151</v>
      </c>
      <c r="L41" s="123" t="s">
        <v>152</v>
      </c>
      <c r="M41" s="124"/>
      <c r="N41" s="124"/>
      <c r="O41" s="125">
        <v>46142.0</v>
      </c>
      <c r="P41" s="123" t="s">
        <v>431</v>
      </c>
      <c r="Q41" s="123">
        <v>2.7210243E7</v>
      </c>
      <c r="R41" s="125">
        <v>46142.0</v>
      </c>
      <c r="S41" s="123" t="s">
        <v>154</v>
      </c>
      <c r="T41" s="123">
        <v>679080.0</v>
      </c>
      <c r="U41" s="122" t="s">
        <v>175</v>
      </c>
      <c r="V41" s="123" t="s">
        <v>432</v>
      </c>
      <c r="W41" s="123" t="s">
        <v>1</v>
      </c>
      <c r="X41" s="122" t="s">
        <v>433</v>
      </c>
      <c r="Y41" s="124"/>
      <c r="Z41" s="124"/>
      <c r="AA41" s="123">
        <v>15454.0</v>
      </c>
      <c r="AB41" s="123">
        <v>1.0</v>
      </c>
      <c r="AC41" s="123">
        <v>15454.0</v>
      </c>
      <c r="AD41" s="123" t="s">
        <v>157</v>
      </c>
      <c r="AE41" s="124"/>
      <c r="AF41" s="123">
        <v>998599.0</v>
      </c>
      <c r="AG41" s="123" t="s">
        <v>158</v>
      </c>
      <c r="AH41" s="124"/>
      <c r="AI41" s="124"/>
      <c r="AJ41" s="123">
        <v>0.0</v>
      </c>
      <c r="AK41" s="123">
        <v>0.0</v>
      </c>
      <c r="AL41" s="123">
        <v>15454.0</v>
      </c>
      <c r="AM41" s="123" t="s">
        <v>159</v>
      </c>
      <c r="AN41" s="123">
        <v>18.0</v>
      </c>
      <c r="AO41" s="122">
        <v>0.0</v>
      </c>
      <c r="AP41" s="123">
        <v>0.0</v>
      </c>
      <c r="AQ41" s="123">
        <v>2781.72</v>
      </c>
      <c r="AR41" s="123">
        <v>0.0</v>
      </c>
      <c r="AS41" s="123">
        <v>0.0</v>
      </c>
      <c r="AT41" s="123">
        <v>0.0</v>
      </c>
      <c r="AU41" s="123">
        <v>0.0</v>
      </c>
      <c r="AV41" s="123">
        <v>0.0</v>
      </c>
      <c r="AW41" s="124"/>
      <c r="AX41" s="124"/>
      <c r="AY41" s="123">
        <v>0.0</v>
      </c>
      <c r="AZ41" s="123">
        <v>18235.72</v>
      </c>
      <c r="BA41" s="123" t="s">
        <v>20</v>
      </c>
      <c r="BB41" s="123" t="s">
        <v>31</v>
      </c>
      <c r="BC41" s="123" t="s">
        <v>160</v>
      </c>
      <c r="BD41" s="123" t="s">
        <v>430</v>
      </c>
      <c r="BE41" s="123" t="s">
        <v>161</v>
      </c>
      <c r="BF41" s="123" t="s">
        <v>162</v>
      </c>
      <c r="BG41" s="124"/>
      <c r="BH41" s="124"/>
      <c r="BI41" s="123" t="s">
        <v>434</v>
      </c>
      <c r="BJ41" s="172">
        <v>46142.55138888889</v>
      </c>
      <c r="BK41" s="171" t="s">
        <v>164</v>
      </c>
    </row>
    <row r="42" ht="14.25" customHeight="1">
      <c r="A42" s="122" t="s">
        <v>238</v>
      </c>
      <c r="B42" s="123" t="s">
        <v>435</v>
      </c>
      <c r="C42" s="123">
        <v>107.0</v>
      </c>
      <c r="D42" s="123" t="s">
        <v>146</v>
      </c>
      <c r="E42" s="123" t="s">
        <v>147</v>
      </c>
      <c r="F42" s="123" t="s">
        <v>436</v>
      </c>
      <c r="G42" s="124"/>
      <c r="H42" s="123" t="s">
        <v>149</v>
      </c>
      <c r="I42" s="123" t="s">
        <v>2</v>
      </c>
      <c r="J42" s="123" t="s">
        <v>241</v>
      </c>
      <c r="K42" s="123" t="s">
        <v>242</v>
      </c>
      <c r="L42" s="123" t="s">
        <v>243</v>
      </c>
      <c r="M42" s="123" t="s">
        <v>244</v>
      </c>
      <c r="N42" s="123" t="s">
        <v>245</v>
      </c>
      <c r="O42" s="125">
        <v>46142.0</v>
      </c>
      <c r="P42" s="123" t="s">
        <v>437</v>
      </c>
      <c r="Q42" s="123">
        <v>1.0863604E8</v>
      </c>
      <c r="R42" s="125">
        <v>46142.0</v>
      </c>
      <c r="S42" s="123" t="s">
        <v>247</v>
      </c>
      <c r="T42" s="123">
        <v>2894.0</v>
      </c>
      <c r="U42" s="122" t="s">
        <v>248</v>
      </c>
      <c r="V42" s="123" t="s">
        <v>249</v>
      </c>
      <c r="W42" s="124"/>
      <c r="X42" s="122" t="s">
        <v>250</v>
      </c>
      <c r="Y42" s="124"/>
      <c r="Z42" s="124"/>
      <c r="AA42" s="123">
        <v>0.0</v>
      </c>
      <c r="AB42" s="123">
        <v>0.0</v>
      </c>
      <c r="AC42" s="123">
        <v>1.9283523E7</v>
      </c>
      <c r="AD42" s="123" t="s">
        <v>157</v>
      </c>
      <c r="AE42" s="123" t="s">
        <v>251</v>
      </c>
      <c r="AF42" s="123">
        <v>998346.0</v>
      </c>
      <c r="AG42" s="123" t="s">
        <v>251</v>
      </c>
      <c r="AH42" s="124"/>
      <c r="AI42" s="124"/>
      <c r="AJ42" s="123">
        <v>0.0</v>
      </c>
      <c r="AK42" s="123">
        <v>0.0</v>
      </c>
      <c r="AL42" s="123">
        <v>1.9283523E7</v>
      </c>
      <c r="AM42" s="123" t="s">
        <v>159</v>
      </c>
      <c r="AN42" s="123">
        <v>18.0</v>
      </c>
      <c r="AO42" s="122">
        <v>1735517.07</v>
      </c>
      <c r="AP42" s="123">
        <v>1735517.07</v>
      </c>
      <c r="AQ42" s="123">
        <v>0.0</v>
      </c>
      <c r="AR42" s="123">
        <v>0.0</v>
      </c>
      <c r="AS42" s="123">
        <v>0.0</v>
      </c>
      <c r="AT42" s="123">
        <v>0.0</v>
      </c>
      <c r="AU42" s="123">
        <v>0.0</v>
      </c>
      <c r="AV42" s="123">
        <v>0.0</v>
      </c>
      <c r="AW42" s="124"/>
      <c r="AX42" s="124"/>
      <c r="AY42" s="123">
        <v>0.0</v>
      </c>
      <c r="AZ42" s="123">
        <v>2.275455714E7</v>
      </c>
      <c r="BA42" s="123" t="s">
        <v>20</v>
      </c>
      <c r="BB42" s="123" t="s">
        <v>31</v>
      </c>
      <c r="BC42" s="123" t="s">
        <v>252</v>
      </c>
      <c r="BD42" s="124"/>
      <c r="BE42" s="124"/>
      <c r="BF42" s="124"/>
      <c r="BG42" s="124"/>
      <c r="BH42" s="124"/>
      <c r="BI42" s="123" t="s">
        <v>438</v>
      </c>
      <c r="BJ42" s="172">
        <v>46142.899305555555</v>
      </c>
      <c r="BK42" s="171" t="s">
        <v>164</v>
      </c>
    </row>
    <row r="43" ht="14.25" customHeight="1">
      <c r="A43" s="122" t="s">
        <v>144</v>
      </c>
      <c r="B43" s="123" t="s">
        <v>439</v>
      </c>
      <c r="C43" s="123">
        <v>107.0</v>
      </c>
      <c r="D43" s="123" t="s">
        <v>146</v>
      </c>
      <c r="E43" s="123" t="s">
        <v>147</v>
      </c>
      <c r="F43" s="123" t="s">
        <v>440</v>
      </c>
      <c r="G43" s="124"/>
      <c r="H43" s="123" t="s">
        <v>149</v>
      </c>
      <c r="I43" s="123" t="s">
        <v>2</v>
      </c>
      <c r="J43" s="123" t="s">
        <v>150</v>
      </c>
      <c r="K43" s="123" t="s">
        <v>151</v>
      </c>
      <c r="L43" s="123" t="s">
        <v>152</v>
      </c>
      <c r="M43" s="124"/>
      <c r="N43" s="124"/>
      <c r="O43" s="125">
        <v>46133.0</v>
      </c>
      <c r="P43" s="123" t="s">
        <v>441</v>
      </c>
      <c r="Q43" s="123">
        <v>2.719922E7</v>
      </c>
      <c r="R43" s="125">
        <v>46133.0</v>
      </c>
      <c r="S43" s="123" t="s">
        <v>154</v>
      </c>
      <c r="T43" s="123">
        <v>1242122.0</v>
      </c>
      <c r="U43" s="122" t="s">
        <v>192</v>
      </c>
      <c r="V43" s="123" t="s">
        <v>193</v>
      </c>
      <c r="W43" s="123" t="s">
        <v>1</v>
      </c>
      <c r="X43" s="122" t="s">
        <v>194</v>
      </c>
      <c r="Y43" s="124"/>
      <c r="Z43" s="124"/>
      <c r="AA43" s="123">
        <v>209913.0</v>
      </c>
      <c r="AB43" s="123">
        <v>1.0</v>
      </c>
      <c r="AC43" s="123">
        <v>209913.0</v>
      </c>
      <c r="AD43" s="123" t="s">
        <v>157</v>
      </c>
      <c r="AE43" s="124"/>
      <c r="AF43" s="123">
        <v>999792.0</v>
      </c>
      <c r="AG43" s="123" t="s">
        <v>442</v>
      </c>
      <c r="AH43" s="124"/>
      <c r="AI43" s="124"/>
      <c r="AJ43" s="123">
        <v>0.0</v>
      </c>
      <c r="AK43" s="123">
        <v>0.0</v>
      </c>
      <c r="AL43" s="123">
        <v>209913.0</v>
      </c>
      <c r="AM43" s="123" t="s">
        <v>159</v>
      </c>
      <c r="AN43" s="123">
        <v>18.0</v>
      </c>
      <c r="AO43" s="122">
        <v>0.0</v>
      </c>
      <c r="AP43" s="123">
        <v>0.0</v>
      </c>
      <c r="AQ43" s="123">
        <v>37784.34</v>
      </c>
      <c r="AR43" s="123">
        <v>0.0</v>
      </c>
      <c r="AS43" s="123">
        <v>0.0</v>
      </c>
      <c r="AT43" s="123">
        <v>0.0</v>
      </c>
      <c r="AU43" s="123">
        <v>0.0</v>
      </c>
      <c r="AV43" s="123">
        <v>0.0</v>
      </c>
      <c r="AW43" s="124"/>
      <c r="AX43" s="124"/>
      <c r="AY43" s="123">
        <v>0.0</v>
      </c>
      <c r="AZ43" s="123">
        <v>247697.34</v>
      </c>
      <c r="BA43" s="123" t="s">
        <v>20</v>
      </c>
      <c r="BB43" s="123" t="s">
        <v>31</v>
      </c>
      <c r="BC43" s="123" t="s">
        <v>443</v>
      </c>
      <c r="BD43" s="123" t="s">
        <v>440</v>
      </c>
      <c r="BE43" s="123" t="s">
        <v>161</v>
      </c>
      <c r="BF43" s="123" t="s">
        <v>162</v>
      </c>
      <c r="BG43" s="124"/>
      <c r="BH43" s="124"/>
      <c r="BI43" s="123" t="s">
        <v>444</v>
      </c>
      <c r="BJ43" s="172">
        <v>46133.80138888889</v>
      </c>
      <c r="BK43" s="171" t="s">
        <v>164</v>
      </c>
    </row>
    <row r="44" ht="14.25" customHeight="1">
      <c r="A44" s="122" t="s">
        <v>144</v>
      </c>
      <c r="B44" s="123" t="s">
        <v>445</v>
      </c>
      <c r="C44" s="123">
        <v>107.0</v>
      </c>
      <c r="D44" s="123" t="s">
        <v>146</v>
      </c>
      <c r="E44" s="123" t="s">
        <v>147</v>
      </c>
      <c r="F44" s="123" t="s">
        <v>446</v>
      </c>
      <c r="G44" s="124"/>
      <c r="H44" s="123" t="s">
        <v>149</v>
      </c>
      <c r="I44" s="123" t="s">
        <v>2</v>
      </c>
      <c r="J44" s="123" t="s">
        <v>150</v>
      </c>
      <c r="K44" s="123" t="s">
        <v>151</v>
      </c>
      <c r="L44" s="123" t="s">
        <v>152</v>
      </c>
      <c r="M44" s="124"/>
      <c r="N44" s="124"/>
      <c r="O44" s="125">
        <v>46141.0</v>
      </c>
      <c r="P44" s="123" t="s">
        <v>447</v>
      </c>
      <c r="Q44" s="123">
        <v>2.7208814E7</v>
      </c>
      <c r="R44" s="125">
        <v>46141.0</v>
      </c>
      <c r="S44" s="123" t="s">
        <v>154</v>
      </c>
      <c r="T44" s="123">
        <v>1242122.0</v>
      </c>
      <c r="U44" s="122" t="s">
        <v>192</v>
      </c>
      <c r="V44" s="123" t="s">
        <v>193</v>
      </c>
      <c r="W44" s="123" t="s">
        <v>1</v>
      </c>
      <c r="X44" s="122" t="s">
        <v>194</v>
      </c>
      <c r="Y44" s="124"/>
      <c r="Z44" s="124"/>
      <c r="AA44" s="123">
        <v>1.3537544E7</v>
      </c>
      <c r="AB44" s="123">
        <v>1.0</v>
      </c>
      <c r="AC44" s="123">
        <v>1.3537544E7</v>
      </c>
      <c r="AD44" s="123" t="s">
        <v>157</v>
      </c>
      <c r="AE44" s="124"/>
      <c r="AF44" s="123">
        <v>999792.0</v>
      </c>
      <c r="AG44" s="123" t="s">
        <v>448</v>
      </c>
      <c r="AH44" s="124"/>
      <c r="AI44" s="124"/>
      <c r="AJ44" s="123">
        <v>0.0</v>
      </c>
      <c r="AK44" s="123">
        <v>0.0</v>
      </c>
      <c r="AL44" s="123">
        <v>1.3537544E7</v>
      </c>
      <c r="AM44" s="123" t="s">
        <v>159</v>
      </c>
      <c r="AN44" s="123">
        <v>18.0</v>
      </c>
      <c r="AO44" s="122">
        <v>0.0</v>
      </c>
      <c r="AP44" s="123">
        <v>0.0</v>
      </c>
      <c r="AQ44" s="123">
        <v>2436757.92</v>
      </c>
      <c r="AR44" s="123">
        <v>0.0</v>
      </c>
      <c r="AS44" s="123">
        <v>0.0</v>
      </c>
      <c r="AT44" s="123">
        <v>0.0</v>
      </c>
      <c r="AU44" s="123">
        <v>0.0</v>
      </c>
      <c r="AV44" s="123">
        <v>0.0</v>
      </c>
      <c r="AW44" s="124"/>
      <c r="AX44" s="124"/>
      <c r="AY44" s="123">
        <v>0.0</v>
      </c>
      <c r="AZ44" s="123">
        <v>1.597430192E7</v>
      </c>
      <c r="BA44" s="123" t="s">
        <v>20</v>
      </c>
      <c r="BB44" s="123" t="s">
        <v>31</v>
      </c>
      <c r="BC44" s="123" t="s">
        <v>443</v>
      </c>
      <c r="BD44" s="123" t="s">
        <v>446</v>
      </c>
      <c r="BE44" s="123" t="s">
        <v>161</v>
      </c>
      <c r="BF44" s="123" t="s">
        <v>162</v>
      </c>
      <c r="BG44" s="124"/>
      <c r="BH44" s="124"/>
      <c r="BI44" s="123" t="s">
        <v>449</v>
      </c>
      <c r="BJ44" s="172">
        <v>46147.509722222225</v>
      </c>
      <c r="BK44" s="171" t="s">
        <v>164</v>
      </c>
    </row>
    <row r="45" ht="14.25" customHeight="1">
      <c r="A45" s="122" t="s">
        <v>144</v>
      </c>
      <c r="B45" s="123" t="s">
        <v>450</v>
      </c>
      <c r="C45" s="123">
        <v>107.0</v>
      </c>
      <c r="D45" s="123" t="s">
        <v>146</v>
      </c>
      <c r="E45" s="123" t="s">
        <v>147</v>
      </c>
      <c r="F45" s="123" t="s">
        <v>451</v>
      </c>
      <c r="G45" s="124"/>
      <c r="H45" s="123" t="s">
        <v>149</v>
      </c>
      <c r="I45" s="123" t="s">
        <v>2</v>
      </c>
      <c r="J45" s="123" t="s">
        <v>150</v>
      </c>
      <c r="K45" s="123" t="s">
        <v>151</v>
      </c>
      <c r="L45" s="123" t="s">
        <v>152</v>
      </c>
      <c r="M45" s="124"/>
      <c r="N45" s="124"/>
      <c r="O45" s="125">
        <v>46142.0</v>
      </c>
      <c r="P45" s="123" t="s">
        <v>452</v>
      </c>
      <c r="Q45" s="123">
        <v>2.7210253E7</v>
      </c>
      <c r="R45" s="125">
        <v>46142.0</v>
      </c>
      <c r="S45" s="123" t="s">
        <v>154</v>
      </c>
      <c r="T45" s="123">
        <v>2886.0</v>
      </c>
      <c r="U45" s="122" t="s">
        <v>453</v>
      </c>
      <c r="V45" s="123" t="s">
        <v>454</v>
      </c>
      <c r="W45" s="123" t="s">
        <v>1</v>
      </c>
      <c r="X45" s="122" t="s">
        <v>455</v>
      </c>
      <c r="Y45" s="124"/>
      <c r="Z45" s="124"/>
      <c r="AA45" s="123">
        <v>1933792.0</v>
      </c>
      <c r="AB45" s="123">
        <v>1.0</v>
      </c>
      <c r="AC45" s="123">
        <v>1933792.0</v>
      </c>
      <c r="AD45" s="123" t="s">
        <v>157</v>
      </c>
      <c r="AE45" s="124"/>
      <c r="AF45" s="123">
        <v>998599.0</v>
      </c>
      <c r="AG45" s="123" t="s">
        <v>158</v>
      </c>
      <c r="AH45" s="124"/>
      <c r="AI45" s="124"/>
      <c r="AJ45" s="123">
        <v>0.0</v>
      </c>
      <c r="AK45" s="123">
        <v>0.0</v>
      </c>
      <c r="AL45" s="123">
        <v>1933792.0</v>
      </c>
      <c r="AM45" s="123" t="s">
        <v>159</v>
      </c>
      <c r="AN45" s="123">
        <v>18.0</v>
      </c>
      <c r="AO45" s="122">
        <v>0.0</v>
      </c>
      <c r="AP45" s="123">
        <v>0.0</v>
      </c>
      <c r="AQ45" s="123">
        <v>348082.56</v>
      </c>
      <c r="AR45" s="123">
        <v>0.0</v>
      </c>
      <c r="AS45" s="123">
        <v>0.0</v>
      </c>
      <c r="AT45" s="123">
        <v>0.0</v>
      </c>
      <c r="AU45" s="123">
        <v>0.0</v>
      </c>
      <c r="AV45" s="123">
        <v>0.0</v>
      </c>
      <c r="AW45" s="124"/>
      <c r="AX45" s="124"/>
      <c r="AY45" s="123">
        <v>0.0</v>
      </c>
      <c r="AZ45" s="123">
        <v>2281874.56</v>
      </c>
      <c r="BA45" s="123" t="s">
        <v>20</v>
      </c>
      <c r="BB45" s="123" t="s">
        <v>31</v>
      </c>
      <c r="BC45" s="123" t="s">
        <v>160</v>
      </c>
      <c r="BD45" s="123" t="s">
        <v>451</v>
      </c>
      <c r="BE45" s="123" t="s">
        <v>161</v>
      </c>
      <c r="BF45" s="123" t="s">
        <v>162</v>
      </c>
      <c r="BG45" s="124"/>
      <c r="BH45" s="124"/>
      <c r="BI45" s="123" t="s">
        <v>456</v>
      </c>
      <c r="BJ45" s="172">
        <v>46142.555555555555</v>
      </c>
      <c r="BK45" s="171" t="s">
        <v>164</v>
      </c>
    </row>
    <row r="46" ht="14.25" customHeight="1">
      <c r="A46" s="122" t="s">
        <v>144</v>
      </c>
      <c r="B46" s="123" t="s">
        <v>457</v>
      </c>
      <c r="C46" s="123">
        <v>107.0</v>
      </c>
      <c r="D46" s="123" t="s">
        <v>146</v>
      </c>
      <c r="E46" s="123" t="s">
        <v>147</v>
      </c>
      <c r="F46" s="123" t="s">
        <v>458</v>
      </c>
      <c r="G46" s="124"/>
      <c r="H46" s="123" t="s">
        <v>149</v>
      </c>
      <c r="I46" s="123" t="s">
        <v>2</v>
      </c>
      <c r="J46" s="123" t="s">
        <v>150</v>
      </c>
      <c r="K46" s="123" t="s">
        <v>151</v>
      </c>
      <c r="L46" s="123" t="s">
        <v>152</v>
      </c>
      <c r="M46" s="124"/>
      <c r="N46" s="124"/>
      <c r="O46" s="125">
        <v>46142.0</v>
      </c>
      <c r="P46" s="123" t="s">
        <v>459</v>
      </c>
      <c r="Q46" s="123">
        <v>2.7210293E7</v>
      </c>
      <c r="R46" s="125">
        <v>46142.0</v>
      </c>
      <c r="S46" s="123" t="s">
        <v>154</v>
      </c>
      <c r="T46" s="123">
        <v>436061.0</v>
      </c>
      <c r="U46" s="122" t="s">
        <v>175</v>
      </c>
      <c r="V46" s="123" t="s">
        <v>460</v>
      </c>
      <c r="W46" s="123" t="s">
        <v>1</v>
      </c>
      <c r="X46" s="122" t="s">
        <v>461</v>
      </c>
      <c r="Y46" s="124"/>
      <c r="Z46" s="124"/>
      <c r="AA46" s="123">
        <v>601705.0</v>
      </c>
      <c r="AB46" s="123">
        <v>1.0</v>
      </c>
      <c r="AC46" s="123">
        <v>601705.0</v>
      </c>
      <c r="AD46" s="123" t="s">
        <v>157</v>
      </c>
      <c r="AE46" s="124"/>
      <c r="AF46" s="123">
        <v>998599.0</v>
      </c>
      <c r="AG46" s="123" t="s">
        <v>158</v>
      </c>
      <c r="AH46" s="124"/>
      <c r="AI46" s="124"/>
      <c r="AJ46" s="123">
        <v>0.0</v>
      </c>
      <c r="AK46" s="123">
        <v>0.0</v>
      </c>
      <c r="AL46" s="123">
        <v>601705.0</v>
      </c>
      <c r="AM46" s="123" t="s">
        <v>159</v>
      </c>
      <c r="AN46" s="123">
        <v>18.0</v>
      </c>
      <c r="AO46" s="122">
        <v>0.0</v>
      </c>
      <c r="AP46" s="123">
        <v>0.0</v>
      </c>
      <c r="AQ46" s="123">
        <v>108306.9</v>
      </c>
      <c r="AR46" s="123">
        <v>0.0</v>
      </c>
      <c r="AS46" s="123">
        <v>0.0</v>
      </c>
      <c r="AT46" s="123">
        <v>0.0</v>
      </c>
      <c r="AU46" s="123">
        <v>0.0</v>
      </c>
      <c r="AV46" s="123">
        <v>0.0</v>
      </c>
      <c r="AW46" s="124"/>
      <c r="AX46" s="124"/>
      <c r="AY46" s="123">
        <v>0.0</v>
      </c>
      <c r="AZ46" s="123">
        <v>710011.9</v>
      </c>
      <c r="BA46" s="123" t="s">
        <v>20</v>
      </c>
      <c r="BB46" s="123" t="s">
        <v>31</v>
      </c>
      <c r="BC46" s="123" t="s">
        <v>160</v>
      </c>
      <c r="BD46" s="123" t="s">
        <v>458</v>
      </c>
      <c r="BE46" s="123" t="s">
        <v>161</v>
      </c>
      <c r="BF46" s="123" t="s">
        <v>162</v>
      </c>
      <c r="BG46" s="124"/>
      <c r="BH46" s="124"/>
      <c r="BI46" s="123" t="s">
        <v>462</v>
      </c>
      <c r="BJ46" s="172">
        <v>46142.59513888889</v>
      </c>
      <c r="BK46" s="171" t="s">
        <v>164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2.14"/>
    <col customWidth="1" min="3" max="3" width="12.43"/>
    <col customWidth="1" min="4" max="4" width="12.57"/>
    <col customWidth="1" min="5" max="5" width="13.43"/>
    <col customWidth="1" min="6" max="6" width="14.29"/>
    <col customWidth="1" min="7" max="7" width="11.57"/>
    <col customWidth="1" min="8" max="8" width="10.14"/>
    <col customWidth="1" min="9" max="9" width="11.57"/>
    <col customWidth="1" min="10" max="10" width="9.14"/>
    <col customWidth="1" min="11" max="11" width="36.43"/>
    <col customWidth="1" min="12" max="13" width="11.57"/>
    <col customWidth="1" min="14" max="14" width="11.29"/>
    <col customWidth="1" min="15" max="26" width="9.14"/>
  </cols>
  <sheetData>
    <row r="1" ht="14.25" customHeight="1">
      <c r="B1" s="110"/>
      <c r="C1" s="110"/>
      <c r="D1" s="110"/>
      <c r="E1" s="110"/>
      <c r="F1" s="110"/>
      <c r="G1" s="110"/>
      <c r="I1" s="110"/>
      <c r="K1" s="120" t="s">
        <v>119</v>
      </c>
      <c r="L1" s="121" t="s">
        <v>463</v>
      </c>
      <c r="M1" s="121" t="s">
        <v>464</v>
      </c>
      <c r="N1" s="121" t="s">
        <v>465</v>
      </c>
    </row>
    <row r="2" ht="14.25" customHeight="1">
      <c r="B2" s="110"/>
      <c r="C2" s="110"/>
      <c r="D2" s="110"/>
      <c r="E2" s="110"/>
      <c r="F2" s="110"/>
      <c r="G2" s="110"/>
      <c r="I2" s="110"/>
      <c r="K2" s="171" t="s">
        <v>466</v>
      </c>
      <c r="L2" s="171">
        <v>10296.59</v>
      </c>
      <c r="M2" s="171">
        <v>10122.11</v>
      </c>
      <c r="N2" s="171">
        <v>174.0</v>
      </c>
    </row>
    <row r="3" ht="14.25" customHeight="1">
      <c r="A3" s="171" t="s">
        <v>467</v>
      </c>
      <c r="B3" s="110" t="s">
        <v>468</v>
      </c>
      <c r="C3" s="110" t="s">
        <v>469</v>
      </c>
      <c r="D3" s="110" t="s">
        <v>470</v>
      </c>
      <c r="E3" s="110" t="s">
        <v>471</v>
      </c>
      <c r="F3" s="174" t="s">
        <v>22</v>
      </c>
      <c r="G3" s="110"/>
      <c r="H3" s="171" t="s">
        <v>472</v>
      </c>
      <c r="I3" s="110" t="s">
        <v>473</v>
      </c>
      <c r="K3" s="171" t="s">
        <v>474</v>
      </c>
      <c r="L3" s="171">
        <v>328.4</v>
      </c>
      <c r="M3" s="171">
        <v>289.0</v>
      </c>
      <c r="N3" s="171">
        <v>39.0</v>
      </c>
    </row>
    <row r="4" ht="14.25" customHeight="1">
      <c r="A4" s="175" t="s">
        <v>475</v>
      </c>
      <c r="B4" s="110">
        <v>20600.1</v>
      </c>
      <c r="C4" s="110">
        <v>165097.08</v>
      </c>
      <c r="D4" s="110">
        <v>165097.08</v>
      </c>
      <c r="E4" s="110">
        <v>0.0</v>
      </c>
      <c r="F4" s="110">
        <f t="shared" ref="F4:F9" si="1">SUM(B4:E4)</f>
        <v>350794.26</v>
      </c>
      <c r="G4" s="110"/>
      <c r="H4" s="171" t="s">
        <v>476</v>
      </c>
      <c r="I4" s="110">
        <v>531023.64</v>
      </c>
      <c r="K4" s="171" t="s">
        <v>477</v>
      </c>
      <c r="L4" s="171">
        <v>412.76</v>
      </c>
      <c r="M4" s="171">
        <v>375.0</v>
      </c>
      <c r="N4" s="171">
        <v>38.0</v>
      </c>
    </row>
    <row r="5" ht="14.25" customHeight="1">
      <c r="A5" s="175" t="s">
        <v>478</v>
      </c>
      <c r="B5" s="110">
        <v>12500.1</v>
      </c>
      <c r="C5" s="110">
        <v>18000.0</v>
      </c>
      <c r="D5" s="110">
        <v>18000.0</v>
      </c>
      <c r="E5" s="110">
        <v>0.0</v>
      </c>
      <c r="F5" s="110">
        <f t="shared" si="1"/>
        <v>48500.1</v>
      </c>
      <c r="G5" s="110"/>
      <c r="H5" s="171" t="s">
        <v>479</v>
      </c>
      <c r="I5" s="110">
        <v>1956379.3700000006</v>
      </c>
      <c r="K5" s="171" t="s">
        <v>480</v>
      </c>
      <c r="L5" s="171">
        <v>7790.66</v>
      </c>
      <c r="M5" s="171">
        <v>8534.42</v>
      </c>
      <c r="N5" s="171">
        <v>-744.0</v>
      </c>
    </row>
    <row r="6" ht="14.25" customHeight="1">
      <c r="A6" s="175" t="s">
        <v>481</v>
      </c>
      <c r="B6" s="110">
        <v>8100.0</v>
      </c>
      <c r="C6" s="110">
        <v>147097.08</v>
      </c>
      <c r="D6" s="110">
        <v>147097.08</v>
      </c>
      <c r="E6" s="110">
        <v>0.0</v>
      </c>
      <c r="F6" s="110">
        <f t="shared" si="1"/>
        <v>302294.16</v>
      </c>
      <c r="G6" s="110"/>
      <c r="I6" s="110">
        <f>SUM(I4:I5)</f>
        <v>2487403.01</v>
      </c>
    </row>
    <row r="7" ht="14.25" customHeight="1">
      <c r="A7" s="175" t="s">
        <v>482</v>
      </c>
      <c r="B7" s="110">
        <v>165504.08</v>
      </c>
      <c r="C7" s="110">
        <v>1160702.3599999999</v>
      </c>
      <c r="D7" s="110">
        <v>1160702.3599999999</v>
      </c>
      <c r="E7" s="110">
        <v>0.0</v>
      </c>
      <c r="F7" s="110">
        <f t="shared" si="1"/>
        <v>2486908.8</v>
      </c>
      <c r="G7" s="110"/>
      <c r="I7" s="110"/>
    </row>
    <row r="8" ht="14.25" customHeight="1">
      <c r="A8" s="175" t="s">
        <v>483</v>
      </c>
      <c r="B8" s="110">
        <v>63923.59999999999</v>
      </c>
      <c r="C8" s="110">
        <v>1044627.7699999999</v>
      </c>
      <c r="D8" s="110">
        <v>1044627.7699999999</v>
      </c>
      <c r="E8" s="110">
        <v>0.0</v>
      </c>
      <c r="F8" s="110">
        <f t="shared" si="1"/>
        <v>2153179.14</v>
      </c>
      <c r="G8" s="110"/>
      <c r="I8" s="110"/>
    </row>
    <row r="9" ht="14.25" customHeight="1">
      <c r="A9" s="175" t="s">
        <v>484</v>
      </c>
      <c r="B9" s="110">
        <v>101580.48</v>
      </c>
      <c r="C9" s="110">
        <v>116074.59</v>
      </c>
      <c r="D9" s="110">
        <v>116074.59</v>
      </c>
      <c r="E9" s="110">
        <v>0.0</v>
      </c>
      <c r="F9" s="110">
        <f t="shared" si="1"/>
        <v>333729.66</v>
      </c>
      <c r="G9" s="110"/>
      <c r="I9" s="110"/>
    </row>
    <row r="10" ht="14.25" customHeight="1">
      <c r="A10" s="175" t="s">
        <v>485</v>
      </c>
      <c r="B10" s="110">
        <v>186104.18</v>
      </c>
      <c r="C10" s="110">
        <v>1325799.44</v>
      </c>
      <c r="D10" s="110">
        <v>1325799.44</v>
      </c>
      <c r="E10" s="110">
        <v>0.0</v>
      </c>
      <c r="F10" s="176">
        <f>SUM(F4:F9)</f>
        <v>5675406.12</v>
      </c>
      <c r="G10" s="110"/>
      <c r="I10" s="110"/>
    </row>
    <row r="11" ht="14.25" customHeight="1">
      <c r="B11" s="110"/>
      <c r="C11" s="110"/>
      <c r="D11" s="110"/>
      <c r="E11" s="110"/>
      <c r="F11" s="110"/>
      <c r="G11" s="110"/>
      <c r="I11" s="110"/>
    </row>
    <row r="12" ht="14.25" customHeight="1">
      <c r="B12" s="110"/>
      <c r="C12" s="110"/>
      <c r="D12" s="110"/>
      <c r="E12" s="110"/>
      <c r="F12" s="110"/>
      <c r="G12" s="110"/>
      <c r="I12" s="110"/>
      <c r="K12" s="177" t="s">
        <v>486</v>
      </c>
      <c r="L12" s="178">
        <f t="shared" ref="L12:N12" si="2">SUM(L2:L10)</f>
        <v>18828.41</v>
      </c>
      <c r="M12" s="178">
        <f t="shared" si="2"/>
        <v>19320.53</v>
      </c>
      <c r="N12" s="178">
        <f t="shared" si="2"/>
        <v>-493</v>
      </c>
    </row>
    <row r="13" ht="14.25" customHeight="1">
      <c r="B13" s="110"/>
      <c r="C13" s="110"/>
      <c r="D13" s="110"/>
      <c r="E13" s="110"/>
      <c r="F13" s="110"/>
      <c r="G13" s="110"/>
      <c r="I13" s="110"/>
    </row>
    <row r="14" ht="14.25" customHeight="1">
      <c r="B14" s="110"/>
      <c r="C14" s="110"/>
      <c r="D14" s="110"/>
      <c r="E14" s="110"/>
      <c r="F14" s="110"/>
      <c r="G14" s="110"/>
      <c r="I14" s="110"/>
    </row>
    <row r="15" ht="14.25" customHeight="1">
      <c r="B15" s="110"/>
      <c r="C15" s="110"/>
      <c r="D15" s="110"/>
      <c r="E15" s="110"/>
      <c r="F15" s="110"/>
      <c r="G15" s="110"/>
      <c r="I15" s="110"/>
    </row>
    <row r="16" ht="14.25" customHeight="1">
      <c r="B16" s="110"/>
      <c r="C16" s="110"/>
      <c r="D16" s="110"/>
      <c r="E16" s="110"/>
      <c r="F16" s="110"/>
      <c r="G16" s="110"/>
      <c r="I16" s="110"/>
    </row>
    <row r="17" ht="14.25" customHeight="1">
      <c r="B17" s="110"/>
      <c r="C17" s="110"/>
      <c r="D17" s="110"/>
      <c r="E17" s="110" t="s">
        <v>487</v>
      </c>
      <c r="F17" s="176">
        <f>F7</f>
        <v>2486908.8</v>
      </c>
      <c r="G17" s="110"/>
      <c r="I17" s="110"/>
    </row>
    <row r="18" ht="14.25" customHeight="1">
      <c r="B18" s="110"/>
      <c r="C18" s="110"/>
      <c r="D18" s="110"/>
      <c r="E18" s="110" t="s">
        <v>488</v>
      </c>
      <c r="F18" s="110">
        <f>I6</f>
        <v>2487403.01</v>
      </c>
      <c r="G18" s="110"/>
      <c r="I18" s="110"/>
    </row>
    <row r="19" ht="14.25" customHeight="1">
      <c r="B19" s="110"/>
      <c r="C19" s="110"/>
      <c r="D19" s="110"/>
      <c r="E19" s="178" t="s">
        <v>489</v>
      </c>
      <c r="F19" s="178">
        <f>F17-F18</f>
        <v>-494.21</v>
      </c>
      <c r="G19" s="110" t="s">
        <v>490</v>
      </c>
      <c r="I19" s="110"/>
    </row>
    <row r="20" ht="14.25" customHeight="1">
      <c r="B20" s="110"/>
      <c r="C20" s="110"/>
      <c r="D20" s="110"/>
      <c r="E20" s="110"/>
      <c r="F20" s="110"/>
      <c r="G20" s="110"/>
      <c r="I20" s="110"/>
    </row>
    <row r="21" ht="14.25" customHeight="1">
      <c r="B21" s="110"/>
      <c r="C21" s="110"/>
      <c r="D21" s="110"/>
      <c r="E21" s="110"/>
      <c r="F21" s="110"/>
      <c r="G21" s="110"/>
      <c r="I21" s="110"/>
    </row>
    <row r="22" ht="14.25" customHeight="1">
      <c r="B22" s="110"/>
      <c r="C22" s="110"/>
      <c r="D22" s="110"/>
      <c r="E22" s="110"/>
      <c r="F22" s="110"/>
      <c r="G22" s="110"/>
      <c r="I22" s="110"/>
    </row>
    <row r="23" ht="14.25" customHeight="1">
      <c r="B23" s="110"/>
      <c r="C23" s="110"/>
      <c r="D23" s="110"/>
      <c r="E23" s="110"/>
      <c r="F23" s="110"/>
      <c r="G23" s="110"/>
      <c r="I23" s="110"/>
    </row>
    <row r="24" ht="14.25" customHeight="1">
      <c r="B24" s="110"/>
      <c r="C24" s="110"/>
      <c r="D24" s="110"/>
      <c r="E24" s="110"/>
      <c r="F24" s="110"/>
      <c r="G24" s="110"/>
      <c r="I24" s="110"/>
    </row>
    <row r="25" ht="14.25" customHeight="1">
      <c r="B25" s="110"/>
      <c r="C25" s="110"/>
      <c r="D25" s="110"/>
      <c r="E25" s="110"/>
      <c r="F25" s="110"/>
      <c r="G25" s="110"/>
      <c r="I25" s="110"/>
    </row>
    <row r="26" ht="14.25" customHeight="1">
      <c r="B26" s="110"/>
      <c r="C26" s="110"/>
      <c r="D26" s="110"/>
      <c r="E26" s="110"/>
      <c r="F26" s="110"/>
      <c r="G26" s="110"/>
      <c r="I26" s="110"/>
    </row>
    <row r="27" ht="14.25" customHeight="1">
      <c r="B27" s="110"/>
      <c r="C27" s="110"/>
      <c r="D27" s="110"/>
      <c r="E27" s="110"/>
      <c r="F27" s="110"/>
      <c r="G27" s="110"/>
      <c r="I27" s="110"/>
    </row>
    <row r="28" ht="14.25" customHeight="1">
      <c r="B28" s="110"/>
      <c r="C28" s="110"/>
      <c r="D28" s="110"/>
      <c r="E28" s="110"/>
      <c r="F28" s="110"/>
      <c r="G28" s="110"/>
      <c r="I28" s="110"/>
    </row>
    <row r="29" ht="14.25" customHeight="1">
      <c r="B29" s="110"/>
      <c r="C29" s="110"/>
      <c r="D29" s="110"/>
      <c r="E29" s="110"/>
      <c r="F29" s="110"/>
      <c r="G29" s="110"/>
      <c r="I29" s="110"/>
    </row>
    <row r="30" ht="14.25" customHeight="1">
      <c r="B30" s="110"/>
      <c r="C30" s="110"/>
      <c r="D30" s="110"/>
      <c r="E30" s="110"/>
      <c r="F30" s="110"/>
      <c r="G30" s="110"/>
      <c r="I30" s="110"/>
    </row>
    <row r="31" ht="14.25" customHeight="1">
      <c r="B31" s="110"/>
      <c r="C31" s="110"/>
      <c r="D31" s="110"/>
      <c r="E31" s="110"/>
      <c r="F31" s="110"/>
      <c r="G31" s="110"/>
      <c r="I31" s="110"/>
    </row>
    <row r="32" ht="14.25" customHeight="1">
      <c r="B32" s="110"/>
      <c r="C32" s="110"/>
      <c r="D32" s="110"/>
      <c r="E32" s="110"/>
      <c r="F32" s="110"/>
      <c r="G32" s="110"/>
      <c r="I32" s="110"/>
    </row>
    <row r="33" ht="14.25" customHeight="1">
      <c r="B33" s="110"/>
      <c r="C33" s="110"/>
      <c r="D33" s="110"/>
      <c r="E33" s="110"/>
      <c r="F33" s="110"/>
      <c r="G33" s="110"/>
      <c r="I33" s="110"/>
    </row>
    <row r="34" ht="14.25" customHeight="1">
      <c r="B34" s="110"/>
      <c r="C34" s="110"/>
      <c r="D34" s="110"/>
      <c r="E34" s="110"/>
      <c r="F34" s="110"/>
      <c r="G34" s="110"/>
      <c r="I34" s="110"/>
    </row>
    <row r="35" ht="14.25" customHeight="1">
      <c r="B35" s="110"/>
      <c r="C35" s="110"/>
      <c r="D35" s="110"/>
      <c r="E35" s="110"/>
      <c r="F35" s="110"/>
      <c r="G35" s="110"/>
      <c r="I35" s="110"/>
    </row>
    <row r="36" ht="14.25" customHeight="1">
      <c r="B36" s="110"/>
      <c r="C36" s="110"/>
      <c r="D36" s="110"/>
      <c r="E36" s="110"/>
      <c r="F36" s="110"/>
      <c r="G36" s="110"/>
      <c r="I36" s="110"/>
    </row>
    <row r="37" ht="14.25" customHeight="1">
      <c r="B37" s="110"/>
      <c r="C37" s="110"/>
      <c r="D37" s="110"/>
      <c r="E37" s="110"/>
      <c r="F37" s="110"/>
      <c r="G37" s="110"/>
      <c r="I37" s="110"/>
    </row>
    <row r="38" ht="14.25" customHeight="1">
      <c r="B38" s="110"/>
      <c r="C38" s="110"/>
      <c r="D38" s="110"/>
      <c r="E38" s="110"/>
      <c r="F38" s="110"/>
      <c r="G38" s="110"/>
      <c r="I38" s="110"/>
    </row>
    <row r="39" ht="14.25" customHeight="1">
      <c r="B39" s="110"/>
      <c r="C39" s="110"/>
      <c r="D39" s="110"/>
      <c r="E39" s="110"/>
      <c r="F39" s="110"/>
      <c r="G39" s="110"/>
      <c r="I39" s="110"/>
    </row>
    <row r="40" ht="14.25" customHeight="1">
      <c r="B40" s="110"/>
      <c r="C40" s="110"/>
      <c r="D40" s="110"/>
      <c r="E40" s="110"/>
      <c r="F40" s="110"/>
      <c r="G40" s="110"/>
      <c r="I40" s="110"/>
    </row>
    <row r="41" ht="14.25" customHeight="1">
      <c r="B41" s="110"/>
      <c r="C41" s="110"/>
      <c r="D41" s="110"/>
      <c r="E41" s="110"/>
      <c r="F41" s="110"/>
      <c r="G41" s="110"/>
      <c r="I41" s="110"/>
    </row>
    <row r="42" ht="14.25" customHeight="1">
      <c r="B42" s="110"/>
      <c r="C42" s="110"/>
      <c r="D42" s="110"/>
      <c r="E42" s="110"/>
      <c r="F42" s="110"/>
      <c r="G42" s="110"/>
      <c r="I42" s="110"/>
    </row>
    <row r="43" ht="14.25" customHeight="1">
      <c r="B43" s="110"/>
      <c r="C43" s="110"/>
      <c r="D43" s="110"/>
      <c r="E43" s="110"/>
      <c r="F43" s="110"/>
      <c r="G43" s="110"/>
      <c r="I43" s="110"/>
    </row>
    <row r="44" ht="14.25" customHeight="1">
      <c r="B44" s="110"/>
      <c r="C44" s="110"/>
      <c r="D44" s="110"/>
      <c r="E44" s="110"/>
      <c r="F44" s="110"/>
      <c r="G44" s="110"/>
      <c r="I44" s="110"/>
    </row>
    <row r="45" ht="14.25" customHeight="1">
      <c r="B45" s="110"/>
      <c r="C45" s="110"/>
      <c r="D45" s="110"/>
      <c r="E45" s="110"/>
      <c r="F45" s="110"/>
      <c r="G45" s="110"/>
      <c r="I45" s="110"/>
    </row>
    <row r="46" ht="14.25" customHeight="1">
      <c r="B46" s="110"/>
      <c r="C46" s="110"/>
      <c r="D46" s="110"/>
      <c r="E46" s="110"/>
      <c r="F46" s="110"/>
      <c r="G46" s="110"/>
      <c r="I46" s="110"/>
    </row>
    <row r="47" ht="14.25" customHeight="1">
      <c r="B47" s="110"/>
      <c r="C47" s="110"/>
      <c r="D47" s="110"/>
      <c r="E47" s="110"/>
      <c r="F47" s="110"/>
      <c r="G47" s="110"/>
      <c r="I47" s="110"/>
    </row>
    <row r="48" ht="14.25" customHeight="1">
      <c r="B48" s="110"/>
      <c r="C48" s="110"/>
      <c r="D48" s="110"/>
      <c r="E48" s="110"/>
      <c r="F48" s="110"/>
      <c r="G48" s="110"/>
      <c r="I48" s="110"/>
    </row>
    <row r="49" ht="14.25" customHeight="1">
      <c r="B49" s="110"/>
      <c r="C49" s="110"/>
      <c r="D49" s="110"/>
      <c r="E49" s="110"/>
      <c r="F49" s="110"/>
      <c r="G49" s="110"/>
      <c r="I49" s="110"/>
    </row>
    <row r="50" ht="14.25" customHeight="1">
      <c r="B50" s="110"/>
      <c r="C50" s="110"/>
      <c r="D50" s="110"/>
      <c r="E50" s="110"/>
      <c r="F50" s="110"/>
      <c r="G50" s="110"/>
      <c r="I50" s="110"/>
    </row>
    <row r="51" ht="14.25" customHeight="1">
      <c r="B51" s="110"/>
      <c r="C51" s="110"/>
      <c r="D51" s="110"/>
      <c r="E51" s="110"/>
      <c r="F51" s="110"/>
      <c r="G51" s="110"/>
      <c r="I51" s="110"/>
    </row>
    <row r="52" ht="14.25" customHeight="1">
      <c r="B52" s="110"/>
      <c r="C52" s="110"/>
      <c r="D52" s="110"/>
      <c r="E52" s="110"/>
      <c r="F52" s="110"/>
      <c r="G52" s="110"/>
      <c r="I52" s="110"/>
    </row>
    <row r="53" ht="14.25" customHeight="1">
      <c r="B53" s="110"/>
      <c r="C53" s="110"/>
      <c r="D53" s="110"/>
      <c r="E53" s="110"/>
      <c r="F53" s="110"/>
      <c r="G53" s="110"/>
      <c r="I53" s="110"/>
    </row>
    <row r="54" ht="14.25" customHeight="1">
      <c r="B54" s="110"/>
      <c r="C54" s="110"/>
      <c r="D54" s="110"/>
      <c r="E54" s="110"/>
      <c r="F54" s="110"/>
      <c r="G54" s="110"/>
      <c r="I54" s="110"/>
    </row>
    <row r="55" ht="14.25" customHeight="1">
      <c r="B55" s="110"/>
      <c r="C55" s="110"/>
      <c r="D55" s="110"/>
      <c r="E55" s="110"/>
      <c r="F55" s="110"/>
      <c r="G55" s="110"/>
      <c r="I55" s="110"/>
    </row>
    <row r="56" ht="14.25" customHeight="1">
      <c r="B56" s="110"/>
      <c r="C56" s="110"/>
      <c r="D56" s="110"/>
      <c r="E56" s="110"/>
      <c r="F56" s="110"/>
      <c r="G56" s="110"/>
      <c r="I56" s="110"/>
    </row>
    <row r="57" ht="14.25" customHeight="1">
      <c r="B57" s="110"/>
      <c r="C57" s="110"/>
      <c r="D57" s="110"/>
      <c r="E57" s="110"/>
      <c r="F57" s="110"/>
      <c r="G57" s="110"/>
      <c r="I57" s="110"/>
    </row>
    <row r="58" ht="14.25" customHeight="1">
      <c r="B58" s="110"/>
      <c r="C58" s="110"/>
      <c r="D58" s="110"/>
      <c r="E58" s="110"/>
      <c r="F58" s="110"/>
      <c r="G58" s="110"/>
      <c r="I58" s="110"/>
    </row>
    <row r="59" ht="14.25" customHeight="1">
      <c r="B59" s="110"/>
      <c r="C59" s="110"/>
      <c r="D59" s="110"/>
      <c r="E59" s="110"/>
      <c r="F59" s="110"/>
      <c r="G59" s="110"/>
      <c r="I59" s="110"/>
    </row>
    <row r="60" ht="14.25" customHeight="1">
      <c r="B60" s="110"/>
      <c r="C60" s="110"/>
      <c r="D60" s="110"/>
      <c r="E60" s="110"/>
      <c r="F60" s="110"/>
      <c r="G60" s="110"/>
      <c r="I60" s="110"/>
    </row>
    <row r="61" ht="14.25" customHeight="1">
      <c r="B61" s="110"/>
      <c r="C61" s="110"/>
      <c r="D61" s="110"/>
      <c r="E61" s="110"/>
      <c r="F61" s="110"/>
      <c r="G61" s="110"/>
      <c r="I61" s="110"/>
    </row>
    <row r="62" ht="14.25" customHeight="1">
      <c r="B62" s="110"/>
      <c r="C62" s="110"/>
      <c r="D62" s="110"/>
      <c r="E62" s="110"/>
      <c r="F62" s="110"/>
      <c r="G62" s="110"/>
      <c r="I62" s="110"/>
    </row>
    <row r="63" ht="14.25" customHeight="1">
      <c r="B63" s="110"/>
      <c r="C63" s="110"/>
      <c r="D63" s="110"/>
      <c r="E63" s="110"/>
      <c r="F63" s="110"/>
      <c r="G63" s="110"/>
      <c r="I63" s="110"/>
    </row>
    <row r="64" ht="14.25" customHeight="1">
      <c r="B64" s="110"/>
      <c r="C64" s="110"/>
      <c r="D64" s="110"/>
      <c r="E64" s="110"/>
      <c r="F64" s="110"/>
      <c r="G64" s="110"/>
      <c r="I64" s="110"/>
    </row>
    <row r="65" ht="14.25" customHeight="1">
      <c r="B65" s="110"/>
      <c r="C65" s="110"/>
      <c r="D65" s="110"/>
      <c r="E65" s="110"/>
      <c r="F65" s="110"/>
      <c r="G65" s="110"/>
      <c r="I65" s="110"/>
    </row>
    <row r="66" ht="14.25" customHeight="1">
      <c r="B66" s="110"/>
      <c r="C66" s="110"/>
      <c r="D66" s="110"/>
      <c r="E66" s="110"/>
      <c r="F66" s="110"/>
      <c r="G66" s="110"/>
      <c r="I66" s="110"/>
    </row>
    <row r="67" ht="14.25" customHeight="1">
      <c r="B67" s="110"/>
      <c r="C67" s="110"/>
      <c r="D67" s="110"/>
      <c r="E67" s="110"/>
      <c r="F67" s="110"/>
      <c r="G67" s="110"/>
      <c r="I67" s="110"/>
    </row>
    <row r="68" ht="14.25" customHeight="1">
      <c r="B68" s="110"/>
      <c r="C68" s="110"/>
      <c r="D68" s="110"/>
      <c r="E68" s="110"/>
      <c r="F68" s="110"/>
      <c r="G68" s="110"/>
      <c r="I68" s="110"/>
    </row>
    <row r="69" ht="14.25" customHeight="1">
      <c r="B69" s="110"/>
      <c r="C69" s="110"/>
      <c r="D69" s="110"/>
      <c r="E69" s="110"/>
      <c r="F69" s="110"/>
      <c r="G69" s="110"/>
      <c r="I69" s="110"/>
    </row>
    <row r="70" ht="14.25" customHeight="1">
      <c r="B70" s="110"/>
      <c r="C70" s="110"/>
      <c r="D70" s="110"/>
      <c r="E70" s="110"/>
      <c r="F70" s="110"/>
      <c r="G70" s="110"/>
      <c r="I70" s="110"/>
    </row>
    <row r="71" ht="14.25" customHeight="1">
      <c r="B71" s="110"/>
      <c r="C71" s="110"/>
      <c r="D71" s="110"/>
      <c r="E71" s="110"/>
      <c r="F71" s="110"/>
      <c r="G71" s="110"/>
      <c r="I71" s="110"/>
    </row>
    <row r="72" ht="14.25" customHeight="1">
      <c r="B72" s="110"/>
      <c r="C72" s="110"/>
      <c r="D72" s="110"/>
      <c r="E72" s="110"/>
      <c r="F72" s="110"/>
      <c r="G72" s="110"/>
      <c r="I72" s="110"/>
    </row>
    <row r="73" ht="14.25" customHeight="1">
      <c r="B73" s="110"/>
      <c r="C73" s="110"/>
      <c r="D73" s="110"/>
      <c r="E73" s="110"/>
      <c r="F73" s="110"/>
      <c r="G73" s="110"/>
      <c r="I73" s="110"/>
    </row>
    <row r="74" ht="14.25" customHeight="1">
      <c r="B74" s="110"/>
      <c r="C74" s="110"/>
      <c r="D74" s="110"/>
      <c r="E74" s="110"/>
      <c r="F74" s="110"/>
      <c r="G74" s="110"/>
      <c r="I74" s="110"/>
    </row>
    <row r="75" ht="14.25" customHeight="1">
      <c r="B75" s="110"/>
      <c r="C75" s="110"/>
      <c r="D75" s="110"/>
      <c r="E75" s="110"/>
      <c r="F75" s="110"/>
      <c r="G75" s="110"/>
      <c r="I75" s="110"/>
    </row>
    <row r="76" ht="14.25" customHeight="1">
      <c r="B76" s="110"/>
      <c r="C76" s="110"/>
      <c r="D76" s="110"/>
      <c r="E76" s="110"/>
      <c r="F76" s="110"/>
      <c r="G76" s="110"/>
      <c r="I76" s="110"/>
    </row>
    <row r="77" ht="14.25" customHeight="1">
      <c r="B77" s="110"/>
      <c r="C77" s="110"/>
      <c r="D77" s="110"/>
      <c r="E77" s="110"/>
      <c r="F77" s="110"/>
      <c r="G77" s="110"/>
      <c r="I77" s="110"/>
    </row>
    <row r="78" ht="14.25" customHeight="1">
      <c r="B78" s="110"/>
      <c r="C78" s="110"/>
      <c r="D78" s="110"/>
      <c r="E78" s="110"/>
      <c r="F78" s="110"/>
      <c r="G78" s="110"/>
      <c r="I78" s="110"/>
    </row>
    <row r="79" ht="14.25" customHeight="1">
      <c r="B79" s="110"/>
      <c r="C79" s="110"/>
      <c r="D79" s="110"/>
      <c r="E79" s="110"/>
      <c r="F79" s="110"/>
      <c r="G79" s="110"/>
      <c r="I79" s="110"/>
    </row>
    <row r="80" ht="14.25" customHeight="1">
      <c r="B80" s="110"/>
      <c r="C80" s="110"/>
      <c r="D80" s="110"/>
      <c r="E80" s="110"/>
      <c r="F80" s="110"/>
      <c r="G80" s="110"/>
      <c r="I80" s="110"/>
    </row>
    <row r="81" ht="14.25" customHeight="1">
      <c r="B81" s="110"/>
      <c r="C81" s="110"/>
      <c r="D81" s="110"/>
      <c r="E81" s="110"/>
      <c r="F81" s="110"/>
      <c r="G81" s="110"/>
      <c r="I81" s="110"/>
    </row>
    <row r="82" ht="14.25" customHeight="1">
      <c r="B82" s="110"/>
      <c r="C82" s="110"/>
      <c r="D82" s="110"/>
      <c r="E82" s="110"/>
      <c r="F82" s="110"/>
      <c r="G82" s="110"/>
      <c r="I82" s="110"/>
    </row>
    <row r="83" ht="14.25" customHeight="1">
      <c r="B83" s="110"/>
      <c r="C83" s="110"/>
      <c r="D83" s="110"/>
      <c r="E83" s="110"/>
      <c r="F83" s="110"/>
      <c r="G83" s="110"/>
      <c r="I83" s="110"/>
    </row>
    <row r="84" ht="14.25" customHeight="1">
      <c r="B84" s="110"/>
      <c r="C84" s="110"/>
      <c r="D84" s="110"/>
      <c r="E84" s="110"/>
      <c r="F84" s="110"/>
      <c r="G84" s="110"/>
      <c r="I84" s="110"/>
    </row>
    <row r="85" ht="14.25" customHeight="1">
      <c r="B85" s="110"/>
      <c r="C85" s="110"/>
      <c r="D85" s="110"/>
      <c r="E85" s="110"/>
      <c r="F85" s="110"/>
      <c r="G85" s="110"/>
      <c r="I85" s="110"/>
    </row>
    <row r="86" ht="14.25" customHeight="1">
      <c r="B86" s="110"/>
      <c r="C86" s="110"/>
      <c r="D86" s="110"/>
      <c r="E86" s="110"/>
      <c r="F86" s="110"/>
      <c r="G86" s="110"/>
      <c r="I86" s="110"/>
    </row>
    <row r="87" ht="14.25" customHeight="1">
      <c r="B87" s="110"/>
      <c r="C87" s="110"/>
      <c r="D87" s="110"/>
      <c r="E87" s="110"/>
      <c r="F87" s="110"/>
      <c r="G87" s="110"/>
      <c r="I87" s="110"/>
    </row>
    <row r="88" ht="14.25" customHeight="1">
      <c r="B88" s="110"/>
      <c r="C88" s="110"/>
      <c r="D88" s="110"/>
      <c r="E88" s="110"/>
      <c r="F88" s="110"/>
      <c r="G88" s="110"/>
      <c r="I88" s="110"/>
    </row>
    <row r="89" ht="14.25" customHeight="1">
      <c r="B89" s="110"/>
      <c r="C89" s="110"/>
      <c r="D89" s="110"/>
      <c r="E89" s="110"/>
      <c r="F89" s="110"/>
      <c r="G89" s="110"/>
      <c r="I89" s="110"/>
    </row>
    <row r="90" ht="14.25" customHeight="1">
      <c r="B90" s="110"/>
      <c r="C90" s="110"/>
      <c r="D90" s="110"/>
      <c r="E90" s="110"/>
      <c r="F90" s="110"/>
      <c r="G90" s="110"/>
      <c r="I90" s="110"/>
    </row>
    <row r="91" ht="14.25" customHeight="1">
      <c r="B91" s="110"/>
      <c r="C91" s="110"/>
      <c r="D91" s="110"/>
      <c r="E91" s="110"/>
      <c r="F91" s="110"/>
      <c r="G91" s="110"/>
      <c r="I91" s="110"/>
    </row>
    <row r="92" ht="14.25" customHeight="1">
      <c r="B92" s="110"/>
      <c r="C92" s="110"/>
      <c r="D92" s="110"/>
      <c r="E92" s="110"/>
      <c r="F92" s="110"/>
      <c r="G92" s="110"/>
      <c r="I92" s="110"/>
    </row>
    <row r="93" ht="14.25" customHeight="1">
      <c r="B93" s="110"/>
      <c r="C93" s="110"/>
      <c r="D93" s="110"/>
      <c r="E93" s="110"/>
      <c r="F93" s="110"/>
      <c r="G93" s="110"/>
      <c r="I93" s="110"/>
    </row>
    <row r="94" ht="14.25" customHeight="1">
      <c r="B94" s="110"/>
      <c r="C94" s="110"/>
      <c r="D94" s="110"/>
      <c r="E94" s="110"/>
      <c r="F94" s="110"/>
      <c r="G94" s="110"/>
      <c r="I94" s="110"/>
    </row>
    <row r="95" ht="14.25" customHeight="1">
      <c r="B95" s="110"/>
      <c r="C95" s="110"/>
      <c r="D95" s="110"/>
      <c r="E95" s="110"/>
      <c r="F95" s="110"/>
      <c r="G95" s="110"/>
      <c r="I95" s="110"/>
    </row>
    <row r="96" ht="14.25" customHeight="1">
      <c r="B96" s="110"/>
      <c r="C96" s="110"/>
      <c r="D96" s="110"/>
      <c r="E96" s="110"/>
      <c r="F96" s="110"/>
      <c r="G96" s="110"/>
      <c r="I96" s="110"/>
    </row>
    <row r="97" ht="14.25" customHeight="1">
      <c r="B97" s="110"/>
      <c r="C97" s="110"/>
      <c r="D97" s="110"/>
      <c r="E97" s="110"/>
      <c r="F97" s="110"/>
      <c r="G97" s="110"/>
      <c r="I97" s="110"/>
    </row>
    <row r="98" ht="14.25" customHeight="1">
      <c r="B98" s="110"/>
      <c r="C98" s="110"/>
      <c r="D98" s="110"/>
      <c r="E98" s="110"/>
      <c r="F98" s="110"/>
      <c r="G98" s="110"/>
      <c r="I98" s="110"/>
    </row>
    <row r="99" ht="14.25" customHeight="1">
      <c r="B99" s="110"/>
      <c r="C99" s="110"/>
      <c r="D99" s="110"/>
      <c r="E99" s="110"/>
      <c r="F99" s="110"/>
      <c r="G99" s="110"/>
      <c r="I99" s="110"/>
    </row>
    <row r="100" ht="14.25" customHeight="1">
      <c r="B100" s="110"/>
      <c r="C100" s="110"/>
      <c r="D100" s="110"/>
      <c r="E100" s="110"/>
      <c r="F100" s="110"/>
      <c r="G100" s="110"/>
      <c r="I100" s="110"/>
    </row>
    <row r="101" ht="14.25" customHeight="1">
      <c r="B101" s="110"/>
      <c r="C101" s="110"/>
      <c r="D101" s="110"/>
      <c r="E101" s="110"/>
      <c r="F101" s="110"/>
      <c r="G101" s="110"/>
      <c r="I101" s="110"/>
    </row>
    <row r="102" ht="14.25" customHeight="1">
      <c r="B102" s="110"/>
      <c r="C102" s="110"/>
      <c r="D102" s="110"/>
      <c r="E102" s="110"/>
      <c r="F102" s="110"/>
      <c r="G102" s="110"/>
      <c r="I102" s="110"/>
    </row>
    <row r="103" ht="14.25" customHeight="1">
      <c r="B103" s="110"/>
      <c r="C103" s="110"/>
      <c r="D103" s="110"/>
      <c r="E103" s="110"/>
      <c r="F103" s="110"/>
      <c r="G103" s="110"/>
      <c r="I103" s="110"/>
    </row>
    <row r="104" ht="14.25" customHeight="1">
      <c r="B104" s="110"/>
      <c r="C104" s="110"/>
      <c r="D104" s="110"/>
      <c r="E104" s="110"/>
      <c r="F104" s="110"/>
      <c r="G104" s="110"/>
      <c r="I104" s="110"/>
    </row>
    <row r="105" ht="14.25" customHeight="1">
      <c r="B105" s="110"/>
      <c r="C105" s="110"/>
      <c r="D105" s="110"/>
      <c r="E105" s="110"/>
      <c r="F105" s="110"/>
      <c r="G105" s="110"/>
      <c r="I105" s="110"/>
    </row>
    <row r="106" ht="14.25" customHeight="1">
      <c r="B106" s="110"/>
      <c r="C106" s="110"/>
      <c r="D106" s="110"/>
      <c r="E106" s="110"/>
      <c r="F106" s="110"/>
      <c r="G106" s="110"/>
      <c r="I106" s="110"/>
    </row>
    <row r="107" ht="14.25" customHeight="1">
      <c r="B107" s="110"/>
      <c r="C107" s="110"/>
      <c r="D107" s="110"/>
      <c r="E107" s="110"/>
      <c r="F107" s="110"/>
      <c r="G107" s="110"/>
      <c r="I107" s="110"/>
    </row>
    <row r="108" ht="14.25" customHeight="1">
      <c r="B108" s="110"/>
      <c r="C108" s="110"/>
      <c r="D108" s="110"/>
      <c r="E108" s="110"/>
      <c r="F108" s="110"/>
      <c r="G108" s="110"/>
      <c r="I108" s="110"/>
    </row>
    <row r="109" ht="14.25" customHeight="1">
      <c r="B109" s="110"/>
      <c r="C109" s="110"/>
      <c r="D109" s="110"/>
      <c r="E109" s="110"/>
      <c r="F109" s="110"/>
      <c r="G109" s="110"/>
      <c r="I109" s="110"/>
    </row>
    <row r="110" ht="14.25" customHeight="1">
      <c r="B110" s="110"/>
      <c r="C110" s="110"/>
      <c r="D110" s="110"/>
      <c r="E110" s="110"/>
      <c r="F110" s="110"/>
      <c r="G110" s="110"/>
      <c r="I110" s="110"/>
    </row>
    <row r="111" ht="14.25" customHeight="1">
      <c r="B111" s="110"/>
      <c r="C111" s="110"/>
      <c r="D111" s="110"/>
      <c r="E111" s="110"/>
      <c r="F111" s="110"/>
      <c r="G111" s="110"/>
      <c r="I111" s="110"/>
    </row>
    <row r="112" ht="14.25" customHeight="1">
      <c r="B112" s="110"/>
      <c r="C112" s="110"/>
      <c r="D112" s="110"/>
      <c r="E112" s="110"/>
      <c r="F112" s="110"/>
      <c r="G112" s="110"/>
      <c r="I112" s="110"/>
    </row>
    <row r="113" ht="14.25" customHeight="1">
      <c r="B113" s="110"/>
      <c r="C113" s="110"/>
      <c r="D113" s="110"/>
      <c r="E113" s="110"/>
      <c r="F113" s="110"/>
      <c r="G113" s="110"/>
      <c r="I113" s="110"/>
    </row>
    <row r="114" ht="14.25" customHeight="1">
      <c r="B114" s="110"/>
      <c r="C114" s="110"/>
      <c r="D114" s="110"/>
      <c r="E114" s="110"/>
      <c r="F114" s="110"/>
      <c r="G114" s="110"/>
      <c r="I114" s="110"/>
    </row>
    <row r="115" ht="14.25" customHeight="1">
      <c r="B115" s="110"/>
      <c r="C115" s="110"/>
      <c r="D115" s="110"/>
      <c r="E115" s="110"/>
      <c r="F115" s="110"/>
      <c r="G115" s="110"/>
      <c r="I115" s="110"/>
    </row>
    <row r="116" ht="14.25" customHeight="1">
      <c r="B116" s="110"/>
      <c r="C116" s="110"/>
      <c r="D116" s="110"/>
      <c r="E116" s="110"/>
      <c r="F116" s="110"/>
      <c r="G116" s="110"/>
      <c r="I116" s="110"/>
    </row>
    <row r="117" ht="14.25" customHeight="1">
      <c r="B117" s="110"/>
      <c r="C117" s="110"/>
      <c r="D117" s="110"/>
      <c r="E117" s="110"/>
      <c r="F117" s="110"/>
      <c r="G117" s="110"/>
      <c r="I117" s="110"/>
    </row>
    <row r="118" ht="14.25" customHeight="1">
      <c r="B118" s="110"/>
      <c r="C118" s="110"/>
      <c r="D118" s="110"/>
      <c r="E118" s="110"/>
      <c r="F118" s="110"/>
      <c r="G118" s="110"/>
      <c r="I118" s="110"/>
    </row>
    <row r="119" ht="14.25" customHeight="1">
      <c r="B119" s="110"/>
      <c r="C119" s="110"/>
      <c r="D119" s="110"/>
      <c r="E119" s="110"/>
      <c r="F119" s="110"/>
      <c r="G119" s="110"/>
      <c r="I119" s="110"/>
    </row>
    <row r="120" ht="14.25" customHeight="1">
      <c r="B120" s="110"/>
      <c r="C120" s="110"/>
      <c r="D120" s="110"/>
      <c r="E120" s="110"/>
      <c r="F120" s="110"/>
      <c r="G120" s="110"/>
      <c r="I120" s="110"/>
    </row>
    <row r="121" ht="14.25" customHeight="1">
      <c r="B121" s="110"/>
      <c r="C121" s="110"/>
      <c r="D121" s="110"/>
      <c r="E121" s="110"/>
      <c r="F121" s="110"/>
      <c r="G121" s="110"/>
      <c r="I121" s="110"/>
    </row>
    <row r="122" ht="14.25" customHeight="1">
      <c r="B122" s="110"/>
      <c r="C122" s="110"/>
      <c r="D122" s="110"/>
      <c r="E122" s="110"/>
      <c r="F122" s="110"/>
      <c r="G122" s="110"/>
      <c r="I122" s="110"/>
    </row>
    <row r="123" ht="14.25" customHeight="1">
      <c r="B123" s="110"/>
      <c r="C123" s="110"/>
      <c r="D123" s="110"/>
      <c r="E123" s="110"/>
      <c r="F123" s="110"/>
      <c r="G123" s="110"/>
      <c r="I123" s="110"/>
    </row>
    <row r="124" ht="14.25" customHeight="1">
      <c r="B124" s="110"/>
      <c r="C124" s="110"/>
      <c r="D124" s="110"/>
      <c r="E124" s="110"/>
      <c r="F124" s="110"/>
      <c r="G124" s="110"/>
      <c r="I124" s="110"/>
    </row>
    <row r="125" ht="14.25" customHeight="1">
      <c r="B125" s="110"/>
      <c r="C125" s="110"/>
      <c r="D125" s="110"/>
      <c r="E125" s="110"/>
      <c r="F125" s="110"/>
      <c r="G125" s="110"/>
      <c r="I125" s="110"/>
    </row>
    <row r="126" ht="14.25" customHeight="1">
      <c r="B126" s="110"/>
      <c r="C126" s="110"/>
      <c r="D126" s="110"/>
      <c r="E126" s="110"/>
      <c r="F126" s="110"/>
      <c r="G126" s="110"/>
      <c r="I126" s="110"/>
    </row>
    <row r="127" ht="14.25" customHeight="1">
      <c r="B127" s="110"/>
      <c r="C127" s="110"/>
      <c r="D127" s="110"/>
      <c r="E127" s="110"/>
      <c r="F127" s="110"/>
      <c r="G127" s="110"/>
      <c r="I127" s="110"/>
    </row>
    <row r="128" ht="14.25" customHeight="1">
      <c r="B128" s="110"/>
      <c r="C128" s="110"/>
      <c r="D128" s="110"/>
      <c r="E128" s="110"/>
      <c r="F128" s="110"/>
      <c r="G128" s="110"/>
      <c r="I128" s="110"/>
    </row>
    <row r="129" ht="14.25" customHeight="1">
      <c r="B129" s="110"/>
      <c r="C129" s="110"/>
      <c r="D129" s="110"/>
      <c r="E129" s="110"/>
      <c r="F129" s="110"/>
      <c r="G129" s="110"/>
      <c r="I129" s="110"/>
    </row>
    <row r="130" ht="14.25" customHeight="1">
      <c r="B130" s="110"/>
      <c r="C130" s="110"/>
      <c r="D130" s="110"/>
      <c r="E130" s="110"/>
      <c r="F130" s="110"/>
      <c r="G130" s="110"/>
      <c r="I130" s="110"/>
    </row>
    <row r="131" ht="14.25" customHeight="1">
      <c r="B131" s="110"/>
      <c r="C131" s="110"/>
      <c r="D131" s="110"/>
      <c r="E131" s="110"/>
      <c r="F131" s="110"/>
      <c r="G131" s="110"/>
      <c r="I131" s="110"/>
    </row>
    <row r="132" ht="14.25" customHeight="1">
      <c r="B132" s="110"/>
      <c r="C132" s="110"/>
      <c r="D132" s="110"/>
      <c r="E132" s="110"/>
      <c r="F132" s="110"/>
      <c r="G132" s="110"/>
      <c r="I132" s="110"/>
    </row>
    <row r="133" ht="14.25" customHeight="1">
      <c r="B133" s="110"/>
      <c r="C133" s="110"/>
      <c r="D133" s="110"/>
      <c r="E133" s="110"/>
      <c r="F133" s="110"/>
      <c r="G133" s="110"/>
      <c r="I133" s="110"/>
    </row>
    <row r="134" ht="14.25" customHeight="1">
      <c r="B134" s="110"/>
      <c r="C134" s="110"/>
      <c r="D134" s="110"/>
      <c r="E134" s="110"/>
      <c r="F134" s="110"/>
      <c r="G134" s="110"/>
      <c r="I134" s="110"/>
    </row>
    <row r="135" ht="14.25" customHeight="1">
      <c r="B135" s="110"/>
      <c r="C135" s="110"/>
      <c r="D135" s="110"/>
      <c r="E135" s="110"/>
      <c r="F135" s="110"/>
      <c r="G135" s="110"/>
      <c r="I135" s="110"/>
    </row>
    <row r="136" ht="14.25" customHeight="1">
      <c r="B136" s="110"/>
      <c r="C136" s="110"/>
      <c r="D136" s="110"/>
      <c r="E136" s="110"/>
      <c r="F136" s="110"/>
      <c r="G136" s="110"/>
      <c r="I136" s="110"/>
    </row>
    <row r="137" ht="14.25" customHeight="1">
      <c r="B137" s="110"/>
      <c r="C137" s="110"/>
      <c r="D137" s="110"/>
      <c r="E137" s="110"/>
      <c r="F137" s="110"/>
      <c r="G137" s="110"/>
      <c r="I137" s="110"/>
    </row>
    <row r="138" ht="14.25" customHeight="1">
      <c r="B138" s="110"/>
      <c r="C138" s="110"/>
      <c r="D138" s="110"/>
      <c r="E138" s="110"/>
      <c r="F138" s="110"/>
      <c r="G138" s="110"/>
      <c r="I138" s="110"/>
    </row>
    <row r="139" ht="14.25" customHeight="1">
      <c r="B139" s="110"/>
      <c r="C139" s="110"/>
      <c r="D139" s="110"/>
      <c r="E139" s="110"/>
      <c r="F139" s="110"/>
      <c r="G139" s="110"/>
      <c r="I139" s="110"/>
    </row>
    <row r="140" ht="14.25" customHeight="1">
      <c r="B140" s="110"/>
      <c r="C140" s="110"/>
      <c r="D140" s="110"/>
      <c r="E140" s="110"/>
      <c r="F140" s="110"/>
      <c r="G140" s="110"/>
      <c r="I140" s="110"/>
    </row>
    <row r="141" ht="14.25" customHeight="1">
      <c r="B141" s="110"/>
      <c r="C141" s="110"/>
      <c r="D141" s="110"/>
      <c r="E141" s="110"/>
      <c r="F141" s="110"/>
      <c r="G141" s="110"/>
      <c r="I141" s="110"/>
    </row>
    <row r="142" ht="14.25" customHeight="1">
      <c r="B142" s="110"/>
      <c r="C142" s="110"/>
      <c r="D142" s="110"/>
      <c r="E142" s="110"/>
      <c r="F142" s="110"/>
      <c r="G142" s="110"/>
      <c r="I142" s="110"/>
    </row>
    <row r="143" ht="14.25" customHeight="1">
      <c r="B143" s="110"/>
      <c r="C143" s="110"/>
      <c r="D143" s="110"/>
      <c r="E143" s="110"/>
      <c r="F143" s="110"/>
      <c r="G143" s="110"/>
      <c r="I143" s="110"/>
    </row>
    <row r="144" ht="14.25" customHeight="1">
      <c r="B144" s="110"/>
      <c r="C144" s="110"/>
      <c r="D144" s="110"/>
      <c r="E144" s="110"/>
      <c r="F144" s="110"/>
      <c r="G144" s="110"/>
      <c r="I144" s="110"/>
    </row>
    <row r="145" ht="14.25" customHeight="1">
      <c r="B145" s="110"/>
      <c r="C145" s="110"/>
      <c r="D145" s="110"/>
      <c r="E145" s="110"/>
      <c r="F145" s="110"/>
      <c r="G145" s="110"/>
      <c r="I145" s="110"/>
    </row>
    <row r="146" ht="14.25" customHeight="1">
      <c r="B146" s="110"/>
      <c r="C146" s="110"/>
      <c r="D146" s="110"/>
      <c r="E146" s="110"/>
      <c r="F146" s="110"/>
      <c r="G146" s="110"/>
      <c r="I146" s="110"/>
    </row>
    <row r="147" ht="14.25" customHeight="1">
      <c r="B147" s="110"/>
      <c r="C147" s="110"/>
      <c r="D147" s="110"/>
      <c r="E147" s="110"/>
      <c r="F147" s="110"/>
      <c r="G147" s="110"/>
      <c r="I147" s="110"/>
    </row>
    <row r="148" ht="14.25" customHeight="1">
      <c r="B148" s="110"/>
      <c r="C148" s="110"/>
      <c r="D148" s="110"/>
      <c r="E148" s="110"/>
      <c r="F148" s="110"/>
      <c r="G148" s="110"/>
      <c r="I148" s="110"/>
    </row>
    <row r="149" ht="14.25" customHeight="1">
      <c r="B149" s="110"/>
      <c r="C149" s="110"/>
      <c r="D149" s="110"/>
      <c r="E149" s="110"/>
      <c r="F149" s="110"/>
      <c r="G149" s="110"/>
      <c r="I149" s="110"/>
    </row>
    <row r="150" ht="14.25" customHeight="1">
      <c r="B150" s="110"/>
      <c r="C150" s="110"/>
      <c r="D150" s="110"/>
      <c r="E150" s="110"/>
      <c r="F150" s="110"/>
      <c r="G150" s="110"/>
      <c r="I150" s="110"/>
    </row>
    <row r="151" ht="14.25" customHeight="1">
      <c r="B151" s="110"/>
      <c r="C151" s="110"/>
      <c r="D151" s="110"/>
      <c r="E151" s="110"/>
      <c r="F151" s="110"/>
      <c r="G151" s="110"/>
      <c r="I151" s="110"/>
    </row>
    <row r="152" ht="14.25" customHeight="1">
      <c r="B152" s="110"/>
      <c r="C152" s="110"/>
      <c r="D152" s="110"/>
      <c r="E152" s="110"/>
      <c r="F152" s="110"/>
      <c r="G152" s="110"/>
      <c r="I152" s="110"/>
    </row>
    <row r="153" ht="14.25" customHeight="1">
      <c r="B153" s="110"/>
      <c r="C153" s="110"/>
      <c r="D153" s="110"/>
      <c r="E153" s="110"/>
      <c r="F153" s="110"/>
      <c r="G153" s="110"/>
      <c r="I153" s="110"/>
    </row>
    <row r="154" ht="14.25" customHeight="1">
      <c r="B154" s="110"/>
      <c r="C154" s="110"/>
      <c r="D154" s="110"/>
      <c r="E154" s="110"/>
      <c r="F154" s="110"/>
      <c r="G154" s="110"/>
      <c r="I154" s="110"/>
    </row>
    <row r="155" ht="14.25" customHeight="1">
      <c r="B155" s="110"/>
      <c r="C155" s="110"/>
      <c r="D155" s="110"/>
      <c r="E155" s="110"/>
      <c r="F155" s="110"/>
      <c r="G155" s="110"/>
      <c r="I155" s="110"/>
    </row>
    <row r="156" ht="14.25" customHeight="1">
      <c r="B156" s="110"/>
      <c r="C156" s="110"/>
      <c r="D156" s="110"/>
      <c r="E156" s="110"/>
      <c r="F156" s="110"/>
      <c r="G156" s="110"/>
      <c r="I156" s="110"/>
    </row>
    <row r="157" ht="14.25" customHeight="1">
      <c r="B157" s="110"/>
      <c r="C157" s="110"/>
      <c r="D157" s="110"/>
      <c r="E157" s="110"/>
      <c r="F157" s="110"/>
      <c r="G157" s="110"/>
      <c r="I157" s="110"/>
    </row>
    <row r="158" ht="14.25" customHeight="1">
      <c r="B158" s="110"/>
      <c r="C158" s="110"/>
      <c r="D158" s="110"/>
      <c r="E158" s="110"/>
      <c r="F158" s="110"/>
      <c r="G158" s="110"/>
      <c r="I158" s="110"/>
    </row>
    <row r="159" ht="14.25" customHeight="1">
      <c r="B159" s="110"/>
      <c r="C159" s="110"/>
      <c r="D159" s="110"/>
      <c r="E159" s="110"/>
      <c r="F159" s="110"/>
      <c r="G159" s="110"/>
      <c r="I159" s="110"/>
    </row>
    <row r="160" ht="14.25" customHeight="1">
      <c r="B160" s="110"/>
      <c r="C160" s="110"/>
      <c r="D160" s="110"/>
      <c r="E160" s="110"/>
      <c r="F160" s="110"/>
      <c r="G160" s="110"/>
      <c r="I160" s="110"/>
    </row>
    <row r="161" ht="14.25" customHeight="1">
      <c r="B161" s="110"/>
      <c r="C161" s="110"/>
      <c r="D161" s="110"/>
      <c r="E161" s="110"/>
      <c r="F161" s="110"/>
      <c r="G161" s="110"/>
      <c r="I161" s="110"/>
    </row>
    <row r="162" ht="14.25" customHeight="1">
      <c r="B162" s="110"/>
      <c r="C162" s="110"/>
      <c r="D162" s="110"/>
      <c r="E162" s="110"/>
      <c r="F162" s="110"/>
      <c r="G162" s="110"/>
      <c r="I162" s="110"/>
    </row>
    <row r="163" ht="14.25" customHeight="1">
      <c r="B163" s="110"/>
      <c r="C163" s="110"/>
      <c r="D163" s="110"/>
      <c r="E163" s="110"/>
      <c r="F163" s="110"/>
      <c r="G163" s="110"/>
      <c r="I163" s="110"/>
    </row>
    <row r="164" ht="14.25" customHeight="1">
      <c r="B164" s="110"/>
      <c r="C164" s="110"/>
      <c r="D164" s="110"/>
      <c r="E164" s="110"/>
      <c r="F164" s="110"/>
      <c r="G164" s="110"/>
      <c r="I164" s="110"/>
    </row>
    <row r="165" ht="14.25" customHeight="1">
      <c r="B165" s="110"/>
      <c r="C165" s="110"/>
      <c r="D165" s="110"/>
      <c r="E165" s="110"/>
      <c r="F165" s="110"/>
      <c r="G165" s="110"/>
      <c r="I165" s="110"/>
    </row>
    <row r="166" ht="14.25" customHeight="1">
      <c r="B166" s="110"/>
      <c r="C166" s="110"/>
      <c r="D166" s="110"/>
      <c r="E166" s="110"/>
      <c r="F166" s="110"/>
      <c r="G166" s="110"/>
      <c r="I166" s="110"/>
    </row>
    <row r="167" ht="14.25" customHeight="1">
      <c r="B167" s="110"/>
      <c r="C167" s="110"/>
      <c r="D167" s="110"/>
      <c r="E167" s="110"/>
      <c r="F167" s="110"/>
      <c r="G167" s="110"/>
      <c r="I167" s="110"/>
    </row>
    <row r="168" ht="14.25" customHeight="1">
      <c r="B168" s="110"/>
      <c r="C168" s="110"/>
      <c r="D168" s="110"/>
      <c r="E168" s="110"/>
      <c r="F168" s="110"/>
      <c r="G168" s="110"/>
      <c r="I168" s="110"/>
    </row>
    <row r="169" ht="14.25" customHeight="1">
      <c r="B169" s="110"/>
      <c r="C169" s="110"/>
      <c r="D169" s="110"/>
      <c r="E169" s="110"/>
      <c r="F169" s="110"/>
      <c r="G169" s="110"/>
      <c r="I169" s="110"/>
    </row>
    <row r="170" ht="14.25" customHeight="1">
      <c r="B170" s="110"/>
      <c r="C170" s="110"/>
      <c r="D170" s="110"/>
      <c r="E170" s="110"/>
      <c r="F170" s="110"/>
      <c r="G170" s="110"/>
      <c r="I170" s="110"/>
    </row>
    <row r="171" ht="14.25" customHeight="1">
      <c r="B171" s="110"/>
      <c r="C171" s="110"/>
      <c r="D171" s="110"/>
      <c r="E171" s="110"/>
      <c r="F171" s="110"/>
      <c r="G171" s="110"/>
      <c r="I171" s="110"/>
    </row>
    <row r="172" ht="14.25" customHeight="1">
      <c r="B172" s="110"/>
      <c r="C172" s="110"/>
      <c r="D172" s="110"/>
      <c r="E172" s="110"/>
      <c r="F172" s="110"/>
      <c r="G172" s="110"/>
      <c r="I172" s="110"/>
    </row>
    <row r="173" ht="14.25" customHeight="1">
      <c r="B173" s="110"/>
      <c r="C173" s="110"/>
      <c r="D173" s="110"/>
      <c r="E173" s="110"/>
      <c r="F173" s="110"/>
      <c r="G173" s="110"/>
      <c r="I173" s="110"/>
    </row>
    <row r="174" ht="14.25" customHeight="1">
      <c r="B174" s="110"/>
      <c r="C174" s="110"/>
      <c r="D174" s="110"/>
      <c r="E174" s="110"/>
      <c r="F174" s="110"/>
      <c r="G174" s="110"/>
      <c r="I174" s="110"/>
    </row>
    <row r="175" ht="14.25" customHeight="1">
      <c r="B175" s="110"/>
      <c r="C175" s="110"/>
      <c r="D175" s="110"/>
      <c r="E175" s="110"/>
      <c r="F175" s="110"/>
      <c r="G175" s="110"/>
      <c r="I175" s="110"/>
    </row>
    <row r="176" ht="14.25" customHeight="1">
      <c r="B176" s="110"/>
      <c r="C176" s="110"/>
      <c r="D176" s="110"/>
      <c r="E176" s="110"/>
      <c r="F176" s="110"/>
      <c r="G176" s="110"/>
      <c r="I176" s="110"/>
    </row>
    <row r="177" ht="14.25" customHeight="1">
      <c r="B177" s="110"/>
      <c r="C177" s="110"/>
      <c r="D177" s="110"/>
      <c r="E177" s="110"/>
      <c r="F177" s="110"/>
      <c r="G177" s="110"/>
      <c r="I177" s="110"/>
    </row>
    <row r="178" ht="14.25" customHeight="1">
      <c r="B178" s="110"/>
      <c r="C178" s="110"/>
      <c r="D178" s="110"/>
      <c r="E178" s="110"/>
      <c r="F178" s="110"/>
      <c r="G178" s="110"/>
      <c r="I178" s="110"/>
    </row>
    <row r="179" ht="14.25" customHeight="1">
      <c r="B179" s="110"/>
      <c r="C179" s="110"/>
      <c r="D179" s="110"/>
      <c r="E179" s="110"/>
      <c r="F179" s="110"/>
      <c r="G179" s="110"/>
      <c r="I179" s="110"/>
    </row>
    <row r="180" ht="14.25" customHeight="1">
      <c r="B180" s="110"/>
      <c r="C180" s="110"/>
      <c r="D180" s="110"/>
      <c r="E180" s="110"/>
      <c r="F180" s="110"/>
      <c r="G180" s="110"/>
      <c r="I180" s="110"/>
    </row>
    <row r="181" ht="14.25" customHeight="1">
      <c r="B181" s="110"/>
      <c r="C181" s="110"/>
      <c r="D181" s="110"/>
      <c r="E181" s="110"/>
      <c r="F181" s="110"/>
      <c r="G181" s="110"/>
      <c r="I181" s="110"/>
    </row>
    <row r="182" ht="14.25" customHeight="1">
      <c r="B182" s="110"/>
      <c r="C182" s="110"/>
      <c r="D182" s="110"/>
      <c r="E182" s="110"/>
      <c r="F182" s="110"/>
      <c r="G182" s="110"/>
      <c r="I182" s="110"/>
    </row>
    <row r="183" ht="14.25" customHeight="1">
      <c r="B183" s="110"/>
      <c r="C183" s="110"/>
      <c r="D183" s="110"/>
      <c r="E183" s="110"/>
      <c r="F183" s="110"/>
      <c r="G183" s="110"/>
      <c r="I183" s="110"/>
    </row>
    <row r="184" ht="14.25" customHeight="1">
      <c r="B184" s="110"/>
      <c r="C184" s="110"/>
      <c r="D184" s="110"/>
      <c r="E184" s="110"/>
      <c r="F184" s="110"/>
      <c r="G184" s="110"/>
      <c r="I184" s="110"/>
    </row>
    <row r="185" ht="14.25" customHeight="1">
      <c r="B185" s="110"/>
      <c r="C185" s="110"/>
      <c r="D185" s="110"/>
      <c r="E185" s="110"/>
      <c r="F185" s="110"/>
      <c r="G185" s="110"/>
      <c r="I185" s="110"/>
    </row>
    <row r="186" ht="14.25" customHeight="1">
      <c r="B186" s="110"/>
      <c r="C186" s="110"/>
      <c r="D186" s="110"/>
      <c r="E186" s="110"/>
      <c r="F186" s="110"/>
      <c r="G186" s="110"/>
      <c r="I186" s="110"/>
    </row>
    <row r="187" ht="14.25" customHeight="1">
      <c r="B187" s="110"/>
      <c r="C187" s="110"/>
      <c r="D187" s="110"/>
      <c r="E187" s="110"/>
      <c r="F187" s="110"/>
      <c r="G187" s="110"/>
      <c r="I187" s="110"/>
    </row>
    <row r="188" ht="14.25" customHeight="1">
      <c r="B188" s="110"/>
      <c r="C188" s="110"/>
      <c r="D188" s="110"/>
      <c r="E188" s="110"/>
      <c r="F188" s="110"/>
      <c r="G188" s="110"/>
      <c r="I188" s="110"/>
    </row>
    <row r="189" ht="14.25" customHeight="1">
      <c r="B189" s="110"/>
      <c r="C189" s="110"/>
      <c r="D189" s="110"/>
      <c r="E189" s="110"/>
      <c r="F189" s="110"/>
      <c r="G189" s="110"/>
      <c r="I189" s="110"/>
    </row>
    <row r="190" ht="14.25" customHeight="1">
      <c r="B190" s="110"/>
      <c r="C190" s="110"/>
      <c r="D190" s="110"/>
      <c r="E190" s="110"/>
      <c r="F190" s="110"/>
      <c r="G190" s="110"/>
      <c r="I190" s="110"/>
    </row>
    <row r="191" ht="14.25" customHeight="1">
      <c r="B191" s="110"/>
      <c r="C191" s="110"/>
      <c r="D191" s="110"/>
      <c r="E191" s="110"/>
      <c r="F191" s="110"/>
      <c r="G191" s="110"/>
      <c r="I191" s="110"/>
    </row>
    <row r="192" ht="14.25" customHeight="1">
      <c r="B192" s="110"/>
      <c r="C192" s="110"/>
      <c r="D192" s="110"/>
      <c r="E192" s="110"/>
      <c r="F192" s="110"/>
      <c r="G192" s="110"/>
      <c r="I192" s="110"/>
    </row>
    <row r="193" ht="14.25" customHeight="1">
      <c r="B193" s="110"/>
      <c r="C193" s="110"/>
      <c r="D193" s="110"/>
      <c r="E193" s="110"/>
      <c r="F193" s="110"/>
      <c r="G193" s="110"/>
      <c r="I193" s="110"/>
    </row>
    <row r="194" ht="14.25" customHeight="1">
      <c r="B194" s="110"/>
      <c r="C194" s="110"/>
      <c r="D194" s="110"/>
      <c r="E194" s="110"/>
      <c r="F194" s="110"/>
      <c r="G194" s="110"/>
      <c r="I194" s="110"/>
    </row>
    <row r="195" ht="14.25" customHeight="1">
      <c r="B195" s="110"/>
      <c r="C195" s="110"/>
      <c r="D195" s="110"/>
      <c r="E195" s="110"/>
      <c r="F195" s="110"/>
      <c r="G195" s="110"/>
      <c r="I195" s="110"/>
    </row>
    <row r="196" ht="14.25" customHeight="1">
      <c r="B196" s="110"/>
      <c r="C196" s="110"/>
      <c r="D196" s="110"/>
      <c r="E196" s="110"/>
      <c r="F196" s="110"/>
      <c r="G196" s="110"/>
      <c r="I196" s="110"/>
    </row>
    <row r="197" ht="14.25" customHeight="1">
      <c r="B197" s="110"/>
      <c r="C197" s="110"/>
      <c r="D197" s="110"/>
      <c r="E197" s="110"/>
      <c r="F197" s="110"/>
      <c r="G197" s="110"/>
      <c r="I197" s="110"/>
    </row>
    <row r="198" ht="14.25" customHeight="1">
      <c r="B198" s="110"/>
      <c r="C198" s="110"/>
      <c r="D198" s="110"/>
      <c r="E198" s="110"/>
      <c r="F198" s="110"/>
      <c r="G198" s="110"/>
      <c r="I198" s="110"/>
    </row>
    <row r="199" ht="14.25" customHeight="1">
      <c r="B199" s="110"/>
      <c r="C199" s="110"/>
      <c r="D199" s="110"/>
      <c r="E199" s="110"/>
      <c r="F199" s="110"/>
      <c r="G199" s="110"/>
      <c r="I199" s="110"/>
    </row>
    <row r="200" ht="14.25" customHeight="1">
      <c r="B200" s="110"/>
      <c r="C200" s="110"/>
      <c r="D200" s="110"/>
      <c r="E200" s="110"/>
      <c r="F200" s="110"/>
      <c r="G200" s="110"/>
      <c r="I200" s="110"/>
    </row>
    <row r="201" ht="14.25" customHeight="1">
      <c r="B201" s="110"/>
      <c r="C201" s="110"/>
      <c r="D201" s="110"/>
      <c r="E201" s="110"/>
      <c r="F201" s="110"/>
      <c r="G201" s="110"/>
      <c r="I201" s="110"/>
    </row>
    <row r="202" ht="14.25" customHeight="1">
      <c r="B202" s="110"/>
      <c r="C202" s="110"/>
      <c r="D202" s="110"/>
      <c r="E202" s="110"/>
      <c r="F202" s="110"/>
      <c r="G202" s="110"/>
      <c r="I202" s="110"/>
    </row>
    <row r="203" ht="14.25" customHeight="1">
      <c r="B203" s="110"/>
      <c r="C203" s="110"/>
      <c r="D203" s="110"/>
      <c r="E203" s="110"/>
      <c r="F203" s="110"/>
      <c r="G203" s="110"/>
      <c r="I203" s="110"/>
    </row>
    <row r="204" ht="14.25" customHeight="1">
      <c r="B204" s="110"/>
      <c r="C204" s="110"/>
      <c r="D204" s="110"/>
      <c r="E204" s="110"/>
      <c r="F204" s="110"/>
      <c r="G204" s="110"/>
      <c r="I204" s="110"/>
    </row>
    <row r="205" ht="14.25" customHeight="1">
      <c r="B205" s="110"/>
      <c r="C205" s="110"/>
      <c r="D205" s="110"/>
      <c r="E205" s="110"/>
      <c r="F205" s="110"/>
      <c r="G205" s="110"/>
      <c r="I205" s="110"/>
    </row>
    <row r="206" ht="14.25" customHeight="1">
      <c r="B206" s="110"/>
      <c r="C206" s="110"/>
      <c r="D206" s="110"/>
      <c r="E206" s="110"/>
      <c r="F206" s="110"/>
      <c r="G206" s="110"/>
      <c r="I206" s="110"/>
    </row>
    <row r="207" ht="14.25" customHeight="1">
      <c r="B207" s="110"/>
      <c r="C207" s="110"/>
      <c r="D207" s="110"/>
      <c r="E207" s="110"/>
      <c r="F207" s="110"/>
      <c r="G207" s="110"/>
      <c r="I207" s="110"/>
    </row>
    <row r="208" ht="14.25" customHeight="1">
      <c r="B208" s="110"/>
      <c r="C208" s="110"/>
      <c r="D208" s="110"/>
      <c r="E208" s="110"/>
      <c r="F208" s="110"/>
      <c r="G208" s="110"/>
      <c r="I208" s="110"/>
    </row>
    <row r="209" ht="14.25" customHeight="1">
      <c r="B209" s="110"/>
      <c r="C209" s="110"/>
      <c r="D209" s="110"/>
      <c r="E209" s="110"/>
      <c r="F209" s="110"/>
      <c r="G209" s="110"/>
      <c r="I209" s="110"/>
    </row>
    <row r="210" ht="14.25" customHeight="1">
      <c r="B210" s="110"/>
      <c r="C210" s="110"/>
      <c r="D210" s="110"/>
      <c r="E210" s="110"/>
      <c r="F210" s="110"/>
      <c r="G210" s="110"/>
      <c r="I210" s="110"/>
    </row>
    <row r="211" ht="14.25" customHeight="1">
      <c r="B211" s="110"/>
      <c r="C211" s="110"/>
      <c r="D211" s="110"/>
      <c r="E211" s="110"/>
      <c r="F211" s="110"/>
      <c r="G211" s="110"/>
      <c r="I211" s="110"/>
    </row>
    <row r="212" ht="14.25" customHeight="1">
      <c r="B212" s="110"/>
      <c r="C212" s="110"/>
      <c r="D212" s="110"/>
      <c r="E212" s="110"/>
      <c r="F212" s="110"/>
      <c r="G212" s="110"/>
      <c r="I212" s="110"/>
    </row>
    <row r="213" ht="14.25" customHeight="1">
      <c r="B213" s="110"/>
      <c r="C213" s="110"/>
      <c r="D213" s="110"/>
      <c r="E213" s="110"/>
      <c r="F213" s="110"/>
      <c r="G213" s="110"/>
      <c r="I213" s="110"/>
    </row>
    <row r="214" ht="14.25" customHeight="1">
      <c r="B214" s="110"/>
      <c r="C214" s="110"/>
      <c r="D214" s="110"/>
      <c r="E214" s="110"/>
      <c r="F214" s="110"/>
      <c r="G214" s="110"/>
      <c r="I214" s="110"/>
    </row>
    <row r="215" ht="14.25" customHeight="1">
      <c r="B215" s="110"/>
      <c r="C215" s="110"/>
      <c r="D215" s="110"/>
      <c r="E215" s="110"/>
      <c r="F215" s="110"/>
      <c r="G215" s="110"/>
      <c r="I215" s="110"/>
    </row>
    <row r="216" ht="14.25" customHeight="1">
      <c r="B216" s="110"/>
      <c r="C216" s="110"/>
      <c r="D216" s="110"/>
      <c r="E216" s="110"/>
      <c r="F216" s="110"/>
      <c r="G216" s="110"/>
      <c r="I216" s="110"/>
    </row>
    <row r="217" ht="14.25" customHeight="1">
      <c r="B217" s="110"/>
      <c r="C217" s="110"/>
      <c r="D217" s="110"/>
      <c r="E217" s="110"/>
      <c r="F217" s="110"/>
      <c r="G217" s="110"/>
      <c r="I217" s="110"/>
    </row>
    <row r="218" ht="14.25" customHeight="1">
      <c r="B218" s="110"/>
      <c r="C218" s="110"/>
      <c r="D218" s="110"/>
      <c r="E218" s="110"/>
      <c r="F218" s="110"/>
      <c r="G218" s="110"/>
      <c r="I218" s="110"/>
    </row>
    <row r="219" ht="14.25" customHeight="1">
      <c r="B219" s="110"/>
      <c r="C219" s="110"/>
      <c r="D219" s="110"/>
      <c r="E219" s="110"/>
      <c r="F219" s="110"/>
      <c r="G219" s="110"/>
      <c r="I219" s="110"/>
    </row>
    <row r="220" ht="14.25" customHeight="1">
      <c r="B220" s="110"/>
      <c r="C220" s="110"/>
      <c r="D220" s="110"/>
      <c r="E220" s="110"/>
      <c r="F220" s="110"/>
      <c r="G220" s="110"/>
      <c r="I220" s="110"/>
    </row>
    <row r="221" ht="14.25" customHeight="1">
      <c r="B221" s="110"/>
      <c r="C221" s="110"/>
      <c r="D221" s="110"/>
      <c r="E221" s="110"/>
      <c r="F221" s="110"/>
      <c r="G221" s="110"/>
      <c r="I221" s="110"/>
    </row>
    <row r="222" ht="14.25" customHeight="1">
      <c r="B222" s="110"/>
      <c r="C222" s="110"/>
      <c r="D222" s="110"/>
      <c r="E222" s="110"/>
      <c r="F222" s="110"/>
      <c r="G222" s="110"/>
      <c r="I222" s="110"/>
    </row>
    <row r="223" ht="14.25" customHeight="1">
      <c r="B223" s="110"/>
      <c r="C223" s="110"/>
      <c r="D223" s="110"/>
      <c r="E223" s="110"/>
      <c r="F223" s="110"/>
      <c r="G223" s="110"/>
      <c r="I223" s="110"/>
    </row>
    <row r="224" ht="14.25" customHeight="1">
      <c r="B224" s="110"/>
      <c r="C224" s="110"/>
      <c r="D224" s="110"/>
      <c r="E224" s="110"/>
      <c r="F224" s="110"/>
      <c r="G224" s="110"/>
      <c r="I224" s="110"/>
    </row>
    <row r="225" ht="14.25" customHeight="1">
      <c r="B225" s="110"/>
      <c r="C225" s="110"/>
      <c r="D225" s="110"/>
      <c r="E225" s="110"/>
      <c r="F225" s="110"/>
      <c r="G225" s="110"/>
      <c r="I225" s="110"/>
    </row>
    <row r="226" ht="14.25" customHeight="1">
      <c r="B226" s="110"/>
      <c r="C226" s="110"/>
      <c r="D226" s="110"/>
      <c r="E226" s="110"/>
      <c r="F226" s="110"/>
      <c r="G226" s="110"/>
      <c r="I226" s="110"/>
    </row>
    <row r="227" ht="14.25" customHeight="1">
      <c r="B227" s="110"/>
      <c r="C227" s="110"/>
      <c r="D227" s="110"/>
      <c r="E227" s="110"/>
      <c r="F227" s="110"/>
      <c r="G227" s="110"/>
      <c r="I227" s="110"/>
    </row>
    <row r="228" ht="14.25" customHeight="1">
      <c r="B228" s="110"/>
      <c r="C228" s="110"/>
      <c r="D228" s="110"/>
      <c r="E228" s="110"/>
      <c r="F228" s="110"/>
      <c r="G228" s="110"/>
      <c r="I228" s="110"/>
    </row>
    <row r="229" ht="14.25" customHeight="1">
      <c r="B229" s="110"/>
      <c r="C229" s="110"/>
      <c r="D229" s="110"/>
      <c r="E229" s="110"/>
      <c r="F229" s="110"/>
      <c r="G229" s="110"/>
      <c r="I229" s="110"/>
    </row>
    <row r="230" ht="14.25" customHeight="1">
      <c r="B230" s="110"/>
      <c r="C230" s="110"/>
      <c r="D230" s="110"/>
      <c r="E230" s="110"/>
      <c r="F230" s="110"/>
      <c r="G230" s="110"/>
      <c r="I230" s="110"/>
    </row>
    <row r="231" ht="14.25" customHeight="1">
      <c r="B231" s="110"/>
      <c r="C231" s="110"/>
      <c r="D231" s="110"/>
      <c r="E231" s="110"/>
      <c r="F231" s="110"/>
      <c r="G231" s="110"/>
      <c r="I231" s="110"/>
    </row>
    <row r="232" ht="14.25" customHeight="1">
      <c r="B232" s="110"/>
      <c r="C232" s="110"/>
      <c r="D232" s="110"/>
      <c r="E232" s="110"/>
      <c r="F232" s="110"/>
      <c r="G232" s="110"/>
      <c r="I232" s="110"/>
    </row>
    <row r="233" ht="14.25" customHeight="1">
      <c r="B233" s="110"/>
      <c r="C233" s="110"/>
      <c r="D233" s="110"/>
      <c r="E233" s="110"/>
      <c r="F233" s="110"/>
      <c r="G233" s="110"/>
      <c r="I233" s="110"/>
    </row>
    <row r="234" ht="14.25" customHeight="1">
      <c r="B234" s="110"/>
      <c r="C234" s="110"/>
      <c r="D234" s="110"/>
      <c r="E234" s="110"/>
      <c r="F234" s="110"/>
      <c r="G234" s="110"/>
      <c r="I234" s="110"/>
    </row>
    <row r="235" ht="14.25" customHeight="1">
      <c r="B235" s="110"/>
      <c r="C235" s="110"/>
      <c r="D235" s="110"/>
      <c r="E235" s="110"/>
      <c r="F235" s="110"/>
      <c r="G235" s="110"/>
      <c r="I235" s="110"/>
    </row>
    <row r="236" ht="14.25" customHeight="1">
      <c r="B236" s="110"/>
      <c r="C236" s="110"/>
      <c r="D236" s="110"/>
      <c r="E236" s="110"/>
      <c r="F236" s="110"/>
      <c r="G236" s="110"/>
      <c r="I236" s="110"/>
    </row>
    <row r="237" ht="14.25" customHeight="1">
      <c r="B237" s="110"/>
      <c r="C237" s="110"/>
      <c r="D237" s="110"/>
      <c r="E237" s="110"/>
      <c r="F237" s="110"/>
      <c r="G237" s="110"/>
      <c r="I237" s="110"/>
    </row>
    <row r="238" ht="14.25" customHeight="1">
      <c r="B238" s="110"/>
      <c r="C238" s="110"/>
      <c r="D238" s="110"/>
      <c r="E238" s="110"/>
      <c r="F238" s="110"/>
      <c r="G238" s="110"/>
      <c r="I238" s="110"/>
    </row>
    <row r="239" ht="14.25" customHeight="1">
      <c r="B239" s="110"/>
      <c r="C239" s="110"/>
      <c r="D239" s="110"/>
      <c r="E239" s="110"/>
      <c r="F239" s="110"/>
      <c r="G239" s="110"/>
      <c r="I239" s="110"/>
    </row>
    <row r="240" ht="14.25" customHeight="1">
      <c r="B240" s="110"/>
      <c r="C240" s="110"/>
      <c r="D240" s="110"/>
      <c r="E240" s="110"/>
      <c r="F240" s="110"/>
      <c r="G240" s="110"/>
      <c r="I240" s="110"/>
    </row>
    <row r="241" ht="14.25" customHeight="1">
      <c r="B241" s="110"/>
      <c r="C241" s="110"/>
      <c r="D241" s="110"/>
      <c r="E241" s="110"/>
      <c r="F241" s="110"/>
      <c r="G241" s="110"/>
      <c r="I241" s="110"/>
    </row>
    <row r="242" ht="14.25" customHeight="1">
      <c r="B242" s="110"/>
      <c r="C242" s="110"/>
      <c r="D242" s="110"/>
      <c r="E242" s="110"/>
      <c r="F242" s="110"/>
      <c r="G242" s="110"/>
      <c r="I242" s="110"/>
    </row>
    <row r="243" ht="14.25" customHeight="1">
      <c r="B243" s="110"/>
      <c r="C243" s="110"/>
      <c r="D243" s="110"/>
      <c r="E243" s="110"/>
      <c r="F243" s="110"/>
      <c r="G243" s="110"/>
      <c r="I243" s="110"/>
    </row>
    <row r="244" ht="14.25" customHeight="1">
      <c r="B244" s="110"/>
      <c r="C244" s="110"/>
      <c r="D244" s="110"/>
      <c r="E244" s="110"/>
      <c r="F244" s="110"/>
      <c r="G244" s="110"/>
      <c r="I244" s="110"/>
    </row>
    <row r="245" ht="14.25" customHeight="1">
      <c r="B245" s="110"/>
      <c r="C245" s="110"/>
      <c r="D245" s="110"/>
      <c r="E245" s="110"/>
      <c r="F245" s="110"/>
      <c r="G245" s="110"/>
      <c r="I245" s="110"/>
    </row>
    <row r="246" ht="14.25" customHeight="1">
      <c r="B246" s="110"/>
      <c r="C246" s="110"/>
      <c r="D246" s="110"/>
      <c r="E246" s="110"/>
      <c r="F246" s="110"/>
      <c r="G246" s="110"/>
      <c r="I246" s="110"/>
    </row>
    <row r="247" ht="14.25" customHeight="1">
      <c r="B247" s="110"/>
      <c r="C247" s="110"/>
      <c r="D247" s="110"/>
      <c r="E247" s="110"/>
      <c r="F247" s="110"/>
      <c r="G247" s="110"/>
      <c r="I247" s="110"/>
    </row>
    <row r="248" ht="14.25" customHeight="1">
      <c r="B248" s="110"/>
      <c r="C248" s="110"/>
      <c r="D248" s="110"/>
      <c r="E248" s="110"/>
      <c r="F248" s="110"/>
      <c r="G248" s="110"/>
      <c r="I248" s="110"/>
    </row>
    <row r="249" ht="14.25" customHeight="1">
      <c r="B249" s="110"/>
      <c r="C249" s="110"/>
      <c r="D249" s="110"/>
      <c r="E249" s="110"/>
      <c r="F249" s="110"/>
      <c r="G249" s="110"/>
      <c r="I249" s="110"/>
    </row>
    <row r="250" ht="14.25" customHeight="1">
      <c r="B250" s="110"/>
      <c r="C250" s="110"/>
      <c r="D250" s="110"/>
      <c r="E250" s="110"/>
      <c r="F250" s="110"/>
      <c r="G250" s="110"/>
      <c r="I250" s="110"/>
    </row>
    <row r="251" ht="14.25" customHeight="1">
      <c r="B251" s="110"/>
      <c r="C251" s="110"/>
      <c r="D251" s="110"/>
      <c r="E251" s="110"/>
      <c r="F251" s="110"/>
      <c r="G251" s="110"/>
      <c r="I251" s="110"/>
    </row>
    <row r="252" ht="14.25" customHeight="1">
      <c r="B252" s="110"/>
      <c r="C252" s="110"/>
      <c r="D252" s="110"/>
      <c r="E252" s="110"/>
      <c r="F252" s="110"/>
      <c r="G252" s="110"/>
      <c r="I252" s="110"/>
    </row>
    <row r="253" ht="14.25" customHeight="1">
      <c r="B253" s="110"/>
      <c r="C253" s="110"/>
      <c r="D253" s="110"/>
      <c r="E253" s="110"/>
      <c r="F253" s="110"/>
      <c r="G253" s="110"/>
      <c r="I253" s="110"/>
    </row>
    <row r="254" ht="14.25" customHeight="1">
      <c r="B254" s="110"/>
      <c r="C254" s="110"/>
      <c r="D254" s="110"/>
      <c r="E254" s="110"/>
      <c r="F254" s="110"/>
      <c r="G254" s="110"/>
      <c r="I254" s="110"/>
    </row>
    <row r="255" ht="14.25" customHeight="1">
      <c r="B255" s="110"/>
      <c r="C255" s="110"/>
      <c r="D255" s="110"/>
      <c r="E255" s="110"/>
      <c r="F255" s="110"/>
      <c r="G255" s="110"/>
      <c r="I255" s="110"/>
    </row>
    <row r="256" ht="14.25" customHeight="1">
      <c r="B256" s="110"/>
      <c r="C256" s="110"/>
      <c r="D256" s="110"/>
      <c r="E256" s="110"/>
      <c r="F256" s="110"/>
      <c r="G256" s="110"/>
      <c r="I256" s="110"/>
    </row>
    <row r="257" ht="14.25" customHeight="1">
      <c r="B257" s="110"/>
      <c r="C257" s="110"/>
      <c r="D257" s="110"/>
      <c r="E257" s="110"/>
      <c r="F257" s="110"/>
      <c r="G257" s="110"/>
      <c r="I257" s="110"/>
    </row>
    <row r="258" ht="14.25" customHeight="1">
      <c r="B258" s="110"/>
      <c r="C258" s="110"/>
      <c r="D258" s="110"/>
      <c r="E258" s="110"/>
      <c r="F258" s="110"/>
      <c r="G258" s="110"/>
      <c r="I258" s="110"/>
    </row>
    <row r="259" ht="14.25" customHeight="1">
      <c r="B259" s="110"/>
      <c r="C259" s="110"/>
      <c r="D259" s="110"/>
      <c r="E259" s="110"/>
      <c r="F259" s="110"/>
      <c r="G259" s="110"/>
      <c r="I259" s="110"/>
    </row>
    <row r="260" ht="14.25" customHeight="1">
      <c r="B260" s="110"/>
      <c r="C260" s="110"/>
      <c r="D260" s="110"/>
      <c r="E260" s="110"/>
      <c r="F260" s="110"/>
      <c r="G260" s="110"/>
      <c r="I260" s="110"/>
    </row>
    <row r="261" ht="14.25" customHeight="1">
      <c r="B261" s="110"/>
      <c r="C261" s="110"/>
      <c r="D261" s="110"/>
      <c r="E261" s="110"/>
      <c r="F261" s="110"/>
      <c r="G261" s="110"/>
      <c r="I261" s="110"/>
    </row>
    <row r="262" ht="14.25" customHeight="1">
      <c r="B262" s="110"/>
      <c r="C262" s="110"/>
      <c r="D262" s="110"/>
      <c r="E262" s="110"/>
      <c r="F262" s="110"/>
      <c r="G262" s="110"/>
      <c r="I262" s="110"/>
    </row>
    <row r="263" ht="14.25" customHeight="1">
      <c r="B263" s="110"/>
      <c r="C263" s="110"/>
      <c r="D263" s="110"/>
      <c r="E263" s="110"/>
      <c r="F263" s="110"/>
      <c r="G263" s="110"/>
      <c r="I263" s="110"/>
    </row>
    <row r="264" ht="14.25" customHeight="1">
      <c r="B264" s="110"/>
      <c r="C264" s="110"/>
      <c r="D264" s="110"/>
      <c r="E264" s="110"/>
      <c r="F264" s="110"/>
      <c r="G264" s="110"/>
      <c r="I264" s="110"/>
    </row>
    <row r="265" ht="14.25" customHeight="1">
      <c r="B265" s="110"/>
      <c r="C265" s="110"/>
      <c r="D265" s="110"/>
      <c r="E265" s="110"/>
      <c r="F265" s="110"/>
      <c r="G265" s="110"/>
      <c r="I265" s="110"/>
    </row>
    <row r="266" ht="14.25" customHeight="1">
      <c r="B266" s="110"/>
      <c r="C266" s="110"/>
      <c r="D266" s="110"/>
      <c r="E266" s="110"/>
      <c r="F266" s="110"/>
      <c r="G266" s="110"/>
      <c r="I266" s="110"/>
    </row>
    <row r="267" ht="14.25" customHeight="1">
      <c r="B267" s="110"/>
      <c r="C267" s="110"/>
      <c r="D267" s="110"/>
      <c r="E267" s="110"/>
      <c r="F267" s="110"/>
      <c r="G267" s="110"/>
      <c r="I267" s="110"/>
    </row>
    <row r="268" ht="14.25" customHeight="1">
      <c r="B268" s="110"/>
      <c r="C268" s="110"/>
      <c r="D268" s="110"/>
      <c r="E268" s="110"/>
      <c r="F268" s="110"/>
      <c r="G268" s="110"/>
      <c r="I268" s="110"/>
    </row>
    <row r="269" ht="14.25" customHeight="1">
      <c r="B269" s="110"/>
      <c r="C269" s="110"/>
      <c r="D269" s="110"/>
      <c r="E269" s="110"/>
      <c r="F269" s="110"/>
      <c r="G269" s="110"/>
      <c r="I269" s="110"/>
    </row>
    <row r="270" ht="14.25" customHeight="1">
      <c r="B270" s="110"/>
      <c r="C270" s="110"/>
      <c r="D270" s="110"/>
      <c r="E270" s="110"/>
      <c r="F270" s="110"/>
      <c r="G270" s="110"/>
      <c r="I270" s="110"/>
    </row>
    <row r="271" ht="14.25" customHeight="1">
      <c r="B271" s="110"/>
      <c r="C271" s="110"/>
      <c r="D271" s="110"/>
      <c r="E271" s="110"/>
      <c r="F271" s="110"/>
      <c r="G271" s="110"/>
      <c r="I271" s="110"/>
    </row>
    <row r="272" ht="14.25" customHeight="1">
      <c r="B272" s="110"/>
      <c r="C272" s="110"/>
      <c r="D272" s="110"/>
      <c r="E272" s="110"/>
      <c r="F272" s="110"/>
      <c r="G272" s="110"/>
      <c r="I272" s="110"/>
    </row>
    <row r="273" ht="14.25" customHeight="1">
      <c r="B273" s="110"/>
      <c r="C273" s="110"/>
      <c r="D273" s="110"/>
      <c r="E273" s="110"/>
      <c r="F273" s="110"/>
      <c r="G273" s="110"/>
      <c r="I273" s="110"/>
    </row>
    <row r="274" ht="14.25" customHeight="1">
      <c r="B274" s="110"/>
      <c r="C274" s="110"/>
      <c r="D274" s="110"/>
      <c r="E274" s="110"/>
      <c r="F274" s="110"/>
      <c r="G274" s="110"/>
      <c r="I274" s="110"/>
    </row>
    <row r="275" ht="14.25" customHeight="1">
      <c r="B275" s="110"/>
      <c r="C275" s="110"/>
      <c r="D275" s="110"/>
      <c r="E275" s="110"/>
      <c r="F275" s="110"/>
      <c r="G275" s="110"/>
      <c r="I275" s="110"/>
    </row>
    <row r="276" ht="14.25" customHeight="1">
      <c r="B276" s="110"/>
      <c r="C276" s="110"/>
      <c r="D276" s="110"/>
      <c r="E276" s="110"/>
      <c r="F276" s="110"/>
      <c r="G276" s="110"/>
      <c r="I276" s="110"/>
    </row>
    <row r="277" ht="14.25" customHeight="1">
      <c r="B277" s="110"/>
      <c r="C277" s="110"/>
      <c r="D277" s="110"/>
      <c r="E277" s="110"/>
      <c r="F277" s="110"/>
      <c r="G277" s="110"/>
      <c r="I277" s="110"/>
    </row>
    <row r="278" ht="14.25" customHeight="1">
      <c r="B278" s="110"/>
      <c r="C278" s="110"/>
      <c r="D278" s="110"/>
      <c r="E278" s="110"/>
      <c r="F278" s="110"/>
      <c r="G278" s="110"/>
      <c r="I278" s="110"/>
    </row>
    <row r="279" ht="14.25" customHeight="1">
      <c r="B279" s="110"/>
      <c r="C279" s="110"/>
      <c r="D279" s="110"/>
      <c r="E279" s="110"/>
      <c r="F279" s="110"/>
      <c r="G279" s="110"/>
      <c r="I279" s="110"/>
    </row>
    <row r="280" ht="14.25" customHeight="1">
      <c r="B280" s="110"/>
      <c r="C280" s="110"/>
      <c r="D280" s="110"/>
      <c r="E280" s="110"/>
      <c r="F280" s="110"/>
      <c r="G280" s="110"/>
      <c r="I280" s="110"/>
    </row>
    <row r="281" ht="14.25" customHeight="1">
      <c r="B281" s="110"/>
      <c r="C281" s="110"/>
      <c r="D281" s="110"/>
      <c r="E281" s="110"/>
      <c r="F281" s="110"/>
      <c r="G281" s="110"/>
      <c r="I281" s="110"/>
    </row>
    <row r="282" ht="14.25" customHeight="1">
      <c r="B282" s="110"/>
      <c r="C282" s="110"/>
      <c r="D282" s="110"/>
      <c r="E282" s="110"/>
      <c r="F282" s="110"/>
      <c r="G282" s="110"/>
      <c r="I282" s="110"/>
    </row>
    <row r="283" ht="14.25" customHeight="1">
      <c r="B283" s="110"/>
      <c r="C283" s="110"/>
      <c r="D283" s="110"/>
      <c r="E283" s="110"/>
      <c r="F283" s="110"/>
      <c r="G283" s="110"/>
      <c r="I283" s="110"/>
    </row>
    <row r="284" ht="14.25" customHeight="1">
      <c r="B284" s="110"/>
      <c r="C284" s="110"/>
      <c r="D284" s="110"/>
      <c r="E284" s="110"/>
      <c r="F284" s="110"/>
      <c r="G284" s="110"/>
      <c r="I284" s="110"/>
    </row>
    <row r="285" ht="14.25" customHeight="1">
      <c r="B285" s="110"/>
      <c r="C285" s="110"/>
      <c r="D285" s="110"/>
      <c r="E285" s="110"/>
      <c r="F285" s="110"/>
      <c r="G285" s="110"/>
      <c r="I285" s="110"/>
    </row>
    <row r="286" ht="14.25" customHeight="1">
      <c r="B286" s="110"/>
      <c r="C286" s="110"/>
      <c r="D286" s="110"/>
      <c r="E286" s="110"/>
      <c r="F286" s="110"/>
      <c r="G286" s="110"/>
      <c r="I286" s="110"/>
    </row>
    <row r="287" ht="14.25" customHeight="1">
      <c r="B287" s="110"/>
      <c r="C287" s="110"/>
      <c r="D287" s="110"/>
      <c r="E287" s="110"/>
      <c r="F287" s="110"/>
      <c r="G287" s="110"/>
      <c r="I287" s="110"/>
    </row>
    <row r="288" ht="14.25" customHeight="1">
      <c r="B288" s="110"/>
      <c r="C288" s="110"/>
      <c r="D288" s="110"/>
      <c r="E288" s="110"/>
      <c r="F288" s="110"/>
      <c r="G288" s="110"/>
      <c r="I288" s="110"/>
    </row>
    <row r="289" ht="14.25" customHeight="1">
      <c r="B289" s="110"/>
      <c r="C289" s="110"/>
      <c r="D289" s="110"/>
      <c r="E289" s="110"/>
      <c r="F289" s="110"/>
      <c r="G289" s="110"/>
      <c r="I289" s="110"/>
    </row>
    <row r="290" ht="14.25" customHeight="1">
      <c r="B290" s="110"/>
      <c r="C290" s="110"/>
      <c r="D290" s="110"/>
      <c r="E290" s="110"/>
      <c r="F290" s="110"/>
      <c r="G290" s="110"/>
      <c r="I290" s="110"/>
    </row>
    <row r="291" ht="14.25" customHeight="1">
      <c r="B291" s="110"/>
      <c r="C291" s="110"/>
      <c r="D291" s="110"/>
      <c r="E291" s="110"/>
      <c r="F291" s="110"/>
      <c r="G291" s="110"/>
      <c r="I291" s="110"/>
    </row>
    <row r="292" ht="14.25" customHeight="1">
      <c r="B292" s="110"/>
      <c r="C292" s="110"/>
      <c r="D292" s="110"/>
      <c r="E292" s="110"/>
      <c r="F292" s="110"/>
      <c r="G292" s="110"/>
      <c r="I292" s="110"/>
    </row>
    <row r="293" ht="14.25" customHeight="1">
      <c r="B293" s="110"/>
      <c r="C293" s="110"/>
      <c r="D293" s="110"/>
      <c r="E293" s="110"/>
      <c r="F293" s="110"/>
      <c r="G293" s="110"/>
      <c r="I293" s="110"/>
    </row>
    <row r="294" ht="14.25" customHeight="1">
      <c r="B294" s="110"/>
      <c r="C294" s="110"/>
      <c r="D294" s="110"/>
      <c r="E294" s="110"/>
      <c r="F294" s="110"/>
      <c r="G294" s="110"/>
      <c r="I294" s="110"/>
    </row>
    <row r="295" ht="14.25" customHeight="1">
      <c r="B295" s="110"/>
      <c r="C295" s="110"/>
      <c r="D295" s="110"/>
      <c r="E295" s="110"/>
      <c r="F295" s="110"/>
      <c r="G295" s="110"/>
      <c r="I295" s="110"/>
    </row>
    <row r="296" ht="14.25" customHeight="1">
      <c r="B296" s="110"/>
      <c r="C296" s="110"/>
      <c r="D296" s="110"/>
      <c r="E296" s="110"/>
      <c r="F296" s="110"/>
      <c r="G296" s="110"/>
      <c r="I296" s="110"/>
    </row>
    <row r="297" ht="14.25" customHeight="1">
      <c r="B297" s="110"/>
      <c r="C297" s="110"/>
      <c r="D297" s="110"/>
      <c r="E297" s="110"/>
      <c r="F297" s="110"/>
      <c r="G297" s="110"/>
      <c r="I297" s="110"/>
    </row>
    <row r="298" ht="14.25" customHeight="1">
      <c r="B298" s="110"/>
      <c r="C298" s="110"/>
      <c r="D298" s="110"/>
      <c r="E298" s="110"/>
      <c r="F298" s="110"/>
      <c r="G298" s="110"/>
      <c r="I298" s="110"/>
    </row>
    <row r="299" ht="14.25" customHeight="1">
      <c r="B299" s="110"/>
      <c r="C299" s="110"/>
      <c r="D299" s="110"/>
      <c r="E299" s="110"/>
      <c r="F299" s="110"/>
      <c r="G299" s="110"/>
      <c r="I299" s="110"/>
    </row>
    <row r="300" ht="14.25" customHeight="1">
      <c r="B300" s="110"/>
      <c r="C300" s="110"/>
      <c r="D300" s="110"/>
      <c r="E300" s="110"/>
      <c r="F300" s="110"/>
      <c r="G300" s="110"/>
      <c r="I300" s="110"/>
    </row>
    <row r="301" ht="14.25" customHeight="1">
      <c r="B301" s="110"/>
      <c r="C301" s="110"/>
      <c r="D301" s="110"/>
      <c r="E301" s="110"/>
      <c r="F301" s="110"/>
      <c r="G301" s="110"/>
      <c r="I301" s="110"/>
    </row>
    <row r="302" ht="14.25" customHeight="1">
      <c r="B302" s="110"/>
      <c r="C302" s="110"/>
      <c r="D302" s="110"/>
      <c r="E302" s="110"/>
      <c r="F302" s="110"/>
      <c r="G302" s="110"/>
      <c r="I302" s="110"/>
    </row>
    <row r="303" ht="14.25" customHeight="1">
      <c r="B303" s="110"/>
      <c r="C303" s="110"/>
      <c r="D303" s="110"/>
      <c r="E303" s="110"/>
      <c r="F303" s="110"/>
      <c r="G303" s="110"/>
      <c r="I303" s="110"/>
    </row>
    <row r="304" ht="14.25" customHeight="1">
      <c r="B304" s="110"/>
      <c r="C304" s="110"/>
      <c r="D304" s="110"/>
      <c r="E304" s="110"/>
      <c r="F304" s="110"/>
      <c r="G304" s="110"/>
      <c r="I304" s="110"/>
    </row>
    <row r="305" ht="14.25" customHeight="1">
      <c r="B305" s="110"/>
      <c r="C305" s="110"/>
      <c r="D305" s="110"/>
      <c r="E305" s="110"/>
      <c r="F305" s="110"/>
      <c r="G305" s="110"/>
      <c r="I305" s="110"/>
    </row>
    <row r="306" ht="14.25" customHeight="1">
      <c r="B306" s="110"/>
      <c r="C306" s="110"/>
      <c r="D306" s="110"/>
      <c r="E306" s="110"/>
      <c r="F306" s="110"/>
      <c r="G306" s="110"/>
      <c r="I306" s="110"/>
    </row>
    <row r="307" ht="14.25" customHeight="1">
      <c r="B307" s="110"/>
      <c r="C307" s="110"/>
      <c r="D307" s="110"/>
      <c r="E307" s="110"/>
      <c r="F307" s="110"/>
      <c r="G307" s="110"/>
      <c r="I307" s="110"/>
    </row>
    <row r="308" ht="14.25" customHeight="1">
      <c r="B308" s="110"/>
      <c r="C308" s="110"/>
      <c r="D308" s="110"/>
      <c r="E308" s="110"/>
      <c r="F308" s="110"/>
      <c r="G308" s="110"/>
      <c r="I308" s="110"/>
    </row>
    <row r="309" ht="14.25" customHeight="1">
      <c r="B309" s="110"/>
      <c r="C309" s="110"/>
      <c r="D309" s="110"/>
      <c r="E309" s="110"/>
      <c r="F309" s="110"/>
      <c r="G309" s="110"/>
      <c r="I309" s="110"/>
    </row>
    <row r="310" ht="14.25" customHeight="1">
      <c r="B310" s="110"/>
      <c r="C310" s="110"/>
      <c r="D310" s="110"/>
      <c r="E310" s="110"/>
      <c r="F310" s="110"/>
      <c r="G310" s="110"/>
      <c r="I310" s="110"/>
    </row>
    <row r="311" ht="14.25" customHeight="1">
      <c r="B311" s="110"/>
      <c r="C311" s="110"/>
      <c r="D311" s="110"/>
      <c r="E311" s="110"/>
      <c r="F311" s="110"/>
      <c r="G311" s="110"/>
      <c r="I311" s="110"/>
    </row>
    <row r="312" ht="14.25" customHeight="1">
      <c r="B312" s="110"/>
      <c r="C312" s="110"/>
      <c r="D312" s="110"/>
      <c r="E312" s="110"/>
      <c r="F312" s="110"/>
      <c r="G312" s="110"/>
      <c r="I312" s="110"/>
    </row>
    <row r="313" ht="14.25" customHeight="1">
      <c r="B313" s="110"/>
      <c r="C313" s="110"/>
      <c r="D313" s="110"/>
      <c r="E313" s="110"/>
      <c r="F313" s="110"/>
      <c r="G313" s="110"/>
      <c r="I313" s="110"/>
    </row>
    <row r="314" ht="14.25" customHeight="1">
      <c r="B314" s="110"/>
      <c r="C314" s="110"/>
      <c r="D314" s="110"/>
      <c r="E314" s="110"/>
      <c r="F314" s="110"/>
      <c r="G314" s="110"/>
      <c r="I314" s="110"/>
    </row>
    <row r="315" ht="14.25" customHeight="1">
      <c r="B315" s="110"/>
      <c r="C315" s="110"/>
      <c r="D315" s="110"/>
      <c r="E315" s="110"/>
      <c r="F315" s="110"/>
      <c r="G315" s="110"/>
      <c r="I315" s="110"/>
    </row>
    <row r="316" ht="14.25" customHeight="1">
      <c r="B316" s="110"/>
      <c r="C316" s="110"/>
      <c r="D316" s="110"/>
      <c r="E316" s="110"/>
      <c r="F316" s="110"/>
      <c r="G316" s="110"/>
      <c r="I316" s="110"/>
    </row>
    <row r="317" ht="14.25" customHeight="1">
      <c r="B317" s="110"/>
      <c r="C317" s="110"/>
      <c r="D317" s="110"/>
      <c r="E317" s="110"/>
      <c r="F317" s="110"/>
      <c r="G317" s="110"/>
      <c r="I317" s="110"/>
    </row>
    <row r="318" ht="14.25" customHeight="1">
      <c r="B318" s="110"/>
      <c r="C318" s="110"/>
      <c r="D318" s="110"/>
      <c r="E318" s="110"/>
      <c r="F318" s="110"/>
      <c r="G318" s="110"/>
      <c r="I318" s="110"/>
    </row>
    <row r="319" ht="14.25" customHeight="1">
      <c r="B319" s="110"/>
      <c r="C319" s="110"/>
      <c r="D319" s="110"/>
      <c r="E319" s="110"/>
      <c r="F319" s="110"/>
      <c r="G319" s="110"/>
      <c r="I319" s="110"/>
    </row>
    <row r="320" ht="14.25" customHeight="1">
      <c r="B320" s="110"/>
      <c r="C320" s="110"/>
      <c r="D320" s="110"/>
      <c r="E320" s="110"/>
      <c r="F320" s="110"/>
      <c r="G320" s="110"/>
      <c r="I320" s="110"/>
    </row>
    <row r="321" ht="14.25" customHeight="1">
      <c r="B321" s="110"/>
      <c r="C321" s="110"/>
      <c r="D321" s="110"/>
      <c r="E321" s="110"/>
      <c r="F321" s="110"/>
      <c r="G321" s="110"/>
      <c r="I321" s="110"/>
    </row>
    <row r="322" ht="14.25" customHeight="1">
      <c r="B322" s="110"/>
      <c r="C322" s="110"/>
      <c r="D322" s="110"/>
      <c r="E322" s="110"/>
      <c r="F322" s="110"/>
      <c r="G322" s="110"/>
      <c r="I322" s="110"/>
    </row>
    <row r="323" ht="14.25" customHeight="1">
      <c r="B323" s="110"/>
      <c r="C323" s="110"/>
      <c r="D323" s="110"/>
      <c r="E323" s="110"/>
      <c r="F323" s="110"/>
      <c r="G323" s="110"/>
      <c r="I323" s="110"/>
    </row>
    <row r="324" ht="14.25" customHeight="1">
      <c r="B324" s="110"/>
      <c r="C324" s="110"/>
      <c r="D324" s="110"/>
      <c r="E324" s="110"/>
      <c r="F324" s="110"/>
      <c r="G324" s="110"/>
      <c r="I324" s="110"/>
    </row>
    <row r="325" ht="14.25" customHeight="1">
      <c r="B325" s="110"/>
      <c r="C325" s="110"/>
      <c r="D325" s="110"/>
      <c r="E325" s="110"/>
      <c r="F325" s="110"/>
      <c r="G325" s="110"/>
      <c r="I325" s="110"/>
    </row>
    <row r="326" ht="14.25" customHeight="1">
      <c r="B326" s="110"/>
      <c r="C326" s="110"/>
      <c r="D326" s="110"/>
      <c r="E326" s="110"/>
      <c r="F326" s="110"/>
      <c r="G326" s="110"/>
      <c r="I326" s="110"/>
    </row>
    <row r="327" ht="14.25" customHeight="1">
      <c r="B327" s="110"/>
      <c r="C327" s="110"/>
      <c r="D327" s="110"/>
      <c r="E327" s="110"/>
      <c r="F327" s="110"/>
      <c r="G327" s="110"/>
      <c r="I327" s="110"/>
    </row>
    <row r="328" ht="14.25" customHeight="1">
      <c r="B328" s="110"/>
      <c r="C328" s="110"/>
      <c r="D328" s="110"/>
      <c r="E328" s="110"/>
      <c r="F328" s="110"/>
      <c r="G328" s="110"/>
      <c r="I328" s="110"/>
    </row>
    <row r="329" ht="14.25" customHeight="1">
      <c r="B329" s="110"/>
      <c r="C329" s="110"/>
      <c r="D329" s="110"/>
      <c r="E329" s="110"/>
      <c r="F329" s="110"/>
      <c r="G329" s="110"/>
      <c r="I329" s="110"/>
    </row>
    <row r="330" ht="14.25" customHeight="1">
      <c r="B330" s="110"/>
      <c r="C330" s="110"/>
      <c r="D330" s="110"/>
      <c r="E330" s="110"/>
      <c r="F330" s="110"/>
      <c r="G330" s="110"/>
      <c r="I330" s="110"/>
    </row>
    <row r="331" ht="14.25" customHeight="1">
      <c r="B331" s="110"/>
      <c r="C331" s="110"/>
      <c r="D331" s="110"/>
      <c r="E331" s="110"/>
      <c r="F331" s="110"/>
      <c r="G331" s="110"/>
      <c r="I331" s="110"/>
    </row>
    <row r="332" ht="14.25" customHeight="1">
      <c r="B332" s="110"/>
      <c r="C332" s="110"/>
      <c r="D332" s="110"/>
      <c r="E332" s="110"/>
      <c r="F332" s="110"/>
      <c r="G332" s="110"/>
      <c r="I332" s="110"/>
    </row>
    <row r="333" ht="14.25" customHeight="1">
      <c r="B333" s="110"/>
      <c r="C333" s="110"/>
      <c r="D333" s="110"/>
      <c r="E333" s="110"/>
      <c r="F333" s="110"/>
      <c r="G333" s="110"/>
      <c r="I333" s="110"/>
    </row>
    <row r="334" ht="14.25" customHeight="1">
      <c r="B334" s="110"/>
      <c r="C334" s="110"/>
      <c r="D334" s="110"/>
      <c r="E334" s="110"/>
      <c r="F334" s="110"/>
      <c r="G334" s="110"/>
      <c r="I334" s="110"/>
    </row>
    <row r="335" ht="14.25" customHeight="1">
      <c r="B335" s="110"/>
      <c r="C335" s="110"/>
      <c r="D335" s="110"/>
      <c r="E335" s="110"/>
      <c r="F335" s="110"/>
      <c r="G335" s="110"/>
      <c r="I335" s="110"/>
    </row>
    <row r="336" ht="14.25" customHeight="1">
      <c r="B336" s="110"/>
      <c r="C336" s="110"/>
      <c r="D336" s="110"/>
      <c r="E336" s="110"/>
      <c r="F336" s="110"/>
      <c r="G336" s="110"/>
      <c r="I336" s="110"/>
    </row>
    <row r="337" ht="14.25" customHeight="1">
      <c r="B337" s="110"/>
      <c r="C337" s="110"/>
      <c r="D337" s="110"/>
      <c r="E337" s="110"/>
      <c r="F337" s="110"/>
      <c r="G337" s="110"/>
      <c r="I337" s="110"/>
    </row>
    <row r="338" ht="14.25" customHeight="1">
      <c r="B338" s="110"/>
      <c r="C338" s="110"/>
      <c r="D338" s="110"/>
      <c r="E338" s="110"/>
      <c r="F338" s="110"/>
      <c r="G338" s="110"/>
      <c r="I338" s="110"/>
    </row>
    <row r="339" ht="14.25" customHeight="1">
      <c r="B339" s="110"/>
      <c r="C339" s="110"/>
      <c r="D339" s="110"/>
      <c r="E339" s="110"/>
      <c r="F339" s="110"/>
      <c r="G339" s="110"/>
      <c r="I339" s="110"/>
    </row>
    <row r="340" ht="14.25" customHeight="1">
      <c r="B340" s="110"/>
      <c r="C340" s="110"/>
      <c r="D340" s="110"/>
      <c r="E340" s="110"/>
      <c r="F340" s="110"/>
      <c r="G340" s="110"/>
      <c r="I340" s="110"/>
    </row>
    <row r="341" ht="14.25" customHeight="1">
      <c r="B341" s="110"/>
      <c r="C341" s="110"/>
      <c r="D341" s="110"/>
      <c r="E341" s="110"/>
      <c r="F341" s="110"/>
      <c r="G341" s="110"/>
      <c r="I341" s="110"/>
    </row>
    <row r="342" ht="14.25" customHeight="1">
      <c r="B342" s="110"/>
      <c r="C342" s="110"/>
      <c r="D342" s="110"/>
      <c r="E342" s="110"/>
      <c r="F342" s="110"/>
      <c r="G342" s="110"/>
      <c r="I342" s="110"/>
    </row>
    <row r="343" ht="14.25" customHeight="1">
      <c r="B343" s="110"/>
      <c r="C343" s="110"/>
      <c r="D343" s="110"/>
      <c r="E343" s="110"/>
      <c r="F343" s="110"/>
      <c r="G343" s="110"/>
      <c r="I343" s="110"/>
    </row>
    <row r="344" ht="14.25" customHeight="1">
      <c r="B344" s="110"/>
      <c r="C344" s="110"/>
      <c r="D344" s="110"/>
      <c r="E344" s="110"/>
      <c r="F344" s="110"/>
      <c r="G344" s="110"/>
      <c r="I344" s="110"/>
    </row>
    <row r="345" ht="14.25" customHeight="1">
      <c r="B345" s="110"/>
      <c r="C345" s="110"/>
      <c r="D345" s="110"/>
      <c r="E345" s="110"/>
      <c r="F345" s="110"/>
      <c r="G345" s="110"/>
      <c r="I345" s="110"/>
    </row>
    <row r="346" ht="14.25" customHeight="1">
      <c r="B346" s="110"/>
      <c r="C346" s="110"/>
      <c r="D346" s="110"/>
      <c r="E346" s="110"/>
      <c r="F346" s="110"/>
      <c r="G346" s="110"/>
      <c r="I346" s="110"/>
    </row>
    <row r="347" ht="14.25" customHeight="1">
      <c r="B347" s="110"/>
      <c r="C347" s="110"/>
      <c r="D347" s="110"/>
      <c r="E347" s="110"/>
      <c r="F347" s="110"/>
      <c r="G347" s="110"/>
      <c r="I347" s="110"/>
    </row>
    <row r="348" ht="14.25" customHeight="1">
      <c r="B348" s="110"/>
      <c r="C348" s="110"/>
      <c r="D348" s="110"/>
      <c r="E348" s="110"/>
      <c r="F348" s="110"/>
      <c r="G348" s="110"/>
      <c r="I348" s="110"/>
    </row>
    <row r="349" ht="14.25" customHeight="1">
      <c r="B349" s="110"/>
      <c r="C349" s="110"/>
      <c r="D349" s="110"/>
      <c r="E349" s="110"/>
      <c r="F349" s="110"/>
      <c r="G349" s="110"/>
      <c r="I349" s="110"/>
    </row>
    <row r="350" ht="14.25" customHeight="1">
      <c r="B350" s="110"/>
      <c r="C350" s="110"/>
      <c r="D350" s="110"/>
      <c r="E350" s="110"/>
      <c r="F350" s="110"/>
      <c r="G350" s="110"/>
      <c r="I350" s="110"/>
    </row>
    <row r="351" ht="14.25" customHeight="1">
      <c r="B351" s="110"/>
      <c r="C351" s="110"/>
      <c r="D351" s="110"/>
      <c r="E351" s="110"/>
      <c r="F351" s="110"/>
      <c r="G351" s="110"/>
      <c r="I351" s="110"/>
    </row>
    <row r="352" ht="14.25" customHeight="1">
      <c r="B352" s="110"/>
      <c r="C352" s="110"/>
      <c r="D352" s="110"/>
      <c r="E352" s="110"/>
      <c r="F352" s="110"/>
      <c r="G352" s="110"/>
      <c r="I352" s="110"/>
    </row>
    <row r="353" ht="14.25" customHeight="1">
      <c r="B353" s="110"/>
      <c r="C353" s="110"/>
      <c r="D353" s="110"/>
      <c r="E353" s="110"/>
      <c r="F353" s="110"/>
      <c r="G353" s="110"/>
      <c r="I353" s="110"/>
    </row>
    <row r="354" ht="14.25" customHeight="1">
      <c r="B354" s="110"/>
      <c r="C354" s="110"/>
      <c r="D354" s="110"/>
      <c r="E354" s="110"/>
      <c r="F354" s="110"/>
      <c r="G354" s="110"/>
      <c r="I354" s="110"/>
    </row>
    <row r="355" ht="14.25" customHeight="1">
      <c r="B355" s="110"/>
      <c r="C355" s="110"/>
      <c r="D355" s="110"/>
      <c r="E355" s="110"/>
      <c r="F355" s="110"/>
      <c r="G355" s="110"/>
      <c r="I355" s="110"/>
    </row>
    <row r="356" ht="14.25" customHeight="1">
      <c r="B356" s="110"/>
      <c r="C356" s="110"/>
      <c r="D356" s="110"/>
      <c r="E356" s="110"/>
      <c r="F356" s="110"/>
      <c r="G356" s="110"/>
      <c r="I356" s="110"/>
    </row>
    <row r="357" ht="14.25" customHeight="1">
      <c r="B357" s="110"/>
      <c r="C357" s="110"/>
      <c r="D357" s="110"/>
      <c r="E357" s="110"/>
      <c r="F357" s="110"/>
      <c r="G357" s="110"/>
      <c r="I357" s="110"/>
    </row>
    <row r="358" ht="14.25" customHeight="1">
      <c r="B358" s="110"/>
      <c r="C358" s="110"/>
      <c r="D358" s="110"/>
      <c r="E358" s="110"/>
      <c r="F358" s="110"/>
      <c r="G358" s="110"/>
      <c r="I358" s="110"/>
    </row>
    <row r="359" ht="14.25" customHeight="1">
      <c r="B359" s="110"/>
      <c r="C359" s="110"/>
      <c r="D359" s="110"/>
      <c r="E359" s="110"/>
      <c r="F359" s="110"/>
      <c r="G359" s="110"/>
      <c r="I359" s="110"/>
    </row>
    <row r="360" ht="14.25" customHeight="1">
      <c r="B360" s="110"/>
      <c r="C360" s="110"/>
      <c r="D360" s="110"/>
      <c r="E360" s="110"/>
      <c r="F360" s="110"/>
      <c r="G360" s="110"/>
      <c r="I360" s="110"/>
    </row>
    <row r="361" ht="14.25" customHeight="1">
      <c r="B361" s="110"/>
      <c r="C361" s="110"/>
      <c r="D361" s="110"/>
      <c r="E361" s="110"/>
      <c r="F361" s="110"/>
      <c r="G361" s="110"/>
      <c r="I361" s="110"/>
    </row>
    <row r="362" ht="14.25" customHeight="1">
      <c r="B362" s="110"/>
      <c r="C362" s="110"/>
      <c r="D362" s="110"/>
      <c r="E362" s="110"/>
      <c r="F362" s="110"/>
      <c r="G362" s="110"/>
      <c r="I362" s="110"/>
    </row>
    <row r="363" ht="14.25" customHeight="1">
      <c r="B363" s="110"/>
      <c r="C363" s="110"/>
      <c r="D363" s="110"/>
      <c r="E363" s="110"/>
      <c r="F363" s="110"/>
      <c r="G363" s="110"/>
      <c r="I363" s="110"/>
    </row>
    <row r="364" ht="14.25" customHeight="1">
      <c r="B364" s="110"/>
      <c r="C364" s="110"/>
      <c r="D364" s="110"/>
      <c r="E364" s="110"/>
      <c r="F364" s="110"/>
      <c r="G364" s="110"/>
      <c r="I364" s="110"/>
    </row>
    <row r="365" ht="14.25" customHeight="1">
      <c r="B365" s="110"/>
      <c r="C365" s="110"/>
      <c r="D365" s="110"/>
      <c r="E365" s="110"/>
      <c r="F365" s="110"/>
      <c r="G365" s="110"/>
      <c r="I365" s="110"/>
    </row>
    <row r="366" ht="14.25" customHeight="1">
      <c r="B366" s="110"/>
      <c r="C366" s="110"/>
      <c r="D366" s="110"/>
      <c r="E366" s="110"/>
      <c r="F366" s="110"/>
      <c r="G366" s="110"/>
      <c r="I366" s="110"/>
    </row>
    <row r="367" ht="14.25" customHeight="1">
      <c r="B367" s="110"/>
      <c r="C367" s="110"/>
      <c r="D367" s="110"/>
      <c r="E367" s="110"/>
      <c r="F367" s="110"/>
      <c r="G367" s="110"/>
      <c r="I367" s="110"/>
    </row>
    <row r="368" ht="14.25" customHeight="1">
      <c r="B368" s="110"/>
      <c r="C368" s="110"/>
      <c r="D368" s="110"/>
      <c r="E368" s="110"/>
      <c r="F368" s="110"/>
      <c r="G368" s="110"/>
      <c r="I368" s="110"/>
    </row>
    <row r="369" ht="14.25" customHeight="1">
      <c r="B369" s="110"/>
      <c r="C369" s="110"/>
      <c r="D369" s="110"/>
      <c r="E369" s="110"/>
      <c r="F369" s="110"/>
      <c r="G369" s="110"/>
      <c r="I369" s="110"/>
    </row>
    <row r="370" ht="14.25" customHeight="1">
      <c r="B370" s="110"/>
      <c r="C370" s="110"/>
      <c r="D370" s="110"/>
      <c r="E370" s="110"/>
      <c r="F370" s="110"/>
      <c r="G370" s="110"/>
      <c r="I370" s="110"/>
    </row>
    <row r="371" ht="14.25" customHeight="1">
      <c r="B371" s="110"/>
      <c r="C371" s="110"/>
      <c r="D371" s="110"/>
      <c r="E371" s="110"/>
      <c r="F371" s="110"/>
      <c r="G371" s="110"/>
      <c r="I371" s="110"/>
    </row>
    <row r="372" ht="14.25" customHeight="1">
      <c r="B372" s="110"/>
      <c r="C372" s="110"/>
      <c r="D372" s="110"/>
      <c r="E372" s="110"/>
      <c r="F372" s="110"/>
      <c r="G372" s="110"/>
      <c r="I372" s="110"/>
    </row>
    <row r="373" ht="14.25" customHeight="1">
      <c r="B373" s="110"/>
      <c r="C373" s="110"/>
      <c r="D373" s="110"/>
      <c r="E373" s="110"/>
      <c r="F373" s="110"/>
      <c r="G373" s="110"/>
      <c r="I373" s="110"/>
    </row>
    <row r="374" ht="14.25" customHeight="1">
      <c r="B374" s="110"/>
      <c r="C374" s="110"/>
      <c r="D374" s="110"/>
      <c r="E374" s="110"/>
      <c r="F374" s="110"/>
      <c r="G374" s="110"/>
      <c r="I374" s="110"/>
    </row>
    <row r="375" ht="14.25" customHeight="1">
      <c r="B375" s="110"/>
      <c r="C375" s="110"/>
      <c r="D375" s="110"/>
      <c r="E375" s="110"/>
      <c r="F375" s="110"/>
      <c r="G375" s="110"/>
      <c r="I375" s="110"/>
    </row>
    <row r="376" ht="14.25" customHeight="1">
      <c r="B376" s="110"/>
      <c r="C376" s="110"/>
      <c r="D376" s="110"/>
      <c r="E376" s="110"/>
      <c r="F376" s="110"/>
      <c r="G376" s="110"/>
      <c r="I376" s="110"/>
    </row>
    <row r="377" ht="14.25" customHeight="1">
      <c r="B377" s="110"/>
      <c r="C377" s="110"/>
      <c r="D377" s="110"/>
      <c r="E377" s="110"/>
      <c r="F377" s="110"/>
      <c r="G377" s="110"/>
      <c r="I377" s="110"/>
    </row>
    <row r="378" ht="14.25" customHeight="1">
      <c r="B378" s="110"/>
      <c r="C378" s="110"/>
      <c r="D378" s="110"/>
      <c r="E378" s="110"/>
      <c r="F378" s="110"/>
      <c r="G378" s="110"/>
      <c r="I378" s="110"/>
    </row>
    <row r="379" ht="14.25" customHeight="1">
      <c r="B379" s="110"/>
      <c r="C379" s="110"/>
      <c r="D379" s="110"/>
      <c r="E379" s="110"/>
      <c r="F379" s="110"/>
      <c r="G379" s="110"/>
      <c r="I379" s="110"/>
    </row>
    <row r="380" ht="14.25" customHeight="1">
      <c r="B380" s="110"/>
      <c r="C380" s="110"/>
      <c r="D380" s="110"/>
      <c r="E380" s="110"/>
      <c r="F380" s="110"/>
      <c r="G380" s="110"/>
      <c r="I380" s="110"/>
    </row>
    <row r="381" ht="14.25" customHeight="1">
      <c r="B381" s="110"/>
      <c r="C381" s="110"/>
      <c r="D381" s="110"/>
      <c r="E381" s="110"/>
      <c r="F381" s="110"/>
      <c r="G381" s="110"/>
      <c r="I381" s="110"/>
    </row>
    <row r="382" ht="14.25" customHeight="1">
      <c r="B382" s="110"/>
      <c r="C382" s="110"/>
      <c r="D382" s="110"/>
      <c r="E382" s="110"/>
      <c r="F382" s="110"/>
      <c r="G382" s="110"/>
      <c r="I382" s="110"/>
    </row>
    <row r="383" ht="14.25" customHeight="1">
      <c r="B383" s="110"/>
      <c r="C383" s="110"/>
      <c r="D383" s="110"/>
      <c r="E383" s="110"/>
      <c r="F383" s="110"/>
      <c r="G383" s="110"/>
      <c r="I383" s="110"/>
    </row>
    <row r="384" ht="14.25" customHeight="1">
      <c r="B384" s="110"/>
      <c r="C384" s="110"/>
      <c r="D384" s="110"/>
      <c r="E384" s="110"/>
      <c r="F384" s="110"/>
      <c r="G384" s="110"/>
      <c r="I384" s="110"/>
    </row>
    <row r="385" ht="14.25" customHeight="1">
      <c r="B385" s="110"/>
      <c r="C385" s="110"/>
      <c r="D385" s="110"/>
      <c r="E385" s="110"/>
      <c r="F385" s="110"/>
      <c r="G385" s="110"/>
      <c r="I385" s="110"/>
    </row>
    <row r="386" ht="14.25" customHeight="1">
      <c r="B386" s="110"/>
      <c r="C386" s="110"/>
      <c r="D386" s="110"/>
      <c r="E386" s="110"/>
      <c r="F386" s="110"/>
      <c r="G386" s="110"/>
      <c r="I386" s="110"/>
    </row>
    <row r="387" ht="14.25" customHeight="1">
      <c r="B387" s="110"/>
      <c r="C387" s="110"/>
      <c r="D387" s="110"/>
      <c r="E387" s="110"/>
      <c r="F387" s="110"/>
      <c r="G387" s="110"/>
      <c r="I387" s="110"/>
    </row>
    <row r="388" ht="14.25" customHeight="1">
      <c r="B388" s="110"/>
      <c r="C388" s="110"/>
      <c r="D388" s="110"/>
      <c r="E388" s="110"/>
      <c r="F388" s="110"/>
      <c r="G388" s="110"/>
      <c r="I388" s="110"/>
    </row>
    <row r="389" ht="14.25" customHeight="1">
      <c r="B389" s="110"/>
      <c r="C389" s="110"/>
      <c r="D389" s="110"/>
      <c r="E389" s="110"/>
      <c r="F389" s="110"/>
      <c r="G389" s="110"/>
      <c r="I389" s="110"/>
    </row>
    <row r="390" ht="14.25" customHeight="1">
      <c r="B390" s="110"/>
      <c r="C390" s="110"/>
      <c r="D390" s="110"/>
      <c r="E390" s="110"/>
      <c r="F390" s="110"/>
      <c r="G390" s="110"/>
      <c r="I390" s="110"/>
    </row>
    <row r="391" ht="14.25" customHeight="1">
      <c r="B391" s="110"/>
      <c r="C391" s="110"/>
      <c r="D391" s="110"/>
      <c r="E391" s="110"/>
      <c r="F391" s="110"/>
      <c r="G391" s="110"/>
      <c r="I391" s="110"/>
    </row>
    <row r="392" ht="14.25" customHeight="1">
      <c r="B392" s="110"/>
      <c r="C392" s="110"/>
      <c r="D392" s="110"/>
      <c r="E392" s="110"/>
      <c r="F392" s="110"/>
      <c r="G392" s="110"/>
      <c r="I392" s="110"/>
    </row>
    <row r="393" ht="14.25" customHeight="1">
      <c r="B393" s="110"/>
      <c r="C393" s="110"/>
      <c r="D393" s="110"/>
      <c r="E393" s="110"/>
      <c r="F393" s="110"/>
      <c r="G393" s="110"/>
      <c r="I393" s="110"/>
    </row>
    <row r="394" ht="14.25" customHeight="1">
      <c r="B394" s="110"/>
      <c r="C394" s="110"/>
      <c r="D394" s="110"/>
      <c r="E394" s="110"/>
      <c r="F394" s="110"/>
      <c r="G394" s="110"/>
      <c r="I394" s="110"/>
    </row>
    <row r="395" ht="14.25" customHeight="1">
      <c r="B395" s="110"/>
      <c r="C395" s="110"/>
      <c r="D395" s="110"/>
      <c r="E395" s="110"/>
      <c r="F395" s="110"/>
      <c r="G395" s="110"/>
      <c r="I395" s="110"/>
    </row>
    <row r="396" ht="14.25" customHeight="1">
      <c r="B396" s="110"/>
      <c r="C396" s="110"/>
      <c r="D396" s="110"/>
      <c r="E396" s="110"/>
      <c r="F396" s="110"/>
      <c r="G396" s="110"/>
      <c r="I396" s="110"/>
    </row>
    <row r="397" ht="14.25" customHeight="1">
      <c r="B397" s="110"/>
      <c r="C397" s="110"/>
      <c r="D397" s="110"/>
      <c r="E397" s="110"/>
      <c r="F397" s="110"/>
      <c r="G397" s="110"/>
      <c r="I397" s="110"/>
    </row>
    <row r="398" ht="14.25" customHeight="1">
      <c r="B398" s="110"/>
      <c r="C398" s="110"/>
      <c r="D398" s="110"/>
      <c r="E398" s="110"/>
      <c r="F398" s="110"/>
      <c r="G398" s="110"/>
      <c r="I398" s="110"/>
    </row>
    <row r="399" ht="14.25" customHeight="1">
      <c r="B399" s="110"/>
      <c r="C399" s="110"/>
      <c r="D399" s="110"/>
      <c r="E399" s="110"/>
      <c r="F399" s="110"/>
      <c r="G399" s="110"/>
      <c r="I399" s="110"/>
    </row>
    <row r="400" ht="14.25" customHeight="1">
      <c r="B400" s="110"/>
      <c r="C400" s="110"/>
      <c r="D400" s="110"/>
      <c r="E400" s="110"/>
      <c r="F400" s="110"/>
      <c r="G400" s="110"/>
      <c r="I400" s="110"/>
    </row>
    <row r="401" ht="14.25" customHeight="1">
      <c r="B401" s="110"/>
      <c r="C401" s="110"/>
      <c r="D401" s="110"/>
      <c r="E401" s="110"/>
      <c r="F401" s="110"/>
      <c r="G401" s="110"/>
      <c r="I401" s="110"/>
    </row>
    <row r="402" ht="14.25" customHeight="1">
      <c r="B402" s="110"/>
      <c r="C402" s="110"/>
      <c r="D402" s="110"/>
      <c r="E402" s="110"/>
      <c r="F402" s="110"/>
      <c r="G402" s="110"/>
      <c r="I402" s="110"/>
    </row>
    <row r="403" ht="14.25" customHeight="1">
      <c r="B403" s="110"/>
      <c r="C403" s="110"/>
      <c r="D403" s="110"/>
      <c r="E403" s="110"/>
      <c r="F403" s="110"/>
      <c r="G403" s="110"/>
      <c r="I403" s="110"/>
    </row>
    <row r="404" ht="14.25" customHeight="1">
      <c r="B404" s="110"/>
      <c r="C404" s="110"/>
      <c r="D404" s="110"/>
      <c r="E404" s="110"/>
      <c r="F404" s="110"/>
      <c r="G404" s="110"/>
      <c r="I404" s="110"/>
    </row>
    <row r="405" ht="14.25" customHeight="1">
      <c r="B405" s="110"/>
      <c r="C405" s="110"/>
      <c r="D405" s="110"/>
      <c r="E405" s="110"/>
      <c r="F405" s="110"/>
      <c r="G405" s="110"/>
      <c r="I405" s="110"/>
    </row>
    <row r="406" ht="14.25" customHeight="1">
      <c r="B406" s="110"/>
      <c r="C406" s="110"/>
      <c r="D406" s="110"/>
      <c r="E406" s="110"/>
      <c r="F406" s="110"/>
      <c r="G406" s="110"/>
      <c r="I406" s="110"/>
    </row>
    <row r="407" ht="14.25" customHeight="1">
      <c r="B407" s="110"/>
      <c r="C407" s="110"/>
      <c r="D407" s="110"/>
      <c r="E407" s="110"/>
      <c r="F407" s="110"/>
      <c r="G407" s="110"/>
      <c r="I407" s="110"/>
    </row>
    <row r="408" ht="14.25" customHeight="1">
      <c r="B408" s="110"/>
      <c r="C408" s="110"/>
      <c r="D408" s="110"/>
      <c r="E408" s="110"/>
      <c r="F408" s="110"/>
      <c r="G408" s="110"/>
      <c r="I408" s="110"/>
    </row>
    <row r="409" ht="14.25" customHeight="1">
      <c r="B409" s="110"/>
      <c r="C409" s="110"/>
      <c r="D409" s="110"/>
      <c r="E409" s="110"/>
      <c r="F409" s="110"/>
      <c r="G409" s="110"/>
      <c r="I409" s="110"/>
    </row>
    <row r="410" ht="14.25" customHeight="1">
      <c r="B410" s="110"/>
      <c r="C410" s="110"/>
      <c r="D410" s="110"/>
      <c r="E410" s="110"/>
      <c r="F410" s="110"/>
      <c r="G410" s="110"/>
      <c r="I410" s="110"/>
    </row>
    <row r="411" ht="14.25" customHeight="1">
      <c r="B411" s="110"/>
      <c r="C411" s="110"/>
      <c r="D411" s="110"/>
      <c r="E411" s="110"/>
      <c r="F411" s="110"/>
      <c r="G411" s="110"/>
      <c r="I411" s="110"/>
    </row>
    <row r="412" ht="14.25" customHeight="1">
      <c r="B412" s="110"/>
      <c r="C412" s="110"/>
      <c r="D412" s="110"/>
      <c r="E412" s="110"/>
      <c r="F412" s="110"/>
      <c r="G412" s="110"/>
      <c r="I412" s="110"/>
    </row>
    <row r="413" ht="14.25" customHeight="1">
      <c r="B413" s="110"/>
      <c r="C413" s="110"/>
      <c r="D413" s="110"/>
      <c r="E413" s="110"/>
      <c r="F413" s="110"/>
      <c r="G413" s="110"/>
      <c r="I413" s="110"/>
    </row>
    <row r="414" ht="14.25" customHeight="1">
      <c r="B414" s="110"/>
      <c r="C414" s="110"/>
      <c r="D414" s="110"/>
      <c r="E414" s="110"/>
      <c r="F414" s="110"/>
      <c r="G414" s="110"/>
      <c r="I414" s="110"/>
    </row>
    <row r="415" ht="14.25" customHeight="1">
      <c r="B415" s="110"/>
      <c r="C415" s="110"/>
      <c r="D415" s="110"/>
      <c r="E415" s="110"/>
      <c r="F415" s="110"/>
      <c r="G415" s="110"/>
      <c r="I415" s="110"/>
    </row>
    <row r="416" ht="14.25" customHeight="1">
      <c r="B416" s="110"/>
      <c r="C416" s="110"/>
      <c r="D416" s="110"/>
      <c r="E416" s="110"/>
      <c r="F416" s="110"/>
      <c r="G416" s="110"/>
      <c r="I416" s="110"/>
    </row>
    <row r="417" ht="14.25" customHeight="1">
      <c r="B417" s="110"/>
      <c r="C417" s="110"/>
      <c r="D417" s="110"/>
      <c r="E417" s="110"/>
      <c r="F417" s="110"/>
      <c r="G417" s="110"/>
      <c r="I417" s="110"/>
    </row>
    <row r="418" ht="14.25" customHeight="1">
      <c r="B418" s="110"/>
      <c r="C418" s="110"/>
      <c r="D418" s="110"/>
      <c r="E418" s="110"/>
      <c r="F418" s="110"/>
      <c r="G418" s="110"/>
      <c r="I418" s="110"/>
    </row>
    <row r="419" ht="14.25" customHeight="1">
      <c r="B419" s="110"/>
      <c r="C419" s="110"/>
      <c r="D419" s="110"/>
      <c r="E419" s="110"/>
      <c r="F419" s="110"/>
      <c r="G419" s="110"/>
      <c r="I419" s="110"/>
    </row>
    <row r="420" ht="14.25" customHeight="1">
      <c r="B420" s="110"/>
      <c r="C420" s="110"/>
      <c r="D420" s="110"/>
      <c r="E420" s="110"/>
      <c r="F420" s="110"/>
      <c r="G420" s="110"/>
      <c r="I420" s="110"/>
    </row>
    <row r="421" ht="14.25" customHeight="1">
      <c r="B421" s="110"/>
      <c r="C421" s="110"/>
      <c r="D421" s="110"/>
      <c r="E421" s="110"/>
      <c r="F421" s="110"/>
      <c r="G421" s="110"/>
      <c r="I421" s="110"/>
    </row>
    <row r="422" ht="14.25" customHeight="1">
      <c r="B422" s="110"/>
      <c r="C422" s="110"/>
      <c r="D422" s="110"/>
      <c r="E422" s="110"/>
      <c r="F422" s="110"/>
      <c r="G422" s="110"/>
      <c r="I422" s="110"/>
    </row>
    <row r="423" ht="14.25" customHeight="1">
      <c r="B423" s="110"/>
      <c r="C423" s="110"/>
      <c r="D423" s="110"/>
      <c r="E423" s="110"/>
      <c r="F423" s="110"/>
      <c r="G423" s="110"/>
      <c r="I423" s="110"/>
    </row>
    <row r="424" ht="14.25" customHeight="1">
      <c r="B424" s="110"/>
      <c r="C424" s="110"/>
      <c r="D424" s="110"/>
      <c r="E424" s="110"/>
      <c r="F424" s="110"/>
      <c r="G424" s="110"/>
      <c r="I424" s="110"/>
    </row>
    <row r="425" ht="14.25" customHeight="1">
      <c r="B425" s="110"/>
      <c r="C425" s="110"/>
      <c r="D425" s="110"/>
      <c r="E425" s="110"/>
      <c r="F425" s="110"/>
      <c r="G425" s="110"/>
      <c r="I425" s="110"/>
    </row>
    <row r="426" ht="14.25" customHeight="1">
      <c r="B426" s="110"/>
      <c r="C426" s="110"/>
      <c r="D426" s="110"/>
      <c r="E426" s="110"/>
      <c r="F426" s="110"/>
      <c r="G426" s="110"/>
      <c r="I426" s="110"/>
    </row>
    <row r="427" ht="14.25" customHeight="1">
      <c r="B427" s="110"/>
      <c r="C427" s="110"/>
      <c r="D427" s="110"/>
      <c r="E427" s="110"/>
      <c r="F427" s="110"/>
      <c r="G427" s="110"/>
      <c r="I427" s="110"/>
    </row>
    <row r="428" ht="14.25" customHeight="1">
      <c r="B428" s="110"/>
      <c r="C428" s="110"/>
      <c r="D428" s="110"/>
      <c r="E428" s="110"/>
      <c r="F428" s="110"/>
      <c r="G428" s="110"/>
      <c r="I428" s="110"/>
    </row>
    <row r="429" ht="14.25" customHeight="1">
      <c r="B429" s="110"/>
      <c r="C429" s="110"/>
      <c r="D429" s="110"/>
      <c r="E429" s="110"/>
      <c r="F429" s="110"/>
      <c r="G429" s="110"/>
      <c r="I429" s="110"/>
    </row>
    <row r="430" ht="14.25" customHeight="1">
      <c r="B430" s="110"/>
      <c r="C430" s="110"/>
      <c r="D430" s="110"/>
      <c r="E430" s="110"/>
      <c r="F430" s="110"/>
      <c r="G430" s="110"/>
      <c r="I430" s="110"/>
    </row>
    <row r="431" ht="14.25" customHeight="1">
      <c r="B431" s="110"/>
      <c r="C431" s="110"/>
      <c r="D431" s="110"/>
      <c r="E431" s="110"/>
      <c r="F431" s="110"/>
      <c r="G431" s="110"/>
      <c r="I431" s="110"/>
    </row>
    <row r="432" ht="14.25" customHeight="1">
      <c r="B432" s="110"/>
      <c r="C432" s="110"/>
      <c r="D432" s="110"/>
      <c r="E432" s="110"/>
      <c r="F432" s="110"/>
      <c r="G432" s="110"/>
      <c r="I432" s="110"/>
    </row>
    <row r="433" ht="14.25" customHeight="1">
      <c r="B433" s="110"/>
      <c r="C433" s="110"/>
      <c r="D433" s="110"/>
      <c r="E433" s="110"/>
      <c r="F433" s="110"/>
      <c r="G433" s="110"/>
      <c r="I433" s="110"/>
    </row>
    <row r="434" ht="14.25" customHeight="1">
      <c r="B434" s="110"/>
      <c r="C434" s="110"/>
      <c r="D434" s="110"/>
      <c r="E434" s="110"/>
      <c r="F434" s="110"/>
      <c r="G434" s="110"/>
      <c r="I434" s="110"/>
    </row>
    <row r="435" ht="14.25" customHeight="1">
      <c r="B435" s="110"/>
      <c r="C435" s="110"/>
      <c r="D435" s="110"/>
      <c r="E435" s="110"/>
      <c r="F435" s="110"/>
      <c r="G435" s="110"/>
      <c r="I435" s="110"/>
    </row>
    <row r="436" ht="14.25" customHeight="1">
      <c r="B436" s="110"/>
      <c r="C436" s="110"/>
      <c r="D436" s="110"/>
      <c r="E436" s="110"/>
      <c r="F436" s="110"/>
      <c r="G436" s="110"/>
      <c r="I436" s="110"/>
    </row>
    <row r="437" ht="14.25" customHeight="1">
      <c r="B437" s="110"/>
      <c r="C437" s="110"/>
      <c r="D437" s="110"/>
      <c r="E437" s="110"/>
      <c r="F437" s="110"/>
      <c r="G437" s="110"/>
      <c r="I437" s="110"/>
    </row>
    <row r="438" ht="14.25" customHeight="1">
      <c r="B438" s="110"/>
      <c r="C438" s="110"/>
      <c r="D438" s="110"/>
      <c r="E438" s="110"/>
      <c r="F438" s="110"/>
      <c r="G438" s="110"/>
      <c r="I438" s="110"/>
    </row>
    <row r="439" ht="14.25" customHeight="1">
      <c r="B439" s="110"/>
      <c r="C439" s="110"/>
      <c r="D439" s="110"/>
      <c r="E439" s="110"/>
      <c r="F439" s="110"/>
      <c r="G439" s="110"/>
      <c r="I439" s="110"/>
    </row>
    <row r="440" ht="14.25" customHeight="1">
      <c r="B440" s="110"/>
      <c r="C440" s="110"/>
      <c r="D440" s="110"/>
      <c r="E440" s="110"/>
      <c r="F440" s="110"/>
      <c r="G440" s="110"/>
      <c r="I440" s="110"/>
    </row>
    <row r="441" ht="14.25" customHeight="1">
      <c r="B441" s="110"/>
      <c r="C441" s="110"/>
      <c r="D441" s="110"/>
      <c r="E441" s="110"/>
      <c r="F441" s="110"/>
      <c r="G441" s="110"/>
      <c r="I441" s="110"/>
    </row>
    <row r="442" ht="14.25" customHeight="1">
      <c r="B442" s="110"/>
      <c r="C442" s="110"/>
      <c r="D442" s="110"/>
      <c r="E442" s="110"/>
      <c r="F442" s="110"/>
      <c r="G442" s="110"/>
      <c r="I442" s="110"/>
    </row>
    <row r="443" ht="14.25" customHeight="1">
      <c r="B443" s="110"/>
      <c r="C443" s="110"/>
      <c r="D443" s="110"/>
      <c r="E443" s="110"/>
      <c r="F443" s="110"/>
      <c r="G443" s="110"/>
      <c r="I443" s="110"/>
    </row>
    <row r="444" ht="14.25" customHeight="1">
      <c r="B444" s="110"/>
      <c r="C444" s="110"/>
      <c r="D444" s="110"/>
      <c r="E444" s="110"/>
      <c r="F444" s="110"/>
      <c r="G444" s="110"/>
      <c r="I444" s="110"/>
    </row>
    <row r="445" ht="14.25" customHeight="1">
      <c r="B445" s="110"/>
      <c r="C445" s="110"/>
      <c r="D445" s="110"/>
      <c r="E445" s="110"/>
      <c r="F445" s="110"/>
      <c r="G445" s="110"/>
      <c r="I445" s="110"/>
    </row>
    <row r="446" ht="14.25" customHeight="1">
      <c r="B446" s="110"/>
      <c r="C446" s="110"/>
      <c r="D446" s="110"/>
      <c r="E446" s="110"/>
      <c r="F446" s="110"/>
      <c r="G446" s="110"/>
      <c r="I446" s="110"/>
    </row>
    <row r="447" ht="14.25" customHeight="1">
      <c r="B447" s="110"/>
      <c r="C447" s="110"/>
      <c r="D447" s="110"/>
      <c r="E447" s="110"/>
      <c r="F447" s="110"/>
      <c r="G447" s="110"/>
      <c r="I447" s="110"/>
    </row>
    <row r="448" ht="14.25" customHeight="1">
      <c r="B448" s="110"/>
      <c r="C448" s="110"/>
      <c r="D448" s="110"/>
      <c r="E448" s="110"/>
      <c r="F448" s="110"/>
      <c r="G448" s="110"/>
      <c r="I448" s="110"/>
    </row>
    <row r="449" ht="14.25" customHeight="1">
      <c r="B449" s="110"/>
      <c r="C449" s="110"/>
      <c r="D449" s="110"/>
      <c r="E449" s="110"/>
      <c r="F449" s="110"/>
      <c r="G449" s="110"/>
      <c r="I449" s="110"/>
    </row>
    <row r="450" ht="14.25" customHeight="1">
      <c r="B450" s="110"/>
      <c r="C450" s="110"/>
      <c r="D450" s="110"/>
      <c r="E450" s="110"/>
      <c r="F450" s="110"/>
      <c r="G450" s="110"/>
      <c r="I450" s="110"/>
    </row>
    <row r="451" ht="14.25" customHeight="1">
      <c r="B451" s="110"/>
      <c r="C451" s="110"/>
      <c r="D451" s="110"/>
      <c r="E451" s="110"/>
      <c r="F451" s="110"/>
      <c r="G451" s="110"/>
      <c r="I451" s="110"/>
    </row>
    <row r="452" ht="14.25" customHeight="1">
      <c r="B452" s="110"/>
      <c r="C452" s="110"/>
      <c r="D452" s="110"/>
      <c r="E452" s="110"/>
      <c r="F452" s="110"/>
      <c r="G452" s="110"/>
      <c r="I452" s="110"/>
    </row>
    <row r="453" ht="14.25" customHeight="1">
      <c r="B453" s="110"/>
      <c r="C453" s="110"/>
      <c r="D453" s="110"/>
      <c r="E453" s="110"/>
      <c r="F453" s="110"/>
      <c r="G453" s="110"/>
      <c r="I453" s="110"/>
    </row>
    <row r="454" ht="14.25" customHeight="1">
      <c r="B454" s="110"/>
      <c r="C454" s="110"/>
      <c r="D454" s="110"/>
      <c r="E454" s="110"/>
      <c r="F454" s="110"/>
      <c r="G454" s="110"/>
      <c r="I454" s="110"/>
    </row>
    <row r="455" ht="14.25" customHeight="1">
      <c r="B455" s="110"/>
      <c r="C455" s="110"/>
      <c r="D455" s="110"/>
      <c r="E455" s="110"/>
      <c r="F455" s="110"/>
      <c r="G455" s="110"/>
      <c r="I455" s="110"/>
    </row>
    <row r="456" ht="14.25" customHeight="1">
      <c r="B456" s="110"/>
      <c r="C456" s="110"/>
      <c r="D456" s="110"/>
      <c r="E456" s="110"/>
      <c r="F456" s="110"/>
      <c r="G456" s="110"/>
      <c r="I456" s="110"/>
    </row>
    <row r="457" ht="14.25" customHeight="1">
      <c r="B457" s="110"/>
      <c r="C457" s="110"/>
      <c r="D457" s="110"/>
      <c r="E457" s="110"/>
      <c r="F457" s="110"/>
      <c r="G457" s="110"/>
      <c r="I457" s="110"/>
    </row>
    <row r="458" ht="14.25" customHeight="1">
      <c r="B458" s="110"/>
      <c r="C458" s="110"/>
      <c r="D458" s="110"/>
      <c r="E458" s="110"/>
      <c r="F458" s="110"/>
      <c r="G458" s="110"/>
      <c r="I458" s="110"/>
    </row>
    <row r="459" ht="14.25" customHeight="1">
      <c r="B459" s="110"/>
      <c r="C459" s="110"/>
      <c r="D459" s="110"/>
      <c r="E459" s="110"/>
      <c r="F459" s="110"/>
      <c r="G459" s="110"/>
      <c r="I459" s="110"/>
    </row>
    <row r="460" ht="14.25" customHeight="1">
      <c r="B460" s="110"/>
      <c r="C460" s="110"/>
      <c r="D460" s="110"/>
      <c r="E460" s="110"/>
      <c r="F460" s="110"/>
      <c r="G460" s="110"/>
      <c r="I460" s="110"/>
    </row>
    <row r="461" ht="14.25" customHeight="1">
      <c r="B461" s="110"/>
      <c r="C461" s="110"/>
      <c r="D461" s="110"/>
      <c r="E461" s="110"/>
      <c r="F461" s="110"/>
      <c r="G461" s="110"/>
      <c r="I461" s="110"/>
    </row>
    <row r="462" ht="14.25" customHeight="1">
      <c r="B462" s="110"/>
      <c r="C462" s="110"/>
      <c r="D462" s="110"/>
      <c r="E462" s="110"/>
      <c r="F462" s="110"/>
      <c r="G462" s="110"/>
      <c r="I462" s="110"/>
    </row>
    <row r="463" ht="14.25" customHeight="1">
      <c r="B463" s="110"/>
      <c r="C463" s="110"/>
      <c r="D463" s="110"/>
      <c r="E463" s="110"/>
      <c r="F463" s="110"/>
      <c r="G463" s="110"/>
      <c r="I463" s="110"/>
    </row>
    <row r="464" ht="14.25" customHeight="1">
      <c r="B464" s="110"/>
      <c r="C464" s="110"/>
      <c r="D464" s="110"/>
      <c r="E464" s="110"/>
      <c r="F464" s="110"/>
      <c r="G464" s="110"/>
      <c r="I464" s="110"/>
    </row>
    <row r="465" ht="14.25" customHeight="1">
      <c r="B465" s="110"/>
      <c r="C465" s="110"/>
      <c r="D465" s="110"/>
      <c r="E465" s="110"/>
      <c r="F465" s="110"/>
      <c r="G465" s="110"/>
      <c r="I465" s="110"/>
    </row>
    <row r="466" ht="14.25" customHeight="1">
      <c r="B466" s="110"/>
      <c r="C466" s="110"/>
      <c r="D466" s="110"/>
      <c r="E466" s="110"/>
      <c r="F466" s="110"/>
      <c r="G466" s="110"/>
      <c r="I466" s="110"/>
    </row>
    <row r="467" ht="14.25" customHeight="1">
      <c r="B467" s="110"/>
      <c r="C467" s="110"/>
      <c r="D467" s="110"/>
      <c r="E467" s="110"/>
      <c r="F467" s="110"/>
      <c r="G467" s="110"/>
      <c r="I467" s="110"/>
    </row>
    <row r="468" ht="14.25" customHeight="1">
      <c r="B468" s="110"/>
      <c r="C468" s="110"/>
      <c r="D468" s="110"/>
      <c r="E468" s="110"/>
      <c r="F468" s="110"/>
      <c r="G468" s="110"/>
      <c r="I468" s="110"/>
    </row>
    <row r="469" ht="14.25" customHeight="1">
      <c r="B469" s="110"/>
      <c r="C469" s="110"/>
      <c r="D469" s="110"/>
      <c r="E469" s="110"/>
      <c r="F469" s="110"/>
      <c r="G469" s="110"/>
      <c r="I469" s="110"/>
    </row>
    <row r="470" ht="14.25" customHeight="1">
      <c r="B470" s="110"/>
      <c r="C470" s="110"/>
      <c r="D470" s="110"/>
      <c r="E470" s="110"/>
      <c r="F470" s="110"/>
      <c r="G470" s="110"/>
      <c r="I470" s="110"/>
    </row>
    <row r="471" ht="14.25" customHeight="1">
      <c r="B471" s="110"/>
      <c r="C471" s="110"/>
      <c r="D471" s="110"/>
      <c r="E471" s="110"/>
      <c r="F471" s="110"/>
      <c r="G471" s="110"/>
      <c r="I471" s="110"/>
    </row>
    <row r="472" ht="14.25" customHeight="1">
      <c r="B472" s="110"/>
      <c r="C472" s="110"/>
      <c r="D472" s="110"/>
      <c r="E472" s="110"/>
      <c r="F472" s="110"/>
      <c r="G472" s="110"/>
      <c r="I472" s="110"/>
    </row>
    <row r="473" ht="14.25" customHeight="1">
      <c r="B473" s="110"/>
      <c r="C473" s="110"/>
      <c r="D473" s="110"/>
      <c r="E473" s="110"/>
      <c r="F473" s="110"/>
      <c r="G473" s="110"/>
      <c r="I473" s="110"/>
    </row>
    <row r="474" ht="14.25" customHeight="1">
      <c r="B474" s="110"/>
      <c r="C474" s="110"/>
      <c r="D474" s="110"/>
      <c r="E474" s="110"/>
      <c r="F474" s="110"/>
      <c r="G474" s="110"/>
      <c r="I474" s="110"/>
    </row>
    <row r="475" ht="14.25" customHeight="1">
      <c r="B475" s="110"/>
      <c r="C475" s="110"/>
      <c r="D475" s="110"/>
      <c r="E475" s="110"/>
      <c r="F475" s="110"/>
      <c r="G475" s="110"/>
      <c r="I475" s="110"/>
    </row>
    <row r="476" ht="14.25" customHeight="1">
      <c r="B476" s="110"/>
      <c r="C476" s="110"/>
      <c r="D476" s="110"/>
      <c r="E476" s="110"/>
      <c r="F476" s="110"/>
      <c r="G476" s="110"/>
      <c r="I476" s="110"/>
    </row>
    <row r="477" ht="14.25" customHeight="1">
      <c r="B477" s="110"/>
      <c r="C477" s="110"/>
      <c r="D477" s="110"/>
      <c r="E477" s="110"/>
      <c r="F477" s="110"/>
      <c r="G477" s="110"/>
      <c r="I477" s="110"/>
    </row>
    <row r="478" ht="14.25" customHeight="1">
      <c r="B478" s="110"/>
      <c r="C478" s="110"/>
      <c r="D478" s="110"/>
      <c r="E478" s="110"/>
      <c r="F478" s="110"/>
      <c r="G478" s="110"/>
      <c r="I478" s="110"/>
    </row>
    <row r="479" ht="14.25" customHeight="1">
      <c r="B479" s="110"/>
      <c r="C479" s="110"/>
      <c r="D479" s="110"/>
      <c r="E479" s="110"/>
      <c r="F479" s="110"/>
      <c r="G479" s="110"/>
      <c r="I479" s="110"/>
    </row>
    <row r="480" ht="14.25" customHeight="1">
      <c r="B480" s="110"/>
      <c r="C480" s="110"/>
      <c r="D480" s="110"/>
      <c r="E480" s="110"/>
      <c r="F480" s="110"/>
      <c r="G480" s="110"/>
      <c r="I480" s="110"/>
    </row>
    <row r="481" ht="14.25" customHeight="1">
      <c r="B481" s="110"/>
      <c r="C481" s="110"/>
      <c r="D481" s="110"/>
      <c r="E481" s="110"/>
      <c r="F481" s="110"/>
      <c r="G481" s="110"/>
      <c r="I481" s="110"/>
    </row>
    <row r="482" ht="14.25" customHeight="1">
      <c r="B482" s="110"/>
      <c r="C482" s="110"/>
      <c r="D482" s="110"/>
      <c r="E482" s="110"/>
      <c r="F482" s="110"/>
      <c r="G482" s="110"/>
      <c r="I482" s="110"/>
    </row>
    <row r="483" ht="14.25" customHeight="1">
      <c r="B483" s="110"/>
      <c r="C483" s="110"/>
      <c r="D483" s="110"/>
      <c r="E483" s="110"/>
      <c r="F483" s="110"/>
      <c r="G483" s="110"/>
      <c r="I483" s="110"/>
    </row>
    <row r="484" ht="14.25" customHeight="1">
      <c r="B484" s="110"/>
      <c r="C484" s="110"/>
      <c r="D484" s="110"/>
      <c r="E484" s="110"/>
      <c r="F484" s="110"/>
      <c r="G484" s="110"/>
      <c r="I484" s="110"/>
    </row>
    <row r="485" ht="14.25" customHeight="1">
      <c r="B485" s="110"/>
      <c r="C485" s="110"/>
      <c r="D485" s="110"/>
      <c r="E485" s="110"/>
      <c r="F485" s="110"/>
      <c r="G485" s="110"/>
      <c r="I485" s="110"/>
    </row>
    <row r="486" ht="14.25" customHeight="1">
      <c r="B486" s="110"/>
      <c r="C486" s="110"/>
      <c r="D486" s="110"/>
      <c r="E486" s="110"/>
      <c r="F486" s="110"/>
      <c r="G486" s="110"/>
      <c r="I486" s="110"/>
    </row>
    <row r="487" ht="14.25" customHeight="1">
      <c r="B487" s="110"/>
      <c r="C487" s="110"/>
      <c r="D487" s="110"/>
      <c r="E487" s="110"/>
      <c r="F487" s="110"/>
      <c r="G487" s="110"/>
      <c r="I487" s="110"/>
    </row>
    <row r="488" ht="14.25" customHeight="1">
      <c r="B488" s="110"/>
      <c r="C488" s="110"/>
      <c r="D488" s="110"/>
      <c r="E488" s="110"/>
      <c r="F488" s="110"/>
      <c r="G488" s="110"/>
      <c r="I488" s="110"/>
    </row>
    <row r="489" ht="14.25" customHeight="1">
      <c r="B489" s="110"/>
      <c r="C489" s="110"/>
      <c r="D489" s="110"/>
      <c r="E489" s="110"/>
      <c r="F489" s="110"/>
      <c r="G489" s="110"/>
      <c r="I489" s="110"/>
    </row>
    <row r="490" ht="14.25" customHeight="1">
      <c r="B490" s="110"/>
      <c r="C490" s="110"/>
      <c r="D490" s="110"/>
      <c r="E490" s="110"/>
      <c r="F490" s="110"/>
      <c r="G490" s="110"/>
      <c r="I490" s="110"/>
    </row>
    <row r="491" ht="14.25" customHeight="1">
      <c r="B491" s="110"/>
      <c r="C491" s="110"/>
      <c r="D491" s="110"/>
      <c r="E491" s="110"/>
      <c r="F491" s="110"/>
      <c r="G491" s="110"/>
      <c r="I491" s="110"/>
    </row>
    <row r="492" ht="14.25" customHeight="1">
      <c r="B492" s="110"/>
      <c r="C492" s="110"/>
      <c r="D492" s="110"/>
      <c r="E492" s="110"/>
      <c r="F492" s="110"/>
      <c r="G492" s="110"/>
      <c r="I492" s="110"/>
    </row>
    <row r="493" ht="14.25" customHeight="1">
      <c r="B493" s="110"/>
      <c r="C493" s="110"/>
      <c r="D493" s="110"/>
      <c r="E493" s="110"/>
      <c r="F493" s="110"/>
      <c r="G493" s="110"/>
      <c r="I493" s="110"/>
    </row>
    <row r="494" ht="14.25" customHeight="1">
      <c r="B494" s="110"/>
      <c r="C494" s="110"/>
      <c r="D494" s="110"/>
      <c r="E494" s="110"/>
      <c r="F494" s="110"/>
      <c r="G494" s="110"/>
      <c r="I494" s="110"/>
    </row>
    <row r="495" ht="14.25" customHeight="1">
      <c r="B495" s="110"/>
      <c r="C495" s="110"/>
      <c r="D495" s="110"/>
      <c r="E495" s="110"/>
      <c r="F495" s="110"/>
      <c r="G495" s="110"/>
      <c r="I495" s="110"/>
    </row>
    <row r="496" ht="14.25" customHeight="1">
      <c r="B496" s="110"/>
      <c r="C496" s="110"/>
      <c r="D496" s="110"/>
      <c r="E496" s="110"/>
      <c r="F496" s="110"/>
      <c r="G496" s="110"/>
      <c r="I496" s="110"/>
    </row>
    <row r="497" ht="14.25" customHeight="1">
      <c r="B497" s="110"/>
      <c r="C497" s="110"/>
      <c r="D497" s="110"/>
      <c r="E497" s="110"/>
      <c r="F497" s="110"/>
      <c r="G497" s="110"/>
      <c r="I497" s="110"/>
    </row>
    <row r="498" ht="14.25" customHeight="1">
      <c r="B498" s="110"/>
      <c r="C498" s="110"/>
      <c r="D498" s="110"/>
      <c r="E498" s="110"/>
      <c r="F498" s="110"/>
      <c r="G498" s="110"/>
      <c r="I498" s="110"/>
    </row>
    <row r="499" ht="14.25" customHeight="1">
      <c r="B499" s="110"/>
      <c r="C499" s="110"/>
      <c r="D499" s="110"/>
      <c r="E499" s="110"/>
      <c r="F499" s="110"/>
      <c r="G499" s="110"/>
      <c r="I499" s="110"/>
    </row>
    <row r="500" ht="14.25" customHeight="1">
      <c r="B500" s="110"/>
      <c r="C500" s="110"/>
      <c r="D500" s="110"/>
      <c r="E500" s="110"/>
      <c r="F500" s="110"/>
      <c r="G500" s="110"/>
      <c r="I500" s="110"/>
    </row>
    <row r="501" ht="14.25" customHeight="1">
      <c r="B501" s="110"/>
      <c r="C501" s="110"/>
      <c r="D501" s="110"/>
      <c r="E501" s="110"/>
      <c r="F501" s="110"/>
      <c r="G501" s="110"/>
      <c r="I501" s="110"/>
    </row>
    <row r="502" ht="14.25" customHeight="1">
      <c r="B502" s="110"/>
      <c r="C502" s="110"/>
      <c r="D502" s="110"/>
      <c r="E502" s="110"/>
      <c r="F502" s="110"/>
      <c r="G502" s="110"/>
      <c r="I502" s="110"/>
    </row>
    <row r="503" ht="14.25" customHeight="1">
      <c r="B503" s="110"/>
      <c r="C503" s="110"/>
      <c r="D503" s="110"/>
      <c r="E503" s="110"/>
      <c r="F503" s="110"/>
      <c r="G503" s="110"/>
      <c r="I503" s="110"/>
    </row>
    <row r="504" ht="14.25" customHeight="1">
      <c r="B504" s="110"/>
      <c r="C504" s="110"/>
      <c r="D504" s="110"/>
      <c r="E504" s="110"/>
      <c r="F504" s="110"/>
      <c r="G504" s="110"/>
      <c r="I504" s="110"/>
    </row>
    <row r="505" ht="14.25" customHeight="1">
      <c r="B505" s="110"/>
      <c r="C505" s="110"/>
      <c r="D505" s="110"/>
      <c r="E505" s="110"/>
      <c r="F505" s="110"/>
      <c r="G505" s="110"/>
      <c r="I505" s="110"/>
    </row>
    <row r="506" ht="14.25" customHeight="1">
      <c r="B506" s="110"/>
      <c r="C506" s="110"/>
      <c r="D506" s="110"/>
      <c r="E506" s="110"/>
      <c r="F506" s="110"/>
      <c r="G506" s="110"/>
      <c r="I506" s="110"/>
    </row>
    <row r="507" ht="14.25" customHeight="1">
      <c r="B507" s="110"/>
      <c r="C507" s="110"/>
      <c r="D507" s="110"/>
      <c r="E507" s="110"/>
      <c r="F507" s="110"/>
      <c r="G507" s="110"/>
      <c r="I507" s="110"/>
    </row>
    <row r="508" ht="14.25" customHeight="1">
      <c r="B508" s="110"/>
      <c r="C508" s="110"/>
      <c r="D508" s="110"/>
      <c r="E508" s="110"/>
      <c r="F508" s="110"/>
      <c r="G508" s="110"/>
      <c r="I508" s="110"/>
    </row>
    <row r="509" ht="14.25" customHeight="1">
      <c r="B509" s="110"/>
      <c r="C509" s="110"/>
      <c r="D509" s="110"/>
      <c r="E509" s="110"/>
      <c r="F509" s="110"/>
      <c r="G509" s="110"/>
      <c r="I509" s="110"/>
    </row>
    <row r="510" ht="14.25" customHeight="1">
      <c r="B510" s="110"/>
      <c r="C510" s="110"/>
      <c r="D510" s="110"/>
      <c r="E510" s="110"/>
      <c r="F510" s="110"/>
      <c r="G510" s="110"/>
      <c r="I510" s="110"/>
    </row>
    <row r="511" ht="14.25" customHeight="1">
      <c r="B511" s="110"/>
      <c r="C511" s="110"/>
      <c r="D511" s="110"/>
      <c r="E511" s="110"/>
      <c r="F511" s="110"/>
      <c r="G511" s="110"/>
      <c r="I511" s="110"/>
    </row>
    <row r="512" ht="14.25" customHeight="1">
      <c r="B512" s="110"/>
      <c r="C512" s="110"/>
      <c r="D512" s="110"/>
      <c r="E512" s="110"/>
      <c r="F512" s="110"/>
      <c r="G512" s="110"/>
      <c r="I512" s="110"/>
    </row>
    <row r="513" ht="14.25" customHeight="1">
      <c r="B513" s="110"/>
      <c r="C513" s="110"/>
      <c r="D513" s="110"/>
      <c r="E513" s="110"/>
      <c r="F513" s="110"/>
      <c r="G513" s="110"/>
      <c r="I513" s="110"/>
    </row>
    <row r="514" ht="14.25" customHeight="1">
      <c r="B514" s="110"/>
      <c r="C514" s="110"/>
      <c r="D514" s="110"/>
      <c r="E514" s="110"/>
      <c r="F514" s="110"/>
      <c r="G514" s="110"/>
      <c r="I514" s="110"/>
    </row>
    <row r="515" ht="14.25" customHeight="1">
      <c r="B515" s="110"/>
      <c r="C515" s="110"/>
      <c r="D515" s="110"/>
      <c r="E515" s="110"/>
      <c r="F515" s="110"/>
      <c r="G515" s="110"/>
      <c r="I515" s="110"/>
    </row>
    <row r="516" ht="14.25" customHeight="1">
      <c r="B516" s="110"/>
      <c r="C516" s="110"/>
      <c r="D516" s="110"/>
      <c r="E516" s="110"/>
      <c r="F516" s="110"/>
      <c r="G516" s="110"/>
      <c r="I516" s="110"/>
    </row>
    <row r="517" ht="14.25" customHeight="1">
      <c r="B517" s="110"/>
      <c r="C517" s="110"/>
      <c r="D517" s="110"/>
      <c r="E517" s="110"/>
      <c r="F517" s="110"/>
      <c r="G517" s="110"/>
      <c r="I517" s="110"/>
    </row>
    <row r="518" ht="14.25" customHeight="1">
      <c r="B518" s="110"/>
      <c r="C518" s="110"/>
      <c r="D518" s="110"/>
      <c r="E518" s="110"/>
      <c r="F518" s="110"/>
      <c r="G518" s="110"/>
      <c r="I518" s="110"/>
    </row>
    <row r="519" ht="14.25" customHeight="1">
      <c r="B519" s="110"/>
      <c r="C519" s="110"/>
      <c r="D519" s="110"/>
      <c r="E519" s="110"/>
      <c r="F519" s="110"/>
      <c r="G519" s="110"/>
      <c r="I519" s="110"/>
    </row>
    <row r="520" ht="14.25" customHeight="1">
      <c r="B520" s="110"/>
      <c r="C520" s="110"/>
      <c r="D520" s="110"/>
      <c r="E520" s="110"/>
      <c r="F520" s="110"/>
      <c r="G520" s="110"/>
      <c r="I520" s="110"/>
    </row>
    <row r="521" ht="14.25" customHeight="1">
      <c r="B521" s="110"/>
      <c r="C521" s="110"/>
      <c r="D521" s="110"/>
      <c r="E521" s="110"/>
      <c r="F521" s="110"/>
      <c r="G521" s="110"/>
      <c r="I521" s="110"/>
    </row>
    <row r="522" ht="14.25" customHeight="1">
      <c r="B522" s="110"/>
      <c r="C522" s="110"/>
      <c r="D522" s="110"/>
      <c r="E522" s="110"/>
      <c r="F522" s="110"/>
      <c r="G522" s="110"/>
      <c r="I522" s="110"/>
    </row>
    <row r="523" ht="14.25" customHeight="1">
      <c r="B523" s="110"/>
      <c r="C523" s="110"/>
      <c r="D523" s="110"/>
      <c r="E523" s="110"/>
      <c r="F523" s="110"/>
      <c r="G523" s="110"/>
      <c r="I523" s="110"/>
    </row>
    <row r="524" ht="14.25" customHeight="1">
      <c r="B524" s="110"/>
      <c r="C524" s="110"/>
      <c r="D524" s="110"/>
      <c r="E524" s="110"/>
      <c r="F524" s="110"/>
      <c r="G524" s="110"/>
      <c r="I524" s="110"/>
    </row>
    <row r="525" ht="14.25" customHeight="1">
      <c r="B525" s="110"/>
      <c r="C525" s="110"/>
      <c r="D525" s="110"/>
      <c r="E525" s="110"/>
      <c r="F525" s="110"/>
      <c r="G525" s="110"/>
      <c r="I525" s="110"/>
    </row>
    <row r="526" ht="14.25" customHeight="1">
      <c r="B526" s="110"/>
      <c r="C526" s="110"/>
      <c r="D526" s="110"/>
      <c r="E526" s="110"/>
      <c r="F526" s="110"/>
      <c r="G526" s="110"/>
      <c r="I526" s="110"/>
    </row>
    <row r="527" ht="14.25" customHeight="1">
      <c r="B527" s="110"/>
      <c r="C527" s="110"/>
      <c r="D527" s="110"/>
      <c r="E527" s="110"/>
      <c r="F527" s="110"/>
      <c r="G527" s="110"/>
      <c r="I527" s="110"/>
    </row>
    <row r="528" ht="14.25" customHeight="1">
      <c r="B528" s="110"/>
      <c r="C528" s="110"/>
      <c r="D528" s="110"/>
      <c r="E528" s="110"/>
      <c r="F528" s="110"/>
      <c r="G528" s="110"/>
      <c r="I528" s="110"/>
    </row>
    <row r="529" ht="14.25" customHeight="1">
      <c r="B529" s="110"/>
      <c r="C529" s="110"/>
      <c r="D529" s="110"/>
      <c r="E529" s="110"/>
      <c r="F529" s="110"/>
      <c r="G529" s="110"/>
      <c r="I529" s="110"/>
    </row>
    <row r="530" ht="14.25" customHeight="1">
      <c r="B530" s="110"/>
      <c r="C530" s="110"/>
      <c r="D530" s="110"/>
      <c r="E530" s="110"/>
      <c r="F530" s="110"/>
      <c r="G530" s="110"/>
      <c r="I530" s="110"/>
    </row>
    <row r="531" ht="14.25" customHeight="1">
      <c r="B531" s="110"/>
      <c r="C531" s="110"/>
      <c r="D531" s="110"/>
      <c r="E531" s="110"/>
      <c r="F531" s="110"/>
      <c r="G531" s="110"/>
      <c r="I531" s="110"/>
    </row>
    <row r="532" ht="14.25" customHeight="1">
      <c r="B532" s="110"/>
      <c r="C532" s="110"/>
      <c r="D532" s="110"/>
      <c r="E532" s="110"/>
      <c r="F532" s="110"/>
      <c r="G532" s="110"/>
      <c r="I532" s="110"/>
    </row>
    <row r="533" ht="14.25" customHeight="1">
      <c r="B533" s="110"/>
      <c r="C533" s="110"/>
      <c r="D533" s="110"/>
      <c r="E533" s="110"/>
      <c r="F533" s="110"/>
      <c r="G533" s="110"/>
      <c r="I533" s="110"/>
    </row>
    <row r="534" ht="14.25" customHeight="1">
      <c r="B534" s="110"/>
      <c r="C534" s="110"/>
      <c r="D534" s="110"/>
      <c r="E534" s="110"/>
      <c r="F534" s="110"/>
      <c r="G534" s="110"/>
      <c r="I534" s="110"/>
    </row>
    <row r="535" ht="14.25" customHeight="1">
      <c r="B535" s="110"/>
      <c r="C535" s="110"/>
      <c r="D535" s="110"/>
      <c r="E535" s="110"/>
      <c r="F535" s="110"/>
      <c r="G535" s="110"/>
      <c r="I535" s="110"/>
    </row>
    <row r="536" ht="14.25" customHeight="1">
      <c r="B536" s="110"/>
      <c r="C536" s="110"/>
      <c r="D536" s="110"/>
      <c r="E536" s="110"/>
      <c r="F536" s="110"/>
      <c r="G536" s="110"/>
      <c r="I536" s="110"/>
    </row>
    <row r="537" ht="14.25" customHeight="1">
      <c r="B537" s="110"/>
      <c r="C537" s="110"/>
      <c r="D537" s="110"/>
      <c r="E537" s="110"/>
      <c r="F537" s="110"/>
      <c r="G537" s="110"/>
      <c r="I537" s="110"/>
    </row>
    <row r="538" ht="14.25" customHeight="1">
      <c r="B538" s="110"/>
      <c r="C538" s="110"/>
      <c r="D538" s="110"/>
      <c r="E538" s="110"/>
      <c r="F538" s="110"/>
      <c r="G538" s="110"/>
      <c r="I538" s="110"/>
    </row>
    <row r="539" ht="14.25" customHeight="1">
      <c r="B539" s="110"/>
      <c r="C539" s="110"/>
      <c r="D539" s="110"/>
      <c r="E539" s="110"/>
      <c r="F539" s="110"/>
      <c r="G539" s="110"/>
      <c r="I539" s="110"/>
    </row>
    <row r="540" ht="14.25" customHeight="1">
      <c r="B540" s="110"/>
      <c r="C540" s="110"/>
      <c r="D540" s="110"/>
      <c r="E540" s="110"/>
      <c r="F540" s="110"/>
      <c r="G540" s="110"/>
      <c r="I540" s="110"/>
    </row>
    <row r="541" ht="14.25" customHeight="1">
      <c r="B541" s="110"/>
      <c r="C541" s="110"/>
      <c r="D541" s="110"/>
      <c r="E541" s="110"/>
      <c r="F541" s="110"/>
      <c r="G541" s="110"/>
      <c r="I541" s="110"/>
    </row>
    <row r="542" ht="14.25" customHeight="1">
      <c r="B542" s="110"/>
      <c r="C542" s="110"/>
      <c r="D542" s="110"/>
      <c r="E542" s="110"/>
      <c r="F542" s="110"/>
      <c r="G542" s="110"/>
      <c r="I542" s="110"/>
    </row>
    <row r="543" ht="14.25" customHeight="1">
      <c r="B543" s="110"/>
      <c r="C543" s="110"/>
      <c r="D543" s="110"/>
      <c r="E543" s="110"/>
      <c r="F543" s="110"/>
      <c r="G543" s="110"/>
      <c r="I543" s="110"/>
    </row>
    <row r="544" ht="14.25" customHeight="1">
      <c r="B544" s="110"/>
      <c r="C544" s="110"/>
      <c r="D544" s="110"/>
      <c r="E544" s="110"/>
      <c r="F544" s="110"/>
      <c r="G544" s="110"/>
      <c r="I544" s="110"/>
    </row>
    <row r="545" ht="14.25" customHeight="1">
      <c r="B545" s="110"/>
      <c r="C545" s="110"/>
      <c r="D545" s="110"/>
      <c r="E545" s="110"/>
      <c r="F545" s="110"/>
      <c r="G545" s="110"/>
      <c r="I545" s="110"/>
    </row>
    <row r="546" ht="14.25" customHeight="1">
      <c r="B546" s="110"/>
      <c r="C546" s="110"/>
      <c r="D546" s="110"/>
      <c r="E546" s="110"/>
      <c r="F546" s="110"/>
      <c r="G546" s="110"/>
      <c r="I546" s="110"/>
    </row>
    <row r="547" ht="14.25" customHeight="1">
      <c r="B547" s="110"/>
      <c r="C547" s="110"/>
      <c r="D547" s="110"/>
      <c r="E547" s="110"/>
      <c r="F547" s="110"/>
      <c r="G547" s="110"/>
      <c r="I547" s="110"/>
    </row>
    <row r="548" ht="14.25" customHeight="1">
      <c r="B548" s="110"/>
      <c r="C548" s="110"/>
      <c r="D548" s="110"/>
      <c r="E548" s="110"/>
      <c r="F548" s="110"/>
      <c r="G548" s="110"/>
      <c r="I548" s="110"/>
    </row>
    <row r="549" ht="14.25" customHeight="1">
      <c r="B549" s="110"/>
      <c r="C549" s="110"/>
      <c r="D549" s="110"/>
      <c r="E549" s="110"/>
      <c r="F549" s="110"/>
      <c r="G549" s="110"/>
      <c r="I549" s="110"/>
    </row>
    <row r="550" ht="14.25" customHeight="1">
      <c r="B550" s="110"/>
      <c r="C550" s="110"/>
      <c r="D550" s="110"/>
      <c r="E550" s="110"/>
      <c r="F550" s="110"/>
      <c r="G550" s="110"/>
      <c r="I550" s="110"/>
    </row>
    <row r="551" ht="14.25" customHeight="1">
      <c r="B551" s="110"/>
      <c r="C551" s="110"/>
      <c r="D551" s="110"/>
      <c r="E551" s="110"/>
      <c r="F551" s="110"/>
      <c r="G551" s="110"/>
      <c r="I551" s="110"/>
    </row>
    <row r="552" ht="14.25" customHeight="1">
      <c r="B552" s="110"/>
      <c r="C552" s="110"/>
      <c r="D552" s="110"/>
      <c r="E552" s="110"/>
      <c r="F552" s="110"/>
      <c r="G552" s="110"/>
      <c r="I552" s="110"/>
    </row>
    <row r="553" ht="14.25" customHeight="1">
      <c r="B553" s="110"/>
      <c r="C553" s="110"/>
      <c r="D553" s="110"/>
      <c r="E553" s="110"/>
      <c r="F553" s="110"/>
      <c r="G553" s="110"/>
      <c r="I553" s="110"/>
    </row>
    <row r="554" ht="14.25" customHeight="1">
      <c r="B554" s="110"/>
      <c r="C554" s="110"/>
      <c r="D554" s="110"/>
      <c r="E554" s="110"/>
      <c r="F554" s="110"/>
      <c r="G554" s="110"/>
      <c r="I554" s="110"/>
    </row>
    <row r="555" ht="14.25" customHeight="1">
      <c r="B555" s="110"/>
      <c r="C555" s="110"/>
      <c r="D555" s="110"/>
      <c r="E555" s="110"/>
      <c r="F555" s="110"/>
      <c r="G555" s="110"/>
      <c r="I555" s="110"/>
    </row>
    <row r="556" ht="14.25" customHeight="1">
      <c r="B556" s="110"/>
      <c r="C556" s="110"/>
      <c r="D556" s="110"/>
      <c r="E556" s="110"/>
      <c r="F556" s="110"/>
      <c r="G556" s="110"/>
      <c r="I556" s="110"/>
    </row>
    <row r="557" ht="14.25" customHeight="1">
      <c r="B557" s="110"/>
      <c r="C557" s="110"/>
      <c r="D557" s="110"/>
      <c r="E557" s="110"/>
      <c r="F557" s="110"/>
      <c r="G557" s="110"/>
      <c r="I557" s="110"/>
    </row>
    <row r="558" ht="14.25" customHeight="1">
      <c r="B558" s="110"/>
      <c r="C558" s="110"/>
      <c r="D558" s="110"/>
      <c r="E558" s="110"/>
      <c r="F558" s="110"/>
      <c r="G558" s="110"/>
      <c r="I558" s="110"/>
    </row>
    <row r="559" ht="14.25" customHeight="1">
      <c r="B559" s="110"/>
      <c r="C559" s="110"/>
      <c r="D559" s="110"/>
      <c r="E559" s="110"/>
      <c r="F559" s="110"/>
      <c r="G559" s="110"/>
      <c r="I559" s="110"/>
    </row>
    <row r="560" ht="14.25" customHeight="1">
      <c r="B560" s="110"/>
      <c r="C560" s="110"/>
      <c r="D560" s="110"/>
      <c r="E560" s="110"/>
      <c r="F560" s="110"/>
      <c r="G560" s="110"/>
      <c r="I560" s="110"/>
    </row>
    <row r="561" ht="14.25" customHeight="1">
      <c r="B561" s="110"/>
      <c r="C561" s="110"/>
      <c r="D561" s="110"/>
      <c r="E561" s="110"/>
      <c r="F561" s="110"/>
      <c r="G561" s="110"/>
      <c r="I561" s="110"/>
    </row>
    <row r="562" ht="14.25" customHeight="1">
      <c r="B562" s="110"/>
      <c r="C562" s="110"/>
      <c r="D562" s="110"/>
      <c r="E562" s="110"/>
      <c r="F562" s="110"/>
      <c r="G562" s="110"/>
      <c r="I562" s="110"/>
    </row>
    <row r="563" ht="14.25" customHeight="1">
      <c r="B563" s="110"/>
      <c r="C563" s="110"/>
      <c r="D563" s="110"/>
      <c r="E563" s="110"/>
      <c r="F563" s="110"/>
      <c r="G563" s="110"/>
      <c r="I563" s="110"/>
    </row>
    <row r="564" ht="14.25" customHeight="1">
      <c r="B564" s="110"/>
      <c r="C564" s="110"/>
      <c r="D564" s="110"/>
      <c r="E564" s="110"/>
      <c r="F564" s="110"/>
      <c r="G564" s="110"/>
      <c r="I564" s="110"/>
    </row>
    <row r="565" ht="14.25" customHeight="1">
      <c r="B565" s="110"/>
      <c r="C565" s="110"/>
      <c r="D565" s="110"/>
      <c r="E565" s="110"/>
      <c r="F565" s="110"/>
      <c r="G565" s="110"/>
      <c r="I565" s="110"/>
    </row>
    <row r="566" ht="14.25" customHeight="1">
      <c r="B566" s="110"/>
      <c r="C566" s="110"/>
      <c r="D566" s="110"/>
      <c r="E566" s="110"/>
      <c r="F566" s="110"/>
      <c r="G566" s="110"/>
      <c r="I566" s="110"/>
    </row>
    <row r="567" ht="14.25" customHeight="1">
      <c r="B567" s="110"/>
      <c r="C567" s="110"/>
      <c r="D567" s="110"/>
      <c r="E567" s="110"/>
      <c r="F567" s="110"/>
      <c r="G567" s="110"/>
      <c r="I567" s="110"/>
    </row>
    <row r="568" ht="14.25" customHeight="1">
      <c r="B568" s="110"/>
      <c r="C568" s="110"/>
      <c r="D568" s="110"/>
      <c r="E568" s="110"/>
      <c r="F568" s="110"/>
      <c r="G568" s="110"/>
      <c r="I568" s="110"/>
    </row>
    <row r="569" ht="14.25" customHeight="1">
      <c r="B569" s="110"/>
      <c r="C569" s="110"/>
      <c r="D569" s="110"/>
      <c r="E569" s="110"/>
      <c r="F569" s="110"/>
      <c r="G569" s="110"/>
      <c r="I569" s="110"/>
    </row>
    <row r="570" ht="14.25" customHeight="1">
      <c r="B570" s="110"/>
      <c r="C570" s="110"/>
      <c r="D570" s="110"/>
      <c r="E570" s="110"/>
      <c r="F570" s="110"/>
      <c r="G570" s="110"/>
      <c r="I570" s="110"/>
    </row>
    <row r="571" ht="14.25" customHeight="1">
      <c r="B571" s="110"/>
      <c r="C571" s="110"/>
      <c r="D571" s="110"/>
      <c r="E571" s="110"/>
      <c r="F571" s="110"/>
      <c r="G571" s="110"/>
      <c r="I571" s="110"/>
    </row>
    <row r="572" ht="14.25" customHeight="1">
      <c r="B572" s="110"/>
      <c r="C572" s="110"/>
      <c r="D572" s="110"/>
      <c r="E572" s="110"/>
      <c r="F572" s="110"/>
      <c r="G572" s="110"/>
      <c r="I572" s="110"/>
    </row>
    <row r="573" ht="14.25" customHeight="1">
      <c r="B573" s="110"/>
      <c r="C573" s="110"/>
      <c r="D573" s="110"/>
      <c r="E573" s="110"/>
      <c r="F573" s="110"/>
      <c r="G573" s="110"/>
      <c r="I573" s="110"/>
    </row>
    <row r="574" ht="14.25" customHeight="1">
      <c r="B574" s="110"/>
      <c r="C574" s="110"/>
      <c r="D574" s="110"/>
      <c r="E574" s="110"/>
      <c r="F574" s="110"/>
      <c r="G574" s="110"/>
      <c r="I574" s="110"/>
    </row>
    <row r="575" ht="14.25" customHeight="1">
      <c r="B575" s="110"/>
      <c r="C575" s="110"/>
      <c r="D575" s="110"/>
      <c r="E575" s="110"/>
      <c r="F575" s="110"/>
      <c r="G575" s="110"/>
      <c r="I575" s="110"/>
    </row>
    <row r="576" ht="14.25" customHeight="1">
      <c r="B576" s="110"/>
      <c r="C576" s="110"/>
      <c r="D576" s="110"/>
      <c r="E576" s="110"/>
      <c r="F576" s="110"/>
      <c r="G576" s="110"/>
      <c r="I576" s="110"/>
    </row>
    <row r="577" ht="14.25" customHeight="1">
      <c r="B577" s="110"/>
      <c r="C577" s="110"/>
      <c r="D577" s="110"/>
      <c r="E577" s="110"/>
      <c r="F577" s="110"/>
      <c r="G577" s="110"/>
      <c r="I577" s="110"/>
    </row>
    <row r="578" ht="14.25" customHeight="1">
      <c r="B578" s="110"/>
      <c r="C578" s="110"/>
      <c r="D578" s="110"/>
      <c r="E578" s="110"/>
      <c r="F578" s="110"/>
      <c r="G578" s="110"/>
      <c r="I578" s="110"/>
    </row>
    <row r="579" ht="14.25" customHeight="1">
      <c r="B579" s="110"/>
      <c r="C579" s="110"/>
      <c r="D579" s="110"/>
      <c r="E579" s="110"/>
      <c r="F579" s="110"/>
      <c r="G579" s="110"/>
      <c r="I579" s="110"/>
    </row>
    <row r="580" ht="14.25" customHeight="1">
      <c r="B580" s="110"/>
      <c r="C580" s="110"/>
      <c r="D580" s="110"/>
      <c r="E580" s="110"/>
      <c r="F580" s="110"/>
      <c r="G580" s="110"/>
      <c r="I580" s="110"/>
    </row>
    <row r="581" ht="14.25" customHeight="1">
      <c r="B581" s="110"/>
      <c r="C581" s="110"/>
      <c r="D581" s="110"/>
      <c r="E581" s="110"/>
      <c r="F581" s="110"/>
      <c r="G581" s="110"/>
      <c r="I581" s="110"/>
    </row>
    <row r="582" ht="14.25" customHeight="1">
      <c r="B582" s="110"/>
      <c r="C582" s="110"/>
      <c r="D582" s="110"/>
      <c r="E582" s="110"/>
      <c r="F582" s="110"/>
      <c r="G582" s="110"/>
      <c r="I582" s="110"/>
    </row>
    <row r="583" ht="14.25" customHeight="1">
      <c r="B583" s="110"/>
      <c r="C583" s="110"/>
      <c r="D583" s="110"/>
      <c r="E583" s="110"/>
      <c r="F583" s="110"/>
      <c r="G583" s="110"/>
      <c r="I583" s="110"/>
    </row>
    <row r="584" ht="14.25" customHeight="1">
      <c r="B584" s="110"/>
      <c r="C584" s="110"/>
      <c r="D584" s="110"/>
      <c r="E584" s="110"/>
      <c r="F584" s="110"/>
      <c r="G584" s="110"/>
      <c r="I584" s="110"/>
    </row>
    <row r="585" ht="14.25" customHeight="1">
      <c r="B585" s="110"/>
      <c r="C585" s="110"/>
      <c r="D585" s="110"/>
      <c r="E585" s="110"/>
      <c r="F585" s="110"/>
      <c r="G585" s="110"/>
      <c r="I585" s="110"/>
    </row>
    <row r="586" ht="14.25" customHeight="1">
      <c r="B586" s="110"/>
      <c r="C586" s="110"/>
      <c r="D586" s="110"/>
      <c r="E586" s="110"/>
      <c r="F586" s="110"/>
      <c r="G586" s="110"/>
      <c r="I586" s="110"/>
    </row>
    <row r="587" ht="14.25" customHeight="1">
      <c r="B587" s="110"/>
      <c r="C587" s="110"/>
      <c r="D587" s="110"/>
      <c r="E587" s="110"/>
      <c r="F587" s="110"/>
      <c r="G587" s="110"/>
      <c r="I587" s="110"/>
    </row>
    <row r="588" ht="14.25" customHeight="1">
      <c r="B588" s="110"/>
      <c r="C588" s="110"/>
      <c r="D588" s="110"/>
      <c r="E588" s="110"/>
      <c r="F588" s="110"/>
      <c r="G588" s="110"/>
      <c r="I588" s="110"/>
    </row>
    <row r="589" ht="14.25" customHeight="1">
      <c r="B589" s="110"/>
      <c r="C589" s="110"/>
      <c r="D589" s="110"/>
      <c r="E589" s="110"/>
      <c r="F589" s="110"/>
      <c r="G589" s="110"/>
      <c r="I589" s="110"/>
    </row>
    <row r="590" ht="14.25" customHeight="1">
      <c r="B590" s="110"/>
      <c r="C590" s="110"/>
      <c r="D590" s="110"/>
      <c r="E590" s="110"/>
      <c r="F590" s="110"/>
      <c r="G590" s="110"/>
      <c r="I590" s="110"/>
    </row>
    <row r="591" ht="14.25" customHeight="1">
      <c r="B591" s="110"/>
      <c r="C591" s="110"/>
      <c r="D591" s="110"/>
      <c r="E591" s="110"/>
      <c r="F591" s="110"/>
      <c r="G591" s="110"/>
      <c r="I591" s="110"/>
    </row>
    <row r="592" ht="14.25" customHeight="1">
      <c r="B592" s="110"/>
      <c r="C592" s="110"/>
      <c r="D592" s="110"/>
      <c r="E592" s="110"/>
      <c r="F592" s="110"/>
      <c r="G592" s="110"/>
      <c r="I592" s="110"/>
    </row>
    <row r="593" ht="14.25" customHeight="1">
      <c r="B593" s="110"/>
      <c r="C593" s="110"/>
      <c r="D593" s="110"/>
      <c r="E593" s="110"/>
      <c r="F593" s="110"/>
      <c r="G593" s="110"/>
      <c r="I593" s="110"/>
    </row>
    <row r="594" ht="14.25" customHeight="1">
      <c r="B594" s="110"/>
      <c r="C594" s="110"/>
      <c r="D594" s="110"/>
      <c r="E594" s="110"/>
      <c r="F594" s="110"/>
      <c r="G594" s="110"/>
      <c r="I594" s="110"/>
    </row>
    <row r="595" ht="14.25" customHeight="1">
      <c r="B595" s="110"/>
      <c r="C595" s="110"/>
      <c r="D595" s="110"/>
      <c r="E595" s="110"/>
      <c r="F595" s="110"/>
      <c r="G595" s="110"/>
      <c r="I595" s="110"/>
    </row>
    <row r="596" ht="14.25" customHeight="1">
      <c r="B596" s="110"/>
      <c r="C596" s="110"/>
      <c r="D596" s="110"/>
      <c r="E596" s="110"/>
      <c r="F596" s="110"/>
      <c r="G596" s="110"/>
      <c r="I596" s="110"/>
    </row>
    <row r="597" ht="14.25" customHeight="1">
      <c r="B597" s="110"/>
      <c r="C597" s="110"/>
      <c r="D597" s="110"/>
      <c r="E597" s="110"/>
      <c r="F597" s="110"/>
      <c r="G597" s="110"/>
      <c r="I597" s="110"/>
    </row>
    <row r="598" ht="14.25" customHeight="1">
      <c r="B598" s="110"/>
      <c r="C598" s="110"/>
      <c r="D598" s="110"/>
      <c r="E598" s="110"/>
      <c r="F598" s="110"/>
      <c r="G598" s="110"/>
      <c r="I598" s="110"/>
    </row>
    <row r="599" ht="14.25" customHeight="1">
      <c r="B599" s="110"/>
      <c r="C599" s="110"/>
      <c r="D599" s="110"/>
      <c r="E599" s="110"/>
      <c r="F599" s="110"/>
      <c r="G599" s="110"/>
      <c r="I599" s="110"/>
    </row>
    <row r="600" ht="14.25" customHeight="1">
      <c r="B600" s="110"/>
      <c r="C600" s="110"/>
      <c r="D600" s="110"/>
      <c r="E600" s="110"/>
      <c r="F600" s="110"/>
      <c r="G600" s="110"/>
      <c r="I600" s="110"/>
    </row>
    <row r="601" ht="14.25" customHeight="1">
      <c r="B601" s="110"/>
      <c r="C601" s="110"/>
      <c r="D601" s="110"/>
      <c r="E601" s="110"/>
      <c r="F601" s="110"/>
      <c r="G601" s="110"/>
      <c r="I601" s="110"/>
    </row>
    <row r="602" ht="14.25" customHeight="1">
      <c r="B602" s="110"/>
      <c r="C602" s="110"/>
      <c r="D602" s="110"/>
      <c r="E602" s="110"/>
      <c r="F602" s="110"/>
      <c r="G602" s="110"/>
      <c r="I602" s="110"/>
    </row>
    <row r="603" ht="14.25" customHeight="1">
      <c r="B603" s="110"/>
      <c r="C603" s="110"/>
      <c r="D603" s="110"/>
      <c r="E603" s="110"/>
      <c r="F603" s="110"/>
      <c r="G603" s="110"/>
      <c r="I603" s="110"/>
    </row>
    <row r="604" ht="14.25" customHeight="1">
      <c r="B604" s="110"/>
      <c r="C604" s="110"/>
      <c r="D604" s="110"/>
      <c r="E604" s="110"/>
      <c r="F604" s="110"/>
      <c r="G604" s="110"/>
      <c r="I604" s="110"/>
    </row>
    <row r="605" ht="14.25" customHeight="1">
      <c r="B605" s="110"/>
      <c r="C605" s="110"/>
      <c r="D605" s="110"/>
      <c r="E605" s="110"/>
      <c r="F605" s="110"/>
      <c r="G605" s="110"/>
      <c r="I605" s="110"/>
    </row>
    <row r="606" ht="14.25" customHeight="1">
      <c r="B606" s="110"/>
      <c r="C606" s="110"/>
      <c r="D606" s="110"/>
      <c r="E606" s="110"/>
      <c r="F606" s="110"/>
      <c r="G606" s="110"/>
      <c r="I606" s="110"/>
    </row>
    <row r="607" ht="14.25" customHeight="1">
      <c r="B607" s="110"/>
      <c r="C607" s="110"/>
      <c r="D607" s="110"/>
      <c r="E607" s="110"/>
      <c r="F607" s="110"/>
      <c r="G607" s="110"/>
      <c r="I607" s="110"/>
    </row>
    <row r="608" ht="14.25" customHeight="1">
      <c r="B608" s="110"/>
      <c r="C608" s="110"/>
      <c r="D608" s="110"/>
      <c r="E608" s="110"/>
      <c r="F608" s="110"/>
      <c r="G608" s="110"/>
      <c r="I608" s="110"/>
    </row>
    <row r="609" ht="14.25" customHeight="1">
      <c r="B609" s="110"/>
      <c r="C609" s="110"/>
      <c r="D609" s="110"/>
      <c r="E609" s="110"/>
      <c r="F609" s="110"/>
      <c r="G609" s="110"/>
      <c r="I609" s="110"/>
    </row>
    <row r="610" ht="14.25" customHeight="1">
      <c r="B610" s="110"/>
      <c r="C610" s="110"/>
      <c r="D610" s="110"/>
      <c r="E610" s="110"/>
      <c r="F610" s="110"/>
      <c r="G610" s="110"/>
      <c r="I610" s="110"/>
    </row>
    <row r="611" ht="14.25" customHeight="1">
      <c r="B611" s="110"/>
      <c r="C611" s="110"/>
      <c r="D611" s="110"/>
      <c r="E611" s="110"/>
      <c r="F611" s="110"/>
      <c r="G611" s="110"/>
      <c r="I611" s="110"/>
    </row>
    <row r="612" ht="14.25" customHeight="1">
      <c r="B612" s="110"/>
      <c r="C612" s="110"/>
      <c r="D612" s="110"/>
      <c r="E612" s="110"/>
      <c r="F612" s="110"/>
      <c r="G612" s="110"/>
      <c r="I612" s="110"/>
    </row>
    <row r="613" ht="14.25" customHeight="1">
      <c r="B613" s="110"/>
      <c r="C613" s="110"/>
      <c r="D613" s="110"/>
      <c r="E613" s="110"/>
      <c r="F613" s="110"/>
      <c r="G613" s="110"/>
      <c r="I613" s="110"/>
    </row>
    <row r="614" ht="14.25" customHeight="1">
      <c r="B614" s="110"/>
      <c r="C614" s="110"/>
      <c r="D614" s="110"/>
      <c r="E614" s="110"/>
      <c r="F614" s="110"/>
      <c r="G614" s="110"/>
      <c r="I614" s="110"/>
    </row>
    <row r="615" ht="14.25" customHeight="1">
      <c r="B615" s="110"/>
      <c r="C615" s="110"/>
      <c r="D615" s="110"/>
      <c r="E615" s="110"/>
      <c r="F615" s="110"/>
      <c r="G615" s="110"/>
      <c r="I615" s="110"/>
    </row>
    <row r="616" ht="14.25" customHeight="1">
      <c r="B616" s="110"/>
      <c r="C616" s="110"/>
      <c r="D616" s="110"/>
      <c r="E616" s="110"/>
      <c r="F616" s="110"/>
      <c r="G616" s="110"/>
      <c r="I616" s="110"/>
    </row>
    <row r="617" ht="14.25" customHeight="1">
      <c r="B617" s="110"/>
      <c r="C617" s="110"/>
      <c r="D617" s="110"/>
      <c r="E617" s="110"/>
      <c r="F617" s="110"/>
      <c r="G617" s="110"/>
      <c r="I617" s="110"/>
    </row>
    <row r="618" ht="14.25" customHeight="1">
      <c r="B618" s="110"/>
      <c r="C618" s="110"/>
      <c r="D618" s="110"/>
      <c r="E618" s="110"/>
      <c r="F618" s="110"/>
      <c r="G618" s="110"/>
      <c r="I618" s="110"/>
    </row>
    <row r="619" ht="14.25" customHeight="1">
      <c r="B619" s="110"/>
      <c r="C619" s="110"/>
      <c r="D619" s="110"/>
      <c r="E619" s="110"/>
      <c r="F619" s="110"/>
      <c r="G619" s="110"/>
      <c r="I619" s="110"/>
    </row>
    <row r="620" ht="14.25" customHeight="1">
      <c r="B620" s="110"/>
      <c r="C620" s="110"/>
      <c r="D620" s="110"/>
      <c r="E620" s="110"/>
      <c r="F620" s="110"/>
      <c r="G620" s="110"/>
      <c r="I620" s="110"/>
    </row>
    <row r="621" ht="14.25" customHeight="1">
      <c r="B621" s="110"/>
      <c r="C621" s="110"/>
      <c r="D621" s="110"/>
      <c r="E621" s="110"/>
      <c r="F621" s="110"/>
      <c r="G621" s="110"/>
      <c r="I621" s="110"/>
    </row>
    <row r="622" ht="14.25" customHeight="1">
      <c r="B622" s="110"/>
      <c r="C622" s="110"/>
      <c r="D622" s="110"/>
      <c r="E622" s="110"/>
      <c r="F622" s="110"/>
      <c r="G622" s="110"/>
      <c r="I622" s="110"/>
    </row>
    <row r="623" ht="14.25" customHeight="1">
      <c r="B623" s="110"/>
      <c r="C623" s="110"/>
      <c r="D623" s="110"/>
      <c r="E623" s="110"/>
      <c r="F623" s="110"/>
      <c r="G623" s="110"/>
      <c r="I623" s="110"/>
    </row>
    <row r="624" ht="14.25" customHeight="1">
      <c r="B624" s="110"/>
      <c r="C624" s="110"/>
      <c r="D624" s="110"/>
      <c r="E624" s="110"/>
      <c r="F624" s="110"/>
      <c r="G624" s="110"/>
      <c r="I624" s="110"/>
    </row>
    <row r="625" ht="14.25" customHeight="1">
      <c r="B625" s="110"/>
      <c r="C625" s="110"/>
      <c r="D625" s="110"/>
      <c r="E625" s="110"/>
      <c r="F625" s="110"/>
      <c r="G625" s="110"/>
      <c r="I625" s="110"/>
    </row>
    <row r="626" ht="14.25" customHeight="1">
      <c r="B626" s="110"/>
      <c r="C626" s="110"/>
      <c r="D626" s="110"/>
      <c r="E626" s="110"/>
      <c r="F626" s="110"/>
      <c r="G626" s="110"/>
      <c r="I626" s="110"/>
    </row>
    <row r="627" ht="14.25" customHeight="1">
      <c r="B627" s="110"/>
      <c r="C627" s="110"/>
      <c r="D627" s="110"/>
      <c r="E627" s="110"/>
      <c r="F627" s="110"/>
      <c r="G627" s="110"/>
      <c r="I627" s="110"/>
    </row>
    <row r="628" ht="14.25" customHeight="1">
      <c r="B628" s="110"/>
      <c r="C628" s="110"/>
      <c r="D628" s="110"/>
      <c r="E628" s="110"/>
      <c r="F628" s="110"/>
      <c r="G628" s="110"/>
      <c r="I628" s="110"/>
    </row>
    <row r="629" ht="14.25" customHeight="1">
      <c r="B629" s="110"/>
      <c r="C629" s="110"/>
      <c r="D629" s="110"/>
      <c r="E629" s="110"/>
      <c r="F629" s="110"/>
      <c r="G629" s="110"/>
      <c r="I629" s="110"/>
    </row>
    <row r="630" ht="14.25" customHeight="1">
      <c r="B630" s="110"/>
      <c r="C630" s="110"/>
      <c r="D630" s="110"/>
      <c r="E630" s="110"/>
      <c r="F630" s="110"/>
      <c r="G630" s="110"/>
      <c r="I630" s="110"/>
    </row>
    <row r="631" ht="14.25" customHeight="1">
      <c r="B631" s="110"/>
      <c r="C631" s="110"/>
      <c r="D631" s="110"/>
      <c r="E631" s="110"/>
      <c r="F631" s="110"/>
      <c r="G631" s="110"/>
      <c r="I631" s="110"/>
    </row>
    <row r="632" ht="14.25" customHeight="1">
      <c r="B632" s="110"/>
      <c r="C632" s="110"/>
      <c r="D632" s="110"/>
      <c r="E632" s="110"/>
      <c r="F632" s="110"/>
      <c r="G632" s="110"/>
      <c r="I632" s="110"/>
    </row>
    <row r="633" ht="14.25" customHeight="1">
      <c r="B633" s="110"/>
      <c r="C633" s="110"/>
      <c r="D633" s="110"/>
      <c r="E633" s="110"/>
      <c r="F633" s="110"/>
      <c r="G633" s="110"/>
      <c r="I633" s="110"/>
    </row>
    <row r="634" ht="14.25" customHeight="1">
      <c r="B634" s="110"/>
      <c r="C634" s="110"/>
      <c r="D634" s="110"/>
      <c r="E634" s="110"/>
      <c r="F634" s="110"/>
      <c r="G634" s="110"/>
      <c r="I634" s="110"/>
    </row>
    <row r="635" ht="14.25" customHeight="1">
      <c r="B635" s="110"/>
      <c r="C635" s="110"/>
      <c r="D635" s="110"/>
      <c r="E635" s="110"/>
      <c r="F635" s="110"/>
      <c r="G635" s="110"/>
      <c r="I635" s="110"/>
    </row>
    <row r="636" ht="14.25" customHeight="1">
      <c r="B636" s="110"/>
      <c r="C636" s="110"/>
      <c r="D636" s="110"/>
      <c r="E636" s="110"/>
      <c r="F636" s="110"/>
      <c r="G636" s="110"/>
      <c r="I636" s="110"/>
    </row>
    <row r="637" ht="14.25" customHeight="1">
      <c r="B637" s="110"/>
      <c r="C637" s="110"/>
      <c r="D637" s="110"/>
      <c r="E637" s="110"/>
      <c r="F637" s="110"/>
      <c r="G637" s="110"/>
      <c r="I637" s="110"/>
    </row>
    <row r="638" ht="14.25" customHeight="1">
      <c r="B638" s="110"/>
      <c r="C638" s="110"/>
      <c r="D638" s="110"/>
      <c r="E638" s="110"/>
      <c r="F638" s="110"/>
      <c r="G638" s="110"/>
      <c r="I638" s="110"/>
    </row>
    <row r="639" ht="14.25" customHeight="1">
      <c r="B639" s="110"/>
      <c r="C639" s="110"/>
      <c r="D639" s="110"/>
      <c r="E639" s="110"/>
      <c r="F639" s="110"/>
      <c r="G639" s="110"/>
      <c r="I639" s="110"/>
    </row>
    <row r="640" ht="14.25" customHeight="1">
      <c r="B640" s="110"/>
      <c r="C640" s="110"/>
      <c r="D640" s="110"/>
      <c r="E640" s="110"/>
      <c r="F640" s="110"/>
      <c r="G640" s="110"/>
      <c r="I640" s="110"/>
    </row>
    <row r="641" ht="14.25" customHeight="1">
      <c r="B641" s="110"/>
      <c r="C641" s="110"/>
      <c r="D641" s="110"/>
      <c r="E641" s="110"/>
      <c r="F641" s="110"/>
      <c r="G641" s="110"/>
      <c r="I641" s="110"/>
    </row>
    <row r="642" ht="14.25" customHeight="1">
      <c r="B642" s="110"/>
      <c r="C642" s="110"/>
      <c r="D642" s="110"/>
      <c r="E642" s="110"/>
      <c r="F642" s="110"/>
      <c r="G642" s="110"/>
      <c r="I642" s="110"/>
    </row>
    <row r="643" ht="14.25" customHeight="1">
      <c r="B643" s="110"/>
      <c r="C643" s="110"/>
      <c r="D643" s="110"/>
      <c r="E643" s="110"/>
      <c r="F643" s="110"/>
      <c r="G643" s="110"/>
      <c r="I643" s="110"/>
    </row>
    <row r="644" ht="14.25" customHeight="1">
      <c r="B644" s="110"/>
      <c r="C644" s="110"/>
      <c r="D644" s="110"/>
      <c r="E644" s="110"/>
      <c r="F644" s="110"/>
      <c r="G644" s="110"/>
      <c r="I644" s="110"/>
    </row>
    <row r="645" ht="14.25" customHeight="1">
      <c r="B645" s="110"/>
      <c r="C645" s="110"/>
      <c r="D645" s="110"/>
      <c r="E645" s="110"/>
      <c r="F645" s="110"/>
      <c r="G645" s="110"/>
      <c r="I645" s="110"/>
    </row>
    <row r="646" ht="14.25" customHeight="1">
      <c r="B646" s="110"/>
      <c r="C646" s="110"/>
      <c r="D646" s="110"/>
      <c r="E646" s="110"/>
      <c r="F646" s="110"/>
      <c r="G646" s="110"/>
      <c r="I646" s="110"/>
    </row>
    <row r="647" ht="14.25" customHeight="1">
      <c r="B647" s="110"/>
      <c r="C647" s="110"/>
      <c r="D647" s="110"/>
      <c r="E647" s="110"/>
      <c r="F647" s="110"/>
      <c r="G647" s="110"/>
      <c r="I647" s="110"/>
    </row>
    <row r="648" ht="14.25" customHeight="1">
      <c r="B648" s="110"/>
      <c r="C648" s="110"/>
      <c r="D648" s="110"/>
      <c r="E648" s="110"/>
      <c r="F648" s="110"/>
      <c r="G648" s="110"/>
      <c r="I648" s="110"/>
    </row>
    <row r="649" ht="14.25" customHeight="1">
      <c r="B649" s="110"/>
      <c r="C649" s="110"/>
      <c r="D649" s="110"/>
      <c r="E649" s="110"/>
      <c r="F649" s="110"/>
      <c r="G649" s="110"/>
      <c r="I649" s="110"/>
    </row>
    <row r="650" ht="14.25" customHeight="1">
      <c r="B650" s="110"/>
      <c r="C650" s="110"/>
      <c r="D650" s="110"/>
      <c r="E650" s="110"/>
      <c r="F650" s="110"/>
      <c r="G650" s="110"/>
      <c r="I650" s="110"/>
    </row>
    <row r="651" ht="14.25" customHeight="1">
      <c r="B651" s="110"/>
      <c r="C651" s="110"/>
      <c r="D651" s="110"/>
      <c r="E651" s="110"/>
      <c r="F651" s="110"/>
      <c r="G651" s="110"/>
      <c r="I651" s="110"/>
    </row>
    <row r="652" ht="14.25" customHeight="1">
      <c r="B652" s="110"/>
      <c r="C652" s="110"/>
      <c r="D652" s="110"/>
      <c r="E652" s="110"/>
      <c r="F652" s="110"/>
      <c r="G652" s="110"/>
      <c r="I652" s="110"/>
    </row>
    <row r="653" ht="14.25" customHeight="1">
      <c r="B653" s="110"/>
      <c r="C653" s="110"/>
      <c r="D653" s="110"/>
      <c r="E653" s="110"/>
      <c r="F653" s="110"/>
      <c r="G653" s="110"/>
      <c r="I653" s="110"/>
    </row>
    <row r="654" ht="14.25" customHeight="1">
      <c r="B654" s="110"/>
      <c r="C654" s="110"/>
      <c r="D654" s="110"/>
      <c r="E654" s="110"/>
      <c r="F654" s="110"/>
      <c r="G654" s="110"/>
      <c r="I654" s="110"/>
    </row>
    <row r="655" ht="14.25" customHeight="1">
      <c r="B655" s="110"/>
      <c r="C655" s="110"/>
      <c r="D655" s="110"/>
      <c r="E655" s="110"/>
      <c r="F655" s="110"/>
      <c r="G655" s="110"/>
      <c r="I655" s="110"/>
    </row>
    <row r="656" ht="14.25" customHeight="1">
      <c r="B656" s="110"/>
      <c r="C656" s="110"/>
      <c r="D656" s="110"/>
      <c r="E656" s="110"/>
      <c r="F656" s="110"/>
      <c r="G656" s="110"/>
      <c r="I656" s="110"/>
    </row>
    <row r="657" ht="14.25" customHeight="1">
      <c r="B657" s="110"/>
      <c r="C657" s="110"/>
      <c r="D657" s="110"/>
      <c r="E657" s="110"/>
      <c r="F657" s="110"/>
      <c r="G657" s="110"/>
      <c r="I657" s="110"/>
    </row>
    <row r="658" ht="14.25" customHeight="1">
      <c r="B658" s="110"/>
      <c r="C658" s="110"/>
      <c r="D658" s="110"/>
      <c r="E658" s="110"/>
      <c r="F658" s="110"/>
      <c r="G658" s="110"/>
      <c r="I658" s="110"/>
    </row>
    <row r="659" ht="14.25" customHeight="1">
      <c r="B659" s="110"/>
      <c r="C659" s="110"/>
      <c r="D659" s="110"/>
      <c r="E659" s="110"/>
      <c r="F659" s="110"/>
      <c r="G659" s="110"/>
      <c r="I659" s="110"/>
    </row>
    <row r="660" ht="14.25" customHeight="1">
      <c r="B660" s="110"/>
      <c r="C660" s="110"/>
      <c r="D660" s="110"/>
      <c r="E660" s="110"/>
      <c r="F660" s="110"/>
      <c r="G660" s="110"/>
      <c r="I660" s="110"/>
    </row>
    <row r="661" ht="14.25" customHeight="1">
      <c r="B661" s="110"/>
      <c r="C661" s="110"/>
      <c r="D661" s="110"/>
      <c r="E661" s="110"/>
      <c r="F661" s="110"/>
      <c r="G661" s="110"/>
      <c r="I661" s="110"/>
    </row>
    <row r="662" ht="14.25" customHeight="1">
      <c r="B662" s="110"/>
      <c r="C662" s="110"/>
      <c r="D662" s="110"/>
      <c r="E662" s="110"/>
      <c r="F662" s="110"/>
      <c r="G662" s="110"/>
      <c r="I662" s="110"/>
    </row>
    <row r="663" ht="14.25" customHeight="1">
      <c r="B663" s="110"/>
      <c r="C663" s="110"/>
      <c r="D663" s="110"/>
      <c r="E663" s="110"/>
      <c r="F663" s="110"/>
      <c r="G663" s="110"/>
      <c r="I663" s="110"/>
    </row>
    <row r="664" ht="14.25" customHeight="1">
      <c r="B664" s="110"/>
      <c r="C664" s="110"/>
      <c r="D664" s="110"/>
      <c r="E664" s="110"/>
      <c r="F664" s="110"/>
      <c r="G664" s="110"/>
      <c r="I664" s="110"/>
    </row>
    <row r="665" ht="14.25" customHeight="1">
      <c r="B665" s="110"/>
      <c r="C665" s="110"/>
      <c r="D665" s="110"/>
      <c r="E665" s="110"/>
      <c r="F665" s="110"/>
      <c r="G665" s="110"/>
      <c r="I665" s="110"/>
    </row>
    <row r="666" ht="14.25" customHeight="1">
      <c r="B666" s="110"/>
      <c r="C666" s="110"/>
      <c r="D666" s="110"/>
      <c r="E666" s="110"/>
      <c r="F666" s="110"/>
      <c r="G666" s="110"/>
      <c r="I666" s="110"/>
    </row>
    <row r="667" ht="14.25" customHeight="1">
      <c r="B667" s="110"/>
      <c r="C667" s="110"/>
      <c r="D667" s="110"/>
      <c r="E667" s="110"/>
      <c r="F667" s="110"/>
      <c r="G667" s="110"/>
      <c r="I667" s="110"/>
    </row>
    <row r="668" ht="14.25" customHeight="1">
      <c r="B668" s="110"/>
      <c r="C668" s="110"/>
      <c r="D668" s="110"/>
      <c r="E668" s="110"/>
      <c r="F668" s="110"/>
      <c r="G668" s="110"/>
      <c r="I668" s="110"/>
    </row>
    <row r="669" ht="14.25" customHeight="1">
      <c r="B669" s="110"/>
      <c r="C669" s="110"/>
      <c r="D669" s="110"/>
      <c r="E669" s="110"/>
      <c r="F669" s="110"/>
      <c r="G669" s="110"/>
      <c r="I669" s="110"/>
    </row>
    <row r="670" ht="14.25" customHeight="1">
      <c r="B670" s="110"/>
      <c r="C670" s="110"/>
      <c r="D670" s="110"/>
      <c r="E670" s="110"/>
      <c r="F670" s="110"/>
      <c r="G670" s="110"/>
      <c r="I670" s="110"/>
    </row>
    <row r="671" ht="14.25" customHeight="1">
      <c r="B671" s="110"/>
      <c r="C671" s="110"/>
      <c r="D671" s="110"/>
      <c r="E671" s="110"/>
      <c r="F671" s="110"/>
      <c r="G671" s="110"/>
      <c r="I671" s="110"/>
    </row>
    <row r="672" ht="14.25" customHeight="1">
      <c r="B672" s="110"/>
      <c r="C672" s="110"/>
      <c r="D672" s="110"/>
      <c r="E672" s="110"/>
      <c r="F672" s="110"/>
      <c r="G672" s="110"/>
      <c r="I672" s="110"/>
    </row>
    <row r="673" ht="14.25" customHeight="1">
      <c r="B673" s="110"/>
      <c r="C673" s="110"/>
      <c r="D673" s="110"/>
      <c r="E673" s="110"/>
      <c r="F673" s="110"/>
      <c r="G673" s="110"/>
      <c r="I673" s="110"/>
    </row>
    <row r="674" ht="14.25" customHeight="1">
      <c r="B674" s="110"/>
      <c r="C674" s="110"/>
      <c r="D674" s="110"/>
      <c r="E674" s="110"/>
      <c r="F674" s="110"/>
      <c r="G674" s="110"/>
      <c r="I674" s="110"/>
    </row>
    <row r="675" ht="14.25" customHeight="1">
      <c r="B675" s="110"/>
      <c r="C675" s="110"/>
      <c r="D675" s="110"/>
      <c r="E675" s="110"/>
      <c r="F675" s="110"/>
      <c r="G675" s="110"/>
      <c r="I675" s="110"/>
    </row>
    <row r="676" ht="14.25" customHeight="1">
      <c r="B676" s="110"/>
      <c r="C676" s="110"/>
      <c r="D676" s="110"/>
      <c r="E676" s="110"/>
      <c r="F676" s="110"/>
      <c r="G676" s="110"/>
      <c r="I676" s="110"/>
    </row>
    <row r="677" ht="14.25" customHeight="1">
      <c r="B677" s="110"/>
      <c r="C677" s="110"/>
      <c r="D677" s="110"/>
      <c r="E677" s="110"/>
      <c r="F677" s="110"/>
      <c r="G677" s="110"/>
      <c r="I677" s="110"/>
    </row>
    <row r="678" ht="14.25" customHeight="1">
      <c r="B678" s="110"/>
      <c r="C678" s="110"/>
      <c r="D678" s="110"/>
      <c r="E678" s="110"/>
      <c r="F678" s="110"/>
      <c r="G678" s="110"/>
      <c r="I678" s="110"/>
    </row>
    <row r="679" ht="14.25" customHeight="1">
      <c r="B679" s="110"/>
      <c r="C679" s="110"/>
      <c r="D679" s="110"/>
      <c r="E679" s="110"/>
      <c r="F679" s="110"/>
      <c r="G679" s="110"/>
      <c r="I679" s="110"/>
    </row>
    <row r="680" ht="14.25" customHeight="1">
      <c r="B680" s="110"/>
      <c r="C680" s="110"/>
      <c r="D680" s="110"/>
      <c r="E680" s="110"/>
      <c r="F680" s="110"/>
      <c r="G680" s="110"/>
      <c r="I680" s="110"/>
    </row>
    <row r="681" ht="14.25" customHeight="1">
      <c r="B681" s="110"/>
      <c r="C681" s="110"/>
      <c r="D681" s="110"/>
      <c r="E681" s="110"/>
      <c r="F681" s="110"/>
      <c r="G681" s="110"/>
      <c r="I681" s="110"/>
    </row>
    <row r="682" ht="14.25" customHeight="1">
      <c r="B682" s="110"/>
      <c r="C682" s="110"/>
      <c r="D682" s="110"/>
      <c r="E682" s="110"/>
      <c r="F682" s="110"/>
      <c r="G682" s="110"/>
      <c r="I682" s="110"/>
    </row>
    <row r="683" ht="14.25" customHeight="1">
      <c r="B683" s="110"/>
      <c r="C683" s="110"/>
      <c r="D683" s="110"/>
      <c r="E683" s="110"/>
      <c r="F683" s="110"/>
      <c r="G683" s="110"/>
      <c r="I683" s="110"/>
    </row>
    <row r="684" ht="14.25" customHeight="1">
      <c r="B684" s="110"/>
      <c r="C684" s="110"/>
      <c r="D684" s="110"/>
      <c r="E684" s="110"/>
      <c r="F684" s="110"/>
      <c r="G684" s="110"/>
      <c r="I684" s="110"/>
    </row>
    <row r="685" ht="14.25" customHeight="1">
      <c r="B685" s="110"/>
      <c r="C685" s="110"/>
      <c r="D685" s="110"/>
      <c r="E685" s="110"/>
      <c r="F685" s="110"/>
      <c r="G685" s="110"/>
      <c r="I685" s="110"/>
    </row>
    <row r="686" ht="14.25" customHeight="1">
      <c r="B686" s="110"/>
      <c r="C686" s="110"/>
      <c r="D686" s="110"/>
      <c r="E686" s="110"/>
      <c r="F686" s="110"/>
      <c r="G686" s="110"/>
      <c r="I686" s="110"/>
    </row>
    <row r="687" ht="14.25" customHeight="1">
      <c r="B687" s="110"/>
      <c r="C687" s="110"/>
      <c r="D687" s="110"/>
      <c r="E687" s="110"/>
      <c r="F687" s="110"/>
      <c r="G687" s="110"/>
      <c r="I687" s="110"/>
    </row>
    <row r="688" ht="14.25" customHeight="1">
      <c r="B688" s="110"/>
      <c r="C688" s="110"/>
      <c r="D688" s="110"/>
      <c r="E688" s="110"/>
      <c r="F688" s="110"/>
      <c r="G688" s="110"/>
      <c r="I688" s="110"/>
    </row>
    <row r="689" ht="14.25" customHeight="1">
      <c r="B689" s="110"/>
      <c r="C689" s="110"/>
      <c r="D689" s="110"/>
      <c r="E689" s="110"/>
      <c r="F689" s="110"/>
      <c r="G689" s="110"/>
      <c r="I689" s="110"/>
    </row>
    <row r="690" ht="14.25" customHeight="1">
      <c r="B690" s="110"/>
      <c r="C690" s="110"/>
      <c r="D690" s="110"/>
      <c r="E690" s="110"/>
      <c r="F690" s="110"/>
      <c r="G690" s="110"/>
      <c r="I690" s="110"/>
    </row>
    <row r="691" ht="14.25" customHeight="1">
      <c r="B691" s="110"/>
      <c r="C691" s="110"/>
      <c r="D691" s="110"/>
      <c r="E691" s="110"/>
      <c r="F691" s="110"/>
      <c r="G691" s="110"/>
      <c r="I691" s="110"/>
    </row>
    <row r="692" ht="14.25" customHeight="1">
      <c r="B692" s="110"/>
      <c r="C692" s="110"/>
      <c r="D692" s="110"/>
      <c r="E692" s="110"/>
      <c r="F692" s="110"/>
      <c r="G692" s="110"/>
      <c r="I692" s="110"/>
    </row>
    <row r="693" ht="14.25" customHeight="1">
      <c r="B693" s="110"/>
      <c r="C693" s="110"/>
      <c r="D693" s="110"/>
      <c r="E693" s="110"/>
      <c r="F693" s="110"/>
      <c r="G693" s="110"/>
      <c r="I693" s="110"/>
    </row>
    <row r="694" ht="14.25" customHeight="1">
      <c r="B694" s="110"/>
      <c r="C694" s="110"/>
      <c r="D694" s="110"/>
      <c r="E694" s="110"/>
      <c r="F694" s="110"/>
      <c r="G694" s="110"/>
      <c r="I694" s="110"/>
    </row>
    <row r="695" ht="14.25" customHeight="1">
      <c r="B695" s="110"/>
      <c r="C695" s="110"/>
      <c r="D695" s="110"/>
      <c r="E695" s="110"/>
      <c r="F695" s="110"/>
      <c r="G695" s="110"/>
      <c r="I695" s="110"/>
    </row>
    <row r="696" ht="14.25" customHeight="1">
      <c r="B696" s="110"/>
      <c r="C696" s="110"/>
      <c r="D696" s="110"/>
      <c r="E696" s="110"/>
      <c r="F696" s="110"/>
      <c r="G696" s="110"/>
      <c r="I696" s="110"/>
    </row>
    <row r="697" ht="14.25" customHeight="1">
      <c r="B697" s="110"/>
      <c r="C697" s="110"/>
      <c r="D697" s="110"/>
      <c r="E697" s="110"/>
      <c r="F697" s="110"/>
      <c r="G697" s="110"/>
      <c r="I697" s="110"/>
    </row>
    <row r="698" ht="14.25" customHeight="1">
      <c r="B698" s="110"/>
      <c r="C698" s="110"/>
      <c r="D698" s="110"/>
      <c r="E698" s="110"/>
      <c r="F698" s="110"/>
      <c r="G698" s="110"/>
      <c r="I698" s="110"/>
    </row>
    <row r="699" ht="14.25" customHeight="1">
      <c r="B699" s="110"/>
      <c r="C699" s="110"/>
      <c r="D699" s="110"/>
      <c r="E699" s="110"/>
      <c r="F699" s="110"/>
      <c r="G699" s="110"/>
      <c r="I699" s="110"/>
    </row>
    <row r="700" ht="14.25" customHeight="1">
      <c r="B700" s="110"/>
      <c r="C700" s="110"/>
      <c r="D700" s="110"/>
      <c r="E700" s="110"/>
      <c r="F700" s="110"/>
      <c r="G700" s="110"/>
      <c r="I700" s="110"/>
    </row>
    <row r="701" ht="14.25" customHeight="1">
      <c r="B701" s="110"/>
      <c r="C701" s="110"/>
      <c r="D701" s="110"/>
      <c r="E701" s="110"/>
      <c r="F701" s="110"/>
      <c r="G701" s="110"/>
      <c r="I701" s="110"/>
    </row>
    <row r="702" ht="14.25" customHeight="1">
      <c r="B702" s="110"/>
      <c r="C702" s="110"/>
      <c r="D702" s="110"/>
      <c r="E702" s="110"/>
      <c r="F702" s="110"/>
      <c r="G702" s="110"/>
      <c r="I702" s="110"/>
    </row>
    <row r="703" ht="14.25" customHeight="1">
      <c r="B703" s="110"/>
      <c r="C703" s="110"/>
      <c r="D703" s="110"/>
      <c r="E703" s="110"/>
      <c r="F703" s="110"/>
      <c r="G703" s="110"/>
      <c r="I703" s="110"/>
    </row>
    <row r="704" ht="14.25" customHeight="1">
      <c r="B704" s="110"/>
      <c r="C704" s="110"/>
      <c r="D704" s="110"/>
      <c r="E704" s="110"/>
      <c r="F704" s="110"/>
      <c r="G704" s="110"/>
      <c r="I704" s="110"/>
    </row>
    <row r="705" ht="14.25" customHeight="1">
      <c r="B705" s="110"/>
      <c r="C705" s="110"/>
      <c r="D705" s="110"/>
      <c r="E705" s="110"/>
      <c r="F705" s="110"/>
      <c r="G705" s="110"/>
      <c r="I705" s="110"/>
    </row>
    <row r="706" ht="14.25" customHeight="1">
      <c r="B706" s="110"/>
      <c r="C706" s="110"/>
      <c r="D706" s="110"/>
      <c r="E706" s="110"/>
      <c r="F706" s="110"/>
      <c r="G706" s="110"/>
      <c r="I706" s="110"/>
    </row>
    <row r="707" ht="14.25" customHeight="1">
      <c r="B707" s="110"/>
      <c r="C707" s="110"/>
      <c r="D707" s="110"/>
      <c r="E707" s="110"/>
      <c r="F707" s="110"/>
      <c r="G707" s="110"/>
      <c r="I707" s="110"/>
    </row>
    <row r="708" ht="14.25" customHeight="1">
      <c r="B708" s="110"/>
      <c r="C708" s="110"/>
      <c r="D708" s="110"/>
      <c r="E708" s="110"/>
      <c r="F708" s="110"/>
      <c r="G708" s="110"/>
      <c r="I708" s="110"/>
    </row>
    <row r="709" ht="14.25" customHeight="1">
      <c r="B709" s="110"/>
      <c r="C709" s="110"/>
      <c r="D709" s="110"/>
      <c r="E709" s="110"/>
      <c r="F709" s="110"/>
      <c r="G709" s="110"/>
      <c r="I709" s="110"/>
    </row>
    <row r="710" ht="14.25" customHeight="1">
      <c r="B710" s="110"/>
      <c r="C710" s="110"/>
      <c r="D710" s="110"/>
      <c r="E710" s="110"/>
      <c r="F710" s="110"/>
      <c r="G710" s="110"/>
      <c r="I710" s="110"/>
    </row>
    <row r="711" ht="14.25" customHeight="1">
      <c r="B711" s="110"/>
      <c r="C711" s="110"/>
      <c r="D711" s="110"/>
      <c r="E711" s="110"/>
      <c r="F711" s="110"/>
      <c r="G711" s="110"/>
      <c r="I711" s="110"/>
    </row>
    <row r="712" ht="14.25" customHeight="1">
      <c r="B712" s="110"/>
      <c r="C712" s="110"/>
      <c r="D712" s="110"/>
      <c r="E712" s="110"/>
      <c r="F712" s="110"/>
      <c r="G712" s="110"/>
      <c r="I712" s="110"/>
    </row>
    <row r="713" ht="14.25" customHeight="1">
      <c r="B713" s="110"/>
      <c r="C713" s="110"/>
      <c r="D713" s="110"/>
      <c r="E713" s="110"/>
      <c r="F713" s="110"/>
      <c r="G713" s="110"/>
      <c r="I713" s="110"/>
    </row>
    <row r="714" ht="14.25" customHeight="1">
      <c r="B714" s="110"/>
      <c r="C714" s="110"/>
      <c r="D714" s="110"/>
      <c r="E714" s="110"/>
      <c r="F714" s="110"/>
      <c r="G714" s="110"/>
      <c r="I714" s="110"/>
    </row>
    <row r="715" ht="14.25" customHeight="1">
      <c r="B715" s="110"/>
      <c r="C715" s="110"/>
      <c r="D715" s="110"/>
      <c r="E715" s="110"/>
      <c r="F715" s="110"/>
      <c r="G715" s="110"/>
      <c r="I715" s="110"/>
    </row>
    <row r="716" ht="14.25" customHeight="1">
      <c r="B716" s="110"/>
      <c r="C716" s="110"/>
      <c r="D716" s="110"/>
      <c r="E716" s="110"/>
      <c r="F716" s="110"/>
      <c r="G716" s="110"/>
      <c r="I716" s="110"/>
    </row>
    <row r="717" ht="14.25" customHeight="1">
      <c r="B717" s="110"/>
      <c r="C717" s="110"/>
      <c r="D717" s="110"/>
      <c r="E717" s="110"/>
      <c r="F717" s="110"/>
      <c r="G717" s="110"/>
      <c r="I717" s="110"/>
    </row>
    <row r="718" ht="14.25" customHeight="1">
      <c r="B718" s="110"/>
      <c r="C718" s="110"/>
      <c r="D718" s="110"/>
      <c r="E718" s="110"/>
      <c r="F718" s="110"/>
      <c r="G718" s="110"/>
      <c r="I718" s="110"/>
    </row>
    <row r="719" ht="14.25" customHeight="1">
      <c r="B719" s="110"/>
      <c r="C719" s="110"/>
      <c r="D719" s="110"/>
      <c r="E719" s="110"/>
      <c r="F719" s="110"/>
      <c r="G719" s="110"/>
      <c r="I719" s="110"/>
    </row>
    <row r="720" ht="14.25" customHeight="1">
      <c r="B720" s="110"/>
      <c r="C720" s="110"/>
      <c r="D720" s="110"/>
      <c r="E720" s="110"/>
      <c r="F720" s="110"/>
      <c r="G720" s="110"/>
      <c r="I720" s="110"/>
    </row>
    <row r="721" ht="14.25" customHeight="1">
      <c r="B721" s="110"/>
      <c r="C721" s="110"/>
      <c r="D721" s="110"/>
      <c r="E721" s="110"/>
      <c r="F721" s="110"/>
      <c r="G721" s="110"/>
      <c r="I721" s="110"/>
    </row>
    <row r="722" ht="14.25" customHeight="1">
      <c r="B722" s="110"/>
      <c r="C722" s="110"/>
      <c r="D722" s="110"/>
      <c r="E722" s="110"/>
      <c r="F722" s="110"/>
      <c r="G722" s="110"/>
      <c r="I722" s="110"/>
    </row>
    <row r="723" ht="14.25" customHeight="1">
      <c r="B723" s="110"/>
      <c r="C723" s="110"/>
      <c r="D723" s="110"/>
      <c r="E723" s="110"/>
      <c r="F723" s="110"/>
      <c r="G723" s="110"/>
      <c r="I723" s="110"/>
    </row>
    <row r="724" ht="14.25" customHeight="1">
      <c r="B724" s="110"/>
      <c r="C724" s="110"/>
      <c r="D724" s="110"/>
      <c r="E724" s="110"/>
      <c r="F724" s="110"/>
      <c r="G724" s="110"/>
      <c r="I724" s="110"/>
    </row>
    <row r="725" ht="14.25" customHeight="1">
      <c r="B725" s="110"/>
      <c r="C725" s="110"/>
      <c r="D725" s="110"/>
      <c r="E725" s="110"/>
      <c r="F725" s="110"/>
      <c r="G725" s="110"/>
      <c r="I725" s="110"/>
    </row>
    <row r="726" ht="14.25" customHeight="1">
      <c r="B726" s="110"/>
      <c r="C726" s="110"/>
      <c r="D726" s="110"/>
      <c r="E726" s="110"/>
      <c r="F726" s="110"/>
      <c r="G726" s="110"/>
      <c r="I726" s="110"/>
    </row>
    <row r="727" ht="14.25" customHeight="1">
      <c r="B727" s="110"/>
      <c r="C727" s="110"/>
      <c r="D727" s="110"/>
      <c r="E727" s="110"/>
      <c r="F727" s="110"/>
      <c r="G727" s="110"/>
      <c r="I727" s="110"/>
    </row>
    <row r="728" ht="14.25" customHeight="1">
      <c r="B728" s="110"/>
      <c r="C728" s="110"/>
      <c r="D728" s="110"/>
      <c r="E728" s="110"/>
      <c r="F728" s="110"/>
      <c r="G728" s="110"/>
      <c r="I728" s="110"/>
    </row>
    <row r="729" ht="14.25" customHeight="1">
      <c r="B729" s="110"/>
      <c r="C729" s="110"/>
      <c r="D729" s="110"/>
      <c r="E729" s="110"/>
      <c r="F729" s="110"/>
      <c r="G729" s="110"/>
      <c r="I729" s="110"/>
    </row>
    <row r="730" ht="14.25" customHeight="1">
      <c r="B730" s="110"/>
      <c r="C730" s="110"/>
      <c r="D730" s="110"/>
      <c r="E730" s="110"/>
      <c r="F730" s="110"/>
      <c r="G730" s="110"/>
      <c r="I730" s="110"/>
    </row>
    <row r="731" ht="14.25" customHeight="1">
      <c r="B731" s="110"/>
      <c r="C731" s="110"/>
      <c r="D731" s="110"/>
      <c r="E731" s="110"/>
      <c r="F731" s="110"/>
      <c r="G731" s="110"/>
      <c r="I731" s="110"/>
    </row>
    <row r="732" ht="14.25" customHeight="1">
      <c r="B732" s="110"/>
      <c r="C732" s="110"/>
      <c r="D732" s="110"/>
      <c r="E732" s="110"/>
      <c r="F732" s="110"/>
      <c r="G732" s="110"/>
      <c r="I732" s="110"/>
    </row>
    <row r="733" ht="14.25" customHeight="1">
      <c r="B733" s="110"/>
      <c r="C733" s="110"/>
      <c r="D733" s="110"/>
      <c r="E733" s="110"/>
      <c r="F733" s="110"/>
      <c r="G733" s="110"/>
      <c r="I733" s="110"/>
    </row>
    <row r="734" ht="14.25" customHeight="1">
      <c r="B734" s="110"/>
      <c r="C734" s="110"/>
      <c r="D734" s="110"/>
      <c r="E734" s="110"/>
      <c r="F734" s="110"/>
      <c r="G734" s="110"/>
      <c r="I734" s="110"/>
    </row>
    <row r="735" ht="14.25" customHeight="1">
      <c r="B735" s="110"/>
      <c r="C735" s="110"/>
      <c r="D735" s="110"/>
      <c r="E735" s="110"/>
      <c r="F735" s="110"/>
      <c r="G735" s="110"/>
      <c r="I735" s="110"/>
    </row>
    <row r="736" ht="14.25" customHeight="1">
      <c r="B736" s="110"/>
      <c r="C736" s="110"/>
      <c r="D736" s="110"/>
      <c r="E736" s="110"/>
      <c r="F736" s="110"/>
      <c r="G736" s="110"/>
      <c r="I736" s="110"/>
    </row>
    <row r="737" ht="14.25" customHeight="1">
      <c r="B737" s="110"/>
      <c r="C737" s="110"/>
      <c r="D737" s="110"/>
      <c r="E737" s="110"/>
      <c r="F737" s="110"/>
      <c r="G737" s="110"/>
      <c r="I737" s="110"/>
    </row>
    <row r="738" ht="14.25" customHeight="1">
      <c r="B738" s="110"/>
      <c r="C738" s="110"/>
      <c r="D738" s="110"/>
      <c r="E738" s="110"/>
      <c r="F738" s="110"/>
      <c r="G738" s="110"/>
      <c r="I738" s="110"/>
    </row>
    <row r="739" ht="14.25" customHeight="1">
      <c r="B739" s="110"/>
      <c r="C739" s="110"/>
      <c r="D739" s="110"/>
      <c r="E739" s="110"/>
      <c r="F739" s="110"/>
      <c r="G739" s="110"/>
      <c r="I739" s="110"/>
    </row>
    <row r="740" ht="14.25" customHeight="1">
      <c r="B740" s="110"/>
      <c r="C740" s="110"/>
      <c r="D740" s="110"/>
      <c r="E740" s="110"/>
      <c r="F740" s="110"/>
      <c r="G740" s="110"/>
      <c r="I740" s="110"/>
    </row>
    <row r="741" ht="14.25" customHeight="1">
      <c r="B741" s="110"/>
      <c r="C741" s="110"/>
      <c r="D741" s="110"/>
      <c r="E741" s="110"/>
      <c r="F741" s="110"/>
      <c r="G741" s="110"/>
      <c r="I741" s="110"/>
    </row>
    <row r="742" ht="14.25" customHeight="1">
      <c r="B742" s="110"/>
      <c r="C742" s="110"/>
      <c r="D742" s="110"/>
      <c r="E742" s="110"/>
      <c r="F742" s="110"/>
      <c r="G742" s="110"/>
      <c r="I742" s="110"/>
    </row>
    <row r="743" ht="14.25" customHeight="1">
      <c r="B743" s="110"/>
      <c r="C743" s="110"/>
      <c r="D743" s="110"/>
      <c r="E743" s="110"/>
      <c r="F743" s="110"/>
      <c r="G743" s="110"/>
      <c r="I743" s="110"/>
    </row>
    <row r="744" ht="14.25" customHeight="1">
      <c r="B744" s="110"/>
      <c r="C744" s="110"/>
      <c r="D744" s="110"/>
      <c r="E744" s="110"/>
      <c r="F744" s="110"/>
      <c r="G744" s="110"/>
      <c r="I744" s="110"/>
    </row>
    <row r="745" ht="14.25" customHeight="1">
      <c r="B745" s="110"/>
      <c r="C745" s="110"/>
      <c r="D745" s="110"/>
      <c r="E745" s="110"/>
      <c r="F745" s="110"/>
      <c r="G745" s="110"/>
      <c r="I745" s="110"/>
    </row>
    <row r="746" ht="14.25" customHeight="1">
      <c r="B746" s="110"/>
      <c r="C746" s="110"/>
      <c r="D746" s="110"/>
      <c r="E746" s="110"/>
      <c r="F746" s="110"/>
      <c r="G746" s="110"/>
      <c r="I746" s="110"/>
    </row>
    <row r="747" ht="14.25" customHeight="1">
      <c r="B747" s="110"/>
      <c r="C747" s="110"/>
      <c r="D747" s="110"/>
      <c r="E747" s="110"/>
      <c r="F747" s="110"/>
      <c r="G747" s="110"/>
      <c r="I747" s="110"/>
    </row>
    <row r="748" ht="14.25" customHeight="1">
      <c r="B748" s="110"/>
      <c r="C748" s="110"/>
      <c r="D748" s="110"/>
      <c r="E748" s="110"/>
      <c r="F748" s="110"/>
      <c r="G748" s="110"/>
      <c r="I748" s="110"/>
    </row>
    <row r="749" ht="14.25" customHeight="1">
      <c r="B749" s="110"/>
      <c r="C749" s="110"/>
      <c r="D749" s="110"/>
      <c r="E749" s="110"/>
      <c r="F749" s="110"/>
      <c r="G749" s="110"/>
      <c r="I749" s="110"/>
    </row>
    <row r="750" ht="14.25" customHeight="1">
      <c r="B750" s="110"/>
      <c r="C750" s="110"/>
      <c r="D750" s="110"/>
      <c r="E750" s="110"/>
      <c r="F750" s="110"/>
      <c r="G750" s="110"/>
      <c r="I750" s="110"/>
    </row>
    <row r="751" ht="14.25" customHeight="1">
      <c r="B751" s="110"/>
      <c r="C751" s="110"/>
      <c r="D751" s="110"/>
      <c r="E751" s="110"/>
      <c r="F751" s="110"/>
      <c r="G751" s="110"/>
      <c r="I751" s="110"/>
    </row>
    <row r="752" ht="14.25" customHeight="1">
      <c r="B752" s="110"/>
      <c r="C752" s="110"/>
      <c r="D752" s="110"/>
      <c r="E752" s="110"/>
      <c r="F752" s="110"/>
      <c r="G752" s="110"/>
      <c r="I752" s="110"/>
    </row>
    <row r="753" ht="14.25" customHeight="1">
      <c r="B753" s="110"/>
      <c r="C753" s="110"/>
      <c r="D753" s="110"/>
      <c r="E753" s="110"/>
      <c r="F753" s="110"/>
      <c r="G753" s="110"/>
      <c r="I753" s="110"/>
    </row>
    <row r="754" ht="14.25" customHeight="1">
      <c r="B754" s="110"/>
      <c r="C754" s="110"/>
      <c r="D754" s="110"/>
      <c r="E754" s="110"/>
      <c r="F754" s="110"/>
      <c r="G754" s="110"/>
      <c r="I754" s="110"/>
    </row>
    <row r="755" ht="14.25" customHeight="1">
      <c r="B755" s="110"/>
      <c r="C755" s="110"/>
      <c r="D755" s="110"/>
      <c r="E755" s="110"/>
      <c r="F755" s="110"/>
      <c r="G755" s="110"/>
      <c r="I755" s="110"/>
    </row>
    <row r="756" ht="14.25" customHeight="1">
      <c r="B756" s="110"/>
      <c r="C756" s="110"/>
      <c r="D756" s="110"/>
      <c r="E756" s="110"/>
      <c r="F756" s="110"/>
      <c r="G756" s="110"/>
      <c r="I756" s="110"/>
    </row>
    <row r="757" ht="14.25" customHeight="1">
      <c r="B757" s="110"/>
      <c r="C757" s="110"/>
      <c r="D757" s="110"/>
      <c r="E757" s="110"/>
      <c r="F757" s="110"/>
      <c r="G757" s="110"/>
      <c r="I757" s="110"/>
    </row>
    <row r="758" ht="14.25" customHeight="1">
      <c r="B758" s="110"/>
      <c r="C758" s="110"/>
      <c r="D758" s="110"/>
      <c r="E758" s="110"/>
      <c r="F758" s="110"/>
      <c r="G758" s="110"/>
      <c r="I758" s="110"/>
    </row>
    <row r="759" ht="14.25" customHeight="1">
      <c r="B759" s="110"/>
      <c r="C759" s="110"/>
      <c r="D759" s="110"/>
      <c r="E759" s="110"/>
      <c r="F759" s="110"/>
      <c r="G759" s="110"/>
      <c r="I759" s="110"/>
    </row>
    <row r="760" ht="14.25" customHeight="1">
      <c r="B760" s="110"/>
      <c r="C760" s="110"/>
      <c r="D760" s="110"/>
      <c r="E760" s="110"/>
      <c r="F760" s="110"/>
      <c r="G760" s="110"/>
      <c r="I760" s="110"/>
    </row>
    <row r="761" ht="14.25" customHeight="1">
      <c r="B761" s="110"/>
      <c r="C761" s="110"/>
      <c r="D761" s="110"/>
      <c r="E761" s="110"/>
      <c r="F761" s="110"/>
      <c r="G761" s="110"/>
      <c r="I761" s="110"/>
    </row>
    <row r="762" ht="14.25" customHeight="1">
      <c r="B762" s="110"/>
      <c r="C762" s="110"/>
      <c r="D762" s="110"/>
      <c r="E762" s="110"/>
      <c r="F762" s="110"/>
      <c r="G762" s="110"/>
      <c r="I762" s="110"/>
    </row>
    <row r="763" ht="14.25" customHeight="1">
      <c r="B763" s="110"/>
      <c r="C763" s="110"/>
      <c r="D763" s="110"/>
      <c r="E763" s="110"/>
      <c r="F763" s="110"/>
      <c r="G763" s="110"/>
      <c r="I763" s="110"/>
    </row>
    <row r="764" ht="14.25" customHeight="1">
      <c r="B764" s="110"/>
      <c r="C764" s="110"/>
      <c r="D764" s="110"/>
      <c r="E764" s="110"/>
      <c r="F764" s="110"/>
      <c r="G764" s="110"/>
      <c r="I764" s="110"/>
    </row>
    <row r="765" ht="14.25" customHeight="1">
      <c r="B765" s="110"/>
      <c r="C765" s="110"/>
      <c r="D765" s="110"/>
      <c r="E765" s="110"/>
      <c r="F765" s="110"/>
      <c r="G765" s="110"/>
      <c r="I765" s="110"/>
    </row>
    <row r="766" ht="14.25" customHeight="1">
      <c r="B766" s="110"/>
      <c r="C766" s="110"/>
      <c r="D766" s="110"/>
      <c r="E766" s="110"/>
      <c r="F766" s="110"/>
      <c r="G766" s="110"/>
      <c r="I766" s="110"/>
    </row>
    <row r="767" ht="14.25" customHeight="1">
      <c r="B767" s="110"/>
      <c r="C767" s="110"/>
      <c r="D767" s="110"/>
      <c r="E767" s="110"/>
      <c r="F767" s="110"/>
      <c r="G767" s="110"/>
      <c r="I767" s="110"/>
    </row>
    <row r="768" ht="14.25" customHeight="1">
      <c r="B768" s="110"/>
      <c r="C768" s="110"/>
      <c r="D768" s="110"/>
      <c r="E768" s="110"/>
      <c r="F768" s="110"/>
      <c r="G768" s="110"/>
      <c r="I768" s="110"/>
    </row>
    <row r="769" ht="14.25" customHeight="1">
      <c r="B769" s="110"/>
      <c r="C769" s="110"/>
      <c r="D769" s="110"/>
      <c r="E769" s="110"/>
      <c r="F769" s="110"/>
      <c r="G769" s="110"/>
      <c r="I769" s="110"/>
    </row>
    <row r="770" ht="14.25" customHeight="1">
      <c r="B770" s="110"/>
      <c r="C770" s="110"/>
      <c r="D770" s="110"/>
      <c r="E770" s="110"/>
      <c r="F770" s="110"/>
      <c r="G770" s="110"/>
      <c r="I770" s="110"/>
    </row>
    <row r="771" ht="14.25" customHeight="1">
      <c r="B771" s="110"/>
      <c r="C771" s="110"/>
      <c r="D771" s="110"/>
      <c r="E771" s="110"/>
      <c r="F771" s="110"/>
      <c r="G771" s="110"/>
      <c r="I771" s="110"/>
    </row>
    <row r="772" ht="14.25" customHeight="1">
      <c r="B772" s="110"/>
      <c r="C772" s="110"/>
      <c r="D772" s="110"/>
      <c r="E772" s="110"/>
      <c r="F772" s="110"/>
      <c r="G772" s="110"/>
      <c r="I772" s="110"/>
    </row>
    <row r="773" ht="14.25" customHeight="1">
      <c r="B773" s="110"/>
      <c r="C773" s="110"/>
      <c r="D773" s="110"/>
      <c r="E773" s="110"/>
      <c r="F773" s="110"/>
      <c r="G773" s="110"/>
      <c r="I773" s="110"/>
    </row>
    <row r="774" ht="14.25" customHeight="1">
      <c r="B774" s="110"/>
      <c r="C774" s="110"/>
      <c r="D774" s="110"/>
      <c r="E774" s="110"/>
      <c r="F774" s="110"/>
      <c r="G774" s="110"/>
      <c r="I774" s="110"/>
    </row>
    <row r="775" ht="14.25" customHeight="1">
      <c r="B775" s="110"/>
      <c r="C775" s="110"/>
      <c r="D775" s="110"/>
      <c r="E775" s="110"/>
      <c r="F775" s="110"/>
      <c r="G775" s="110"/>
      <c r="I775" s="110"/>
    </row>
    <row r="776" ht="14.25" customHeight="1">
      <c r="B776" s="110"/>
      <c r="C776" s="110"/>
      <c r="D776" s="110"/>
      <c r="E776" s="110"/>
      <c r="F776" s="110"/>
      <c r="G776" s="110"/>
      <c r="I776" s="110"/>
    </row>
    <row r="777" ht="14.25" customHeight="1">
      <c r="B777" s="110"/>
      <c r="C777" s="110"/>
      <c r="D777" s="110"/>
      <c r="E777" s="110"/>
      <c r="F777" s="110"/>
      <c r="G777" s="110"/>
      <c r="I777" s="110"/>
    </row>
    <row r="778" ht="14.25" customHeight="1">
      <c r="B778" s="110"/>
      <c r="C778" s="110"/>
      <c r="D778" s="110"/>
      <c r="E778" s="110"/>
      <c r="F778" s="110"/>
      <c r="G778" s="110"/>
      <c r="I778" s="110"/>
    </row>
    <row r="779" ht="14.25" customHeight="1">
      <c r="B779" s="110"/>
      <c r="C779" s="110"/>
      <c r="D779" s="110"/>
      <c r="E779" s="110"/>
      <c r="F779" s="110"/>
      <c r="G779" s="110"/>
      <c r="I779" s="110"/>
    </row>
    <row r="780" ht="14.25" customHeight="1">
      <c r="B780" s="110"/>
      <c r="C780" s="110"/>
      <c r="D780" s="110"/>
      <c r="E780" s="110"/>
      <c r="F780" s="110"/>
      <c r="G780" s="110"/>
      <c r="I780" s="110"/>
    </row>
    <row r="781" ht="14.25" customHeight="1">
      <c r="B781" s="110"/>
      <c r="C781" s="110"/>
      <c r="D781" s="110"/>
      <c r="E781" s="110"/>
      <c r="F781" s="110"/>
      <c r="G781" s="110"/>
      <c r="I781" s="110"/>
    </row>
    <row r="782" ht="14.25" customHeight="1">
      <c r="B782" s="110"/>
      <c r="C782" s="110"/>
      <c r="D782" s="110"/>
      <c r="E782" s="110"/>
      <c r="F782" s="110"/>
      <c r="G782" s="110"/>
      <c r="I782" s="110"/>
    </row>
    <row r="783" ht="14.25" customHeight="1">
      <c r="B783" s="110"/>
      <c r="C783" s="110"/>
      <c r="D783" s="110"/>
      <c r="E783" s="110"/>
      <c r="F783" s="110"/>
      <c r="G783" s="110"/>
      <c r="I783" s="110"/>
    </row>
    <row r="784" ht="14.25" customHeight="1">
      <c r="B784" s="110"/>
      <c r="C784" s="110"/>
      <c r="D784" s="110"/>
      <c r="E784" s="110"/>
      <c r="F784" s="110"/>
      <c r="G784" s="110"/>
      <c r="I784" s="110"/>
    </row>
    <row r="785" ht="14.25" customHeight="1">
      <c r="B785" s="110"/>
      <c r="C785" s="110"/>
      <c r="D785" s="110"/>
      <c r="E785" s="110"/>
      <c r="F785" s="110"/>
      <c r="G785" s="110"/>
      <c r="I785" s="110"/>
    </row>
    <row r="786" ht="14.25" customHeight="1">
      <c r="B786" s="110"/>
      <c r="C786" s="110"/>
      <c r="D786" s="110"/>
      <c r="E786" s="110"/>
      <c r="F786" s="110"/>
      <c r="G786" s="110"/>
      <c r="I786" s="110"/>
    </row>
    <row r="787" ht="14.25" customHeight="1">
      <c r="B787" s="110"/>
      <c r="C787" s="110"/>
      <c r="D787" s="110"/>
      <c r="E787" s="110"/>
      <c r="F787" s="110"/>
      <c r="G787" s="110"/>
      <c r="I787" s="110"/>
    </row>
    <row r="788" ht="14.25" customHeight="1">
      <c r="B788" s="110"/>
      <c r="C788" s="110"/>
      <c r="D788" s="110"/>
      <c r="E788" s="110"/>
      <c r="F788" s="110"/>
      <c r="G788" s="110"/>
      <c r="I788" s="110"/>
    </row>
    <row r="789" ht="14.25" customHeight="1">
      <c r="B789" s="110"/>
      <c r="C789" s="110"/>
      <c r="D789" s="110"/>
      <c r="E789" s="110"/>
      <c r="F789" s="110"/>
      <c r="G789" s="110"/>
      <c r="I789" s="110"/>
    </row>
    <row r="790" ht="14.25" customHeight="1">
      <c r="B790" s="110"/>
      <c r="C790" s="110"/>
      <c r="D790" s="110"/>
      <c r="E790" s="110"/>
      <c r="F790" s="110"/>
      <c r="G790" s="110"/>
      <c r="I790" s="110"/>
    </row>
    <row r="791" ht="14.25" customHeight="1">
      <c r="B791" s="110"/>
      <c r="C791" s="110"/>
      <c r="D791" s="110"/>
      <c r="E791" s="110"/>
      <c r="F791" s="110"/>
      <c r="G791" s="110"/>
      <c r="I791" s="110"/>
    </row>
    <row r="792" ht="14.25" customHeight="1">
      <c r="B792" s="110"/>
      <c r="C792" s="110"/>
      <c r="D792" s="110"/>
      <c r="E792" s="110"/>
      <c r="F792" s="110"/>
      <c r="G792" s="110"/>
      <c r="I792" s="110"/>
    </row>
    <row r="793" ht="14.25" customHeight="1">
      <c r="B793" s="110"/>
      <c r="C793" s="110"/>
      <c r="D793" s="110"/>
      <c r="E793" s="110"/>
      <c r="F793" s="110"/>
      <c r="G793" s="110"/>
      <c r="I793" s="110"/>
    </row>
    <row r="794" ht="14.25" customHeight="1">
      <c r="B794" s="110"/>
      <c r="C794" s="110"/>
      <c r="D794" s="110"/>
      <c r="E794" s="110"/>
      <c r="F794" s="110"/>
      <c r="G794" s="110"/>
      <c r="I794" s="110"/>
    </row>
    <row r="795" ht="14.25" customHeight="1">
      <c r="B795" s="110"/>
      <c r="C795" s="110"/>
      <c r="D795" s="110"/>
      <c r="E795" s="110"/>
      <c r="F795" s="110"/>
      <c r="G795" s="110"/>
      <c r="I795" s="110"/>
    </row>
    <row r="796" ht="14.25" customHeight="1">
      <c r="B796" s="110"/>
      <c r="C796" s="110"/>
      <c r="D796" s="110"/>
      <c r="E796" s="110"/>
      <c r="F796" s="110"/>
      <c r="G796" s="110"/>
      <c r="I796" s="110"/>
    </row>
    <row r="797" ht="14.25" customHeight="1">
      <c r="B797" s="110"/>
      <c r="C797" s="110"/>
      <c r="D797" s="110"/>
      <c r="E797" s="110"/>
      <c r="F797" s="110"/>
      <c r="G797" s="110"/>
      <c r="I797" s="110"/>
    </row>
    <row r="798" ht="14.25" customHeight="1">
      <c r="B798" s="110"/>
      <c r="C798" s="110"/>
      <c r="D798" s="110"/>
      <c r="E798" s="110"/>
      <c r="F798" s="110"/>
      <c r="G798" s="110"/>
      <c r="I798" s="110"/>
    </row>
    <row r="799" ht="14.25" customHeight="1">
      <c r="B799" s="110"/>
      <c r="C799" s="110"/>
      <c r="D799" s="110"/>
      <c r="E799" s="110"/>
      <c r="F799" s="110"/>
      <c r="G799" s="110"/>
      <c r="I799" s="110"/>
    </row>
    <row r="800" ht="14.25" customHeight="1">
      <c r="B800" s="110"/>
      <c r="C800" s="110"/>
      <c r="D800" s="110"/>
      <c r="E800" s="110"/>
      <c r="F800" s="110"/>
      <c r="G800" s="110"/>
      <c r="I800" s="110"/>
    </row>
    <row r="801" ht="14.25" customHeight="1">
      <c r="B801" s="110"/>
      <c r="C801" s="110"/>
      <c r="D801" s="110"/>
      <c r="E801" s="110"/>
      <c r="F801" s="110"/>
      <c r="G801" s="110"/>
      <c r="I801" s="110"/>
    </row>
    <row r="802" ht="14.25" customHeight="1">
      <c r="B802" s="110"/>
      <c r="C802" s="110"/>
      <c r="D802" s="110"/>
      <c r="E802" s="110"/>
      <c r="F802" s="110"/>
      <c r="G802" s="110"/>
      <c r="I802" s="110"/>
    </row>
    <row r="803" ht="14.25" customHeight="1">
      <c r="B803" s="110"/>
      <c r="C803" s="110"/>
      <c r="D803" s="110"/>
      <c r="E803" s="110"/>
      <c r="F803" s="110"/>
      <c r="G803" s="110"/>
      <c r="I803" s="110"/>
    </row>
    <row r="804" ht="14.25" customHeight="1">
      <c r="B804" s="110"/>
      <c r="C804" s="110"/>
      <c r="D804" s="110"/>
      <c r="E804" s="110"/>
      <c r="F804" s="110"/>
      <c r="G804" s="110"/>
      <c r="I804" s="110"/>
    </row>
    <row r="805" ht="14.25" customHeight="1">
      <c r="B805" s="110"/>
      <c r="C805" s="110"/>
      <c r="D805" s="110"/>
      <c r="E805" s="110"/>
      <c r="F805" s="110"/>
      <c r="G805" s="110"/>
      <c r="I805" s="110"/>
    </row>
    <row r="806" ht="14.25" customHeight="1">
      <c r="B806" s="110"/>
      <c r="C806" s="110"/>
      <c r="D806" s="110"/>
      <c r="E806" s="110"/>
      <c r="F806" s="110"/>
      <c r="G806" s="110"/>
      <c r="I806" s="110"/>
    </row>
    <row r="807" ht="14.25" customHeight="1">
      <c r="B807" s="110"/>
      <c r="C807" s="110"/>
      <c r="D807" s="110"/>
      <c r="E807" s="110"/>
      <c r="F807" s="110"/>
      <c r="G807" s="110"/>
      <c r="I807" s="110"/>
    </row>
    <row r="808" ht="14.25" customHeight="1">
      <c r="B808" s="110"/>
      <c r="C808" s="110"/>
      <c r="D808" s="110"/>
      <c r="E808" s="110"/>
      <c r="F808" s="110"/>
      <c r="G808" s="110"/>
      <c r="I808" s="110"/>
    </row>
    <row r="809" ht="14.25" customHeight="1">
      <c r="B809" s="110"/>
      <c r="C809" s="110"/>
      <c r="D809" s="110"/>
      <c r="E809" s="110"/>
      <c r="F809" s="110"/>
      <c r="G809" s="110"/>
      <c r="I809" s="110"/>
    </row>
    <row r="810" ht="14.25" customHeight="1">
      <c r="B810" s="110"/>
      <c r="C810" s="110"/>
      <c r="D810" s="110"/>
      <c r="E810" s="110"/>
      <c r="F810" s="110"/>
      <c r="G810" s="110"/>
      <c r="I810" s="110"/>
    </row>
    <row r="811" ht="14.25" customHeight="1">
      <c r="B811" s="110"/>
      <c r="C811" s="110"/>
      <c r="D811" s="110"/>
      <c r="E811" s="110"/>
      <c r="F811" s="110"/>
      <c r="G811" s="110"/>
      <c r="I811" s="110"/>
    </row>
    <row r="812" ht="14.25" customHeight="1">
      <c r="B812" s="110"/>
      <c r="C812" s="110"/>
      <c r="D812" s="110"/>
      <c r="E812" s="110"/>
      <c r="F812" s="110"/>
      <c r="G812" s="110"/>
      <c r="I812" s="110"/>
    </row>
    <row r="813" ht="14.25" customHeight="1">
      <c r="B813" s="110"/>
      <c r="C813" s="110"/>
      <c r="D813" s="110"/>
      <c r="E813" s="110"/>
      <c r="F813" s="110"/>
      <c r="G813" s="110"/>
      <c r="I813" s="110"/>
    </row>
    <row r="814" ht="14.25" customHeight="1">
      <c r="B814" s="110"/>
      <c r="C814" s="110"/>
      <c r="D814" s="110"/>
      <c r="E814" s="110"/>
      <c r="F814" s="110"/>
      <c r="G814" s="110"/>
      <c r="I814" s="110"/>
    </row>
    <row r="815" ht="14.25" customHeight="1">
      <c r="B815" s="110"/>
      <c r="C815" s="110"/>
      <c r="D815" s="110"/>
      <c r="E815" s="110"/>
      <c r="F815" s="110"/>
      <c r="G815" s="110"/>
      <c r="I815" s="110"/>
    </row>
    <row r="816" ht="14.25" customHeight="1">
      <c r="B816" s="110"/>
      <c r="C816" s="110"/>
      <c r="D816" s="110"/>
      <c r="E816" s="110"/>
      <c r="F816" s="110"/>
      <c r="G816" s="110"/>
      <c r="I816" s="110"/>
    </row>
    <row r="817" ht="14.25" customHeight="1">
      <c r="B817" s="110"/>
      <c r="C817" s="110"/>
      <c r="D817" s="110"/>
      <c r="E817" s="110"/>
      <c r="F817" s="110"/>
      <c r="G817" s="110"/>
      <c r="I817" s="110"/>
    </row>
    <row r="818" ht="14.25" customHeight="1">
      <c r="B818" s="110"/>
      <c r="C818" s="110"/>
      <c r="D818" s="110"/>
      <c r="E818" s="110"/>
      <c r="F818" s="110"/>
      <c r="G818" s="110"/>
      <c r="I818" s="110"/>
    </row>
    <row r="819" ht="14.25" customHeight="1">
      <c r="B819" s="110"/>
      <c r="C819" s="110"/>
      <c r="D819" s="110"/>
      <c r="E819" s="110"/>
      <c r="F819" s="110"/>
      <c r="G819" s="110"/>
      <c r="I819" s="110"/>
    </row>
    <row r="820" ht="14.25" customHeight="1">
      <c r="B820" s="110"/>
      <c r="C820" s="110"/>
      <c r="D820" s="110"/>
      <c r="E820" s="110"/>
      <c r="F820" s="110"/>
      <c r="G820" s="110"/>
      <c r="I820" s="110"/>
    </row>
    <row r="821" ht="14.25" customHeight="1">
      <c r="B821" s="110"/>
      <c r="C821" s="110"/>
      <c r="D821" s="110"/>
      <c r="E821" s="110"/>
      <c r="F821" s="110"/>
      <c r="G821" s="110"/>
      <c r="I821" s="110"/>
    </row>
    <row r="822" ht="14.25" customHeight="1">
      <c r="B822" s="110"/>
      <c r="C822" s="110"/>
      <c r="D822" s="110"/>
      <c r="E822" s="110"/>
      <c r="F822" s="110"/>
      <c r="G822" s="110"/>
      <c r="I822" s="110"/>
    </row>
    <row r="823" ht="14.25" customHeight="1">
      <c r="B823" s="110"/>
      <c r="C823" s="110"/>
      <c r="D823" s="110"/>
      <c r="E823" s="110"/>
      <c r="F823" s="110"/>
      <c r="G823" s="110"/>
      <c r="I823" s="110"/>
    </row>
    <row r="824" ht="14.25" customHeight="1">
      <c r="B824" s="110"/>
      <c r="C824" s="110"/>
      <c r="D824" s="110"/>
      <c r="E824" s="110"/>
      <c r="F824" s="110"/>
      <c r="G824" s="110"/>
      <c r="I824" s="110"/>
    </row>
    <row r="825" ht="14.25" customHeight="1">
      <c r="B825" s="110"/>
      <c r="C825" s="110"/>
      <c r="D825" s="110"/>
      <c r="E825" s="110"/>
      <c r="F825" s="110"/>
      <c r="G825" s="110"/>
      <c r="I825" s="110"/>
    </row>
    <row r="826" ht="14.25" customHeight="1">
      <c r="B826" s="110"/>
      <c r="C826" s="110"/>
      <c r="D826" s="110"/>
      <c r="E826" s="110"/>
      <c r="F826" s="110"/>
      <c r="G826" s="110"/>
      <c r="I826" s="110"/>
    </row>
    <row r="827" ht="14.25" customHeight="1">
      <c r="B827" s="110"/>
      <c r="C827" s="110"/>
      <c r="D827" s="110"/>
      <c r="E827" s="110"/>
      <c r="F827" s="110"/>
      <c r="G827" s="110"/>
      <c r="I827" s="110"/>
    </row>
    <row r="828" ht="14.25" customHeight="1">
      <c r="B828" s="110"/>
      <c r="C828" s="110"/>
      <c r="D828" s="110"/>
      <c r="E828" s="110"/>
      <c r="F828" s="110"/>
      <c r="G828" s="110"/>
      <c r="I828" s="110"/>
    </row>
    <row r="829" ht="14.25" customHeight="1">
      <c r="B829" s="110"/>
      <c r="C829" s="110"/>
      <c r="D829" s="110"/>
      <c r="E829" s="110"/>
      <c r="F829" s="110"/>
      <c r="G829" s="110"/>
      <c r="I829" s="110"/>
    </row>
    <row r="830" ht="14.25" customHeight="1">
      <c r="B830" s="110"/>
      <c r="C830" s="110"/>
      <c r="D830" s="110"/>
      <c r="E830" s="110"/>
      <c r="F830" s="110"/>
      <c r="G830" s="110"/>
      <c r="I830" s="110"/>
    </row>
    <row r="831" ht="14.25" customHeight="1">
      <c r="B831" s="110"/>
      <c r="C831" s="110"/>
      <c r="D831" s="110"/>
      <c r="E831" s="110"/>
      <c r="F831" s="110"/>
      <c r="G831" s="110"/>
      <c r="I831" s="110"/>
    </row>
    <row r="832" ht="14.25" customHeight="1">
      <c r="B832" s="110"/>
      <c r="C832" s="110"/>
      <c r="D832" s="110"/>
      <c r="E832" s="110"/>
      <c r="F832" s="110"/>
      <c r="G832" s="110"/>
      <c r="I832" s="110"/>
    </row>
    <row r="833" ht="14.25" customHeight="1">
      <c r="B833" s="110"/>
      <c r="C833" s="110"/>
      <c r="D833" s="110"/>
      <c r="E833" s="110"/>
      <c r="F833" s="110"/>
      <c r="G833" s="110"/>
      <c r="I833" s="110"/>
    </row>
    <row r="834" ht="14.25" customHeight="1">
      <c r="B834" s="110"/>
      <c r="C834" s="110"/>
      <c r="D834" s="110"/>
      <c r="E834" s="110"/>
      <c r="F834" s="110"/>
      <c r="G834" s="110"/>
      <c r="I834" s="110"/>
    </row>
    <row r="835" ht="14.25" customHeight="1">
      <c r="B835" s="110"/>
      <c r="C835" s="110"/>
      <c r="D835" s="110"/>
      <c r="E835" s="110"/>
      <c r="F835" s="110"/>
      <c r="G835" s="110"/>
      <c r="I835" s="110"/>
    </row>
    <row r="836" ht="14.25" customHeight="1">
      <c r="B836" s="110"/>
      <c r="C836" s="110"/>
      <c r="D836" s="110"/>
      <c r="E836" s="110"/>
      <c r="F836" s="110"/>
      <c r="G836" s="110"/>
      <c r="I836" s="110"/>
    </row>
    <row r="837" ht="14.25" customHeight="1">
      <c r="B837" s="110"/>
      <c r="C837" s="110"/>
      <c r="D837" s="110"/>
      <c r="E837" s="110"/>
      <c r="F837" s="110"/>
      <c r="G837" s="110"/>
      <c r="I837" s="110"/>
    </row>
    <row r="838" ht="14.25" customHeight="1">
      <c r="B838" s="110"/>
      <c r="C838" s="110"/>
      <c r="D838" s="110"/>
      <c r="E838" s="110"/>
      <c r="F838" s="110"/>
      <c r="G838" s="110"/>
      <c r="I838" s="110"/>
    </row>
    <row r="839" ht="14.25" customHeight="1">
      <c r="B839" s="110"/>
      <c r="C839" s="110"/>
      <c r="D839" s="110"/>
      <c r="E839" s="110"/>
      <c r="F839" s="110"/>
      <c r="G839" s="110"/>
      <c r="I839" s="110"/>
    </row>
    <row r="840" ht="14.25" customHeight="1">
      <c r="B840" s="110"/>
      <c r="C840" s="110"/>
      <c r="D840" s="110"/>
      <c r="E840" s="110"/>
      <c r="F840" s="110"/>
      <c r="G840" s="110"/>
      <c r="I840" s="110"/>
    </row>
    <row r="841" ht="14.25" customHeight="1">
      <c r="B841" s="110"/>
      <c r="C841" s="110"/>
      <c r="D841" s="110"/>
      <c r="E841" s="110"/>
      <c r="F841" s="110"/>
      <c r="G841" s="110"/>
      <c r="I841" s="110"/>
    </row>
    <row r="842" ht="14.25" customHeight="1">
      <c r="B842" s="110"/>
      <c r="C842" s="110"/>
      <c r="D842" s="110"/>
      <c r="E842" s="110"/>
      <c r="F842" s="110"/>
      <c r="G842" s="110"/>
      <c r="I842" s="110"/>
    </row>
    <row r="843" ht="14.25" customHeight="1">
      <c r="B843" s="110"/>
      <c r="C843" s="110"/>
      <c r="D843" s="110"/>
      <c r="E843" s="110"/>
      <c r="F843" s="110"/>
      <c r="G843" s="110"/>
      <c r="I843" s="110"/>
    </row>
    <row r="844" ht="14.25" customHeight="1">
      <c r="B844" s="110"/>
      <c r="C844" s="110"/>
      <c r="D844" s="110"/>
      <c r="E844" s="110"/>
      <c r="F844" s="110"/>
      <c r="G844" s="110"/>
      <c r="I844" s="110"/>
    </row>
    <row r="845" ht="14.25" customHeight="1">
      <c r="B845" s="110"/>
      <c r="C845" s="110"/>
      <c r="D845" s="110"/>
      <c r="E845" s="110"/>
      <c r="F845" s="110"/>
      <c r="G845" s="110"/>
      <c r="I845" s="110"/>
    </row>
    <row r="846" ht="14.25" customHeight="1">
      <c r="B846" s="110"/>
      <c r="C846" s="110"/>
      <c r="D846" s="110"/>
      <c r="E846" s="110"/>
      <c r="F846" s="110"/>
      <c r="G846" s="110"/>
      <c r="I846" s="110"/>
    </row>
    <row r="847" ht="14.25" customHeight="1">
      <c r="B847" s="110"/>
      <c r="C847" s="110"/>
      <c r="D847" s="110"/>
      <c r="E847" s="110"/>
      <c r="F847" s="110"/>
      <c r="G847" s="110"/>
      <c r="I847" s="110"/>
    </row>
    <row r="848" ht="14.25" customHeight="1">
      <c r="B848" s="110"/>
      <c r="C848" s="110"/>
      <c r="D848" s="110"/>
      <c r="E848" s="110"/>
      <c r="F848" s="110"/>
      <c r="G848" s="110"/>
      <c r="I848" s="110"/>
    </row>
    <row r="849" ht="14.25" customHeight="1">
      <c r="B849" s="110"/>
      <c r="C849" s="110"/>
      <c r="D849" s="110"/>
      <c r="E849" s="110"/>
      <c r="F849" s="110"/>
      <c r="G849" s="110"/>
      <c r="I849" s="110"/>
    </row>
    <row r="850" ht="14.25" customHeight="1">
      <c r="B850" s="110"/>
      <c r="C850" s="110"/>
      <c r="D850" s="110"/>
      <c r="E850" s="110"/>
      <c r="F850" s="110"/>
      <c r="G850" s="110"/>
      <c r="I850" s="110"/>
    </row>
    <row r="851" ht="14.25" customHeight="1">
      <c r="B851" s="110"/>
      <c r="C851" s="110"/>
      <c r="D851" s="110"/>
      <c r="E851" s="110"/>
      <c r="F851" s="110"/>
      <c r="G851" s="110"/>
      <c r="I851" s="110"/>
    </row>
    <row r="852" ht="14.25" customHeight="1">
      <c r="B852" s="110"/>
      <c r="C852" s="110"/>
      <c r="D852" s="110"/>
      <c r="E852" s="110"/>
      <c r="F852" s="110"/>
      <c r="G852" s="110"/>
      <c r="I852" s="110"/>
    </row>
    <row r="853" ht="14.25" customHeight="1">
      <c r="B853" s="110"/>
      <c r="C853" s="110"/>
      <c r="D853" s="110"/>
      <c r="E853" s="110"/>
      <c r="F853" s="110"/>
      <c r="G853" s="110"/>
      <c r="I853" s="110"/>
    </row>
    <row r="854" ht="14.25" customHeight="1">
      <c r="B854" s="110"/>
      <c r="C854" s="110"/>
      <c r="D854" s="110"/>
      <c r="E854" s="110"/>
      <c r="F854" s="110"/>
      <c r="G854" s="110"/>
      <c r="I854" s="110"/>
    </row>
    <row r="855" ht="14.25" customHeight="1">
      <c r="B855" s="110"/>
      <c r="C855" s="110"/>
      <c r="D855" s="110"/>
      <c r="E855" s="110"/>
      <c r="F855" s="110"/>
      <c r="G855" s="110"/>
      <c r="I855" s="110"/>
    </row>
    <row r="856" ht="14.25" customHeight="1">
      <c r="B856" s="110"/>
      <c r="C856" s="110"/>
      <c r="D856" s="110"/>
      <c r="E856" s="110"/>
      <c r="F856" s="110"/>
      <c r="G856" s="110"/>
      <c r="I856" s="110"/>
    </row>
    <row r="857" ht="14.25" customHeight="1">
      <c r="B857" s="110"/>
      <c r="C857" s="110"/>
      <c r="D857" s="110"/>
      <c r="E857" s="110"/>
      <c r="F857" s="110"/>
      <c r="G857" s="110"/>
      <c r="I857" s="110"/>
    </row>
    <row r="858" ht="14.25" customHeight="1">
      <c r="B858" s="110"/>
      <c r="C858" s="110"/>
      <c r="D858" s="110"/>
      <c r="E858" s="110"/>
      <c r="F858" s="110"/>
      <c r="G858" s="110"/>
      <c r="I858" s="110"/>
    </row>
    <row r="859" ht="14.25" customHeight="1">
      <c r="B859" s="110"/>
      <c r="C859" s="110"/>
      <c r="D859" s="110"/>
      <c r="E859" s="110"/>
      <c r="F859" s="110"/>
      <c r="G859" s="110"/>
      <c r="I859" s="110"/>
    </row>
    <row r="860" ht="14.25" customHeight="1">
      <c r="B860" s="110"/>
      <c r="C860" s="110"/>
      <c r="D860" s="110"/>
      <c r="E860" s="110"/>
      <c r="F860" s="110"/>
      <c r="G860" s="110"/>
      <c r="I860" s="110"/>
    </row>
    <row r="861" ht="14.25" customHeight="1">
      <c r="B861" s="110"/>
      <c r="C861" s="110"/>
      <c r="D861" s="110"/>
      <c r="E861" s="110"/>
      <c r="F861" s="110"/>
      <c r="G861" s="110"/>
      <c r="I861" s="110"/>
    </row>
    <row r="862" ht="14.25" customHeight="1">
      <c r="B862" s="110"/>
      <c r="C862" s="110"/>
      <c r="D862" s="110"/>
      <c r="E862" s="110"/>
      <c r="F862" s="110"/>
      <c r="G862" s="110"/>
      <c r="I862" s="110"/>
    </row>
    <row r="863" ht="14.25" customHeight="1">
      <c r="B863" s="110"/>
      <c r="C863" s="110"/>
      <c r="D863" s="110"/>
      <c r="E863" s="110"/>
      <c r="F863" s="110"/>
      <c r="G863" s="110"/>
      <c r="I863" s="110"/>
    </row>
    <row r="864" ht="14.25" customHeight="1">
      <c r="B864" s="110"/>
      <c r="C864" s="110"/>
      <c r="D864" s="110"/>
      <c r="E864" s="110"/>
      <c r="F864" s="110"/>
      <c r="G864" s="110"/>
      <c r="I864" s="110"/>
    </row>
    <row r="865" ht="14.25" customHeight="1">
      <c r="B865" s="110"/>
      <c r="C865" s="110"/>
      <c r="D865" s="110"/>
      <c r="E865" s="110"/>
      <c r="F865" s="110"/>
      <c r="G865" s="110"/>
      <c r="I865" s="110"/>
    </row>
    <row r="866" ht="14.25" customHeight="1">
      <c r="B866" s="110"/>
      <c r="C866" s="110"/>
      <c r="D866" s="110"/>
      <c r="E866" s="110"/>
      <c r="F866" s="110"/>
      <c r="G866" s="110"/>
      <c r="I866" s="110"/>
    </row>
    <row r="867" ht="14.25" customHeight="1">
      <c r="B867" s="110"/>
      <c r="C867" s="110"/>
      <c r="D867" s="110"/>
      <c r="E867" s="110"/>
      <c r="F867" s="110"/>
      <c r="G867" s="110"/>
      <c r="I867" s="110"/>
    </row>
    <row r="868" ht="14.25" customHeight="1">
      <c r="B868" s="110"/>
      <c r="C868" s="110"/>
      <c r="D868" s="110"/>
      <c r="E868" s="110"/>
      <c r="F868" s="110"/>
      <c r="G868" s="110"/>
      <c r="I868" s="110"/>
    </row>
    <row r="869" ht="14.25" customHeight="1">
      <c r="B869" s="110"/>
      <c r="C869" s="110"/>
      <c r="D869" s="110"/>
      <c r="E869" s="110"/>
      <c r="F869" s="110"/>
      <c r="G869" s="110"/>
      <c r="I869" s="110"/>
    </row>
    <row r="870" ht="14.25" customHeight="1">
      <c r="B870" s="110"/>
      <c r="C870" s="110"/>
      <c r="D870" s="110"/>
      <c r="E870" s="110"/>
      <c r="F870" s="110"/>
      <c r="G870" s="110"/>
      <c r="I870" s="110"/>
    </row>
    <row r="871" ht="14.25" customHeight="1">
      <c r="B871" s="110"/>
      <c r="C871" s="110"/>
      <c r="D871" s="110"/>
      <c r="E871" s="110"/>
      <c r="F871" s="110"/>
      <c r="G871" s="110"/>
      <c r="I871" s="110"/>
    </row>
    <row r="872" ht="14.25" customHeight="1">
      <c r="B872" s="110"/>
      <c r="C872" s="110"/>
      <c r="D872" s="110"/>
      <c r="E872" s="110"/>
      <c r="F872" s="110"/>
      <c r="G872" s="110"/>
      <c r="I872" s="110"/>
    </row>
    <row r="873" ht="14.25" customHeight="1">
      <c r="B873" s="110"/>
      <c r="C873" s="110"/>
      <c r="D873" s="110"/>
      <c r="E873" s="110"/>
      <c r="F873" s="110"/>
      <c r="G873" s="110"/>
      <c r="I873" s="110"/>
    </row>
    <row r="874" ht="14.25" customHeight="1">
      <c r="B874" s="110"/>
      <c r="C874" s="110"/>
      <c r="D874" s="110"/>
      <c r="E874" s="110"/>
      <c r="F874" s="110"/>
      <c r="G874" s="110"/>
      <c r="I874" s="110"/>
    </row>
    <row r="875" ht="14.25" customHeight="1">
      <c r="B875" s="110"/>
      <c r="C875" s="110"/>
      <c r="D875" s="110"/>
      <c r="E875" s="110"/>
      <c r="F875" s="110"/>
      <c r="G875" s="110"/>
      <c r="I875" s="110"/>
    </row>
    <row r="876" ht="14.25" customHeight="1">
      <c r="B876" s="110"/>
      <c r="C876" s="110"/>
      <c r="D876" s="110"/>
      <c r="E876" s="110"/>
      <c r="F876" s="110"/>
      <c r="G876" s="110"/>
      <c r="I876" s="110"/>
    </row>
    <row r="877" ht="14.25" customHeight="1">
      <c r="B877" s="110"/>
      <c r="C877" s="110"/>
      <c r="D877" s="110"/>
      <c r="E877" s="110"/>
      <c r="F877" s="110"/>
      <c r="G877" s="110"/>
      <c r="I877" s="110"/>
    </row>
    <row r="878" ht="14.25" customHeight="1">
      <c r="B878" s="110"/>
      <c r="C878" s="110"/>
      <c r="D878" s="110"/>
      <c r="E878" s="110"/>
      <c r="F878" s="110"/>
      <c r="G878" s="110"/>
      <c r="I878" s="110"/>
    </row>
    <row r="879" ht="14.25" customHeight="1">
      <c r="B879" s="110"/>
      <c r="C879" s="110"/>
      <c r="D879" s="110"/>
      <c r="E879" s="110"/>
      <c r="F879" s="110"/>
      <c r="G879" s="110"/>
      <c r="I879" s="110"/>
    </row>
    <row r="880" ht="14.25" customHeight="1">
      <c r="B880" s="110"/>
      <c r="C880" s="110"/>
      <c r="D880" s="110"/>
      <c r="E880" s="110"/>
      <c r="F880" s="110"/>
      <c r="G880" s="110"/>
      <c r="I880" s="110"/>
    </row>
    <row r="881" ht="14.25" customHeight="1">
      <c r="B881" s="110"/>
      <c r="C881" s="110"/>
      <c r="D881" s="110"/>
      <c r="E881" s="110"/>
      <c r="F881" s="110"/>
      <c r="G881" s="110"/>
      <c r="I881" s="110"/>
    </row>
    <row r="882" ht="14.25" customHeight="1">
      <c r="B882" s="110"/>
      <c r="C882" s="110"/>
      <c r="D882" s="110"/>
      <c r="E882" s="110"/>
      <c r="F882" s="110"/>
      <c r="G882" s="110"/>
      <c r="I882" s="110"/>
    </row>
    <row r="883" ht="14.25" customHeight="1">
      <c r="B883" s="110"/>
      <c r="C883" s="110"/>
      <c r="D883" s="110"/>
      <c r="E883" s="110"/>
      <c r="F883" s="110"/>
      <c r="G883" s="110"/>
      <c r="I883" s="110"/>
    </row>
    <row r="884" ht="14.25" customHeight="1">
      <c r="B884" s="110"/>
      <c r="C884" s="110"/>
      <c r="D884" s="110"/>
      <c r="E884" s="110"/>
      <c r="F884" s="110"/>
      <c r="G884" s="110"/>
      <c r="I884" s="110"/>
    </row>
    <row r="885" ht="14.25" customHeight="1">
      <c r="B885" s="110"/>
      <c r="C885" s="110"/>
      <c r="D885" s="110"/>
      <c r="E885" s="110"/>
      <c r="F885" s="110"/>
      <c r="G885" s="110"/>
      <c r="I885" s="110"/>
    </row>
    <row r="886" ht="14.25" customHeight="1">
      <c r="B886" s="110"/>
      <c r="C886" s="110"/>
      <c r="D886" s="110"/>
      <c r="E886" s="110"/>
      <c r="F886" s="110"/>
      <c r="G886" s="110"/>
      <c r="I886" s="110"/>
    </row>
    <row r="887" ht="14.25" customHeight="1">
      <c r="B887" s="110"/>
      <c r="C887" s="110"/>
      <c r="D887" s="110"/>
      <c r="E887" s="110"/>
      <c r="F887" s="110"/>
      <c r="G887" s="110"/>
      <c r="I887" s="110"/>
    </row>
    <row r="888" ht="14.25" customHeight="1">
      <c r="B888" s="110"/>
      <c r="C888" s="110"/>
      <c r="D888" s="110"/>
      <c r="E888" s="110"/>
      <c r="F888" s="110"/>
      <c r="G888" s="110"/>
      <c r="I888" s="110"/>
    </row>
    <row r="889" ht="14.25" customHeight="1">
      <c r="B889" s="110"/>
      <c r="C889" s="110"/>
      <c r="D889" s="110"/>
      <c r="E889" s="110"/>
      <c r="F889" s="110"/>
      <c r="G889" s="110"/>
      <c r="I889" s="110"/>
    </row>
    <row r="890" ht="14.25" customHeight="1">
      <c r="B890" s="110"/>
      <c r="C890" s="110"/>
      <c r="D890" s="110"/>
      <c r="E890" s="110"/>
      <c r="F890" s="110"/>
      <c r="G890" s="110"/>
      <c r="I890" s="110"/>
    </row>
    <row r="891" ht="14.25" customHeight="1">
      <c r="B891" s="110"/>
      <c r="C891" s="110"/>
      <c r="D891" s="110"/>
      <c r="E891" s="110"/>
      <c r="F891" s="110"/>
      <c r="G891" s="110"/>
      <c r="I891" s="110"/>
    </row>
    <row r="892" ht="14.25" customHeight="1">
      <c r="B892" s="110"/>
      <c r="C892" s="110"/>
      <c r="D892" s="110"/>
      <c r="E892" s="110"/>
      <c r="F892" s="110"/>
      <c r="G892" s="110"/>
      <c r="I892" s="110"/>
    </row>
    <row r="893" ht="14.25" customHeight="1">
      <c r="B893" s="110"/>
      <c r="C893" s="110"/>
      <c r="D893" s="110"/>
      <c r="E893" s="110"/>
      <c r="F893" s="110"/>
      <c r="G893" s="110"/>
      <c r="I893" s="110"/>
    </row>
    <row r="894" ht="14.25" customHeight="1">
      <c r="B894" s="110"/>
      <c r="C894" s="110"/>
      <c r="D894" s="110"/>
      <c r="E894" s="110"/>
      <c r="F894" s="110"/>
      <c r="G894" s="110"/>
      <c r="I894" s="110"/>
    </row>
    <row r="895" ht="14.25" customHeight="1">
      <c r="B895" s="110"/>
      <c r="C895" s="110"/>
      <c r="D895" s="110"/>
      <c r="E895" s="110"/>
      <c r="F895" s="110"/>
      <c r="G895" s="110"/>
      <c r="I895" s="110"/>
    </row>
    <row r="896" ht="14.25" customHeight="1">
      <c r="B896" s="110"/>
      <c r="C896" s="110"/>
      <c r="D896" s="110"/>
      <c r="E896" s="110"/>
      <c r="F896" s="110"/>
      <c r="G896" s="110"/>
      <c r="I896" s="110"/>
    </row>
    <row r="897" ht="14.25" customHeight="1">
      <c r="B897" s="110"/>
      <c r="C897" s="110"/>
      <c r="D897" s="110"/>
      <c r="E897" s="110"/>
      <c r="F897" s="110"/>
      <c r="G897" s="110"/>
      <c r="I897" s="110"/>
    </row>
    <row r="898" ht="14.25" customHeight="1">
      <c r="B898" s="110"/>
      <c r="C898" s="110"/>
      <c r="D898" s="110"/>
      <c r="E898" s="110"/>
      <c r="F898" s="110"/>
      <c r="G898" s="110"/>
      <c r="I898" s="110"/>
    </row>
    <row r="899" ht="14.25" customHeight="1">
      <c r="B899" s="110"/>
      <c r="C899" s="110"/>
      <c r="D899" s="110"/>
      <c r="E899" s="110"/>
      <c r="F899" s="110"/>
      <c r="G899" s="110"/>
      <c r="I899" s="110"/>
    </row>
    <row r="900" ht="14.25" customHeight="1">
      <c r="B900" s="110"/>
      <c r="C900" s="110"/>
      <c r="D900" s="110"/>
      <c r="E900" s="110"/>
      <c r="F900" s="110"/>
      <c r="G900" s="110"/>
      <c r="I900" s="110"/>
    </row>
    <row r="901" ht="14.25" customHeight="1">
      <c r="B901" s="110"/>
      <c r="C901" s="110"/>
      <c r="D901" s="110"/>
      <c r="E901" s="110"/>
      <c r="F901" s="110"/>
      <c r="G901" s="110"/>
      <c r="I901" s="110"/>
    </row>
    <row r="902" ht="14.25" customHeight="1">
      <c r="B902" s="110"/>
      <c r="C902" s="110"/>
      <c r="D902" s="110"/>
      <c r="E902" s="110"/>
      <c r="F902" s="110"/>
      <c r="G902" s="110"/>
      <c r="I902" s="110"/>
    </row>
    <row r="903" ht="14.25" customHeight="1">
      <c r="B903" s="110"/>
      <c r="C903" s="110"/>
      <c r="D903" s="110"/>
      <c r="E903" s="110"/>
      <c r="F903" s="110"/>
      <c r="G903" s="110"/>
      <c r="I903" s="110"/>
    </row>
    <row r="904" ht="14.25" customHeight="1">
      <c r="B904" s="110"/>
      <c r="C904" s="110"/>
      <c r="D904" s="110"/>
      <c r="E904" s="110"/>
      <c r="F904" s="110"/>
      <c r="G904" s="110"/>
      <c r="I904" s="110"/>
    </row>
    <row r="905" ht="14.25" customHeight="1">
      <c r="B905" s="110"/>
      <c r="C905" s="110"/>
      <c r="D905" s="110"/>
      <c r="E905" s="110"/>
      <c r="F905" s="110"/>
      <c r="G905" s="110"/>
      <c r="I905" s="110"/>
    </row>
    <row r="906" ht="14.25" customHeight="1">
      <c r="B906" s="110"/>
      <c r="C906" s="110"/>
      <c r="D906" s="110"/>
      <c r="E906" s="110"/>
      <c r="F906" s="110"/>
      <c r="G906" s="110"/>
      <c r="I906" s="110"/>
    </row>
    <row r="907" ht="14.25" customHeight="1">
      <c r="B907" s="110"/>
      <c r="C907" s="110"/>
      <c r="D907" s="110"/>
      <c r="E907" s="110"/>
      <c r="F907" s="110"/>
      <c r="G907" s="110"/>
      <c r="I907" s="110"/>
    </row>
    <row r="908" ht="14.25" customHeight="1">
      <c r="B908" s="110"/>
      <c r="C908" s="110"/>
      <c r="D908" s="110"/>
      <c r="E908" s="110"/>
      <c r="F908" s="110"/>
      <c r="G908" s="110"/>
      <c r="I908" s="110"/>
    </row>
    <row r="909" ht="14.25" customHeight="1">
      <c r="B909" s="110"/>
      <c r="C909" s="110"/>
      <c r="D909" s="110"/>
      <c r="E909" s="110"/>
      <c r="F909" s="110"/>
      <c r="G909" s="110"/>
      <c r="I909" s="110"/>
    </row>
    <row r="910" ht="14.25" customHeight="1">
      <c r="B910" s="110"/>
      <c r="C910" s="110"/>
      <c r="D910" s="110"/>
      <c r="E910" s="110"/>
      <c r="F910" s="110"/>
      <c r="G910" s="110"/>
      <c r="I910" s="110"/>
    </row>
    <row r="911" ht="14.25" customHeight="1">
      <c r="B911" s="110"/>
      <c r="C911" s="110"/>
      <c r="D911" s="110"/>
      <c r="E911" s="110"/>
      <c r="F911" s="110"/>
      <c r="G911" s="110"/>
      <c r="I911" s="110"/>
    </row>
    <row r="912" ht="14.25" customHeight="1">
      <c r="B912" s="110"/>
      <c r="C912" s="110"/>
      <c r="D912" s="110"/>
      <c r="E912" s="110"/>
      <c r="F912" s="110"/>
      <c r="G912" s="110"/>
      <c r="I912" s="110"/>
    </row>
    <row r="913" ht="14.25" customHeight="1">
      <c r="B913" s="110"/>
      <c r="C913" s="110"/>
      <c r="D913" s="110"/>
      <c r="E913" s="110"/>
      <c r="F913" s="110"/>
      <c r="G913" s="110"/>
      <c r="I913" s="110"/>
    </row>
    <row r="914" ht="14.25" customHeight="1">
      <c r="B914" s="110"/>
      <c r="C914" s="110"/>
      <c r="D914" s="110"/>
      <c r="E914" s="110"/>
      <c r="F914" s="110"/>
      <c r="G914" s="110"/>
      <c r="I914" s="110"/>
    </row>
    <row r="915" ht="14.25" customHeight="1">
      <c r="B915" s="110"/>
      <c r="C915" s="110"/>
      <c r="D915" s="110"/>
      <c r="E915" s="110"/>
      <c r="F915" s="110"/>
      <c r="G915" s="110"/>
      <c r="I915" s="110"/>
    </row>
    <row r="916" ht="14.25" customHeight="1">
      <c r="B916" s="110"/>
      <c r="C916" s="110"/>
      <c r="D916" s="110"/>
      <c r="E916" s="110"/>
      <c r="F916" s="110"/>
      <c r="G916" s="110"/>
      <c r="I916" s="110"/>
    </row>
    <row r="917" ht="14.25" customHeight="1">
      <c r="B917" s="110"/>
      <c r="C917" s="110"/>
      <c r="D917" s="110"/>
      <c r="E917" s="110"/>
      <c r="F917" s="110"/>
      <c r="G917" s="110"/>
      <c r="I917" s="110"/>
    </row>
    <row r="918" ht="14.25" customHeight="1">
      <c r="B918" s="110"/>
      <c r="C918" s="110"/>
      <c r="D918" s="110"/>
      <c r="E918" s="110"/>
      <c r="F918" s="110"/>
      <c r="G918" s="110"/>
      <c r="I918" s="110"/>
    </row>
    <row r="919" ht="14.25" customHeight="1">
      <c r="B919" s="110"/>
      <c r="C919" s="110"/>
      <c r="D919" s="110"/>
      <c r="E919" s="110"/>
      <c r="F919" s="110"/>
      <c r="G919" s="110"/>
      <c r="I919" s="110"/>
    </row>
    <row r="920" ht="14.25" customHeight="1">
      <c r="B920" s="110"/>
      <c r="C920" s="110"/>
      <c r="D920" s="110"/>
      <c r="E920" s="110"/>
      <c r="F920" s="110"/>
      <c r="G920" s="110"/>
      <c r="I920" s="110"/>
    </row>
    <row r="921" ht="14.25" customHeight="1">
      <c r="B921" s="110"/>
      <c r="C921" s="110"/>
      <c r="D921" s="110"/>
      <c r="E921" s="110"/>
      <c r="F921" s="110"/>
      <c r="G921" s="110"/>
      <c r="I921" s="110"/>
    </row>
    <row r="922" ht="14.25" customHeight="1">
      <c r="B922" s="110"/>
      <c r="C922" s="110"/>
      <c r="D922" s="110"/>
      <c r="E922" s="110"/>
      <c r="F922" s="110"/>
      <c r="G922" s="110"/>
      <c r="I922" s="110"/>
    </row>
    <row r="923" ht="14.25" customHeight="1">
      <c r="B923" s="110"/>
      <c r="C923" s="110"/>
      <c r="D923" s="110"/>
      <c r="E923" s="110"/>
      <c r="F923" s="110"/>
      <c r="G923" s="110"/>
      <c r="I923" s="110"/>
    </row>
    <row r="924" ht="14.25" customHeight="1">
      <c r="B924" s="110"/>
      <c r="C924" s="110"/>
      <c r="D924" s="110"/>
      <c r="E924" s="110"/>
      <c r="F924" s="110"/>
      <c r="G924" s="110"/>
      <c r="I924" s="110"/>
    </row>
    <row r="925" ht="14.25" customHeight="1">
      <c r="B925" s="110"/>
      <c r="C925" s="110"/>
      <c r="D925" s="110"/>
      <c r="E925" s="110"/>
      <c r="F925" s="110"/>
      <c r="G925" s="110"/>
      <c r="I925" s="110"/>
    </row>
    <row r="926" ht="14.25" customHeight="1">
      <c r="B926" s="110"/>
      <c r="C926" s="110"/>
      <c r="D926" s="110"/>
      <c r="E926" s="110"/>
      <c r="F926" s="110"/>
      <c r="G926" s="110"/>
      <c r="I926" s="110"/>
    </row>
    <row r="927" ht="14.25" customHeight="1">
      <c r="B927" s="110"/>
      <c r="C927" s="110"/>
      <c r="D927" s="110"/>
      <c r="E927" s="110"/>
      <c r="F927" s="110"/>
      <c r="G927" s="110"/>
      <c r="I927" s="110"/>
    </row>
    <row r="928" ht="14.25" customHeight="1">
      <c r="B928" s="110"/>
      <c r="C928" s="110"/>
      <c r="D928" s="110"/>
      <c r="E928" s="110"/>
      <c r="F928" s="110"/>
      <c r="G928" s="110"/>
      <c r="I928" s="110"/>
    </row>
    <row r="929" ht="14.25" customHeight="1">
      <c r="B929" s="110"/>
      <c r="C929" s="110"/>
      <c r="D929" s="110"/>
      <c r="E929" s="110"/>
      <c r="F929" s="110"/>
      <c r="G929" s="110"/>
      <c r="I929" s="110"/>
    </row>
    <row r="930" ht="14.25" customHeight="1">
      <c r="B930" s="110"/>
      <c r="C930" s="110"/>
      <c r="D930" s="110"/>
      <c r="E930" s="110"/>
      <c r="F930" s="110"/>
      <c r="G930" s="110"/>
      <c r="I930" s="110"/>
    </row>
    <row r="931" ht="14.25" customHeight="1">
      <c r="B931" s="110"/>
      <c r="C931" s="110"/>
      <c r="D931" s="110"/>
      <c r="E931" s="110"/>
      <c r="F931" s="110"/>
      <c r="G931" s="110"/>
      <c r="I931" s="110"/>
    </row>
    <row r="932" ht="14.25" customHeight="1">
      <c r="B932" s="110"/>
      <c r="C932" s="110"/>
      <c r="D932" s="110"/>
      <c r="E932" s="110"/>
      <c r="F932" s="110"/>
      <c r="G932" s="110"/>
      <c r="I932" s="110"/>
    </row>
    <row r="933" ht="14.25" customHeight="1">
      <c r="B933" s="110"/>
      <c r="C933" s="110"/>
      <c r="D933" s="110"/>
      <c r="E933" s="110"/>
      <c r="F933" s="110"/>
      <c r="G933" s="110"/>
      <c r="I933" s="110"/>
    </row>
    <row r="934" ht="14.25" customHeight="1">
      <c r="B934" s="110"/>
      <c r="C934" s="110"/>
      <c r="D934" s="110"/>
      <c r="E934" s="110"/>
      <c r="F934" s="110"/>
      <c r="G934" s="110"/>
      <c r="I934" s="110"/>
    </row>
    <row r="935" ht="14.25" customHeight="1">
      <c r="B935" s="110"/>
      <c r="C935" s="110"/>
      <c r="D935" s="110"/>
      <c r="E935" s="110"/>
      <c r="F935" s="110"/>
      <c r="G935" s="110"/>
      <c r="I935" s="110"/>
    </row>
    <row r="936" ht="14.25" customHeight="1">
      <c r="B936" s="110"/>
      <c r="C936" s="110"/>
      <c r="D936" s="110"/>
      <c r="E936" s="110"/>
      <c r="F936" s="110"/>
      <c r="G936" s="110"/>
      <c r="I936" s="110"/>
    </row>
    <row r="937" ht="14.25" customHeight="1">
      <c r="B937" s="110"/>
      <c r="C937" s="110"/>
      <c r="D937" s="110"/>
      <c r="E937" s="110"/>
      <c r="F937" s="110"/>
      <c r="G937" s="110"/>
      <c r="I937" s="110"/>
    </row>
    <row r="938" ht="14.25" customHeight="1">
      <c r="B938" s="110"/>
      <c r="C938" s="110"/>
      <c r="D938" s="110"/>
      <c r="E938" s="110"/>
      <c r="F938" s="110"/>
      <c r="G938" s="110"/>
      <c r="I938" s="110"/>
    </row>
    <row r="939" ht="14.25" customHeight="1">
      <c r="B939" s="110"/>
      <c r="C939" s="110"/>
      <c r="D939" s="110"/>
      <c r="E939" s="110"/>
      <c r="F939" s="110"/>
      <c r="G939" s="110"/>
      <c r="I939" s="110"/>
    </row>
    <row r="940" ht="14.25" customHeight="1">
      <c r="B940" s="110"/>
      <c r="C940" s="110"/>
      <c r="D940" s="110"/>
      <c r="E940" s="110"/>
      <c r="F940" s="110"/>
      <c r="G940" s="110"/>
      <c r="I940" s="110"/>
    </row>
    <row r="941" ht="14.25" customHeight="1">
      <c r="B941" s="110"/>
      <c r="C941" s="110"/>
      <c r="D941" s="110"/>
      <c r="E941" s="110"/>
      <c r="F941" s="110"/>
      <c r="G941" s="110"/>
      <c r="I941" s="110"/>
    </row>
    <row r="942" ht="14.25" customHeight="1">
      <c r="B942" s="110"/>
      <c r="C942" s="110"/>
      <c r="D942" s="110"/>
      <c r="E942" s="110"/>
      <c r="F942" s="110"/>
      <c r="G942" s="110"/>
      <c r="I942" s="110"/>
    </row>
    <row r="943" ht="14.25" customHeight="1">
      <c r="B943" s="110"/>
      <c r="C943" s="110"/>
      <c r="D943" s="110"/>
      <c r="E943" s="110"/>
      <c r="F943" s="110"/>
      <c r="G943" s="110"/>
      <c r="I943" s="110"/>
    </row>
    <row r="944" ht="14.25" customHeight="1">
      <c r="B944" s="110"/>
      <c r="C944" s="110"/>
      <c r="D944" s="110"/>
      <c r="E944" s="110"/>
      <c r="F944" s="110"/>
      <c r="G944" s="110"/>
      <c r="I944" s="110"/>
    </row>
    <row r="945" ht="14.25" customHeight="1">
      <c r="B945" s="110"/>
      <c r="C945" s="110"/>
      <c r="D945" s="110"/>
      <c r="E945" s="110"/>
      <c r="F945" s="110"/>
      <c r="G945" s="110"/>
      <c r="I945" s="110"/>
    </row>
    <row r="946" ht="14.25" customHeight="1">
      <c r="B946" s="110"/>
      <c r="C946" s="110"/>
      <c r="D946" s="110"/>
      <c r="E946" s="110"/>
      <c r="F946" s="110"/>
      <c r="G946" s="110"/>
      <c r="I946" s="110"/>
    </row>
    <row r="947" ht="14.25" customHeight="1">
      <c r="B947" s="110"/>
      <c r="C947" s="110"/>
      <c r="D947" s="110"/>
      <c r="E947" s="110"/>
      <c r="F947" s="110"/>
      <c r="G947" s="110"/>
      <c r="I947" s="110"/>
    </row>
    <row r="948" ht="14.25" customHeight="1">
      <c r="B948" s="110"/>
      <c r="C948" s="110"/>
      <c r="D948" s="110"/>
      <c r="E948" s="110"/>
      <c r="F948" s="110"/>
      <c r="G948" s="110"/>
      <c r="I948" s="110"/>
    </row>
    <row r="949" ht="14.25" customHeight="1">
      <c r="B949" s="110"/>
      <c r="C949" s="110"/>
      <c r="D949" s="110"/>
      <c r="E949" s="110"/>
      <c r="F949" s="110"/>
      <c r="G949" s="110"/>
      <c r="I949" s="110"/>
    </row>
    <row r="950" ht="14.25" customHeight="1">
      <c r="B950" s="110"/>
      <c r="C950" s="110"/>
      <c r="D950" s="110"/>
      <c r="E950" s="110"/>
      <c r="F950" s="110"/>
      <c r="G950" s="110"/>
      <c r="I950" s="110"/>
    </row>
    <row r="951" ht="14.25" customHeight="1">
      <c r="B951" s="110"/>
      <c r="C951" s="110"/>
      <c r="D951" s="110"/>
      <c r="E951" s="110"/>
      <c r="F951" s="110"/>
      <c r="G951" s="110"/>
      <c r="I951" s="110"/>
    </row>
    <row r="952" ht="14.25" customHeight="1">
      <c r="B952" s="110"/>
      <c r="C952" s="110"/>
      <c r="D952" s="110"/>
      <c r="E952" s="110"/>
      <c r="F952" s="110"/>
      <c r="G952" s="110"/>
      <c r="I952" s="110"/>
    </row>
    <row r="953" ht="14.25" customHeight="1">
      <c r="B953" s="110"/>
      <c r="C953" s="110"/>
      <c r="D953" s="110"/>
      <c r="E953" s="110"/>
      <c r="F953" s="110"/>
      <c r="G953" s="110"/>
      <c r="I953" s="110"/>
    </row>
    <row r="954" ht="14.25" customHeight="1">
      <c r="B954" s="110"/>
      <c r="C954" s="110"/>
      <c r="D954" s="110"/>
      <c r="E954" s="110"/>
      <c r="F954" s="110"/>
      <c r="G954" s="110"/>
      <c r="I954" s="110"/>
    </row>
    <row r="955" ht="14.25" customHeight="1">
      <c r="B955" s="110"/>
      <c r="C955" s="110"/>
      <c r="D955" s="110"/>
      <c r="E955" s="110"/>
      <c r="F955" s="110"/>
      <c r="G955" s="110"/>
      <c r="I955" s="110"/>
    </row>
    <row r="956" ht="14.25" customHeight="1">
      <c r="B956" s="110"/>
      <c r="C956" s="110"/>
      <c r="D956" s="110"/>
      <c r="E956" s="110"/>
      <c r="F956" s="110"/>
      <c r="G956" s="110"/>
      <c r="I956" s="110"/>
    </row>
    <row r="957" ht="14.25" customHeight="1">
      <c r="B957" s="110"/>
      <c r="C957" s="110"/>
      <c r="D957" s="110"/>
      <c r="E957" s="110"/>
      <c r="F957" s="110"/>
      <c r="G957" s="110"/>
      <c r="I957" s="110"/>
    </row>
    <row r="958" ht="14.25" customHeight="1">
      <c r="B958" s="110"/>
      <c r="C958" s="110"/>
      <c r="D958" s="110"/>
      <c r="E958" s="110"/>
      <c r="F958" s="110"/>
      <c r="G958" s="110"/>
      <c r="I958" s="110"/>
    </row>
    <row r="959" ht="14.25" customHeight="1">
      <c r="B959" s="110"/>
      <c r="C959" s="110"/>
      <c r="D959" s="110"/>
      <c r="E959" s="110"/>
      <c r="F959" s="110"/>
      <c r="G959" s="110"/>
      <c r="I959" s="110"/>
    </row>
    <row r="960" ht="14.25" customHeight="1">
      <c r="B960" s="110"/>
      <c r="C960" s="110"/>
      <c r="D960" s="110"/>
      <c r="E960" s="110"/>
      <c r="F960" s="110"/>
      <c r="G960" s="110"/>
      <c r="I960" s="110"/>
    </row>
    <row r="961" ht="14.25" customHeight="1">
      <c r="B961" s="110"/>
      <c r="C961" s="110"/>
      <c r="D961" s="110"/>
      <c r="E961" s="110"/>
      <c r="F961" s="110"/>
      <c r="G961" s="110"/>
      <c r="I961" s="110"/>
    </row>
    <row r="962" ht="14.25" customHeight="1">
      <c r="B962" s="110"/>
      <c r="C962" s="110"/>
      <c r="D962" s="110"/>
      <c r="E962" s="110"/>
      <c r="F962" s="110"/>
      <c r="G962" s="110"/>
      <c r="I962" s="110"/>
    </row>
    <row r="963" ht="14.25" customHeight="1">
      <c r="B963" s="110"/>
      <c r="C963" s="110"/>
      <c r="D963" s="110"/>
      <c r="E963" s="110"/>
      <c r="F963" s="110"/>
      <c r="G963" s="110"/>
      <c r="I963" s="110"/>
    </row>
    <row r="964" ht="14.25" customHeight="1">
      <c r="B964" s="110"/>
      <c r="C964" s="110"/>
      <c r="D964" s="110"/>
      <c r="E964" s="110"/>
      <c r="F964" s="110"/>
      <c r="G964" s="110"/>
      <c r="I964" s="110"/>
    </row>
    <row r="965" ht="14.25" customHeight="1">
      <c r="B965" s="110"/>
      <c r="C965" s="110"/>
      <c r="D965" s="110"/>
      <c r="E965" s="110"/>
      <c r="F965" s="110"/>
      <c r="G965" s="110"/>
      <c r="I965" s="110"/>
    </row>
    <row r="966" ht="14.25" customHeight="1">
      <c r="B966" s="110"/>
      <c r="C966" s="110"/>
      <c r="D966" s="110"/>
      <c r="E966" s="110"/>
      <c r="F966" s="110"/>
      <c r="G966" s="110"/>
      <c r="I966" s="110"/>
    </row>
    <row r="967" ht="14.25" customHeight="1">
      <c r="B967" s="110"/>
      <c r="C967" s="110"/>
      <c r="D967" s="110"/>
      <c r="E967" s="110"/>
      <c r="F967" s="110"/>
      <c r="G967" s="110"/>
      <c r="I967" s="110"/>
    </row>
    <row r="968" ht="14.25" customHeight="1">
      <c r="B968" s="110"/>
      <c r="C968" s="110"/>
      <c r="D968" s="110"/>
      <c r="E968" s="110"/>
      <c r="F968" s="110"/>
      <c r="G968" s="110"/>
      <c r="I968" s="110"/>
    </row>
    <row r="969" ht="14.25" customHeight="1">
      <c r="B969" s="110"/>
      <c r="C969" s="110"/>
      <c r="D969" s="110"/>
      <c r="E969" s="110"/>
      <c r="F969" s="110"/>
      <c r="G969" s="110"/>
      <c r="I969" s="110"/>
    </row>
    <row r="970" ht="14.25" customHeight="1">
      <c r="B970" s="110"/>
      <c r="C970" s="110"/>
      <c r="D970" s="110"/>
      <c r="E970" s="110"/>
      <c r="F970" s="110"/>
      <c r="G970" s="110"/>
      <c r="I970" s="110"/>
    </row>
    <row r="971" ht="14.25" customHeight="1">
      <c r="B971" s="110"/>
      <c r="C971" s="110"/>
      <c r="D971" s="110"/>
      <c r="E971" s="110"/>
      <c r="F971" s="110"/>
      <c r="G971" s="110"/>
      <c r="I971" s="110"/>
    </row>
    <row r="972" ht="14.25" customHeight="1">
      <c r="B972" s="110"/>
      <c r="C972" s="110"/>
      <c r="D972" s="110"/>
      <c r="E972" s="110"/>
      <c r="F972" s="110"/>
      <c r="G972" s="110"/>
      <c r="I972" s="110"/>
    </row>
    <row r="973" ht="14.25" customHeight="1">
      <c r="B973" s="110"/>
      <c r="C973" s="110"/>
      <c r="D973" s="110"/>
      <c r="E973" s="110"/>
      <c r="F973" s="110"/>
      <c r="G973" s="110"/>
      <c r="I973" s="110"/>
    </row>
    <row r="974" ht="14.25" customHeight="1">
      <c r="B974" s="110"/>
      <c r="C974" s="110"/>
      <c r="D974" s="110"/>
      <c r="E974" s="110"/>
      <c r="F974" s="110"/>
      <c r="G974" s="110"/>
      <c r="I974" s="110"/>
    </row>
    <row r="975" ht="14.25" customHeight="1">
      <c r="B975" s="110"/>
      <c r="C975" s="110"/>
      <c r="D975" s="110"/>
      <c r="E975" s="110"/>
      <c r="F975" s="110"/>
      <c r="G975" s="110"/>
      <c r="I975" s="110"/>
    </row>
    <row r="976" ht="14.25" customHeight="1">
      <c r="B976" s="110"/>
      <c r="C976" s="110"/>
      <c r="D976" s="110"/>
      <c r="E976" s="110"/>
      <c r="F976" s="110"/>
      <c r="G976" s="110"/>
      <c r="I976" s="110"/>
    </row>
    <row r="977" ht="14.25" customHeight="1">
      <c r="B977" s="110"/>
      <c r="C977" s="110"/>
      <c r="D977" s="110"/>
      <c r="E977" s="110"/>
      <c r="F977" s="110"/>
      <c r="G977" s="110"/>
      <c r="I977" s="110"/>
    </row>
    <row r="978" ht="14.25" customHeight="1">
      <c r="B978" s="110"/>
      <c r="C978" s="110"/>
      <c r="D978" s="110"/>
      <c r="E978" s="110"/>
      <c r="F978" s="110"/>
      <c r="G978" s="110"/>
      <c r="I978" s="110"/>
    </row>
    <row r="979" ht="14.25" customHeight="1">
      <c r="B979" s="110"/>
      <c r="C979" s="110"/>
      <c r="D979" s="110"/>
      <c r="E979" s="110"/>
      <c r="F979" s="110"/>
      <c r="G979" s="110"/>
      <c r="I979" s="110"/>
    </row>
    <row r="980" ht="14.25" customHeight="1">
      <c r="B980" s="110"/>
      <c r="C980" s="110"/>
      <c r="D980" s="110"/>
      <c r="E980" s="110"/>
      <c r="F980" s="110"/>
      <c r="G980" s="110"/>
      <c r="I980" s="110"/>
    </row>
    <row r="981" ht="14.25" customHeight="1">
      <c r="B981" s="110"/>
      <c r="C981" s="110"/>
      <c r="D981" s="110"/>
      <c r="E981" s="110"/>
      <c r="F981" s="110"/>
      <c r="G981" s="110"/>
      <c r="I981" s="110"/>
    </row>
    <row r="982" ht="14.25" customHeight="1">
      <c r="B982" s="110"/>
      <c r="C982" s="110"/>
      <c r="D982" s="110"/>
      <c r="E982" s="110"/>
      <c r="F982" s="110"/>
      <c r="G982" s="110"/>
      <c r="I982" s="110"/>
    </row>
    <row r="983" ht="14.25" customHeight="1">
      <c r="B983" s="110"/>
      <c r="C983" s="110"/>
      <c r="D983" s="110"/>
      <c r="E983" s="110"/>
      <c r="F983" s="110"/>
      <c r="G983" s="110"/>
      <c r="I983" s="110"/>
    </row>
    <row r="984" ht="14.25" customHeight="1">
      <c r="B984" s="110"/>
      <c r="C984" s="110"/>
      <c r="D984" s="110"/>
      <c r="E984" s="110"/>
      <c r="F984" s="110"/>
      <c r="G984" s="110"/>
      <c r="I984" s="110"/>
    </row>
    <row r="985" ht="14.25" customHeight="1">
      <c r="B985" s="110"/>
      <c r="C985" s="110"/>
      <c r="D985" s="110"/>
      <c r="E985" s="110"/>
      <c r="F985" s="110"/>
      <c r="G985" s="110"/>
      <c r="I985" s="110"/>
    </row>
    <row r="986" ht="14.25" customHeight="1">
      <c r="B986" s="110"/>
      <c r="C986" s="110"/>
      <c r="D986" s="110"/>
      <c r="E986" s="110"/>
      <c r="F986" s="110"/>
      <c r="G986" s="110"/>
      <c r="I986" s="110"/>
    </row>
    <row r="987" ht="14.25" customHeight="1">
      <c r="B987" s="110"/>
      <c r="C987" s="110"/>
      <c r="D987" s="110"/>
      <c r="E987" s="110"/>
      <c r="F987" s="110"/>
      <c r="G987" s="110"/>
      <c r="I987" s="110"/>
    </row>
    <row r="988" ht="14.25" customHeight="1">
      <c r="B988" s="110"/>
      <c r="C988" s="110"/>
      <c r="D988" s="110"/>
      <c r="E988" s="110"/>
      <c r="F988" s="110"/>
      <c r="G988" s="110"/>
      <c r="I988" s="110"/>
    </row>
    <row r="989" ht="14.25" customHeight="1">
      <c r="B989" s="110"/>
      <c r="C989" s="110"/>
      <c r="D989" s="110"/>
      <c r="E989" s="110"/>
      <c r="F989" s="110"/>
      <c r="G989" s="110"/>
      <c r="I989" s="110"/>
    </row>
    <row r="990" ht="14.25" customHeight="1">
      <c r="B990" s="110"/>
      <c r="C990" s="110"/>
      <c r="D990" s="110"/>
      <c r="E990" s="110"/>
      <c r="F990" s="110"/>
      <c r="G990" s="110"/>
      <c r="I990" s="110"/>
    </row>
    <row r="991" ht="14.25" customHeight="1">
      <c r="B991" s="110"/>
      <c r="C991" s="110"/>
      <c r="D991" s="110"/>
      <c r="E991" s="110"/>
      <c r="F991" s="110"/>
      <c r="G991" s="110"/>
      <c r="I991" s="110"/>
    </row>
    <row r="992" ht="14.25" customHeight="1">
      <c r="B992" s="110"/>
      <c r="C992" s="110"/>
      <c r="D992" s="110"/>
      <c r="E992" s="110"/>
      <c r="F992" s="110"/>
      <c r="G992" s="110"/>
      <c r="I992" s="110"/>
    </row>
    <row r="993" ht="14.25" customHeight="1">
      <c r="B993" s="110"/>
      <c r="C993" s="110"/>
      <c r="D993" s="110"/>
      <c r="E993" s="110"/>
      <c r="F993" s="110"/>
      <c r="G993" s="110"/>
      <c r="I993" s="110"/>
    </row>
    <row r="994" ht="14.25" customHeight="1">
      <c r="B994" s="110"/>
      <c r="C994" s="110"/>
      <c r="D994" s="110"/>
      <c r="E994" s="110"/>
      <c r="F994" s="110"/>
      <c r="G994" s="110"/>
      <c r="I994" s="110"/>
    </row>
    <row r="995" ht="14.25" customHeight="1">
      <c r="B995" s="110"/>
      <c r="C995" s="110"/>
      <c r="D995" s="110"/>
      <c r="E995" s="110"/>
      <c r="F995" s="110"/>
      <c r="G995" s="110"/>
      <c r="I995" s="110"/>
    </row>
    <row r="996" ht="14.25" customHeight="1">
      <c r="B996" s="110"/>
      <c r="C996" s="110"/>
      <c r="D996" s="110"/>
      <c r="E996" s="110"/>
      <c r="F996" s="110"/>
      <c r="G996" s="110"/>
      <c r="I996" s="110"/>
    </row>
    <row r="997" ht="14.25" customHeight="1">
      <c r="B997" s="110"/>
      <c r="C997" s="110"/>
      <c r="D997" s="110"/>
      <c r="E997" s="110"/>
      <c r="F997" s="110"/>
      <c r="G997" s="110"/>
      <c r="I997" s="110"/>
    </row>
    <row r="998" ht="14.25" customHeight="1">
      <c r="B998" s="110"/>
      <c r="C998" s="110"/>
      <c r="D998" s="110"/>
      <c r="E998" s="110"/>
      <c r="F998" s="110"/>
      <c r="G998" s="110"/>
      <c r="I998" s="110"/>
    </row>
    <row r="999" ht="14.25" customHeight="1">
      <c r="B999" s="110"/>
      <c r="C999" s="110"/>
      <c r="D999" s="110"/>
      <c r="E999" s="110"/>
      <c r="F999" s="110"/>
      <c r="G999" s="110"/>
      <c r="I999" s="110"/>
    </row>
    <row r="1000" ht="14.25" customHeight="1">
      <c r="B1000" s="110"/>
      <c r="C1000" s="110"/>
      <c r="D1000" s="110"/>
      <c r="E1000" s="110"/>
      <c r="F1000" s="110"/>
      <c r="G1000" s="110"/>
      <c r="I1000" s="110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71"/>
    <col customWidth="1" min="2" max="2" width="13.14"/>
    <col customWidth="1" min="3" max="3" width="6.29"/>
    <col customWidth="1" min="4" max="4" width="33.29"/>
    <col customWidth="1" min="5" max="5" width="28.71"/>
    <col customWidth="1" min="6" max="6" width="10.57"/>
    <col customWidth="1" min="7" max="7" width="22.29"/>
    <col customWidth="1" min="8" max="8" width="17.57"/>
    <col customWidth="1" min="9" max="9" width="18.57"/>
    <col customWidth="1" min="10" max="10" width="25.29"/>
    <col customWidth="1" min="11" max="11" width="19.71"/>
    <col customWidth="1" min="12" max="12" width="10.71"/>
    <col customWidth="1" min="13" max="13" width="18.57"/>
    <col customWidth="1" min="14" max="14" width="19.86"/>
    <col customWidth="1" min="15" max="15" width="9.0"/>
    <col customWidth="1" min="16" max="16" width="10.0"/>
    <col customWidth="1" min="17" max="17" width="11.43"/>
    <col customWidth="1" min="18" max="18" width="15.29"/>
    <col customWidth="1" min="19" max="19" width="61.0"/>
    <col customWidth="1" min="20" max="20" width="19.29"/>
    <col customWidth="1" min="21" max="21" width="18.71"/>
    <col customWidth="1" min="22" max="23" width="9.43"/>
    <col customWidth="1" min="24" max="24" width="10.86"/>
    <col customWidth="1" min="25" max="25" width="12.0"/>
    <col customWidth="1" min="26" max="26" width="11.0"/>
    <col customWidth="1" min="27" max="27" width="9.71"/>
    <col customWidth="1" min="28" max="28" width="22.71"/>
    <col customWidth="1" min="29" max="29" width="22.57"/>
    <col customWidth="1" min="30" max="30" width="16.0"/>
    <col customWidth="1" min="31" max="31" width="14.0"/>
    <col customWidth="1" min="32" max="32" width="27.71"/>
    <col customWidth="1" min="33" max="34" width="11.0"/>
    <col customWidth="1" min="35" max="36" width="17.43"/>
    <col customWidth="1" min="37" max="37" width="13.29"/>
    <col customWidth="1" min="38" max="40" width="11.0"/>
    <col customWidth="1" min="41" max="41" width="12.57"/>
    <col customWidth="1" min="42" max="42" width="6.86"/>
    <col customWidth="1" min="43" max="43" width="11.0"/>
    <col customWidth="1" min="44" max="44" width="9.0"/>
    <col customWidth="1" min="45" max="45" width="11.0"/>
    <col customWidth="1" min="46" max="46" width="6.14"/>
    <col customWidth="1" min="47" max="47" width="16.43"/>
    <col customWidth="1" min="48" max="48" width="13.14"/>
    <col customWidth="1" min="49" max="49" width="10.71"/>
    <col customWidth="1" min="50" max="50" width="12.0"/>
    <col customWidth="1" min="51" max="51" width="8.0"/>
    <col customWidth="1" min="52" max="52" width="8.57"/>
    <col customWidth="1" min="53" max="53" width="56.71"/>
    <col customWidth="1" min="54" max="54" width="12.86"/>
    <col customWidth="1" min="55" max="55" width="36.86"/>
    <col customWidth="1" min="56" max="56" width="16.29"/>
    <col customWidth="1" min="57" max="57" width="14.86"/>
    <col customWidth="1" min="58" max="58" width="18.86"/>
    <col customWidth="1" min="59" max="59" width="12.43"/>
    <col customWidth="1" min="60" max="60" width="10.57"/>
    <col customWidth="1" min="61" max="61" width="12.86"/>
    <col customWidth="1" min="62" max="62" width="13.57"/>
    <col customWidth="1" min="63" max="64" width="11.0"/>
    <col customWidth="1" min="65" max="65" width="7.71"/>
    <col customWidth="1" min="66" max="66" width="8.71"/>
    <col customWidth="1" min="67" max="71" width="9.14"/>
  </cols>
  <sheetData>
    <row r="1" ht="14.25" customHeight="1">
      <c r="AI1" s="171">
        <f>SUBTOTAL(9,AI3:AI312)</f>
        <v>12670984.55</v>
      </c>
      <c r="AL1" s="171">
        <f t="shared" ref="AL1:AN1" si="1">SUBTOTAL(9,AL3:AL312)</f>
        <v>1002837.46</v>
      </c>
      <c r="AM1" s="171">
        <f t="shared" si="1"/>
        <v>1002837.46</v>
      </c>
      <c r="AN1" s="171">
        <f t="shared" si="1"/>
        <v>140233.93</v>
      </c>
      <c r="AP1" s="171">
        <f>SUBTOTAL(9,AP3:AP312)</f>
        <v>0</v>
      </c>
      <c r="AR1" s="171">
        <f>SUBTOTAL(9,AR3:AR312)</f>
        <v>0</v>
      </c>
      <c r="AT1" s="171">
        <f>SUBTOTAL(9,AT3:AT312)</f>
        <v>0</v>
      </c>
      <c r="AX1" s="171">
        <f>SUBTOTAL(9,AX3:AX312)</f>
        <v>15545853.61</v>
      </c>
      <c r="BL1" s="171">
        <f>SUBTOTAL(9,BL3:BL312)</f>
        <v>2837703.06</v>
      </c>
    </row>
    <row r="2" ht="14.25" customHeight="1">
      <c r="A2" s="118" t="s">
        <v>64</v>
      </c>
      <c r="B2" s="119" t="s">
        <v>65</v>
      </c>
      <c r="C2" s="119" t="s">
        <v>66</v>
      </c>
      <c r="D2" s="119" t="s">
        <v>67</v>
      </c>
      <c r="E2" s="119" t="s">
        <v>68</v>
      </c>
      <c r="F2" s="119" t="s">
        <v>69</v>
      </c>
      <c r="G2" s="119" t="s">
        <v>70</v>
      </c>
      <c r="H2" s="119" t="s">
        <v>71</v>
      </c>
      <c r="I2" s="119" t="s">
        <v>72</v>
      </c>
      <c r="J2" s="119" t="s">
        <v>73</v>
      </c>
      <c r="K2" s="119" t="s">
        <v>74</v>
      </c>
      <c r="L2" s="119" t="s">
        <v>75</v>
      </c>
      <c r="M2" s="119" t="s">
        <v>76</v>
      </c>
      <c r="N2" s="119" t="s">
        <v>77</v>
      </c>
      <c r="O2" s="119" t="s">
        <v>78</v>
      </c>
      <c r="P2" s="118" t="s">
        <v>79</v>
      </c>
      <c r="Q2" s="119" t="s">
        <v>80</v>
      </c>
      <c r="R2" s="119" t="s">
        <v>81</v>
      </c>
      <c r="S2" s="119" t="s">
        <v>82</v>
      </c>
      <c r="T2" s="119" t="s">
        <v>83</v>
      </c>
      <c r="U2" s="119" t="s">
        <v>84</v>
      </c>
      <c r="V2" s="119" t="s">
        <v>85</v>
      </c>
      <c r="W2" s="118" t="s">
        <v>130</v>
      </c>
      <c r="X2" s="119" t="s">
        <v>86</v>
      </c>
      <c r="Y2" s="118" t="s">
        <v>87</v>
      </c>
      <c r="Z2" s="119" t="s">
        <v>88</v>
      </c>
      <c r="AA2" s="119" t="s">
        <v>89</v>
      </c>
      <c r="AB2" s="119" t="s">
        <v>90</v>
      </c>
      <c r="AC2" s="119" t="s">
        <v>91</v>
      </c>
      <c r="AD2" s="119" t="s">
        <v>92</v>
      </c>
      <c r="AE2" s="119" t="s">
        <v>93</v>
      </c>
      <c r="AF2" s="119" t="s">
        <v>94</v>
      </c>
      <c r="AG2" s="119" t="s">
        <v>133</v>
      </c>
      <c r="AH2" s="119" t="s">
        <v>491</v>
      </c>
      <c r="AI2" s="119" t="s">
        <v>95</v>
      </c>
      <c r="AJ2" s="119" t="s">
        <v>492</v>
      </c>
      <c r="AK2" s="119" t="s">
        <v>96</v>
      </c>
      <c r="AL2" s="118" t="s">
        <v>62</v>
      </c>
      <c r="AM2" s="119" t="s">
        <v>61</v>
      </c>
      <c r="AN2" s="118" t="s">
        <v>60</v>
      </c>
      <c r="AO2" s="119" t="s">
        <v>97</v>
      </c>
      <c r="AP2" s="119" t="s">
        <v>98</v>
      </c>
      <c r="AQ2" s="119" t="s">
        <v>99</v>
      </c>
      <c r="AR2" s="119" t="s">
        <v>100</v>
      </c>
      <c r="AS2" s="119" t="s">
        <v>101</v>
      </c>
      <c r="AT2" s="119" t="s">
        <v>102</v>
      </c>
      <c r="AU2" s="119" t="s">
        <v>103</v>
      </c>
      <c r="AV2" s="119" t="s">
        <v>104</v>
      </c>
      <c r="AW2" s="119" t="s">
        <v>105</v>
      </c>
      <c r="AX2" s="119" t="s">
        <v>137</v>
      </c>
      <c r="AY2" s="119" t="s">
        <v>107</v>
      </c>
      <c r="AZ2" s="119" t="s">
        <v>108</v>
      </c>
      <c r="BA2" s="119" t="s">
        <v>109</v>
      </c>
      <c r="BB2" s="119" t="s">
        <v>110</v>
      </c>
      <c r="BC2" s="119" t="s">
        <v>111</v>
      </c>
      <c r="BD2" s="119" t="s">
        <v>112</v>
      </c>
      <c r="BE2" s="119" t="s">
        <v>113</v>
      </c>
      <c r="BF2" s="119" t="s">
        <v>114</v>
      </c>
      <c r="BG2" s="119" t="s">
        <v>115</v>
      </c>
      <c r="BH2" s="118" t="s">
        <v>116</v>
      </c>
      <c r="BI2" s="120" t="s">
        <v>117</v>
      </c>
      <c r="BJ2" s="120" t="s">
        <v>118</v>
      </c>
      <c r="BK2" s="120" t="s">
        <v>119</v>
      </c>
      <c r="BL2" s="121" t="s">
        <v>120</v>
      </c>
      <c r="BM2" s="121" t="s">
        <v>121</v>
      </c>
      <c r="BN2" s="121" t="s">
        <v>122</v>
      </c>
      <c r="BO2" s="121" t="s">
        <v>123</v>
      </c>
      <c r="BP2" s="121" t="s">
        <v>78</v>
      </c>
      <c r="BQ2" s="121" t="s">
        <v>124</v>
      </c>
      <c r="BR2" s="121" t="s">
        <v>126</v>
      </c>
    </row>
    <row r="3" ht="14.25" customHeight="1">
      <c r="A3" s="122" t="s">
        <v>493</v>
      </c>
      <c r="B3" s="123" t="s">
        <v>494</v>
      </c>
      <c r="C3" s="123">
        <v>107.0</v>
      </c>
      <c r="D3" s="123" t="s">
        <v>146</v>
      </c>
      <c r="E3" s="123" t="s">
        <v>147</v>
      </c>
      <c r="F3" s="124"/>
      <c r="G3" s="123" t="s">
        <v>149</v>
      </c>
      <c r="H3" s="123" t="s">
        <v>2</v>
      </c>
      <c r="I3" s="123" t="s">
        <v>495</v>
      </c>
      <c r="J3" s="123" t="s">
        <v>496</v>
      </c>
      <c r="K3" s="123" t="s">
        <v>497</v>
      </c>
      <c r="L3" s="123" t="s">
        <v>498</v>
      </c>
      <c r="M3" s="125">
        <v>46127.0</v>
      </c>
      <c r="N3" s="123" t="s">
        <v>499</v>
      </c>
      <c r="O3" s="123">
        <v>9158398.0</v>
      </c>
      <c r="P3" s="179">
        <v>46090.0</v>
      </c>
      <c r="Q3" s="123" t="s">
        <v>500</v>
      </c>
      <c r="R3" s="123">
        <v>35671.0</v>
      </c>
      <c r="S3" s="123" t="s">
        <v>501</v>
      </c>
      <c r="T3" s="123" t="s">
        <v>502</v>
      </c>
      <c r="U3" s="123" t="s">
        <v>503</v>
      </c>
      <c r="V3" s="123" t="s">
        <v>504</v>
      </c>
      <c r="W3" s="124"/>
      <c r="X3" s="123">
        <v>275.0</v>
      </c>
      <c r="Y3" s="122">
        <v>44.0</v>
      </c>
      <c r="Z3" s="123">
        <v>12100.0</v>
      </c>
      <c r="AA3" s="123" t="s">
        <v>157</v>
      </c>
      <c r="AB3" s="123" t="s">
        <v>499</v>
      </c>
      <c r="AC3" s="125">
        <v>46121.0</v>
      </c>
      <c r="AD3" s="123" t="s">
        <v>505</v>
      </c>
      <c r="AE3" s="123">
        <v>996200.0</v>
      </c>
      <c r="AF3" s="123" t="s">
        <v>506</v>
      </c>
      <c r="AG3" s="124"/>
      <c r="AH3" s="124"/>
      <c r="AI3" s="123">
        <v>12100.0</v>
      </c>
      <c r="AJ3" s="123" t="s">
        <v>159</v>
      </c>
      <c r="AK3" s="123">
        <v>18.0</v>
      </c>
      <c r="AL3" s="122">
        <v>0.0</v>
      </c>
      <c r="AM3" s="123">
        <v>0.0</v>
      </c>
      <c r="AN3" s="122">
        <v>2178.0</v>
      </c>
      <c r="AO3" s="123">
        <v>0.0</v>
      </c>
      <c r="AP3" s="123">
        <v>0.0</v>
      </c>
      <c r="AQ3" s="123">
        <v>0.0</v>
      </c>
      <c r="AR3" s="123">
        <v>0.0</v>
      </c>
      <c r="AS3" s="123">
        <v>0.0</v>
      </c>
      <c r="AT3" s="123">
        <v>0.0</v>
      </c>
      <c r="AU3" s="124"/>
      <c r="AV3" s="124"/>
      <c r="AW3" s="123">
        <v>0.0</v>
      </c>
      <c r="AX3" s="123">
        <v>14278.0</v>
      </c>
      <c r="AY3" s="123" t="s">
        <v>31</v>
      </c>
      <c r="AZ3" s="123" t="s">
        <v>31</v>
      </c>
      <c r="BA3" s="123" t="s">
        <v>507</v>
      </c>
      <c r="BB3" s="123">
        <v>1.126100105E9</v>
      </c>
      <c r="BC3" s="123" t="s">
        <v>508</v>
      </c>
      <c r="BD3" s="123" t="s">
        <v>509</v>
      </c>
      <c r="BE3" s="124"/>
      <c r="BF3" s="124" t="s">
        <v>484</v>
      </c>
      <c r="BG3" s="124" t="s">
        <v>482</v>
      </c>
      <c r="BH3" s="122" t="s">
        <v>510</v>
      </c>
      <c r="BI3" s="171" t="s">
        <v>511</v>
      </c>
      <c r="BJ3" s="171" t="s">
        <v>512</v>
      </c>
      <c r="BK3" s="171" t="s">
        <v>513</v>
      </c>
      <c r="BL3" s="171">
        <v>2178.0</v>
      </c>
      <c r="BM3" s="171">
        <v>38182.88</v>
      </c>
      <c r="BN3" s="171">
        <v>-36005.0</v>
      </c>
      <c r="BO3" s="171" t="s">
        <v>514</v>
      </c>
      <c r="BP3" s="171">
        <v>9158398.0</v>
      </c>
      <c r="BQ3" s="171" t="s">
        <v>484</v>
      </c>
      <c r="BR3" s="171" t="s">
        <v>479</v>
      </c>
      <c r="BS3" s="171">
        <v>37.0</v>
      </c>
    </row>
    <row r="4" ht="14.25" customHeight="1">
      <c r="A4" s="122" t="s">
        <v>493</v>
      </c>
      <c r="B4" s="123" t="s">
        <v>494</v>
      </c>
      <c r="C4" s="123">
        <v>107.0</v>
      </c>
      <c r="D4" s="123" t="s">
        <v>146</v>
      </c>
      <c r="E4" s="123" t="s">
        <v>147</v>
      </c>
      <c r="F4" s="124"/>
      <c r="G4" s="123" t="s">
        <v>149</v>
      </c>
      <c r="H4" s="123" t="s">
        <v>2</v>
      </c>
      <c r="I4" s="123" t="s">
        <v>495</v>
      </c>
      <c r="J4" s="123" t="s">
        <v>496</v>
      </c>
      <c r="K4" s="123" t="s">
        <v>497</v>
      </c>
      <c r="L4" s="123" t="s">
        <v>498</v>
      </c>
      <c r="M4" s="125">
        <v>46127.0</v>
      </c>
      <c r="N4" s="123" t="s">
        <v>499</v>
      </c>
      <c r="O4" s="123">
        <v>9158398.0</v>
      </c>
      <c r="P4" s="179">
        <v>46090.0</v>
      </c>
      <c r="Q4" s="123" t="s">
        <v>500</v>
      </c>
      <c r="R4" s="123">
        <v>35671.0</v>
      </c>
      <c r="S4" s="123" t="s">
        <v>501</v>
      </c>
      <c r="T4" s="123" t="s">
        <v>502</v>
      </c>
      <c r="U4" s="123" t="s">
        <v>503</v>
      </c>
      <c r="V4" s="123" t="s">
        <v>504</v>
      </c>
      <c r="W4" s="124"/>
      <c r="X4" s="123">
        <v>1031.36</v>
      </c>
      <c r="Y4" s="122">
        <v>8.0</v>
      </c>
      <c r="Z4" s="123">
        <v>8250.88</v>
      </c>
      <c r="AA4" s="123" t="s">
        <v>157</v>
      </c>
      <c r="AB4" s="123" t="s">
        <v>499</v>
      </c>
      <c r="AC4" s="125">
        <v>46121.0</v>
      </c>
      <c r="AD4" s="123" t="s">
        <v>505</v>
      </c>
      <c r="AE4" s="123">
        <v>3.4029099E7</v>
      </c>
      <c r="AF4" s="123" t="s">
        <v>515</v>
      </c>
      <c r="AG4" s="124"/>
      <c r="AH4" s="124"/>
      <c r="AI4" s="123">
        <v>8250.88</v>
      </c>
      <c r="AJ4" s="123" t="s">
        <v>159</v>
      </c>
      <c r="AK4" s="123">
        <v>18.0</v>
      </c>
      <c r="AL4" s="122">
        <v>0.0</v>
      </c>
      <c r="AM4" s="123">
        <v>0.0</v>
      </c>
      <c r="AN4" s="122">
        <v>1485.16</v>
      </c>
      <c r="AO4" s="123">
        <v>0.0</v>
      </c>
      <c r="AP4" s="123">
        <v>0.0</v>
      </c>
      <c r="AQ4" s="123">
        <v>0.0</v>
      </c>
      <c r="AR4" s="123">
        <v>0.0</v>
      </c>
      <c r="AS4" s="123">
        <v>0.0</v>
      </c>
      <c r="AT4" s="123">
        <v>0.0</v>
      </c>
      <c r="AU4" s="124"/>
      <c r="AV4" s="124"/>
      <c r="AW4" s="123">
        <v>0.0</v>
      </c>
      <c r="AX4" s="123">
        <v>9736.04</v>
      </c>
      <c r="AY4" s="123" t="s">
        <v>31</v>
      </c>
      <c r="AZ4" s="123" t="s">
        <v>31</v>
      </c>
      <c r="BA4" s="123" t="s">
        <v>507</v>
      </c>
      <c r="BB4" s="123">
        <v>1.126100105E9</v>
      </c>
      <c r="BC4" s="123" t="s">
        <v>508</v>
      </c>
      <c r="BD4" s="123" t="s">
        <v>509</v>
      </c>
      <c r="BE4" s="124"/>
      <c r="BF4" s="124" t="s">
        <v>484</v>
      </c>
      <c r="BG4" s="124" t="s">
        <v>482</v>
      </c>
      <c r="BH4" s="122" t="s">
        <v>510</v>
      </c>
      <c r="BI4" s="171" t="s">
        <v>511</v>
      </c>
      <c r="BJ4" s="171" t="s">
        <v>512</v>
      </c>
      <c r="BK4" s="171" t="s">
        <v>513</v>
      </c>
      <c r="BL4" s="171">
        <v>1485.16</v>
      </c>
      <c r="BM4" s="171">
        <v>38182.88</v>
      </c>
      <c r="BN4" s="171">
        <v>-36698.0</v>
      </c>
      <c r="BO4" s="171" t="s">
        <v>514</v>
      </c>
      <c r="BP4" s="171">
        <v>9158398.0</v>
      </c>
      <c r="BQ4" s="171" t="s">
        <v>484</v>
      </c>
      <c r="BR4" s="171" t="s">
        <v>479</v>
      </c>
      <c r="BS4" s="171">
        <v>37.0</v>
      </c>
    </row>
    <row r="5" ht="14.25" customHeight="1">
      <c r="A5" s="122" t="s">
        <v>493</v>
      </c>
      <c r="B5" s="123" t="s">
        <v>494</v>
      </c>
      <c r="C5" s="123">
        <v>107.0</v>
      </c>
      <c r="D5" s="123" t="s">
        <v>146</v>
      </c>
      <c r="E5" s="123" t="s">
        <v>147</v>
      </c>
      <c r="F5" s="124"/>
      <c r="G5" s="123" t="s">
        <v>149</v>
      </c>
      <c r="H5" s="123" t="s">
        <v>2</v>
      </c>
      <c r="I5" s="123" t="s">
        <v>495</v>
      </c>
      <c r="J5" s="123" t="s">
        <v>496</v>
      </c>
      <c r="K5" s="123" t="s">
        <v>497</v>
      </c>
      <c r="L5" s="123" t="s">
        <v>498</v>
      </c>
      <c r="M5" s="125">
        <v>46140.0</v>
      </c>
      <c r="N5" s="123" t="s">
        <v>516</v>
      </c>
      <c r="O5" s="123">
        <v>9174963.0</v>
      </c>
      <c r="P5" s="179">
        <v>46129.0</v>
      </c>
      <c r="Q5" s="123" t="s">
        <v>500</v>
      </c>
      <c r="R5" s="123">
        <v>35671.0</v>
      </c>
      <c r="S5" s="123" t="s">
        <v>501</v>
      </c>
      <c r="T5" s="123" t="s">
        <v>502</v>
      </c>
      <c r="U5" s="123" t="s">
        <v>503</v>
      </c>
      <c r="V5" s="123" t="s">
        <v>504</v>
      </c>
      <c r="W5" s="124"/>
      <c r="X5" s="123">
        <v>275.0</v>
      </c>
      <c r="Y5" s="122">
        <v>64.0</v>
      </c>
      <c r="Z5" s="123">
        <v>17600.0</v>
      </c>
      <c r="AA5" s="123" t="s">
        <v>157</v>
      </c>
      <c r="AB5" s="123" t="s">
        <v>516</v>
      </c>
      <c r="AC5" s="125">
        <v>46129.0</v>
      </c>
      <c r="AD5" s="123" t="s">
        <v>505</v>
      </c>
      <c r="AE5" s="123">
        <v>998729.0</v>
      </c>
      <c r="AF5" s="123" t="s">
        <v>517</v>
      </c>
      <c r="AG5" s="124"/>
      <c r="AH5" s="124"/>
      <c r="AI5" s="123">
        <v>17600.0</v>
      </c>
      <c r="AJ5" s="123" t="s">
        <v>159</v>
      </c>
      <c r="AK5" s="123">
        <v>18.0</v>
      </c>
      <c r="AL5" s="122">
        <v>0.0</v>
      </c>
      <c r="AM5" s="123">
        <v>0.0</v>
      </c>
      <c r="AN5" s="122">
        <v>3168.0</v>
      </c>
      <c r="AO5" s="123">
        <v>0.0</v>
      </c>
      <c r="AP5" s="123">
        <v>0.0</v>
      </c>
      <c r="AQ5" s="123">
        <v>0.0</v>
      </c>
      <c r="AR5" s="123">
        <v>0.0</v>
      </c>
      <c r="AS5" s="123">
        <v>0.0</v>
      </c>
      <c r="AT5" s="123">
        <v>0.0</v>
      </c>
      <c r="AU5" s="124"/>
      <c r="AV5" s="124"/>
      <c r="AW5" s="123">
        <v>0.0</v>
      </c>
      <c r="AX5" s="123">
        <v>20768.0</v>
      </c>
      <c r="AY5" s="123" t="s">
        <v>31</v>
      </c>
      <c r="AZ5" s="123" t="s">
        <v>31</v>
      </c>
      <c r="BA5" s="123" t="s">
        <v>518</v>
      </c>
      <c r="BB5" s="123">
        <v>1.126100446E9</v>
      </c>
      <c r="BC5" s="123" t="s">
        <v>508</v>
      </c>
      <c r="BD5" s="123" t="s">
        <v>509</v>
      </c>
      <c r="BE5" s="124"/>
      <c r="BF5" s="124" t="s">
        <v>484</v>
      </c>
      <c r="BG5" s="124" t="s">
        <v>482</v>
      </c>
      <c r="BH5" s="122" t="s">
        <v>510</v>
      </c>
      <c r="BI5" s="171" t="s">
        <v>511</v>
      </c>
      <c r="BJ5" s="171" t="s">
        <v>512</v>
      </c>
      <c r="BK5" s="171" t="s">
        <v>519</v>
      </c>
      <c r="BL5" s="171">
        <v>3168.0</v>
      </c>
      <c r="BM5" s="171">
        <v>36494.74</v>
      </c>
      <c r="BN5" s="171">
        <v>-33327.0</v>
      </c>
      <c r="BO5" s="171" t="s">
        <v>514</v>
      </c>
      <c r="BP5" s="171">
        <v>9174963.0</v>
      </c>
      <c r="BQ5" s="171" t="s">
        <v>484</v>
      </c>
      <c r="BR5" s="171" t="s">
        <v>479</v>
      </c>
      <c r="BS5" s="171">
        <v>36.0</v>
      </c>
    </row>
    <row r="6" ht="14.25" customHeight="1">
      <c r="A6" s="122" t="s">
        <v>493</v>
      </c>
      <c r="B6" s="123" t="s">
        <v>494</v>
      </c>
      <c r="C6" s="123">
        <v>107.0</v>
      </c>
      <c r="D6" s="123" t="s">
        <v>146</v>
      </c>
      <c r="E6" s="123" t="s">
        <v>147</v>
      </c>
      <c r="F6" s="124"/>
      <c r="G6" s="123" t="s">
        <v>149</v>
      </c>
      <c r="H6" s="123" t="s">
        <v>2</v>
      </c>
      <c r="I6" s="123" t="s">
        <v>495</v>
      </c>
      <c r="J6" s="123" t="s">
        <v>496</v>
      </c>
      <c r="K6" s="123" t="s">
        <v>497</v>
      </c>
      <c r="L6" s="123" t="s">
        <v>498</v>
      </c>
      <c r="M6" s="125">
        <v>46127.0</v>
      </c>
      <c r="N6" s="123" t="s">
        <v>520</v>
      </c>
      <c r="O6" s="123">
        <v>9156749.0</v>
      </c>
      <c r="P6" s="179">
        <v>46115.0</v>
      </c>
      <c r="Q6" s="123" t="s">
        <v>500</v>
      </c>
      <c r="R6" s="123">
        <v>6262.0</v>
      </c>
      <c r="S6" s="123" t="s">
        <v>521</v>
      </c>
      <c r="T6" s="123" t="s">
        <v>522</v>
      </c>
      <c r="U6" s="123" t="s">
        <v>523</v>
      </c>
      <c r="V6" s="123" t="s">
        <v>504</v>
      </c>
      <c r="W6" s="124"/>
      <c r="X6" s="123">
        <v>1.0</v>
      </c>
      <c r="Y6" s="122">
        <v>3199.0</v>
      </c>
      <c r="Z6" s="123">
        <v>3199.0</v>
      </c>
      <c r="AA6" s="123" t="s">
        <v>157</v>
      </c>
      <c r="AB6" s="123" t="s">
        <v>524</v>
      </c>
      <c r="AC6" s="125">
        <v>46115.0</v>
      </c>
      <c r="AD6" s="123" t="s">
        <v>525</v>
      </c>
      <c r="AE6" s="123">
        <v>998413.0</v>
      </c>
      <c r="AF6" s="123" t="s">
        <v>526</v>
      </c>
      <c r="AG6" s="124"/>
      <c r="AH6" s="124"/>
      <c r="AI6" s="123">
        <v>3199.0</v>
      </c>
      <c r="AJ6" s="123" t="s">
        <v>159</v>
      </c>
      <c r="AK6" s="123">
        <v>18.0</v>
      </c>
      <c r="AL6" s="122">
        <v>287.91</v>
      </c>
      <c r="AM6" s="123">
        <v>287.91</v>
      </c>
      <c r="AN6" s="122">
        <v>0.0</v>
      </c>
      <c r="AO6" s="123">
        <v>0.0</v>
      </c>
      <c r="AP6" s="123">
        <v>0.0</v>
      </c>
      <c r="AQ6" s="123">
        <v>0.0</v>
      </c>
      <c r="AR6" s="123">
        <v>0.0</v>
      </c>
      <c r="AS6" s="123">
        <v>0.0</v>
      </c>
      <c r="AT6" s="123">
        <v>0.0</v>
      </c>
      <c r="AU6" s="124"/>
      <c r="AV6" s="124"/>
      <c r="AW6" s="123">
        <v>0.0</v>
      </c>
      <c r="AX6" s="123">
        <v>3774.82</v>
      </c>
      <c r="AY6" s="123" t="s">
        <v>20</v>
      </c>
      <c r="AZ6" s="123" t="s">
        <v>31</v>
      </c>
      <c r="BA6" s="123" t="s">
        <v>527</v>
      </c>
      <c r="BB6" s="123">
        <v>1.126100078E9</v>
      </c>
      <c r="BC6" s="123" t="s">
        <v>187</v>
      </c>
      <c r="BD6" s="123" t="s">
        <v>162</v>
      </c>
      <c r="BE6" s="124"/>
      <c r="BF6" s="124" t="s">
        <v>483</v>
      </c>
      <c r="BG6" s="124" t="s">
        <v>482</v>
      </c>
      <c r="BH6" s="122" t="s">
        <v>510</v>
      </c>
      <c r="BI6" s="171" t="s">
        <v>511</v>
      </c>
      <c r="BJ6" s="171" t="s">
        <v>512</v>
      </c>
      <c r="BK6" s="171" t="s">
        <v>480</v>
      </c>
      <c r="BL6" s="171">
        <v>575.82</v>
      </c>
      <c r="BM6" s="171">
        <v>8534.42</v>
      </c>
      <c r="BN6" s="171">
        <v>-7959.0</v>
      </c>
      <c r="BO6" s="171" t="s">
        <v>514</v>
      </c>
      <c r="BP6" s="171">
        <v>9156749.0</v>
      </c>
      <c r="BQ6" s="171" t="s">
        <v>483</v>
      </c>
      <c r="BR6" s="171" t="s">
        <v>479</v>
      </c>
      <c r="BS6" s="171">
        <v>17.0</v>
      </c>
    </row>
    <row r="7" ht="14.25" customHeight="1">
      <c r="A7" s="122" t="s">
        <v>493</v>
      </c>
      <c r="B7" s="123" t="s">
        <v>494</v>
      </c>
      <c r="C7" s="123">
        <v>107.0</v>
      </c>
      <c r="D7" s="123" t="s">
        <v>146</v>
      </c>
      <c r="E7" s="123" t="s">
        <v>147</v>
      </c>
      <c r="F7" s="124"/>
      <c r="G7" s="124"/>
      <c r="H7" s="123" t="s">
        <v>2</v>
      </c>
      <c r="I7" s="123" t="s">
        <v>495</v>
      </c>
      <c r="J7" s="123" t="s">
        <v>528</v>
      </c>
      <c r="K7" s="123" t="s">
        <v>529</v>
      </c>
      <c r="L7" s="123" t="s">
        <v>498</v>
      </c>
      <c r="M7" s="125">
        <v>46126.0</v>
      </c>
      <c r="N7" s="123" t="s">
        <v>530</v>
      </c>
      <c r="O7" s="123">
        <v>9155613.0</v>
      </c>
      <c r="P7" s="179">
        <v>46114.0</v>
      </c>
      <c r="Q7" s="123" t="s">
        <v>500</v>
      </c>
      <c r="R7" s="123">
        <v>2770.0</v>
      </c>
      <c r="S7" s="123" t="s">
        <v>531</v>
      </c>
      <c r="T7" s="123" t="s">
        <v>532</v>
      </c>
      <c r="U7" s="123" t="s">
        <v>533</v>
      </c>
      <c r="V7" s="123" t="s">
        <v>504</v>
      </c>
      <c r="W7" s="124"/>
      <c r="X7" s="123">
        <v>1.0</v>
      </c>
      <c r="Y7" s="122">
        <v>2.8</v>
      </c>
      <c r="Z7" s="123">
        <v>2.8</v>
      </c>
      <c r="AA7" s="123" t="s">
        <v>157</v>
      </c>
      <c r="AB7" s="123" t="s">
        <v>530</v>
      </c>
      <c r="AC7" s="125">
        <v>46114.0</v>
      </c>
      <c r="AD7" s="123" t="s">
        <v>525</v>
      </c>
      <c r="AE7" s="123">
        <v>8.4439952E7</v>
      </c>
      <c r="AF7" s="123" t="s">
        <v>534</v>
      </c>
      <c r="AG7" s="124"/>
      <c r="AH7" s="124"/>
      <c r="AI7" s="123">
        <v>2.8</v>
      </c>
      <c r="AJ7" s="123" t="s">
        <v>159</v>
      </c>
      <c r="AK7" s="123">
        <v>18.0</v>
      </c>
      <c r="AL7" s="122">
        <v>0.25</v>
      </c>
      <c r="AM7" s="123">
        <v>0.25</v>
      </c>
      <c r="AN7" s="122">
        <v>0.0</v>
      </c>
      <c r="AO7" s="123">
        <v>0.0</v>
      </c>
      <c r="AP7" s="123">
        <v>0.0</v>
      </c>
      <c r="AQ7" s="123">
        <v>0.0</v>
      </c>
      <c r="AR7" s="123">
        <v>0.0</v>
      </c>
      <c r="AS7" s="123">
        <v>0.0</v>
      </c>
      <c r="AT7" s="123">
        <v>0.0</v>
      </c>
      <c r="AU7" s="124"/>
      <c r="AV7" s="124"/>
      <c r="AW7" s="123">
        <v>0.0</v>
      </c>
      <c r="AX7" s="123">
        <v>3.3</v>
      </c>
      <c r="AY7" s="123" t="s">
        <v>20</v>
      </c>
      <c r="AZ7" s="123" t="s">
        <v>31</v>
      </c>
      <c r="BA7" s="123" t="s">
        <v>535</v>
      </c>
      <c r="BB7" s="123">
        <v>1.126100063E9</v>
      </c>
      <c r="BC7" s="123" t="s">
        <v>187</v>
      </c>
      <c r="BD7" s="123" t="s">
        <v>162</v>
      </c>
      <c r="BE7" s="124"/>
      <c r="BF7" s="124" t="s">
        <v>483</v>
      </c>
      <c r="BG7" s="124" t="s">
        <v>482</v>
      </c>
      <c r="BH7" s="122" t="s">
        <v>510</v>
      </c>
      <c r="BI7" s="171" t="s">
        <v>511</v>
      </c>
      <c r="BJ7" s="171" t="s">
        <v>512</v>
      </c>
      <c r="BK7" s="171" t="s">
        <v>536</v>
      </c>
      <c r="BL7" s="171">
        <v>0.5</v>
      </c>
      <c r="BM7" s="171">
        <v>5381.62</v>
      </c>
      <c r="BN7" s="171">
        <v>-5381.0</v>
      </c>
      <c r="BO7" s="171" t="s">
        <v>514</v>
      </c>
      <c r="BP7" s="171">
        <v>9155613.0</v>
      </c>
      <c r="BQ7" s="171" t="s">
        <v>483</v>
      </c>
      <c r="BR7" s="171" t="s">
        <v>479</v>
      </c>
      <c r="BS7" s="171">
        <v>4.0</v>
      </c>
    </row>
    <row r="8" ht="14.25" customHeight="1">
      <c r="A8" s="122" t="s">
        <v>493</v>
      </c>
      <c r="B8" s="123" t="s">
        <v>494</v>
      </c>
      <c r="C8" s="123">
        <v>107.0</v>
      </c>
      <c r="D8" s="123" t="s">
        <v>146</v>
      </c>
      <c r="E8" s="123" t="s">
        <v>147</v>
      </c>
      <c r="F8" s="124"/>
      <c r="G8" s="124"/>
      <c r="H8" s="123" t="s">
        <v>2</v>
      </c>
      <c r="I8" s="123" t="s">
        <v>495</v>
      </c>
      <c r="J8" s="123" t="s">
        <v>528</v>
      </c>
      <c r="K8" s="123" t="s">
        <v>529</v>
      </c>
      <c r="L8" s="123" t="s">
        <v>498</v>
      </c>
      <c r="M8" s="125">
        <v>46136.0</v>
      </c>
      <c r="N8" s="123" t="s">
        <v>537</v>
      </c>
      <c r="O8" s="123">
        <v>9168298.0</v>
      </c>
      <c r="P8" s="179">
        <v>46127.0</v>
      </c>
      <c r="Q8" s="123" t="s">
        <v>500</v>
      </c>
      <c r="R8" s="123">
        <v>3484.0</v>
      </c>
      <c r="S8" s="123" t="s">
        <v>538</v>
      </c>
      <c r="T8" s="123" t="s">
        <v>539</v>
      </c>
      <c r="U8" s="123" t="s">
        <v>540</v>
      </c>
      <c r="V8" s="123" t="s">
        <v>504</v>
      </c>
      <c r="W8" s="124"/>
      <c r="X8" s="123">
        <v>5000.0</v>
      </c>
      <c r="Y8" s="122">
        <v>1.0</v>
      </c>
      <c r="Z8" s="123">
        <v>5000.0</v>
      </c>
      <c r="AA8" s="123" t="s">
        <v>157</v>
      </c>
      <c r="AB8" s="123" t="s">
        <v>537</v>
      </c>
      <c r="AC8" s="125">
        <v>46127.0</v>
      </c>
      <c r="AD8" s="124" t="s">
        <v>505</v>
      </c>
      <c r="AE8" s="123">
        <v>998716.0</v>
      </c>
      <c r="AF8" s="123" t="s">
        <v>541</v>
      </c>
      <c r="AG8" s="124"/>
      <c r="AH8" s="124"/>
      <c r="AI8" s="123">
        <v>5000.0</v>
      </c>
      <c r="AJ8" s="123" t="s">
        <v>159</v>
      </c>
      <c r="AK8" s="123">
        <v>18.0</v>
      </c>
      <c r="AL8" s="122">
        <v>450.0</v>
      </c>
      <c r="AM8" s="123">
        <v>450.0</v>
      </c>
      <c r="AN8" s="122">
        <v>0.0</v>
      </c>
      <c r="AO8" s="123">
        <v>0.0</v>
      </c>
      <c r="AP8" s="123">
        <v>0.0</v>
      </c>
      <c r="AQ8" s="123">
        <v>0.0</v>
      </c>
      <c r="AR8" s="123">
        <v>0.0</v>
      </c>
      <c r="AS8" s="123">
        <v>0.0</v>
      </c>
      <c r="AT8" s="123">
        <v>0.0</v>
      </c>
      <c r="AU8" s="124"/>
      <c r="AV8" s="124"/>
      <c r="AW8" s="123">
        <v>0.0</v>
      </c>
      <c r="AX8" s="123">
        <v>5900.0</v>
      </c>
      <c r="AY8" s="123" t="s">
        <v>20</v>
      </c>
      <c r="AZ8" s="123" t="s">
        <v>31</v>
      </c>
      <c r="BA8" s="123" t="s">
        <v>542</v>
      </c>
      <c r="BB8" s="123">
        <v>1.126100391E9</v>
      </c>
      <c r="BC8" s="123" t="s">
        <v>187</v>
      </c>
      <c r="BD8" s="123" t="s">
        <v>162</v>
      </c>
      <c r="BE8" s="124"/>
      <c r="BF8" s="124" t="s">
        <v>483</v>
      </c>
      <c r="BG8" s="124" t="s">
        <v>482</v>
      </c>
      <c r="BH8" s="122" t="s">
        <v>510</v>
      </c>
      <c r="BI8" s="171" t="s">
        <v>511</v>
      </c>
      <c r="BJ8" s="171" t="s">
        <v>512</v>
      </c>
      <c r="BK8" s="171" t="s">
        <v>543</v>
      </c>
      <c r="BL8" s="171">
        <v>7200.0</v>
      </c>
      <c r="BM8" s="171" t="e">
        <v>#N/A</v>
      </c>
      <c r="BN8" s="171" t="e">
        <v>#N/A</v>
      </c>
      <c r="BO8" s="171" t="s">
        <v>544</v>
      </c>
      <c r="BP8" s="171">
        <v>9164641.0</v>
      </c>
      <c r="BQ8" s="171" t="s">
        <v>481</v>
      </c>
      <c r="BR8" s="171" t="s">
        <v>479</v>
      </c>
      <c r="BS8" s="171">
        <v>1.0</v>
      </c>
    </row>
    <row r="9" ht="14.25" customHeight="1">
      <c r="A9" s="122" t="s">
        <v>493</v>
      </c>
      <c r="B9" s="123" t="s">
        <v>494</v>
      </c>
      <c r="C9" s="123">
        <v>107.0</v>
      </c>
      <c r="D9" s="123" t="s">
        <v>146</v>
      </c>
      <c r="E9" s="123" t="s">
        <v>147</v>
      </c>
      <c r="F9" s="124"/>
      <c r="G9" s="124"/>
      <c r="H9" s="123" t="s">
        <v>2</v>
      </c>
      <c r="I9" s="123" t="s">
        <v>495</v>
      </c>
      <c r="J9" s="123" t="s">
        <v>528</v>
      </c>
      <c r="K9" s="123" t="s">
        <v>529</v>
      </c>
      <c r="L9" s="123" t="s">
        <v>498</v>
      </c>
      <c r="M9" s="125">
        <v>46126.0</v>
      </c>
      <c r="N9" s="123" t="s">
        <v>545</v>
      </c>
      <c r="O9" s="123">
        <v>9155610.0</v>
      </c>
      <c r="P9" s="179">
        <v>46114.0</v>
      </c>
      <c r="Q9" s="123" t="s">
        <v>500</v>
      </c>
      <c r="R9" s="123">
        <v>2770.0</v>
      </c>
      <c r="S9" s="123" t="s">
        <v>531</v>
      </c>
      <c r="T9" s="123" t="s">
        <v>532</v>
      </c>
      <c r="U9" s="123" t="s">
        <v>533</v>
      </c>
      <c r="V9" s="123" t="s">
        <v>504</v>
      </c>
      <c r="W9" s="124"/>
      <c r="X9" s="123">
        <v>1.0</v>
      </c>
      <c r="Y9" s="122">
        <v>275.0</v>
      </c>
      <c r="Z9" s="123">
        <v>275.0</v>
      </c>
      <c r="AA9" s="123" t="s">
        <v>157</v>
      </c>
      <c r="AB9" s="123" t="s">
        <v>545</v>
      </c>
      <c r="AC9" s="125">
        <v>46114.0</v>
      </c>
      <c r="AD9" s="123" t="s">
        <v>525</v>
      </c>
      <c r="AE9" s="123">
        <v>8.4439952E7</v>
      </c>
      <c r="AF9" s="123" t="s">
        <v>546</v>
      </c>
      <c r="AG9" s="124"/>
      <c r="AH9" s="124"/>
      <c r="AI9" s="123">
        <v>275.0</v>
      </c>
      <c r="AJ9" s="123" t="s">
        <v>159</v>
      </c>
      <c r="AK9" s="123">
        <v>18.0</v>
      </c>
      <c r="AL9" s="122">
        <v>24.75</v>
      </c>
      <c r="AM9" s="123">
        <v>24.75</v>
      </c>
      <c r="AN9" s="122">
        <v>0.0</v>
      </c>
      <c r="AO9" s="123">
        <v>0.0</v>
      </c>
      <c r="AP9" s="123">
        <v>0.0</v>
      </c>
      <c r="AQ9" s="123">
        <v>0.0</v>
      </c>
      <c r="AR9" s="123">
        <v>0.0</v>
      </c>
      <c r="AS9" s="123">
        <v>0.0</v>
      </c>
      <c r="AT9" s="123">
        <v>0.0</v>
      </c>
      <c r="AU9" s="124"/>
      <c r="AV9" s="124"/>
      <c r="AW9" s="123">
        <v>0.0</v>
      </c>
      <c r="AX9" s="123">
        <v>324.5</v>
      </c>
      <c r="AY9" s="123" t="s">
        <v>20</v>
      </c>
      <c r="AZ9" s="123" t="s">
        <v>31</v>
      </c>
      <c r="BA9" s="123" t="s">
        <v>535</v>
      </c>
      <c r="BB9" s="123">
        <v>1.12610006E9</v>
      </c>
      <c r="BC9" s="123" t="s">
        <v>187</v>
      </c>
      <c r="BD9" s="123" t="s">
        <v>162</v>
      </c>
      <c r="BE9" s="124"/>
      <c r="BF9" s="124" t="s">
        <v>483</v>
      </c>
      <c r="BG9" s="124" t="s">
        <v>482</v>
      </c>
      <c r="BH9" s="122" t="s">
        <v>510</v>
      </c>
      <c r="BI9" s="171" t="s">
        <v>511</v>
      </c>
      <c r="BJ9" s="171" t="s">
        <v>512</v>
      </c>
      <c r="BK9" s="171" t="s">
        <v>547</v>
      </c>
      <c r="BL9" s="171">
        <v>900.0</v>
      </c>
      <c r="BM9" s="171">
        <v>900.0</v>
      </c>
      <c r="BN9" s="171">
        <v>0.0</v>
      </c>
      <c r="BO9" s="171" t="s">
        <v>514</v>
      </c>
      <c r="BP9" s="171">
        <v>9168298.0</v>
      </c>
      <c r="BQ9" s="171" t="s">
        <v>483</v>
      </c>
      <c r="BR9" s="171" t="s">
        <v>479</v>
      </c>
      <c r="BS9" s="171">
        <v>1.0</v>
      </c>
    </row>
    <row r="10" ht="14.25" customHeight="1">
      <c r="A10" s="122" t="s">
        <v>493</v>
      </c>
      <c r="B10" s="123" t="s">
        <v>494</v>
      </c>
      <c r="C10" s="123">
        <v>107.0</v>
      </c>
      <c r="D10" s="123" t="s">
        <v>146</v>
      </c>
      <c r="E10" s="123" t="s">
        <v>147</v>
      </c>
      <c r="F10" s="124"/>
      <c r="G10" s="124" t="s">
        <v>149</v>
      </c>
      <c r="H10" s="123" t="s">
        <v>2</v>
      </c>
      <c r="I10" s="123" t="s">
        <v>495</v>
      </c>
      <c r="J10" s="123" t="s">
        <v>496</v>
      </c>
      <c r="K10" s="123" t="s">
        <v>497</v>
      </c>
      <c r="L10" s="123" t="s">
        <v>498</v>
      </c>
      <c r="M10" s="125">
        <v>46140.0</v>
      </c>
      <c r="N10" s="123" t="s">
        <v>516</v>
      </c>
      <c r="O10" s="123">
        <v>9174963.0</v>
      </c>
      <c r="P10" s="179">
        <v>46129.0</v>
      </c>
      <c r="Q10" s="123" t="s">
        <v>500</v>
      </c>
      <c r="R10" s="123">
        <v>35671.0</v>
      </c>
      <c r="S10" s="123" t="s">
        <v>501</v>
      </c>
      <c r="T10" s="123" t="s">
        <v>502</v>
      </c>
      <c r="U10" s="123" t="s">
        <v>503</v>
      </c>
      <c r="V10" s="124" t="s">
        <v>504</v>
      </c>
      <c r="W10" s="124"/>
      <c r="X10" s="123">
        <v>275.0</v>
      </c>
      <c r="Y10" s="122">
        <v>24.0</v>
      </c>
      <c r="Z10" s="123">
        <v>6600.0</v>
      </c>
      <c r="AA10" s="123" t="s">
        <v>157</v>
      </c>
      <c r="AB10" s="123" t="s">
        <v>516</v>
      </c>
      <c r="AC10" s="125">
        <v>46129.0</v>
      </c>
      <c r="AD10" s="124" t="s">
        <v>505</v>
      </c>
      <c r="AE10" s="123">
        <v>996200.0</v>
      </c>
      <c r="AF10" s="123" t="s">
        <v>548</v>
      </c>
      <c r="AG10" s="124"/>
      <c r="AH10" s="124"/>
      <c r="AI10" s="123">
        <v>6600.0</v>
      </c>
      <c r="AJ10" s="123" t="s">
        <v>159</v>
      </c>
      <c r="AK10" s="123">
        <v>18.0</v>
      </c>
      <c r="AL10" s="122">
        <v>0.0</v>
      </c>
      <c r="AM10" s="123">
        <v>0.0</v>
      </c>
      <c r="AN10" s="122">
        <v>1188.0</v>
      </c>
      <c r="AO10" s="123">
        <v>0.0</v>
      </c>
      <c r="AP10" s="123">
        <v>0.0</v>
      </c>
      <c r="AQ10" s="123">
        <v>0.0</v>
      </c>
      <c r="AR10" s="123">
        <v>0.0</v>
      </c>
      <c r="AS10" s="123">
        <v>0.0</v>
      </c>
      <c r="AT10" s="123">
        <v>0.0</v>
      </c>
      <c r="AU10" s="124"/>
      <c r="AV10" s="124"/>
      <c r="AW10" s="123">
        <v>0.0</v>
      </c>
      <c r="AX10" s="123">
        <v>7788.0</v>
      </c>
      <c r="AY10" s="123" t="s">
        <v>31</v>
      </c>
      <c r="AZ10" s="123" t="s">
        <v>31</v>
      </c>
      <c r="BA10" s="123" t="s">
        <v>518</v>
      </c>
      <c r="BB10" s="123">
        <v>1.126100446E9</v>
      </c>
      <c r="BC10" s="123" t="s">
        <v>508</v>
      </c>
      <c r="BD10" s="123" t="s">
        <v>509</v>
      </c>
      <c r="BE10" s="124"/>
      <c r="BF10" s="124" t="s">
        <v>484</v>
      </c>
      <c r="BG10" s="124" t="s">
        <v>482</v>
      </c>
      <c r="BH10" s="122" t="s">
        <v>510</v>
      </c>
      <c r="BI10" s="171" t="s">
        <v>511</v>
      </c>
      <c r="BJ10" s="171" t="s">
        <v>512</v>
      </c>
      <c r="BK10" s="171" t="s">
        <v>549</v>
      </c>
      <c r="BL10" s="171">
        <v>353.61</v>
      </c>
      <c r="BM10" s="171">
        <v>353.61</v>
      </c>
      <c r="BN10" s="171">
        <v>0.0</v>
      </c>
      <c r="BO10" s="171" t="s">
        <v>514</v>
      </c>
      <c r="BP10" s="171">
        <v>9178440.0</v>
      </c>
      <c r="BQ10" s="171" t="s">
        <v>484</v>
      </c>
      <c r="BR10" s="171" t="s">
        <v>476</v>
      </c>
      <c r="BS10" s="171">
        <v>1.0</v>
      </c>
    </row>
    <row r="11" ht="14.25" customHeight="1">
      <c r="A11" s="122" t="s">
        <v>493</v>
      </c>
      <c r="B11" s="123" t="s">
        <v>494</v>
      </c>
      <c r="C11" s="123">
        <v>107.0</v>
      </c>
      <c r="D11" s="123" t="s">
        <v>146</v>
      </c>
      <c r="E11" s="123" t="s">
        <v>147</v>
      </c>
      <c r="F11" s="124"/>
      <c r="G11" s="124" t="s">
        <v>149</v>
      </c>
      <c r="H11" s="123" t="s">
        <v>2</v>
      </c>
      <c r="I11" s="123" t="s">
        <v>495</v>
      </c>
      <c r="J11" s="123" t="s">
        <v>496</v>
      </c>
      <c r="K11" s="123" t="s">
        <v>497</v>
      </c>
      <c r="L11" s="123" t="s">
        <v>498</v>
      </c>
      <c r="M11" s="125">
        <v>46127.0</v>
      </c>
      <c r="N11" s="123" t="s">
        <v>520</v>
      </c>
      <c r="O11" s="123">
        <v>9156749.0</v>
      </c>
      <c r="P11" s="179">
        <v>46115.0</v>
      </c>
      <c r="Q11" s="123" t="s">
        <v>500</v>
      </c>
      <c r="R11" s="123">
        <v>6262.0</v>
      </c>
      <c r="S11" s="123" t="s">
        <v>521</v>
      </c>
      <c r="T11" s="123" t="s">
        <v>522</v>
      </c>
      <c r="U11" s="123" t="s">
        <v>523</v>
      </c>
      <c r="V11" s="123" t="s">
        <v>504</v>
      </c>
      <c r="W11" s="124"/>
      <c r="X11" s="123">
        <v>1.0</v>
      </c>
      <c r="Y11" s="122">
        <v>1297.0</v>
      </c>
      <c r="Z11" s="123">
        <v>1297.0</v>
      </c>
      <c r="AA11" s="123" t="s">
        <v>157</v>
      </c>
      <c r="AB11" s="123" t="s">
        <v>524</v>
      </c>
      <c r="AC11" s="125">
        <v>46115.0</v>
      </c>
      <c r="AD11" s="123" t="s">
        <v>525</v>
      </c>
      <c r="AE11" s="123">
        <v>998413.0</v>
      </c>
      <c r="AF11" s="123" t="s">
        <v>526</v>
      </c>
      <c r="AG11" s="124"/>
      <c r="AH11" s="124"/>
      <c r="AI11" s="123">
        <v>1297.0</v>
      </c>
      <c r="AJ11" s="123" t="s">
        <v>159</v>
      </c>
      <c r="AK11" s="123">
        <v>18.0</v>
      </c>
      <c r="AL11" s="122">
        <v>116.73</v>
      </c>
      <c r="AM11" s="123">
        <v>116.73</v>
      </c>
      <c r="AN11" s="122">
        <v>0.0</v>
      </c>
      <c r="AO11" s="123">
        <v>0.0</v>
      </c>
      <c r="AP11" s="123">
        <v>0.0</v>
      </c>
      <c r="AQ11" s="123">
        <v>0.0</v>
      </c>
      <c r="AR11" s="123">
        <v>0.0</v>
      </c>
      <c r="AS11" s="123">
        <v>0.0</v>
      </c>
      <c r="AT11" s="123">
        <v>0.0</v>
      </c>
      <c r="AU11" s="124"/>
      <c r="AV11" s="124"/>
      <c r="AW11" s="123">
        <v>0.0</v>
      </c>
      <c r="AX11" s="123">
        <v>1530.46</v>
      </c>
      <c r="AY11" s="123" t="s">
        <v>20</v>
      </c>
      <c r="AZ11" s="123" t="s">
        <v>31</v>
      </c>
      <c r="BA11" s="123" t="s">
        <v>527</v>
      </c>
      <c r="BB11" s="123">
        <v>1.126100078E9</v>
      </c>
      <c r="BC11" s="123" t="s">
        <v>187</v>
      </c>
      <c r="BD11" s="123" t="s">
        <v>162</v>
      </c>
      <c r="BE11" s="124"/>
      <c r="BF11" s="124" t="s">
        <v>483</v>
      </c>
      <c r="BG11" s="124" t="s">
        <v>482</v>
      </c>
      <c r="BH11" s="122" t="s">
        <v>510</v>
      </c>
      <c r="BI11" s="171" t="s">
        <v>511</v>
      </c>
      <c r="BJ11" s="171" t="s">
        <v>512</v>
      </c>
      <c r="BK11" s="171" t="s">
        <v>550</v>
      </c>
      <c r="BL11" s="171">
        <v>49.5</v>
      </c>
      <c r="BM11" s="171">
        <v>489.18</v>
      </c>
      <c r="BN11" s="171">
        <v>-440.0</v>
      </c>
      <c r="BO11" s="171" t="s">
        <v>514</v>
      </c>
      <c r="BP11" s="171">
        <v>9155610.0</v>
      </c>
      <c r="BQ11" s="171" t="s">
        <v>483</v>
      </c>
      <c r="BR11" s="171" t="s">
        <v>479</v>
      </c>
      <c r="BS11" s="171">
        <v>4.0</v>
      </c>
    </row>
    <row r="12" ht="14.25" customHeight="1">
      <c r="A12" s="122" t="s">
        <v>493</v>
      </c>
      <c r="B12" s="123" t="s">
        <v>494</v>
      </c>
      <c r="C12" s="123">
        <v>107.0</v>
      </c>
      <c r="D12" s="123" t="s">
        <v>146</v>
      </c>
      <c r="E12" s="123" t="s">
        <v>147</v>
      </c>
      <c r="F12" s="124"/>
      <c r="G12" s="123" t="s">
        <v>149</v>
      </c>
      <c r="H12" s="123" t="s">
        <v>2</v>
      </c>
      <c r="I12" s="123" t="s">
        <v>495</v>
      </c>
      <c r="J12" s="123" t="s">
        <v>496</v>
      </c>
      <c r="K12" s="123" t="s">
        <v>497</v>
      </c>
      <c r="L12" s="123" t="s">
        <v>498</v>
      </c>
      <c r="M12" s="125">
        <v>46127.0</v>
      </c>
      <c r="N12" s="123" t="s">
        <v>520</v>
      </c>
      <c r="O12" s="123">
        <v>9156749.0</v>
      </c>
      <c r="P12" s="179">
        <v>46115.0</v>
      </c>
      <c r="Q12" s="123" t="s">
        <v>500</v>
      </c>
      <c r="R12" s="123">
        <v>6262.0</v>
      </c>
      <c r="S12" s="123" t="s">
        <v>521</v>
      </c>
      <c r="T12" s="123" t="s">
        <v>522</v>
      </c>
      <c r="U12" s="123" t="s">
        <v>523</v>
      </c>
      <c r="V12" s="123" t="s">
        <v>504</v>
      </c>
      <c r="W12" s="124"/>
      <c r="X12" s="123">
        <v>1.0</v>
      </c>
      <c r="Y12" s="122">
        <v>399.0</v>
      </c>
      <c r="Z12" s="123">
        <v>399.0</v>
      </c>
      <c r="AA12" s="123" t="s">
        <v>157</v>
      </c>
      <c r="AB12" s="123" t="s">
        <v>524</v>
      </c>
      <c r="AC12" s="125">
        <v>46115.0</v>
      </c>
      <c r="AD12" s="123" t="s">
        <v>525</v>
      </c>
      <c r="AE12" s="123">
        <v>998413.0</v>
      </c>
      <c r="AF12" s="123" t="s">
        <v>526</v>
      </c>
      <c r="AG12" s="124"/>
      <c r="AH12" s="124"/>
      <c r="AI12" s="123">
        <v>399.0</v>
      </c>
      <c r="AJ12" s="123" t="s">
        <v>159</v>
      </c>
      <c r="AK12" s="123">
        <v>18.0</v>
      </c>
      <c r="AL12" s="122">
        <v>35.91</v>
      </c>
      <c r="AM12" s="123">
        <v>35.91</v>
      </c>
      <c r="AN12" s="122">
        <v>0.0</v>
      </c>
      <c r="AO12" s="123">
        <v>0.0</v>
      </c>
      <c r="AP12" s="123">
        <v>0.0</v>
      </c>
      <c r="AQ12" s="123">
        <v>0.0</v>
      </c>
      <c r="AR12" s="123">
        <v>0.0</v>
      </c>
      <c r="AS12" s="123">
        <v>0.0</v>
      </c>
      <c r="AT12" s="123">
        <v>0.0</v>
      </c>
      <c r="AU12" s="124"/>
      <c r="AV12" s="124"/>
      <c r="AW12" s="123">
        <v>0.0</v>
      </c>
      <c r="AX12" s="123">
        <v>470.82</v>
      </c>
      <c r="AY12" s="123" t="s">
        <v>20</v>
      </c>
      <c r="AZ12" s="123" t="s">
        <v>31</v>
      </c>
      <c r="BA12" s="123" t="s">
        <v>527</v>
      </c>
      <c r="BB12" s="123">
        <v>1.126100078E9</v>
      </c>
      <c r="BC12" s="123" t="s">
        <v>187</v>
      </c>
      <c r="BD12" s="123" t="s">
        <v>162</v>
      </c>
      <c r="BE12" s="124"/>
      <c r="BF12" s="124" t="s">
        <v>483</v>
      </c>
      <c r="BG12" s="124" t="s">
        <v>482</v>
      </c>
      <c r="BH12" s="122" t="s">
        <v>510</v>
      </c>
      <c r="BI12" s="171" t="s">
        <v>511</v>
      </c>
      <c r="BJ12" s="171" t="s">
        <v>512</v>
      </c>
      <c r="BK12" s="171" t="s">
        <v>519</v>
      </c>
      <c r="BL12" s="171">
        <v>1188.0</v>
      </c>
      <c r="BM12" s="171">
        <v>36494.74</v>
      </c>
      <c r="BN12" s="171">
        <v>-35307.0</v>
      </c>
      <c r="BO12" s="171" t="s">
        <v>514</v>
      </c>
      <c r="BP12" s="171">
        <v>9174963.0</v>
      </c>
      <c r="BQ12" s="171" t="s">
        <v>484</v>
      </c>
      <c r="BR12" s="171" t="s">
        <v>479</v>
      </c>
      <c r="BS12" s="171">
        <v>36.0</v>
      </c>
    </row>
    <row r="13" ht="14.25" customHeight="1">
      <c r="A13" s="122" t="s">
        <v>493</v>
      </c>
      <c r="B13" s="123" t="s">
        <v>494</v>
      </c>
      <c r="C13" s="123">
        <v>107.0</v>
      </c>
      <c r="D13" s="123" t="s">
        <v>146</v>
      </c>
      <c r="E13" s="123" t="s">
        <v>147</v>
      </c>
      <c r="F13" s="124"/>
      <c r="G13" s="123" t="s">
        <v>149</v>
      </c>
      <c r="H13" s="123" t="s">
        <v>2</v>
      </c>
      <c r="I13" s="123" t="s">
        <v>495</v>
      </c>
      <c r="J13" s="123" t="s">
        <v>496</v>
      </c>
      <c r="K13" s="123" t="s">
        <v>497</v>
      </c>
      <c r="L13" s="123" t="s">
        <v>498</v>
      </c>
      <c r="M13" s="125">
        <v>46140.0</v>
      </c>
      <c r="N13" s="123" t="s">
        <v>551</v>
      </c>
      <c r="O13" s="123">
        <v>9175014.0</v>
      </c>
      <c r="P13" s="179">
        <v>46129.0</v>
      </c>
      <c r="Q13" s="123" t="s">
        <v>500</v>
      </c>
      <c r="R13" s="123">
        <v>15979.0</v>
      </c>
      <c r="S13" s="123" t="s">
        <v>552</v>
      </c>
      <c r="T13" s="123" t="s">
        <v>539</v>
      </c>
      <c r="U13" s="123" t="s">
        <v>553</v>
      </c>
      <c r="V13" s="123" t="s">
        <v>504</v>
      </c>
      <c r="W13" s="124"/>
      <c r="X13" s="123">
        <v>100.0</v>
      </c>
      <c r="Y13" s="122">
        <v>1.0</v>
      </c>
      <c r="Z13" s="123">
        <v>100.0</v>
      </c>
      <c r="AA13" s="123" t="s">
        <v>157</v>
      </c>
      <c r="AB13" s="123" t="s">
        <v>551</v>
      </c>
      <c r="AC13" s="125">
        <v>46129.0</v>
      </c>
      <c r="AD13" s="123" t="s">
        <v>505</v>
      </c>
      <c r="AE13" s="123">
        <v>8.42123E7</v>
      </c>
      <c r="AF13" s="123" t="s">
        <v>554</v>
      </c>
      <c r="AG13" s="124"/>
      <c r="AH13" s="124"/>
      <c r="AI13" s="123">
        <v>100.0</v>
      </c>
      <c r="AJ13" s="123" t="s">
        <v>159</v>
      </c>
      <c r="AK13" s="123">
        <v>18.0</v>
      </c>
      <c r="AL13" s="122">
        <v>9.0</v>
      </c>
      <c r="AM13" s="123">
        <v>9.0</v>
      </c>
      <c r="AN13" s="122">
        <v>0.0</v>
      </c>
      <c r="AO13" s="123">
        <v>0.0</v>
      </c>
      <c r="AP13" s="123">
        <v>0.0</v>
      </c>
      <c r="AQ13" s="123">
        <v>0.0</v>
      </c>
      <c r="AR13" s="123">
        <v>0.0</v>
      </c>
      <c r="AS13" s="123">
        <v>0.0</v>
      </c>
      <c r="AT13" s="123">
        <v>0.0</v>
      </c>
      <c r="AU13" s="124"/>
      <c r="AV13" s="124"/>
      <c r="AW13" s="123">
        <v>0.0</v>
      </c>
      <c r="AX13" s="123">
        <v>118.0</v>
      </c>
      <c r="AY13" s="123" t="s">
        <v>31</v>
      </c>
      <c r="AZ13" s="123" t="s">
        <v>31</v>
      </c>
      <c r="BA13" s="123" t="s">
        <v>555</v>
      </c>
      <c r="BB13" s="123">
        <v>1.126100447E9</v>
      </c>
      <c r="BC13" s="123" t="s">
        <v>556</v>
      </c>
      <c r="BD13" s="123" t="s">
        <v>509</v>
      </c>
      <c r="BE13" s="124"/>
      <c r="BF13" s="124" t="s">
        <v>484</v>
      </c>
      <c r="BG13" s="124" t="s">
        <v>482</v>
      </c>
      <c r="BH13" s="122" t="s">
        <v>510</v>
      </c>
      <c r="BI13" s="171" t="s">
        <v>511</v>
      </c>
      <c r="BJ13" s="171" t="s">
        <v>512</v>
      </c>
      <c r="BK13" s="171" t="s">
        <v>480</v>
      </c>
      <c r="BL13" s="171">
        <v>233.46</v>
      </c>
      <c r="BM13" s="171">
        <v>8534.42</v>
      </c>
      <c r="BN13" s="171">
        <v>-8301.0</v>
      </c>
      <c r="BO13" s="171" t="s">
        <v>514</v>
      </c>
      <c r="BP13" s="171">
        <v>9156749.0</v>
      </c>
      <c r="BQ13" s="171" t="s">
        <v>483</v>
      </c>
      <c r="BR13" s="171" t="s">
        <v>479</v>
      </c>
      <c r="BS13" s="171">
        <v>17.0</v>
      </c>
    </row>
    <row r="14" ht="14.25" customHeight="1">
      <c r="A14" s="122" t="s">
        <v>493</v>
      </c>
      <c r="B14" s="123" t="s">
        <v>494</v>
      </c>
      <c r="C14" s="123">
        <v>107.0</v>
      </c>
      <c r="D14" s="123" t="s">
        <v>146</v>
      </c>
      <c r="E14" s="123" t="s">
        <v>147</v>
      </c>
      <c r="F14" s="124"/>
      <c r="G14" s="123" t="s">
        <v>149</v>
      </c>
      <c r="H14" s="123" t="s">
        <v>2</v>
      </c>
      <c r="I14" s="123" t="s">
        <v>495</v>
      </c>
      <c r="J14" s="123" t="s">
        <v>528</v>
      </c>
      <c r="K14" s="123" t="s">
        <v>529</v>
      </c>
      <c r="L14" s="123" t="s">
        <v>498</v>
      </c>
      <c r="M14" s="125">
        <v>46125.0</v>
      </c>
      <c r="N14" s="123" t="s">
        <v>557</v>
      </c>
      <c r="O14" s="123">
        <v>9151136.0</v>
      </c>
      <c r="P14" s="179">
        <v>46113.0</v>
      </c>
      <c r="Q14" s="123" t="s">
        <v>500</v>
      </c>
      <c r="R14" s="123">
        <v>25119.0</v>
      </c>
      <c r="S14" s="123" t="s">
        <v>558</v>
      </c>
      <c r="T14" s="123" t="s">
        <v>539</v>
      </c>
      <c r="U14" s="123" t="s">
        <v>559</v>
      </c>
      <c r="V14" s="123" t="s">
        <v>504</v>
      </c>
      <c r="W14" s="124"/>
      <c r="X14" s="123">
        <v>792000.0</v>
      </c>
      <c r="Y14" s="122">
        <v>1.0</v>
      </c>
      <c r="Z14" s="123">
        <v>792000.0</v>
      </c>
      <c r="AA14" s="123" t="s">
        <v>157</v>
      </c>
      <c r="AB14" s="123" t="s">
        <v>557</v>
      </c>
      <c r="AC14" s="125">
        <v>46113.0</v>
      </c>
      <c r="AD14" s="123" t="s">
        <v>505</v>
      </c>
      <c r="AE14" s="123">
        <v>997221.0</v>
      </c>
      <c r="AF14" s="123" t="s">
        <v>560</v>
      </c>
      <c r="AG14" s="124"/>
      <c r="AH14" s="124"/>
      <c r="AI14" s="123">
        <v>792000.0</v>
      </c>
      <c r="AJ14" s="123" t="s">
        <v>159</v>
      </c>
      <c r="AK14" s="123">
        <v>18.0</v>
      </c>
      <c r="AL14" s="122">
        <v>71280.0</v>
      </c>
      <c r="AM14" s="123">
        <v>71280.0</v>
      </c>
      <c r="AN14" s="122">
        <v>0.0</v>
      </c>
      <c r="AO14" s="123">
        <v>0.0</v>
      </c>
      <c r="AP14" s="123">
        <v>0.0</v>
      </c>
      <c r="AQ14" s="123">
        <v>0.0</v>
      </c>
      <c r="AR14" s="123">
        <v>0.0</v>
      </c>
      <c r="AS14" s="123">
        <v>0.0</v>
      </c>
      <c r="AT14" s="123">
        <v>0.0</v>
      </c>
      <c r="AU14" s="124"/>
      <c r="AV14" s="124"/>
      <c r="AW14" s="123">
        <v>0.0</v>
      </c>
      <c r="AX14" s="123">
        <v>934560.0</v>
      </c>
      <c r="AY14" s="123" t="s">
        <v>20</v>
      </c>
      <c r="AZ14" s="123" t="s">
        <v>31</v>
      </c>
      <c r="BA14" s="123" t="s">
        <v>561</v>
      </c>
      <c r="BB14" s="123">
        <v>1.126100026E9</v>
      </c>
      <c r="BC14" s="123" t="s">
        <v>187</v>
      </c>
      <c r="BD14" s="123" t="s">
        <v>162</v>
      </c>
      <c r="BE14" s="124"/>
      <c r="BF14" s="124" t="s">
        <v>483</v>
      </c>
      <c r="BG14" s="124" t="s">
        <v>482</v>
      </c>
      <c r="BH14" s="122" t="s">
        <v>510</v>
      </c>
      <c r="BI14" s="171" t="s">
        <v>511</v>
      </c>
      <c r="BJ14" s="171" t="s">
        <v>512</v>
      </c>
      <c r="BK14" s="171" t="s">
        <v>480</v>
      </c>
      <c r="BL14" s="171">
        <v>71.82</v>
      </c>
      <c r="BM14" s="171">
        <v>8534.42</v>
      </c>
      <c r="BN14" s="171">
        <v>-8463.0</v>
      </c>
      <c r="BO14" s="171" t="s">
        <v>514</v>
      </c>
      <c r="BP14" s="171">
        <v>9156749.0</v>
      </c>
      <c r="BQ14" s="171" t="s">
        <v>483</v>
      </c>
      <c r="BR14" s="171" t="s">
        <v>479</v>
      </c>
      <c r="BS14" s="171">
        <v>17.0</v>
      </c>
    </row>
    <row r="15" ht="14.25" customHeight="1">
      <c r="A15" s="122" t="s">
        <v>493</v>
      </c>
      <c r="B15" s="123" t="s">
        <v>494</v>
      </c>
      <c r="C15" s="123">
        <v>107.0</v>
      </c>
      <c r="D15" s="123" t="s">
        <v>146</v>
      </c>
      <c r="E15" s="123" t="s">
        <v>147</v>
      </c>
      <c r="F15" s="124"/>
      <c r="G15" s="123" t="s">
        <v>149</v>
      </c>
      <c r="H15" s="123" t="s">
        <v>2</v>
      </c>
      <c r="I15" s="123" t="s">
        <v>495</v>
      </c>
      <c r="J15" s="123" t="s">
        <v>496</v>
      </c>
      <c r="K15" s="123" t="s">
        <v>497</v>
      </c>
      <c r="L15" s="123" t="s">
        <v>498</v>
      </c>
      <c r="M15" s="125">
        <v>46127.0</v>
      </c>
      <c r="N15" s="123" t="s">
        <v>499</v>
      </c>
      <c r="O15" s="123">
        <v>9158398.0</v>
      </c>
      <c r="P15" s="179">
        <v>46090.0</v>
      </c>
      <c r="Q15" s="123" t="s">
        <v>500</v>
      </c>
      <c r="R15" s="123">
        <v>35671.0</v>
      </c>
      <c r="S15" s="123" t="s">
        <v>501</v>
      </c>
      <c r="T15" s="123" t="s">
        <v>502</v>
      </c>
      <c r="U15" s="123" t="s">
        <v>503</v>
      </c>
      <c r="V15" s="123" t="s">
        <v>504</v>
      </c>
      <c r="W15" s="124"/>
      <c r="X15" s="123">
        <v>275.0</v>
      </c>
      <c r="Y15" s="122">
        <v>38.0</v>
      </c>
      <c r="Z15" s="123">
        <v>10450.0</v>
      </c>
      <c r="AA15" s="123" t="s">
        <v>157</v>
      </c>
      <c r="AB15" s="123" t="s">
        <v>499</v>
      </c>
      <c r="AC15" s="125">
        <v>46121.0</v>
      </c>
      <c r="AD15" s="123" t="s">
        <v>505</v>
      </c>
      <c r="AE15" s="123">
        <v>998700.0</v>
      </c>
      <c r="AF15" s="123" t="s">
        <v>562</v>
      </c>
      <c r="AG15" s="124"/>
      <c r="AH15" s="124"/>
      <c r="AI15" s="123">
        <v>10450.0</v>
      </c>
      <c r="AJ15" s="123" t="s">
        <v>159</v>
      </c>
      <c r="AK15" s="123">
        <v>18.0</v>
      </c>
      <c r="AL15" s="122">
        <v>0.0</v>
      </c>
      <c r="AM15" s="123">
        <v>0.0</v>
      </c>
      <c r="AN15" s="122">
        <v>1881.0</v>
      </c>
      <c r="AO15" s="123">
        <v>0.0</v>
      </c>
      <c r="AP15" s="123">
        <v>0.0</v>
      </c>
      <c r="AQ15" s="123">
        <v>0.0</v>
      </c>
      <c r="AR15" s="123">
        <v>0.0</v>
      </c>
      <c r="AS15" s="123">
        <v>0.0</v>
      </c>
      <c r="AT15" s="123">
        <v>0.0</v>
      </c>
      <c r="AU15" s="124"/>
      <c r="AV15" s="124"/>
      <c r="AW15" s="123">
        <v>0.0</v>
      </c>
      <c r="AX15" s="123">
        <v>12331.0</v>
      </c>
      <c r="AY15" s="123" t="s">
        <v>31</v>
      </c>
      <c r="AZ15" s="123" t="s">
        <v>31</v>
      </c>
      <c r="BA15" s="123" t="s">
        <v>507</v>
      </c>
      <c r="BB15" s="123">
        <v>1.126100105E9</v>
      </c>
      <c r="BC15" s="123" t="s">
        <v>508</v>
      </c>
      <c r="BD15" s="123" t="s">
        <v>509</v>
      </c>
      <c r="BE15" s="124"/>
      <c r="BF15" s="124" t="s">
        <v>484</v>
      </c>
      <c r="BG15" s="124" t="s">
        <v>482</v>
      </c>
      <c r="BH15" s="122" t="s">
        <v>510</v>
      </c>
      <c r="BI15" s="171" t="s">
        <v>511</v>
      </c>
      <c r="BJ15" s="171" t="s">
        <v>512</v>
      </c>
      <c r="BK15" s="171" t="s">
        <v>563</v>
      </c>
      <c r="BL15" s="171">
        <v>18.0</v>
      </c>
      <c r="BM15" s="171">
        <v>2435.38</v>
      </c>
      <c r="BN15" s="171">
        <v>-2417.0</v>
      </c>
      <c r="BO15" s="171" t="s">
        <v>514</v>
      </c>
      <c r="BP15" s="171">
        <v>9175014.0</v>
      </c>
      <c r="BQ15" s="171" t="s">
        <v>484</v>
      </c>
      <c r="BR15" s="171" t="s">
        <v>479</v>
      </c>
      <c r="BS15" s="171">
        <v>18.0</v>
      </c>
    </row>
    <row r="16" ht="14.25" customHeight="1">
      <c r="A16" s="122" t="s">
        <v>493</v>
      </c>
      <c r="B16" s="123" t="s">
        <v>494</v>
      </c>
      <c r="C16" s="123">
        <v>107.0</v>
      </c>
      <c r="D16" s="123" t="s">
        <v>146</v>
      </c>
      <c r="E16" s="123" t="s">
        <v>147</v>
      </c>
      <c r="F16" s="124"/>
      <c r="G16" s="124"/>
      <c r="H16" s="123" t="s">
        <v>2</v>
      </c>
      <c r="I16" s="123" t="s">
        <v>495</v>
      </c>
      <c r="J16" s="123" t="s">
        <v>528</v>
      </c>
      <c r="K16" s="123" t="s">
        <v>529</v>
      </c>
      <c r="L16" s="123" t="s">
        <v>498</v>
      </c>
      <c r="M16" s="125">
        <v>46126.0</v>
      </c>
      <c r="N16" s="123" t="s">
        <v>564</v>
      </c>
      <c r="O16" s="123">
        <v>9155609.0</v>
      </c>
      <c r="P16" s="179">
        <v>46114.0</v>
      </c>
      <c r="Q16" s="123" t="s">
        <v>500</v>
      </c>
      <c r="R16" s="123">
        <v>2770.0</v>
      </c>
      <c r="S16" s="123" t="s">
        <v>531</v>
      </c>
      <c r="T16" s="123" t="s">
        <v>532</v>
      </c>
      <c r="U16" s="123" t="s">
        <v>533</v>
      </c>
      <c r="V16" s="123" t="s">
        <v>504</v>
      </c>
      <c r="W16" s="124"/>
      <c r="X16" s="123">
        <v>1.0</v>
      </c>
      <c r="Y16" s="122">
        <v>1.6</v>
      </c>
      <c r="Z16" s="123">
        <v>1.6</v>
      </c>
      <c r="AA16" s="123" t="s">
        <v>157</v>
      </c>
      <c r="AB16" s="123" t="s">
        <v>564</v>
      </c>
      <c r="AC16" s="125">
        <v>46114.0</v>
      </c>
      <c r="AD16" s="123" t="s">
        <v>525</v>
      </c>
      <c r="AE16" s="123">
        <v>8.4439952E7</v>
      </c>
      <c r="AF16" s="123" t="s">
        <v>565</v>
      </c>
      <c r="AG16" s="124"/>
      <c r="AH16" s="124"/>
      <c r="AI16" s="123">
        <v>1.6</v>
      </c>
      <c r="AJ16" s="123" t="s">
        <v>159</v>
      </c>
      <c r="AK16" s="123">
        <v>18.0</v>
      </c>
      <c r="AL16" s="122">
        <v>0.14</v>
      </c>
      <c r="AM16" s="123">
        <v>0.14</v>
      </c>
      <c r="AN16" s="122">
        <v>0.0</v>
      </c>
      <c r="AO16" s="123">
        <v>0.0</v>
      </c>
      <c r="AP16" s="123">
        <v>0.0</v>
      </c>
      <c r="AQ16" s="123">
        <v>0.0</v>
      </c>
      <c r="AR16" s="123">
        <v>0.0</v>
      </c>
      <c r="AS16" s="123">
        <v>0.0</v>
      </c>
      <c r="AT16" s="123">
        <v>0.0</v>
      </c>
      <c r="AU16" s="124"/>
      <c r="AV16" s="124"/>
      <c r="AW16" s="123">
        <v>0.0</v>
      </c>
      <c r="AX16" s="123">
        <v>1.88</v>
      </c>
      <c r="AY16" s="123" t="s">
        <v>20</v>
      </c>
      <c r="AZ16" s="123" t="s">
        <v>31</v>
      </c>
      <c r="BA16" s="123" t="s">
        <v>535</v>
      </c>
      <c r="BB16" s="123">
        <v>1.126100059E9</v>
      </c>
      <c r="BC16" s="123" t="s">
        <v>187</v>
      </c>
      <c r="BD16" s="123" t="s">
        <v>162</v>
      </c>
      <c r="BE16" s="124"/>
      <c r="BF16" s="124" t="s">
        <v>483</v>
      </c>
      <c r="BG16" s="124" t="s">
        <v>482</v>
      </c>
      <c r="BH16" s="122" t="s">
        <v>510</v>
      </c>
      <c r="BI16" s="171" t="s">
        <v>511</v>
      </c>
      <c r="BJ16" s="171" t="s">
        <v>512</v>
      </c>
      <c r="BK16" s="171" t="s">
        <v>566</v>
      </c>
      <c r="BL16" s="171">
        <v>142560.0</v>
      </c>
      <c r="BM16" s="171">
        <v>142560.0</v>
      </c>
      <c r="BN16" s="171">
        <v>0.0</v>
      </c>
      <c r="BO16" s="171" t="s">
        <v>514</v>
      </c>
      <c r="BP16" s="171">
        <v>9151136.0</v>
      </c>
      <c r="BQ16" s="171" t="s">
        <v>483</v>
      </c>
      <c r="BR16" s="171" t="s">
        <v>479</v>
      </c>
      <c r="BS16" s="171">
        <v>1.0</v>
      </c>
    </row>
    <row r="17" ht="14.25" customHeight="1">
      <c r="A17" s="122" t="s">
        <v>493</v>
      </c>
      <c r="B17" s="123" t="s">
        <v>494</v>
      </c>
      <c r="C17" s="123">
        <v>107.0</v>
      </c>
      <c r="D17" s="123" t="s">
        <v>146</v>
      </c>
      <c r="E17" s="123" t="s">
        <v>147</v>
      </c>
      <c r="F17" s="124"/>
      <c r="G17" s="123" t="s">
        <v>149</v>
      </c>
      <c r="H17" s="123" t="s">
        <v>2</v>
      </c>
      <c r="I17" s="123" t="s">
        <v>495</v>
      </c>
      <c r="J17" s="123" t="s">
        <v>528</v>
      </c>
      <c r="K17" s="123" t="s">
        <v>529</v>
      </c>
      <c r="L17" s="123" t="s">
        <v>498</v>
      </c>
      <c r="M17" s="125">
        <v>46126.0</v>
      </c>
      <c r="N17" s="123" t="s">
        <v>530</v>
      </c>
      <c r="O17" s="123">
        <v>9155613.0</v>
      </c>
      <c r="P17" s="179">
        <v>46114.0</v>
      </c>
      <c r="Q17" s="123" t="s">
        <v>500</v>
      </c>
      <c r="R17" s="123">
        <v>2770.0</v>
      </c>
      <c r="S17" s="123" t="s">
        <v>531</v>
      </c>
      <c r="T17" s="123" t="s">
        <v>532</v>
      </c>
      <c r="U17" s="123" t="s">
        <v>533</v>
      </c>
      <c r="V17" s="123" t="s">
        <v>504</v>
      </c>
      <c r="W17" s="124"/>
      <c r="X17" s="123">
        <v>1.0</v>
      </c>
      <c r="Y17" s="122">
        <v>10.0</v>
      </c>
      <c r="Z17" s="123">
        <v>10.0</v>
      </c>
      <c r="AA17" s="123" t="s">
        <v>157</v>
      </c>
      <c r="AB17" s="123" t="s">
        <v>530</v>
      </c>
      <c r="AC17" s="125">
        <v>46114.0</v>
      </c>
      <c r="AD17" s="123" t="s">
        <v>525</v>
      </c>
      <c r="AE17" s="123">
        <v>8.4439952E7</v>
      </c>
      <c r="AF17" s="123" t="s">
        <v>567</v>
      </c>
      <c r="AG17" s="124"/>
      <c r="AH17" s="124"/>
      <c r="AI17" s="123">
        <v>10.0</v>
      </c>
      <c r="AJ17" s="123" t="s">
        <v>159</v>
      </c>
      <c r="AK17" s="123">
        <v>18.0</v>
      </c>
      <c r="AL17" s="122">
        <v>0.9</v>
      </c>
      <c r="AM17" s="123">
        <v>0.9</v>
      </c>
      <c r="AN17" s="122">
        <v>0.0</v>
      </c>
      <c r="AO17" s="123">
        <v>0.0</v>
      </c>
      <c r="AP17" s="123">
        <v>0.0</v>
      </c>
      <c r="AQ17" s="123">
        <v>0.0</v>
      </c>
      <c r="AR17" s="123">
        <v>0.0</v>
      </c>
      <c r="AS17" s="123">
        <v>0.0</v>
      </c>
      <c r="AT17" s="123">
        <v>0.0</v>
      </c>
      <c r="AU17" s="124"/>
      <c r="AV17" s="124"/>
      <c r="AW17" s="123">
        <v>0.0</v>
      </c>
      <c r="AX17" s="123">
        <v>11.8</v>
      </c>
      <c r="AY17" s="123" t="s">
        <v>20</v>
      </c>
      <c r="AZ17" s="123" t="s">
        <v>31</v>
      </c>
      <c r="BA17" s="123" t="s">
        <v>535</v>
      </c>
      <c r="BB17" s="123">
        <v>1.126100063E9</v>
      </c>
      <c r="BC17" s="123" t="s">
        <v>187</v>
      </c>
      <c r="BD17" s="123" t="s">
        <v>162</v>
      </c>
      <c r="BE17" s="124"/>
      <c r="BF17" s="124" t="s">
        <v>483</v>
      </c>
      <c r="BG17" s="124" t="s">
        <v>482</v>
      </c>
      <c r="BH17" s="122" t="s">
        <v>510</v>
      </c>
      <c r="BI17" s="171" t="s">
        <v>511</v>
      </c>
      <c r="BJ17" s="171" t="s">
        <v>512</v>
      </c>
      <c r="BK17" s="171" t="s">
        <v>513</v>
      </c>
      <c r="BL17" s="171">
        <v>1881.0</v>
      </c>
      <c r="BM17" s="171">
        <v>38182.88</v>
      </c>
      <c r="BN17" s="171">
        <v>-36302.0</v>
      </c>
      <c r="BO17" s="171" t="s">
        <v>514</v>
      </c>
      <c r="BP17" s="171">
        <v>9158398.0</v>
      </c>
      <c r="BQ17" s="171" t="s">
        <v>484</v>
      </c>
      <c r="BR17" s="171" t="s">
        <v>479</v>
      </c>
      <c r="BS17" s="171">
        <v>37.0</v>
      </c>
    </row>
    <row r="18" ht="14.25" customHeight="1">
      <c r="A18" s="122" t="s">
        <v>493</v>
      </c>
      <c r="B18" s="123" t="s">
        <v>494</v>
      </c>
      <c r="C18" s="123">
        <v>107.0</v>
      </c>
      <c r="D18" s="123" t="s">
        <v>146</v>
      </c>
      <c r="E18" s="123" t="s">
        <v>147</v>
      </c>
      <c r="F18" s="124"/>
      <c r="G18" s="124"/>
      <c r="H18" s="123" t="s">
        <v>2</v>
      </c>
      <c r="I18" s="123" t="s">
        <v>495</v>
      </c>
      <c r="J18" s="123" t="s">
        <v>528</v>
      </c>
      <c r="K18" s="123" t="s">
        <v>529</v>
      </c>
      <c r="L18" s="123" t="s">
        <v>498</v>
      </c>
      <c r="M18" s="125">
        <v>46126.0</v>
      </c>
      <c r="N18" s="123" t="s">
        <v>545</v>
      </c>
      <c r="O18" s="123">
        <v>9155610.0</v>
      </c>
      <c r="P18" s="179">
        <v>46114.0</v>
      </c>
      <c r="Q18" s="123" t="s">
        <v>500</v>
      </c>
      <c r="R18" s="123">
        <v>2770.0</v>
      </c>
      <c r="S18" s="123" t="s">
        <v>531</v>
      </c>
      <c r="T18" s="123" t="s">
        <v>532</v>
      </c>
      <c r="U18" s="123" t="s">
        <v>533</v>
      </c>
      <c r="V18" s="123" t="s">
        <v>504</v>
      </c>
      <c r="W18" s="124"/>
      <c r="X18" s="123">
        <v>1.0</v>
      </c>
      <c r="Y18" s="122">
        <v>6.0</v>
      </c>
      <c r="Z18" s="123">
        <v>6.0</v>
      </c>
      <c r="AA18" s="123" t="s">
        <v>157</v>
      </c>
      <c r="AB18" s="123" t="s">
        <v>545</v>
      </c>
      <c r="AC18" s="125">
        <v>46114.0</v>
      </c>
      <c r="AD18" s="123" t="s">
        <v>525</v>
      </c>
      <c r="AE18" s="123">
        <v>8.4439952E7</v>
      </c>
      <c r="AF18" s="123" t="s">
        <v>568</v>
      </c>
      <c r="AG18" s="124"/>
      <c r="AH18" s="124"/>
      <c r="AI18" s="123">
        <v>6.0</v>
      </c>
      <c r="AJ18" s="123" t="s">
        <v>159</v>
      </c>
      <c r="AK18" s="123">
        <v>18.0</v>
      </c>
      <c r="AL18" s="122">
        <v>0.54</v>
      </c>
      <c r="AM18" s="123">
        <v>0.54</v>
      </c>
      <c r="AN18" s="122">
        <v>0.0</v>
      </c>
      <c r="AO18" s="123">
        <v>0.0</v>
      </c>
      <c r="AP18" s="123">
        <v>0.0</v>
      </c>
      <c r="AQ18" s="123">
        <v>0.0</v>
      </c>
      <c r="AR18" s="123">
        <v>0.0</v>
      </c>
      <c r="AS18" s="123">
        <v>0.0</v>
      </c>
      <c r="AT18" s="123">
        <v>0.0</v>
      </c>
      <c r="AU18" s="124"/>
      <c r="AV18" s="124"/>
      <c r="AW18" s="123">
        <v>0.0</v>
      </c>
      <c r="AX18" s="123">
        <v>7.08</v>
      </c>
      <c r="AY18" s="123" t="s">
        <v>20</v>
      </c>
      <c r="AZ18" s="123" t="s">
        <v>31</v>
      </c>
      <c r="BA18" s="123" t="s">
        <v>535</v>
      </c>
      <c r="BB18" s="123">
        <v>1.12610006E9</v>
      </c>
      <c r="BC18" s="123" t="s">
        <v>187</v>
      </c>
      <c r="BD18" s="123" t="s">
        <v>162</v>
      </c>
      <c r="BE18" s="124"/>
      <c r="BF18" s="124" t="s">
        <v>483</v>
      </c>
      <c r="BG18" s="124" t="s">
        <v>482</v>
      </c>
      <c r="BH18" s="122" t="s">
        <v>510</v>
      </c>
      <c r="BI18" s="171" t="s">
        <v>511</v>
      </c>
      <c r="BJ18" s="171" t="s">
        <v>512</v>
      </c>
      <c r="BK18" s="171" t="s">
        <v>569</v>
      </c>
      <c r="BL18" s="171">
        <v>0.28</v>
      </c>
      <c r="BM18" s="171">
        <v>1420.5</v>
      </c>
      <c r="BN18" s="171">
        <v>-1420.0</v>
      </c>
      <c r="BO18" s="171" t="s">
        <v>514</v>
      </c>
      <c r="BP18" s="171">
        <v>9155609.0</v>
      </c>
      <c r="BQ18" s="171" t="s">
        <v>483</v>
      </c>
      <c r="BR18" s="171" t="s">
        <v>479</v>
      </c>
      <c r="BS18" s="171">
        <v>4.0</v>
      </c>
    </row>
    <row r="19" ht="14.25" customHeight="1">
      <c r="A19" s="122" t="s">
        <v>493</v>
      </c>
      <c r="B19" s="123" t="s">
        <v>494</v>
      </c>
      <c r="C19" s="123">
        <v>107.0</v>
      </c>
      <c r="D19" s="123" t="s">
        <v>146</v>
      </c>
      <c r="E19" s="123" t="s">
        <v>147</v>
      </c>
      <c r="F19" s="124"/>
      <c r="G19" s="124"/>
      <c r="H19" s="123" t="s">
        <v>2</v>
      </c>
      <c r="I19" s="123" t="s">
        <v>495</v>
      </c>
      <c r="J19" s="123" t="s">
        <v>528</v>
      </c>
      <c r="K19" s="123" t="s">
        <v>529</v>
      </c>
      <c r="L19" s="123" t="s">
        <v>498</v>
      </c>
      <c r="M19" s="125">
        <v>46126.0</v>
      </c>
      <c r="N19" s="123" t="s">
        <v>570</v>
      </c>
      <c r="O19" s="123">
        <v>9155615.0</v>
      </c>
      <c r="P19" s="179">
        <v>46114.0</v>
      </c>
      <c r="Q19" s="123" t="s">
        <v>500</v>
      </c>
      <c r="R19" s="123">
        <v>2770.0</v>
      </c>
      <c r="S19" s="123" t="s">
        <v>531</v>
      </c>
      <c r="T19" s="123" t="s">
        <v>532</v>
      </c>
      <c r="U19" s="123" t="s">
        <v>533</v>
      </c>
      <c r="V19" s="123" t="s">
        <v>504</v>
      </c>
      <c r="W19" s="124"/>
      <c r="X19" s="123">
        <v>1.0</v>
      </c>
      <c r="Y19" s="122">
        <v>4063.95</v>
      </c>
      <c r="Z19" s="123">
        <v>4063.95</v>
      </c>
      <c r="AA19" s="123" t="s">
        <v>157</v>
      </c>
      <c r="AB19" s="123" t="s">
        <v>570</v>
      </c>
      <c r="AC19" s="125">
        <v>46114.0</v>
      </c>
      <c r="AD19" s="123" t="s">
        <v>525</v>
      </c>
      <c r="AE19" s="123">
        <v>8.4439952E7</v>
      </c>
      <c r="AF19" s="123" t="s">
        <v>567</v>
      </c>
      <c r="AG19" s="124"/>
      <c r="AH19" s="124"/>
      <c r="AI19" s="123">
        <v>4063.95</v>
      </c>
      <c r="AJ19" s="123" t="s">
        <v>159</v>
      </c>
      <c r="AK19" s="123">
        <v>18.0</v>
      </c>
      <c r="AL19" s="122">
        <v>365.76</v>
      </c>
      <c r="AM19" s="123">
        <v>365.76</v>
      </c>
      <c r="AN19" s="122">
        <v>0.0</v>
      </c>
      <c r="AO19" s="123">
        <v>0.0</v>
      </c>
      <c r="AP19" s="123">
        <v>0.0</v>
      </c>
      <c r="AQ19" s="123">
        <v>0.0</v>
      </c>
      <c r="AR19" s="123">
        <v>0.0</v>
      </c>
      <c r="AS19" s="123">
        <v>0.0</v>
      </c>
      <c r="AT19" s="123">
        <v>0.0</v>
      </c>
      <c r="AU19" s="124"/>
      <c r="AV19" s="124"/>
      <c r="AW19" s="123">
        <v>0.0</v>
      </c>
      <c r="AX19" s="123">
        <v>4795.47</v>
      </c>
      <c r="AY19" s="123" t="s">
        <v>20</v>
      </c>
      <c r="AZ19" s="123" t="s">
        <v>31</v>
      </c>
      <c r="BA19" s="123" t="s">
        <v>535</v>
      </c>
      <c r="BB19" s="123">
        <v>1.126100065E9</v>
      </c>
      <c r="BC19" s="123" t="s">
        <v>187</v>
      </c>
      <c r="BD19" s="123" t="s">
        <v>162</v>
      </c>
      <c r="BE19" s="124"/>
      <c r="BF19" s="124" t="s">
        <v>483</v>
      </c>
      <c r="BG19" s="124" t="s">
        <v>482</v>
      </c>
      <c r="BH19" s="122" t="s">
        <v>510</v>
      </c>
      <c r="BI19" s="171" t="s">
        <v>511</v>
      </c>
      <c r="BJ19" s="171" t="s">
        <v>512</v>
      </c>
      <c r="BK19" s="171" t="s">
        <v>536</v>
      </c>
      <c r="BL19" s="171">
        <v>1.8</v>
      </c>
      <c r="BM19" s="171">
        <v>5381.62</v>
      </c>
      <c r="BN19" s="171">
        <v>-5380.0</v>
      </c>
      <c r="BO19" s="171" t="s">
        <v>514</v>
      </c>
      <c r="BP19" s="171">
        <v>9155613.0</v>
      </c>
      <c r="BQ19" s="171" t="s">
        <v>483</v>
      </c>
      <c r="BR19" s="171" t="s">
        <v>479</v>
      </c>
      <c r="BS19" s="171">
        <v>4.0</v>
      </c>
    </row>
    <row r="20" ht="14.25" customHeight="1">
      <c r="A20" s="122" t="s">
        <v>493</v>
      </c>
      <c r="B20" s="123" t="s">
        <v>494</v>
      </c>
      <c r="C20" s="123">
        <v>107.0</v>
      </c>
      <c r="D20" s="123" t="s">
        <v>146</v>
      </c>
      <c r="E20" s="123" t="s">
        <v>147</v>
      </c>
      <c r="F20" s="124"/>
      <c r="G20" s="124"/>
      <c r="H20" s="123" t="s">
        <v>2</v>
      </c>
      <c r="I20" s="123" t="s">
        <v>495</v>
      </c>
      <c r="J20" s="123" t="s">
        <v>528</v>
      </c>
      <c r="K20" s="123" t="s">
        <v>529</v>
      </c>
      <c r="L20" s="123" t="s">
        <v>498</v>
      </c>
      <c r="M20" s="125">
        <v>46127.0</v>
      </c>
      <c r="N20" s="123" t="s">
        <v>571</v>
      </c>
      <c r="O20" s="123">
        <v>9156867.0</v>
      </c>
      <c r="P20" s="179">
        <v>46113.0</v>
      </c>
      <c r="Q20" s="123" t="s">
        <v>500</v>
      </c>
      <c r="R20" s="123">
        <v>2770.0</v>
      </c>
      <c r="S20" s="123" t="s">
        <v>531</v>
      </c>
      <c r="T20" s="123" t="s">
        <v>572</v>
      </c>
      <c r="U20" s="123" t="s">
        <v>573</v>
      </c>
      <c r="V20" s="123" t="s">
        <v>504</v>
      </c>
      <c r="W20" s="124"/>
      <c r="X20" s="123">
        <v>1.0</v>
      </c>
      <c r="Y20" s="122">
        <v>3956.0</v>
      </c>
      <c r="Z20" s="123">
        <v>3956.0</v>
      </c>
      <c r="AA20" s="123" t="s">
        <v>157</v>
      </c>
      <c r="AB20" s="123" t="s">
        <v>571</v>
      </c>
      <c r="AC20" s="125">
        <v>46113.0</v>
      </c>
      <c r="AD20" s="123" t="s">
        <v>505</v>
      </c>
      <c r="AE20" s="123">
        <v>997314.0</v>
      </c>
      <c r="AF20" s="123" t="s">
        <v>574</v>
      </c>
      <c r="AG20" s="124"/>
      <c r="AH20" s="124"/>
      <c r="AI20" s="123">
        <v>3956.0</v>
      </c>
      <c r="AJ20" s="123" t="s">
        <v>159</v>
      </c>
      <c r="AK20" s="123">
        <v>18.0</v>
      </c>
      <c r="AL20" s="122">
        <v>0.0</v>
      </c>
      <c r="AM20" s="123">
        <v>0.0</v>
      </c>
      <c r="AN20" s="122">
        <v>712.08</v>
      </c>
      <c r="AO20" s="123">
        <v>0.0</v>
      </c>
      <c r="AP20" s="123">
        <v>0.0</v>
      </c>
      <c r="AQ20" s="123">
        <v>0.0</v>
      </c>
      <c r="AR20" s="123">
        <v>0.0</v>
      </c>
      <c r="AS20" s="123">
        <v>0.0</v>
      </c>
      <c r="AT20" s="123">
        <v>0.0</v>
      </c>
      <c r="AU20" s="124"/>
      <c r="AV20" s="124"/>
      <c r="AW20" s="123">
        <v>0.0</v>
      </c>
      <c r="AX20" s="123">
        <v>4668.08</v>
      </c>
      <c r="AY20" s="123" t="s">
        <v>20</v>
      </c>
      <c r="AZ20" s="123" t="s">
        <v>31</v>
      </c>
      <c r="BA20" s="123" t="s">
        <v>575</v>
      </c>
      <c r="BB20" s="123">
        <v>1.126100096E9</v>
      </c>
      <c r="BC20" s="123" t="s">
        <v>161</v>
      </c>
      <c r="BD20" s="123" t="s">
        <v>162</v>
      </c>
      <c r="BE20" s="124"/>
      <c r="BF20" s="124" t="s">
        <v>483</v>
      </c>
      <c r="BG20" s="124" t="s">
        <v>482</v>
      </c>
      <c r="BH20" s="122" t="s">
        <v>510</v>
      </c>
      <c r="BI20" s="171" t="s">
        <v>511</v>
      </c>
      <c r="BJ20" s="171" t="s">
        <v>512</v>
      </c>
      <c r="BK20" s="171" t="s">
        <v>550</v>
      </c>
      <c r="BL20" s="171">
        <v>1.08</v>
      </c>
      <c r="BM20" s="171">
        <v>489.18</v>
      </c>
      <c r="BN20" s="171">
        <v>-488.0</v>
      </c>
      <c r="BO20" s="171" t="s">
        <v>514</v>
      </c>
      <c r="BP20" s="171">
        <v>9155610.0</v>
      </c>
      <c r="BQ20" s="171" t="s">
        <v>483</v>
      </c>
      <c r="BR20" s="171" t="s">
        <v>479</v>
      </c>
      <c r="BS20" s="171">
        <v>4.0</v>
      </c>
    </row>
    <row r="21" ht="14.25" customHeight="1">
      <c r="A21" s="122" t="s">
        <v>493</v>
      </c>
      <c r="B21" s="123" t="s">
        <v>494</v>
      </c>
      <c r="C21" s="123">
        <v>107.0</v>
      </c>
      <c r="D21" s="123" t="s">
        <v>146</v>
      </c>
      <c r="E21" s="123" t="s">
        <v>147</v>
      </c>
      <c r="F21" s="124"/>
      <c r="G21" s="124" t="s">
        <v>149</v>
      </c>
      <c r="H21" s="123" t="s">
        <v>2</v>
      </c>
      <c r="I21" s="123" t="s">
        <v>495</v>
      </c>
      <c r="J21" s="123" t="s">
        <v>496</v>
      </c>
      <c r="K21" s="123" t="s">
        <v>497</v>
      </c>
      <c r="L21" s="123" t="s">
        <v>498</v>
      </c>
      <c r="M21" s="125">
        <v>46127.0</v>
      </c>
      <c r="N21" s="123" t="s">
        <v>499</v>
      </c>
      <c r="O21" s="123">
        <v>9158398.0</v>
      </c>
      <c r="P21" s="179">
        <v>46090.0</v>
      </c>
      <c r="Q21" s="123" t="s">
        <v>500</v>
      </c>
      <c r="R21" s="123">
        <v>35671.0</v>
      </c>
      <c r="S21" s="123" t="s">
        <v>501</v>
      </c>
      <c r="T21" s="123" t="s">
        <v>502</v>
      </c>
      <c r="U21" s="123" t="s">
        <v>503</v>
      </c>
      <c r="V21" s="123" t="s">
        <v>504</v>
      </c>
      <c r="W21" s="124"/>
      <c r="X21" s="123">
        <v>275.0</v>
      </c>
      <c r="Y21" s="122">
        <v>38.0</v>
      </c>
      <c r="Z21" s="123">
        <v>10450.0</v>
      </c>
      <c r="AA21" s="123" t="s">
        <v>157</v>
      </c>
      <c r="AB21" s="123" t="s">
        <v>499</v>
      </c>
      <c r="AC21" s="125">
        <v>46121.0</v>
      </c>
      <c r="AD21" s="123" t="s">
        <v>505</v>
      </c>
      <c r="AE21" s="123">
        <v>998700.0</v>
      </c>
      <c r="AF21" s="123" t="s">
        <v>576</v>
      </c>
      <c r="AG21" s="124"/>
      <c r="AH21" s="124"/>
      <c r="AI21" s="123">
        <v>10450.0</v>
      </c>
      <c r="AJ21" s="123" t="s">
        <v>159</v>
      </c>
      <c r="AK21" s="123">
        <v>18.0</v>
      </c>
      <c r="AL21" s="122">
        <v>0.0</v>
      </c>
      <c r="AM21" s="123">
        <v>0.0</v>
      </c>
      <c r="AN21" s="122">
        <v>1881.0</v>
      </c>
      <c r="AO21" s="123">
        <v>0.0</v>
      </c>
      <c r="AP21" s="123">
        <v>0.0</v>
      </c>
      <c r="AQ21" s="123">
        <v>0.0</v>
      </c>
      <c r="AR21" s="123">
        <v>0.0</v>
      </c>
      <c r="AS21" s="123">
        <v>0.0</v>
      </c>
      <c r="AT21" s="123">
        <v>0.0</v>
      </c>
      <c r="AU21" s="124"/>
      <c r="AV21" s="124"/>
      <c r="AW21" s="123">
        <v>0.0</v>
      </c>
      <c r="AX21" s="123">
        <v>12331.0</v>
      </c>
      <c r="AY21" s="123" t="s">
        <v>31</v>
      </c>
      <c r="AZ21" s="123" t="s">
        <v>31</v>
      </c>
      <c r="BA21" s="123" t="s">
        <v>507</v>
      </c>
      <c r="BB21" s="123">
        <v>1.126100105E9</v>
      </c>
      <c r="BC21" s="123" t="s">
        <v>508</v>
      </c>
      <c r="BD21" s="123" t="s">
        <v>509</v>
      </c>
      <c r="BE21" s="124"/>
      <c r="BF21" s="124" t="s">
        <v>484</v>
      </c>
      <c r="BG21" s="124" t="s">
        <v>482</v>
      </c>
      <c r="BH21" s="122" t="s">
        <v>510</v>
      </c>
      <c r="BI21" s="171" t="s">
        <v>511</v>
      </c>
      <c r="BJ21" s="171" t="s">
        <v>512</v>
      </c>
      <c r="BK21" s="171" t="s">
        <v>577</v>
      </c>
      <c r="BL21" s="171">
        <v>731.52</v>
      </c>
      <c r="BM21" s="171">
        <v>1123.84</v>
      </c>
      <c r="BN21" s="171">
        <v>-392.0</v>
      </c>
      <c r="BO21" s="171" t="s">
        <v>514</v>
      </c>
      <c r="BP21" s="171">
        <v>9155615.0</v>
      </c>
      <c r="BQ21" s="171" t="s">
        <v>483</v>
      </c>
      <c r="BR21" s="171" t="s">
        <v>479</v>
      </c>
      <c r="BS21" s="171">
        <v>4.0</v>
      </c>
    </row>
    <row r="22" ht="14.25" customHeight="1">
      <c r="A22" s="122" t="s">
        <v>493</v>
      </c>
      <c r="B22" s="123" t="s">
        <v>494</v>
      </c>
      <c r="C22" s="123">
        <v>107.0</v>
      </c>
      <c r="D22" s="123" t="s">
        <v>146</v>
      </c>
      <c r="E22" s="123" t="s">
        <v>147</v>
      </c>
      <c r="F22" s="124"/>
      <c r="G22" s="124" t="s">
        <v>149</v>
      </c>
      <c r="H22" s="123" t="s">
        <v>2</v>
      </c>
      <c r="I22" s="123" t="s">
        <v>495</v>
      </c>
      <c r="J22" s="123" t="s">
        <v>496</v>
      </c>
      <c r="K22" s="123" t="s">
        <v>497</v>
      </c>
      <c r="L22" s="123" t="s">
        <v>498</v>
      </c>
      <c r="M22" s="125">
        <v>46140.0</v>
      </c>
      <c r="N22" s="123" t="s">
        <v>516</v>
      </c>
      <c r="O22" s="123">
        <v>9174963.0</v>
      </c>
      <c r="P22" s="179">
        <v>46129.0</v>
      </c>
      <c r="Q22" s="123" t="s">
        <v>500</v>
      </c>
      <c r="R22" s="123">
        <v>35671.0</v>
      </c>
      <c r="S22" s="123" t="s">
        <v>501</v>
      </c>
      <c r="T22" s="123" t="s">
        <v>502</v>
      </c>
      <c r="U22" s="123" t="s">
        <v>503</v>
      </c>
      <c r="V22" s="123" t="s">
        <v>504</v>
      </c>
      <c r="W22" s="124"/>
      <c r="X22" s="123">
        <v>1188.14</v>
      </c>
      <c r="Y22" s="122">
        <v>1.0</v>
      </c>
      <c r="Z22" s="123">
        <v>1188.14</v>
      </c>
      <c r="AA22" s="123" t="s">
        <v>157</v>
      </c>
      <c r="AB22" s="123" t="s">
        <v>516</v>
      </c>
      <c r="AC22" s="125">
        <v>46129.0</v>
      </c>
      <c r="AD22" s="123" t="s">
        <v>505</v>
      </c>
      <c r="AE22" s="123">
        <v>3820000.0</v>
      </c>
      <c r="AF22" s="123" t="s">
        <v>578</v>
      </c>
      <c r="AG22" s="124"/>
      <c r="AH22" s="124"/>
      <c r="AI22" s="123">
        <v>1188.14</v>
      </c>
      <c r="AJ22" s="123" t="s">
        <v>159</v>
      </c>
      <c r="AK22" s="123">
        <v>18.0</v>
      </c>
      <c r="AL22" s="122">
        <v>0.0</v>
      </c>
      <c r="AM22" s="123">
        <v>0.0</v>
      </c>
      <c r="AN22" s="122">
        <v>213.87</v>
      </c>
      <c r="AO22" s="123">
        <v>0.0</v>
      </c>
      <c r="AP22" s="123">
        <v>0.0</v>
      </c>
      <c r="AQ22" s="123">
        <v>0.0</v>
      </c>
      <c r="AR22" s="123">
        <v>0.0</v>
      </c>
      <c r="AS22" s="123">
        <v>0.0</v>
      </c>
      <c r="AT22" s="123">
        <v>0.0</v>
      </c>
      <c r="AU22" s="124"/>
      <c r="AV22" s="124"/>
      <c r="AW22" s="123">
        <v>0.0</v>
      </c>
      <c r="AX22" s="123">
        <v>1402.01</v>
      </c>
      <c r="AY22" s="123" t="s">
        <v>31</v>
      </c>
      <c r="AZ22" s="123" t="s">
        <v>31</v>
      </c>
      <c r="BA22" s="123" t="s">
        <v>518</v>
      </c>
      <c r="BB22" s="123">
        <v>1.126100446E9</v>
      </c>
      <c r="BC22" s="123" t="s">
        <v>508</v>
      </c>
      <c r="BD22" s="123" t="s">
        <v>509</v>
      </c>
      <c r="BE22" s="124"/>
      <c r="BF22" s="124" t="s">
        <v>484</v>
      </c>
      <c r="BG22" s="124" t="s">
        <v>482</v>
      </c>
      <c r="BH22" s="122" t="s">
        <v>510</v>
      </c>
      <c r="BI22" s="171" t="s">
        <v>511</v>
      </c>
      <c r="BJ22" s="171" t="s">
        <v>512</v>
      </c>
      <c r="BK22" s="171" t="s">
        <v>579</v>
      </c>
      <c r="BL22" s="171">
        <v>712.08</v>
      </c>
      <c r="BM22" s="171">
        <v>712.08</v>
      </c>
      <c r="BN22" s="171">
        <v>0.0</v>
      </c>
      <c r="BO22" s="171" t="s">
        <v>514</v>
      </c>
      <c r="BP22" s="171">
        <v>9156867.0</v>
      </c>
      <c r="BQ22" s="171" t="s">
        <v>483</v>
      </c>
      <c r="BR22" s="171" t="s">
        <v>479</v>
      </c>
      <c r="BS22" s="171">
        <v>1.0</v>
      </c>
    </row>
    <row r="23" ht="14.25" customHeight="1">
      <c r="A23" s="122" t="s">
        <v>493</v>
      </c>
      <c r="B23" s="123" t="s">
        <v>494</v>
      </c>
      <c r="C23" s="123">
        <v>107.0</v>
      </c>
      <c r="D23" s="123" t="s">
        <v>146</v>
      </c>
      <c r="E23" s="123" t="s">
        <v>147</v>
      </c>
      <c r="F23" s="124"/>
      <c r="G23" s="123" t="s">
        <v>149</v>
      </c>
      <c r="H23" s="123" t="s">
        <v>2</v>
      </c>
      <c r="I23" s="123" t="s">
        <v>495</v>
      </c>
      <c r="J23" s="123" t="s">
        <v>496</v>
      </c>
      <c r="K23" s="123" t="s">
        <v>497</v>
      </c>
      <c r="L23" s="123" t="s">
        <v>498</v>
      </c>
      <c r="M23" s="125">
        <v>46140.0</v>
      </c>
      <c r="N23" s="123" t="s">
        <v>516</v>
      </c>
      <c r="O23" s="123">
        <v>9174963.0</v>
      </c>
      <c r="P23" s="179">
        <v>46129.0</v>
      </c>
      <c r="Q23" s="123" t="s">
        <v>500</v>
      </c>
      <c r="R23" s="123">
        <v>35671.0</v>
      </c>
      <c r="S23" s="123" t="s">
        <v>501</v>
      </c>
      <c r="T23" s="123" t="s">
        <v>502</v>
      </c>
      <c r="U23" s="123" t="s">
        <v>503</v>
      </c>
      <c r="V23" s="123" t="s">
        <v>504</v>
      </c>
      <c r="W23" s="124"/>
      <c r="X23" s="123">
        <v>275.0</v>
      </c>
      <c r="Y23" s="122">
        <v>14.0</v>
      </c>
      <c r="Z23" s="123">
        <v>3850.0</v>
      </c>
      <c r="AA23" s="123" t="s">
        <v>157</v>
      </c>
      <c r="AB23" s="123" t="s">
        <v>516</v>
      </c>
      <c r="AC23" s="125">
        <v>46129.0</v>
      </c>
      <c r="AD23" s="123" t="s">
        <v>505</v>
      </c>
      <c r="AE23" s="123">
        <v>998729.0</v>
      </c>
      <c r="AF23" s="123" t="s">
        <v>580</v>
      </c>
      <c r="AG23" s="124"/>
      <c r="AH23" s="124"/>
      <c r="AI23" s="123">
        <v>3850.0</v>
      </c>
      <c r="AJ23" s="123" t="s">
        <v>159</v>
      </c>
      <c r="AK23" s="123">
        <v>18.0</v>
      </c>
      <c r="AL23" s="122">
        <v>0.0</v>
      </c>
      <c r="AM23" s="123">
        <v>0.0</v>
      </c>
      <c r="AN23" s="122">
        <v>693.0</v>
      </c>
      <c r="AO23" s="123">
        <v>0.0</v>
      </c>
      <c r="AP23" s="123">
        <v>0.0</v>
      </c>
      <c r="AQ23" s="123">
        <v>0.0</v>
      </c>
      <c r="AR23" s="123">
        <v>0.0</v>
      </c>
      <c r="AS23" s="123">
        <v>0.0</v>
      </c>
      <c r="AT23" s="123">
        <v>0.0</v>
      </c>
      <c r="AU23" s="124"/>
      <c r="AV23" s="124"/>
      <c r="AW23" s="123">
        <v>0.0</v>
      </c>
      <c r="AX23" s="123">
        <v>4543.0</v>
      </c>
      <c r="AY23" s="123" t="s">
        <v>31</v>
      </c>
      <c r="AZ23" s="123" t="s">
        <v>31</v>
      </c>
      <c r="BA23" s="123" t="s">
        <v>518</v>
      </c>
      <c r="BB23" s="123">
        <v>1.126100446E9</v>
      </c>
      <c r="BC23" s="123" t="s">
        <v>508</v>
      </c>
      <c r="BD23" s="123" t="s">
        <v>509</v>
      </c>
      <c r="BE23" s="124"/>
      <c r="BF23" s="124" t="s">
        <v>484</v>
      </c>
      <c r="BG23" s="124" t="s">
        <v>482</v>
      </c>
      <c r="BH23" s="122" t="s">
        <v>510</v>
      </c>
      <c r="BI23" s="171" t="s">
        <v>511</v>
      </c>
      <c r="BJ23" s="171" t="s">
        <v>512</v>
      </c>
      <c r="BK23" s="171" t="s">
        <v>513</v>
      </c>
      <c r="BL23" s="171">
        <v>1881.0</v>
      </c>
      <c r="BM23" s="171">
        <v>38182.88</v>
      </c>
      <c r="BN23" s="171">
        <v>-36302.0</v>
      </c>
      <c r="BO23" s="171" t="s">
        <v>514</v>
      </c>
      <c r="BP23" s="171">
        <v>9158398.0</v>
      </c>
      <c r="BQ23" s="171" t="s">
        <v>484</v>
      </c>
      <c r="BR23" s="171" t="s">
        <v>479</v>
      </c>
      <c r="BS23" s="171">
        <v>37.0</v>
      </c>
    </row>
    <row r="24" ht="14.25" customHeight="1">
      <c r="A24" s="122" t="s">
        <v>493</v>
      </c>
      <c r="B24" s="123" t="s">
        <v>494</v>
      </c>
      <c r="C24" s="123">
        <v>107.0</v>
      </c>
      <c r="D24" s="123" t="s">
        <v>146</v>
      </c>
      <c r="E24" s="123" t="s">
        <v>147</v>
      </c>
      <c r="F24" s="124"/>
      <c r="G24" s="123" t="s">
        <v>149</v>
      </c>
      <c r="H24" s="123" t="s">
        <v>2</v>
      </c>
      <c r="I24" s="123" t="s">
        <v>495</v>
      </c>
      <c r="J24" s="123" t="s">
        <v>496</v>
      </c>
      <c r="K24" s="123" t="s">
        <v>529</v>
      </c>
      <c r="L24" s="123" t="s">
        <v>498</v>
      </c>
      <c r="M24" s="125">
        <v>46140.0</v>
      </c>
      <c r="N24" s="123" t="s">
        <v>581</v>
      </c>
      <c r="O24" s="123">
        <v>9175765.0</v>
      </c>
      <c r="P24" s="179">
        <v>46130.0</v>
      </c>
      <c r="Q24" s="123" t="s">
        <v>500</v>
      </c>
      <c r="R24" s="123">
        <v>3545.0</v>
      </c>
      <c r="S24" s="123" t="s">
        <v>582</v>
      </c>
      <c r="T24" s="123" t="s">
        <v>539</v>
      </c>
      <c r="U24" s="123" t="s">
        <v>583</v>
      </c>
      <c r="V24" s="123" t="s">
        <v>504</v>
      </c>
      <c r="W24" s="124"/>
      <c r="X24" s="123">
        <v>3265.0</v>
      </c>
      <c r="Y24" s="122">
        <v>4.0</v>
      </c>
      <c r="Z24" s="123">
        <v>13060.0</v>
      </c>
      <c r="AA24" s="123" t="s">
        <v>157</v>
      </c>
      <c r="AB24" s="123" t="s">
        <v>581</v>
      </c>
      <c r="AC24" s="125">
        <v>46130.0</v>
      </c>
      <c r="AD24" s="123" t="s">
        <v>505</v>
      </c>
      <c r="AE24" s="123">
        <v>8.4439951E7</v>
      </c>
      <c r="AF24" s="123" t="s">
        <v>584</v>
      </c>
      <c r="AG24" s="124"/>
      <c r="AH24" s="124"/>
      <c r="AI24" s="123">
        <v>13060.0</v>
      </c>
      <c r="AJ24" s="123" t="s">
        <v>159</v>
      </c>
      <c r="AK24" s="123">
        <v>18.0</v>
      </c>
      <c r="AL24" s="122">
        <v>0.0</v>
      </c>
      <c r="AM24" s="123">
        <v>0.0</v>
      </c>
      <c r="AN24" s="122">
        <v>0.0</v>
      </c>
      <c r="AO24" s="123">
        <v>0.0</v>
      </c>
      <c r="AP24" s="123">
        <v>0.0</v>
      </c>
      <c r="AQ24" s="123">
        <v>0.0</v>
      </c>
      <c r="AR24" s="123">
        <v>0.0</v>
      </c>
      <c r="AS24" s="123">
        <v>0.0</v>
      </c>
      <c r="AT24" s="123">
        <v>0.0</v>
      </c>
      <c r="AU24" s="124"/>
      <c r="AV24" s="124"/>
      <c r="AW24" s="123">
        <v>0.0</v>
      </c>
      <c r="AX24" s="123">
        <v>13060.0</v>
      </c>
      <c r="AY24" s="123" t="s">
        <v>31</v>
      </c>
      <c r="AZ24" s="123" t="s">
        <v>31</v>
      </c>
      <c r="BA24" s="123" t="s">
        <v>585</v>
      </c>
      <c r="BB24" s="123">
        <v>1.12610045E9</v>
      </c>
      <c r="BC24" s="123" t="s">
        <v>556</v>
      </c>
      <c r="BD24" s="123" t="s">
        <v>586</v>
      </c>
      <c r="BE24" s="124"/>
      <c r="BF24" s="124" t="s">
        <v>484</v>
      </c>
      <c r="BG24" s="124" t="s">
        <v>482</v>
      </c>
      <c r="BH24" s="122" t="s">
        <v>587</v>
      </c>
      <c r="BI24" s="171" t="s">
        <v>511</v>
      </c>
      <c r="BJ24" s="171" t="s">
        <v>512</v>
      </c>
      <c r="BK24" s="171" t="s">
        <v>519</v>
      </c>
      <c r="BL24" s="171">
        <v>213.87</v>
      </c>
      <c r="BM24" s="171">
        <v>36494.74</v>
      </c>
      <c r="BN24" s="171">
        <v>-36281.0</v>
      </c>
      <c r="BO24" s="171" t="s">
        <v>514</v>
      </c>
      <c r="BP24" s="171">
        <v>9174963.0</v>
      </c>
      <c r="BQ24" s="171" t="s">
        <v>484</v>
      </c>
      <c r="BR24" s="171" t="s">
        <v>479</v>
      </c>
      <c r="BS24" s="171">
        <v>36.0</v>
      </c>
    </row>
    <row r="25" ht="14.25" customHeight="1">
      <c r="A25" s="122" t="s">
        <v>493</v>
      </c>
      <c r="B25" s="123" t="s">
        <v>494</v>
      </c>
      <c r="C25" s="123">
        <v>107.0</v>
      </c>
      <c r="D25" s="123" t="s">
        <v>146</v>
      </c>
      <c r="E25" s="123" t="s">
        <v>147</v>
      </c>
      <c r="F25" s="124"/>
      <c r="G25" s="123" t="s">
        <v>149</v>
      </c>
      <c r="H25" s="123" t="s">
        <v>2</v>
      </c>
      <c r="I25" s="123" t="s">
        <v>495</v>
      </c>
      <c r="J25" s="123" t="s">
        <v>496</v>
      </c>
      <c r="K25" s="123" t="s">
        <v>529</v>
      </c>
      <c r="L25" s="123" t="s">
        <v>498</v>
      </c>
      <c r="M25" s="125">
        <v>46140.0</v>
      </c>
      <c r="N25" s="123" t="s">
        <v>581</v>
      </c>
      <c r="O25" s="123">
        <v>9175765.0</v>
      </c>
      <c r="P25" s="179">
        <v>46130.0</v>
      </c>
      <c r="Q25" s="123" t="s">
        <v>500</v>
      </c>
      <c r="R25" s="123">
        <v>3545.0</v>
      </c>
      <c r="S25" s="123" t="s">
        <v>582</v>
      </c>
      <c r="T25" s="123" t="s">
        <v>539</v>
      </c>
      <c r="U25" s="123" t="s">
        <v>583</v>
      </c>
      <c r="V25" s="123" t="s">
        <v>504</v>
      </c>
      <c r="W25" s="124"/>
      <c r="X25" s="123">
        <v>2725.0</v>
      </c>
      <c r="Y25" s="122">
        <v>4.0</v>
      </c>
      <c r="Z25" s="123">
        <v>10900.0</v>
      </c>
      <c r="AA25" s="123" t="s">
        <v>157</v>
      </c>
      <c r="AB25" s="123" t="s">
        <v>581</v>
      </c>
      <c r="AC25" s="125">
        <v>46130.0</v>
      </c>
      <c r="AD25" s="123" t="s">
        <v>505</v>
      </c>
      <c r="AE25" s="123">
        <v>8.4439951E7</v>
      </c>
      <c r="AF25" s="123" t="s">
        <v>588</v>
      </c>
      <c r="AG25" s="124"/>
      <c r="AH25" s="124"/>
      <c r="AI25" s="123">
        <v>10900.0</v>
      </c>
      <c r="AJ25" s="123" t="s">
        <v>159</v>
      </c>
      <c r="AK25" s="123">
        <v>18.0</v>
      </c>
      <c r="AL25" s="122">
        <v>0.0</v>
      </c>
      <c r="AM25" s="123">
        <v>0.0</v>
      </c>
      <c r="AN25" s="122">
        <v>0.0</v>
      </c>
      <c r="AO25" s="123">
        <v>0.0</v>
      </c>
      <c r="AP25" s="123">
        <v>0.0</v>
      </c>
      <c r="AQ25" s="123">
        <v>0.0</v>
      </c>
      <c r="AR25" s="123">
        <v>0.0</v>
      </c>
      <c r="AS25" s="123">
        <v>0.0</v>
      </c>
      <c r="AT25" s="123">
        <v>0.0</v>
      </c>
      <c r="AU25" s="124"/>
      <c r="AV25" s="124"/>
      <c r="AW25" s="123">
        <v>0.0</v>
      </c>
      <c r="AX25" s="123">
        <v>10900.0</v>
      </c>
      <c r="AY25" s="123" t="s">
        <v>31</v>
      </c>
      <c r="AZ25" s="123" t="s">
        <v>31</v>
      </c>
      <c r="BA25" s="123" t="s">
        <v>585</v>
      </c>
      <c r="BB25" s="123">
        <v>1.12610045E9</v>
      </c>
      <c r="BC25" s="123" t="s">
        <v>556</v>
      </c>
      <c r="BD25" s="123" t="s">
        <v>586</v>
      </c>
      <c r="BE25" s="124"/>
      <c r="BF25" s="124" t="s">
        <v>484</v>
      </c>
      <c r="BG25" s="124" t="s">
        <v>482</v>
      </c>
      <c r="BH25" s="122" t="s">
        <v>587</v>
      </c>
      <c r="BI25" s="171" t="s">
        <v>511</v>
      </c>
      <c r="BJ25" s="171" t="s">
        <v>512</v>
      </c>
      <c r="BK25" s="171" t="s">
        <v>519</v>
      </c>
      <c r="BL25" s="171">
        <v>693.0</v>
      </c>
      <c r="BM25" s="171">
        <v>36494.74</v>
      </c>
      <c r="BN25" s="171">
        <v>-35802.0</v>
      </c>
      <c r="BO25" s="171" t="s">
        <v>514</v>
      </c>
      <c r="BP25" s="171">
        <v>9174963.0</v>
      </c>
      <c r="BQ25" s="171" t="s">
        <v>484</v>
      </c>
      <c r="BR25" s="171" t="s">
        <v>479</v>
      </c>
      <c r="BS25" s="171">
        <v>36.0</v>
      </c>
    </row>
    <row r="26" ht="14.25" customHeight="1">
      <c r="A26" s="122" t="s">
        <v>493</v>
      </c>
      <c r="B26" s="123" t="s">
        <v>494</v>
      </c>
      <c r="C26" s="123">
        <v>107.0</v>
      </c>
      <c r="D26" s="123" t="s">
        <v>146</v>
      </c>
      <c r="E26" s="123" t="s">
        <v>147</v>
      </c>
      <c r="F26" s="124"/>
      <c r="G26" s="124"/>
      <c r="H26" s="123" t="s">
        <v>2</v>
      </c>
      <c r="I26" s="123" t="s">
        <v>495</v>
      </c>
      <c r="J26" s="123" t="s">
        <v>496</v>
      </c>
      <c r="K26" s="123" t="s">
        <v>529</v>
      </c>
      <c r="L26" s="123" t="s">
        <v>498</v>
      </c>
      <c r="M26" s="125">
        <v>46142.0</v>
      </c>
      <c r="N26" s="123" t="s">
        <v>581</v>
      </c>
      <c r="O26" s="123">
        <v>9175765.0</v>
      </c>
      <c r="P26" s="179">
        <v>46130.0</v>
      </c>
      <c r="Q26" s="123" t="s">
        <v>500</v>
      </c>
      <c r="R26" s="123">
        <v>3545.0</v>
      </c>
      <c r="S26" s="123" t="s">
        <v>582</v>
      </c>
      <c r="T26" s="123" t="s">
        <v>539</v>
      </c>
      <c r="U26" s="124" t="s">
        <v>583</v>
      </c>
      <c r="V26" s="123" t="s">
        <v>504</v>
      </c>
      <c r="W26" s="124"/>
      <c r="X26" s="123">
        <v>2725.0</v>
      </c>
      <c r="Y26" s="122">
        <v>-4.0</v>
      </c>
      <c r="Z26" s="123">
        <v>-10900.0</v>
      </c>
      <c r="AA26" s="123" t="s">
        <v>157</v>
      </c>
      <c r="AB26" s="123" t="s">
        <v>581</v>
      </c>
      <c r="AC26" s="125">
        <v>46130.0</v>
      </c>
      <c r="AD26" s="124" t="s">
        <v>505</v>
      </c>
      <c r="AE26" s="123">
        <v>8.4439951E7</v>
      </c>
      <c r="AF26" s="123" t="s">
        <v>588</v>
      </c>
      <c r="AG26" s="124"/>
      <c r="AH26" s="124"/>
      <c r="AI26" s="123">
        <v>-10900.0</v>
      </c>
      <c r="AJ26" s="123" t="s">
        <v>159</v>
      </c>
      <c r="AK26" s="123">
        <v>18.0</v>
      </c>
      <c r="AL26" s="122">
        <v>0.0</v>
      </c>
      <c r="AM26" s="123">
        <v>0.0</v>
      </c>
      <c r="AN26" s="122">
        <v>0.0</v>
      </c>
      <c r="AO26" s="123">
        <v>0.0</v>
      </c>
      <c r="AP26" s="123">
        <v>0.0</v>
      </c>
      <c r="AQ26" s="123">
        <v>0.0</v>
      </c>
      <c r="AR26" s="123">
        <v>0.0</v>
      </c>
      <c r="AS26" s="123">
        <v>0.0</v>
      </c>
      <c r="AT26" s="123">
        <v>0.0</v>
      </c>
      <c r="AU26" s="124"/>
      <c r="AV26" s="124"/>
      <c r="AW26" s="123">
        <v>0.0</v>
      </c>
      <c r="AX26" s="123">
        <v>-10900.0</v>
      </c>
      <c r="AY26" s="123" t="s">
        <v>31</v>
      </c>
      <c r="AZ26" s="123" t="s">
        <v>31</v>
      </c>
      <c r="BA26" s="123" t="s">
        <v>585</v>
      </c>
      <c r="BB26" s="123">
        <v>1.12610045E9</v>
      </c>
      <c r="BC26" s="123" t="s">
        <v>556</v>
      </c>
      <c r="BD26" s="123" t="s">
        <v>586</v>
      </c>
      <c r="BE26" s="124"/>
      <c r="BF26" s="124" t="s">
        <v>484</v>
      </c>
      <c r="BG26" s="124" t="s">
        <v>475</v>
      </c>
      <c r="BH26" s="122" t="s">
        <v>587</v>
      </c>
      <c r="BI26" s="171" t="s">
        <v>511</v>
      </c>
      <c r="BJ26" s="171" t="s">
        <v>512</v>
      </c>
      <c r="BK26" s="171" t="s">
        <v>589</v>
      </c>
      <c r="BL26" s="171">
        <v>2700.0</v>
      </c>
      <c r="BM26" s="171" t="e">
        <v>#N/A</v>
      </c>
      <c r="BN26" s="171" t="e">
        <v>#N/A</v>
      </c>
      <c r="BO26" s="171" t="s">
        <v>544</v>
      </c>
      <c r="BP26" s="171">
        <v>9167056.0</v>
      </c>
      <c r="BQ26" s="171" t="s">
        <v>481</v>
      </c>
      <c r="BR26" s="171" t="s">
        <v>544</v>
      </c>
      <c r="BS26" s="171">
        <v>3.0</v>
      </c>
    </row>
    <row r="27" ht="14.25" customHeight="1">
      <c r="A27" s="122" t="s">
        <v>493</v>
      </c>
      <c r="B27" s="123" t="s">
        <v>494</v>
      </c>
      <c r="C27" s="123">
        <v>107.0</v>
      </c>
      <c r="D27" s="123" t="s">
        <v>146</v>
      </c>
      <c r="E27" s="123" t="s">
        <v>147</v>
      </c>
      <c r="F27" s="124"/>
      <c r="G27" s="124"/>
      <c r="H27" s="123" t="s">
        <v>2</v>
      </c>
      <c r="I27" s="123" t="s">
        <v>495</v>
      </c>
      <c r="J27" s="123" t="s">
        <v>528</v>
      </c>
      <c r="K27" s="123" t="s">
        <v>529</v>
      </c>
      <c r="L27" s="123" t="s">
        <v>498</v>
      </c>
      <c r="M27" s="125">
        <v>46142.0</v>
      </c>
      <c r="N27" s="123" t="s">
        <v>590</v>
      </c>
      <c r="O27" s="123">
        <v>9178273.0</v>
      </c>
      <c r="P27" s="179">
        <v>46129.0</v>
      </c>
      <c r="Q27" s="123" t="s">
        <v>500</v>
      </c>
      <c r="R27" s="123">
        <v>38296.0</v>
      </c>
      <c r="S27" s="123" t="s">
        <v>591</v>
      </c>
      <c r="T27" s="123" t="s">
        <v>539</v>
      </c>
      <c r="U27" s="123" t="s">
        <v>592</v>
      </c>
      <c r="V27" s="123" t="s">
        <v>504</v>
      </c>
      <c r="W27" s="124"/>
      <c r="X27" s="123">
        <v>1.0</v>
      </c>
      <c r="Y27" s="122">
        <v>2237.28</v>
      </c>
      <c r="Z27" s="123">
        <v>2237.28</v>
      </c>
      <c r="AA27" s="123" t="s">
        <v>157</v>
      </c>
      <c r="AB27" s="123" t="s">
        <v>590</v>
      </c>
      <c r="AC27" s="125">
        <v>46129.0</v>
      </c>
      <c r="AD27" s="123" t="s">
        <v>593</v>
      </c>
      <c r="AE27" s="123">
        <v>8.4733099E7</v>
      </c>
      <c r="AF27" s="123" t="s">
        <v>594</v>
      </c>
      <c r="AG27" s="124"/>
      <c r="AH27" s="124"/>
      <c r="AI27" s="123">
        <v>2237.28</v>
      </c>
      <c r="AJ27" s="123" t="s">
        <v>159</v>
      </c>
      <c r="AK27" s="123">
        <v>18.0</v>
      </c>
      <c r="AL27" s="122">
        <v>201.36</v>
      </c>
      <c r="AM27" s="123">
        <v>201.36</v>
      </c>
      <c r="AN27" s="122">
        <v>0.0</v>
      </c>
      <c r="AO27" s="123">
        <v>0.0</v>
      </c>
      <c r="AP27" s="123">
        <v>0.0</v>
      </c>
      <c r="AQ27" s="123">
        <v>0.0</v>
      </c>
      <c r="AR27" s="123">
        <v>0.0</v>
      </c>
      <c r="AS27" s="123">
        <v>0.0</v>
      </c>
      <c r="AT27" s="123">
        <v>0.0</v>
      </c>
      <c r="AU27" s="124"/>
      <c r="AV27" s="124"/>
      <c r="AW27" s="123">
        <v>0.0</v>
      </c>
      <c r="AX27" s="123">
        <v>2640.0</v>
      </c>
      <c r="AY27" s="123" t="s">
        <v>20</v>
      </c>
      <c r="AZ27" s="123" t="s">
        <v>31</v>
      </c>
      <c r="BA27" s="123" t="s">
        <v>595</v>
      </c>
      <c r="BB27" s="123">
        <v>1.12610049E9</v>
      </c>
      <c r="BC27" s="123" t="s">
        <v>187</v>
      </c>
      <c r="BD27" s="123" t="s">
        <v>586</v>
      </c>
      <c r="BE27" s="124"/>
      <c r="BF27" s="124" t="s">
        <v>483</v>
      </c>
      <c r="BG27" s="124" t="s">
        <v>482</v>
      </c>
      <c r="BH27" s="122" t="s">
        <v>587</v>
      </c>
      <c r="BI27" s="171" t="s">
        <v>511</v>
      </c>
      <c r="BJ27" s="171" t="s">
        <v>512</v>
      </c>
      <c r="BK27" s="171" t="s">
        <v>596</v>
      </c>
      <c r="BL27" s="171">
        <v>402.72</v>
      </c>
      <c r="BM27" s="171">
        <v>665.86</v>
      </c>
      <c r="BN27" s="171">
        <v>-263.0</v>
      </c>
      <c r="BO27" s="171" t="s">
        <v>514</v>
      </c>
      <c r="BP27" s="171">
        <v>9178273.0</v>
      </c>
      <c r="BQ27" s="171" t="s">
        <v>483</v>
      </c>
      <c r="BR27" s="171" t="s">
        <v>479</v>
      </c>
      <c r="BS27" s="171">
        <v>2.0</v>
      </c>
    </row>
    <row r="28" ht="14.25" customHeight="1">
      <c r="A28" s="122" t="s">
        <v>493</v>
      </c>
      <c r="B28" s="123" t="s">
        <v>494</v>
      </c>
      <c r="C28" s="123">
        <v>107.0</v>
      </c>
      <c r="D28" s="123" t="s">
        <v>146</v>
      </c>
      <c r="E28" s="123" t="s">
        <v>147</v>
      </c>
      <c r="F28" s="124"/>
      <c r="G28" s="123" t="s">
        <v>149</v>
      </c>
      <c r="H28" s="123" t="s">
        <v>2</v>
      </c>
      <c r="I28" s="123" t="s">
        <v>495</v>
      </c>
      <c r="J28" s="123" t="s">
        <v>496</v>
      </c>
      <c r="K28" s="123" t="s">
        <v>497</v>
      </c>
      <c r="L28" s="123" t="s">
        <v>498</v>
      </c>
      <c r="M28" s="125">
        <v>46126.0</v>
      </c>
      <c r="N28" s="123">
        <v>612.0</v>
      </c>
      <c r="O28" s="123">
        <v>9151235.0</v>
      </c>
      <c r="P28" s="179">
        <v>46116.0</v>
      </c>
      <c r="Q28" s="123" t="s">
        <v>500</v>
      </c>
      <c r="R28" s="123">
        <v>40631.0</v>
      </c>
      <c r="S28" s="123" t="s">
        <v>597</v>
      </c>
      <c r="T28" s="123" t="s">
        <v>539</v>
      </c>
      <c r="U28" s="123" t="s">
        <v>598</v>
      </c>
      <c r="V28" s="123" t="s">
        <v>504</v>
      </c>
      <c r="W28" s="124"/>
      <c r="X28" s="123">
        <v>1200.0</v>
      </c>
      <c r="Y28" s="122">
        <v>9.0</v>
      </c>
      <c r="Z28" s="123">
        <v>10800.0</v>
      </c>
      <c r="AA28" s="123" t="s">
        <v>157</v>
      </c>
      <c r="AB28" s="123">
        <v>612.0</v>
      </c>
      <c r="AC28" s="125">
        <v>46116.0</v>
      </c>
      <c r="AD28" s="123" t="s">
        <v>505</v>
      </c>
      <c r="AE28" s="123">
        <v>995400.0</v>
      </c>
      <c r="AF28" s="123" t="s">
        <v>599</v>
      </c>
      <c r="AG28" s="124"/>
      <c r="AH28" s="124"/>
      <c r="AI28" s="123">
        <v>10800.0</v>
      </c>
      <c r="AJ28" s="123" t="s">
        <v>159</v>
      </c>
      <c r="AK28" s="123">
        <v>18.0</v>
      </c>
      <c r="AL28" s="122">
        <v>972.0</v>
      </c>
      <c r="AM28" s="123">
        <v>972.0</v>
      </c>
      <c r="AN28" s="122">
        <v>0.0</v>
      </c>
      <c r="AO28" s="123">
        <v>0.0</v>
      </c>
      <c r="AP28" s="123">
        <v>0.0</v>
      </c>
      <c r="AQ28" s="123">
        <v>0.0</v>
      </c>
      <c r="AR28" s="123">
        <v>0.0</v>
      </c>
      <c r="AS28" s="123">
        <v>0.0</v>
      </c>
      <c r="AT28" s="123">
        <v>0.0</v>
      </c>
      <c r="AU28" s="124"/>
      <c r="AV28" s="124"/>
      <c r="AW28" s="123">
        <v>0.0</v>
      </c>
      <c r="AX28" s="123">
        <v>12744.0</v>
      </c>
      <c r="AY28" s="123" t="s">
        <v>31</v>
      </c>
      <c r="AZ28" s="123" t="s">
        <v>31</v>
      </c>
      <c r="BA28" s="123" t="s">
        <v>600</v>
      </c>
      <c r="BB28" s="123">
        <v>1.126100056E9</v>
      </c>
      <c r="BC28" s="123" t="s">
        <v>556</v>
      </c>
      <c r="BD28" s="123" t="s">
        <v>162</v>
      </c>
      <c r="BE28" s="124"/>
      <c r="BF28" s="124" t="s">
        <v>484</v>
      </c>
      <c r="BG28" s="124" t="s">
        <v>482</v>
      </c>
      <c r="BH28" s="122" t="s">
        <v>587</v>
      </c>
      <c r="BI28" s="171" t="s">
        <v>511</v>
      </c>
      <c r="BJ28" s="171" t="s">
        <v>512</v>
      </c>
      <c r="BK28" s="171" t="s">
        <v>601</v>
      </c>
      <c r="BL28" s="171">
        <v>1944.0</v>
      </c>
      <c r="BM28" s="171">
        <v>4734.0</v>
      </c>
      <c r="BN28" s="171">
        <v>-2790.0</v>
      </c>
      <c r="BO28" s="171" t="s">
        <v>514</v>
      </c>
      <c r="BP28" s="171">
        <v>9151235.0</v>
      </c>
      <c r="BQ28" s="171" t="s">
        <v>484</v>
      </c>
      <c r="BR28" s="171" t="s">
        <v>479</v>
      </c>
      <c r="BS28" s="171">
        <v>3.0</v>
      </c>
    </row>
    <row r="29" ht="14.25" customHeight="1">
      <c r="A29" s="122" t="s">
        <v>493</v>
      </c>
      <c r="B29" s="123" t="s">
        <v>494</v>
      </c>
      <c r="C29" s="123">
        <v>107.0</v>
      </c>
      <c r="D29" s="123" t="s">
        <v>146</v>
      </c>
      <c r="E29" s="123" t="s">
        <v>147</v>
      </c>
      <c r="F29" s="124"/>
      <c r="G29" s="123" t="s">
        <v>149</v>
      </c>
      <c r="H29" s="123" t="s">
        <v>2</v>
      </c>
      <c r="I29" s="123" t="s">
        <v>495</v>
      </c>
      <c r="J29" s="123" t="s">
        <v>496</v>
      </c>
      <c r="K29" s="123" t="s">
        <v>497</v>
      </c>
      <c r="L29" s="123" t="s">
        <v>498</v>
      </c>
      <c r="M29" s="125">
        <v>46127.0</v>
      </c>
      <c r="N29" s="123" t="s">
        <v>499</v>
      </c>
      <c r="O29" s="123">
        <v>9158398.0</v>
      </c>
      <c r="P29" s="179">
        <v>46090.0</v>
      </c>
      <c r="Q29" s="123" t="s">
        <v>500</v>
      </c>
      <c r="R29" s="123">
        <v>35671.0</v>
      </c>
      <c r="S29" s="123" t="s">
        <v>501</v>
      </c>
      <c r="T29" s="123" t="s">
        <v>502</v>
      </c>
      <c r="U29" s="123" t="s">
        <v>503</v>
      </c>
      <c r="V29" s="123" t="s">
        <v>504</v>
      </c>
      <c r="W29" s="124"/>
      <c r="X29" s="123">
        <v>7755.51</v>
      </c>
      <c r="Y29" s="122">
        <v>1.0</v>
      </c>
      <c r="Z29" s="123">
        <v>7755.51</v>
      </c>
      <c r="AA29" s="123" t="s">
        <v>157</v>
      </c>
      <c r="AB29" s="123" t="s">
        <v>499</v>
      </c>
      <c r="AC29" s="125">
        <v>46121.0</v>
      </c>
      <c r="AD29" s="123" t="s">
        <v>505</v>
      </c>
      <c r="AE29" s="123">
        <v>8.5129E7</v>
      </c>
      <c r="AF29" s="123" t="s">
        <v>602</v>
      </c>
      <c r="AG29" s="124"/>
      <c r="AH29" s="124"/>
      <c r="AI29" s="123">
        <v>7755.51</v>
      </c>
      <c r="AJ29" s="123" t="s">
        <v>159</v>
      </c>
      <c r="AK29" s="123">
        <v>18.0</v>
      </c>
      <c r="AL29" s="122">
        <v>0.0</v>
      </c>
      <c r="AM29" s="123">
        <v>0.0</v>
      </c>
      <c r="AN29" s="122">
        <v>1395.99</v>
      </c>
      <c r="AO29" s="123">
        <v>0.0</v>
      </c>
      <c r="AP29" s="123">
        <v>0.0</v>
      </c>
      <c r="AQ29" s="123">
        <v>0.0</v>
      </c>
      <c r="AR29" s="123">
        <v>0.0</v>
      </c>
      <c r="AS29" s="123">
        <v>0.0</v>
      </c>
      <c r="AT29" s="123">
        <v>0.0</v>
      </c>
      <c r="AU29" s="124"/>
      <c r="AV29" s="124"/>
      <c r="AW29" s="123">
        <v>0.0</v>
      </c>
      <c r="AX29" s="123">
        <v>9151.5</v>
      </c>
      <c r="AY29" s="123" t="s">
        <v>31</v>
      </c>
      <c r="AZ29" s="123" t="s">
        <v>31</v>
      </c>
      <c r="BA29" s="123" t="s">
        <v>507</v>
      </c>
      <c r="BB29" s="123">
        <v>1.126100105E9</v>
      </c>
      <c r="BC29" s="123" t="s">
        <v>508</v>
      </c>
      <c r="BD29" s="123" t="s">
        <v>509</v>
      </c>
      <c r="BE29" s="124"/>
      <c r="BF29" s="124" t="s">
        <v>484</v>
      </c>
      <c r="BG29" s="124" t="s">
        <v>482</v>
      </c>
      <c r="BH29" s="122" t="s">
        <v>510</v>
      </c>
      <c r="BI29" s="171" t="s">
        <v>511</v>
      </c>
      <c r="BJ29" s="171" t="s">
        <v>512</v>
      </c>
      <c r="BK29" s="171" t="s">
        <v>513</v>
      </c>
      <c r="BL29" s="171">
        <v>1395.99</v>
      </c>
      <c r="BM29" s="171">
        <v>38182.88</v>
      </c>
      <c r="BN29" s="171">
        <v>-36787.0</v>
      </c>
      <c r="BO29" s="171" t="s">
        <v>514</v>
      </c>
      <c r="BP29" s="171">
        <v>9158398.0</v>
      </c>
      <c r="BQ29" s="171" t="s">
        <v>484</v>
      </c>
      <c r="BR29" s="171" t="s">
        <v>479</v>
      </c>
      <c r="BS29" s="171">
        <v>37.0</v>
      </c>
    </row>
    <row r="30" ht="14.25" customHeight="1">
      <c r="A30" s="122" t="s">
        <v>493</v>
      </c>
      <c r="B30" s="123" t="s">
        <v>494</v>
      </c>
      <c r="C30" s="123">
        <v>107.0</v>
      </c>
      <c r="D30" s="123" t="s">
        <v>146</v>
      </c>
      <c r="E30" s="123" t="s">
        <v>147</v>
      </c>
      <c r="F30" s="124"/>
      <c r="G30" s="123" t="s">
        <v>149</v>
      </c>
      <c r="H30" s="123" t="s">
        <v>2</v>
      </c>
      <c r="I30" s="123" t="s">
        <v>495</v>
      </c>
      <c r="J30" s="123" t="s">
        <v>496</v>
      </c>
      <c r="K30" s="123" t="s">
        <v>497</v>
      </c>
      <c r="L30" s="123" t="s">
        <v>498</v>
      </c>
      <c r="M30" s="125">
        <v>46140.0</v>
      </c>
      <c r="N30" s="123" t="s">
        <v>516</v>
      </c>
      <c r="O30" s="123">
        <v>9174963.0</v>
      </c>
      <c r="P30" s="179">
        <v>46129.0</v>
      </c>
      <c r="Q30" s="123" t="s">
        <v>500</v>
      </c>
      <c r="R30" s="123">
        <v>35671.0</v>
      </c>
      <c r="S30" s="123" t="s">
        <v>501</v>
      </c>
      <c r="T30" s="123" t="s">
        <v>502</v>
      </c>
      <c r="U30" s="123" t="s">
        <v>503</v>
      </c>
      <c r="V30" s="123" t="s">
        <v>504</v>
      </c>
      <c r="W30" s="124"/>
      <c r="X30" s="123">
        <v>9315.94</v>
      </c>
      <c r="Y30" s="122">
        <v>1.0</v>
      </c>
      <c r="Z30" s="123">
        <v>9315.94</v>
      </c>
      <c r="AA30" s="123" t="s">
        <v>157</v>
      </c>
      <c r="AB30" s="123" t="s">
        <v>516</v>
      </c>
      <c r="AC30" s="125">
        <v>46129.0</v>
      </c>
      <c r="AD30" s="123" t="s">
        <v>505</v>
      </c>
      <c r="AE30" s="123">
        <v>8.42199E7</v>
      </c>
      <c r="AF30" s="123" t="s">
        <v>603</v>
      </c>
      <c r="AG30" s="124"/>
      <c r="AH30" s="124"/>
      <c r="AI30" s="123">
        <v>9315.94</v>
      </c>
      <c r="AJ30" s="123" t="s">
        <v>159</v>
      </c>
      <c r="AK30" s="123">
        <v>18.0</v>
      </c>
      <c r="AL30" s="122">
        <v>0.0</v>
      </c>
      <c r="AM30" s="123">
        <v>0.0</v>
      </c>
      <c r="AN30" s="122">
        <v>1676.87</v>
      </c>
      <c r="AO30" s="123">
        <v>0.0</v>
      </c>
      <c r="AP30" s="123">
        <v>0.0</v>
      </c>
      <c r="AQ30" s="123">
        <v>0.0</v>
      </c>
      <c r="AR30" s="123">
        <v>0.0</v>
      </c>
      <c r="AS30" s="123">
        <v>0.0</v>
      </c>
      <c r="AT30" s="123">
        <v>0.0</v>
      </c>
      <c r="AU30" s="124"/>
      <c r="AV30" s="124"/>
      <c r="AW30" s="123">
        <v>0.0</v>
      </c>
      <c r="AX30" s="123">
        <v>10992.81</v>
      </c>
      <c r="AY30" s="123" t="s">
        <v>31</v>
      </c>
      <c r="AZ30" s="123" t="s">
        <v>31</v>
      </c>
      <c r="BA30" s="123" t="s">
        <v>518</v>
      </c>
      <c r="BB30" s="123">
        <v>1.126100446E9</v>
      </c>
      <c r="BC30" s="123" t="s">
        <v>508</v>
      </c>
      <c r="BD30" s="123" t="s">
        <v>509</v>
      </c>
      <c r="BE30" s="124"/>
      <c r="BF30" s="124" t="s">
        <v>484</v>
      </c>
      <c r="BG30" s="124" t="s">
        <v>482</v>
      </c>
      <c r="BH30" s="122" t="s">
        <v>510</v>
      </c>
      <c r="BI30" s="171" t="s">
        <v>511</v>
      </c>
      <c r="BJ30" s="171" t="s">
        <v>512</v>
      </c>
      <c r="BK30" s="171" t="s">
        <v>519</v>
      </c>
      <c r="BL30" s="171">
        <v>1676.87</v>
      </c>
      <c r="BM30" s="171">
        <v>36494.74</v>
      </c>
      <c r="BN30" s="171">
        <v>-34818.0</v>
      </c>
      <c r="BO30" s="171" t="s">
        <v>514</v>
      </c>
      <c r="BP30" s="171">
        <v>9174963.0</v>
      </c>
      <c r="BQ30" s="171" t="s">
        <v>484</v>
      </c>
      <c r="BR30" s="171" t="s">
        <v>479</v>
      </c>
      <c r="BS30" s="171">
        <v>36.0</v>
      </c>
    </row>
    <row r="31" ht="14.25" customHeight="1">
      <c r="A31" s="122" t="s">
        <v>493</v>
      </c>
      <c r="B31" s="123" t="s">
        <v>494</v>
      </c>
      <c r="C31" s="123">
        <v>107.0</v>
      </c>
      <c r="D31" s="123" t="s">
        <v>146</v>
      </c>
      <c r="E31" s="123" t="s">
        <v>147</v>
      </c>
      <c r="F31" s="124"/>
      <c r="G31" s="123" t="s">
        <v>149</v>
      </c>
      <c r="H31" s="123" t="s">
        <v>2</v>
      </c>
      <c r="I31" s="123" t="s">
        <v>495</v>
      </c>
      <c r="J31" s="123" t="s">
        <v>496</v>
      </c>
      <c r="K31" s="123" t="s">
        <v>497</v>
      </c>
      <c r="L31" s="123" t="s">
        <v>498</v>
      </c>
      <c r="M31" s="125">
        <v>46127.0</v>
      </c>
      <c r="N31" s="123" t="s">
        <v>604</v>
      </c>
      <c r="O31" s="123">
        <v>9156758.0</v>
      </c>
      <c r="P31" s="179">
        <v>46113.0</v>
      </c>
      <c r="Q31" s="123" t="s">
        <v>500</v>
      </c>
      <c r="R31" s="123">
        <v>33841.0</v>
      </c>
      <c r="S31" s="123" t="s">
        <v>605</v>
      </c>
      <c r="T31" s="123" t="s">
        <v>539</v>
      </c>
      <c r="U31" s="123" t="s">
        <v>606</v>
      </c>
      <c r="V31" s="123" t="s">
        <v>504</v>
      </c>
      <c r="W31" s="124"/>
      <c r="X31" s="123">
        <v>1.0</v>
      </c>
      <c r="Y31" s="122">
        <v>509.0</v>
      </c>
      <c r="Z31" s="123">
        <v>509.0</v>
      </c>
      <c r="AA31" s="123" t="s">
        <v>157</v>
      </c>
      <c r="AB31" s="123" t="s">
        <v>604</v>
      </c>
      <c r="AC31" s="125">
        <v>46113.0</v>
      </c>
      <c r="AD31" s="123" t="s">
        <v>525</v>
      </c>
      <c r="AE31" s="123">
        <v>998400.0</v>
      </c>
      <c r="AF31" s="123" t="s">
        <v>607</v>
      </c>
      <c r="AG31" s="124"/>
      <c r="AH31" s="124"/>
      <c r="AI31" s="123">
        <v>509.0</v>
      </c>
      <c r="AJ31" s="123" t="s">
        <v>159</v>
      </c>
      <c r="AK31" s="123">
        <v>18.0</v>
      </c>
      <c r="AL31" s="122">
        <v>45.81</v>
      </c>
      <c r="AM31" s="123">
        <v>45.81</v>
      </c>
      <c r="AN31" s="122">
        <v>0.0</v>
      </c>
      <c r="AO31" s="123">
        <v>0.0</v>
      </c>
      <c r="AP31" s="123">
        <v>0.0</v>
      </c>
      <c r="AQ31" s="123">
        <v>0.0</v>
      </c>
      <c r="AR31" s="123">
        <v>0.0</v>
      </c>
      <c r="AS31" s="123">
        <v>0.0</v>
      </c>
      <c r="AT31" s="123">
        <v>0.0</v>
      </c>
      <c r="AU31" s="124"/>
      <c r="AV31" s="124"/>
      <c r="AW31" s="123">
        <v>0.0</v>
      </c>
      <c r="AX31" s="123">
        <v>600.62</v>
      </c>
      <c r="AY31" s="123" t="s">
        <v>20</v>
      </c>
      <c r="AZ31" s="123" t="s">
        <v>31</v>
      </c>
      <c r="BA31" s="123" t="s">
        <v>527</v>
      </c>
      <c r="BB31" s="123">
        <v>1.126100082E9</v>
      </c>
      <c r="BC31" s="123" t="s">
        <v>187</v>
      </c>
      <c r="BD31" s="123" t="s">
        <v>162</v>
      </c>
      <c r="BE31" s="124"/>
      <c r="BF31" s="124" t="s">
        <v>483</v>
      </c>
      <c r="BG31" s="124" t="s">
        <v>482</v>
      </c>
      <c r="BH31" s="122" t="s">
        <v>510</v>
      </c>
      <c r="BI31" s="171" t="s">
        <v>511</v>
      </c>
      <c r="BJ31" s="171" t="s">
        <v>512</v>
      </c>
      <c r="BK31" s="171" t="s">
        <v>608</v>
      </c>
      <c r="BL31" s="171">
        <v>91.62</v>
      </c>
      <c r="BM31" s="171">
        <v>369.72</v>
      </c>
      <c r="BN31" s="171">
        <v>-278.0</v>
      </c>
      <c r="BO31" s="171" t="s">
        <v>514</v>
      </c>
      <c r="BP31" s="171">
        <v>9156758.0</v>
      </c>
      <c r="BQ31" s="171" t="s">
        <v>483</v>
      </c>
      <c r="BR31" s="171" t="s">
        <v>479</v>
      </c>
      <c r="BS31" s="171">
        <v>2.0</v>
      </c>
    </row>
    <row r="32" ht="14.25" customHeight="1">
      <c r="A32" s="122" t="s">
        <v>493</v>
      </c>
      <c r="B32" s="123" t="s">
        <v>494</v>
      </c>
      <c r="C32" s="123">
        <v>107.0</v>
      </c>
      <c r="D32" s="123" t="s">
        <v>146</v>
      </c>
      <c r="E32" s="123" t="s">
        <v>147</v>
      </c>
      <c r="F32" s="124"/>
      <c r="G32" s="123" t="s">
        <v>149</v>
      </c>
      <c r="H32" s="123" t="s">
        <v>2</v>
      </c>
      <c r="I32" s="123" t="s">
        <v>495</v>
      </c>
      <c r="J32" s="123" t="s">
        <v>496</v>
      </c>
      <c r="K32" s="123" t="s">
        <v>497</v>
      </c>
      <c r="L32" s="123" t="s">
        <v>498</v>
      </c>
      <c r="M32" s="125">
        <v>46135.0</v>
      </c>
      <c r="N32" s="123">
        <v>3.473457367E9</v>
      </c>
      <c r="O32" s="123">
        <v>9167995.0</v>
      </c>
      <c r="P32" s="179">
        <v>46127.0</v>
      </c>
      <c r="Q32" s="123" t="s">
        <v>500</v>
      </c>
      <c r="R32" s="123">
        <v>39705.0</v>
      </c>
      <c r="S32" s="123" t="s">
        <v>609</v>
      </c>
      <c r="T32" s="123" t="s">
        <v>539</v>
      </c>
      <c r="U32" s="123" t="s">
        <v>610</v>
      </c>
      <c r="V32" s="123" t="s">
        <v>504</v>
      </c>
      <c r="W32" s="124"/>
      <c r="X32" s="123">
        <v>1.0</v>
      </c>
      <c r="Y32" s="122">
        <v>7500.0</v>
      </c>
      <c r="Z32" s="123">
        <v>7500.0</v>
      </c>
      <c r="AA32" s="123" t="s">
        <v>157</v>
      </c>
      <c r="AB32" s="123">
        <v>3.473457367E9</v>
      </c>
      <c r="AC32" s="125">
        <v>46127.0</v>
      </c>
      <c r="AD32" s="123" t="s">
        <v>505</v>
      </c>
      <c r="AE32" s="123">
        <v>998412.0</v>
      </c>
      <c r="AF32" s="123" t="s">
        <v>611</v>
      </c>
      <c r="AG32" s="124"/>
      <c r="AH32" s="124"/>
      <c r="AI32" s="123">
        <v>7500.0</v>
      </c>
      <c r="AJ32" s="123" t="s">
        <v>159</v>
      </c>
      <c r="AK32" s="123">
        <v>18.0</v>
      </c>
      <c r="AL32" s="122">
        <v>675.0</v>
      </c>
      <c r="AM32" s="123">
        <v>675.0</v>
      </c>
      <c r="AN32" s="122">
        <v>0.0</v>
      </c>
      <c r="AO32" s="123">
        <v>0.0</v>
      </c>
      <c r="AP32" s="123">
        <v>0.0</v>
      </c>
      <c r="AQ32" s="123">
        <v>0.0</v>
      </c>
      <c r="AR32" s="123">
        <v>0.0</v>
      </c>
      <c r="AS32" s="123">
        <v>0.0</v>
      </c>
      <c r="AT32" s="123">
        <v>0.0</v>
      </c>
      <c r="AU32" s="124"/>
      <c r="AV32" s="124"/>
      <c r="AW32" s="123">
        <v>0.0</v>
      </c>
      <c r="AX32" s="123">
        <v>8850.0</v>
      </c>
      <c r="AY32" s="123" t="s">
        <v>20</v>
      </c>
      <c r="AZ32" s="123" t="s">
        <v>31</v>
      </c>
      <c r="BA32" s="123" t="s">
        <v>612</v>
      </c>
      <c r="BB32" s="123">
        <v>1.126100348E9</v>
      </c>
      <c r="BC32" s="123" t="s">
        <v>187</v>
      </c>
      <c r="BD32" s="123" t="s">
        <v>162</v>
      </c>
      <c r="BE32" s="124"/>
      <c r="BF32" s="124" t="s">
        <v>483</v>
      </c>
      <c r="BG32" s="124" t="s">
        <v>482</v>
      </c>
      <c r="BH32" s="122" t="s">
        <v>510</v>
      </c>
      <c r="BI32" s="171" t="s">
        <v>511</v>
      </c>
      <c r="BJ32" s="171" t="s">
        <v>512</v>
      </c>
      <c r="BK32" s="171" t="s">
        <v>613</v>
      </c>
      <c r="BL32" s="171">
        <v>1350.0</v>
      </c>
      <c r="BM32" s="171">
        <v>1350.0</v>
      </c>
      <c r="BN32" s="171">
        <v>0.0</v>
      </c>
      <c r="BO32" s="171" t="s">
        <v>514</v>
      </c>
      <c r="BP32" s="171">
        <v>9167995.0</v>
      </c>
      <c r="BQ32" s="171" t="s">
        <v>483</v>
      </c>
      <c r="BR32" s="171" t="s">
        <v>479</v>
      </c>
      <c r="BS32" s="171">
        <v>1.0</v>
      </c>
    </row>
    <row r="33" ht="14.25" customHeight="1">
      <c r="A33" s="122" t="s">
        <v>493</v>
      </c>
      <c r="B33" s="123" t="s">
        <v>494</v>
      </c>
      <c r="C33" s="123">
        <v>107.0</v>
      </c>
      <c r="D33" s="123" t="s">
        <v>146</v>
      </c>
      <c r="E33" s="123" t="s">
        <v>147</v>
      </c>
      <c r="F33" s="124"/>
      <c r="G33" s="123" t="s">
        <v>149</v>
      </c>
      <c r="H33" s="123" t="s">
        <v>2</v>
      </c>
      <c r="I33" s="123" t="s">
        <v>495</v>
      </c>
      <c r="J33" s="123" t="s">
        <v>496</v>
      </c>
      <c r="K33" s="123" t="s">
        <v>497</v>
      </c>
      <c r="L33" s="123" t="s">
        <v>498</v>
      </c>
      <c r="M33" s="125">
        <v>46127.0</v>
      </c>
      <c r="N33" s="123" t="s">
        <v>499</v>
      </c>
      <c r="O33" s="123">
        <v>9158398.0</v>
      </c>
      <c r="P33" s="179">
        <v>46090.0</v>
      </c>
      <c r="Q33" s="123" t="s">
        <v>500</v>
      </c>
      <c r="R33" s="123">
        <v>35671.0</v>
      </c>
      <c r="S33" s="123" t="s">
        <v>501</v>
      </c>
      <c r="T33" s="123" t="s">
        <v>502</v>
      </c>
      <c r="U33" s="123" t="s">
        <v>503</v>
      </c>
      <c r="V33" s="123" t="s">
        <v>504</v>
      </c>
      <c r="W33" s="124"/>
      <c r="X33" s="123">
        <v>163.14</v>
      </c>
      <c r="Y33" s="122">
        <v>2.0</v>
      </c>
      <c r="Z33" s="123">
        <v>326.28</v>
      </c>
      <c r="AA33" s="123" t="s">
        <v>157</v>
      </c>
      <c r="AB33" s="123" t="s">
        <v>499</v>
      </c>
      <c r="AC33" s="125">
        <v>46121.0</v>
      </c>
      <c r="AD33" s="123" t="s">
        <v>505</v>
      </c>
      <c r="AE33" s="123">
        <v>3.4029099E7</v>
      </c>
      <c r="AF33" s="123" t="s">
        <v>614</v>
      </c>
      <c r="AG33" s="124"/>
      <c r="AH33" s="124"/>
      <c r="AI33" s="123">
        <v>326.28</v>
      </c>
      <c r="AJ33" s="123" t="s">
        <v>159</v>
      </c>
      <c r="AK33" s="123">
        <v>18.0</v>
      </c>
      <c r="AL33" s="122">
        <v>0.0</v>
      </c>
      <c r="AM33" s="123">
        <v>0.0</v>
      </c>
      <c r="AN33" s="122">
        <v>58.73</v>
      </c>
      <c r="AO33" s="123">
        <v>0.0</v>
      </c>
      <c r="AP33" s="123">
        <v>0.0</v>
      </c>
      <c r="AQ33" s="123">
        <v>0.0</v>
      </c>
      <c r="AR33" s="123">
        <v>0.0</v>
      </c>
      <c r="AS33" s="123">
        <v>0.0</v>
      </c>
      <c r="AT33" s="123">
        <v>0.0</v>
      </c>
      <c r="AU33" s="124"/>
      <c r="AV33" s="124"/>
      <c r="AW33" s="123">
        <v>0.0</v>
      </c>
      <c r="AX33" s="123">
        <v>385.01</v>
      </c>
      <c r="AY33" s="123" t="s">
        <v>31</v>
      </c>
      <c r="AZ33" s="123" t="s">
        <v>31</v>
      </c>
      <c r="BA33" s="123" t="s">
        <v>507</v>
      </c>
      <c r="BB33" s="123">
        <v>1.126100105E9</v>
      </c>
      <c r="BC33" s="123" t="s">
        <v>508</v>
      </c>
      <c r="BD33" s="123" t="s">
        <v>509</v>
      </c>
      <c r="BE33" s="124"/>
      <c r="BF33" s="124" t="s">
        <v>484</v>
      </c>
      <c r="BG33" s="124" t="s">
        <v>482</v>
      </c>
      <c r="BH33" s="122" t="s">
        <v>510</v>
      </c>
      <c r="BI33" s="171" t="s">
        <v>511</v>
      </c>
      <c r="BJ33" s="171" t="s">
        <v>512</v>
      </c>
      <c r="BK33" s="171" t="s">
        <v>513</v>
      </c>
      <c r="BL33" s="171">
        <v>58.73</v>
      </c>
      <c r="BM33" s="171">
        <v>38182.88</v>
      </c>
      <c r="BN33" s="171">
        <v>-38124.0</v>
      </c>
      <c r="BO33" s="171" t="s">
        <v>514</v>
      </c>
      <c r="BP33" s="171">
        <v>9158398.0</v>
      </c>
      <c r="BQ33" s="171" t="s">
        <v>484</v>
      </c>
      <c r="BR33" s="171" t="s">
        <v>479</v>
      </c>
      <c r="BS33" s="171">
        <v>37.0</v>
      </c>
    </row>
    <row r="34" ht="14.25" customHeight="1">
      <c r="A34" s="122" t="s">
        <v>493</v>
      </c>
      <c r="B34" s="123" t="s">
        <v>494</v>
      </c>
      <c r="C34" s="123">
        <v>107.0</v>
      </c>
      <c r="D34" s="123" t="s">
        <v>146</v>
      </c>
      <c r="E34" s="123" t="s">
        <v>147</v>
      </c>
      <c r="F34" s="124"/>
      <c r="G34" s="123" t="s">
        <v>149</v>
      </c>
      <c r="H34" s="123" t="s">
        <v>2</v>
      </c>
      <c r="I34" s="123" t="s">
        <v>495</v>
      </c>
      <c r="J34" s="123" t="s">
        <v>496</v>
      </c>
      <c r="K34" s="123" t="s">
        <v>497</v>
      </c>
      <c r="L34" s="123" t="s">
        <v>498</v>
      </c>
      <c r="M34" s="125">
        <v>46127.0</v>
      </c>
      <c r="N34" s="123" t="s">
        <v>499</v>
      </c>
      <c r="O34" s="123">
        <v>9158398.0</v>
      </c>
      <c r="P34" s="179">
        <v>46090.0</v>
      </c>
      <c r="Q34" s="123" t="s">
        <v>500</v>
      </c>
      <c r="R34" s="123">
        <v>35671.0</v>
      </c>
      <c r="S34" s="123" t="s">
        <v>501</v>
      </c>
      <c r="T34" s="123" t="s">
        <v>502</v>
      </c>
      <c r="U34" s="123" t="s">
        <v>503</v>
      </c>
      <c r="V34" s="123" t="s">
        <v>504</v>
      </c>
      <c r="W34" s="124"/>
      <c r="X34" s="123">
        <v>2155.51</v>
      </c>
      <c r="Y34" s="122">
        <v>4.0</v>
      </c>
      <c r="Z34" s="123">
        <v>8622.04</v>
      </c>
      <c r="AA34" s="123" t="s">
        <v>157</v>
      </c>
      <c r="AB34" s="123" t="s">
        <v>499</v>
      </c>
      <c r="AC34" s="125">
        <v>46121.0</v>
      </c>
      <c r="AD34" s="123" t="s">
        <v>505</v>
      </c>
      <c r="AE34" s="123">
        <v>8.5111E7</v>
      </c>
      <c r="AF34" s="123" t="s">
        <v>615</v>
      </c>
      <c r="AG34" s="124"/>
      <c r="AH34" s="124"/>
      <c r="AI34" s="123">
        <v>8622.04</v>
      </c>
      <c r="AJ34" s="123" t="s">
        <v>159</v>
      </c>
      <c r="AK34" s="123">
        <v>18.0</v>
      </c>
      <c r="AL34" s="122">
        <v>0.0</v>
      </c>
      <c r="AM34" s="123">
        <v>0.0</v>
      </c>
      <c r="AN34" s="122">
        <v>1551.97</v>
      </c>
      <c r="AO34" s="123">
        <v>0.0</v>
      </c>
      <c r="AP34" s="123">
        <v>0.0</v>
      </c>
      <c r="AQ34" s="123">
        <v>0.0</v>
      </c>
      <c r="AR34" s="123">
        <v>0.0</v>
      </c>
      <c r="AS34" s="123">
        <v>0.0</v>
      </c>
      <c r="AT34" s="123">
        <v>0.0</v>
      </c>
      <c r="AU34" s="124"/>
      <c r="AV34" s="124"/>
      <c r="AW34" s="123">
        <v>0.0</v>
      </c>
      <c r="AX34" s="123">
        <v>10174.01</v>
      </c>
      <c r="AY34" s="123" t="s">
        <v>31</v>
      </c>
      <c r="AZ34" s="123" t="s">
        <v>31</v>
      </c>
      <c r="BA34" s="123" t="s">
        <v>507</v>
      </c>
      <c r="BB34" s="123">
        <v>1.126100105E9</v>
      </c>
      <c r="BC34" s="123" t="s">
        <v>508</v>
      </c>
      <c r="BD34" s="123" t="s">
        <v>509</v>
      </c>
      <c r="BE34" s="124"/>
      <c r="BF34" s="124" t="s">
        <v>484</v>
      </c>
      <c r="BG34" s="124" t="s">
        <v>482</v>
      </c>
      <c r="BH34" s="122" t="s">
        <v>510</v>
      </c>
      <c r="BI34" s="171" t="s">
        <v>511</v>
      </c>
      <c r="BJ34" s="171" t="s">
        <v>512</v>
      </c>
      <c r="BK34" s="171" t="s">
        <v>513</v>
      </c>
      <c r="BL34" s="171">
        <v>1551.97</v>
      </c>
      <c r="BM34" s="171">
        <v>38182.88</v>
      </c>
      <c r="BN34" s="171">
        <v>-36631.0</v>
      </c>
      <c r="BO34" s="171" t="s">
        <v>514</v>
      </c>
      <c r="BP34" s="171">
        <v>9158398.0</v>
      </c>
      <c r="BQ34" s="171" t="s">
        <v>484</v>
      </c>
      <c r="BR34" s="171" t="s">
        <v>479</v>
      </c>
      <c r="BS34" s="171">
        <v>37.0</v>
      </c>
    </row>
    <row r="35" ht="14.25" customHeight="1">
      <c r="A35" s="122" t="s">
        <v>493</v>
      </c>
      <c r="B35" s="123" t="s">
        <v>494</v>
      </c>
      <c r="C35" s="123">
        <v>107.0</v>
      </c>
      <c r="D35" s="123" t="s">
        <v>146</v>
      </c>
      <c r="E35" s="123" t="s">
        <v>147</v>
      </c>
      <c r="F35" s="124"/>
      <c r="G35" s="123" t="s">
        <v>149</v>
      </c>
      <c r="H35" s="123" t="s">
        <v>2</v>
      </c>
      <c r="I35" s="123" t="s">
        <v>495</v>
      </c>
      <c r="J35" s="123" t="s">
        <v>496</v>
      </c>
      <c r="K35" s="123" t="s">
        <v>497</v>
      </c>
      <c r="L35" s="123" t="s">
        <v>498</v>
      </c>
      <c r="M35" s="125">
        <v>46140.0</v>
      </c>
      <c r="N35" s="123" t="s">
        <v>516</v>
      </c>
      <c r="O35" s="123">
        <v>9174963.0</v>
      </c>
      <c r="P35" s="179">
        <v>46129.0</v>
      </c>
      <c r="Q35" s="123" t="s">
        <v>500</v>
      </c>
      <c r="R35" s="123">
        <v>35671.0</v>
      </c>
      <c r="S35" s="123" t="s">
        <v>501</v>
      </c>
      <c r="T35" s="123" t="s">
        <v>502</v>
      </c>
      <c r="U35" s="123" t="s">
        <v>503</v>
      </c>
      <c r="V35" s="123" t="s">
        <v>504</v>
      </c>
      <c r="W35" s="124"/>
      <c r="X35" s="123">
        <v>275.0</v>
      </c>
      <c r="Y35" s="122">
        <v>0.001</v>
      </c>
      <c r="Z35" s="123">
        <v>0.28</v>
      </c>
      <c r="AA35" s="123" t="s">
        <v>157</v>
      </c>
      <c r="AB35" s="123" t="s">
        <v>516</v>
      </c>
      <c r="AC35" s="125">
        <v>46129.0</v>
      </c>
      <c r="AD35" s="123" t="s">
        <v>505</v>
      </c>
      <c r="AE35" s="123">
        <v>998729.0</v>
      </c>
      <c r="AF35" s="123" t="s">
        <v>616</v>
      </c>
      <c r="AG35" s="124"/>
      <c r="AH35" s="124"/>
      <c r="AI35" s="123">
        <v>0.28</v>
      </c>
      <c r="AJ35" s="123" t="s">
        <v>159</v>
      </c>
      <c r="AK35" s="123">
        <v>18.0</v>
      </c>
      <c r="AL35" s="122">
        <v>0.0</v>
      </c>
      <c r="AM35" s="123">
        <v>0.0</v>
      </c>
      <c r="AN35" s="122">
        <v>0.05</v>
      </c>
      <c r="AO35" s="123">
        <v>0.0</v>
      </c>
      <c r="AP35" s="123">
        <v>0.0</v>
      </c>
      <c r="AQ35" s="123">
        <v>0.0</v>
      </c>
      <c r="AR35" s="123">
        <v>0.0</v>
      </c>
      <c r="AS35" s="123">
        <v>0.0</v>
      </c>
      <c r="AT35" s="123">
        <v>0.0</v>
      </c>
      <c r="AU35" s="124"/>
      <c r="AV35" s="124"/>
      <c r="AW35" s="123">
        <v>0.0</v>
      </c>
      <c r="AX35" s="123">
        <v>0.33</v>
      </c>
      <c r="AY35" s="123" t="s">
        <v>31</v>
      </c>
      <c r="AZ35" s="123" t="s">
        <v>31</v>
      </c>
      <c r="BA35" s="123" t="s">
        <v>518</v>
      </c>
      <c r="BB35" s="123">
        <v>1.126100446E9</v>
      </c>
      <c r="BC35" s="123" t="s">
        <v>508</v>
      </c>
      <c r="BD35" s="123" t="s">
        <v>509</v>
      </c>
      <c r="BE35" s="124"/>
      <c r="BF35" s="124" t="s">
        <v>484</v>
      </c>
      <c r="BG35" s="124" t="s">
        <v>482</v>
      </c>
      <c r="BH35" s="122" t="s">
        <v>510</v>
      </c>
      <c r="BI35" s="171" t="s">
        <v>511</v>
      </c>
      <c r="BJ35" s="171" t="s">
        <v>512</v>
      </c>
      <c r="BK35" s="171" t="s">
        <v>519</v>
      </c>
      <c r="BL35" s="171">
        <v>0.05</v>
      </c>
      <c r="BM35" s="171">
        <v>36494.74</v>
      </c>
      <c r="BN35" s="171">
        <v>-36495.0</v>
      </c>
      <c r="BO35" s="171" t="s">
        <v>514</v>
      </c>
      <c r="BP35" s="171">
        <v>9174963.0</v>
      </c>
      <c r="BQ35" s="171" t="s">
        <v>484</v>
      </c>
      <c r="BR35" s="171" t="s">
        <v>479</v>
      </c>
      <c r="BS35" s="171">
        <v>36.0</v>
      </c>
    </row>
    <row r="36" ht="14.25" customHeight="1">
      <c r="A36" s="122" t="s">
        <v>493</v>
      </c>
      <c r="B36" s="123" t="s">
        <v>494</v>
      </c>
      <c r="C36" s="123">
        <v>107.0</v>
      </c>
      <c r="D36" s="123" t="s">
        <v>146</v>
      </c>
      <c r="E36" s="123" t="s">
        <v>147</v>
      </c>
      <c r="F36" s="124"/>
      <c r="G36" s="124"/>
      <c r="H36" s="123" t="s">
        <v>2</v>
      </c>
      <c r="I36" s="123" t="s">
        <v>495</v>
      </c>
      <c r="J36" s="123" t="s">
        <v>528</v>
      </c>
      <c r="K36" s="123" t="s">
        <v>529</v>
      </c>
      <c r="L36" s="123" t="s">
        <v>498</v>
      </c>
      <c r="M36" s="125">
        <v>46141.0</v>
      </c>
      <c r="N36" s="180">
        <v>46082.0</v>
      </c>
      <c r="O36" s="123">
        <v>9178114.0</v>
      </c>
      <c r="P36" s="179">
        <v>46127.0</v>
      </c>
      <c r="Q36" s="123" t="s">
        <v>500</v>
      </c>
      <c r="R36" s="123">
        <v>5093.0</v>
      </c>
      <c r="S36" s="123" t="s">
        <v>617</v>
      </c>
      <c r="T36" s="123" t="s">
        <v>618</v>
      </c>
      <c r="U36" s="123" t="s">
        <v>619</v>
      </c>
      <c r="V36" s="123" t="s">
        <v>504</v>
      </c>
      <c r="W36" s="124"/>
      <c r="X36" s="123">
        <v>1.0</v>
      </c>
      <c r="Y36" s="122">
        <v>450.0</v>
      </c>
      <c r="Z36" s="123">
        <v>450.0</v>
      </c>
      <c r="AA36" s="123" t="s">
        <v>157</v>
      </c>
      <c r="AB36" s="123">
        <v>3.0</v>
      </c>
      <c r="AC36" s="125">
        <v>46127.0</v>
      </c>
      <c r="AD36" s="123" t="s">
        <v>593</v>
      </c>
      <c r="AE36" s="123">
        <v>8536.0</v>
      </c>
      <c r="AF36" s="123" t="s">
        <v>620</v>
      </c>
      <c r="AG36" s="124"/>
      <c r="AH36" s="124"/>
      <c r="AI36" s="123">
        <v>450.0</v>
      </c>
      <c r="AJ36" s="123" t="s">
        <v>159</v>
      </c>
      <c r="AK36" s="123">
        <v>18.0</v>
      </c>
      <c r="AL36" s="122">
        <v>40.5</v>
      </c>
      <c r="AM36" s="123">
        <v>40.5</v>
      </c>
      <c r="AN36" s="122">
        <v>0.0</v>
      </c>
      <c r="AO36" s="123">
        <v>0.0</v>
      </c>
      <c r="AP36" s="123">
        <v>0.0</v>
      </c>
      <c r="AQ36" s="123">
        <v>0.0</v>
      </c>
      <c r="AR36" s="123">
        <v>0.0</v>
      </c>
      <c r="AS36" s="123">
        <v>0.0</v>
      </c>
      <c r="AT36" s="123">
        <v>0.0</v>
      </c>
      <c r="AU36" s="124"/>
      <c r="AV36" s="124"/>
      <c r="AW36" s="123">
        <v>0.0</v>
      </c>
      <c r="AX36" s="123">
        <v>531.0</v>
      </c>
      <c r="AY36" s="123" t="s">
        <v>20</v>
      </c>
      <c r="AZ36" s="123" t="s">
        <v>31</v>
      </c>
      <c r="BA36" s="123" t="s">
        <v>595</v>
      </c>
      <c r="BB36" s="123">
        <v>1.126100466E9</v>
      </c>
      <c r="BC36" s="123" t="s">
        <v>187</v>
      </c>
      <c r="BD36" s="123" t="s">
        <v>586</v>
      </c>
      <c r="BE36" s="124"/>
      <c r="BF36" s="124" t="s">
        <v>483</v>
      </c>
      <c r="BG36" s="124" t="s">
        <v>482</v>
      </c>
      <c r="BH36" s="122" t="s">
        <v>587</v>
      </c>
      <c r="BI36" s="171" t="s">
        <v>511</v>
      </c>
      <c r="BJ36" s="171" t="s">
        <v>512</v>
      </c>
      <c r="BK36" s="171" t="s">
        <v>621</v>
      </c>
      <c r="BL36" s="171">
        <v>81.0</v>
      </c>
      <c r="BM36" s="171">
        <v>1584.0</v>
      </c>
      <c r="BN36" s="171">
        <v>-1503.0</v>
      </c>
      <c r="BO36" s="171" t="s">
        <v>514</v>
      </c>
      <c r="BP36" s="171">
        <v>9178114.0</v>
      </c>
      <c r="BQ36" s="171" t="s">
        <v>483</v>
      </c>
      <c r="BR36" s="171" t="s">
        <v>479</v>
      </c>
      <c r="BS36" s="171">
        <v>3.0</v>
      </c>
    </row>
    <row r="37" ht="14.25" customHeight="1">
      <c r="A37" s="122" t="s">
        <v>493</v>
      </c>
      <c r="B37" s="123" t="s">
        <v>494</v>
      </c>
      <c r="C37" s="123">
        <v>107.0</v>
      </c>
      <c r="D37" s="123" t="s">
        <v>146</v>
      </c>
      <c r="E37" s="123" t="s">
        <v>147</v>
      </c>
      <c r="F37" s="124"/>
      <c r="G37" s="124" t="s">
        <v>149</v>
      </c>
      <c r="H37" s="123" t="s">
        <v>2</v>
      </c>
      <c r="I37" s="123" t="s">
        <v>495</v>
      </c>
      <c r="J37" s="123" t="s">
        <v>496</v>
      </c>
      <c r="K37" s="123" t="s">
        <v>497</v>
      </c>
      <c r="L37" s="123" t="s">
        <v>498</v>
      </c>
      <c r="M37" s="125">
        <v>46127.0</v>
      </c>
      <c r="N37" s="123" t="s">
        <v>499</v>
      </c>
      <c r="O37" s="123">
        <v>9158398.0</v>
      </c>
      <c r="P37" s="179">
        <v>46090.0</v>
      </c>
      <c r="Q37" s="123" t="s">
        <v>500</v>
      </c>
      <c r="R37" s="123">
        <v>35671.0</v>
      </c>
      <c r="S37" s="123" t="s">
        <v>501</v>
      </c>
      <c r="T37" s="123" t="s">
        <v>502</v>
      </c>
      <c r="U37" s="124" t="s">
        <v>503</v>
      </c>
      <c r="V37" s="124" t="s">
        <v>504</v>
      </c>
      <c r="W37" s="124"/>
      <c r="X37" s="123">
        <v>3507.2</v>
      </c>
      <c r="Y37" s="122">
        <v>1.0</v>
      </c>
      <c r="Z37" s="123">
        <v>3507.2</v>
      </c>
      <c r="AA37" s="123" t="s">
        <v>157</v>
      </c>
      <c r="AB37" s="123" t="s">
        <v>499</v>
      </c>
      <c r="AC37" s="125">
        <v>46121.0</v>
      </c>
      <c r="AD37" s="124" t="s">
        <v>505</v>
      </c>
      <c r="AE37" s="123">
        <v>8.42131E7</v>
      </c>
      <c r="AF37" s="123" t="s">
        <v>622</v>
      </c>
      <c r="AG37" s="124"/>
      <c r="AH37" s="124"/>
      <c r="AI37" s="123">
        <v>3507.2</v>
      </c>
      <c r="AJ37" s="123" t="s">
        <v>159</v>
      </c>
      <c r="AK37" s="123">
        <v>18.0</v>
      </c>
      <c r="AL37" s="122">
        <v>0.0</v>
      </c>
      <c r="AM37" s="123">
        <v>0.0</v>
      </c>
      <c r="AN37" s="122">
        <v>631.3</v>
      </c>
      <c r="AO37" s="123">
        <v>0.0</v>
      </c>
      <c r="AP37" s="123">
        <v>0.0</v>
      </c>
      <c r="AQ37" s="123">
        <v>0.0</v>
      </c>
      <c r="AR37" s="123">
        <v>0.0</v>
      </c>
      <c r="AS37" s="123">
        <v>0.0</v>
      </c>
      <c r="AT37" s="123">
        <v>0.0</v>
      </c>
      <c r="AU37" s="124"/>
      <c r="AV37" s="124"/>
      <c r="AW37" s="123">
        <v>0.0</v>
      </c>
      <c r="AX37" s="123">
        <v>4138.5</v>
      </c>
      <c r="AY37" s="123" t="s">
        <v>31</v>
      </c>
      <c r="AZ37" s="123" t="s">
        <v>31</v>
      </c>
      <c r="BA37" s="123" t="s">
        <v>507</v>
      </c>
      <c r="BB37" s="123">
        <v>1.126100105E9</v>
      </c>
      <c r="BC37" s="123" t="s">
        <v>508</v>
      </c>
      <c r="BD37" s="123" t="s">
        <v>509</v>
      </c>
      <c r="BE37" s="124"/>
      <c r="BF37" s="124" t="s">
        <v>484</v>
      </c>
      <c r="BG37" s="124" t="s">
        <v>482</v>
      </c>
      <c r="BH37" s="122" t="s">
        <v>510</v>
      </c>
      <c r="BI37" s="171" t="s">
        <v>511</v>
      </c>
      <c r="BJ37" s="171" t="s">
        <v>512</v>
      </c>
      <c r="BK37" s="171" t="s">
        <v>623</v>
      </c>
      <c r="BL37" s="171">
        <v>2700.0</v>
      </c>
      <c r="BM37" s="171" t="e">
        <v>#N/A</v>
      </c>
      <c r="BN37" s="171" t="e">
        <v>#N/A</v>
      </c>
      <c r="BO37" s="171" t="s">
        <v>544</v>
      </c>
      <c r="BP37" s="171">
        <v>9164022.0</v>
      </c>
      <c r="BQ37" s="171" t="s">
        <v>481</v>
      </c>
      <c r="BR37" s="171" t="s">
        <v>544</v>
      </c>
      <c r="BS37" s="171">
        <v>3.0</v>
      </c>
    </row>
    <row r="38" ht="14.25" customHeight="1">
      <c r="A38" s="122" t="s">
        <v>493</v>
      </c>
      <c r="B38" s="123" t="s">
        <v>494</v>
      </c>
      <c r="C38" s="123">
        <v>107.0</v>
      </c>
      <c r="D38" s="123" t="s">
        <v>146</v>
      </c>
      <c r="E38" s="123" t="s">
        <v>147</v>
      </c>
      <c r="F38" s="124"/>
      <c r="G38" s="123" t="s">
        <v>149</v>
      </c>
      <c r="H38" s="123" t="s">
        <v>2</v>
      </c>
      <c r="I38" s="123" t="s">
        <v>495</v>
      </c>
      <c r="J38" s="123" t="s">
        <v>496</v>
      </c>
      <c r="K38" s="123" t="s">
        <v>497</v>
      </c>
      <c r="L38" s="123" t="s">
        <v>498</v>
      </c>
      <c r="M38" s="125">
        <v>46127.0</v>
      </c>
      <c r="N38" s="123" t="s">
        <v>520</v>
      </c>
      <c r="O38" s="123">
        <v>9156749.0</v>
      </c>
      <c r="P38" s="179">
        <v>46115.0</v>
      </c>
      <c r="Q38" s="123" t="s">
        <v>500</v>
      </c>
      <c r="R38" s="123">
        <v>6262.0</v>
      </c>
      <c r="S38" s="123" t="s">
        <v>521</v>
      </c>
      <c r="T38" s="123" t="s">
        <v>522</v>
      </c>
      <c r="U38" s="123" t="s">
        <v>523</v>
      </c>
      <c r="V38" s="123" t="s">
        <v>504</v>
      </c>
      <c r="W38" s="124"/>
      <c r="X38" s="123">
        <v>1.0</v>
      </c>
      <c r="Y38" s="122">
        <v>1570.0</v>
      </c>
      <c r="Z38" s="123">
        <v>1570.0</v>
      </c>
      <c r="AA38" s="123" t="s">
        <v>157</v>
      </c>
      <c r="AB38" s="123" t="s">
        <v>524</v>
      </c>
      <c r="AC38" s="125">
        <v>46115.0</v>
      </c>
      <c r="AD38" s="123" t="s">
        <v>525</v>
      </c>
      <c r="AE38" s="123">
        <v>998413.0</v>
      </c>
      <c r="AF38" s="123" t="s">
        <v>526</v>
      </c>
      <c r="AG38" s="124"/>
      <c r="AH38" s="124"/>
      <c r="AI38" s="123">
        <v>1570.0</v>
      </c>
      <c r="AJ38" s="123" t="s">
        <v>159</v>
      </c>
      <c r="AK38" s="123">
        <v>18.0</v>
      </c>
      <c r="AL38" s="122">
        <v>141.3</v>
      </c>
      <c r="AM38" s="123">
        <v>141.3</v>
      </c>
      <c r="AN38" s="122">
        <v>0.0</v>
      </c>
      <c r="AO38" s="123">
        <v>0.0</v>
      </c>
      <c r="AP38" s="123">
        <v>0.0</v>
      </c>
      <c r="AQ38" s="123">
        <v>0.0</v>
      </c>
      <c r="AR38" s="123">
        <v>0.0</v>
      </c>
      <c r="AS38" s="123">
        <v>0.0</v>
      </c>
      <c r="AT38" s="123">
        <v>0.0</v>
      </c>
      <c r="AU38" s="124"/>
      <c r="AV38" s="124"/>
      <c r="AW38" s="123">
        <v>0.0</v>
      </c>
      <c r="AX38" s="123">
        <v>1852.6</v>
      </c>
      <c r="AY38" s="123" t="s">
        <v>20</v>
      </c>
      <c r="AZ38" s="123" t="s">
        <v>31</v>
      </c>
      <c r="BA38" s="123" t="s">
        <v>527</v>
      </c>
      <c r="BB38" s="123">
        <v>1.126100078E9</v>
      </c>
      <c r="BC38" s="123" t="s">
        <v>187</v>
      </c>
      <c r="BD38" s="123" t="s">
        <v>162</v>
      </c>
      <c r="BE38" s="124"/>
      <c r="BF38" s="124" t="s">
        <v>483</v>
      </c>
      <c r="BG38" s="124" t="s">
        <v>482</v>
      </c>
      <c r="BH38" s="122" t="s">
        <v>510</v>
      </c>
      <c r="BI38" s="171" t="s">
        <v>511</v>
      </c>
      <c r="BJ38" s="171" t="s">
        <v>512</v>
      </c>
      <c r="BK38" s="171" t="s">
        <v>513</v>
      </c>
      <c r="BL38" s="171">
        <v>631.3</v>
      </c>
      <c r="BM38" s="171">
        <v>38182.88</v>
      </c>
      <c r="BN38" s="171">
        <v>-37552.0</v>
      </c>
      <c r="BO38" s="171" t="s">
        <v>514</v>
      </c>
      <c r="BP38" s="171">
        <v>9158398.0</v>
      </c>
      <c r="BQ38" s="171" t="s">
        <v>484</v>
      </c>
      <c r="BR38" s="171" t="s">
        <v>479</v>
      </c>
      <c r="BS38" s="171">
        <v>37.0</v>
      </c>
    </row>
    <row r="39" ht="14.25" customHeight="1">
      <c r="A39" s="122" t="s">
        <v>493</v>
      </c>
      <c r="B39" s="123" t="s">
        <v>494</v>
      </c>
      <c r="C39" s="123">
        <v>107.0</v>
      </c>
      <c r="D39" s="123" t="s">
        <v>146</v>
      </c>
      <c r="E39" s="123" t="s">
        <v>147</v>
      </c>
      <c r="F39" s="124"/>
      <c r="G39" s="123" t="s">
        <v>149</v>
      </c>
      <c r="H39" s="123" t="s">
        <v>2</v>
      </c>
      <c r="I39" s="123" t="s">
        <v>495</v>
      </c>
      <c r="J39" s="123" t="s">
        <v>496</v>
      </c>
      <c r="K39" s="123" t="s">
        <v>497</v>
      </c>
      <c r="L39" s="123" t="s">
        <v>498</v>
      </c>
      <c r="M39" s="125">
        <v>46140.0</v>
      </c>
      <c r="N39" s="123" t="s">
        <v>551</v>
      </c>
      <c r="O39" s="123">
        <v>9175014.0</v>
      </c>
      <c r="P39" s="179">
        <v>46129.0</v>
      </c>
      <c r="Q39" s="123" t="s">
        <v>500</v>
      </c>
      <c r="R39" s="123">
        <v>15979.0</v>
      </c>
      <c r="S39" s="123" t="s">
        <v>552</v>
      </c>
      <c r="T39" s="123" t="s">
        <v>539</v>
      </c>
      <c r="U39" s="123" t="s">
        <v>553</v>
      </c>
      <c r="V39" s="123" t="s">
        <v>504</v>
      </c>
      <c r="W39" s="124"/>
      <c r="X39" s="123">
        <v>42.0</v>
      </c>
      <c r="Y39" s="122">
        <v>3.0</v>
      </c>
      <c r="Z39" s="123">
        <v>126.0</v>
      </c>
      <c r="AA39" s="123" t="s">
        <v>157</v>
      </c>
      <c r="AB39" s="123" t="s">
        <v>551</v>
      </c>
      <c r="AC39" s="125">
        <v>46129.0</v>
      </c>
      <c r="AD39" s="123" t="s">
        <v>505</v>
      </c>
      <c r="AE39" s="123">
        <v>3.4029099E7</v>
      </c>
      <c r="AF39" s="123" t="s">
        <v>624</v>
      </c>
      <c r="AG39" s="124"/>
      <c r="AH39" s="124"/>
      <c r="AI39" s="123">
        <v>126.0</v>
      </c>
      <c r="AJ39" s="123" t="s">
        <v>159</v>
      </c>
      <c r="AK39" s="123">
        <v>18.0</v>
      </c>
      <c r="AL39" s="122">
        <v>11.34</v>
      </c>
      <c r="AM39" s="123">
        <v>11.34</v>
      </c>
      <c r="AN39" s="122">
        <v>0.0</v>
      </c>
      <c r="AO39" s="123">
        <v>0.0</v>
      </c>
      <c r="AP39" s="123">
        <v>0.0</v>
      </c>
      <c r="AQ39" s="123">
        <v>0.0</v>
      </c>
      <c r="AR39" s="123">
        <v>0.0</v>
      </c>
      <c r="AS39" s="123">
        <v>0.0</v>
      </c>
      <c r="AT39" s="123">
        <v>0.0</v>
      </c>
      <c r="AU39" s="124"/>
      <c r="AV39" s="124"/>
      <c r="AW39" s="123">
        <v>0.0</v>
      </c>
      <c r="AX39" s="123">
        <v>148.68</v>
      </c>
      <c r="AY39" s="123" t="s">
        <v>31</v>
      </c>
      <c r="AZ39" s="123" t="s">
        <v>31</v>
      </c>
      <c r="BA39" s="123" t="s">
        <v>555</v>
      </c>
      <c r="BB39" s="123">
        <v>1.126100447E9</v>
      </c>
      <c r="BC39" s="123" t="s">
        <v>556</v>
      </c>
      <c r="BD39" s="123" t="s">
        <v>509</v>
      </c>
      <c r="BE39" s="124"/>
      <c r="BF39" s="124" t="s">
        <v>484</v>
      </c>
      <c r="BG39" s="124" t="s">
        <v>482</v>
      </c>
      <c r="BH39" s="122" t="s">
        <v>510</v>
      </c>
      <c r="BI39" s="171" t="s">
        <v>511</v>
      </c>
      <c r="BJ39" s="171" t="s">
        <v>512</v>
      </c>
      <c r="BK39" s="171" t="s">
        <v>480</v>
      </c>
      <c r="BL39" s="171">
        <v>282.6</v>
      </c>
      <c r="BM39" s="171">
        <v>8534.42</v>
      </c>
      <c r="BN39" s="171">
        <v>-8252.0</v>
      </c>
      <c r="BO39" s="171" t="s">
        <v>514</v>
      </c>
      <c r="BP39" s="171">
        <v>9156749.0</v>
      </c>
      <c r="BQ39" s="171" t="s">
        <v>483</v>
      </c>
      <c r="BR39" s="171" t="s">
        <v>479</v>
      </c>
      <c r="BS39" s="171">
        <v>17.0</v>
      </c>
    </row>
    <row r="40" ht="14.25" customHeight="1">
      <c r="A40" s="122" t="s">
        <v>493</v>
      </c>
      <c r="B40" s="123" t="s">
        <v>494</v>
      </c>
      <c r="C40" s="123">
        <v>107.0</v>
      </c>
      <c r="D40" s="123" t="s">
        <v>146</v>
      </c>
      <c r="E40" s="123" t="s">
        <v>147</v>
      </c>
      <c r="F40" s="124"/>
      <c r="G40" s="123" t="s">
        <v>149</v>
      </c>
      <c r="H40" s="123" t="s">
        <v>2</v>
      </c>
      <c r="I40" s="123" t="s">
        <v>495</v>
      </c>
      <c r="J40" s="123" t="s">
        <v>496</v>
      </c>
      <c r="K40" s="123" t="s">
        <v>529</v>
      </c>
      <c r="L40" s="123" t="s">
        <v>498</v>
      </c>
      <c r="M40" s="125">
        <v>46142.0</v>
      </c>
      <c r="N40" s="123" t="s">
        <v>581</v>
      </c>
      <c r="O40" s="123">
        <v>9175765.0</v>
      </c>
      <c r="P40" s="179">
        <v>46130.0</v>
      </c>
      <c r="Q40" s="123" t="s">
        <v>500</v>
      </c>
      <c r="R40" s="123">
        <v>3545.0</v>
      </c>
      <c r="S40" s="123" t="s">
        <v>582</v>
      </c>
      <c r="T40" s="123" t="s">
        <v>539</v>
      </c>
      <c r="U40" s="123" t="s">
        <v>583</v>
      </c>
      <c r="V40" s="123" t="s">
        <v>504</v>
      </c>
      <c r="W40" s="124"/>
      <c r="X40" s="123">
        <v>2725.0</v>
      </c>
      <c r="Y40" s="122">
        <v>-4.0</v>
      </c>
      <c r="Z40" s="123">
        <v>-10900.0</v>
      </c>
      <c r="AA40" s="123" t="s">
        <v>157</v>
      </c>
      <c r="AB40" s="123" t="s">
        <v>581</v>
      </c>
      <c r="AC40" s="125">
        <v>46130.0</v>
      </c>
      <c r="AD40" s="123" t="s">
        <v>505</v>
      </c>
      <c r="AE40" s="123">
        <v>8.4439951E7</v>
      </c>
      <c r="AF40" s="123" t="s">
        <v>625</v>
      </c>
      <c r="AG40" s="124"/>
      <c r="AH40" s="124"/>
      <c r="AI40" s="123">
        <v>-10900.0</v>
      </c>
      <c r="AJ40" s="123" t="s">
        <v>159</v>
      </c>
      <c r="AK40" s="123">
        <v>18.0</v>
      </c>
      <c r="AL40" s="122">
        <v>0.0</v>
      </c>
      <c r="AM40" s="123">
        <v>0.0</v>
      </c>
      <c r="AN40" s="122">
        <v>0.0</v>
      </c>
      <c r="AO40" s="123">
        <v>0.0</v>
      </c>
      <c r="AP40" s="123">
        <v>0.0</v>
      </c>
      <c r="AQ40" s="123">
        <v>0.0</v>
      </c>
      <c r="AR40" s="123">
        <v>0.0</v>
      </c>
      <c r="AS40" s="123">
        <v>0.0</v>
      </c>
      <c r="AT40" s="123">
        <v>0.0</v>
      </c>
      <c r="AU40" s="124"/>
      <c r="AV40" s="124"/>
      <c r="AW40" s="123">
        <v>0.0</v>
      </c>
      <c r="AX40" s="123">
        <v>-10900.0</v>
      </c>
      <c r="AY40" s="123" t="s">
        <v>31</v>
      </c>
      <c r="AZ40" s="123" t="s">
        <v>31</v>
      </c>
      <c r="BA40" s="123" t="s">
        <v>585</v>
      </c>
      <c r="BB40" s="123">
        <v>1.12610045E9</v>
      </c>
      <c r="BC40" s="123" t="s">
        <v>556</v>
      </c>
      <c r="BD40" s="123" t="s">
        <v>586</v>
      </c>
      <c r="BE40" s="124"/>
      <c r="BF40" s="124" t="s">
        <v>484</v>
      </c>
      <c r="BG40" s="124" t="s">
        <v>482</v>
      </c>
      <c r="BH40" s="122" t="s">
        <v>587</v>
      </c>
      <c r="BI40" s="171" t="s">
        <v>511</v>
      </c>
      <c r="BJ40" s="171" t="s">
        <v>512</v>
      </c>
      <c r="BK40" s="171" t="s">
        <v>563</v>
      </c>
      <c r="BL40" s="171">
        <v>22.68</v>
      </c>
      <c r="BM40" s="171">
        <v>2435.38</v>
      </c>
      <c r="BN40" s="171">
        <v>-2413.0</v>
      </c>
      <c r="BO40" s="171" t="s">
        <v>514</v>
      </c>
      <c r="BP40" s="171">
        <v>9175014.0</v>
      </c>
      <c r="BQ40" s="171" t="s">
        <v>484</v>
      </c>
      <c r="BR40" s="171" t="s">
        <v>479</v>
      </c>
      <c r="BS40" s="171">
        <v>18.0</v>
      </c>
    </row>
    <row r="41" ht="14.25" customHeight="1">
      <c r="A41" s="122" t="s">
        <v>493</v>
      </c>
      <c r="B41" s="123" t="s">
        <v>494</v>
      </c>
      <c r="C41" s="123">
        <v>107.0</v>
      </c>
      <c r="D41" s="123" t="s">
        <v>146</v>
      </c>
      <c r="E41" s="123" t="s">
        <v>147</v>
      </c>
      <c r="F41" s="124"/>
      <c r="G41" s="124"/>
      <c r="H41" s="123" t="s">
        <v>2</v>
      </c>
      <c r="I41" s="123" t="s">
        <v>495</v>
      </c>
      <c r="J41" s="123" t="s">
        <v>528</v>
      </c>
      <c r="K41" s="123" t="s">
        <v>626</v>
      </c>
      <c r="L41" s="123" t="s">
        <v>498</v>
      </c>
      <c r="M41" s="125">
        <v>46133.0</v>
      </c>
      <c r="N41" s="123" t="s">
        <v>627</v>
      </c>
      <c r="O41" s="123">
        <v>9164386.0</v>
      </c>
      <c r="P41" s="179">
        <v>46115.0</v>
      </c>
      <c r="Q41" s="123" t="s">
        <v>500</v>
      </c>
      <c r="R41" s="123">
        <v>6262.0</v>
      </c>
      <c r="S41" s="123" t="s">
        <v>521</v>
      </c>
      <c r="T41" s="123" t="s">
        <v>522</v>
      </c>
      <c r="U41" s="123" t="s">
        <v>523</v>
      </c>
      <c r="V41" s="123" t="s">
        <v>504</v>
      </c>
      <c r="W41" s="124"/>
      <c r="X41" s="123">
        <v>1.0</v>
      </c>
      <c r="Y41" s="122">
        <v>399.0</v>
      </c>
      <c r="Z41" s="123">
        <v>399.0</v>
      </c>
      <c r="AA41" s="123" t="s">
        <v>157</v>
      </c>
      <c r="AB41" s="123" t="s">
        <v>627</v>
      </c>
      <c r="AC41" s="125">
        <v>46115.0</v>
      </c>
      <c r="AD41" s="123" t="s">
        <v>525</v>
      </c>
      <c r="AE41" s="123">
        <v>998412.0</v>
      </c>
      <c r="AF41" s="123" t="s">
        <v>628</v>
      </c>
      <c r="AG41" s="124"/>
      <c r="AH41" s="124"/>
      <c r="AI41" s="123">
        <v>399.0</v>
      </c>
      <c r="AJ41" s="123" t="s">
        <v>159</v>
      </c>
      <c r="AK41" s="123">
        <v>18.0</v>
      </c>
      <c r="AL41" s="122">
        <v>35.91</v>
      </c>
      <c r="AM41" s="123">
        <v>35.91</v>
      </c>
      <c r="AN41" s="122">
        <v>0.0</v>
      </c>
      <c r="AO41" s="123">
        <v>0.0</v>
      </c>
      <c r="AP41" s="123">
        <v>0.0</v>
      </c>
      <c r="AQ41" s="123">
        <v>0.0</v>
      </c>
      <c r="AR41" s="123">
        <v>0.0</v>
      </c>
      <c r="AS41" s="123">
        <v>0.0</v>
      </c>
      <c r="AT41" s="123">
        <v>0.0</v>
      </c>
      <c r="AU41" s="124"/>
      <c r="AV41" s="124"/>
      <c r="AW41" s="123">
        <v>0.0</v>
      </c>
      <c r="AX41" s="123">
        <v>470.82</v>
      </c>
      <c r="AY41" s="123" t="s">
        <v>20</v>
      </c>
      <c r="AZ41" s="123" t="s">
        <v>31</v>
      </c>
      <c r="BA41" s="123" t="s">
        <v>612</v>
      </c>
      <c r="BB41" s="123">
        <v>1.126100282E9</v>
      </c>
      <c r="BC41" s="123" t="s">
        <v>187</v>
      </c>
      <c r="BD41" s="123" t="s">
        <v>162</v>
      </c>
      <c r="BE41" s="124"/>
      <c r="BF41" s="124" t="s">
        <v>483</v>
      </c>
      <c r="BG41" s="124" t="s">
        <v>482</v>
      </c>
      <c r="BH41" s="122" t="s">
        <v>510</v>
      </c>
      <c r="BI41" s="171" t="s">
        <v>511</v>
      </c>
      <c r="BJ41" s="171" t="s">
        <v>512</v>
      </c>
      <c r="BK41" s="171" t="s">
        <v>629</v>
      </c>
      <c r="BL41" s="171">
        <v>71.82</v>
      </c>
      <c r="BM41" s="171">
        <v>71.82</v>
      </c>
      <c r="BN41" s="171">
        <v>0.0</v>
      </c>
      <c r="BO41" s="171" t="s">
        <v>514</v>
      </c>
      <c r="BP41" s="171">
        <v>9164386.0</v>
      </c>
      <c r="BQ41" s="171" t="s">
        <v>483</v>
      </c>
      <c r="BR41" s="171" t="s">
        <v>479</v>
      </c>
      <c r="BS41" s="171">
        <v>1.0</v>
      </c>
    </row>
    <row r="42" ht="14.25" customHeight="1">
      <c r="A42" s="122" t="s">
        <v>493</v>
      </c>
      <c r="B42" s="123" t="s">
        <v>494</v>
      </c>
      <c r="C42" s="123">
        <v>107.0</v>
      </c>
      <c r="D42" s="123" t="s">
        <v>146</v>
      </c>
      <c r="E42" s="123" t="s">
        <v>147</v>
      </c>
      <c r="F42" s="124"/>
      <c r="G42" s="124"/>
      <c r="H42" s="123" t="s">
        <v>2</v>
      </c>
      <c r="I42" s="123" t="s">
        <v>495</v>
      </c>
      <c r="J42" s="123" t="s">
        <v>528</v>
      </c>
      <c r="K42" s="123" t="s">
        <v>529</v>
      </c>
      <c r="L42" s="123" t="s">
        <v>498</v>
      </c>
      <c r="M42" s="125">
        <v>46134.0</v>
      </c>
      <c r="N42" s="123" t="s">
        <v>630</v>
      </c>
      <c r="O42" s="123">
        <v>9164740.0</v>
      </c>
      <c r="P42" s="179">
        <v>46121.0</v>
      </c>
      <c r="Q42" s="123" t="s">
        <v>500</v>
      </c>
      <c r="R42" s="123">
        <v>3615.0</v>
      </c>
      <c r="S42" s="123" t="s">
        <v>631</v>
      </c>
      <c r="T42" s="123" t="s">
        <v>539</v>
      </c>
      <c r="U42" s="123" t="s">
        <v>632</v>
      </c>
      <c r="V42" s="123" t="s">
        <v>504</v>
      </c>
      <c r="W42" s="124"/>
      <c r="X42" s="123">
        <v>30.0</v>
      </c>
      <c r="Y42" s="122">
        <v>400.0</v>
      </c>
      <c r="Z42" s="123">
        <v>12000.0</v>
      </c>
      <c r="AA42" s="123" t="s">
        <v>157</v>
      </c>
      <c r="AB42" s="123" t="s">
        <v>630</v>
      </c>
      <c r="AC42" s="125">
        <v>46121.0</v>
      </c>
      <c r="AD42" s="123" t="s">
        <v>525</v>
      </c>
      <c r="AE42" s="123">
        <v>998900.0</v>
      </c>
      <c r="AF42" s="123" t="s">
        <v>633</v>
      </c>
      <c r="AG42" s="124"/>
      <c r="AH42" s="124"/>
      <c r="AI42" s="123">
        <v>12000.0</v>
      </c>
      <c r="AJ42" s="123" t="s">
        <v>159</v>
      </c>
      <c r="AK42" s="123">
        <v>18.0</v>
      </c>
      <c r="AL42" s="122">
        <v>1080.0</v>
      </c>
      <c r="AM42" s="123">
        <v>1080.0</v>
      </c>
      <c r="AN42" s="122">
        <v>0.0</v>
      </c>
      <c r="AO42" s="123">
        <v>0.0</v>
      </c>
      <c r="AP42" s="123">
        <v>0.0</v>
      </c>
      <c r="AQ42" s="123">
        <v>0.0</v>
      </c>
      <c r="AR42" s="123">
        <v>0.0</v>
      </c>
      <c r="AS42" s="123">
        <v>0.0</v>
      </c>
      <c r="AT42" s="123">
        <v>0.0</v>
      </c>
      <c r="AU42" s="124"/>
      <c r="AV42" s="124"/>
      <c r="AW42" s="123">
        <v>0.0</v>
      </c>
      <c r="AX42" s="123">
        <v>14160.0</v>
      </c>
      <c r="AY42" s="123" t="s">
        <v>31</v>
      </c>
      <c r="AZ42" s="123" t="s">
        <v>31</v>
      </c>
      <c r="BA42" s="123" t="s">
        <v>634</v>
      </c>
      <c r="BB42" s="123">
        <v>1.126100334E9</v>
      </c>
      <c r="BC42" s="123" t="s">
        <v>556</v>
      </c>
      <c r="BD42" s="123" t="s">
        <v>162</v>
      </c>
      <c r="BE42" s="124"/>
      <c r="BF42" s="124" t="s">
        <v>484</v>
      </c>
      <c r="BG42" s="124" t="s">
        <v>482</v>
      </c>
      <c r="BH42" s="122" t="s">
        <v>510</v>
      </c>
      <c r="BI42" s="171" t="s">
        <v>511</v>
      </c>
      <c r="BJ42" s="171" t="s">
        <v>512</v>
      </c>
      <c r="BK42" s="171" t="s">
        <v>635</v>
      </c>
      <c r="BL42" s="171">
        <v>2160.0</v>
      </c>
      <c r="BM42" s="171">
        <v>6014.7</v>
      </c>
      <c r="BN42" s="171">
        <v>-3855.0</v>
      </c>
      <c r="BO42" s="171" t="s">
        <v>514</v>
      </c>
      <c r="BP42" s="171">
        <v>9164740.0</v>
      </c>
      <c r="BQ42" s="171" t="s">
        <v>484</v>
      </c>
      <c r="BR42" s="171" t="s">
        <v>479</v>
      </c>
      <c r="BS42" s="171">
        <v>6.0</v>
      </c>
    </row>
    <row r="43" ht="14.25" customHeight="1">
      <c r="A43" s="122" t="s">
        <v>493</v>
      </c>
      <c r="B43" s="123" t="s">
        <v>494</v>
      </c>
      <c r="C43" s="123">
        <v>107.0</v>
      </c>
      <c r="D43" s="123" t="s">
        <v>146</v>
      </c>
      <c r="E43" s="123" t="s">
        <v>147</v>
      </c>
      <c r="F43" s="124"/>
      <c r="G43" s="124"/>
      <c r="H43" s="123" t="s">
        <v>2</v>
      </c>
      <c r="I43" s="123" t="s">
        <v>495</v>
      </c>
      <c r="J43" s="123" t="s">
        <v>528</v>
      </c>
      <c r="K43" s="123" t="s">
        <v>529</v>
      </c>
      <c r="L43" s="123" t="s">
        <v>498</v>
      </c>
      <c r="M43" s="125">
        <v>46133.0</v>
      </c>
      <c r="N43" s="123">
        <v>76.0</v>
      </c>
      <c r="O43" s="123">
        <v>9164654.0</v>
      </c>
      <c r="P43" s="179">
        <v>46120.0</v>
      </c>
      <c r="Q43" s="123" t="s">
        <v>500</v>
      </c>
      <c r="R43" s="123">
        <v>43295.0</v>
      </c>
      <c r="S43" s="123" t="s">
        <v>636</v>
      </c>
      <c r="T43" s="123" t="s">
        <v>637</v>
      </c>
      <c r="U43" s="123" t="s">
        <v>638</v>
      </c>
      <c r="V43" s="123" t="s">
        <v>504</v>
      </c>
      <c r="W43" s="124"/>
      <c r="X43" s="123">
        <v>1.0</v>
      </c>
      <c r="Y43" s="122">
        <v>6000.0</v>
      </c>
      <c r="Z43" s="123">
        <v>6000.0</v>
      </c>
      <c r="AA43" s="123" t="s">
        <v>157</v>
      </c>
      <c r="AB43" s="123">
        <v>76.0</v>
      </c>
      <c r="AC43" s="125">
        <v>46120.0</v>
      </c>
      <c r="AD43" s="123" t="s">
        <v>525</v>
      </c>
      <c r="AE43" s="123">
        <v>998719.0</v>
      </c>
      <c r="AF43" s="123" t="s">
        <v>639</v>
      </c>
      <c r="AG43" s="124"/>
      <c r="AH43" s="124"/>
      <c r="AI43" s="123">
        <v>6000.0</v>
      </c>
      <c r="AJ43" s="123" t="s">
        <v>159</v>
      </c>
      <c r="AK43" s="123">
        <v>18.0</v>
      </c>
      <c r="AL43" s="122">
        <v>540.0</v>
      </c>
      <c r="AM43" s="123">
        <v>540.0</v>
      </c>
      <c r="AN43" s="122">
        <v>0.0</v>
      </c>
      <c r="AO43" s="123">
        <v>0.0</v>
      </c>
      <c r="AP43" s="123">
        <v>0.0</v>
      </c>
      <c r="AQ43" s="123">
        <v>0.0</v>
      </c>
      <c r="AR43" s="123">
        <v>0.0</v>
      </c>
      <c r="AS43" s="123">
        <v>0.0</v>
      </c>
      <c r="AT43" s="123">
        <v>0.0</v>
      </c>
      <c r="AU43" s="124"/>
      <c r="AV43" s="124"/>
      <c r="AW43" s="123">
        <v>0.0</v>
      </c>
      <c r="AX43" s="123">
        <v>7080.0</v>
      </c>
      <c r="AY43" s="123" t="s">
        <v>31</v>
      </c>
      <c r="AZ43" s="123" t="s">
        <v>31</v>
      </c>
      <c r="BA43" s="123" t="s">
        <v>640</v>
      </c>
      <c r="BB43" s="123">
        <v>1.126100309E9</v>
      </c>
      <c r="BC43" s="123" t="s">
        <v>556</v>
      </c>
      <c r="BD43" s="123" t="s">
        <v>162</v>
      </c>
      <c r="BE43" s="124"/>
      <c r="BF43" s="124" t="s">
        <v>484</v>
      </c>
      <c r="BG43" s="124" t="s">
        <v>482</v>
      </c>
      <c r="BH43" s="122" t="s">
        <v>587</v>
      </c>
      <c r="BI43" s="171" t="s">
        <v>511</v>
      </c>
      <c r="BJ43" s="171" t="s">
        <v>512</v>
      </c>
      <c r="BK43" s="171" t="s">
        <v>641</v>
      </c>
      <c r="BL43" s="171">
        <v>1080.0</v>
      </c>
      <c r="BM43" s="171">
        <v>1080.0</v>
      </c>
      <c r="BN43" s="171">
        <v>0.0</v>
      </c>
      <c r="BO43" s="171" t="s">
        <v>514</v>
      </c>
      <c r="BP43" s="171">
        <v>9164654.0</v>
      </c>
      <c r="BQ43" s="171" t="s">
        <v>484</v>
      </c>
      <c r="BR43" s="171" t="s">
        <v>479</v>
      </c>
      <c r="BS43" s="171">
        <v>1.0</v>
      </c>
    </row>
    <row r="44" ht="14.25" customHeight="1">
      <c r="A44" s="122" t="s">
        <v>493</v>
      </c>
      <c r="B44" s="123" t="s">
        <v>494</v>
      </c>
      <c r="C44" s="123">
        <v>107.0</v>
      </c>
      <c r="D44" s="123" t="s">
        <v>146</v>
      </c>
      <c r="E44" s="123" t="s">
        <v>147</v>
      </c>
      <c r="F44" s="124"/>
      <c r="G44" s="124"/>
      <c r="H44" s="123" t="s">
        <v>2</v>
      </c>
      <c r="I44" s="123" t="s">
        <v>495</v>
      </c>
      <c r="J44" s="123" t="s">
        <v>528</v>
      </c>
      <c r="K44" s="123" t="s">
        <v>497</v>
      </c>
      <c r="L44" s="123" t="s">
        <v>498</v>
      </c>
      <c r="M44" s="125">
        <v>46136.0</v>
      </c>
      <c r="N44" s="123" t="s">
        <v>642</v>
      </c>
      <c r="O44" s="123">
        <v>9171115.0</v>
      </c>
      <c r="P44" s="179">
        <v>46113.0</v>
      </c>
      <c r="Q44" s="123" t="s">
        <v>500</v>
      </c>
      <c r="R44" s="123">
        <v>3734.0</v>
      </c>
      <c r="S44" s="123" t="s">
        <v>643</v>
      </c>
      <c r="T44" s="123" t="s">
        <v>539</v>
      </c>
      <c r="U44" s="123" t="s">
        <v>644</v>
      </c>
      <c r="V44" s="124"/>
      <c r="W44" s="124"/>
      <c r="X44" s="123">
        <v>0.0</v>
      </c>
      <c r="Y44" s="122">
        <v>0.0</v>
      </c>
      <c r="Z44" s="123">
        <v>125000.0</v>
      </c>
      <c r="AA44" s="123" t="s">
        <v>157</v>
      </c>
      <c r="AB44" s="123" t="s">
        <v>642</v>
      </c>
      <c r="AC44" s="125">
        <v>46113.0</v>
      </c>
      <c r="AD44" s="124"/>
      <c r="AE44" s="123">
        <v>998599.0</v>
      </c>
      <c r="AF44" s="123" t="s">
        <v>645</v>
      </c>
      <c r="AG44" s="124"/>
      <c r="AH44" s="124"/>
      <c r="AI44" s="123">
        <v>125000.0</v>
      </c>
      <c r="AJ44" s="123" t="s">
        <v>159</v>
      </c>
      <c r="AK44" s="123">
        <v>18.0</v>
      </c>
      <c r="AL44" s="122">
        <v>11250.0</v>
      </c>
      <c r="AM44" s="123">
        <v>11250.0</v>
      </c>
      <c r="AN44" s="122">
        <v>0.0</v>
      </c>
      <c r="AO44" s="123">
        <v>0.0</v>
      </c>
      <c r="AP44" s="123">
        <v>0.0</v>
      </c>
      <c r="AQ44" s="123">
        <v>0.0</v>
      </c>
      <c r="AR44" s="123">
        <v>0.0</v>
      </c>
      <c r="AS44" s="123">
        <v>0.0</v>
      </c>
      <c r="AT44" s="123">
        <v>0.0</v>
      </c>
      <c r="AU44" s="124"/>
      <c r="AV44" s="124"/>
      <c r="AW44" s="123">
        <v>0.0</v>
      </c>
      <c r="AX44" s="123">
        <v>147500.0</v>
      </c>
      <c r="AY44" s="123" t="s">
        <v>31</v>
      </c>
      <c r="AZ44" s="123" t="s">
        <v>31</v>
      </c>
      <c r="BA44" s="123" t="s">
        <v>646</v>
      </c>
      <c r="BB44" s="123">
        <v>1.126100388E9</v>
      </c>
      <c r="BC44" s="123" t="s">
        <v>556</v>
      </c>
      <c r="BD44" s="123" t="s">
        <v>162</v>
      </c>
      <c r="BE44" s="124"/>
      <c r="BF44" s="124" t="s">
        <v>484</v>
      </c>
      <c r="BG44" s="124" t="s">
        <v>482</v>
      </c>
      <c r="BH44" s="122" t="s">
        <v>510</v>
      </c>
      <c r="BI44" s="171" t="s">
        <v>511</v>
      </c>
      <c r="BJ44" s="171" t="s">
        <v>512</v>
      </c>
      <c r="BK44" s="171" t="s">
        <v>647</v>
      </c>
      <c r="BL44" s="171">
        <v>22500.0</v>
      </c>
      <c r="BM44" s="171">
        <v>22500.0</v>
      </c>
      <c r="BN44" s="171">
        <v>0.0</v>
      </c>
      <c r="BO44" s="171" t="s">
        <v>514</v>
      </c>
      <c r="BP44" s="171">
        <v>9171115.0</v>
      </c>
      <c r="BQ44" s="171" t="s">
        <v>484</v>
      </c>
      <c r="BR44" s="171" t="s">
        <v>479</v>
      </c>
      <c r="BS44" s="171">
        <v>1.0</v>
      </c>
    </row>
    <row r="45" ht="14.25" customHeight="1">
      <c r="A45" s="122" t="s">
        <v>493</v>
      </c>
      <c r="B45" s="123" t="s">
        <v>494</v>
      </c>
      <c r="C45" s="123">
        <v>107.0</v>
      </c>
      <c r="D45" s="123" t="s">
        <v>146</v>
      </c>
      <c r="E45" s="123" t="s">
        <v>147</v>
      </c>
      <c r="F45" s="124"/>
      <c r="G45" s="123" t="s">
        <v>149</v>
      </c>
      <c r="H45" s="123" t="s">
        <v>2</v>
      </c>
      <c r="I45" s="123" t="s">
        <v>495</v>
      </c>
      <c r="J45" s="123" t="s">
        <v>528</v>
      </c>
      <c r="K45" s="123" t="s">
        <v>497</v>
      </c>
      <c r="L45" s="123" t="s">
        <v>498</v>
      </c>
      <c r="M45" s="125">
        <v>46140.0</v>
      </c>
      <c r="N45" s="123" t="s">
        <v>551</v>
      </c>
      <c r="O45" s="123">
        <v>9175014.0</v>
      </c>
      <c r="P45" s="125">
        <v>46129.0</v>
      </c>
      <c r="Q45" s="123" t="s">
        <v>500</v>
      </c>
      <c r="R45" s="123">
        <v>15979.0</v>
      </c>
      <c r="S45" s="123" t="s">
        <v>552</v>
      </c>
      <c r="T45" s="123" t="s">
        <v>539</v>
      </c>
      <c r="U45" s="123" t="s">
        <v>553</v>
      </c>
      <c r="V45" s="122" t="s">
        <v>504</v>
      </c>
      <c r="W45" s="124"/>
      <c r="X45" s="123">
        <v>1.0</v>
      </c>
      <c r="Y45" s="123">
        <v>399.0</v>
      </c>
      <c r="Z45" s="123">
        <v>15965.3</v>
      </c>
      <c r="AA45" s="122" t="s">
        <v>157</v>
      </c>
      <c r="AB45" s="123" t="s">
        <v>551</v>
      </c>
      <c r="AC45" s="125">
        <v>46129.0</v>
      </c>
      <c r="AD45" s="123" t="s">
        <v>525</v>
      </c>
      <c r="AE45" s="123">
        <v>3.4029099E7</v>
      </c>
      <c r="AF45" s="123" t="s">
        <v>648</v>
      </c>
      <c r="AG45" s="124"/>
      <c r="AH45" s="124"/>
      <c r="AI45" s="123">
        <v>15965.3</v>
      </c>
      <c r="AJ45" s="123" t="s">
        <v>159</v>
      </c>
      <c r="AK45" s="123">
        <v>0.0</v>
      </c>
      <c r="AL45" s="123">
        <v>0.0</v>
      </c>
      <c r="AM45" s="123">
        <v>0.0</v>
      </c>
      <c r="AN45" s="123">
        <v>0.0</v>
      </c>
      <c r="AO45" s="123">
        <v>0.0</v>
      </c>
      <c r="AP45" s="123">
        <v>0.0</v>
      </c>
      <c r="AQ45" s="123">
        <v>0.0</v>
      </c>
      <c r="AR45" s="122">
        <v>0.0</v>
      </c>
      <c r="AS45" s="123">
        <v>0.0</v>
      </c>
      <c r="AT45" s="122">
        <v>0.0</v>
      </c>
      <c r="AU45" s="124"/>
      <c r="AV45" s="124"/>
      <c r="AW45" s="123">
        <v>0.0</v>
      </c>
      <c r="AX45" s="123">
        <v>15965.3</v>
      </c>
      <c r="AY45" s="123" t="s">
        <v>31</v>
      </c>
      <c r="AZ45" s="123" t="s">
        <v>31</v>
      </c>
      <c r="BA45" s="123" t="s">
        <v>555</v>
      </c>
      <c r="BB45" s="123">
        <v>1.126100447E9</v>
      </c>
      <c r="BC45" s="123" t="s">
        <v>649</v>
      </c>
      <c r="BD45" s="123" t="s">
        <v>509</v>
      </c>
      <c r="BE45" s="124"/>
      <c r="BF45" s="124" t="s">
        <v>484</v>
      </c>
      <c r="BG45" s="124" t="s">
        <v>482</v>
      </c>
      <c r="BH45" s="123" t="s">
        <v>510</v>
      </c>
      <c r="BI45" s="171" t="s">
        <v>511</v>
      </c>
      <c r="BJ45" s="171" t="s">
        <v>512</v>
      </c>
      <c r="BK45" s="171" t="s">
        <v>650</v>
      </c>
      <c r="BL45" s="171">
        <v>71.82</v>
      </c>
      <c r="BM45" s="171">
        <v>385.92</v>
      </c>
      <c r="BN45" s="171">
        <v>-314.0</v>
      </c>
      <c r="BO45" s="171" t="s">
        <v>514</v>
      </c>
      <c r="BP45" s="171">
        <v>9156752.0</v>
      </c>
      <c r="BQ45" s="171" t="s">
        <v>483</v>
      </c>
      <c r="BR45" s="171" t="s">
        <v>479</v>
      </c>
      <c r="BS45" s="171">
        <v>2.0</v>
      </c>
    </row>
    <row r="46" ht="14.25" customHeight="1">
      <c r="A46" s="122" t="s">
        <v>493</v>
      </c>
      <c r="B46" s="123" t="s">
        <v>494</v>
      </c>
      <c r="C46" s="123">
        <v>107.0</v>
      </c>
      <c r="D46" s="123" t="s">
        <v>146</v>
      </c>
      <c r="E46" s="123" t="s">
        <v>147</v>
      </c>
      <c r="F46" s="124"/>
      <c r="G46" s="123" t="s">
        <v>149</v>
      </c>
      <c r="H46" s="123" t="s">
        <v>2</v>
      </c>
      <c r="I46" s="123" t="s">
        <v>495</v>
      </c>
      <c r="J46" s="123" t="s">
        <v>496</v>
      </c>
      <c r="K46" s="123" t="s">
        <v>497</v>
      </c>
      <c r="L46" s="123" t="s">
        <v>498</v>
      </c>
      <c r="M46" s="125">
        <v>46127.0</v>
      </c>
      <c r="N46" s="123" t="s">
        <v>651</v>
      </c>
      <c r="O46" s="123">
        <v>9156752.0</v>
      </c>
      <c r="P46" s="125">
        <v>46115.0</v>
      </c>
      <c r="Q46" s="123" t="s">
        <v>500</v>
      </c>
      <c r="R46" s="123">
        <v>6262.0</v>
      </c>
      <c r="S46" s="123" t="s">
        <v>521</v>
      </c>
      <c r="T46" s="123" t="s">
        <v>522</v>
      </c>
      <c r="U46" s="123" t="s">
        <v>523</v>
      </c>
      <c r="V46" s="122" t="s">
        <v>504</v>
      </c>
      <c r="W46" s="124"/>
      <c r="X46" s="123">
        <v>1.0</v>
      </c>
      <c r="Y46" s="123">
        <v>399.0</v>
      </c>
      <c r="Z46" s="123">
        <v>399.0</v>
      </c>
      <c r="AA46" s="122" t="s">
        <v>157</v>
      </c>
      <c r="AB46" s="123" t="s">
        <v>651</v>
      </c>
      <c r="AC46" s="125">
        <v>46115.0</v>
      </c>
      <c r="AD46" s="123" t="s">
        <v>525</v>
      </c>
      <c r="AE46" s="123">
        <v>998413.0</v>
      </c>
      <c r="AF46" s="123" t="s">
        <v>652</v>
      </c>
      <c r="AG46" s="124"/>
      <c r="AH46" s="124"/>
      <c r="AI46" s="123">
        <v>399.0</v>
      </c>
      <c r="AJ46" s="123" t="s">
        <v>159</v>
      </c>
      <c r="AK46" s="123">
        <v>18.0</v>
      </c>
      <c r="AL46" s="123">
        <v>35.91</v>
      </c>
      <c r="AM46" s="123">
        <v>35.91</v>
      </c>
      <c r="AN46" s="123">
        <v>0.0</v>
      </c>
      <c r="AO46" s="123">
        <v>0.0</v>
      </c>
      <c r="AP46" s="123">
        <v>0.0</v>
      </c>
      <c r="AQ46" s="123">
        <v>0.0</v>
      </c>
      <c r="AR46" s="122">
        <v>0.0</v>
      </c>
      <c r="AS46" s="123">
        <v>0.0</v>
      </c>
      <c r="AT46" s="122">
        <v>0.0</v>
      </c>
      <c r="AU46" s="124"/>
      <c r="AV46" s="124"/>
      <c r="AW46" s="123">
        <v>0.0</v>
      </c>
      <c r="AX46" s="123">
        <v>470.82</v>
      </c>
      <c r="AY46" s="123" t="s">
        <v>20</v>
      </c>
      <c r="AZ46" s="123" t="s">
        <v>31</v>
      </c>
      <c r="BA46" s="123" t="s">
        <v>653</v>
      </c>
      <c r="BB46" s="123">
        <v>1.12610008E9</v>
      </c>
      <c r="BC46" s="123" t="s">
        <v>187</v>
      </c>
      <c r="BD46" s="123" t="s">
        <v>162</v>
      </c>
      <c r="BE46" s="124"/>
      <c r="BF46" s="124" t="s">
        <v>483</v>
      </c>
      <c r="BG46" s="124" t="s">
        <v>482</v>
      </c>
      <c r="BH46" s="123" t="s">
        <v>510</v>
      </c>
      <c r="BI46" s="171" t="s">
        <v>511</v>
      </c>
      <c r="BJ46" s="171" t="s">
        <v>512</v>
      </c>
      <c r="BK46" s="171" t="s">
        <v>563</v>
      </c>
      <c r="BL46" s="171">
        <v>224.82</v>
      </c>
      <c r="BM46" s="171">
        <v>2435.38</v>
      </c>
      <c r="BN46" s="171">
        <v>-2211.0</v>
      </c>
      <c r="BO46" s="171" t="s">
        <v>514</v>
      </c>
      <c r="BP46" s="171">
        <v>9175014.0</v>
      </c>
      <c r="BQ46" s="171" t="s">
        <v>484</v>
      </c>
      <c r="BR46" s="171" t="s">
        <v>479</v>
      </c>
      <c r="BS46" s="171">
        <v>18.0</v>
      </c>
    </row>
    <row r="47" ht="14.25" customHeight="1">
      <c r="A47" s="122" t="s">
        <v>493</v>
      </c>
      <c r="B47" s="123" t="s">
        <v>494</v>
      </c>
      <c r="C47" s="123">
        <v>107.0</v>
      </c>
      <c r="D47" s="123" t="s">
        <v>146</v>
      </c>
      <c r="E47" s="123" t="s">
        <v>147</v>
      </c>
      <c r="F47" s="124"/>
      <c r="G47" s="124" t="s">
        <v>149</v>
      </c>
      <c r="H47" s="123" t="s">
        <v>2</v>
      </c>
      <c r="I47" s="123" t="s">
        <v>495</v>
      </c>
      <c r="J47" s="123" t="s">
        <v>496</v>
      </c>
      <c r="K47" s="123" t="s">
        <v>497</v>
      </c>
      <c r="L47" s="123" t="s">
        <v>498</v>
      </c>
      <c r="M47" s="125">
        <v>46140.0</v>
      </c>
      <c r="N47" s="123" t="s">
        <v>551</v>
      </c>
      <c r="O47" s="123">
        <v>9175014.0</v>
      </c>
      <c r="P47" s="125">
        <v>46129.0</v>
      </c>
      <c r="Q47" s="123" t="s">
        <v>500</v>
      </c>
      <c r="R47" s="123">
        <v>15979.0</v>
      </c>
      <c r="S47" s="123" t="s">
        <v>552</v>
      </c>
      <c r="T47" s="123" t="s">
        <v>539</v>
      </c>
      <c r="U47" s="123" t="s">
        <v>553</v>
      </c>
      <c r="V47" s="122" t="s">
        <v>504</v>
      </c>
      <c r="W47" s="124"/>
      <c r="X47" s="123">
        <v>1249.0</v>
      </c>
      <c r="Y47" s="123">
        <v>1.0</v>
      </c>
      <c r="Z47" s="123">
        <v>1249.0</v>
      </c>
      <c r="AA47" s="122" t="s">
        <v>157</v>
      </c>
      <c r="AB47" s="123" t="s">
        <v>551</v>
      </c>
      <c r="AC47" s="125">
        <v>46129.0</v>
      </c>
      <c r="AD47" s="123" t="s">
        <v>505</v>
      </c>
      <c r="AE47" s="123">
        <v>3.8119E7</v>
      </c>
      <c r="AF47" s="123" t="s">
        <v>654</v>
      </c>
      <c r="AG47" s="124"/>
      <c r="AH47" s="124"/>
      <c r="AI47" s="123">
        <v>1249.0</v>
      </c>
      <c r="AJ47" s="123" t="s">
        <v>159</v>
      </c>
      <c r="AK47" s="123">
        <v>18.0</v>
      </c>
      <c r="AL47" s="123">
        <v>112.41</v>
      </c>
      <c r="AM47" s="123">
        <v>112.41</v>
      </c>
      <c r="AN47" s="123">
        <v>0.0</v>
      </c>
      <c r="AO47" s="123">
        <v>0.0</v>
      </c>
      <c r="AP47" s="123">
        <v>0.0</v>
      </c>
      <c r="AQ47" s="123">
        <v>0.0</v>
      </c>
      <c r="AR47" s="122">
        <v>0.0</v>
      </c>
      <c r="AS47" s="123">
        <v>0.0</v>
      </c>
      <c r="AT47" s="122">
        <v>0.0</v>
      </c>
      <c r="AU47" s="124"/>
      <c r="AV47" s="124"/>
      <c r="AW47" s="123">
        <v>0.0</v>
      </c>
      <c r="AX47" s="123">
        <v>1473.82</v>
      </c>
      <c r="AY47" s="123" t="s">
        <v>31</v>
      </c>
      <c r="AZ47" s="123" t="s">
        <v>31</v>
      </c>
      <c r="BA47" s="123" t="s">
        <v>555</v>
      </c>
      <c r="BB47" s="123">
        <v>1.126100447E9</v>
      </c>
      <c r="BC47" s="123" t="s">
        <v>556</v>
      </c>
      <c r="BD47" s="123" t="s">
        <v>509</v>
      </c>
      <c r="BE47" s="124"/>
      <c r="BF47" s="124" t="s">
        <v>484</v>
      </c>
      <c r="BG47" s="124" t="s">
        <v>482</v>
      </c>
      <c r="BH47" s="123" t="s">
        <v>510</v>
      </c>
      <c r="BI47" s="171" t="s">
        <v>511</v>
      </c>
      <c r="BJ47" s="171" t="s">
        <v>512</v>
      </c>
      <c r="BK47" s="171" t="s">
        <v>655</v>
      </c>
      <c r="BL47" s="171">
        <v>179.82</v>
      </c>
      <c r="BM47" s="171">
        <v>179.82</v>
      </c>
      <c r="BN47" s="171">
        <v>0.0</v>
      </c>
      <c r="BO47" s="171" t="s">
        <v>514</v>
      </c>
      <c r="BP47" s="171">
        <v>9164393.0</v>
      </c>
      <c r="BQ47" s="171" t="s">
        <v>484</v>
      </c>
      <c r="BR47" s="171" t="s">
        <v>479</v>
      </c>
      <c r="BS47" s="171">
        <v>1.0</v>
      </c>
    </row>
    <row r="48" ht="14.25" customHeight="1">
      <c r="A48" s="122" t="s">
        <v>493</v>
      </c>
      <c r="B48" s="123" t="s">
        <v>494</v>
      </c>
      <c r="C48" s="123">
        <v>107.0</v>
      </c>
      <c r="D48" s="123" t="s">
        <v>146</v>
      </c>
      <c r="E48" s="123" t="s">
        <v>147</v>
      </c>
      <c r="F48" s="124"/>
      <c r="G48" s="124"/>
      <c r="H48" s="123" t="s">
        <v>2</v>
      </c>
      <c r="I48" s="123" t="s">
        <v>495</v>
      </c>
      <c r="J48" s="123" t="s">
        <v>528</v>
      </c>
      <c r="K48" s="123" t="s">
        <v>626</v>
      </c>
      <c r="L48" s="123" t="s">
        <v>498</v>
      </c>
      <c r="M48" s="125">
        <v>46133.0</v>
      </c>
      <c r="N48" s="123" t="s">
        <v>656</v>
      </c>
      <c r="O48" s="123">
        <v>9164393.0</v>
      </c>
      <c r="P48" s="125">
        <v>46115.0</v>
      </c>
      <c r="Q48" s="123" t="s">
        <v>500</v>
      </c>
      <c r="R48" s="123">
        <v>6262.0</v>
      </c>
      <c r="S48" s="123" t="s">
        <v>521</v>
      </c>
      <c r="T48" s="123" t="s">
        <v>522</v>
      </c>
      <c r="U48" s="123" t="s">
        <v>523</v>
      </c>
      <c r="V48" s="122" t="s">
        <v>504</v>
      </c>
      <c r="W48" s="124"/>
      <c r="X48" s="123">
        <v>1.0</v>
      </c>
      <c r="Y48" s="123">
        <v>999.0</v>
      </c>
      <c r="Z48" s="123">
        <v>999.0</v>
      </c>
      <c r="AA48" s="122" t="s">
        <v>157</v>
      </c>
      <c r="AB48" s="123" t="s">
        <v>656</v>
      </c>
      <c r="AC48" s="125">
        <v>46115.0</v>
      </c>
      <c r="AD48" s="123" t="s">
        <v>525</v>
      </c>
      <c r="AE48" s="123">
        <v>998412.0</v>
      </c>
      <c r="AF48" s="123" t="s">
        <v>657</v>
      </c>
      <c r="AG48" s="124"/>
      <c r="AH48" s="124"/>
      <c r="AI48" s="123">
        <v>999.0</v>
      </c>
      <c r="AJ48" s="123" t="s">
        <v>159</v>
      </c>
      <c r="AK48" s="123">
        <v>18.0</v>
      </c>
      <c r="AL48" s="123">
        <v>89.91</v>
      </c>
      <c r="AM48" s="123">
        <v>89.91</v>
      </c>
      <c r="AN48" s="123">
        <v>0.0</v>
      </c>
      <c r="AO48" s="123">
        <v>0.0</v>
      </c>
      <c r="AP48" s="123">
        <v>0.0</v>
      </c>
      <c r="AQ48" s="123">
        <v>0.0</v>
      </c>
      <c r="AR48" s="122">
        <v>0.0</v>
      </c>
      <c r="AS48" s="123">
        <v>0.0</v>
      </c>
      <c r="AT48" s="122">
        <v>0.0</v>
      </c>
      <c r="AU48" s="124"/>
      <c r="AV48" s="124"/>
      <c r="AW48" s="123">
        <v>0.0</v>
      </c>
      <c r="AX48" s="123">
        <v>1178.82</v>
      </c>
      <c r="AY48" s="123" t="s">
        <v>31</v>
      </c>
      <c r="AZ48" s="123" t="s">
        <v>31</v>
      </c>
      <c r="BA48" s="123" t="s">
        <v>658</v>
      </c>
      <c r="BB48" s="123">
        <v>1.126100289E9</v>
      </c>
      <c r="BC48" s="123" t="s">
        <v>556</v>
      </c>
      <c r="BD48" s="123" t="s">
        <v>162</v>
      </c>
      <c r="BE48" s="124"/>
      <c r="BF48" s="124" t="s">
        <v>484</v>
      </c>
      <c r="BG48" s="124" t="s">
        <v>482</v>
      </c>
      <c r="BH48" s="123" t="s">
        <v>510</v>
      </c>
      <c r="BI48" s="171" t="s">
        <v>511</v>
      </c>
      <c r="BJ48" s="171" t="s">
        <v>512</v>
      </c>
      <c r="BK48" s="171" t="s">
        <v>659</v>
      </c>
      <c r="BL48" s="171">
        <v>0.28</v>
      </c>
      <c r="BM48" s="171">
        <v>2568.6</v>
      </c>
      <c r="BN48" s="171">
        <v>-2568.0</v>
      </c>
      <c r="BO48" s="171" t="s">
        <v>514</v>
      </c>
      <c r="BP48" s="171">
        <v>9155607.0</v>
      </c>
      <c r="BQ48" s="171" t="s">
        <v>483</v>
      </c>
      <c r="BR48" s="171" t="s">
        <v>479</v>
      </c>
      <c r="BS48" s="171">
        <v>4.0</v>
      </c>
    </row>
    <row r="49" ht="14.25" customHeight="1">
      <c r="A49" s="122" t="s">
        <v>493</v>
      </c>
      <c r="B49" s="123" t="s">
        <v>494</v>
      </c>
      <c r="C49" s="123">
        <v>107.0</v>
      </c>
      <c r="D49" s="123" t="s">
        <v>146</v>
      </c>
      <c r="E49" s="123" t="s">
        <v>147</v>
      </c>
      <c r="F49" s="124"/>
      <c r="G49" s="124"/>
      <c r="H49" s="123" t="s">
        <v>2</v>
      </c>
      <c r="I49" s="123" t="s">
        <v>495</v>
      </c>
      <c r="J49" s="123" t="s">
        <v>528</v>
      </c>
      <c r="K49" s="123" t="s">
        <v>529</v>
      </c>
      <c r="L49" s="123" t="s">
        <v>498</v>
      </c>
      <c r="M49" s="125">
        <v>46126.0</v>
      </c>
      <c r="N49" s="123" t="s">
        <v>660</v>
      </c>
      <c r="O49" s="123">
        <v>9155607.0</v>
      </c>
      <c r="P49" s="125">
        <v>46114.0</v>
      </c>
      <c r="Q49" s="123" t="s">
        <v>500</v>
      </c>
      <c r="R49" s="123">
        <v>2770.0</v>
      </c>
      <c r="S49" s="123" t="s">
        <v>531</v>
      </c>
      <c r="T49" s="123" t="s">
        <v>532</v>
      </c>
      <c r="U49" s="123" t="s">
        <v>533</v>
      </c>
      <c r="V49" s="122" t="s">
        <v>504</v>
      </c>
      <c r="W49" s="124"/>
      <c r="X49" s="123">
        <v>1.0</v>
      </c>
      <c r="Y49" s="123">
        <v>1.6</v>
      </c>
      <c r="Z49" s="123">
        <v>1.6</v>
      </c>
      <c r="AA49" s="122" t="s">
        <v>157</v>
      </c>
      <c r="AB49" s="123" t="s">
        <v>660</v>
      </c>
      <c r="AC49" s="125">
        <v>46114.0</v>
      </c>
      <c r="AD49" s="123" t="s">
        <v>525</v>
      </c>
      <c r="AE49" s="123">
        <v>8.4439952E7</v>
      </c>
      <c r="AF49" s="123" t="s">
        <v>661</v>
      </c>
      <c r="AG49" s="124"/>
      <c r="AH49" s="124"/>
      <c r="AI49" s="123">
        <v>1.6</v>
      </c>
      <c r="AJ49" s="123" t="s">
        <v>159</v>
      </c>
      <c r="AK49" s="123">
        <v>18.0</v>
      </c>
      <c r="AL49" s="123">
        <v>0.14</v>
      </c>
      <c r="AM49" s="123">
        <v>0.14</v>
      </c>
      <c r="AN49" s="123">
        <v>0.0</v>
      </c>
      <c r="AO49" s="123">
        <v>0.0</v>
      </c>
      <c r="AP49" s="123">
        <v>0.0</v>
      </c>
      <c r="AQ49" s="123">
        <v>0.0</v>
      </c>
      <c r="AR49" s="122">
        <v>0.0</v>
      </c>
      <c r="AS49" s="123">
        <v>0.0</v>
      </c>
      <c r="AT49" s="122">
        <v>0.0</v>
      </c>
      <c r="AU49" s="124"/>
      <c r="AV49" s="124"/>
      <c r="AW49" s="123">
        <v>0.0</v>
      </c>
      <c r="AX49" s="123">
        <v>1.88</v>
      </c>
      <c r="AY49" s="123" t="s">
        <v>20</v>
      </c>
      <c r="AZ49" s="123" t="s">
        <v>31</v>
      </c>
      <c r="BA49" s="123" t="s">
        <v>535</v>
      </c>
      <c r="BB49" s="123">
        <v>1.126100057E9</v>
      </c>
      <c r="BC49" s="123" t="s">
        <v>187</v>
      </c>
      <c r="BD49" s="123" t="s">
        <v>162</v>
      </c>
      <c r="BE49" s="124"/>
      <c r="BF49" s="124" t="s">
        <v>483</v>
      </c>
      <c r="BG49" s="124" t="s">
        <v>482</v>
      </c>
      <c r="BH49" s="123" t="s">
        <v>510</v>
      </c>
      <c r="BI49" s="171" t="s">
        <v>511</v>
      </c>
      <c r="BJ49" s="171" t="s">
        <v>512</v>
      </c>
      <c r="BK49" s="171" t="s">
        <v>662</v>
      </c>
      <c r="BL49" s="171">
        <v>2653.2</v>
      </c>
      <c r="BM49" s="171">
        <v>6033.6</v>
      </c>
      <c r="BN49" s="171">
        <v>-3380.0</v>
      </c>
      <c r="BO49" s="171" t="s">
        <v>514</v>
      </c>
      <c r="BP49" s="171">
        <v>9177498.0</v>
      </c>
      <c r="BQ49" s="171" t="s">
        <v>483</v>
      </c>
      <c r="BR49" s="171" t="s">
        <v>479</v>
      </c>
      <c r="BS49" s="171">
        <v>3.0</v>
      </c>
    </row>
    <row r="50" ht="14.25" customHeight="1">
      <c r="A50" s="122" t="s">
        <v>493</v>
      </c>
      <c r="B50" s="123" t="s">
        <v>494</v>
      </c>
      <c r="C50" s="123">
        <v>107.0</v>
      </c>
      <c r="D50" s="123" t="s">
        <v>146</v>
      </c>
      <c r="E50" s="123" t="s">
        <v>147</v>
      </c>
      <c r="F50" s="124"/>
      <c r="G50" s="124"/>
      <c r="H50" s="123" t="s">
        <v>2</v>
      </c>
      <c r="I50" s="123" t="s">
        <v>495</v>
      </c>
      <c r="J50" s="123" t="s">
        <v>528</v>
      </c>
      <c r="K50" s="123" t="s">
        <v>529</v>
      </c>
      <c r="L50" s="123" t="s">
        <v>498</v>
      </c>
      <c r="M50" s="125">
        <v>46141.0</v>
      </c>
      <c r="N50" s="123">
        <v>4.0</v>
      </c>
      <c r="O50" s="123">
        <v>9177498.0</v>
      </c>
      <c r="P50" s="125">
        <v>46129.0</v>
      </c>
      <c r="Q50" s="123" t="s">
        <v>500</v>
      </c>
      <c r="R50" s="123">
        <v>5093.0</v>
      </c>
      <c r="S50" s="123" t="s">
        <v>617</v>
      </c>
      <c r="T50" s="123" t="s">
        <v>618</v>
      </c>
      <c r="U50" s="123" t="s">
        <v>619</v>
      </c>
      <c r="V50" s="122" t="s">
        <v>504</v>
      </c>
      <c r="W50" s="124"/>
      <c r="X50" s="123">
        <v>1.0</v>
      </c>
      <c r="Y50" s="123">
        <v>14740.0</v>
      </c>
      <c r="Z50" s="123">
        <v>14740.0</v>
      </c>
      <c r="AA50" s="122" t="s">
        <v>157</v>
      </c>
      <c r="AB50" s="123">
        <v>4.0</v>
      </c>
      <c r="AC50" s="125">
        <v>46129.0</v>
      </c>
      <c r="AD50" s="123" t="s">
        <v>593</v>
      </c>
      <c r="AE50" s="123">
        <v>8544.0</v>
      </c>
      <c r="AF50" s="123" t="s">
        <v>663</v>
      </c>
      <c r="AG50" s="124"/>
      <c r="AH50" s="124"/>
      <c r="AI50" s="123">
        <v>14740.0</v>
      </c>
      <c r="AJ50" s="123" t="s">
        <v>159</v>
      </c>
      <c r="AK50" s="123">
        <v>18.0</v>
      </c>
      <c r="AL50" s="123">
        <v>1326.6</v>
      </c>
      <c r="AM50" s="123">
        <v>1326.6</v>
      </c>
      <c r="AN50" s="123">
        <v>0.0</v>
      </c>
      <c r="AO50" s="123">
        <v>0.0</v>
      </c>
      <c r="AP50" s="123">
        <v>0.0</v>
      </c>
      <c r="AQ50" s="123">
        <v>0.0</v>
      </c>
      <c r="AR50" s="122">
        <v>0.0</v>
      </c>
      <c r="AS50" s="123">
        <v>0.0</v>
      </c>
      <c r="AT50" s="122">
        <v>0.0</v>
      </c>
      <c r="AU50" s="124"/>
      <c r="AV50" s="124"/>
      <c r="AW50" s="123">
        <v>0.0</v>
      </c>
      <c r="AX50" s="123">
        <v>17393.2</v>
      </c>
      <c r="AY50" s="123" t="s">
        <v>20</v>
      </c>
      <c r="AZ50" s="123" t="s">
        <v>31</v>
      </c>
      <c r="BA50" s="123" t="s">
        <v>595</v>
      </c>
      <c r="BB50" s="123">
        <v>1.126100464E9</v>
      </c>
      <c r="BC50" s="123" t="s">
        <v>187</v>
      </c>
      <c r="BD50" s="123" t="s">
        <v>586</v>
      </c>
      <c r="BE50" s="124"/>
      <c r="BF50" s="124" t="s">
        <v>483</v>
      </c>
      <c r="BG50" s="124" t="s">
        <v>482</v>
      </c>
      <c r="BH50" s="123" t="s">
        <v>587</v>
      </c>
      <c r="BI50" s="171" t="s">
        <v>511</v>
      </c>
      <c r="BJ50" s="171" t="s">
        <v>512</v>
      </c>
      <c r="BK50" s="171" t="s">
        <v>664</v>
      </c>
      <c r="BL50" s="171">
        <v>125586.18</v>
      </c>
      <c r="BM50" s="171">
        <v>125586.18</v>
      </c>
      <c r="BN50" s="171">
        <v>0.0</v>
      </c>
      <c r="BO50" s="171" t="s">
        <v>514</v>
      </c>
      <c r="BP50" s="171">
        <v>9151134.0</v>
      </c>
      <c r="BQ50" s="171" t="s">
        <v>483</v>
      </c>
      <c r="BR50" s="171" t="s">
        <v>476</v>
      </c>
      <c r="BS50" s="171">
        <v>1.0</v>
      </c>
    </row>
    <row r="51" ht="14.25" customHeight="1">
      <c r="A51" s="122" t="s">
        <v>493</v>
      </c>
      <c r="B51" s="123" t="s">
        <v>494</v>
      </c>
      <c r="C51" s="123">
        <v>107.0</v>
      </c>
      <c r="D51" s="123" t="s">
        <v>146</v>
      </c>
      <c r="E51" s="123" t="s">
        <v>147</v>
      </c>
      <c r="F51" s="124"/>
      <c r="G51" s="124"/>
      <c r="H51" s="123" t="s">
        <v>2</v>
      </c>
      <c r="I51" s="123" t="s">
        <v>495</v>
      </c>
      <c r="J51" s="123" t="s">
        <v>528</v>
      </c>
      <c r="K51" s="123" t="s">
        <v>529</v>
      </c>
      <c r="L51" s="123" t="s">
        <v>498</v>
      </c>
      <c r="M51" s="125">
        <v>46126.0</v>
      </c>
      <c r="N51" s="123" t="s">
        <v>570</v>
      </c>
      <c r="O51" s="123">
        <v>9155615.0</v>
      </c>
      <c r="P51" s="125">
        <v>46114.0</v>
      </c>
      <c r="Q51" s="123" t="s">
        <v>500</v>
      </c>
      <c r="R51" s="123">
        <v>2770.0</v>
      </c>
      <c r="S51" s="123" t="s">
        <v>531</v>
      </c>
      <c r="T51" s="123" t="s">
        <v>532</v>
      </c>
      <c r="U51" s="123" t="s">
        <v>533</v>
      </c>
      <c r="V51" s="122" t="s">
        <v>504</v>
      </c>
      <c r="W51" s="124"/>
      <c r="X51" s="123">
        <v>1.0</v>
      </c>
      <c r="Y51" s="123">
        <v>2137.98</v>
      </c>
      <c r="Z51" s="123">
        <v>2137.98</v>
      </c>
      <c r="AA51" s="122" t="s">
        <v>157</v>
      </c>
      <c r="AB51" s="123" t="s">
        <v>570</v>
      </c>
      <c r="AC51" s="125">
        <v>46114.0</v>
      </c>
      <c r="AD51" s="123" t="s">
        <v>525</v>
      </c>
      <c r="AE51" s="123">
        <v>8.4439952E7</v>
      </c>
      <c r="AF51" s="123" t="s">
        <v>665</v>
      </c>
      <c r="AG51" s="124"/>
      <c r="AH51" s="124"/>
      <c r="AI51" s="123">
        <v>2137.98</v>
      </c>
      <c r="AJ51" s="123" t="s">
        <v>159</v>
      </c>
      <c r="AK51" s="123">
        <v>18.0</v>
      </c>
      <c r="AL51" s="123">
        <v>192.42</v>
      </c>
      <c r="AM51" s="123">
        <v>192.42</v>
      </c>
      <c r="AN51" s="123">
        <v>0.0</v>
      </c>
      <c r="AO51" s="123">
        <v>0.0</v>
      </c>
      <c r="AP51" s="123">
        <v>0.0</v>
      </c>
      <c r="AQ51" s="123">
        <v>0.0</v>
      </c>
      <c r="AR51" s="122">
        <v>0.0</v>
      </c>
      <c r="AS51" s="123">
        <v>0.0</v>
      </c>
      <c r="AT51" s="122">
        <v>0.0</v>
      </c>
      <c r="AU51" s="124"/>
      <c r="AV51" s="124"/>
      <c r="AW51" s="123">
        <v>0.0</v>
      </c>
      <c r="AX51" s="123">
        <v>2522.82</v>
      </c>
      <c r="AY51" s="123" t="s">
        <v>20</v>
      </c>
      <c r="AZ51" s="123" t="s">
        <v>31</v>
      </c>
      <c r="BA51" s="123" t="s">
        <v>535</v>
      </c>
      <c r="BB51" s="123">
        <v>1.126100065E9</v>
      </c>
      <c r="BC51" s="123" t="s">
        <v>187</v>
      </c>
      <c r="BD51" s="123" t="s">
        <v>162</v>
      </c>
      <c r="BE51" s="124"/>
      <c r="BF51" s="124" t="s">
        <v>483</v>
      </c>
      <c r="BG51" s="124" t="s">
        <v>482</v>
      </c>
      <c r="BH51" s="123" t="s">
        <v>510</v>
      </c>
      <c r="BI51" s="171" t="s">
        <v>511</v>
      </c>
      <c r="BJ51" s="171" t="s">
        <v>512</v>
      </c>
      <c r="BK51" s="171" t="s">
        <v>577</v>
      </c>
      <c r="BL51" s="171">
        <v>384.84</v>
      </c>
      <c r="BM51" s="171">
        <v>1123.84</v>
      </c>
      <c r="BN51" s="171">
        <v>-739.0</v>
      </c>
      <c r="BO51" s="171" t="s">
        <v>514</v>
      </c>
      <c r="BP51" s="171">
        <v>9155615.0</v>
      </c>
      <c r="BQ51" s="171" t="s">
        <v>483</v>
      </c>
      <c r="BR51" s="171" t="s">
        <v>479</v>
      </c>
      <c r="BS51" s="171">
        <v>4.0</v>
      </c>
    </row>
    <row r="52" ht="14.25" customHeight="1">
      <c r="A52" s="122" t="s">
        <v>493</v>
      </c>
      <c r="B52" s="123" t="s">
        <v>494</v>
      </c>
      <c r="C52" s="123">
        <v>107.0</v>
      </c>
      <c r="D52" s="123" t="s">
        <v>146</v>
      </c>
      <c r="E52" s="123" t="s">
        <v>147</v>
      </c>
      <c r="F52" s="124"/>
      <c r="G52" s="124" t="s">
        <v>149</v>
      </c>
      <c r="H52" s="123" t="s">
        <v>2</v>
      </c>
      <c r="I52" s="123" t="s">
        <v>495</v>
      </c>
      <c r="J52" s="123" t="s">
        <v>496</v>
      </c>
      <c r="K52" s="123" t="s">
        <v>497</v>
      </c>
      <c r="L52" s="123" t="s">
        <v>498</v>
      </c>
      <c r="M52" s="125">
        <v>46127.0</v>
      </c>
      <c r="N52" s="123" t="s">
        <v>499</v>
      </c>
      <c r="O52" s="123">
        <v>9158398.0</v>
      </c>
      <c r="P52" s="125">
        <v>46090.0</v>
      </c>
      <c r="Q52" s="123" t="s">
        <v>500</v>
      </c>
      <c r="R52" s="123">
        <v>35671.0</v>
      </c>
      <c r="S52" s="123" t="s">
        <v>501</v>
      </c>
      <c r="T52" s="123" t="s">
        <v>502</v>
      </c>
      <c r="U52" s="123" t="s">
        <v>503</v>
      </c>
      <c r="V52" s="124" t="s">
        <v>504</v>
      </c>
      <c r="W52" s="124"/>
      <c r="X52" s="123">
        <v>275.0</v>
      </c>
      <c r="Y52" s="123">
        <v>24.0</v>
      </c>
      <c r="Z52" s="123">
        <v>6600.0</v>
      </c>
      <c r="AA52" s="122" t="s">
        <v>157</v>
      </c>
      <c r="AB52" s="123" t="s">
        <v>499</v>
      </c>
      <c r="AC52" s="125">
        <v>46121.0</v>
      </c>
      <c r="AD52" s="124" t="s">
        <v>505</v>
      </c>
      <c r="AE52" s="123">
        <v>998729.0</v>
      </c>
      <c r="AF52" s="123" t="s">
        <v>666</v>
      </c>
      <c r="AG52" s="124"/>
      <c r="AH52" s="124"/>
      <c r="AI52" s="123">
        <v>6600.0</v>
      </c>
      <c r="AJ52" s="123" t="s">
        <v>159</v>
      </c>
      <c r="AK52" s="123">
        <v>18.0</v>
      </c>
      <c r="AL52" s="123">
        <v>0.0</v>
      </c>
      <c r="AM52" s="123">
        <v>0.0</v>
      </c>
      <c r="AN52" s="123">
        <v>1188.0</v>
      </c>
      <c r="AO52" s="123">
        <v>0.0</v>
      </c>
      <c r="AP52" s="123">
        <v>0.0</v>
      </c>
      <c r="AQ52" s="123">
        <v>0.0</v>
      </c>
      <c r="AR52" s="122">
        <v>0.0</v>
      </c>
      <c r="AS52" s="123">
        <v>0.0</v>
      </c>
      <c r="AT52" s="122">
        <v>0.0</v>
      </c>
      <c r="AU52" s="124"/>
      <c r="AV52" s="124"/>
      <c r="AW52" s="123">
        <v>0.0</v>
      </c>
      <c r="AX52" s="123">
        <v>7788.0</v>
      </c>
      <c r="AY52" s="123" t="s">
        <v>31</v>
      </c>
      <c r="AZ52" s="123" t="s">
        <v>31</v>
      </c>
      <c r="BA52" s="123" t="s">
        <v>507</v>
      </c>
      <c r="BB52" s="123">
        <v>1.126100105E9</v>
      </c>
      <c r="BC52" s="123" t="s">
        <v>508</v>
      </c>
      <c r="BD52" s="123" t="s">
        <v>509</v>
      </c>
      <c r="BE52" s="124"/>
      <c r="BF52" s="124" t="s">
        <v>484</v>
      </c>
      <c r="BG52" s="124" t="s">
        <v>482</v>
      </c>
      <c r="BH52" s="123" t="s">
        <v>510</v>
      </c>
      <c r="BI52" s="171" t="s">
        <v>511</v>
      </c>
      <c r="BJ52" s="171" t="s">
        <v>512</v>
      </c>
      <c r="BK52" s="171" t="s">
        <v>667</v>
      </c>
      <c r="BL52" s="171">
        <v>1668.6</v>
      </c>
      <c r="BM52" s="171">
        <v>1669.0</v>
      </c>
      <c r="BN52" s="171">
        <v>0.0</v>
      </c>
      <c r="BO52" s="171" t="s">
        <v>514</v>
      </c>
      <c r="BP52" s="171">
        <v>9178796.0</v>
      </c>
      <c r="BQ52" s="171" t="s">
        <v>484</v>
      </c>
      <c r="BR52" s="171" t="s">
        <v>476</v>
      </c>
      <c r="BS52" s="171">
        <v>1.0</v>
      </c>
    </row>
    <row r="53" ht="14.25" customHeight="1">
      <c r="A53" s="122" t="s">
        <v>493</v>
      </c>
      <c r="B53" s="123" t="s">
        <v>494</v>
      </c>
      <c r="C53" s="123">
        <v>107.0</v>
      </c>
      <c r="D53" s="123" t="s">
        <v>146</v>
      </c>
      <c r="E53" s="123" t="s">
        <v>147</v>
      </c>
      <c r="F53" s="124"/>
      <c r="G53" s="123" t="s">
        <v>149</v>
      </c>
      <c r="H53" s="123" t="s">
        <v>2</v>
      </c>
      <c r="I53" s="123" t="s">
        <v>495</v>
      </c>
      <c r="J53" s="123" t="s">
        <v>496</v>
      </c>
      <c r="K53" s="123" t="s">
        <v>497</v>
      </c>
      <c r="L53" s="123" t="s">
        <v>498</v>
      </c>
      <c r="M53" s="125">
        <v>46140.0</v>
      </c>
      <c r="N53" s="123" t="s">
        <v>516</v>
      </c>
      <c r="O53" s="123">
        <v>9174963.0</v>
      </c>
      <c r="P53" s="125">
        <v>46129.0</v>
      </c>
      <c r="Q53" s="123" t="s">
        <v>500</v>
      </c>
      <c r="R53" s="123">
        <v>35671.0</v>
      </c>
      <c r="S53" s="123" t="s">
        <v>501</v>
      </c>
      <c r="T53" s="123" t="s">
        <v>502</v>
      </c>
      <c r="U53" s="123" t="s">
        <v>503</v>
      </c>
      <c r="V53" s="122" t="s">
        <v>504</v>
      </c>
      <c r="W53" s="124"/>
      <c r="X53" s="123">
        <v>7839.83</v>
      </c>
      <c r="Y53" s="123">
        <v>2.0</v>
      </c>
      <c r="Z53" s="123">
        <v>15679.66</v>
      </c>
      <c r="AA53" s="122" t="s">
        <v>157</v>
      </c>
      <c r="AB53" s="123" t="s">
        <v>516</v>
      </c>
      <c r="AC53" s="125">
        <v>46129.0</v>
      </c>
      <c r="AD53" s="123" t="s">
        <v>505</v>
      </c>
      <c r="AE53" s="123">
        <v>3.4053E7</v>
      </c>
      <c r="AF53" s="123" t="s">
        <v>668</v>
      </c>
      <c r="AG53" s="124"/>
      <c r="AH53" s="124"/>
      <c r="AI53" s="123">
        <v>15679.66</v>
      </c>
      <c r="AJ53" s="123" t="s">
        <v>159</v>
      </c>
      <c r="AK53" s="123">
        <v>18.0</v>
      </c>
      <c r="AL53" s="123">
        <v>0.0</v>
      </c>
      <c r="AM53" s="123">
        <v>0.0</v>
      </c>
      <c r="AN53" s="123">
        <v>2822.34</v>
      </c>
      <c r="AO53" s="123">
        <v>0.0</v>
      </c>
      <c r="AP53" s="123">
        <v>0.0</v>
      </c>
      <c r="AQ53" s="123">
        <v>0.0</v>
      </c>
      <c r="AR53" s="122">
        <v>0.0</v>
      </c>
      <c r="AS53" s="123">
        <v>0.0</v>
      </c>
      <c r="AT53" s="122">
        <v>0.0</v>
      </c>
      <c r="AU53" s="124"/>
      <c r="AV53" s="124"/>
      <c r="AW53" s="123">
        <v>0.0</v>
      </c>
      <c r="AX53" s="123">
        <v>18502.0</v>
      </c>
      <c r="AY53" s="123" t="s">
        <v>31</v>
      </c>
      <c r="AZ53" s="123" t="s">
        <v>31</v>
      </c>
      <c r="BA53" s="123" t="s">
        <v>518</v>
      </c>
      <c r="BB53" s="123">
        <v>1.126100446E9</v>
      </c>
      <c r="BC53" s="123" t="s">
        <v>508</v>
      </c>
      <c r="BD53" s="123" t="s">
        <v>509</v>
      </c>
      <c r="BE53" s="124"/>
      <c r="BF53" s="124" t="s">
        <v>484</v>
      </c>
      <c r="BG53" s="124" t="s">
        <v>482</v>
      </c>
      <c r="BH53" s="123" t="s">
        <v>510</v>
      </c>
      <c r="BI53" s="171" t="s">
        <v>511</v>
      </c>
      <c r="BJ53" s="171" t="s">
        <v>512</v>
      </c>
      <c r="BK53" s="171" t="s">
        <v>513</v>
      </c>
      <c r="BL53" s="171">
        <v>1188.0</v>
      </c>
      <c r="BM53" s="171">
        <v>38182.88</v>
      </c>
      <c r="BN53" s="171">
        <v>-36995.0</v>
      </c>
      <c r="BO53" s="171" t="s">
        <v>514</v>
      </c>
      <c r="BP53" s="171">
        <v>9158398.0</v>
      </c>
      <c r="BQ53" s="171" t="s">
        <v>484</v>
      </c>
      <c r="BR53" s="171" t="s">
        <v>479</v>
      </c>
      <c r="BS53" s="171">
        <v>37.0</v>
      </c>
    </row>
    <row r="54" ht="14.25" customHeight="1">
      <c r="A54" s="122" t="s">
        <v>493</v>
      </c>
      <c r="B54" s="123" t="s">
        <v>494</v>
      </c>
      <c r="C54" s="123">
        <v>107.0</v>
      </c>
      <c r="D54" s="123" t="s">
        <v>146</v>
      </c>
      <c r="E54" s="123" t="s">
        <v>147</v>
      </c>
      <c r="F54" s="124"/>
      <c r="G54" s="123" t="s">
        <v>149</v>
      </c>
      <c r="H54" s="123" t="s">
        <v>2</v>
      </c>
      <c r="I54" s="123" t="s">
        <v>495</v>
      </c>
      <c r="J54" s="123" t="s">
        <v>496</v>
      </c>
      <c r="K54" s="123" t="s">
        <v>497</v>
      </c>
      <c r="L54" s="123" t="s">
        <v>498</v>
      </c>
      <c r="M54" s="125">
        <v>46140.0</v>
      </c>
      <c r="N54" s="123" t="s">
        <v>516</v>
      </c>
      <c r="O54" s="123">
        <v>9174963.0</v>
      </c>
      <c r="P54" s="125">
        <v>46129.0</v>
      </c>
      <c r="Q54" s="123" t="s">
        <v>500</v>
      </c>
      <c r="R54" s="123">
        <v>35671.0</v>
      </c>
      <c r="S54" s="123" t="s">
        <v>501</v>
      </c>
      <c r="T54" s="123" t="s">
        <v>502</v>
      </c>
      <c r="U54" s="123" t="s">
        <v>503</v>
      </c>
      <c r="V54" s="122" t="s">
        <v>504</v>
      </c>
      <c r="W54" s="124"/>
      <c r="X54" s="123">
        <v>220.0</v>
      </c>
      <c r="Y54" s="123">
        <v>3.0</v>
      </c>
      <c r="Z54" s="123">
        <v>660.0</v>
      </c>
      <c r="AA54" s="122" t="s">
        <v>157</v>
      </c>
      <c r="AB54" s="123" t="s">
        <v>516</v>
      </c>
      <c r="AC54" s="125">
        <v>46129.0</v>
      </c>
      <c r="AD54" s="123" t="s">
        <v>505</v>
      </c>
      <c r="AE54" s="123">
        <v>998729.0</v>
      </c>
      <c r="AF54" s="123" t="s">
        <v>669</v>
      </c>
      <c r="AG54" s="124"/>
      <c r="AH54" s="124"/>
      <c r="AI54" s="123">
        <v>660.0</v>
      </c>
      <c r="AJ54" s="123" t="s">
        <v>159</v>
      </c>
      <c r="AK54" s="123">
        <v>18.0</v>
      </c>
      <c r="AL54" s="123">
        <v>0.0</v>
      </c>
      <c r="AM54" s="123">
        <v>0.0</v>
      </c>
      <c r="AN54" s="123">
        <v>118.8</v>
      </c>
      <c r="AO54" s="123">
        <v>0.0</v>
      </c>
      <c r="AP54" s="123">
        <v>0.0</v>
      </c>
      <c r="AQ54" s="123">
        <v>0.0</v>
      </c>
      <c r="AR54" s="122">
        <v>0.0</v>
      </c>
      <c r="AS54" s="123">
        <v>0.0</v>
      </c>
      <c r="AT54" s="122">
        <v>0.0</v>
      </c>
      <c r="AU54" s="124"/>
      <c r="AV54" s="124"/>
      <c r="AW54" s="123">
        <v>0.0</v>
      </c>
      <c r="AX54" s="123">
        <v>778.8</v>
      </c>
      <c r="AY54" s="123" t="s">
        <v>31</v>
      </c>
      <c r="AZ54" s="123" t="s">
        <v>31</v>
      </c>
      <c r="BA54" s="123" t="s">
        <v>518</v>
      </c>
      <c r="BB54" s="123">
        <v>1.126100446E9</v>
      </c>
      <c r="BC54" s="123" t="s">
        <v>508</v>
      </c>
      <c r="BD54" s="123" t="s">
        <v>509</v>
      </c>
      <c r="BE54" s="124"/>
      <c r="BF54" s="124" t="s">
        <v>484</v>
      </c>
      <c r="BG54" s="124" t="s">
        <v>482</v>
      </c>
      <c r="BH54" s="123" t="s">
        <v>510</v>
      </c>
      <c r="BI54" s="171" t="s">
        <v>511</v>
      </c>
      <c r="BJ54" s="171" t="s">
        <v>512</v>
      </c>
      <c r="BK54" s="171" t="s">
        <v>519</v>
      </c>
      <c r="BL54" s="171">
        <v>2822.34</v>
      </c>
      <c r="BM54" s="171">
        <v>36494.74</v>
      </c>
      <c r="BN54" s="171">
        <v>-33672.0</v>
      </c>
      <c r="BO54" s="171" t="s">
        <v>514</v>
      </c>
      <c r="BP54" s="171">
        <v>9174963.0</v>
      </c>
      <c r="BQ54" s="171" t="s">
        <v>484</v>
      </c>
      <c r="BR54" s="171" t="s">
        <v>479</v>
      </c>
      <c r="BS54" s="171">
        <v>36.0</v>
      </c>
    </row>
    <row r="55" ht="14.25" customHeight="1">
      <c r="A55" s="122" t="s">
        <v>493</v>
      </c>
      <c r="B55" s="123" t="s">
        <v>494</v>
      </c>
      <c r="C55" s="123">
        <v>107.0</v>
      </c>
      <c r="D55" s="123" t="s">
        <v>146</v>
      </c>
      <c r="E55" s="123" t="s">
        <v>147</v>
      </c>
      <c r="F55" s="124"/>
      <c r="G55" s="123" t="s">
        <v>149</v>
      </c>
      <c r="H55" s="123" t="s">
        <v>2</v>
      </c>
      <c r="I55" s="123" t="s">
        <v>495</v>
      </c>
      <c r="J55" s="123" t="s">
        <v>496</v>
      </c>
      <c r="K55" s="123" t="s">
        <v>497</v>
      </c>
      <c r="L55" s="123" t="s">
        <v>498</v>
      </c>
      <c r="M55" s="125">
        <v>46127.0</v>
      </c>
      <c r="N55" s="123" t="s">
        <v>670</v>
      </c>
      <c r="O55" s="123">
        <v>9156751.0</v>
      </c>
      <c r="P55" s="125">
        <v>46115.0</v>
      </c>
      <c r="Q55" s="123" t="s">
        <v>500</v>
      </c>
      <c r="R55" s="123">
        <v>6262.0</v>
      </c>
      <c r="S55" s="123" t="s">
        <v>521</v>
      </c>
      <c r="T55" s="123" t="s">
        <v>522</v>
      </c>
      <c r="U55" s="123" t="s">
        <v>523</v>
      </c>
      <c r="V55" s="122" t="s">
        <v>504</v>
      </c>
      <c r="W55" s="124"/>
      <c r="X55" s="123">
        <v>1.0</v>
      </c>
      <c r="Y55" s="123">
        <v>565.0</v>
      </c>
      <c r="Z55" s="123">
        <v>565.0</v>
      </c>
      <c r="AA55" s="122" t="s">
        <v>157</v>
      </c>
      <c r="AB55" s="123" t="s">
        <v>670</v>
      </c>
      <c r="AC55" s="125">
        <v>46115.0</v>
      </c>
      <c r="AD55" s="123" t="s">
        <v>525</v>
      </c>
      <c r="AE55" s="123">
        <v>998413.0</v>
      </c>
      <c r="AF55" s="123" t="s">
        <v>671</v>
      </c>
      <c r="AG55" s="124"/>
      <c r="AH55" s="124"/>
      <c r="AI55" s="123">
        <v>565.0</v>
      </c>
      <c r="AJ55" s="123" t="s">
        <v>159</v>
      </c>
      <c r="AK55" s="123">
        <v>18.0</v>
      </c>
      <c r="AL55" s="123">
        <v>50.85</v>
      </c>
      <c r="AM55" s="123">
        <v>50.85</v>
      </c>
      <c r="AN55" s="123">
        <v>0.0</v>
      </c>
      <c r="AO55" s="123">
        <v>0.0</v>
      </c>
      <c r="AP55" s="123">
        <v>0.0</v>
      </c>
      <c r="AQ55" s="123">
        <v>0.0</v>
      </c>
      <c r="AR55" s="122">
        <v>0.0</v>
      </c>
      <c r="AS55" s="123">
        <v>0.0</v>
      </c>
      <c r="AT55" s="122">
        <v>0.0</v>
      </c>
      <c r="AU55" s="124"/>
      <c r="AV55" s="124"/>
      <c r="AW55" s="123">
        <v>0.0</v>
      </c>
      <c r="AX55" s="123">
        <v>666.7</v>
      </c>
      <c r="AY55" s="123" t="s">
        <v>20</v>
      </c>
      <c r="AZ55" s="123" t="s">
        <v>31</v>
      </c>
      <c r="BA55" s="123" t="s">
        <v>672</v>
      </c>
      <c r="BB55" s="123">
        <v>1.126100079E9</v>
      </c>
      <c r="BC55" s="123" t="s">
        <v>187</v>
      </c>
      <c r="BD55" s="123" t="s">
        <v>162</v>
      </c>
      <c r="BE55" s="124"/>
      <c r="BF55" s="124" t="s">
        <v>483</v>
      </c>
      <c r="BG55" s="124" t="s">
        <v>482</v>
      </c>
      <c r="BH55" s="123" t="s">
        <v>510</v>
      </c>
      <c r="BI55" s="171" t="s">
        <v>511</v>
      </c>
      <c r="BJ55" s="171" t="s">
        <v>512</v>
      </c>
      <c r="BK55" s="171" t="s">
        <v>519</v>
      </c>
      <c r="BL55" s="171">
        <v>118.8</v>
      </c>
      <c r="BM55" s="171">
        <v>36494.74</v>
      </c>
      <c r="BN55" s="171">
        <v>-36376.0</v>
      </c>
      <c r="BO55" s="171" t="s">
        <v>514</v>
      </c>
      <c r="BP55" s="171">
        <v>9174963.0</v>
      </c>
      <c r="BQ55" s="171" t="s">
        <v>484</v>
      </c>
      <c r="BR55" s="171" t="s">
        <v>479</v>
      </c>
      <c r="BS55" s="171">
        <v>36.0</v>
      </c>
    </row>
    <row r="56" ht="14.25" customHeight="1">
      <c r="A56" s="122" t="s">
        <v>493</v>
      </c>
      <c r="B56" s="123" t="s">
        <v>494</v>
      </c>
      <c r="C56" s="123">
        <v>107.0</v>
      </c>
      <c r="D56" s="123" t="s">
        <v>146</v>
      </c>
      <c r="E56" s="123" t="s">
        <v>147</v>
      </c>
      <c r="F56" s="124"/>
      <c r="G56" s="123" t="s">
        <v>149</v>
      </c>
      <c r="H56" s="123" t="s">
        <v>2</v>
      </c>
      <c r="I56" s="123" t="s">
        <v>495</v>
      </c>
      <c r="J56" s="123" t="s">
        <v>496</v>
      </c>
      <c r="K56" s="123" t="s">
        <v>497</v>
      </c>
      <c r="L56" s="123" t="s">
        <v>498</v>
      </c>
      <c r="M56" s="125">
        <v>46127.0</v>
      </c>
      <c r="N56" s="123" t="s">
        <v>520</v>
      </c>
      <c r="O56" s="123">
        <v>9156749.0</v>
      </c>
      <c r="P56" s="125">
        <v>46115.0</v>
      </c>
      <c r="Q56" s="123" t="s">
        <v>500</v>
      </c>
      <c r="R56" s="123">
        <v>6262.0</v>
      </c>
      <c r="S56" s="123" t="s">
        <v>521</v>
      </c>
      <c r="T56" s="123" t="s">
        <v>522</v>
      </c>
      <c r="U56" s="123" t="s">
        <v>523</v>
      </c>
      <c r="V56" s="122" t="s">
        <v>504</v>
      </c>
      <c r="W56" s="124"/>
      <c r="X56" s="123">
        <v>1.0</v>
      </c>
      <c r="Y56" s="123">
        <v>2431.0</v>
      </c>
      <c r="Z56" s="123">
        <v>2431.0</v>
      </c>
      <c r="AA56" s="122" t="s">
        <v>157</v>
      </c>
      <c r="AB56" s="123" t="s">
        <v>524</v>
      </c>
      <c r="AC56" s="125">
        <v>46115.0</v>
      </c>
      <c r="AD56" s="123" t="s">
        <v>525</v>
      </c>
      <c r="AE56" s="123">
        <v>998413.0</v>
      </c>
      <c r="AF56" s="123" t="s">
        <v>526</v>
      </c>
      <c r="AG56" s="124"/>
      <c r="AH56" s="124"/>
      <c r="AI56" s="123">
        <v>2431.0</v>
      </c>
      <c r="AJ56" s="123" t="s">
        <v>159</v>
      </c>
      <c r="AK56" s="123">
        <v>18.0</v>
      </c>
      <c r="AL56" s="123">
        <v>218.79</v>
      </c>
      <c r="AM56" s="123">
        <v>218.79</v>
      </c>
      <c r="AN56" s="123">
        <v>0.0</v>
      </c>
      <c r="AO56" s="123">
        <v>0.0</v>
      </c>
      <c r="AP56" s="123">
        <v>0.0</v>
      </c>
      <c r="AQ56" s="123">
        <v>0.0</v>
      </c>
      <c r="AR56" s="122">
        <v>0.0</v>
      </c>
      <c r="AS56" s="123">
        <v>0.0</v>
      </c>
      <c r="AT56" s="122">
        <v>0.0</v>
      </c>
      <c r="AU56" s="124"/>
      <c r="AV56" s="124"/>
      <c r="AW56" s="123">
        <v>0.0</v>
      </c>
      <c r="AX56" s="123">
        <v>2868.58</v>
      </c>
      <c r="AY56" s="123" t="s">
        <v>20</v>
      </c>
      <c r="AZ56" s="123" t="s">
        <v>31</v>
      </c>
      <c r="BA56" s="123" t="s">
        <v>527</v>
      </c>
      <c r="BB56" s="123">
        <v>1.126100078E9</v>
      </c>
      <c r="BC56" s="123" t="s">
        <v>187</v>
      </c>
      <c r="BD56" s="123" t="s">
        <v>162</v>
      </c>
      <c r="BE56" s="124"/>
      <c r="BF56" s="124" t="s">
        <v>483</v>
      </c>
      <c r="BG56" s="124" t="s">
        <v>482</v>
      </c>
      <c r="BH56" s="123" t="s">
        <v>510</v>
      </c>
      <c r="BI56" s="171" t="s">
        <v>511</v>
      </c>
      <c r="BJ56" s="171" t="s">
        <v>512</v>
      </c>
      <c r="BK56" s="171" t="s">
        <v>673</v>
      </c>
      <c r="BL56" s="171">
        <v>101.7</v>
      </c>
      <c r="BM56" s="171">
        <v>101.7</v>
      </c>
      <c r="BN56" s="171">
        <v>0.0</v>
      </c>
      <c r="BO56" s="171" t="s">
        <v>514</v>
      </c>
      <c r="BP56" s="171">
        <v>9156751.0</v>
      </c>
      <c r="BQ56" s="171" t="s">
        <v>483</v>
      </c>
      <c r="BR56" s="171" t="s">
        <v>479</v>
      </c>
      <c r="BS56" s="171">
        <v>1.0</v>
      </c>
    </row>
    <row r="57" ht="14.25" customHeight="1">
      <c r="A57" s="122" t="s">
        <v>493</v>
      </c>
      <c r="B57" s="123" t="s">
        <v>494</v>
      </c>
      <c r="C57" s="123">
        <v>107.0</v>
      </c>
      <c r="D57" s="123" t="s">
        <v>146</v>
      </c>
      <c r="E57" s="123" t="s">
        <v>147</v>
      </c>
      <c r="F57" s="124"/>
      <c r="G57" s="123" t="s">
        <v>149</v>
      </c>
      <c r="H57" s="123" t="s">
        <v>2</v>
      </c>
      <c r="I57" s="123" t="s">
        <v>495</v>
      </c>
      <c r="J57" s="123" t="s">
        <v>496</v>
      </c>
      <c r="K57" s="123" t="s">
        <v>497</v>
      </c>
      <c r="L57" s="123" t="s">
        <v>498</v>
      </c>
      <c r="M57" s="125">
        <v>46140.0</v>
      </c>
      <c r="N57" s="123" t="s">
        <v>551</v>
      </c>
      <c r="O57" s="123">
        <v>9175014.0</v>
      </c>
      <c r="P57" s="125">
        <v>46129.0</v>
      </c>
      <c r="Q57" s="123" t="s">
        <v>500</v>
      </c>
      <c r="R57" s="123">
        <v>15979.0</v>
      </c>
      <c r="S57" s="123" t="s">
        <v>552</v>
      </c>
      <c r="T57" s="123" t="s">
        <v>539</v>
      </c>
      <c r="U57" s="123" t="s">
        <v>553</v>
      </c>
      <c r="V57" s="122" t="s">
        <v>504</v>
      </c>
      <c r="W57" s="124"/>
      <c r="X57" s="123">
        <v>1074.6</v>
      </c>
      <c r="Y57" s="123">
        <v>1.0</v>
      </c>
      <c r="Z57" s="123">
        <v>1074.6</v>
      </c>
      <c r="AA57" s="122" t="s">
        <v>157</v>
      </c>
      <c r="AB57" s="123" t="s">
        <v>551</v>
      </c>
      <c r="AC57" s="125">
        <v>46129.0</v>
      </c>
      <c r="AD57" s="123" t="s">
        <v>505</v>
      </c>
      <c r="AE57" s="123">
        <v>998729.0</v>
      </c>
      <c r="AF57" s="123" t="s">
        <v>674</v>
      </c>
      <c r="AG57" s="124"/>
      <c r="AH57" s="124"/>
      <c r="AI57" s="123">
        <v>1074.6</v>
      </c>
      <c r="AJ57" s="123" t="s">
        <v>159</v>
      </c>
      <c r="AK57" s="123">
        <v>18.0</v>
      </c>
      <c r="AL57" s="123">
        <v>96.71</v>
      </c>
      <c r="AM57" s="123">
        <v>96.71</v>
      </c>
      <c r="AN57" s="123">
        <v>0.0</v>
      </c>
      <c r="AO57" s="123">
        <v>0.0</v>
      </c>
      <c r="AP57" s="123">
        <v>0.0</v>
      </c>
      <c r="AQ57" s="123">
        <v>0.0</v>
      </c>
      <c r="AR57" s="122">
        <v>0.0</v>
      </c>
      <c r="AS57" s="123">
        <v>0.0</v>
      </c>
      <c r="AT57" s="122">
        <v>0.0</v>
      </c>
      <c r="AU57" s="124"/>
      <c r="AV57" s="124"/>
      <c r="AW57" s="123">
        <v>0.0</v>
      </c>
      <c r="AX57" s="123">
        <v>1268.02</v>
      </c>
      <c r="AY57" s="123" t="s">
        <v>31</v>
      </c>
      <c r="AZ57" s="123" t="s">
        <v>31</v>
      </c>
      <c r="BA57" s="123" t="s">
        <v>555</v>
      </c>
      <c r="BB57" s="123">
        <v>1.126100447E9</v>
      </c>
      <c r="BC57" s="123" t="s">
        <v>556</v>
      </c>
      <c r="BD57" s="123" t="s">
        <v>509</v>
      </c>
      <c r="BE57" s="124"/>
      <c r="BF57" s="124" t="s">
        <v>484</v>
      </c>
      <c r="BG57" s="124" t="s">
        <v>482</v>
      </c>
      <c r="BH57" s="123" t="s">
        <v>510</v>
      </c>
      <c r="BI57" s="171" t="s">
        <v>511</v>
      </c>
      <c r="BJ57" s="171" t="s">
        <v>512</v>
      </c>
      <c r="BK57" s="171" t="s">
        <v>480</v>
      </c>
      <c r="BL57" s="171">
        <v>437.58</v>
      </c>
      <c r="BM57" s="171">
        <v>8534.42</v>
      </c>
      <c r="BN57" s="171">
        <v>-8097.0</v>
      </c>
      <c r="BO57" s="171" t="s">
        <v>514</v>
      </c>
      <c r="BP57" s="171">
        <v>9156749.0</v>
      </c>
      <c r="BQ57" s="171" t="s">
        <v>483</v>
      </c>
      <c r="BR57" s="171" t="s">
        <v>479</v>
      </c>
      <c r="BS57" s="171">
        <v>17.0</v>
      </c>
    </row>
    <row r="58" ht="14.25" customHeight="1">
      <c r="A58" s="122" t="s">
        <v>493</v>
      </c>
      <c r="B58" s="123" t="s">
        <v>494</v>
      </c>
      <c r="C58" s="123">
        <v>107.0</v>
      </c>
      <c r="D58" s="123" t="s">
        <v>146</v>
      </c>
      <c r="E58" s="123" t="s">
        <v>147</v>
      </c>
      <c r="F58" s="124"/>
      <c r="G58" s="123" t="s">
        <v>149</v>
      </c>
      <c r="H58" s="123" t="s">
        <v>2</v>
      </c>
      <c r="I58" s="123" t="s">
        <v>495</v>
      </c>
      <c r="J58" s="123" t="s">
        <v>496</v>
      </c>
      <c r="K58" s="123" t="s">
        <v>529</v>
      </c>
      <c r="L58" s="123" t="s">
        <v>498</v>
      </c>
      <c r="M58" s="125">
        <v>46142.0</v>
      </c>
      <c r="N58" s="123" t="s">
        <v>581</v>
      </c>
      <c r="O58" s="123">
        <v>9175765.0</v>
      </c>
      <c r="P58" s="125">
        <v>46130.0</v>
      </c>
      <c r="Q58" s="123" t="s">
        <v>500</v>
      </c>
      <c r="R58" s="123">
        <v>3545.0</v>
      </c>
      <c r="S58" s="123" t="s">
        <v>582</v>
      </c>
      <c r="T58" s="123" t="s">
        <v>539</v>
      </c>
      <c r="U58" s="123" t="s">
        <v>583</v>
      </c>
      <c r="V58" s="122" t="s">
        <v>504</v>
      </c>
      <c r="W58" s="124"/>
      <c r="X58" s="123">
        <v>3265.0</v>
      </c>
      <c r="Y58" s="123">
        <v>-4.0</v>
      </c>
      <c r="Z58" s="123">
        <v>-13060.0</v>
      </c>
      <c r="AA58" s="122" t="s">
        <v>157</v>
      </c>
      <c r="AB58" s="123" t="s">
        <v>581</v>
      </c>
      <c r="AC58" s="125">
        <v>46130.0</v>
      </c>
      <c r="AD58" s="123" t="s">
        <v>505</v>
      </c>
      <c r="AE58" s="123">
        <v>8.4439951E7</v>
      </c>
      <c r="AF58" s="123" t="s">
        <v>584</v>
      </c>
      <c r="AG58" s="124"/>
      <c r="AH58" s="124"/>
      <c r="AI58" s="123">
        <v>-13060.0</v>
      </c>
      <c r="AJ58" s="123" t="s">
        <v>159</v>
      </c>
      <c r="AK58" s="123">
        <v>18.0</v>
      </c>
      <c r="AL58" s="123">
        <v>0.0</v>
      </c>
      <c r="AM58" s="123">
        <v>0.0</v>
      </c>
      <c r="AN58" s="123">
        <v>0.0</v>
      </c>
      <c r="AO58" s="123">
        <v>0.0</v>
      </c>
      <c r="AP58" s="123">
        <v>0.0</v>
      </c>
      <c r="AQ58" s="123">
        <v>0.0</v>
      </c>
      <c r="AR58" s="122">
        <v>0.0</v>
      </c>
      <c r="AS58" s="123">
        <v>0.0</v>
      </c>
      <c r="AT58" s="122">
        <v>0.0</v>
      </c>
      <c r="AU58" s="124"/>
      <c r="AV58" s="124"/>
      <c r="AW58" s="123">
        <v>0.0</v>
      </c>
      <c r="AX58" s="123">
        <v>-13060.0</v>
      </c>
      <c r="AY58" s="123" t="s">
        <v>31</v>
      </c>
      <c r="AZ58" s="123" t="s">
        <v>31</v>
      </c>
      <c r="BA58" s="123" t="s">
        <v>585</v>
      </c>
      <c r="BB58" s="123">
        <v>1.12610045E9</v>
      </c>
      <c r="BC58" s="123" t="s">
        <v>556</v>
      </c>
      <c r="BD58" s="123" t="s">
        <v>586</v>
      </c>
      <c r="BE58" s="124"/>
      <c r="BF58" s="124" t="s">
        <v>484</v>
      </c>
      <c r="BG58" s="124" t="s">
        <v>482</v>
      </c>
      <c r="BH58" s="123" t="s">
        <v>587</v>
      </c>
      <c r="BI58" s="171" t="s">
        <v>511</v>
      </c>
      <c r="BJ58" s="171" t="s">
        <v>512</v>
      </c>
      <c r="BK58" s="171" t="s">
        <v>563</v>
      </c>
      <c r="BL58" s="171">
        <v>193.42</v>
      </c>
      <c r="BM58" s="171">
        <v>2435.38</v>
      </c>
      <c r="BN58" s="171">
        <v>-2242.0</v>
      </c>
      <c r="BO58" s="171" t="s">
        <v>514</v>
      </c>
      <c r="BP58" s="171">
        <v>9175014.0</v>
      </c>
      <c r="BQ58" s="171" t="s">
        <v>484</v>
      </c>
      <c r="BR58" s="171" t="s">
        <v>479</v>
      </c>
      <c r="BS58" s="171">
        <v>18.0</v>
      </c>
    </row>
    <row r="59" ht="14.25" customHeight="1">
      <c r="A59" s="122" t="s">
        <v>493</v>
      </c>
      <c r="B59" s="123" t="s">
        <v>494</v>
      </c>
      <c r="C59" s="123">
        <v>107.0</v>
      </c>
      <c r="D59" s="123" t="s">
        <v>146</v>
      </c>
      <c r="E59" s="123" t="s">
        <v>147</v>
      </c>
      <c r="F59" s="124"/>
      <c r="G59" s="123" t="s">
        <v>149</v>
      </c>
      <c r="H59" s="123" t="s">
        <v>2</v>
      </c>
      <c r="I59" s="123" t="s">
        <v>495</v>
      </c>
      <c r="J59" s="123" t="s">
        <v>496</v>
      </c>
      <c r="K59" s="123" t="s">
        <v>497</v>
      </c>
      <c r="L59" s="123" t="s">
        <v>498</v>
      </c>
      <c r="M59" s="125">
        <v>46140.0</v>
      </c>
      <c r="N59" s="123" t="s">
        <v>516</v>
      </c>
      <c r="O59" s="123">
        <v>9174963.0</v>
      </c>
      <c r="P59" s="125">
        <v>46129.0</v>
      </c>
      <c r="Q59" s="123" t="s">
        <v>500</v>
      </c>
      <c r="R59" s="123">
        <v>35671.0</v>
      </c>
      <c r="S59" s="123" t="s">
        <v>501</v>
      </c>
      <c r="T59" s="123" t="s">
        <v>502</v>
      </c>
      <c r="U59" s="123" t="s">
        <v>503</v>
      </c>
      <c r="V59" s="122" t="s">
        <v>504</v>
      </c>
      <c r="W59" s="124"/>
      <c r="X59" s="123">
        <v>275.0</v>
      </c>
      <c r="Y59" s="123">
        <v>10.0</v>
      </c>
      <c r="Z59" s="123">
        <v>2750.0</v>
      </c>
      <c r="AA59" s="122" t="s">
        <v>157</v>
      </c>
      <c r="AB59" s="123" t="s">
        <v>516</v>
      </c>
      <c r="AC59" s="125">
        <v>46129.0</v>
      </c>
      <c r="AD59" s="123" t="s">
        <v>505</v>
      </c>
      <c r="AE59" s="123">
        <v>998729.0</v>
      </c>
      <c r="AF59" s="123" t="s">
        <v>675</v>
      </c>
      <c r="AG59" s="124"/>
      <c r="AH59" s="124"/>
      <c r="AI59" s="123">
        <v>2750.0</v>
      </c>
      <c r="AJ59" s="123" t="s">
        <v>159</v>
      </c>
      <c r="AK59" s="123">
        <v>18.0</v>
      </c>
      <c r="AL59" s="123">
        <v>0.0</v>
      </c>
      <c r="AM59" s="123">
        <v>0.0</v>
      </c>
      <c r="AN59" s="123">
        <v>495.0</v>
      </c>
      <c r="AO59" s="123">
        <v>0.0</v>
      </c>
      <c r="AP59" s="123">
        <v>0.0</v>
      </c>
      <c r="AQ59" s="123">
        <v>0.0</v>
      </c>
      <c r="AR59" s="122">
        <v>0.0</v>
      </c>
      <c r="AS59" s="123">
        <v>0.0</v>
      </c>
      <c r="AT59" s="122">
        <v>0.0</v>
      </c>
      <c r="AU59" s="124"/>
      <c r="AV59" s="124"/>
      <c r="AW59" s="123">
        <v>0.0</v>
      </c>
      <c r="AX59" s="123">
        <v>3245.0</v>
      </c>
      <c r="AY59" s="123" t="s">
        <v>31</v>
      </c>
      <c r="AZ59" s="123" t="s">
        <v>31</v>
      </c>
      <c r="BA59" s="123" t="s">
        <v>518</v>
      </c>
      <c r="BB59" s="123">
        <v>1.126100446E9</v>
      </c>
      <c r="BC59" s="123" t="s">
        <v>508</v>
      </c>
      <c r="BD59" s="123" t="s">
        <v>509</v>
      </c>
      <c r="BE59" s="124"/>
      <c r="BF59" s="124" t="s">
        <v>484</v>
      </c>
      <c r="BG59" s="124" t="s">
        <v>482</v>
      </c>
      <c r="BH59" s="123" t="s">
        <v>510</v>
      </c>
      <c r="BI59" s="171" t="s">
        <v>511</v>
      </c>
      <c r="BJ59" s="171" t="s">
        <v>512</v>
      </c>
      <c r="BK59" s="171" t="s">
        <v>519</v>
      </c>
      <c r="BL59" s="171">
        <v>495.0</v>
      </c>
      <c r="BM59" s="171">
        <v>36494.74</v>
      </c>
      <c r="BN59" s="171">
        <v>-36000.0</v>
      </c>
      <c r="BO59" s="171" t="s">
        <v>514</v>
      </c>
      <c r="BP59" s="171">
        <v>9174963.0</v>
      </c>
      <c r="BQ59" s="171" t="s">
        <v>484</v>
      </c>
      <c r="BR59" s="171" t="s">
        <v>479</v>
      </c>
      <c r="BS59" s="171">
        <v>36.0</v>
      </c>
    </row>
    <row r="60" ht="14.25" customHeight="1">
      <c r="A60" s="122" t="s">
        <v>493</v>
      </c>
      <c r="B60" s="123" t="s">
        <v>494</v>
      </c>
      <c r="C60" s="123">
        <v>107.0</v>
      </c>
      <c r="D60" s="123" t="s">
        <v>146</v>
      </c>
      <c r="E60" s="123" t="s">
        <v>147</v>
      </c>
      <c r="F60" s="124"/>
      <c r="G60" s="123" t="s">
        <v>149</v>
      </c>
      <c r="H60" s="123" t="s">
        <v>2</v>
      </c>
      <c r="I60" s="123" t="s">
        <v>495</v>
      </c>
      <c r="J60" s="123" t="s">
        <v>496</v>
      </c>
      <c r="K60" s="123" t="s">
        <v>497</v>
      </c>
      <c r="L60" s="123" t="s">
        <v>498</v>
      </c>
      <c r="M60" s="125">
        <v>46127.0</v>
      </c>
      <c r="N60" s="123" t="s">
        <v>520</v>
      </c>
      <c r="O60" s="123">
        <v>9156749.0</v>
      </c>
      <c r="P60" s="125">
        <v>46115.0</v>
      </c>
      <c r="Q60" s="123" t="s">
        <v>500</v>
      </c>
      <c r="R60" s="123">
        <v>6262.0</v>
      </c>
      <c r="S60" s="123" t="s">
        <v>521</v>
      </c>
      <c r="T60" s="123" t="s">
        <v>522</v>
      </c>
      <c r="U60" s="123" t="s">
        <v>523</v>
      </c>
      <c r="V60" s="122" t="s">
        <v>504</v>
      </c>
      <c r="W60" s="124"/>
      <c r="X60" s="123">
        <v>1.0</v>
      </c>
      <c r="Y60" s="123">
        <v>400.0</v>
      </c>
      <c r="Z60" s="123">
        <v>400.0</v>
      </c>
      <c r="AA60" s="122" t="s">
        <v>157</v>
      </c>
      <c r="AB60" s="123" t="s">
        <v>524</v>
      </c>
      <c r="AC60" s="125">
        <v>46115.0</v>
      </c>
      <c r="AD60" s="123" t="s">
        <v>525</v>
      </c>
      <c r="AE60" s="123">
        <v>998413.0</v>
      </c>
      <c r="AF60" s="123" t="s">
        <v>526</v>
      </c>
      <c r="AG60" s="124"/>
      <c r="AH60" s="124"/>
      <c r="AI60" s="123">
        <v>400.0</v>
      </c>
      <c r="AJ60" s="123" t="s">
        <v>159</v>
      </c>
      <c r="AK60" s="123">
        <v>18.0</v>
      </c>
      <c r="AL60" s="123">
        <v>36.0</v>
      </c>
      <c r="AM60" s="123">
        <v>36.0</v>
      </c>
      <c r="AN60" s="123">
        <v>0.0</v>
      </c>
      <c r="AO60" s="123">
        <v>0.0</v>
      </c>
      <c r="AP60" s="123">
        <v>0.0</v>
      </c>
      <c r="AQ60" s="123">
        <v>0.0</v>
      </c>
      <c r="AR60" s="122">
        <v>0.0</v>
      </c>
      <c r="AS60" s="123">
        <v>0.0</v>
      </c>
      <c r="AT60" s="122">
        <v>0.0</v>
      </c>
      <c r="AU60" s="124"/>
      <c r="AV60" s="124"/>
      <c r="AW60" s="123">
        <v>0.0</v>
      </c>
      <c r="AX60" s="123">
        <v>472.0</v>
      </c>
      <c r="AY60" s="123" t="s">
        <v>20</v>
      </c>
      <c r="AZ60" s="123" t="s">
        <v>31</v>
      </c>
      <c r="BA60" s="123" t="s">
        <v>527</v>
      </c>
      <c r="BB60" s="123">
        <v>1.126100078E9</v>
      </c>
      <c r="BC60" s="123" t="s">
        <v>187</v>
      </c>
      <c r="BD60" s="123" t="s">
        <v>162</v>
      </c>
      <c r="BE60" s="124"/>
      <c r="BF60" s="124" t="s">
        <v>483</v>
      </c>
      <c r="BG60" s="124" t="s">
        <v>482</v>
      </c>
      <c r="BH60" s="123" t="s">
        <v>510</v>
      </c>
      <c r="BI60" s="171" t="s">
        <v>511</v>
      </c>
      <c r="BJ60" s="171" t="s">
        <v>512</v>
      </c>
      <c r="BK60" s="171" t="s">
        <v>480</v>
      </c>
      <c r="BL60" s="171">
        <v>72.0</v>
      </c>
      <c r="BM60" s="171">
        <v>8534.42</v>
      </c>
      <c r="BN60" s="171">
        <v>-8462.0</v>
      </c>
      <c r="BO60" s="171" t="s">
        <v>514</v>
      </c>
      <c r="BP60" s="171">
        <v>9156749.0</v>
      </c>
      <c r="BQ60" s="171" t="s">
        <v>483</v>
      </c>
      <c r="BR60" s="171" t="s">
        <v>479</v>
      </c>
      <c r="BS60" s="171">
        <v>17.0</v>
      </c>
    </row>
    <row r="61" ht="14.25" customHeight="1">
      <c r="A61" s="122" t="s">
        <v>493</v>
      </c>
      <c r="B61" s="123" t="s">
        <v>494</v>
      </c>
      <c r="C61" s="123">
        <v>107.0</v>
      </c>
      <c r="D61" s="123" t="s">
        <v>146</v>
      </c>
      <c r="E61" s="123" t="s">
        <v>147</v>
      </c>
      <c r="F61" s="124"/>
      <c r="G61" s="124"/>
      <c r="H61" s="123" t="s">
        <v>2</v>
      </c>
      <c r="I61" s="123" t="s">
        <v>495</v>
      </c>
      <c r="J61" s="123" t="s">
        <v>528</v>
      </c>
      <c r="K61" s="123" t="s">
        <v>529</v>
      </c>
      <c r="L61" s="123" t="s">
        <v>498</v>
      </c>
      <c r="M61" s="125">
        <v>46126.0</v>
      </c>
      <c r="N61" s="123" t="s">
        <v>676</v>
      </c>
      <c r="O61" s="123">
        <v>9155612.0</v>
      </c>
      <c r="P61" s="125">
        <v>45749.0</v>
      </c>
      <c r="Q61" s="123" t="s">
        <v>500</v>
      </c>
      <c r="R61" s="123">
        <v>2770.0</v>
      </c>
      <c r="S61" s="123" t="s">
        <v>531</v>
      </c>
      <c r="T61" s="123" t="s">
        <v>532</v>
      </c>
      <c r="U61" s="123" t="s">
        <v>533</v>
      </c>
      <c r="V61" s="122" t="s">
        <v>504</v>
      </c>
      <c r="W61" s="124"/>
      <c r="X61" s="123">
        <v>1.0</v>
      </c>
      <c r="Y61" s="123">
        <v>1937.42</v>
      </c>
      <c r="Z61" s="123">
        <v>1937.42</v>
      </c>
      <c r="AA61" s="122" t="s">
        <v>157</v>
      </c>
      <c r="AB61" s="123" t="s">
        <v>676</v>
      </c>
      <c r="AC61" s="125">
        <v>45749.0</v>
      </c>
      <c r="AD61" s="123" t="s">
        <v>525</v>
      </c>
      <c r="AE61" s="123">
        <v>8.4439952E7</v>
      </c>
      <c r="AF61" s="123" t="s">
        <v>568</v>
      </c>
      <c r="AG61" s="124"/>
      <c r="AH61" s="124"/>
      <c r="AI61" s="123">
        <v>1937.42</v>
      </c>
      <c r="AJ61" s="123" t="s">
        <v>159</v>
      </c>
      <c r="AK61" s="123">
        <v>18.0</v>
      </c>
      <c r="AL61" s="123">
        <v>174.37</v>
      </c>
      <c r="AM61" s="123">
        <v>174.37</v>
      </c>
      <c r="AN61" s="123">
        <v>0.0</v>
      </c>
      <c r="AO61" s="123">
        <v>0.0</v>
      </c>
      <c r="AP61" s="123">
        <v>0.0</v>
      </c>
      <c r="AQ61" s="123">
        <v>0.0</v>
      </c>
      <c r="AR61" s="122">
        <v>0.0</v>
      </c>
      <c r="AS61" s="123">
        <v>0.0</v>
      </c>
      <c r="AT61" s="122">
        <v>0.0</v>
      </c>
      <c r="AU61" s="124"/>
      <c r="AV61" s="124"/>
      <c r="AW61" s="123">
        <v>0.0</v>
      </c>
      <c r="AX61" s="123">
        <v>2286.16</v>
      </c>
      <c r="AY61" s="123" t="s">
        <v>20</v>
      </c>
      <c r="AZ61" s="123" t="s">
        <v>31</v>
      </c>
      <c r="BA61" s="123" t="s">
        <v>535</v>
      </c>
      <c r="BB61" s="123">
        <v>1.126100062E9</v>
      </c>
      <c r="BC61" s="123" t="s">
        <v>187</v>
      </c>
      <c r="BD61" s="123" t="s">
        <v>162</v>
      </c>
      <c r="BE61" s="124"/>
      <c r="BF61" s="124" t="s">
        <v>483</v>
      </c>
      <c r="BG61" s="124" t="s">
        <v>482</v>
      </c>
      <c r="BH61" s="123" t="s">
        <v>510</v>
      </c>
      <c r="BI61" s="171" t="s">
        <v>511</v>
      </c>
      <c r="BJ61" s="171" t="s">
        <v>512</v>
      </c>
      <c r="BK61" s="171" t="s">
        <v>677</v>
      </c>
      <c r="BL61" s="171">
        <v>348.74</v>
      </c>
      <c r="BM61" s="171">
        <v>348.74</v>
      </c>
      <c r="BN61" s="171">
        <v>0.0</v>
      </c>
      <c r="BO61" s="171" t="s">
        <v>514</v>
      </c>
      <c r="BP61" s="171">
        <v>9155612.0</v>
      </c>
      <c r="BQ61" s="171" t="s">
        <v>483</v>
      </c>
      <c r="BR61" s="171" t="s">
        <v>479</v>
      </c>
      <c r="BS61" s="171">
        <v>1.0</v>
      </c>
    </row>
    <row r="62" ht="14.25" customHeight="1">
      <c r="A62" s="122" t="s">
        <v>493</v>
      </c>
      <c r="B62" s="123" t="s">
        <v>494</v>
      </c>
      <c r="C62" s="123">
        <v>107.0</v>
      </c>
      <c r="D62" s="123" t="s">
        <v>146</v>
      </c>
      <c r="E62" s="123" t="s">
        <v>147</v>
      </c>
      <c r="F62" s="124"/>
      <c r="G62" s="124"/>
      <c r="H62" s="123" t="s">
        <v>2</v>
      </c>
      <c r="I62" s="123" t="s">
        <v>495</v>
      </c>
      <c r="J62" s="123" t="s">
        <v>528</v>
      </c>
      <c r="K62" s="123" t="s">
        <v>529</v>
      </c>
      <c r="L62" s="123" t="s">
        <v>498</v>
      </c>
      <c r="M62" s="125">
        <v>46126.0</v>
      </c>
      <c r="N62" s="123" t="s">
        <v>678</v>
      </c>
      <c r="O62" s="123">
        <v>9155618.0</v>
      </c>
      <c r="P62" s="125">
        <v>46114.0</v>
      </c>
      <c r="Q62" s="123" t="s">
        <v>500</v>
      </c>
      <c r="R62" s="123">
        <v>2770.0</v>
      </c>
      <c r="S62" s="123" t="s">
        <v>531</v>
      </c>
      <c r="T62" s="123" t="s">
        <v>532</v>
      </c>
      <c r="U62" s="123" t="s">
        <v>533</v>
      </c>
      <c r="V62" s="122" t="s">
        <v>504</v>
      </c>
      <c r="W62" s="124"/>
      <c r="X62" s="123">
        <v>1.0</v>
      </c>
      <c r="Y62" s="123">
        <v>40.0</v>
      </c>
      <c r="Z62" s="123">
        <v>40.0</v>
      </c>
      <c r="AA62" s="122" t="s">
        <v>157</v>
      </c>
      <c r="AB62" s="123" t="s">
        <v>678</v>
      </c>
      <c r="AC62" s="125">
        <v>46114.0</v>
      </c>
      <c r="AD62" s="123" t="s">
        <v>525</v>
      </c>
      <c r="AE62" s="123">
        <v>8.4439952E7</v>
      </c>
      <c r="AF62" s="123" t="s">
        <v>568</v>
      </c>
      <c r="AG62" s="124"/>
      <c r="AH62" s="124"/>
      <c r="AI62" s="123">
        <v>40.0</v>
      </c>
      <c r="AJ62" s="123" t="s">
        <v>159</v>
      </c>
      <c r="AK62" s="123">
        <v>18.0</v>
      </c>
      <c r="AL62" s="123">
        <v>3.6</v>
      </c>
      <c r="AM62" s="123">
        <v>3.6</v>
      </c>
      <c r="AN62" s="123">
        <v>0.0</v>
      </c>
      <c r="AO62" s="123">
        <v>0.0</v>
      </c>
      <c r="AP62" s="123">
        <v>0.0</v>
      </c>
      <c r="AQ62" s="123">
        <v>0.0</v>
      </c>
      <c r="AR62" s="122">
        <v>0.0</v>
      </c>
      <c r="AS62" s="123">
        <v>0.0</v>
      </c>
      <c r="AT62" s="122">
        <v>0.0</v>
      </c>
      <c r="AU62" s="124"/>
      <c r="AV62" s="124"/>
      <c r="AW62" s="123">
        <v>0.0</v>
      </c>
      <c r="AX62" s="123">
        <v>47.2</v>
      </c>
      <c r="AY62" s="123" t="s">
        <v>20</v>
      </c>
      <c r="AZ62" s="123" t="s">
        <v>31</v>
      </c>
      <c r="BA62" s="123" t="s">
        <v>535</v>
      </c>
      <c r="BB62" s="123">
        <v>1.126100068E9</v>
      </c>
      <c r="BC62" s="123" t="s">
        <v>187</v>
      </c>
      <c r="BD62" s="123" t="s">
        <v>162</v>
      </c>
      <c r="BE62" s="124"/>
      <c r="BF62" s="124" t="s">
        <v>483</v>
      </c>
      <c r="BG62" s="124" t="s">
        <v>482</v>
      </c>
      <c r="BH62" s="123" t="s">
        <v>510</v>
      </c>
      <c r="BI62" s="171" t="s">
        <v>511</v>
      </c>
      <c r="BJ62" s="171" t="s">
        <v>512</v>
      </c>
      <c r="BK62" s="171" t="s">
        <v>679</v>
      </c>
      <c r="BL62" s="171">
        <v>7.2</v>
      </c>
      <c r="BM62" s="171">
        <v>840.1</v>
      </c>
      <c r="BN62" s="171">
        <v>-833.0</v>
      </c>
      <c r="BO62" s="171" t="s">
        <v>514</v>
      </c>
      <c r="BP62" s="171">
        <v>9155618.0</v>
      </c>
      <c r="BQ62" s="171" t="s">
        <v>483</v>
      </c>
      <c r="BR62" s="171" t="s">
        <v>479</v>
      </c>
      <c r="BS62" s="171">
        <v>3.0</v>
      </c>
    </row>
    <row r="63" ht="14.25" customHeight="1">
      <c r="A63" s="122" t="s">
        <v>493</v>
      </c>
      <c r="B63" s="123" t="s">
        <v>494</v>
      </c>
      <c r="C63" s="123">
        <v>107.0</v>
      </c>
      <c r="D63" s="123" t="s">
        <v>146</v>
      </c>
      <c r="E63" s="123" t="s">
        <v>147</v>
      </c>
      <c r="F63" s="124"/>
      <c r="G63" s="124"/>
      <c r="H63" s="123" t="s">
        <v>2</v>
      </c>
      <c r="I63" s="123" t="s">
        <v>495</v>
      </c>
      <c r="J63" s="123" t="s">
        <v>528</v>
      </c>
      <c r="K63" s="123" t="s">
        <v>529</v>
      </c>
      <c r="L63" s="123" t="s">
        <v>498</v>
      </c>
      <c r="M63" s="125">
        <v>46126.0</v>
      </c>
      <c r="N63" s="123" t="s">
        <v>680</v>
      </c>
      <c r="O63" s="123">
        <v>9155608.0</v>
      </c>
      <c r="P63" s="125">
        <v>46114.0</v>
      </c>
      <c r="Q63" s="123" t="s">
        <v>500</v>
      </c>
      <c r="R63" s="123">
        <v>2770.0</v>
      </c>
      <c r="S63" s="123" t="s">
        <v>531</v>
      </c>
      <c r="T63" s="123" t="s">
        <v>532</v>
      </c>
      <c r="U63" s="123" t="s">
        <v>533</v>
      </c>
      <c r="V63" s="122" t="s">
        <v>504</v>
      </c>
      <c r="W63" s="124"/>
      <c r="X63" s="123">
        <v>1.0</v>
      </c>
      <c r="Y63" s="123">
        <v>10.0</v>
      </c>
      <c r="Z63" s="123">
        <v>10.0</v>
      </c>
      <c r="AA63" s="122" t="s">
        <v>157</v>
      </c>
      <c r="AB63" s="123" t="s">
        <v>680</v>
      </c>
      <c r="AC63" s="125">
        <v>46114.0</v>
      </c>
      <c r="AD63" s="123" t="s">
        <v>525</v>
      </c>
      <c r="AE63" s="123">
        <v>8.4439952E7</v>
      </c>
      <c r="AF63" s="123" t="s">
        <v>567</v>
      </c>
      <c r="AG63" s="124"/>
      <c r="AH63" s="124"/>
      <c r="AI63" s="123">
        <v>10.0</v>
      </c>
      <c r="AJ63" s="123" t="s">
        <v>159</v>
      </c>
      <c r="AK63" s="123">
        <v>18.0</v>
      </c>
      <c r="AL63" s="123">
        <v>0.9</v>
      </c>
      <c r="AM63" s="123">
        <v>0.9</v>
      </c>
      <c r="AN63" s="123">
        <v>0.0</v>
      </c>
      <c r="AO63" s="123">
        <v>0.0</v>
      </c>
      <c r="AP63" s="123">
        <v>0.0</v>
      </c>
      <c r="AQ63" s="123">
        <v>0.0</v>
      </c>
      <c r="AR63" s="122">
        <v>0.0</v>
      </c>
      <c r="AS63" s="123">
        <v>0.0</v>
      </c>
      <c r="AT63" s="122">
        <v>0.0</v>
      </c>
      <c r="AU63" s="124"/>
      <c r="AV63" s="124"/>
      <c r="AW63" s="123">
        <v>0.0</v>
      </c>
      <c r="AX63" s="123">
        <v>11.8</v>
      </c>
      <c r="AY63" s="123" t="s">
        <v>20</v>
      </c>
      <c r="AZ63" s="123" t="s">
        <v>31</v>
      </c>
      <c r="BA63" s="123" t="s">
        <v>535</v>
      </c>
      <c r="BB63" s="123">
        <v>1.126100058E9</v>
      </c>
      <c r="BC63" s="123" t="s">
        <v>187</v>
      </c>
      <c r="BD63" s="123" t="s">
        <v>162</v>
      </c>
      <c r="BE63" s="124"/>
      <c r="BF63" s="124" t="s">
        <v>483</v>
      </c>
      <c r="BG63" s="124" t="s">
        <v>482</v>
      </c>
      <c r="BH63" s="123" t="s">
        <v>510</v>
      </c>
      <c r="BI63" s="171" t="s">
        <v>511</v>
      </c>
      <c r="BJ63" s="171" t="s">
        <v>512</v>
      </c>
      <c r="BK63" s="171" t="s">
        <v>681</v>
      </c>
      <c r="BL63" s="171">
        <v>1.8</v>
      </c>
      <c r="BM63" s="171">
        <v>1873.72</v>
      </c>
      <c r="BN63" s="171">
        <v>-1872.0</v>
      </c>
      <c r="BO63" s="171" t="s">
        <v>514</v>
      </c>
      <c r="BP63" s="171">
        <v>9155608.0</v>
      </c>
      <c r="BQ63" s="171" t="s">
        <v>483</v>
      </c>
      <c r="BR63" s="171" t="s">
        <v>479</v>
      </c>
      <c r="BS63" s="171">
        <v>4.0</v>
      </c>
    </row>
    <row r="64" ht="14.25" customHeight="1">
      <c r="A64" s="122" t="s">
        <v>493</v>
      </c>
      <c r="B64" s="123" t="s">
        <v>494</v>
      </c>
      <c r="C64" s="123">
        <v>107.0</v>
      </c>
      <c r="D64" s="123" t="s">
        <v>146</v>
      </c>
      <c r="E64" s="123" t="s">
        <v>147</v>
      </c>
      <c r="F64" s="124"/>
      <c r="G64" s="124"/>
      <c r="H64" s="123" t="s">
        <v>2</v>
      </c>
      <c r="I64" s="123" t="s">
        <v>495</v>
      </c>
      <c r="J64" s="123" t="s">
        <v>528</v>
      </c>
      <c r="K64" s="123" t="s">
        <v>529</v>
      </c>
      <c r="L64" s="123" t="s">
        <v>498</v>
      </c>
      <c r="M64" s="125">
        <v>46127.0</v>
      </c>
      <c r="N64" s="123" t="s">
        <v>682</v>
      </c>
      <c r="O64" s="123">
        <v>9156860.0</v>
      </c>
      <c r="P64" s="125">
        <v>46113.0</v>
      </c>
      <c r="Q64" s="123" t="s">
        <v>500</v>
      </c>
      <c r="R64" s="123">
        <v>2770.0</v>
      </c>
      <c r="S64" s="123" t="s">
        <v>531</v>
      </c>
      <c r="T64" s="123" t="s">
        <v>572</v>
      </c>
      <c r="U64" s="123" t="s">
        <v>573</v>
      </c>
      <c r="V64" s="122" t="s">
        <v>504</v>
      </c>
      <c r="W64" s="124"/>
      <c r="X64" s="123">
        <v>1.0</v>
      </c>
      <c r="Y64" s="123">
        <v>4365.0</v>
      </c>
      <c r="Z64" s="123">
        <v>4365.0</v>
      </c>
      <c r="AA64" s="122" t="s">
        <v>157</v>
      </c>
      <c r="AB64" s="123" t="s">
        <v>682</v>
      </c>
      <c r="AC64" s="125">
        <v>46113.0</v>
      </c>
      <c r="AD64" s="123" t="s">
        <v>505</v>
      </c>
      <c r="AE64" s="123">
        <v>997314.0</v>
      </c>
      <c r="AF64" s="123" t="s">
        <v>683</v>
      </c>
      <c r="AG64" s="124"/>
      <c r="AH64" s="124"/>
      <c r="AI64" s="123">
        <v>4365.0</v>
      </c>
      <c r="AJ64" s="123" t="s">
        <v>159</v>
      </c>
      <c r="AK64" s="123">
        <v>18.0</v>
      </c>
      <c r="AL64" s="123">
        <v>0.0</v>
      </c>
      <c r="AM64" s="123">
        <v>0.0</v>
      </c>
      <c r="AN64" s="123">
        <v>785.7</v>
      </c>
      <c r="AO64" s="123">
        <v>0.0</v>
      </c>
      <c r="AP64" s="123">
        <v>0.0</v>
      </c>
      <c r="AQ64" s="123">
        <v>0.0</v>
      </c>
      <c r="AR64" s="122">
        <v>0.0</v>
      </c>
      <c r="AS64" s="123">
        <v>0.0</v>
      </c>
      <c r="AT64" s="122">
        <v>0.0</v>
      </c>
      <c r="AU64" s="124"/>
      <c r="AV64" s="124"/>
      <c r="AW64" s="123">
        <v>0.0</v>
      </c>
      <c r="AX64" s="123">
        <v>5150.7</v>
      </c>
      <c r="AY64" s="123" t="s">
        <v>20</v>
      </c>
      <c r="AZ64" s="123" t="s">
        <v>31</v>
      </c>
      <c r="BA64" s="123" t="s">
        <v>684</v>
      </c>
      <c r="BB64" s="123">
        <v>1.126100089E9</v>
      </c>
      <c r="BC64" s="123" t="s">
        <v>161</v>
      </c>
      <c r="BD64" s="123" t="s">
        <v>162</v>
      </c>
      <c r="BE64" s="124"/>
      <c r="BF64" s="124" t="s">
        <v>483</v>
      </c>
      <c r="BG64" s="124" t="s">
        <v>482</v>
      </c>
      <c r="BH64" s="123" t="s">
        <v>510</v>
      </c>
      <c r="BI64" s="171" t="s">
        <v>511</v>
      </c>
      <c r="BJ64" s="171" t="s">
        <v>512</v>
      </c>
      <c r="BK64" s="171" t="s">
        <v>685</v>
      </c>
      <c r="BL64" s="171">
        <v>785.7</v>
      </c>
      <c r="BM64" s="171">
        <v>785.7</v>
      </c>
      <c r="BN64" s="171">
        <v>0.0</v>
      </c>
      <c r="BO64" s="171" t="s">
        <v>514</v>
      </c>
      <c r="BP64" s="171">
        <v>9156860.0</v>
      </c>
      <c r="BQ64" s="171" t="s">
        <v>483</v>
      </c>
      <c r="BR64" s="171" t="s">
        <v>479</v>
      </c>
      <c r="BS64" s="171">
        <v>1.0</v>
      </c>
    </row>
    <row r="65" ht="14.25" customHeight="1">
      <c r="A65" s="122" t="s">
        <v>493</v>
      </c>
      <c r="B65" s="123" t="s">
        <v>494</v>
      </c>
      <c r="C65" s="123">
        <v>107.0</v>
      </c>
      <c r="D65" s="123" t="s">
        <v>146</v>
      </c>
      <c r="E65" s="123" t="s">
        <v>147</v>
      </c>
      <c r="F65" s="124"/>
      <c r="G65" s="123" t="s">
        <v>149</v>
      </c>
      <c r="H65" s="123" t="s">
        <v>2</v>
      </c>
      <c r="I65" s="123" t="s">
        <v>495</v>
      </c>
      <c r="J65" s="123" t="s">
        <v>496</v>
      </c>
      <c r="K65" s="123" t="s">
        <v>497</v>
      </c>
      <c r="L65" s="123" t="s">
        <v>498</v>
      </c>
      <c r="M65" s="125">
        <v>46135.0</v>
      </c>
      <c r="N65" s="123">
        <v>3.473455437E9</v>
      </c>
      <c r="O65" s="123">
        <v>9167997.0</v>
      </c>
      <c r="P65" s="125">
        <v>46127.0</v>
      </c>
      <c r="Q65" s="123" t="s">
        <v>500</v>
      </c>
      <c r="R65" s="123">
        <v>39705.0</v>
      </c>
      <c r="S65" s="123" t="s">
        <v>609</v>
      </c>
      <c r="T65" s="123" t="s">
        <v>539</v>
      </c>
      <c r="U65" s="123" t="s">
        <v>610</v>
      </c>
      <c r="V65" s="122" t="s">
        <v>504</v>
      </c>
      <c r="W65" s="124"/>
      <c r="X65" s="123">
        <v>1.0</v>
      </c>
      <c r="Y65" s="123">
        <v>31750.0</v>
      </c>
      <c r="Z65" s="123">
        <v>31750.0</v>
      </c>
      <c r="AA65" s="122" t="s">
        <v>157</v>
      </c>
      <c r="AB65" s="123">
        <v>3.473455437E9</v>
      </c>
      <c r="AC65" s="125">
        <v>46127.0</v>
      </c>
      <c r="AD65" s="123" t="s">
        <v>505</v>
      </c>
      <c r="AE65" s="123">
        <v>998412.0</v>
      </c>
      <c r="AF65" s="123" t="s">
        <v>611</v>
      </c>
      <c r="AG65" s="124"/>
      <c r="AH65" s="124"/>
      <c r="AI65" s="123">
        <v>31750.0</v>
      </c>
      <c r="AJ65" s="123" t="s">
        <v>159</v>
      </c>
      <c r="AK65" s="123">
        <v>18.0</v>
      </c>
      <c r="AL65" s="123">
        <v>2857.5</v>
      </c>
      <c r="AM65" s="123">
        <v>2857.5</v>
      </c>
      <c r="AN65" s="123">
        <v>0.0</v>
      </c>
      <c r="AO65" s="123">
        <v>0.0</v>
      </c>
      <c r="AP65" s="123">
        <v>0.0</v>
      </c>
      <c r="AQ65" s="123">
        <v>0.0</v>
      </c>
      <c r="AR65" s="122">
        <v>0.0</v>
      </c>
      <c r="AS65" s="123">
        <v>0.0</v>
      </c>
      <c r="AT65" s="122">
        <v>0.0</v>
      </c>
      <c r="AU65" s="124"/>
      <c r="AV65" s="124"/>
      <c r="AW65" s="123">
        <v>0.0</v>
      </c>
      <c r="AX65" s="123">
        <v>37465.0</v>
      </c>
      <c r="AY65" s="123" t="s">
        <v>20</v>
      </c>
      <c r="AZ65" s="123" t="s">
        <v>31</v>
      </c>
      <c r="BA65" s="123" t="s">
        <v>612</v>
      </c>
      <c r="BB65" s="123">
        <v>1.12610035E9</v>
      </c>
      <c r="BC65" s="123" t="s">
        <v>187</v>
      </c>
      <c r="BD65" s="123" t="s">
        <v>162</v>
      </c>
      <c r="BE65" s="124"/>
      <c r="BF65" s="124" t="s">
        <v>483</v>
      </c>
      <c r="BG65" s="124" t="s">
        <v>482</v>
      </c>
      <c r="BH65" s="123" t="s">
        <v>510</v>
      </c>
      <c r="BI65" s="171" t="s">
        <v>511</v>
      </c>
      <c r="BJ65" s="171" t="s">
        <v>512</v>
      </c>
      <c r="BK65" s="171" t="s">
        <v>686</v>
      </c>
      <c r="BL65" s="171">
        <v>5715.0</v>
      </c>
      <c r="BM65" s="171">
        <v>5715.0</v>
      </c>
      <c r="BN65" s="171">
        <v>0.0</v>
      </c>
      <c r="BO65" s="171" t="s">
        <v>514</v>
      </c>
      <c r="BP65" s="171">
        <v>9167997.0</v>
      </c>
      <c r="BQ65" s="171" t="s">
        <v>483</v>
      </c>
      <c r="BR65" s="171" t="s">
        <v>479</v>
      </c>
      <c r="BS65" s="171">
        <v>1.0</v>
      </c>
    </row>
    <row r="66" ht="14.25" customHeight="1">
      <c r="A66" s="122" t="s">
        <v>493</v>
      </c>
      <c r="B66" s="123" t="s">
        <v>494</v>
      </c>
      <c r="C66" s="123">
        <v>107.0</v>
      </c>
      <c r="D66" s="123" t="s">
        <v>146</v>
      </c>
      <c r="E66" s="123" t="s">
        <v>147</v>
      </c>
      <c r="F66" s="124"/>
      <c r="G66" s="123" t="s">
        <v>149</v>
      </c>
      <c r="H66" s="123" t="s">
        <v>2</v>
      </c>
      <c r="I66" s="123" t="s">
        <v>495</v>
      </c>
      <c r="J66" s="123" t="s">
        <v>496</v>
      </c>
      <c r="K66" s="123" t="s">
        <v>497</v>
      </c>
      <c r="L66" s="123" t="s">
        <v>498</v>
      </c>
      <c r="M66" s="125">
        <v>46140.0</v>
      </c>
      <c r="N66" s="123" t="s">
        <v>516</v>
      </c>
      <c r="O66" s="123">
        <v>9174963.0</v>
      </c>
      <c r="P66" s="125">
        <v>46129.0</v>
      </c>
      <c r="Q66" s="123" t="s">
        <v>500</v>
      </c>
      <c r="R66" s="123">
        <v>35671.0</v>
      </c>
      <c r="S66" s="123" t="s">
        <v>501</v>
      </c>
      <c r="T66" s="123" t="s">
        <v>502</v>
      </c>
      <c r="U66" s="123" t="s">
        <v>503</v>
      </c>
      <c r="V66" s="122" t="s">
        <v>504</v>
      </c>
      <c r="W66" s="124"/>
      <c r="X66" s="123">
        <v>2717.37</v>
      </c>
      <c r="Y66" s="123">
        <v>1.0</v>
      </c>
      <c r="Z66" s="123">
        <v>2717.37</v>
      </c>
      <c r="AA66" s="122" t="s">
        <v>157</v>
      </c>
      <c r="AB66" s="123" t="s">
        <v>516</v>
      </c>
      <c r="AC66" s="125">
        <v>46129.0</v>
      </c>
      <c r="AD66" s="123" t="s">
        <v>505</v>
      </c>
      <c r="AE66" s="123">
        <v>3.4029099E7</v>
      </c>
      <c r="AF66" s="123" t="s">
        <v>687</v>
      </c>
      <c r="AG66" s="124"/>
      <c r="AH66" s="124"/>
      <c r="AI66" s="123">
        <v>2717.37</v>
      </c>
      <c r="AJ66" s="123" t="s">
        <v>159</v>
      </c>
      <c r="AK66" s="123">
        <v>18.0</v>
      </c>
      <c r="AL66" s="123">
        <v>0.0</v>
      </c>
      <c r="AM66" s="123">
        <v>0.0</v>
      </c>
      <c r="AN66" s="123">
        <v>489.13</v>
      </c>
      <c r="AO66" s="123">
        <v>0.0</v>
      </c>
      <c r="AP66" s="123">
        <v>0.0</v>
      </c>
      <c r="AQ66" s="123">
        <v>0.0</v>
      </c>
      <c r="AR66" s="122">
        <v>0.0</v>
      </c>
      <c r="AS66" s="123">
        <v>0.0</v>
      </c>
      <c r="AT66" s="122">
        <v>0.0</v>
      </c>
      <c r="AU66" s="124"/>
      <c r="AV66" s="124"/>
      <c r="AW66" s="123">
        <v>0.0</v>
      </c>
      <c r="AX66" s="123">
        <v>3206.5</v>
      </c>
      <c r="AY66" s="123" t="s">
        <v>31</v>
      </c>
      <c r="AZ66" s="123" t="s">
        <v>31</v>
      </c>
      <c r="BA66" s="123" t="s">
        <v>518</v>
      </c>
      <c r="BB66" s="123">
        <v>1.126100446E9</v>
      </c>
      <c r="BC66" s="123" t="s">
        <v>508</v>
      </c>
      <c r="BD66" s="123" t="s">
        <v>509</v>
      </c>
      <c r="BE66" s="124"/>
      <c r="BF66" s="124" t="s">
        <v>484</v>
      </c>
      <c r="BG66" s="124" t="s">
        <v>482</v>
      </c>
      <c r="BH66" s="123" t="s">
        <v>510</v>
      </c>
      <c r="BI66" s="171" t="s">
        <v>511</v>
      </c>
      <c r="BJ66" s="171" t="s">
        <v>512</v>
      </c>
      <c r="BK66" s="171" t="s">
        <v>519</v>
      </c>
      <c r="BL66" s="171">
        <v>489.13</v>
      </c>
      <c r="BM66" s="171">
        <v>36494.74</v>
      </c>
      <c r="BN66" s="171">
        <v>-36006.0</v>
      </c>
      <c r="BO66" s="171" t="s">
        <v>514</v>
      </c>
      <c r="BP66" s="171">
        <v>9174963.0</v>
      </c>
      <c r="BQ66" s="171" t="s">
        <v>484</v>
      </c>
      <c r="BR66" s="171" t="s">
        <v>479</v>
      </c>
      <c r="BS66" s="171">
        <v>36.0</v>
      </c>
    </row>
    <row r="67" ht="14.25" customHeight="1">
      <c r="A67" s="122" t="s">
        <v>493</v>
      </c>
      <c r="B67" s="123" t="s">
        <v>494</v>
      </c>
      <c r="C67" s="123">
        <v>107.0</v>
      </c>
      <c r="D67" s="123" t="s">
        <v>146</v>
      </c>
      <c r="E67" s="123" t="s">
        <v>147</v>
      </c>
      <c r="F67" s="124"/>
      <c r="G67" s="123" t="s">
        <v>149</v>
      </c>
      <c r="H67" s="123" t="s">
        <v>2</v>
      </c>
      <c r="I67" s="123" t="s">
        <v>495</v>
      </c>
      <c r="J67" s="123" t="s">
        <v>496</v>
      </c>
      <c r="K67" s="123" t="s">
        <v>497</v>
      </c>
      <c r="L67" s="123" t="s">
        <v>498</v>
      </c>
      <c r="M67" s="125">
        <v>46140.0</v>
      </c>
      <c r="N67" s="123" t="s">
        <v>516</v>
      </c>
      <c r="O67" s="123">
        <v>9174963.0</v>
      </c>
      <c r="P67" s="125">
        <v>46129.0</v>
      </c>
      <c r="Q67" s="123" t="s">
        <v>500</v>
      </c>
      <c r="R67" s="123">
        <v>35671.0</v>
      </c>
      <c r="S67" s="123" t="s">
        <v>501</v>
      </c>
      <c r="T67" s="123" t="s">
        <v>502</v>
      </c>
      <c r="U67" s="123" t="s">
        <v>503</v>
      </c>
      <c r="V67" s="122" t="s">
        <v>504</v>
      </c>
      <c r="W67" s="124"/>
      <c r="X67" s="123">
        <v>275.0</v>
      </c>
      <c r="Y67" s="123">
        <v>0.001</v>
      </c>
      <c r="Z67" s="123">
        <v>0.28</v>
      </c>
      <c r="AA67" s="122" t="s">
        <v>157</v>
      </c>
      <c r="AB67" s="123" t="s">
        <v>516</v>
      </c>
      <c r="AC67" s="125">
        <v>46129.0</v>
      </c>
      <c r="AD67" s="123" t="s">
        <v>505</v>
      </c>
      <c r="AE67" s="123">
        <v>998729.0</v>
      </c>
      <c r="AF67" s="123" t="s">
        <v>688</v>
      </c>
      <c r="AG67" s="124"/>
      <c r="AH67" s="124"/>
      <c r="AI67" s="123">
        <v>0.28</v>
      </c>
      <c r="AJ67" s="123" t="s">
        <v>159</v>
      </c>
      <c r="AK67" s="123">
        <v>18.0</v>
      </c>
      <c r="AL67" s="123">
        <v>0.0</v>
      </c>
      <c r="AM67" s="123">
        <v>0.0</v>
      </c>
      <c r="AN67" s="123">
        <v>0.05</v>
      </c>
      <c r="AO67" s="123">
        <v>0.0</v>
      </c>
      <c r="AP67" s="123">
        <v>0.0</v>
      </c>
      <c r="AQ67" s="123">
        <v>0.0</v>
      </c>
      <c r="AR67" s="122">
        <v>0.0</v>
      </c>
      <c r="AS67" s="123">
        <v>0.0</v>
      </c>
      <c r="AT67" s="122">
        <v>0.0</v>
      </c>
      <c r="AU67" s="124"/>
      <c r="AV67" s="124"/>
      <c r="AW67" s="123">
        <v>0.0</v>
      </c>
      <c r="AX67" s="123">
        <v>0.33</v>
      </c>
      <c r="AY67" s="123" t="s">
        <v>31</v>
      </c>
      <c r="AZ67" s="123" t="s">
        <v>31</v>
      </c>
      <c r="BA67" s="123" t="s">
        <v>518</v>
      </c>
      <c r="BB67" s="123">
        <v>1.126100446E9</v>
      </c>
      <c r="BC67" s="123" t="s">
        <v>508</v>
      </c>
      <c r="BD67" s="123" t="s">
        <v>509</v>
      </c>
      <c r="BE67" s="124"/>
      <c r="BF67" s="124" t="s">
        <v>484</v>
      </c>
      <c r="BG67" s="124" t="s">
        <v>482</v>
      </c>
      <c r="BH67" s="123" t="s">
        <v>510</v>
      </c>
      <c r="BI67" s="171" t="s">
        <v>511</v>
      </c>
      <c r="BJ67" s="171" t="s">
        <v>512</v>
      </c>
      <c r="BK67" s="171" t="s">
        <v>519</v>
      </c>
      <c r="BL67" s="171">
        <v>0.05</v>
      </c>
      <c r="BM67" s="171">
        <v>36494.74</v>
      </c>
      <c r="BN67" s="171">
        <v>-36495.0</v>
      </c>
      <c r="BO67" s="171" t="s">
        <v>514</v>
      </c>
      <c r="BP67" s="171">
        <v>9174963.0</v>
      </c>
      <c r="BQ67" s="171" t="s">
        <v>484</v>
      </c>
      <c r="BR67" s="171" t="s">
        <v>479</v>
      </c>
      <c r="BS67" s="171">
        <v>36.0</v>
      </c>
    </row>
    <row r="68" ht="14.25" customHeight="1">
      <c r="A68" s="122" t="s">
        <v>493</v>
      </c>
      <c r="B68" s="123" t="s">
        <v>494</v>
      </c>
      <c r="C68" s="123">
        <v>107.0</v>
      </c>
      <c r="D68" s="123" t="s">
        <v>146</v>
      </c>
      <c r="E68" s="123" t="s">
        <v>147</v>
      </c>
      <c r="F68" s="124"/>
      <c r="G68" s="123" t="s">
        <v>149</v>
      </c>
      <c r="H68" s="123" t="s">
        <v>2</v>
      </c>
      <c r="I68" s="123" t="s">
        <v>495</v>
      </c>
      <c r="J68" s="123" t="s">
        <v>496</v>
      </c>
      <c r="K68" s="123" t="s">
        <v>497</v>
      </c>
      <c r="L68" s="123" t="s">
        <v>498</v>
      </c>
      <c r="M68" s="125">
        <v>46140.0</v>
      </c>
      <c r="N68" s="123" t="s">
        <v>516</v>
      </c>
      <c r="O68" s="123">
        <v>9174963.0</v>
      </c>
      <c r="P68" s="125">
        <v>46129.0</v>
      </c>
      <c r="Q68" s="123" t="s">
        <v>500</v>
      </c>
      <c r="R68" s="123">
        <v>35671.0</v>
      </c>
      <c r="S68" s="123" t="s">
        <v>501</v>
      </c>
      <c r="T68" s="123" t="s">
        <v>502</v>
      </c>
      <c r="U68" s="123" t="s">
        <v>503</v>
      </c>
      <c r="V68" s="122" t="s">
        <v>504</v>
      </c>
      <c r="W68" s="124"/>
      <c r="X68" s="123">
        <v>275.0</v>
      </c>
      <c r="Y68" s="123">
        <v>35.0</v>
      </c>
      <c r="Z68" s="123">
        <v>9625.0</v>
      </c>
      <c r="AA68" s="122" t="s">
        <v>157</v>
      </c>
      <c r="AB68" s="123" t="s">
        <v>516</v>
      </c>
      <c r="AC68" s="125">
        <v>46129.0</v>
      </c>
      <c r="AD68" s="123" t="s">
        <v>505</v>
      </c>
      <c r="AE68" s="123">
        <v>998729.0</v>
      </c>
      <c r="AF68" s="123" t="s">
        <v>689</v>
      </c>
      <c r="AG68" s="124"/>
      <c r="AH68" s="124"/>
      <c r="AI68" s="123">
        <v>9625.0</v>
      </c>
      <c r="AJ68" s="123" t="s">
        <v>159</v>
      </c>
      <c r="AK68" s="123">
        <v>18.0</v>
      </c>
      <c r="AL68" s="123">
        <v>0.0</v>
      </c>
      <c r="AM68" s="123">
        <v>0.0</v>
      </c>
      <c r="AN68" s="123">
        <v>1732.5</v>
      </c>
      <c r="AO68" s="123">
        <v>0.0</v>
      </c>
      <c r="AP68" s="123">
        <v>0.0</v>
      </c>
      <c r="AQ68" s="123">
        <v>0.0</v>
      </c>
      <c r="AR68" s="122">
        <v>0.0</v>
      </c>
      <c r="AS68" s="123">
        <v>0.0</v>
      </c>
      <c r="AT68" s="122">
        <v>0.0</v>
      </c>
      <c r="AU68" s="124"/>
      <c r="AV68" s="124"/>
      <c r="AW68" s="123">
        <v>0.0</v>
      </c>
      <c r="AX68" s="123">
        <v>11357.5</v>
      </c>
      <c r="AY68" s="123" t="s">
        <v>31</v>
      </c>
      <c r="AZ68" s="123" t="s">
        <v>31</v>
      </c>
      <c r="BA68" s="123" t="s">
        <v>518</v>
      </c>
      <c r="BB68" s="123">
        <v>1.126100446E9</v>
      </c>
      <c r="BC68" s="123" t="s">
        <v>508</v>
      </c>
      <c r="BD68" s="123" t="s">
        <v>509</v>
      </c>
      <c r="BE68" s="124"/>
      <c r="BF68" s="124" t="s">
        <v>484</v>
      </c>
      <c r="BG68" s="124" t="s">
        <v>482</v>
      </c>
      <c r="BH68" s="123" t="s">
        <v>510</v>
      </c>
      <c r="BI68" s="171" t="s">
        <v>511</v>
      </c>
      <c r="BJ68" s="171" t="s">
        <v>512</v>
      </c>
      <c r="BK68" s="171" t="s">
        <v>519</v>
      </c>
      <c r="BL68" s="171">
        <v>1732.5</v>
      </c>
      <c r="BM68" s="171">
        <v>36494.74</v>
      </c>
      <c r="BN68" s="171">
        <v>-34762.0</v>
      </c>
      <c r="BO68" s="171" t="s">
        <v>514</v>
      </c>
      <c r="BP68" s="171">
        <v>9174963.0</v>
      </c>
      <c r="BQ68" s="171" t="s">
        <v>484</v>
      </c>
      <c r="BR68" s="171" t="s">
        <v>479</v>
      </c>
      <c r="BS68" s="171">
        <v>36.0</v>
      </c>
    </row>
    <row r="69" ht="14.25" customHeight="1">
      <c r="A69" s="122" t="s">
        <v>493</v>
      </c>
      <c r="B69" s="123" t="s">
        <v>494</v>
      </c>
      <c r="C69" s="123">
        <v>107.0</v>
      </c>
      <c r="D69" s="123" t="s">
        <v>146</v>
      </c>
      <c r="E69" s="123" t="s">
        <v>147</v>
      </c>
      <c r="F69" s="124"/>
      <c r="G69" s="124"/>
      <c r="H69" s="123" t="s">
        <v>2</v>
      </c>
      <c r="I69" s="123" t="s">
        <v>495</v>
      </c>
      <c r="J69" s="123" t="s">
        <v>528</v>
      </c>
      <c r="K69" s="123" t="s">
        <v>529</v>
      </c>
      <c r="L69" s="123" t="s">
        <v>498</v>
      </c>
      <c r="M69" s="125">
        <v>46126.0</v>
      </c>
      <c r="N69" s="123" t="s">
        <v>690</v>
      </c>
      <c r="O69" s="123">
        <v>9155614.0</v>
      </c>
      <c r="P69" s="125">
        <v>46114.0</v>
      </c>
      <c r="Q69" s="123" t="s">
        <v>500</v>
      </c>
      <c r="R69" s="123">
        <v>2770.0</v>
      </c>
      <c r="S69" s="123" t="s">
        <v>531</v>
      </c>
      <c r="T69" s="123" t="s">
        <v>532</v>
      </c>
      <c r="U69" s="124" t="s">
        <v>533</v>
      </c>
      <c r="V69" s="122" t="s">
        <v>504</v>
      </c>
      <c r="W69" s="124"/>
      <c r="X69" s="123">
        <v>1.0</v>
      </c>
      <c r="Y69" s="123">
        <v>1476.96</v>
      </c>
      <c r="Z69" s="123">
        <v>1476.96</v>
      </c>
      <c r="AA69" s="122" t="s">
        <v>157</v>
      </c>
      <c r="AB69" s="123" t="s">
        <v>690</v>
      </c>
      <c r="AC69" s="125">
        <v>46114.0</v>
      </c>
      <c r="AD69" s="124" t="s">
        <v>525</v>
      </c>
      <c r="AE69" s="123">
        <v>8.4439952E7</v>
      </c>
      <c r="AF69" s="123" t="s">
        <v>568</v>
      </c>
      <c r="AG69" s="124"/>
      <c r="AH69" s="124"/>
      <c r="AI69" s="123">
        <v>1476.96</v>
      </c>
      <c r="AJ69" s="123" t="s">
        <v>159</v>
      </c>
      <c r="AK69" s="123">
        <v>18.0</v>
      </c>
      <c r="AL69" s="123">
        <v>132.93</v>
      </c>
      <c r="AM69" s="123">
        <v>132.93</v>
      </c>
      <c r="AN69" s="123">
        <v>0.0</v>
      </c>
      <c r="AO69" s="123">
        <v>0.0</v>
      </c>
      <c r="AP69" s="123">
        <v>0.0</v>
      </c>
      <c r="AQ69" s="123">
        <v>0.0</v>
      </c>
      <c r="AR69" s="122">
        <v>0.0</v>
      </c>
      <c r="AS69" s="123">
        <v>0.0</v>
      </c>
      <c r="AT69" s="122">
        <v>0.0</v>
      </c>
      <c r="AU69" s="124"/>
      <c r="AV69" s="124"/>
      <c r="AW69" s="123">
        <v>0.0</v>
      </c>
      <c r="AX69" s="123">
        <v>1742.82</v>
      </c>
      <c r="AY69" s="123" t="s">
        <v>20</v>
      </c>
      <c r="AZ69" s="123" t="s">
        <v>31</v>
      </c>
      <c r="BA69" s="123" t="s">
        <v>535</v>
      </c>
      <c r="BB69" s="123">
        <v>1.126100064E9</v>
      </c>
      <c r="BC69" s="123" t="s">
        <v>187</v>
      </c>
      <c r="BD69" s="123" t="s">
        <v>162</v>
      </c>
      <c r="BE69" s="124"/>
      <c r="BF69" s="124" t="s">
        <v>483</v>
      </c>
      <c r="BG69" s="124" t="s">
        <v>482</v>
      </c>
      <c r="BH69" s="123" t="s">
        <v>510</v>
      </c>
      <c r="BI69" s="171" t="s">
        <v>511</v>
      </c>
      <c r="BJ69" s="171" t="s">
        <v>512</v>
      </c>
      <c r="BK69" s="171" t="s">
        <v>691</v>
      </c>
      <c r="BL69" s="171">
        <v>590.4</v>
      </c>
      <c r="BM69" s="171" t="e">
        <v>#N/A</v>
      </c>
      <c r="BN69" s="171" t="e">
        <v>#N/A</v>
      </c>
      <c r="BO69" s="171" t="s">
        <v>544</v>
      </c>
      <c r="BP69" s="171">
        <v>9177454.0</v>
      </c>
      <c r="BQ69" s="171" t="s">
        <v>481</v>
      </c>
      <c r="BR69" s="171" t="s">
        <v>544</v>
      </c>
      <c r="BS69" s="171">
        <v>6.0</v>
      </c>
    </row>
    <row r="70" ht="14.25" customHeight="1">
      <c r="A70" s="122" t="s">
        <v>493</v>
      </c>
      <c r="B70" s="123" t="s">
        <v>494</v>
      </c>
      <c r="C70" s="123">
        <v>107.0</v>
      </c>
      <c r="D70" s="123" t="s">
        <v>146</v>
      </c>
      <c r="E70" s="123" t="s">
        <v>147</v>
      </c>
      <c r="F70" s="124"/>
      <c r="G70" s="124"/>
      <c r="H70" s="123" t="s">
        <v>2</v>
      </c>
      <c r="I70" s="123" t="s">
        <v>495</v>
      </c>
      <c r="J70" s="123" t="s">
        <v>528</v>
      </c>
      <c r="K70" s="123" t="s">
        <v>529</v>
      </c>
      <c r="L70" s="123" t="s">
        <v>498</v>
      </c>
      <c r="M70" s="125">
        <v>46126.0</v>
      </c>
      <c r="N70" s="123" t="s">
        <v>530</v>
      </c>
      <c r="O70" s="123">
        <v>9155613.0</v>
      </c>
      <c r="P70" s="125">
        <v>46114.0</v>
      </c>
      <c r="Q70" s="123" t="s">
        <v>500</v>
      </c>
      <c r="R70" s="123">
        <v>2770.0</v>
      </c>
      <c r="S70" s="123" t="s">
        <v>531</v>
      </c>
      <c r="T70" s="123" t="s">
        <v>532</v>
      </c>
      <c r="U70" s="124" t="s">
        <v>533</v>
      </c>
      <c r="V70" s="124" t="s">
        <v>504</v>
      </c>
      <c r="W70" s="124"/>
      <c r="X70" s="123">
        <v>1.0</v>
      </c>
      <c r="Y70" s="123">
        <v>27437.85</v>
      </c>
      <c r="Z70" s="123">
        <v>27437.85</v>
      </c>
      <c r="AA70" s="122" t="s">
        <v>157</v>
      </c>
      <c r="AB70" s="123" t="s">
        <v>530</v>
      </c>
      <c r="AC70" s="125">
        <v>46114.0</v>
      </c>
      <c r="AD70" s="124" t="s">
        <v>525</v>
      </c>
      <c r="AE70" s="123">
        <v>8.4439952E7</v>
      </c>
      <c r="AF70" s="123" t="s">
        <v>692</v>
      </c>
      <c r="AG70" s="124"/>
      <c r="AH70" s="124"/>
      <c r="AI70" s="123">
        <v>27437.85</v>
      </c>
      <c r="AJ70" s="123" t="s">
        <v>159</v>
      </c>
      <c r="AK70" s="123">
        <v>18.0</v>
      </c>
      <c r="AL70" s="123">
        <v>2469.41</v>
      </c>
      <c r="AM70" s="123">
        <v>2469.41</v>
      </c>
      <c r="AN70" s="123">
        <v>0.0</v>
      </c>
      <c r="AO70" s="123">
        <v>0.0</v>
      </c>
      <c r="AP70" s="123">
        <v>0.0</v>
      </c>
      <c r="AQ70" s="123">
        <v>0.0</v>
      </c>
      <c r="AR70" s="122">
        <v>0.0</v>
      </c>
      <c r="AS70" s="123">
        <v>0.0</v>
      </c>
      <c r="AT70" s="122">
        <v>0.0</v>
      </c>
      <c r="AU70" s="124"/>
      <c r="AV70" s="124"/>
      <c r="AW70" s="123">
        <v>0.0</v>
      </c>
      <c r="AX70" s="123">
        <v>32376.67</v>
      </c>
      <c r="AY70" s="123" t="s">
        <v>20</v>
      </c>
      <c r="AZ70" s="123" t="s">
        <v>31</v>
      </c>
      <c r="BA70" s="123" t="s">
        <v>535</v>
      </c>
      <c r="BB70" s="123">
        <v>1.126100063E9</v>
      </c>
      <c r="BC70" s="123" t="s">
        <v>187</v>
      </c>
      <c r="BD70" s="123" t="s">
        <v>162</v>
      </c>
      <c r="BE70" s="124"/>
      <c r="BF70" s="124" t="s">
        <v>483</v>
      </c>
      <c r="BG70" s="124" t="s">
        <v>482</v>
      </c>
      <c r="BH70" s="123" t="s">
        <v>510</v>
      </c>
      <c r="BI70" s="171" t="s">
        <v>511</v>
      </c>
      <c r="BJ70" s="171" t="s">
        <v>512</v>
      </c>
      <c r="BK70" s="171" t="s">
        <v>693</v>
      </c>
      <c r="BL70" s="171">
        <v>117.0</v>
      </c>
      <c r="BM70" s="171" t="e">
        <v>#N/A</v>
      </c>
      <c r="BN70" s="171" t="e">
        <v>#N/A</v>
      </c>
      <c r="BO70" s="171" t="s">
        <v>544</v>
      </c>
      <c r="BP70" s="171">
        <v>9164023.0</v>
      </c>
      <c r="BQ70" s="171" t="s">
        <v>481</v>
      </c>
      <c r="BR70" s="171" t="s">
        <v>544</v>
      </c>
      <c r="BS70" s="171">
        <v>2.0</v>
      </c>
    </row>
    <row r="71" ht="14.25" customHeight="1">
      <c r="A71" s="122" t="s">
        <v>493</v>
      </c>
      <c r="B71" s="123" t="s">
        <v>494</v>
      </c>
      <c r="C71" s="123">
        <v>107.0</v>
      </c>
      <c r="D71" s="123" t="s">
        <v>146</v>
      </c>
      <c r="E71" s="123" t="s">
        <v>147</v>
      </c>
      <c r="F71" s="124"/>
      <c r="G71" s="124"/>
      <c r="H71" s="123" t="s">
        <v>2</v>
      </c>
      <c r="I71" s="123" t="s">
        <v>495</v>
      </c>
      <c r="J71" s="123" t="s">
        <v>528</v>
      </c>
      <c r="K71" s="123" t="s">
        <v>529</v>
      </c>
      <c r="L71" s="123" t="s">
        <v>498</v>
      </c>
      <c r="M71" s="125">
        <v>46126.0</v>
      </c>
      <c r="N71" s="123" t="s">
        <v>680</v>
      </c>
      <c r="O71" s="123">
        <v>9155608.0</v>
      </c>
      <c r="P71" s="125">
        <v>46114.0</v>
      </c>
      <c r="Q71" s="123" t="s">
        <v>500</v>
      </c>
      <c r="R71" s="123">
        <v>2770.0</v>
      </c>
      <c r="S71" s="123" t="s">
        <v>531</v>
      </c>
      <c r="T71" s="123" t="s">
        <v>532</v>
      </c>
      <c r="U71" s="123" t="s">
        <v>533</v>
      </c>
      <c r="V71" s="122" t="s">
        <v>504</v>
      </c>
      <c r="W71" s="124"/>
      <c r="X71" s="123">
        <v>1.0</v>
      </c>
      <c r="Y71" s="123">
        <v>6910.2</v>
      </c>
      <c r="Z71" s="123">
        <v>6910.2</v>
      </c>
      <c r="AA71" s="122" t="s">
        <v>157</v>
      </c>
      <c r="AB71" s="123" t="s">
        <v>680</v>
      </c>
      <c r="AC71" s="125">
        <v>46114.0</v>
      </c>
      <c r="AD71" s="123" t="s">
        <v>525</v>
      </c>
      <c r="AE71" s="123">
        <v>8.4439952E7</v>
      </c>
      <c r="AF71" s="123" t="s">
        <v>694</v>
      </c>
      <c r="AG71" s="124"/>
      <c r="AH71" s="124"/>
      <c r="AI71" s="123">
        <v>6910.2</v>
      </c>
      <c r="AJ71" s="123" t="s">
        <v>159</v>
      </c>
      <c r="AK71" s="123">
        <v>18.0</v>
      </c>
      <c r="AL71" s="123">
        <v>621.92</v>
      </c>
      <c r="AM71" s="123">
        <v>621.92</v>
      </c>
      <c r="AN71" s="123">
        <v>0.0</v>
      </c>
      <c r="AO71" s="123">
        <v>0.0</v>
      </c>
      <c r="AP71" s="123">
        <v>0.0</v>
      </c>
      <c r="AQ71" s="123">
        <v>0.0</v>
      </c>
      <c r="AR71" s="122">
        <v>0.0</v>
      </c>
      <c r="AS71" s="123">
        <v>0.0</v>
      </c>
      <c r="AT71" s="122">
        <v>0.0</v>
      </c>
      <c r="AU71" s="124"/>
      <c r="AV71" s="124"/>
      <c r="AW71" s="123">
        <v>0.0</v>
      </c>
      <c r="AX71" s="123">
        <v>8154.04</v>
      </c>
      <c r="AY71" s="123" t="s">
        <v>20</v>
      </c>
      <c r="AZ71" s="123" t="s">
        <v>31</v>
      </c>
      <c r="BA71" s="123" t="s">
        <v>535</v>
      </c>
      <c r="BB71" s="123">
        <v>1.126100058E9</v>
      </c>
      <c r="BC71" s="123" t="s">
        <v>187</v>
      </c>
      <c r="BD71" s="123" t="s">
        <v>162</v>
      </c>
      <c r="BE71" s="124"/>
      <c r="BF71" s="124" t="s">
        <v>483</v>
      </c>
      <c r="BG71" s="124" t="s">
        <v>482</v>
      </c>
      <c r="BH71" s="123" t="s">
        <v>510</v>
      </c>
      <c r="BI71" s="171" t="s">
        <v>511</v>
      </c>
      <c r="BJ71" s="171" t="s">
        <v>512</v>
      </c>
      <c r="BK71" s="171" t="s">
        <v>695</v>
      </c>
      <c r="BL71" s="171">
        <v>265.86</v>
      </c>
      <c r="BM71" s="171">
        <v>265.86</v>
      </c>
      <c r="BN71" s="171">
        <v>0.0</v>
      </c>
      <c r="BO71" s="171" t="s">
        <v>514</v>
      </c>
      <c r="BP71" s="171">
        <v>9155614.0</v>
      </c>
      <c r="BQ71" s="171" t="s">
        <v>483</v>
      </c>
      <c r="BR71" s="171" t="s">
        <v>479</v>
      </c>
      <c r="BS71" s="171">
        <v>1.0</v>
      </c>
    </row>
    <row r="72" ht="14.25" customHeight="1">
      <c r="A72" s="122" t="s">
        <v>493</v>
      </c>
      <c r="B72" s="123" t="s">
        <v>494</v>
      </c>
      <c r="C72" s="123">
        <v>107.0</v>
      </c>
      <c r="D72" s="123" t="s">
        <v>146</v>
      </c>
      <c r="E72" s="123" t="s">
        <v>147</v>
      </c>
      <c r="F72" s="124"/>
      <c r="G72" s="124" t="s">
        <v>149</v>
      </c>
      <c r="H72" s="123" t="s">
        <v>2</v>
      </c>
      <c r="I72" s="123" t="s">
        <v>495</v>
      </c>
      <c r="J72" s="123" t="s">
        <v>496</v>
      </c>
      <c r="K72" s="123" t="s">
        <v>529</v>
      </c>
      <c r="L72" s="123" t="s">
        <v>498</v>
      </c>
      <c r="M72" s="125">
        <v>46139.0</v>
      </c>
      <c r="N72" s="123" t="s">
        <v>696</v>
      </c>
      <c r="O72" s="123">
        <v>9173789.0</v>
      </c>
      <c r="P72" s="125">
        <v>46125.0</v>
      </c>
      <c r="Q72" s="123" t="s">
        <v>500</v>
      </c>
      <c r="R72" s="123">
        <v>35005.0</v>
      </c>
      <c r="S72" s="123" t="s">
        <v>697</v>
      </c>
      <c r="T72" s="123" t="s">
        <v>698</v>
      </c>
      <c r="U72" s="123" t="s">
        <v>699</v>
      </c>
      <c r="V72" s="122" t="s">
        <v>504</v>
      </c>
      <c r="W72" s="124"/>
      <c r="X72" s="123">
        <v>4.0</v>
      </c>
      <c r="Y72" s="123">
        <v>5625.0</v>
      </c>
      <c r="Z72" s="123">
        <v>22500.0</v>
      </c>
      <c r="AA72" s="122" t="s">
        <v>157</v>
      </c>
      <c r="AB72" s="123" t="s">
        <v>696</v>
      </c>
      <c r="AC72" s="125">
        <v>46125.0</v>
      </c>
      <c r="AD72" s="123" t="s">
        <v>593</v>
      </c>
      <c r="AE72" s="123">
        <v>998422.0</v>
      </c>
      <c r="AF72" s="123" t="s">
        <v>700</v>
      </c>
      <c r="AG72" s="124"/>
      <c r="AH72" s="124"/>
      <c r="AI72" s="123">
        <v>22500.0</v>
      </c>
      <c r="AJ72" s="123" t="s">
        <v>159</v>
      </c>
      <c r="AK72" s="123">
        <v>18.0</v>
      </c>
      <c r="AL72" s="123">
        <v>2025.0</v>
      </c>
      <c r="AM72" s="123">
        <v>2025.0</v>
      </c>
      <c r="AN72" s="123">
        <v>0.0</v>
      </c>
      <c r="AO72" s="123">
        <v>0.0</v>
      </c>
      <c r="AP72" s="123">
        <v>0.0</v>
      </c>
      <c r="AQ72" s="123">
        <v>0.0</v>
      </c>
      <c r="AR72" s="122">
        <v>0.0</v>
      </c>
      <c r="AS72" s="123">
        <v>0.0</v>
      </c>
      <c r="AT72" s="122">
        <v>0.0</v>
      </c>
      <c r="AU72" s="124"/>
      <c r="AV72" s="124"/>
      <c r="AW72" s="123">
        <v>0.0</v>
      </c>
      <c r="AX72" s="123">
        <v>26550.0</v>
      </c>
      <c r="AY72" s="123" t="s">
        <v>20</v>
      </c>
      <c r="AZ72" s="123" t="s">
        <v>31</v>
      </c>
      <c r="BA72" s="123" t="s">
        <v>701</v>
      </c>
      <c r="BB72" s="123">
        <v>1.12610044E9</v>
      </c>
      <c r="BC72" s="123" t="s">
        <v>187</v>
      </c>
      <c r="BD72" s="123" t="s">
        <v>162</v>
      </c>
      <c r="BE72" s="124"/>
      <c r="BF72" s="124" t="s">
        <v>483</v>
      </c>
      <c r="BG72" s="124" t="s">
        <v>482</v>
      </c>
      <c r="BH72" s="123" t="s">
        <v>510</v>
      </c>
      <c r="BI72" s="171" t="s">
        <v>511</v>
      </c>
      <c r="BJ72" s="171" t="s">
        <v>512</v>
      </c>
      <c r="BK72" s="171" t="s">
        <v>536</v>
      </c>
      <c r="BL72" s="171">
        <v>4938.82</v>
      </c>
      <c r="BM72" s="171">
        <v>5381.62</v>
      </c>
      <c r="BN72" s="171">
        <v>-443.0</v>
      </c>
      <c r="BO72" s="171" t="s">
        <v>514</v>
      </c>
      <c r="BP72" s="171">
        <v>9155613.0</v>
      </c>
      <c r="BQ72" s="171" t="s">
        <v>483</v>
      </c>
      <c r="BR72" s="171" t="s">
        <v>479</v>
      </c>
      <c r="BS72" s="171">
        <v>4.0</v>
      </c>
    </row>
    <row r="73" ht="14.25" customHeight="1">
      <c r="A73" s="122" t="s">
        <v>493</v>
      </c>
      <c r="B73" s="123" t="s">
        <v>494</v>
      </c>
      <c r="C73" s="123">
        <v>107.0</v>
      </c>
      <c r="D73" s="123" t="s">
        <v>146</v>
      </c>
      <c r="E73" s="123" t="s">
        <v>147</v>
      </c>
      <c r="F73" s="124"/>
      <c r="G73" s="124" t="s">
        <v>149</v>
      </c>
      <c r="H73" s="123" t="s">
        <v>2</v>
      </c>
      <c r="I73" s="123" t="s">
        <v>495</v>
      </c>
      <c r="J73" s="123" t="s">
        <v>496</v>
      </c>
      <c r="K73" s="123" t="s">
        <v>497</v>
      </c>
      <c r="L73" s="123" t="s">
        <v>498</v>
      </c>
      <c r="M73" s="125">
        <v>46140.0</v>
      </c>
      <c r="N73" s="123" t="s">
        <v>516</v>
      </c>
      <c r="O73" s="123">
        <v>9174963.0</v>
      </c>
      <c r="P73" s="125">
        <v>46129.0</v>
      </c>
      <c r="Q73" s="123" t="s">
        <v>500</v>
      </c>
      <c r="R73" s="123">
        <v>35671.0</v>
      </c>
      <c r="S73" s="123" t="s">
        <v>501</v>
      </c>
      <c r="T73" s="123" t="s">
        <v>502</v>
      </c>
      <c r="U73" s="123" t="s">
        <v>503</v>
      </c>
      <c r="V73" s="122" t="s">
        <v>504</v>
      </c>
      <c r="W73" s="124"/>
      <c r="X73" s="123">
        <v>2721.7</v>
      </c>
      <c r="Y73" s="123">
        <v>1.0</v>
      </c>
      <c r="Z73" s="123">
        <v>2721.7</v>
      </c>
      <c r="AA73" s="122" t="s">
        <v>157</v>
      </c>
      <c r="AB73" s="123" t="s">
        <v>516</v>
      </c>
      <c r="AC73" s="125">
        <v>46129.0</v>
      </c>
      <c r="AD73" s="123" t="s">
        <v>505</v>
      </c>
      <c r="AE73" s="123">
        <v>8.42131E7</v>
      </c>
      <c r="AF73" s="123" t="s">
        <v>622</v>
      </c>
      <c r="AG73" s="124"/>
      <c r="AH73" s="124"/>
      <c r="AI73" s="123">
        <v>2721.7</v>
      </c>
      <c r="AJ73" s="123" t="s">
        <v>159</v>
      </c>
      <c r="AK73" s="123">
        <v>18.0</v>
      </c>
      <c r="AL73" s="123">
        <v>0.0</v>
      </c>
      <c r="AM73" s="123">
        <v>0.0</v>
      </c>
      <c r="AN73" s="123">
        <v>489.91</v>
      </c>
      <c r="AO73" s="123">
        <v>0.0</v>
      </c>
      <c r="AP73" s="123">
        <v>0.0</v>
      </c>
      <c r="AQ73" s="123">
        <v>0.0</v>
      </c>
      <c r="AR73" s="122">
        <v>0.0</v>
      </c>
      <c r="AS73" s="123">
        <v>0.0</v>
      </c>
      <c r="AT73" s="122">
        <v>0.0</v>
      </c>
      <c r="AU73" s="124"/>
      <c r="AV73" s="124"/>
      <c r="AW73" s="123">
        <v>0.0</v>
      </c>
      <c r="AX73" s="123">
        <v>3211.61</v>
      </c>
      <c r="AY73" s="123" t="s">
        <v>31</v>
      </c>
      <c r="AZ73" s="123" t="s">
        <v>31</v>
      </c>
      <c r="BA73" s="123" t="s">
        <v>518</v>
      </c>
      <c r="BB73" s="123">
        <v>1.126100446E9</v>
      </c>
      <c r="BC73" s="123" t="s">
        <v>508</v>
      </c>
      <c r="BD73" s="123" t="s">
        <v>509</v>
      </c>
      <c r="BE73" s="124"/>
      <c r="BF73" s="124" t="s">
        <v>484</v>
      </c>
      <c r="BG73" s="124" t="s">
        <v>482</v>
      </c>
      <c r="BH73" s="123" t="s">
        <v>510</v>
      </c>
      <c r="BI73" s="171" t="s">
        <v>511</v>
      </c>
      <c r="BJ73" s="171" t="s">
        <v>512</v>
      </c>
      <c r="BK73" s="171" t="s">
        <v>681</v>
      </c>
      <c r="BL73" s="171">
        <v>1243.84</v>
      </c>
      <c r="BM73" s="171">
        <v>1873.72</v>
      </c>
      <c r="BN73" s="171">
        <v>-630.0</v>
      </c>
      <c r="BO73" s="171" t="s">
        <v>514</v>
      </c>
      <c r="BP73" s="171">
        <v>9155608.0</v>
      </c>
      <c r="BQ73" s="171" t="s">
        <v>483</v>
      </c>
      <c r="BR73" s="171" t="s">
        <v>479</v>
      </c>
      <c r="BS73" s="171">
        <v>4.0</v>
      </c>
    </row>
    <row r="74" ht="14.25" customHeight="1">
      <c r="A74" s="122" t="s">
        <v>493</v>
      </c>
      <c r="B74" s="123" t="s">
        <v>494</v>
      </c>
      <c r="C74" s="123">
        <v>107.0</v>
      </c>
      <c r="D74" s="123" t="s">
        <v>146</v>
      </c>
      <c r="E74" s="123" t="s">
        <v>147</v>
      </c>
      <c r="F74" s="124"/>
      <c r="G74" s="123" t="s">
        <v>149</v>
      </c>
      <c r="H74" s="123" t="s">
        <v>2</v>
      </c>
      <c r="I74" s="123" t="s">
        <v>495</v>
      </c>
      <c r="J74" s="123" t="s">
        <v>496</v>
      </c>
      <c r="K74" s="123" t="s">
        <v>497</v>
      </c>
      <c r="L74" s="123" t="s">
        <v>498</v>
      </c>
      <c r="M74" s="125">
        <v>46140.0</v>
      </c>
      <c r="N74" s="123" t="s">
        <v>516</v>
      </c>
      <c r="O74" s="123">
        <v>9174963.0</v>
      </c>
      <c r="P74" s="125">
        <v>46129.0</v>
      </c>
      <c r="Q74" s="123" t="s">
        <v>500</v>
      </c>
      <c r="R74" s="123">
        <v>35671.0</v>
      </c>
      <c r="S74" s="123" t="s">
        <v>501</v>
      </c>
      <c r="T74" s="123" t="s">
        <v>502</v>
      </c>
      <c r="U74" s="123" t="s">
        <v>503</v>
      </c>
      <c r="V74" s="122" t="s">
        <v>504</v>
      </c>
      <c r="W74" s="124"/>
      <c r="X74" s="123">
        <v>1409.49</v>
      </c>
      <c r="Y74" s="123">
        <v>1.0</v>
      </c>
      <c r="Z74" s="123">
        <v>1409.49</v>
      </c>
      <c r="AA74" s="122" t="s">
        <v>157</v>
      </c>
      <c r="AB74" s="123" t="s">
        <v>516</v>
      </c>
      <c r="AC74" s="125">
        <v>46129.0</v>
      </c>
      <c r="AD74" s="123" t="s">
        <v>505</v>
      </c>
      <c r="AE74" s="123">
        <v>8.42123E7</v>
      </c>
      <c r="AF74" s="123" t="s">
        <v>702</v>
      </c>
      <c r="AG74" s="124"/>
      <c r="AH74" s="124"/>
      <c r="AI74" s="123">
        <v>1409.49</v>
      </c>
      <c r="AJ74" s="123" t="s">
        <v>159</v>
      </c>
      <c r="AK74" s="123">
        <v>18.0</v>
      </c>
      <c r="AL74" s="123">
        <v>0.0</v>
      </c>
      <c r="AM74" s="123">
        <v>0.0</v>
      </c>
      <c r="AN74" s="123">
        <v>253.71</v>
      </c>
      <c r="AO74" s="123">
        <v>0.0</v>
      </c>
      <c r="AP74" s="123">
        <v>0.0</v>
      </c>
      <c r="AQ74" s="123">
        <v>0.0</v>
      </c>
      <c r="AR74" s="122">
        <v>0.0</v>
      </c>
      <c r="AS74" s="123">
        <v>0.0</v>
      </c>
      <c r="AT74" s="122">
        <v>0.0</v>
      </c>
      <c r="AU74" s="124"/>
      <c r="AV74" s="124"/>
      <c r="AW74" s="123">
        <v>0.0</v>
      </c>
      <c r="AX74" s="123">
        <v>1663.2</v>
      </c>
      <c r="AY74" s="123" t="s">
        <v>31</v>
      </c>
      <c r="AZ74" s="123" t="s">
        <v>31</v>
      </c>
      <c r="BA74" s="123" t="s">
        <v>518</v>
      </c>
      <c r="BB74" s="123">
        <v>1.126100446E9</v>
      </c>
      <c r="BC74" s="123" t="s">
        <v>508</v>
      </c>
      <c r="BD74" s="123" t="s">
        <v>509</v>
      </c>
      <c r="BE74" s="124"/>
      <c r="BF74" s="124" t="s">
        <v>484</v>
      </c>
      <c r="BG74" s="124" t="s">
        <v>482</v>
      </c>
      <c r="BH74" s="123" t="s">
        <v>510</v>
      </c>
      <c r="BI74" s="171" t="s">
        <v>511</v>
      </c>
      <c r="BJ74" s="171" t="s">
        <v>512</v>
      </c>
      <c r="BK74" s="171" t="s">
        <v>703</v>
      </c>
      <c r="BL74" s="171">
        <v>4050.0</v>
      </c>
      <c r="BM74" s="171">
        <v>4050.0</v>
      </c>
      <c r="BN74" s="171">
        <v>0.0</v>
      </c>
      <c r="BO74" s="171" t="s">
        <v>514</v>
      </c>
      <c r="BP74" s="171">
        <v>9173789.0</v>
      </c>
      <c r="BQ74" s="171" t="s">
        <v>483</v>
      </c>
      <c r="BR74" s="171" t="s">
        <v>479</v>
      </c>
      <c r="BS74" s="171">
        <v>1.0</v>
      </c>
    </row>
    <row r="75" ht="14.25" customHeight="1">
      <c r="A75" s="122" t="s">
        <v>493</v>
      </c>
      <c r="B75" s="123" t="s">
        <v>494</v>
      </c>
      <c r="C75" s="123">
        <v>107.0</v>
      </c>
      <c r="D75" s="123" t="s">
        <v>146</v>
      </c>
      <c r="E75" s="123" t="s">
        <v>147</v>
      </c>
      <c r="F75" s="124"/>
      <c r="G75" s="123" t="s">
        <v>149</v>
      </c>
      <c r="H75" s="123" t="s">
        <v>2</v>
      </c>
      <c r="I75" s="123" t="s">
        <v>495</v>
      </c>
      <c r="J75" s="123" t="s">
        <v>496</v>
      </c>
      <c r="K75" s="123" t="s">
        <v>497</v>
      </c>
      <c r="L75" s="123" t="s">
        <v>498</v>
      </c>
      <c r="M75" s="125">
        <v>46140.0</v>
      </c>
      <c r="N75" s="123" t="s">
        <v>551</v>
      </c>
      <c r="O75" s="123">
        <v>9175014.0</v>
      </c>
      <c r="P75" s="125">
        <v>46129.0</v>
      </c>
      <c r="Q75" s="123" t="s">
        <v>500</v>
      </c>
      <c r="R75" s="123">
        <v>15979.0</v>
      </c>
      <c r="S75" s="123" t="s">
        <v>552</v>
      </c>
      <c r="T75" s="123" t="s">
        <v>539</v>
      </c>
      <c r="U75" s="123" t="s">
        <v>553</v>
      </c>
      <c r="V75" s="122" t="s">
        <v>504</v>
      </c>
      <c r="W75" s="124"/>
      <c r="X75" s="123">
        <v>30.6</v>
      </c>
      <c r="Y75" s="123">
        <v>15.0</v>
      </c>
      <c r="Z75" s="123">
        <v>459.0</v>
      </c>
      <c r="AA75" s="122" t="s">
        <v>157</v>
      </c>
      <c r="AB75" s="123" t="s">
        <v>551</v>
      </c>
      <c r="AC75" s="125">
        <v>46129.0</v>
      </c>
      <c r="AD75" s="123" t="s">
        <v>505</v>
      </c>
      <c r="AE75" s="123">
        <v>3.819001E7</v>
      </c>
      <c r="AF75" s="123" t="s">
        <v>704</v>
      </c>
      <c r="AG75" s="124"/>
      <c r="AH75" s="124"/>
      <c r="AI75" s="123">
        <v>459.0</v>
      </c>
      <c r="AJ75" s="123" t="s">
        <v>159</v>
      </c>
      <c r="AK75" s="123">
        <v>18.0</v>
      </c>
      <c r="AL75" s="123">
        <v>41.31</v>
      </c>
      <c r="AM75" s="123">
        <v>41.31</v>
      </c>
      <c r="AN75" s="123">
        <v>0.0</v>
      </c>
      <c r="AO75" s="123">
        <v>0.0</v>
      </c>
      <c r="AP75" s="123">
        <v>0.0</v>
      </c>
      <c r="AQ75" s="123">
        <v>0.0</v>
      </c>
      <c r="AR75" s="122">
        <v>0.0</v>
      </c>
      <c r="AS75" s="123">
        <v>0.0</v>
      </c>
      <c r="AT75" s="122">
        <v>0.0</v>
      </c>
      <c r="AU75" s="124"/>
      <c r="AV75" s="124"/>
      <c r="AW75" s="123">
        <v>0.0</v>
      </c>
      <c r="AX75" s="123">
        <v>541.62</v>
      </c>
      <c r="AY75" s="123" t="s">
        <v>31</v>
      </c>
      <c r="AZ75" s="123" t="s">
        <v>31</v>
      </c>
      <c r="BA75" s="123" t="s">
        <v>555</v>
      </c>
      <c r="BB75" s="123">
        <v>1.126100447E9</v>
      </c>
      <c r="BC75" s="123" t="s">
        <v>556</v>
      </c>
      <c r="BD75" s="123" t="s">
        <v>509</v>
      </c>
      <c r="BE75" s="124"/>
      <c r="BF75" s="124" t="s">
        <v>484</v>
      </c>
      <c r="BG75" s="124" t="s">
        <v>482</v>
      </c>
      <c r="BH75" s="123" t="s">
        <v>510</v>
      </c>
      <c r="BI75" s="171" t="s">
        <v>511</v>
      </c>
      <c r="BJ75" s="171" t="s">
        <v>512</v>
      </c>
      <c r="BK75" s="171" t="s">
        <v>519</v>
      </c>
      <c r="BL75" s="171">
        <v>489.91</v>
      </c>
      <c r="BM75" s="171">
        <v>36494.74</v>
      </c>
      <c r="BN75" s="171">
        <v>-36005.0</v>
      </c>
      <c r="BO75" s="171" t="s">
        <v>514</v>
      </c>
      <c r="BP75" s="171">
        <v>9174963.0</v>
      </c>
      <c r="BQ75" s="171" t="s">
        <v>484</v>
      </c>
      <c r="BR75" s="171" t="s">
        <v>479</v>
      </c>
      <c r="BS75" s="171">
        <v>36.0</v>
      </c>
    </row>
    <row r="76" ht="14.25" customHeight="1">
      <c r="A76" s="122" t="s">
        <v>493</v>
      </c>
      <c r="B76" s="123" t="s">
        <v>494</v>
      </c>
      <c r="C76" s="123">
        <v>107.0</v>
      </c>
      <c r="D76" s="123" t="s">
        <v>146</v>
      </c>
      <c r="E76" s="123" t="s">
        <v>147</v>
      </c>
      <c r="F76" s="124"/>
      <c r="G76" s="123" t="s">
        <v>149</v>
      </c>
      <c r="H76" s="123" t="s">
        <v>2</v>
      </c>
      <c r="I76" s="123" t="s">
        <v>495</v>
      </c>
      <c r="J76" s="123" t="s">
        <v>528</v>
      </c>
      <c r="K76" s="123" t="s">
        <v>497</v>
      </c>
      <c r="L76" s="123" t="s">
        <v>498</v>
      </c>
      <c r="M76" s="125">
        <v>46140.0</v>
      </c>
      <c r="N76" s="123">
        <v>446.0</v>
      </c>
      <c r="O76" s="123">
        <v>9175031.0</v>
      </c>
      <c r="P76" s="125">
        <v>46129.0</v>
      </c>
      <c r="Q76" s="123" t="s">
        <v>500</v>
      </c>
      <c r="R76" s="123">
        <v>18837.0</v>
      </c>
      <c r="S76" s="123" t="s">
        <v>705</v>
      </c>
      <c r="T76" s="123" t="s">
        <v>706</v>
      </c>
      <c r="U76" s="123" t="s">
        <v>707</v>
      </c>
      <c r="V76" s="122" t="s">
        <v>708</v>
      </c>
      <c r="W76" s="124"/>
      <c r="X76" s="123">
        <v>11000.0</v>
      </c>
      <c r="Y76" s="123">
        <v>1.0</v>
      </c>
      <c r="Z76" s="123">
        <v>11000.0</v>
      </c>
      <c r="AA76" s="122" t="s">
        <v>157</v>
      </c>
      <c r="AB76" s="123">
        <v>446.0</v>
      </c>
      <c r="AC76" s="125">
        <v>46129.0</v>
      </c>
      <c r="AD76" s="123" t="s">
        <v>505</v>
      </c>
      <c r="AE76" s="123">
        <v>995400.0</v>
      </c>
      <c r="AF76" s="123" t="s">
        <v>709</v>
      </c>
      <c r="AG76" s="124"/>
      <c r="AH76" s="124"/>
      <c r="AI76" s="123">
        <v>11000.0</v>
      </c>
      <c r="AJ76" s="123" t="s">
        <v>159</v>
      </c>
      <c r="AK76" s="123">
        <v>18.0</v>
      </c>
      <c r="AL76" s="123">
        <v>990.0</v>
      </c>
      <c r="AM76" s="123">
        <v>990.0</v>
      </c>
      <c r="AN76" s="123">
        <v>0.0</v>
      </c>
      <c r="AO76" s="123">
        <v>0.0</v>
      </c>
      <c r="AP76" s="123">
        <v>0.0</v>
      </c>
      <c r="AQ76" s="123">
        <v>0.0</v>
      </c>
      <c r="AR76" s="122">
        <v>0.0</v>
      </c>
      <c r="AS76" s="123">
        <v>0.0</v>
      </c>
      <c r="AT76" s="122">
        <v>0.0</v>
      </c>
      <c r="AU76" s="124"/>
      <c r="AV76" s="124"/>
      <c r="AW76" s="123">
        <v>0.0</v>
      </c>
      <c r="AX76" s="123">
        <v>12980.0</v>
      </c>
      <c r="AY76" s="123" t="s">
        <v>20</v>
      </c>
      <c r="AZ76" s="123" t="s">
        <v>31</v>
      </c>
      <c r="BA76" s="123" t="s">
        <v>710</v>
      </c>
      <c r="BB76" s="123">
        <v>1.126100448E9</v>
      </c>
      <c r="BC76" s="123" t="s">
        <v>187</v>
      </c>
      <c r="BD76" s="123" t="s">
        <v>162</v>
      </c>
      <c r="BE76" s="124"/>
      <c r="BF76" s="124" t="s">
        <v>483</v>
      </c>
      <c r="BG76" s="124" t="s">
        <v>482</v>
      </c>
      <c r="BH76" s="123" t="s">
        <v>587</v>
      </c>
      <c r="BI76" s="171" t="s">
        <v>511</v>
      </c>
      <c r="BJ76" s="171" t="s">
        <v>512</v>
      </c>
      <c r="BK76" s="171" t="s">
        <v>519</v>
      </c>
      <c r="BL76" s="171">
        <v>253.71</v>
      </c>
      <c r="BM76" s="171">
        <v>36494.74</v>
      </c>
      <c r="BN76" s="171">
        <v>-36241.0</v>
      </c>
      <c r="BO76" s="171" t="s">
        <v>514</v>
      </c>
      <c r="BP76" s="171">
        <v>9174963.0</v>
      </c>
      <c r="BQ76" s="171" t="s">
        <v>484</v>
      </c>
      <c r="BR76" s="171" t="s">
        <v>479</v>
      </c>
      <c r="BS76" s="171">
        <v>36.0</v>
      </c>
    </row>
    <row r="77" ht="14.25" customHeight="1">
      <c r="A77" s="122" t="s">
        <v>493</v>
      </c>
      <c r="B77" s="123" t="s">
        <v>494</v>
      </c>
      <c r="C77" s="123">
        <v>107.0</v>
      </c>
      <c r="D77" s="123" t="s">
        <v>146</v>
      </c>
      <c r="E77" s="123" t="s">
        <v>147</v>
      </c>
      <c r="F77" s="124"/>
      <c r="G77" s="123" t="s">
        <v>149</v>
      </c>
      <c r="H77" s="123" t="s">
        <v>2</v>
      </c>
      <c r="I77" s="123" t="s">
        <v>495</v>
      </c>
      <c r="J77" s="123" t="s">
        <v>528</v>
      </c>
      <c r="K77" s="123" t="s">
        <v>529</v>
      </c>
      <c r="L77" s="123" t="s">
        <v>498</v>
      </c>
      <c r="M77" s="125">
        <v>46133.0</v>
      </c>
      <c r="N77" s="123" t="s">
        <v>711</v>
      </c>
      <c r="O77" s="123">
        <v>9164653.0</v>
      </c>
      <c r="P77" s="125">
        <v>46127.0</v>
      </c>
      <c r="Q77" s="123" t="s">
        <v>500</v>
      </c>
      <c r="R77" s="123">
        <v>39845.0</v>
      </c>
      <c r="S77" s="123" t="s">
        <v>712</v>
      </c>
      <c r="T77" s="123" t="s">
        <v>713</v>
      </c>
      <c r="U77" s="123" t="s">
        <v>714</v>
      </c>
      <c r="V77" s="122" t="s">
        <v>504</v>
      </c>
      <c r="W77" s="124"/>
      <c r="X77" s="123">
        <v>1.0</v>
      </c>
      <c r="Y77" s="123">
        <v>4457.16</v>
      </c>
      <c r="Z77" s="123">
        <v>4457.16</v>
      </c>
      <c r="AA77" s="122" t="s">
        <v>157</v>
      </c>
      <c r="AB77" s="123" t="s">
        <v>711</v>
      </c>
      <c r="AC77" s="125">
        <v>46127.0</v>
      </c>
      <c r="AD77" s="123" t="s">
        <v>505</v>
      </c>
      <c r="AE77" s="123">
        <v>1.704909E7</v>
      </c>
      <c r="AF77" s="123" t="s">
        <v>715</v>
      </c>
      <c r="AG77" s="124"/>
      <c r="AH77" s="124"/>
      <c r="AI77" s="123">
        <v>4457.16</v>
      </c>
      <c r="AJ77" s="123" t="s">
        <v>159</v>
      </c>
      <c r="AK77" s="123">
        <v>5.0</v>
      </c>
      <c r="AL77" s="123">
        <v>0.0</v>
      </c>
      <c r="AM77" s="123">
        <v>0.0</v>
      </c>
      <c r="AN77" s="123">
        <v>222.86</v>
      </c>
      <c r="AO77" s="123">
        <v>0.0</v>
      </c>
      <c r="AP77" s="123">
        <v>0.0</v>
      </c>
      <c r="AQ77" s="123">
        <v>0.0</v>
      </c>
      <c r="AR77" s="122">
        <v>0.0</v>
      </c>
      <c r="AS77" s="123">
        <v>0.0</v>
      </c>
      <c r="AT77" s="122">
        <v>0.0</v>
      </c>
      <c r="AU77" s="124"/>
      <c r="AV77" s="124"/>
      <c r="AW77" s="123">
        <v>0.0</v>
      </c>
      <c r="AX77" s="123">
        <v>4680.02</v>
      </c>
      <c r="AY77" s="123" t="s">
        <v>31</v>
      </c>
      <c r="AZ77" s="123" t="s">
        <v>31</v>
      </c>
      <c r="BA77" s="123" t="s">
        <v>640</v>
      </c>
      <c r="BB77" s="123">
        <v>1.126100308E9</v>
      </c>
      <c r="BC77" s="123" t="s">
        <v>716</v>
      </c>
      <c r="BD77" s="123" t="s">
        <v>586</v>
      </c>
      <c r="BE77" s="124"/>
      <c r="BF77" s="124" t="s">
        <v>484</v>
      </c>
      <c r="BG77" s="124" t="s">
        <v>482</v>
      </c>
      <c r="BH77" s="123" t="s">
        <v>510</v>
      </c>
      <c r="BI77" s="171" t="s">
        <v>511</v>
      </c>
      <c r="BJ77" s="171" t="s">
        <v>512</v>
      </c>
      <c r="BK77" s="171" t="s">
        <v>563</v>
      </c>
      <c r="BL77" s="171">
        <v>82.62</v>
      </c>
      <c r="BM77" s="171">
        <v>2435.38</v>
      </c>
      <c r="BN77" s="171">
        <v>-2353.0</v>
      </c>
      <c r="BO77" s="171" t="s">
        <v>514</v>
      </c>
      <c r="BP77" s="171">
        <v>9175014.0</v>
      </c>
      <c r="BQ77" s="171" t="s">
        <v>484</v>
      </c>
      <c r="BR77" s="171" t="s">
        <v>479</v>
      </c>
      <c r="BS77" s="171">
        <v>18.0</v>
      </c>
    </row>
    <row r="78" ht="14.25" customHeight="1">
      <c r="A78" s="122" t="s">
        <v>493</v>
      </c>
      <c r="B78" s="123" t="s">
        <v>494</v>
      </c>
      <c r="C78" s="123">
        <v>107.0</v>
      </c>
      <c r="D78" s="123" t="s">
        <v>146</v>
      </c>
      <c r="E78" s="123" t="s">
        <v>147</v>
      </c>
      <c r="F78" s="124"/>
      <c r="G78" s="123" t="s">
        <v>149</v>
      </c>
      <c r="H78" s="123" t="s">
        <v>2</v>
      </c>
      <c r="I78" s="123" t="s">
        <v>495</v>
      </c>
      <c r="J78" s="123" t="s">
        <v>496</v>
      </c>
      <c r="K78" s="123" t="s">
        <v>497</v>
      </c>
      <c r="L78" s="123" t="s">
        <v>498</v>
      </c>
      <c r="M78" s="125">
        <v>46127.0</v>
      </c>
      <c r="N78" s="123" t="s">
        <v>499</v>
      </c>
      <c r="O78" s="123">
        <v>9158398.0</v>
      </c>
      <c r="P78" s="125">
        <v>46090.0</v>
      </c>
      <c r="Q78" s="123" t="s">
        <v>500</v>
      </c>
      <c r="R78" s="123">
        <v>35671.0</v>
      </c>
      <c r="S78" s="123" t="s">
        <v>501</v>
      </c>
      <c r="T78" s="123" t="s">
        <v>502</v>
      </c>
      <c r="U78" s="123" t="s">
        <v>503</v>
      </c>
      <c r="V78" s="122" t="s">
        <v>504</v>
      </c>
      <c r="W78" s="124"/>
      <c r="X78" s="123">
        <v>275.0</v>
      </c>
      <c r="Y78" s="123">
        <v>14.0</v>
      </c>
      <c r="Z78" s="123">
        <v>3850.0</v>
      </c>
      <c r="AA78" s="122" t="s">
        <v>157</v>
      </c>
      <c r="AB78" s="123" t="s">
        <v>499</v>
      </c>
      <c r="AC78" s="125">
        <v>46121.0</v>
      </c>
      <c r="AD78" s="123" t="s">
        <v>505</v>
      </c>
      <c r="AE78" s="123">
        <v>998729.0</v>
      </c>
      <c r="AF78" s="123" t="s">
        <v>717</v>
      </c>
      <c r="AG78" s="124"/>
      <c r="AH78" s="124"/>
      <c r="AI78" s="123">
        <v>3850.0</v>
      </c>
      <c r="AJ78" s="123" t="s">
        <v>159</v>
      </c>
      <c r="AK78" s="123">
        <v>18.0</v>
      </c>
      <c r="AL78" s="123">
        <v>0.0</v>
      </c>
      <c r="AM78" s="123">
        <v>0.0</v>
      </c>
      <c r="AN78" s="123">
        <v>693.0</v>
      </c>
      <c r="AO78" s="123">
        <v>0.0</v>
      </c>
      <c r="AP78" s="123">
        <v>0.0</v>
      </c>
      <c r="AQ78" s="123">
        <v>0.0</v>
      </c>
      <c r="AR78" s="122">
        <v>0.0</v>
      </c>
      <c r="AS78" s="123">
        <v>0.0</v>
      </c>
      <c r="AT78" s="122">
        <v>0.0</v>
      </c>
      <c r="AU78" s="124"/>
      <c r="AV78" s="124"/>
      <c r="AW78" s="123">
        <v>0.0</v>
      </c>
      <c r="AX78" s="123">
        <v>4543.0</v>
      </c>
      <c r="AY78" s="123" t="s">
        <v>31</v>
      </c>
      <c r="AZ78" s="123" t="s">
        <v>31</v>
      </c>
      <c r="BA78" s="123" t="s">
        <v>507</v>
      </c>
      <c r="BB78" s="123">
        <v>1.126100105E9</v>
      </c>
      <c r="BC78" s="123" t="s">
        <v>508</v>
      </c>
      <c r="BD78" s="123" t="s">
        <v>509</v>
      </c>
      <c r="BE78" s="124"/>
      <c r="BF78" s="124" t="s">
        <v>484</v>
      </c>
      <c r="BG78" s="124" t="s">
        <v>482</v>
      </c>
      <c r="BH78" s="123" t="s">
        <v>510</v>
      </c>
      <c r="BI78" s="171" t="s">
        <v>511</v>
      </c>
      <c r="BJ78" s="171" t="s">
        <v>512</v>
      </c>
      <c r="BK78" s="171" t="s">
        <v>718</v>
      </c>
      <c r="BL78" s="171">
        <v>1980.0</v>
      </c>
      <c r="BM78" s="171">
        <v>1980.0</v>
      </c>
      <c r="BN78" s="171">
        <v>0.0</v>
      </c>
      <c r="BO78" s="171" t="s">
        <v>514</v>
      </c>
      <c r="BP78" s="171">
        <v>9175031.0</v>
      </c>
      <c r="BQ78" s="171" t="s">
        <v>483</v>
      </c>
      <c r="BR78" s="171" t="s">
        <v>479</v>
      </c>
      <c r="BS78" s="171">
        <v>1.0</v>
      </c>
    </row>
    <row r="79" ht="14.25" customHeight="1">
      <c r="A79" s="122" t="s">
        <v>493</v>
      </c>
      <c r="B79" s="123" t="s">
        <v>494</v>
      </c>
      <c r="C79" s="123">
        <v>107.0</v>
      </c>
      <c r="D79" s="123" t="s">
        <v>146</v>
      </c>
      <c r="E79" s="123" t="s">
        <v>147</v>
      </c>
      <c r="F79" s="124"/>
      <c r="G79" s="124" t="s">
        <v>149</v>
      </c>
      <c r="H79" s="123" t="s">
        <v>2</v>
      </c>
      <c r="I79" s="123" t="s">
        <v>495</v>
      </c>
      <c r="J79" s="123" t="s">
        <v>496</v>
      </c>
      <c r="K79" s="123" t="s">
        <v>497</v>
      </c>
      <c r="L79" s="123" t="s">
        <v>498</v>
      </c>
      <c r="M79" s="125">
        <v>46127.0</v>
      </c>
      <c r="N79" s="123" t="s">
        <v>499</v>
      </c>
      <c r="O79" s="123">
        <v>9158398.0</v>
      </c>
      <c r="P79" s="125">
        <v>46090.0</v>
      </c>
      <c r="Q79" s="123" t="s">
        <v>500</v>
      </c>
      <c r="R79" s="123">
        <v>35671.0</v>
      </c>
      <c r="S79" s="123" t="s">
        <v>501</v>
      </c>
      <c r="T79" s="123" t="s">
        <v>502</v>
      </c>
      <c r="U79" s="123" t="s">
        <v>503</v>
      </c>
      <c r="V79" s="122" t="s">
        <v>504</v>
      </c>
      <c r="W79" s="124"/>
      <c r="X79" s="123">
        <v>275.0</v>
      </c>
      <c r="Y79" s="123">
        <v>2.0</v>
      </c>
      <c r="Z79" s="123">
        <v>550.0</v>
      </c>
      <c r="AA79" s="122" t="s">
        <v>157</v>
      </c>
      <c r="AB79" s="123" t="s">
        <v>499</v>
      </c>
      <c r="AC79" s="125">
        <v>46121.0</v>
      </c>
      <c r="AD79" s="123" t="s">
        <v>505</v>
      </c>
      <c r="AE79" s="123">
        <v>998729.0</v>
      </c>
      <c r="AF79" s="123" t="s">
        <v>719</v>
      </c>
      <c r="AG79" s="124"/>
      <c r="AH79" s="124"/>
      <c r="AI79" s="123">
        <v>550.0</v>
      </c>
      <c r="AJ79" s="123" t="s">
        <v>159</v>
      </c>
      <c r="AK79" s="123">
        <v>18.0</v>
      </c>
      <c r="AL79" s="123">
        <v>0.0</v>
      </c>
      <c r="AM79" s="123">
        <v>0.0</v>
      </c>
      <c r="AN79" s="123">
        <v>99.0</v>
      </c>
      <c r="AO79" s="123">
        <v>0.0</v>
      </c>
      <c r="AP79" s="123">
        <v>0.0</v>
      </c>
      <c r="AQ79" s="123">
        <v>0.0</v>
      </c>
      <c r="AR79" s="122">
        <v>0.0</v>
      </c>
      <c r="AS79" s="123">
        <v>0.0</v>
      </c>
      <c r="AT79" s="122">
        <v>0.0</v>
      </c>
      <c r="AU79" s="124"/>
      <c r="AV79" s="124"/>
      <c r="AW79" s="123">
        <v>0.0</v>
      </c>
      <c r="AX79" s="123">
        <v>649.0</v>
      </c>
      <c r="AY79" s="123" t="s">
        <v>31</v>
      </c>
      <c r="AZ79" s="123" t="s">
        <v>31</v>
      </c>
      <c r="BA79" s="123" t="s">
        <v>507</v>
      </c>
      <c r="BB79" s="123">
        <v>1.126100105E9</v>
      </c>
      <c r="BC79" s="123" t="s">
        <v>508</v>
      </c>
      <c r="BD79" s="123" t="s">
        <v>509</v>
      </c>
      <c r="BE79" s="124"/>
      <c r="BF79" s="124" t="s">
        <v>484</v>
      </c>
      <c r="BG79" s="124" t="s">
        <v>482</v>
      </c>
      <c r="BH79" s="123" t="s">
        <v>510</v>
      </c>
      <c r="BI79" s="171" t="s">
        <v>511</v>
      </c>
      <c r="BJ79" s="171" t="s">
        <v>512</v>
      </c>
      <c r="BK79" s="171" t="s">
        <v>720</v>
      </c>
      <c r="BL79" s="171">
        <v>222.86</v>
      </c>
      <c r="BM79" s="171">
        <v>1632.71</v>
      </c>
      <c r="BN79" s="171">
        <v>-1410.0</v>
      </c>
      <c r="BO79" s="171" t="s">
        <v>514</v>
      </c>
      <c r="BP79" s="171">
        <v>9164653.0</v>
      </c>
      <c r="BQ79" s="171" t="s">
        <v>484</v>
      </c>
      <c r="BR79" s="171" t="s">
        <v>479</v>
      </c>
      <c r="BS79" s="171">
        <v>3.0</v>
      </c>
    </row>
    <row r="80" ht="14.25" customHeight="1">
      <c r="A80" s="122" t="s">
        <v>493</v>
      </c>
      <c r="B80" s="123" t="s">
        <v>494</v>
      </c>
      <c r="C80" s="123">
        <v>107.0</v>
      </c>
      <c r="D80" s="123" t="s">
        <v>146</v>
      </c>
      <c r="E80" s="123" t="s">
        <v>147</v>
      </c>
      <c r="F80" s="124"/>
      <c r="G80" s="123" t="s">
        <v>149</v>
      </c>
      <c r="H80" s="123" t="s">
        <v>2</v>
      </c>
      <c r="I80" s="123" t="s">
        <v>495</v>
      </c>
      <c r="J80" s="123" t="s">
        <v>496</v>
      </c>
      <c r="K80" s="123" t="s">
        <v>497</v>
      </c>
      <c r="L80" s="123" t="s">
        <v>498</v>
      </c>
      <c r="M80" s="125">
        <v>46140.0</v>
      </c>
      <c r="N80" s="123" t="s">
        <v>516</v>
      </c>
      <c r="O80" s="123">
        <v>9174963.0</v>
      </c>
      <c r="P80" s="125">
        <v>46129.0</v>
      </c>
      <c r="Q80" s="123" t="s">
        <v>500</v>
      </c>
      <c r="R80" s="123">
        <v>35671.0</v>
      </c>
      <c r="S80" s="123" t="s">
        <v>501</v>
      </c>
      <c r="T80" s="123" t="s">
        <v>502</v>
      </c>
      <c r="U80" s="123" t="s">
        <v>503</v>
      </c>
      <c r="V80" s="122" t="s">
        <v>504</v>
      </c>
      <c r="W80" s="124"/>
      <c r="X80" s="123">
        <v>275.0</v>
      </c>
      <c r="Y80" s="123">
        <v>24.0</v>
      </c>
      <c r="Z80" s="123">
        <v>6600.0</v>
      </c>
      <c r="AA80" s="122" t="s">
        <v>157</v>
      </c>
      <c r="AB80" s="123" t="s">
        <v>516</v>
      </c>
      <c r="AC80" s="125">
        <v>46129.0</v>
      </c>
      <c r="AD80" s="123" t="s">
        <v>505</v>
      </c>
      <c r="AE80" s="123">
        <v>998729.0</v>
      </c>
      <c r="AF80" s="123" t="s">
        <v>721</v>
      </c>
      <c r="AG80" s="124"/>
      <c r="AH80" s="124"/>
      <c r="AI80" s="123">
        <v>6600.0</v>
      </c>
      <c r="AJ80" s="123" t="s">
        <v>159</v>
      </c>
      <c r="AK80" s="123">
        <v>18.0</v>
      </c>
      <c r="AL80" s="123">
        <v>0.0</v>
      </c>
      <c r="AM80" s="123">
        <v>0.0</v>
      </c>
      <c r="AN80" s="123">
        <v>1188.0</v>
      </c>
      <c r="AO80" s="123">
        <v>0.0</v>
      </c>
      <c r="AP80" s="123">
        <v>0.0</v>
      </c>
      <c r="AQ80" s="123">
        <v>0.0</v>
      </c>
      <c r="AR80" s="122">
        <v>0.0</v>
      </c>
      <c r="AS80" s="123">
        <v>0.0</v>
      </c>
      <c r="AT80" s="122">
        <v>0.0</v>
      </c>
      <c r="AU80" s="124"/>
      <c r="AV80" s="124"/>
      <c r="AW80" s="123">
        <v>0.0</v>
      </c>
      <c r="AX80" s="123">
        <v>7788.0</v>
      </c>
      <c r="AY80" s="123" t="s">
        <v>31</v>
      </c>
      <c r="AZ80" s="123" t="s">
        <v>31</v>
      </c>
      <c r="BA80" s="123" t="s">
        <v>518</v>
      </c>
      <c r="BB80" s="123">
        <v>1.126100446E9</v>
      </c>
      <c r="BC80" s="123" t="s">
        <v>508</v>
      </c>
      <c r="BD80" s="123" t="s">
        <v>509</v>
      </c>
      <c r="BE80" s="124"/>
      <c r="BF80" s="124" t="s">
        <v>484</v>
      </c>
      <c r="BG80" s="124" t="s">
        <v>482</v>
      </c>
      <c r="BH80" s="123" t="s">
        <v>510</v>
      </c>
      <c r="BI80" s="171" t="s">
        <v>511</v>
      </c>
      <c r="BJ80" s="171" t="s">
        <v>512</v>
      </c>
      <c r="BK80" s="171" t="s">
        <v>513</v>
      </c>
      <c r="BL80" s="171">
        <v>693.0</v>
      </c>
      <c r="BM80" s="171">
        <v>38182.88</v>
      </c>
      <c r="BN80" s="171">
        <v>-37490.0</v>
      </c>
      <c r="BO80" s="171" t="s">
        <v>514</v>
      </c>
      <c r="BP80" s="171">
        <v>9158398.0</v>
      </c>
      <c r="BQ80" s="171" t="s">
        <v>484</v>
      </c>
      <c r="BR80" s="171" t="s">
        <v>479</v>
      </c>
      <c r="BS80" s="171">
        <v>37.0</v>
      </c>
    </row>
    <row r="81" ht="14.25" customHeight="1">
      <c r="A81" s="122" t="s">
        <v>493</v>
      </c>
      <c r="B81" s="123" t="s">
        <v>494</v>
      </c>
      <c r="C81" s="123">
        <v>107.0</v>
      </c>
      <c r="D81" s="123" t="s">
        <v>146</v>
      </c>
      <c r="E81" s="123" t="s">
        <v>147</v>
      </c>
      <c r="F81" s="124"/>
      <c r="G81" s="123" t="s">
        <v>149</v>
      </c>
      <c r="H81" s="123" t="s">
        <v>2</v>
      </c>
      <c r="I81" s="123" t="s">
        <v>495</v>
      </c>
      <c r="J81" s="123" t="s">
        <v>496</v>
      </c>
      <c r="K81" s="123" t="s">
        <v>497</v>
      </c>
      <c r="L81" s="123" t="s">
        <v>498</v>
      </c>
      <c r="M81" s="125">
        <v>46140.0</v>
      </c>
      <c r="N81" s="123" t="s">
        <v>516</v>
      </c>
      <c r="O81" s="123">
        <v>9174963.0</v>
      </c>
      <c r="P81" s="125">
        <v>46129.0</v>
      </c>
      <c r="Q81" s="123" t="s">
        <v>500</v>
      </c>
      <c r="R81" s="123">
        <v>35671.0</v>
      </c>
      <c r="S81" s="123" t="s">
        <v>501</v>
      </c>
      <c r="T81" s="123" t="s">
        <v>502</v>
      </c>
      <c r="U81" s="123" t="s">
        <v>503</v>
      </c>
      <c r="V81" s="122" t="s">
        <v>504</v>
      </c>
      <c r="W81" s="124"/>
      <c r="X81" s="123">
        <v>7231.78</v>
      </c>
      <c r="Y81" s="123">
        <v>2.0</v>
      </c>
      <c r="Z81" s="123">
        <v>14463.56</v>
      </c>
      <c r="AA81" s="122" t="s">
        <v>157</v>
      </c>
      <c r="AB81" s="123" t="s">
        <v>516</v>
      </c>
      <c r="AC81" s="125">
        <v>46129.0</v>
      </c>
      <c r="AD81" s="123" t="s">
        <v>505</v>
      </c>
      <c r="AE81" s="123">
        <v>3.4053E7</v>
      </c>
      <c r="AF81" s="123" t="s">
        <v>722</v>
      </c>
      <c r="AG81" s="124"/>
      <c r="AH81" s="124"/>
      <c r="AI81" s="123">
        <v>14463.56</v>
      </c>
      <c r="AJ81" s="123" t="s">
        <v>159</v>
      </c>
      <c r="AK81" s="123">
        <v>18.0</v>
      </c>
      <c r="AL81" s="123">
        <v>0.0</v>
      </c>
      <c r="AM81" s="123">
        <v>0.0</v>
      </c>
      <c r="AN81" s="123">
        <v>2603.44</v>
      </c>
      <c r="AO81" s="123">
        <v>0.0</v>
      </c>
      <c r="AP81" s="123">
        <v>0.0</v>
      </c>
      <c r="AQ81" s="123">
        <v>0.0</v>
      </c>
      <c r="AR81" s="122">
        <v>0.0</v>
      </c>
      <c r="AS81" s="123">
        <v>0.0</v>
      </c>
      <c r="AT81" s="122">
        <v>0.0</v>
      </c>
      <c r="AU81" s="124"/>
      <c r="AV81" s="124"/>
      <c r="AW81" s="123">
        <v>0.0</v>
      </c>
      <c r="AX81" s="123">
        <v>17067.0</v>
      </c>
      <c r="AY81" s="123" t="s">
        <v>31</v>
      </c>
      <c r="AZ81" s="123" t="s">
        <v>31</v>
      </c>
      <c r="BA81" s="123" t="s">
        <v>518</v>
      </c>
      <c r="BB81" s="123">
        <v>1.126100446E9</v>
      </c>
      <c r="BC81" s="123" t="s">
        <v>508</v>
      </c>
      <c r="BD81" s="123" t="s">
        <v>509</v>
      </c>
      <c r="BE81" s="124"/>
      <c r="BF81" s="124" t="s">
        <v>484</v>
      </c>
      <c r="BG81" s="124" t="s">
        <v>482</v>
      </c>
      <c r="BH81" s="123" t="s">
        <v>510</v>
      </c>
      <c r="BI81" s="171" t="s">
        <v>511</v>
      </c>
      <c r="BJ81" s="171" t="s">
        <v>512</v>
      </c>
      <c r="BK81" s="171" t="s">
        <v>513</v>
      </c>
      <c r="BL81" s="171">
        <v>99.0</v>
      </c>
      <c r="BM81" s="171">
        <v>38182.88</v>
      </c>
      <c r="BN81" s="171">
        <v>-38084.0</v>
      </c>
      <c r="BO81" s="171" t="s">
        <v>514</v>
      </c>
      <c r="BP81" s="171">
        <v>9158398.0</v>
      </c>
      <c r="BQ81" s="171" t="s">
        <v>484</v>
      </c>
      <c r="BR81" s="171" t="s">
        <v>479</v>
      </c>
      <c r="BS81" s="171">
        <v>37.0</v>
      </c>
    </row>
    <row r="82" ht="14.25" customHeight="1">
      <c r="A82" s="122" t="s">
        <v>493</v>
      </c>
      <c r="B82" s="123" t="s">
        <v>494</v>
      </c>
      <c r="C82" s="123">
        <v>107.0</v>
      </c>
      <c r="D82" s="123" t="s">
        <v>146</v>
      </c>
      <c r="E82" s="123" t="s">
        <v>147</v>
      </c>
      <c r="F82" s="124"/>
      <c r="G82" s="123" t="s">
        <v>149</v>
      </c>
      <c r="H82" s="123" t="s">
        <v>2</v>
      </c>
      <c r="I82" s="123" t="s">
        <v>495</v>
      </c>
      <c r="J82" s="123" t="s">
        <v>496</v>
      </c>
      <c r="K82" s="123" t="s">
        <v>497</v>
      </c>
      <c r="L82" s="123" t="s">
        <v>498</v>
      </c>
      <c r="M82" s="125">
        <v>46140.0</v>
      </c>
      <c r="N82" s="123" t="s">
        <v>551</v>
      </c>
      <c r="O82" s="123">
        <v>9175014.0</v>
      </c>
      <c r="P82" s="125">
        <v>46129.0</v>
      </c>
      <c r="Q82" s="123" t="s">
        <v>500</v>
      </c>
      <c r="R82" s="123">
        <v>15979.0</v>
      </c>
      <c r="S82" s="123" t="s">
        <v>552</v>
      </c>
      <c r="T82" s="123" t="s">
        <v>539</v>
      </c>
      <c r="U82" s="123" t="s">
        <v>553</v>
      </c>
      <c r="V82" s="122" t="s">
        <v>504</v>
      </c>
      <c r="W82" s="124"/>
      <c r="X82" s="123">
        <v>561.6</v>
      </c>
      <c r="Y82" s="123">
        <v>1.0</v>
      </c>
      <c r="Z82" s="123">
        <v>561.6</v>
      </c>
      <c r="AA82" s="122" t="s">
        <v>157</v>
      </c>
      <c r="AB82" s="123" t="s">
        <v>551</v>
      </c>
      <c r="AC82" s="125">
        <v>46129.0</v>
      </c>
      <c r="AD82" s="123" t="s">
        <v>505</v>
      </c>
      <c r="AE82" s="123">
        <v>998729.0</v>
      </c>
      <c r="AF82" s="123" t="s">
        <v>723</v>
      </c>
      <c r="AG82" s="124"/>
      <c r="AH82" s="124"/>
      <c r="AI82" s="123">
        <v>561.6</v>
      </c>
      <c r="AJ82" s="123" t="s">
        <v>159</v>
      </c>
      <c r="AK82" s="123">
        <v>18.0</v>
      </c>
      <c r="AL82" s="123">
        <v>50.54</v>
      </c>
      <c r="AM82" s="123">
        <v>50.54</v>
      </c>
      <c r="AN82" s="123">
        <v>0.0</v>
      </c>
      <c r="AO82" s="123">
        <v>0.0</v>
      </c>
      <c r="AP82" s="123">
        <v>0.0</v>
      </c>
      <c r="AQ82" s="123">
        <v>0.0</v>
      </c>
      <c r="AR82" s="122">
        <v>0.0</v>
      </c>
      <c r="AS82" s="123">
        <v>0.0</v>
      </c>
      <c r="AT82" s="122">
        <v>0.0</v>
      </c>
      <c r="AU82" s="124"/>
      <c r="AV82" s="124"/>
      <c r="AW82" s="123">
        <v>0.0</v>
      </c>
      <c r="AX82" s="123">
        <v>662.68</v>
      </c>
      <c r="AY82" s="123" t="s">
        <v>31</v>
      </c>
      <c r="AZ82" s="123" t="s">
        <v>31</v>
      </c>
      <c r="BA82" s="123" t="s">
        <v>555</v>
      </c>
      <c r="BB82" s="123">
        <v>1.126100447E9</v>
      </c>
      <c r="BC82" s="123" t="s">
        <v>556</v>
      </c>
      <c r="BD82" s="123" t="s">
        <v>509</v>
      </c>
      <c r="BE82" s="124"/>
      <c r="BF82" s="124" t="s">
        <v>484</v>
      </c>
      <c r="BG82" s="124" t="s">
        <v>482</v>
      </c>
      <c r="BH82" s="123" t="s">
        <v>510</v>
      </c>
      <c r="BI82" s="171" t="s">
        <v>511</v>
      </c>
      <c r="BJ82" s="171" t="s">
        <v>512</v>
      </c>
      <c r="BK82" s="171" t="s">
        <v>519</v>
      </c>
      <c r="BL82" s="171">
        <v>1188.0</v>
      </c>
      <c r="BM82" s="171">
        <v>36494.74</v>
      </c>
      <c r="BN82" s="171">
        <v>-35307.0</v>
      </c>
      <c r="BO82" s="171" t="s">
        <v>514</v>
      </c>
      <c r="BP82" s="171">
        <v>9174963.0</v>
      </c>
      <c r="BQ82" s="171" t="s">
        <v>484</v>
      </c>
      <c r="BR82" s="171" t="s">
        <v>479</v>
      </c>
      <c r="BS82" s="171">
        <v>36.0</v>
      </c>
    </row>
    <row r="83" ht="14.25" customHeight="1">
      <c r="A83" s="122" t="s">
        <v>493</v>
      </c>
      <c r="B83" s="123" t="s">
        <v>494</v>
      </c>
      <c r="C83" s="123">
        <v>107.0</v>
      </c>
      <c r="D83" s="123" t="s">
        <v>146</v>
      </c>
      <c r="E83" s="123" t="s">
        <v>147</v>
      </c>
      <c r="F83" s="124"/>
      <c r="G83" s="123" t="s">
        <v>149</v>
      </c>
      <c r="H83" s="123" t="s">
        <v>2</v>
      </c>
      <c r="I83" s="123" t="s">
        <v>495</v>
      </c>
      <c r="J83" s="123" t="s">
        <v>528</v>
      </c>
      <c r="K83" s="123" t="s">
        <v>529</v>
      </c>
      <c r="L83" s="123" t="s">
        <v>498</v>
      </c>
      <c r="M83" s="125">
        <v>46127.0</v>
      </c>
      <c r="N83" s="123" t="s">
        <v>724</v>
      </c>
      <c r="O83" s="123">
        <v>9156862.0</v>
      </c>
      <c r="P83" s="125">
        <v>46113.0</v>
      </c>
      <c r="Q83" s="123" t="s">
        <v>500</v>
      </c>
      <c r="R83" s="123">
        <v>2770.0</v>
      </c>
      <c r="S83" s="123" t="s">
        <v>531</v>
      </c>
      <c r="T83" s="123" t="s">
        <v>572</v>
      </c>
      <c r="U83" s="123" t="s">
        <v>573</v>
      </c>
      <c r="V83" s="122" t="s">
        <v>504</v>
      </c>
      <c r="W83" s="124"/>
      <c r="X83" s="123">
        <v>1.0</v>
      </c>
      <c r="Y83" s="123">
        <v>4365.0</v>
      </c>
      <c r="Z83" s="123">
        <v>4365.0</v>
      </c>
      <c r="AA83" s="122" t="s">
        <v>157</v>
      </c>
      <c r="AB83" s="123" t="s">
        <v>724</v>
      </c>
      <c r="AC83" s="125">
        <v>46113.0</v>
      </c>
      <c r="AD83" s="123" t="s">
        <v>505</v>
      </c>
      <c r="AE83" s="123">
        <v>997314.0</v>
      </c>
      <c r="AF83" s="123" t="s">
        <v>725</v>
      </c>
      <c r="AG83" s="124"/>
      <c r="AH83" s="124"/>
      <c r="AI83" s="123">
        <v>4365.0</v>
      </c>
      <c r="AJ83" s="123" t="s">
        <v>159</v>
      </c>
      <c r="AK83" s="123">
        <v>18.0</v>
      </c>
      <c r="AL83" s="123">
        <v>0.0</v>
      </c>
      <c r="AM83" s="123">
        <v>0.0</v>
      </c>
      <c r="AN83" s="123">
        <v>785.7</v>
      </c>
      <c r="AO83" s="123">
        <v>0.0</v>
      </c>
      <c r="AP83" s="123">
        <v>0.0</v>
      </c>
      <c r="AQ83" s="123">
        <v>0.0</v>
      </c>
      <c r="AR83" s="122">
        <v>0.0</v>
      </c>
      <c r="AS83" s="123">
        <v>0.0</v>
      </c>
      <c r="AT83" s="122">
        <v>0.0</v>
      </c>
      <c r="AU83" s="124"/>
      <c r="AV83" s="124"/>
      <c r="AW83" s="123">
        <v>0.0</v>
      </c>
      <c r="AX83" s="123">
        <v>5150.7</v>
      </c>
      <c r="AY83" s="123" t="s">
        <v>20</v>
      </c>
      <c r="AZ83" s="123" t="s">
        <v>31</v>
      </c>
      <c r="BA83" s="123" t="s">
        <v>726</v>
      </c>
      <c r="BB83" s="123">
        <v>1.126100091E9</v>
      </c>
      <c r="BC83" s="123" t="s">
        <v>161</v>
      </c>
      <c r="BD83" s="123" t="s">
        <v>162</v>
      </c>
      <c r="BE83" s="124"/>
      <c r="BF83" s="124" t="s">
        <v>483</v>
      </c>
      <c r="BG83" s="124" t="s">
        <v>482</v>
      </c>
      <c r="BH83" s="123" t="s">
        <v>510</v>
      </c>
      <c r="BI83" s="171" t="s">
        <v>511</v>
      </c>
      <c r="BJ83" s="171" t="s">
        <v>512</v>
      </c>
      <c r="BK83" s="171" t="s">
        <v>519</v>
      </c>
      <c r="BL83" s="171">
        <v>2603.44</v>
      </c>
      <c r="BM83" s="171">
        <v>36494.74</v>
      </c>
      <c r="BN83" s="171">
        <v>-33891.0</v>
      </c>
      <c r="BO83" s="171" t="s">
        <v>514</v>
      </c>
      <c r="BP83" s="171">
        <v>9174963.0</v>
      </c>
      <c r="BQ83" s="171" t="s">
        <v>484</v>
      </c>
      <c r="BR83" s="171" t="s">
        <v>479</v>
      </c>
      <c r="BS83" s="171">
        <v>36.0</v>
      </c>
    </row>
    <row r="84" ht="14.25" customHeight="1">
      <c r="A84" s="122" t="s">
        <v>493</v>
      </c>
      <c r="B84" s="123" t="s">
        <v>494</v>
      </c>
      <c r="C84" s="123">
        <v>107.0</v>
      </c>
      <c r="D84" s="123" t="s">
        <v>146</v>
      </c>
      <c r="E84" s="123" t="s">
        <v>147</v>
      </c>
      <c r="F84" s="124"/>
      <c r="G84" s="123" t="s">
        <v>149</v>
      </c>
      <c r="H84" s="123" t="s">
        <v>2</v>
      </c>
      <c r="I84" s="123" t="s">
        <v>495</v>
      </c>
      <c r="J84" s="123" t="s">
        <v>528</v>
      </c>
      <c r="K84" s="123" t="s">
        <v>497</v>
      </c>
      <c r="L84" s="123" t="s">
        <v>498</v>
      </c>
      <c r="M84" s="125">
        <v>46141.0</v>
      </c>
      <c r="N84" s="123" t="s">
        <v>727</v>
      </c>
      <c r="O84" s="123">
        <v>9177547.0</v>
      </c>
      <c r="P84" s="125">
        <v>46121.0</v>
      </c>
      <c r="Q84" s="123" t="s">
        <v>500</v>
      </c>
      <c r="R84" s="123">
        <v>3734.0</v>
      </c>
      <c r="S84" s="123" t="s">
        <v>643</v>
      </c>
      <c r="T84" s="123" t="s">
        <v>539</v>
      </c>
      <c r="U84" s="123" t="s">
        <v>644</v>
      </c>
      <c r="V84" s="122" t="s">
        <v>504</v>
      </c>
      <c r="W84" s="124"/>
      <c r="X84" s="123">
        <v>0.0</v>
      </c>
      <c r="Y84" s="123">
        <v>0.0</v>
      </c>
      <c r="Z84" s="123">
        <v>0.0</v>
      </c>
      <c r="AA84" s="122" t="s">
        <v>157</v>
      </c>
      <c r="AB84" s="123" t="s">
        <v>727</v>
      </c>
      <c r="AC84" s="125">
        <v>46121.0</v>
      </c>
      <c r="AD84" s="123" t="s">
        <v>505</v>
      </c>
      <c r="AE84" s="123">
        <v>998599.0</v>
      </c>
      <c r="AF84" s="123" t="s">
        <v>728</v>
      </c>
      <c r="AG84" s="124"/>
      <c r="AH84" s="124"/>
      <c r="AI84" s="123">
        <v>0.0</v>
      </c>
      <c r="AJ84" s="123" t="s">
        <v>159</v>
      </c>
      <c r="AK84" s="123">
        <v>18.0</v>
      </c>
      <c r="AL84" s="123">
        <v>1540.8</v>
      </c>
      <c r="AM84" s="123">
        <v>1540.8</v>
      </c>
      <c r="AN84" s="123">
        <v>0.0</v>
      </c>
      <c r="AO84" s="123">
        <v>0.0</v>
      </c>
      <c r="AP84" s="123">
        <v>0.0</v>
      </c>
      <c r="AQ84" s="123">
        <v>0.0</v>
      </c>
      <c r="AR84" s="122">
        <v>0.0</v>
      </c>
      <c r="AS84" s="123">
        <v>0.0</v>
      </c>
      <c r="AT84" s="122">
        <v>0.0</v>
      </c>
      <c r="AU84" s="124"/>
      <c r="AV84" s="124"/>
      <c r="AW84" s="123">
        <v>0.0</v>
      </c>
      <c r="AX84" s="123">
        <v>3081.6</v>
      </c>
      <c r="AY84" s="123" t="s">
        <v>31</v>
      </c>
      <c r="AZ84" s="123" t="s">
        <v>31</v>
      </c>
      <c r="BA84" s="123" t="s">
        <v>729</v>
      </c>
      <c r="BB84" s="123">
        <v>1.126100467E9</v>
      </c>
      <c r="BC84" s="123" t="s">
        <v>556</v>
      </c>
      <c r="BD84" s="123" t="s">
        <v>162</v>
      </c>
      <c r="BE84" s="124"/>
      <c r="BF84" s="124" t="s">
        <v>484</v>
      </c>
      <c r="BG84" s="124" t="s">
        <v>482</v>
      </c>
      <c r="BH84" s="123" t="s">
        <v>510</v>
      </c>
      <c r="BI84" s="171" t="s">
        <v>511</v>
      </c>
      <c r="BJ84" s="171" t="s">
        <v>512</v>
      </c>
      <c r="BK84" s="171" t="s">
        <v>563</v>
      </c>
      <c r="BL84" s="171">
        <v>101.08</v>
      </c>
      <c r="BM84" s="171">
        <v>2435.38</v>
      </c>
      <c r="BN84" s="171">
        <v>-2334.0</v>
      </c>
      <c r="BO84" s="171" t="s">
        <v>514</v>
      </c>
      <c r="BP84" s="171">
        <v>9175014.0</v>
      </c>
      <c r="BQ84" s="171" t="s">
        <v>484</v>
      </c>
      <c r="BR84" s="171" t="s">
        <v>479</v>
      </c>
      <c r="BS84" s="171">
        <v>18.0</v>
      </c>
    </row>
    <row r="85" ht="14.25" customHeight="1">
      <c r="A85" s="122" t="s">
        <v>493</v>
      </c>
      <c r="B85" s="123" t="s">
        <v>494</v>
      </c>
      <c r="C85" s="123">
        <v>107.0</v>
      </c>
      <c r="D85" s="123" t="s">
        <v>146</v>
      </c>
      <c r="E85" s="123" t="s">
        <v>147</v>
      </c>
      <c r="F85" s="124"/>
      <c r="G85" s="124"/>
      <c r="H85" s="123" t="s">
        <v>2</v>
      </c>
      <c r="I85" s="123" t="s">
        <v>495</v>
      </c>
      <c r="J85" s="123" t="s">
        <v>528</v>
      </c>
      <c r="K85" s="123" t="s">
        <v>497</v>
      </c>
      <c r="L85" s="123" t="s">
        <v>498</v>
      </c>
      <c r="M85" s="125">
        <v>46140.0</v>
      </c>
      <c r="N85" s="123" t="s">
        <v>551</v>
      </c>
      <c r="O85" s="123">
        <v>9175014.0</v>
      </c>
      <c r="P85" s="125">
        <v>46129.0</v>
      </c>
      <c r="Q85" s="123" t="s">
        <v>500</v>
      </c>
      <c r="R85" s="123">
        <v>15979.0</v>
      </c>
      <c r="S85" s="123" t="s">
        <v>552</v>
      </c>
      <c r="T85" s="123" t="s">
        <v>539</v>
      </c>
      <c r="U85" s="124" t="s">
        <v>553</v>
      </c>
      <c r="V85" s="122" t="s">
        <v>504</v>
      </c>
      <c r="W85" s="124"/>
      <c r="X85" s="123">
        <v>12500.0</v>
      </c>
      <c r="Y85" s="123">
        <v>1.0</v>
      </c>
      <c r="Z85" s="123">
        <v>-15965.3</v>
      </c>
      <c r="AA85" s="122" t="s">
        <v>157</v>
      </c>
      <c r="AB85" s="123" t="s">
        <v>551</v>
      </c>
      <c r="AC85" s="125">
        <v>46129.0</v>
      </c>
      <c r="AD85" s="124"/>
      <c r="AE85" s="123">
        <v>3.4029099E7</v>
      </c>
      <c r="AF85" s="123" t="s">
        <v>648</v>
      </c>
      <c r="AG85" s="124"/>
      <c r="AH85" s="124"/>
      <c r="AI85" s="123">
        <v>-15965.3</v>
      </c>
      <c r="AJ85" s="123" t="s">
        <v>159</v>
      </c>
      <c r="AK85" s="123">
        <v>0.0</v>
      </c>
      <c r="AL85" s="123">
        <v>0.0</v>
      </c>
      <c r="AM85" s="123">
        <v>0.0</v>
      </c>
      <c r="AN85" s="123">
        <v>0.0</v>
      </c>
      <c r="AO85" s="123">
        <v>0.0</v>
      </c>
      <c r="AP85" s="123">
        <v>0.0</v>
      </c>
      <c r="AQ85" s="123">
        <v>0.0</v>
      </c>
      <c r="AR85" s="122">
        <v>0.0</v>
      </c>
      <c r="AS85" s="123">
        <v>0.0</v>
      </c>
      <c r="AT85" s="122">
        <v>0.0</v>
      </c>
      <c r="AU85" s="124"/>
      <c r="AV85" s="124"/>
      <c r="AW85" s="123">
        <v>0.0</v>
      </c>
      <c r="AX85" s="123">
        <v>-15965.3</v>
      </c>
      <c r="AY85" s="123" t="s">
        <v>31</v>
      </c>
      <c r="AZ85" s="123" t="s">
        <v>31</v>
      </c>
      <c r="BA85" s="123" t="s">
        <v>555</v>
      </c>
      <c r="BB85" s="123">
        <v>1.126100447E9</v>
      </c>
      <c r="BC85" s="123" t="s">
        <v>649</v>
      </c>
      <c r="BD85" s="123" t="s">
        <v>509</v>
      </c>
      <c r="BE85" s="124"/>
      <c r="BF85" s="124" t="s">
        <v>484</v>
      </c>
      <c r="BG85" s="124" t="s">
        <v>475</v>
      </c>
      <c r="BH85" s="123" t="s">
        <v>510</v>
      </c>
      <c r="BI85" s="171" t="s">
        <v>511</v>
      </c>
      <c r="BJ85" s="171" t="s">
        <v>512</v>
      </c>
      <c r="BK85" s="171" t="s">
        <v>691</v>
      </c>
      <c r="BL85" s="171">
        <v>2250.0</v>
      </c>
      <c r="BM85" s="171" t="e">
        <v>#N/A</v>
      </c>
      <c r="BN85" s="171" t="e">
        <v>#N/A</v>
      </c>
      <c r="BO85" s="171" t="s">
        <v>544</v>
      </c>
      <c r="BP85" s="171">
        <v>9177454.0</v>
      </c>
      <c r="BQ85" s="171" t="s">
        <v>481</v>
      </c>
      <c r="BR85" s="171" t="s">
        <v>544</v>
      </c>
      <c r="BS85" s="171">
        <v>6.0</v>
      </c>
    </row>
    <row r="86" ht="14.25" customHeight="1">
      <c r="A86" s="122" t="s">
        <v>493</v>
      </c>
      <c r="B86" s="123" t="s">
        <v>494</v>
      </c>
      <c r="C86" s="123">
        <v>107.0</v>
      </c>
      <c r="D86" s="123" t="s">
        <v>146</v>
      </c>
      <c r="E86" s="123" t="s">
        <v>147</v>
      </c>
      <c r="F86" s="124"/>
      <c r="G86" s="124" t="s">
        <v>149</v>
      </c>
      <c r="H86" s="123" t="s">
        <v>2</v>
      </c>
      <c r="I86" s="123" t="s">
        <v>495</v>
      </c>
      <c r="J86" s="123" t="s">
        <v>496</v>
      </c>
      <c r="K86" s="123" t="s">
        <v>497</v>
      </c>
      <c r="L86" s="123" t="s">
        <v>498</v>
      </c>
      <c r="M86" s="125">
        <v>46127.0</v>
      </c>
      <c r="N86" s="123" t="s">
        <v>499</v>
      </c>
      <c r="O86" s="123">
        <v>9158398.0</v>
      </c>
      <c r="P86" s="125">
        <v>46090.0</v>
      </c>
      <c r="Q86" s="123" t="s">
        <v>500</v>
      </c>
      <c r="R86" s="123">
        <v>35671.0</v>
      </c>
      <c r="S86" s="123" t="s">
        <v>501</v>
      </c>
      <c r="T86" s="123" t="s">
        <v>502</v>
      </c>
      <c r="U86" s="123" t="s">
        <v>503</v>
      </c>
      <c r="V86" s="122" t="s">
        <v>504</v>
      </c>
      <c r="W86" s="124"/>
      <c r="X86" s="123">
        <v>253.81</v>
      </c>
      <c r="Y86" s="123">
        <v>2.0</v>
      </c>
      <c r="Z86" s="123">
        <v>507.62</v>
      </c>
      <c r="AA86" s="122" t="s">
        <v>157</v>
      </c>
      <c r="AB86" s="123" t="s">
        <v>499</v>
      </c>
      <c r="AC86" s="125">
        <v>46121.0</v>
      </c>
      <c r="AD86" s="123" t="s">
        <v>505</v>
      </c>
      <c r="AE86" s="123">
        <v>2.853901E7</v>
      </c>
      <c r="AF86" s="123" t="s">
        <v>730</v>
      </c>
      <c r="AG86" s="124"/>
      <c r="AH86" s="124"/>
      <c r="AI86" s="123">
        <v>507.62</v>
      </c>
      <c r="AJ86" s="123" t="s">
        <v>159</v>
      </c>
      <c r="AK86" s="123">
        <v>18.0</v>
      </c>
      <c r="AL86" s="123">
        <v>0.0</v>
      </c>
      <c r="AM86" s="123">
        <v>0.0</v>
      </c>
      <c r="AN86" s="123">
        <v>91.37</v>
      </c>
      <c r="AO86" s="123">
        <v>0.0</v>
      </c>
      <c r="AP86" s="123">
        <v>0.0</v>
      </c>
      <c r="AQ86" s="123">
        <v>0.0</v>
      </c>
      <c r="AR86" s="122">
        <v>0.0</v>
      </c>
      <c r="AS86" s="123">
        <v>0.0</v>
      </c>
      <c r="AT86" s="122">
        <v>0.0</v>
      </c>
      <c r="AU86" s="124"/>
      <c r="AV86" s="124"/>
      <c r="AW86" s="123">
        <v>0.0</v>
      </c>
      <c r="AX86" s="123">
        <v>598.99</v>
      </c>
      <c r="AY86" s="123" t="s">
        <v>31</v>
      </c>
      <c r="AZ86" s="123" t="s">
        <v>31</v>
      </c>
      <c r="BA86" s="123" t="s">
        <v>507</v>
      </c>
      <c r="BB86" s="123">
        <v>1.126100105E9</v>
      </c>
      <c r="BC86" s="123" t="s">
        <v>508</v>
      </c>
      <c r="BD86" s="123" t="s">
        <v>509</v>
      </c>
      <c r="BE86" s="124"/>
      <c r="BF86" s="124" t="s">
        <v>484</v>
      </c>
      <c r="BG86" s="124" t="s">
        <v>482</v>
      </c>
      <c r="BH86" s="123" t="s">
        <v>510</v>
      </c>
      <c r="BI86" s="171" t="s">
        <v>511</v>
      </c>
      <c r="BJ86" s="171" t="s">
        <v>512</v>
      </c>
      <c r="BK86" s="171" t="s">
        <v>731</v>
      </c>
      <c r="BL86" s="171">
        <v>785.7</v>
      </c>
      <c r="BM86" s="171">
        <v>785.7</v>
      </c>
      <c r="BN86" s="171">
        <v>0.0</v>
      </c>
      <c r="BO86" s="171" t="s">
        <v>514</v>
      </c>
      <c r="BP86" s="171">
        <v>9156862.0</v>
      </c>
      <c r="BQ86" s="171" t="s">
        <v>483</v>
      </c>
      <c r="BR86" s="171" t="s">
        <v>479</v>
      </c>
      <c r="BS86" s="171">
        <v>1.0</v>
      </c>
    </row>
    <row r="87" ht="14.25" customHeight="1">
      <c r="A87" s="122" t="s">
        <v>493</v>
      </c>
      <c r="B87" s="123" t="s">
        <v>494</v>
      </c>
      <c r="C87" s="123">
        <v>107.0</v>
      </c>
      <c r="D87" s="123" t="s">
        <v>146</v>
      </c>
      <c r="E87" s="123" t="s">
        <v>147</v>
      </c>
      <c r="F87" s="124"/>
      <c r="G87" s="124"/>
      <c r="H87" s="123" t="s">
        <v>2</v>
      </c>
      <c r="I87" s="123" t="s">
        <v>495</v>
      </c>
      <c r="J87" s="123" t="s">
        <v>528</v>
      </c>
      <c r="K87" s="123" t="s">
        <v>626</v>
      </c>
      <c r="L87" s="123" t="s">
        <v>498</v>
      </c>
      <c r="M87" s="125">
        <v>46133.0</v>
      </c>
      <c r="N87" s="123" t="s">
        <v>732</v>
      </c>
      <c r="O87" s="123">
        <v>9164380.0</v>
      </c>
      <c r="P87" s="125">
        <v>46115.0</v>
      </c>
      <c r="Q87" s="123" t="s">
        <v>500</v>
      </c>
      <c r="R87" s="123">
        <v>6262.0</v>
      </c>
      <c r="S87" s="123" t="s">
        <v>521</v>
      </c>
      <c r="T87" s="123" t="s">
        <v>522</v>
      </c>
      <c r="U87" s="123" t="s">
        <v>523</v>
      </c>
      <c r="V87" s="124" t="s">
        <v>504</v>
      </c>
      <c r="W87" s="124"/>
      <c r="X87" s="123">
        <v>1.0</v>
      </c>
      <c r="Y87" s="123">
        <v>399.0</v>
      </c>
      <c r="Z87" s="123">
        <v>399.0</v>
      </c>
      <c r="AA87" s="122" t="s">
        <v>157</v>
      </c>
      <c r="AB87" s="123" t="s">
        <v>732</v>
      </c>
      <c r="AC87" s="125">
        <v>46115.0</v>
      </c>
      <c r="AD87" s="124" t="s">
        <v>525</v>
      </c>
      <c r="AE87" s="123">
        <v>998412.0</v>
      </c>
      <c r="AF87" s="123" t="s">
        <v>628</v>
      </c>
      <c r="AG87" s="124"/>
      <c r="AH87" s="124"/>
      <c r="AI87" s="123">
        <v>399.0</v>
      </c>
      <c r="AJ87" s="123" t="s">
        <v>159</v>
      </c>
      <c r="AK87" s="123">
        <v>18.0</v>
      </c>
      <c r="AL87" s="123">
        <v>35.91</v>
      </c>
      <c r="AM87" s="123">
        <v>35.91</v>
      </c>
      <c r="AN87" s="123">
        <v>0.0</v>
      </c>
      <c r="AO87" s="123">
        <v>0.0</v>
      </c>
      <c r="AP87" s="123">
        <v>0.0</v>
      </c>
      <c r="AQ87" s="123">
        <v>0.0</v>
      </c>
      <c r="AR87" s="122">
        <v>0.0</v>
      </c>
      <c r="AS87" s="123">
        <v>0.0</v>
      </c>
      <c r="AT87" s="122">
        <v>0.0</v>
      </c>
      <c r="AU87" s="124"/>
      <c r="AV87" s="124"/>
      <c r="AW87" s="123">
        <v>0.0</v>
      </c>
      <c r="AX87" s="123">
        <v>470.82</v>
      </c>
      <c r="AY87" s="123" t="s">
        <v>20</v>
      </c>
      <c r="AZ87" s="123" t="s">
        <v>31</v>
      </c>
      <c r="BA87" s="123" t="s">
        <v>612</v>
      </c>
      <c r="BB87" s="123">
        <v>1.126100276E9</v>
      </c>
      <c r="BC87" s="123" t="s">
        <v>187</v>
      </c>
      <c r="BD87" s="123" t="s">
        <v>162</v>
      </c>
      <c r="BE87" s="124"/>
      <c r="BF87" s="124" t="s">
        <v>483</v>
      </c>
      <c r="BG87" s="124" t="s">
        <v>482</v>
      </c>
      <c r="BH87" s="123" t="s">
        <v>510</v>
      </c>
      <c r="BI87" s="171" t="s">
        <v>511</v>
      </c>
      <c r="BJ87" s="171" t="s">
        <v>512</v>
      </c>
      <c r="BK87" s="171" t="s">
        <v>733</v>
      </c>
      <c r="BL87" s="171">
        <v>-47.32</v>
      </c>
      <c r="BM87" s="171">
        <v>-47.32</v>
      </c>
      <c r="BN87" s="171">
        <v>0.0</v>
      </c>
      <c r="BO87" s="171" t="s">
        <v>514</v>
      </c>
      <c r="BP87" s="171">
        <v>9178799.0</v>
      </c>
      <c r="BQ87" s="171" t="s">
        <v>484</v>
      </c>
      <c r="BR87" s="171" t="s">
        <v>476</v>
      </c>
      <c r="BS87" s="171">
        <v>1.0</v>
      </c>
    </row>
    <row r="88" ht="14.25" customHeight="1">
      <c r="A88" s="122" t="s">
        <v>493</v>
      </c>
      <c r="B88" s="123" t="s">
        <v>494</v>
      </c>
      <c r="C88" s="123">
        <v>107.0</v>
      </c>
      <c r="D88" s="123" t="s">
        <v>146</v>
      </c>
      <c r="E88" s="123" t="s">
        <v>147</v>
      </c>
      <c r="F88" s="124"/>
      <c r="G88" s="124"/>
      <c r="H88" s="123" t="s">
        <v>2</v>
      </c>
      <c r="I88" s="123" t="s">
        <v>495</v>
      </c>
      <c r="J88" s="123" t="s">
        <v>528</v>
      </c>
      <c r="K88" s="123" t="s">
        <v>529</v>
      </c>
      <c r="L88" s="123" t="s">
        <v>498</v>
      </c>
      <c r="M88" s="125">
        <v>46141.0</v>
      </c>
      <c r="N88" s="123">
        <v>46082.0</v>
      </c>
      <c r="O88" s="123">
        <v>9178114.0</v>
      </c>
      <c r="P88" s="125">
        <v>46127.0</v>
      </c>
      <c r="Q88" s="123" t="s">
        <v>500</v>
      </c>
      <c r="R88" s="123">
        <v>5093.0</v>
      </c>
      <c r="S88" s="123" t="s">
        <v>617</v>
      </c>
      <c r="T88" s="123" t="s">
        <v>618</v>
      </c>
      <c r="U88" s="123" t="s">
        <v>619</v>
      </c>
      <c r="V88" s="124" t="s">
        <v>504</v>
      </c>
      <c r="W88" s="124"/>
      <c r="X88" s="123">
        <v>1.0</v>
      </c>
      <c r="Y88" s="123">
        <v>4750.0</v>
      </c>
      <c r="Z88" s="123">
        <v>4750.0</v>
      </c>
      <c r="AA88" s="122" t="s">
        <v>157</v>
      </c>
      <c r="AB88" s="123">
        <v>3.0</v>
      </c>
      <c r="AC88" s="125">
        <v>46127.0</v>
      </c>
      <c r="AD88" s="124" t="s">
        <v>593</v>
      </c>
      <c r="AE88" s="123">
        <v>8536.0</v>
      </c>
      <c r="AF88" s="123" t="s">
        <v>734</v>
      </c>
      <c r="AG88" s="124"/>
      <c r="AH88" s="124"/>
      <c r="AI88" s="123">
        <v>4750.0</v>
      </c>
      <c r="AJ88" s="123" t="s">
        <v>159</v>
      </c>
      <c r="AK88" s="123">
        <v>18.0</v>
      </c>
      <c r="AL88" s="123">
        <v>427.5</v>
      </c>
      <c r="AM88" s="123">
        <v>427.5</v>
      </c>
      <c r="AN88" s="123">
        <v>0.0</v>
      </c>
      <c r="AO88" s="123">
        <v>0.0</v>
      </c>
      <c r="AP88" s="123">
        <v>0.0</v>
      </c>
      <c r="AQ88" s="123">
        <v>0.0</v>
      </c>
      <c r="AR88" s="122">
        <v>0.0</v>
      </c>
      <c r="AS88" s="123">
        <v>0.0</v>
      </c>
      <c r="AT88" s="122">
        <v>0.0</v>
      </c>
      <c r="AU88" s="124"/>
      <c r="AV88" s="124"/>
      <c r="AW88" s="123">
        <v>0.0</v>
      </c>
      <c r="AX88" s="123">
        <v>5605.0</v>
      </c>
      <c r="AY88" s="123" t="s">
        <v>20</v>
      </c>
      <c r="AZ88" s="123" t="s">
        <v>31</v>
      </c>
      <c r="BA88" s="123" t="s">
        <v>595</v>
      </c>
      <c r="BB88" s="123">
        <v>1.126100466E9</v>
      </c>
      <c r="BC88" s="123" t="s">
        <v>187</v>
      </c>
      <c r="BD88" s="123" t="s">
        <v>586</v>
      </c>
      <c r="BE88" s="124"/>
      <c r="BF88" s="124" t="s">
        <v>483</v>
      </c>
      <c r="BG88" s="124" t="s">
        <v>482</v>
      </c>
      <c r="BH88" s="123" t="s">
        <v>587</v>
      </c>
      <c r="BI88" s="171" t="s">
        <v>511</v>
      </c>
      <c r="BJ88" s="171" t="s">
        <v>512</v>
      </c>
      <c r="BK88" s="171" t="s">
        <v>735</v>
      </c>
      <c r="BL88" s="171">
        <v>3081.6</v>
      </c>
      <c r="BM88" s="171">
        <v>3081.6</v>
      </c>
      <c r="BN88" s="171">
        <v>0.0</v>
      </c>
      <c r="BO88" s="171" t="s">
        <v>514</v>
      </c>
      <c r="BP88" s="171">
        <v>9177547.0</v>
      </c>
      <c r="BQ88" s="171" t="s">
        <v>484</v>
      </c>
      <c r="BR88" s="171" t="s">
        <v>479</v>
      </c>
      <c r="BS88" s="171">
        <v>1.0</v>
      </c>
    </row>
    <row r="89" ht="14.25" customHeight="1">
      <c r="A89" s="122" t="s">
        <v>493</v>
      </c>
      <c r="B89" s="123" t="s">
        <v>494</v>
      </c>
      <c r="C89" s="123">
        <v>107.0</v>
      </c>
      <c r="D89" s="123" t="s">
        <v>146</v>
      </c>
      <c r="E89" s="123" t="s">
        <v>147</v>
      </c>
      <c r="F89" s="124"/>
      <c r="G89" s="124"/>
      <c r="H89" s="123" t="s">
        <v>2</v>
      </c>
      <c r="I89" s="123" t="s">
        <v>495</v>
      </c>
      <c r="J89" s="123" t="s">
        <v>528</v>
      </c>
      <c r="K89" s="123" t="s">
        <v>529</v>
      </c>
      <c r="L89" s="123" t="s">
        <v>498</v>
      </c>
      <c r="M89" s="125">
        <v>46126.0</v>
      </c>
      <c r="N89" s="123" t="s">
        <v>736</v>
      </c>
      <c r="O89" s="123">
        <v>9155611.0</v>
      </c>
      <c r="P89" s="125">
        <v>46114.0</v>
      </c>
      <c r="Q89" s="123" t="s">
        <v>500</v>
      </c>
      <c r="R89" s="123">
        <v>2770.0</v>
      </c>
      <c r="S89" s="123" t="s">
        <v>531</v>
      </c>
      <c r="T89" s="123" t="s">
        <v>532</v>
      </c>
      <c r="U89" s="124" t="s">
        <v>533</v>
      </c>
      <c r="V89" s="124" t="s">
        <v>504</v>
      </c>
      <c r="W89" s="124"/>
      <c r="X89" s="123">
        <v>1.0</v>
      </c>
      <c r="Y89" s="123">
        <v>1817.0</v>
      </c>
      <c r="Z89" s="123">
        <v>1817.0</v>
      </c>
      <c r="AA89" s="122" t="s">
        <v>157</v>
      </c>
      <c r="AB89" s="123" t="s">
        <v>736</v>
      </c>
      <c r="AC89" s="125">
        <v>46114.0</v>
      </c>
      <c r="AD89" s="124" t="s">
        <v>525</v>
      </c>
      <c r="AE89" s="123">
        <v>8.4439952E7</v>
      </c>
      <c r="AF89" s="123" t="s">
        <v>737</v>
      </c>
      <c r="AG89" s="124"/>
      <c r="AH89" s="124"/>
      <c r="AI89" s="123">
        <v>1817.0</v>
      </c>
      <c r="AJ89" s="123" t="s">
        <v>159</v>
      </c>
      <c r="AK89" s="123">
        <v>18.0</v>
      </c>
      <c r="AL89" s="123">
        <v>163.53</v>
      </c>
      <c r="AM89" s="123">
        <v>163.53</v>
      </c>
      <c r="AN89" s="123">
        <v>0.0</v>
      </c>
      <c r="AO89" s="123">
        <v>0.0</v>
      </c>
      <c r="AP89" s="123">
        <v>0.0</v>
      </c>
      <c r="AQ89" s="123">
        <v>0.0</v>
      </c>
      <c r="AR89" s="122">
        <v>0.0</v>
      </c>
      <c r="AS89" s="123">
        <v>0.0</v>
      </c>
      <c r="AT89" s="122">
        <v>0.0</v>
      </c>
      <c r="AU89" s="124"/>
      <c r="AV89" s="124"/>
      <c r="AW89" s="123">
        <v>0.0</v>
      </c>
      <c r="AX89" s="123">
        <v>2144.06</v>
      </c>
      <c r="AY89" s="123" t="s">
        <v>20</v>
      </c>
      <c r="AZ89" s="123" t="s">
        <v>31</v>
      </c>
      <c r="BA89" s="123" t="s">
        <v>535</v>
      </c>
      <c r="BB89" s="123">
        <v>1.126100061E9</v>
      </c>
      <c r="BC89" s="123" t="s">
        <v>187</v>
      </c>
      <c r="BD89" s="123" t="s">
        <v>162</v>
      </c>
      <c r="BE89" s="124"/>
      <c r="BF89" s="124" t="s">
        <v>483</v>
      </c>
      <c r="BG89" s="124" t="s">
        <v>482</v>
      </c>
      <c r="BH89" s="123" t="s">
        <v>510</v>
      </c>
      <c r="BI89" s="171" t="s">
        <v>511</v>
      </c>
      <c r="BJ89" s="171" t="s">
        <v>512</v>
      </c>
      <c r="BK89" s="171" t="s">
        <v>738</v>
      </c>
      <c r="BL89" s="171">
        <v>30476.16</v>
      </c>
      <c r="BM89" s="171" t="e">
        <v>#N/A</v>
      </c>
      <c r="BN89" s="171" t="e">
        <v>#N/A</v>
      </c>
      <c r="BO89" s="171" t="s">
        <v>544</v>
      </c>
      <c r="BP89" s="171">
        <v>9151216.0</v>
      </c>
      <c r="BQ89" s="171" t="s">
        <v>481</v>
      </c>
      <c r="BR89" s="171" t="s">
        <v>544</v>
      </c>
      <c r="BS89" s="171">
        <v>1.0</v>
      </c>
    </row>
    <row r="90" ht="14.25" customHeight="1">
      <c r="A90" s="122" t="s">
        <v>493</v>
      </c>
      <c r="B90" s="123" t="s">
        <v>494</v>
      </c>
      <c r="C90" s="123">
        <v>107.0</v>
      </c>
      <c r="D90" s="123" t="s">
        <v>146</v>
      </c>
      <c r="E90" s="123" t="s">
        <v>147</v>
      </c>
      <c r="F90" s="124"/>
      <c r="G90" s="123" t="s">
        <v>149</v>
      </c>
      <c r="H90" s="123" t="s">
        <v>2</v>
      </c>
      <c r="I90" s="123" t="s">
        <v>495</v>
      </c>
      <c r="J90" s="123" t="s">
        <v>528</v>
      </c>
      <c r="K90" s="123" t="s">
        <v>529</v>
      </c>
      <c r="L90" s="123" t="s">
        <v>498</v>
      </c>
      <c r="M90" s="125">
        <v>46142.0</v>
      </c>
      <c r="N90" s="123" t="s">
        <v>590</v>
      </c>
      <c r="O90" s="123">
        <v>9178273.0</v>
      </c>
      <c r="P90" s="125">
        <v>46129.0</v>
      </c>
      <c r="Q90" s="123" t="s">
        <v>500</v>
      </c>
      <c r="R90" s="123">
        <v>38296.0</v>
      </c>
      <c r="S90" s="123" t="s">
        <v>591</v>
      </c>
      <c r="T90" s="123" t="s">
        <v>539</v>
      </c>
      <c r="U90" s="123" t="s">
        <v>592</v>
      </c>
      <c r="V90" s="122" t="s">
        <v>504</v>
      </c>
      <c r="W90" s="124"/>
      <c r="X90" s="123">
        <v>1.0</v>
      </c>
      <c r="Y90" s="123">
        <v>1461.87</v>
      </c>
      <c r="Z90" s="123">
        <v>1461.87</v>
      </c>
      <c r="AA90" s="122" t="s">
        <v>157</v>
      </c>
      <c r="AB90" s="123" t="s">
        <v>590</v>
      </c>
      <c r="AC90" s="125">
        <v>46129.0</v>
      </c>
      <c r="AD90" s="123" t="s">
        <v>593</v>
      </c>
      <c r="AE90" s="123">
        <v>8.4733099E7</v>
      </c>
      <c r="AF90" s="123" t="s">
        <v>739</v>
      </c>
      <c r="AG90" s="124"/>
      <c r="AH90" s="124"/>
      <c r="AI90" s="123">
        <v>1461.87</v>
      </c>
      <c r="AJ90" s="123" t="s">
        <v>159</v>
      </c>
      <c r="AK90" s="123">
        <v>18.0</v>
      </c>
      <c r="AL90" s="123">
        <v>131.57</v>
      </c>
      <c r="AM90" s="123">
        <v>131.57</v>
      </c>
      <c r="AN90" s="123">
        <v>0.0</v>
      </c>
      <c r="AO90" s="123">
        <v>0.0</v>
      </c>
      <c r="AP90" s="123">
        <v>0.0</v>
      </c>
      <c r="AQ90" s="123">
        <v>0.0</v>
      </c>
      <c r="AR90" s="122">
        <v>0.0</v>
      </c>
      <c r="AS90" s="123">
        <v>0.0</v>
      </c>
      <c r="AT90" s="122">
        <v>0.0</v>
      </c>
      <c r="AU90" s="124"/>
      <c r="AV90" s="124"/>
      <c r="AW90" s="123">
        <v>0.0</v>
      </c>
      <c r="AX90" s="123">
        <v>1725.01</v>
      </c>
      <c r="AY90" s="123" t="s">
        <v>20</v>
      </c>
      <c r="AZ90" s="123" t="s">
        <v>31</v>
      </c>
      <c r="BA90" s="123" t="s">
        <v>595</v>
      </c>
      <c r="BB90" s="123">
        <v>1.12610049E9</v>
      </c>
      <c r="BC90" s="123" t="s">
        <v>187</v>
      </c>
      <c r="BD90" s="123" t="s">
        <v>586</v>
      </c>
      <c r="BE90" s="124"/>
      <c r="BF90" s="124" t="s">
        <v>483</v>
      </c>
      <c r="BG90" s="124" t="s">
        <v>482</v>
      </c>
      <c r="BH90" s="123" t="s">
        <v>587</v>
      </c>
      <c r="BI90" s="171" t="s">
        <v>511</v>
      </c>
      <c r="BJ90" s="171" t="s">
        <v>512</v>
      </c>
      <c r="BK90" s="171" t="s">
        <v>513</v>
      </c>
      <c r="BL90" s="171">
        <v>91.37</v>
      </c>
      <c r="BM90" s="171">
        <v>38182.88</v>
      </c>
      <c r="BN90" s="171">
        <v>-38092.0</v>
      </c>
      <c r="BO90" s="171" t="s">
        <v>514</v>
      </c>
      <c r="BP90" s="171">
        <v>9158398.0</v>
      </c>
      <c r="BQ90" s="171" t="s">
        <v>484</v>
      </c>
      <c r="BR90" s="171" t="s">
        <v>479</v>
      </c>
      <c r="BS90" s="171">
        <v>37.0</v>
      </c>
    </row>
    <row r="91" ht="14.25" customHeight="1">
      <c r="A91" s="122" t="s">
        <v>493</v>
      </c>
      <c r="B91" s="123" t="s">
        <v>494</v>
      </c>
      <c r="C91" s="123">
        <v>107.0</v>
      </c>
      <c r="D91" s="123" t="s">
        <v>146</v>
      </c>
      <c r="E91" s="123" t="s">
        <v>147</v>
      </c>
      <c r="F91" s="124"/>
      <c r="G91" s="124"/>
      <c r="H91" s="123" t="s">
        <v>2</v>
      </c>
      <c r="I91" s="123" t="s">
        <v>495</v>
      </c>
      <c r="J91" s="123" t="s">
        <v>528</v>
      </c>
      <c r="K91" s="123" t="s">
        <v>529</v>
      </c>
      <c r="L91" s="123" t="s">
        <v>498</v>
      </c>
      <c r="M91" s="125">
        <v>46127.0</v>
      </c>
      <c r="N91" s="123" t="s">
        <v>740</v>
      </c>
      <c r="O91" s="123">
        <v>9156863.0</v>
      </c>
      <c r="P91" s="125">
        <v>46113.0</v>
      </c>
      <c r="Q91" s="123" t="s">
        <v>500</v>
      </c>
      <c r="R91" s="123">
        <v>2770.0</v>
      </c>
      <c r="S91" s="123" t="s">
        <v>531</v>
      </c>
      <c r="T91" s="123" t="s">
        <v>572</v>
      </c>
      <c r="U91" s="123" t="s">
        <v>573</v>
      </c>
      <c r="V91" s="122" t="s">
        <v>504</v>
      </c>
      <c r="W91" s="124"/>
      <c r="X91" s="123">
        <v>1.0</v>
      </c>
      <c r="Y91" s="123">
        <v>3956.0</v>
      </c>
      <c r="Z91" s="123">
        <v>3956.0</v>
      </c>
      <c r="AA91" s="122" t="s">
        <v>157</v>
      </c>
      <c r="AB91" s="123" t="s">
        <v>740</v>
      </c>
      <c r="AC91" s="125">
        <v>46113.0</v>
      </c>
      <c r="AD91" s="123" t="s">
        <v>505</v>
      </c>
      <c r="AE91" s="123">
        <v>997314.0</v>
      </c>
      <c r="AF91" s="123" t="s">
        <v>725</v>
      </c>
      <c r="AG91" s="124"/>
      <c r="AH91" s="124"/>
      <c r="AI91" s="123">
        <v>3956.0</v>
      </c>
      <c r="AJ91" s="123" t="s">
        <v>159</v>
      </c>
      <c r="AK91" s="123">
        <v>18.0</v>
      </c>
      <c r="AL91" s="123">
        <v>0.0</v>
      </c>
      <c r="AM91" s="123">
        <v>0.0</v>
      </c>
      <c r="AN91" s="123">
        <v>712.08</v>
      </c>
      <c r="AO91" s="123">
        <v>0.0</v>
      </c>
      <c r="AP91" s="123">
        <v>0.0</v>
      </c>
      <c r="AQ91" s="123">
        <v>0.0</v>
      </c>
      <c r="AR91" s="122">
        <v>0.0</v>
      </c>
      <c r="AS91" s="123">
        <v>0.0</v>
      </c>
      <c r="AT91" s="122">
        <v>0.0</v>
      </c>
      <c r="AU91" s="124"/>
      <c r="AV91" s="124"/>
      <c r="AW91" s="123">
        <v>0.0</v>
      </c>
      <c r="AX91" s="123">
        <v>4668.08</v>
      </c>
      <c r="AY91" s="123" t="s">
        <v>20</v>
      </c>
      <c r="AZ91" s="123" t="s">
        <v>31</v>
      </c>
      <c r="BA91" s="123" t="s">
        <v>575</v>
      </c>
      <c r="BB91" s="123">
        <v>1.126100092E9</v>
      </c>
      <c r="BC91" s="123" t="s">
        <v>161</v>
      </c>
      <c r="BD91" s="123" t="s">
        <v>162</v>
      </c>
      <c r="BE91" s="124"/>
      <c r="BF91" s="124" t="s">
        <v>483</v>
      </c>
      <c r="BG91" s="124" t="s">
        <v>482</v>
      </c>
      <c r="BH91" s="123" t="s">
        <v>510</v>
      </c>
      <c r="BI91" s="171" t="s">
        <v>511</v>
      </c>
      <c r="BJ91" s="171" t="s">
        <v>512</v>
      </c>
      <c r="BK91" s="171" t="s">
        <v>741</v>
      </c>
      <c r="BL91" s="171">
        <v>71.82</v>
      </c>
      <c r="BM91" s="171">
        <v>71.82</v>
      </c>
      <c r="BN91" s="171">
        <v>0.0</v>
      </c>
      <c r="BO91" s="171" t="s">
        <v>514</v>
      </c>
      <c r="BP91" s="171">
        <v>9164380.0</v>
      </c>
      <c r="BQ91" s="171" t="s">
        <v>483</v>
      </c>
      <c r="BR91" s="171" t="s">
        <v>479</v>
      </c>
      <c r="BS91" s="171">
        <v>1.0</v>
      </c>
    </row>
    <row r="92" ht="14.25" customHeight="1">
      <c r="A92" s="122" t="s">
        <v>493</v>
      </c>
      <c r="B92" s="123" t="s">
        <v>494</v>
      </c>
      <c r="C92" s="123">
        <v>107.0</v>
      </c>
      <c r="D92" s="123" t="s">
        <v>146</v>
      </c>
      <c r="E92" s="123" t="s">
        <v>147</v>
      </c>
      <c r="F92" s="124"/>
      <c r="G92" s="124" t="s">
        <v>149</v>
      </c>
      <c r="H92" s="123" t="s">
        <v>2</v>
      </c>
      <c r="I92" s="123" t="s">
        <v>495</v>
      </c>
      <c r="J92" s="123" t="s">
        <v>496</v>
      </c>
      <c r="K92" s="123" t="s">
        <v>497</v>
      </c>
      <c r="L92" s="123" t="s">
        <v>498</v>
      </c>
      <c r="M92" s="125">
        <v>46140.0</v>
      </c>
      <c r="N92" s="180" t="s">
        <v>516</v>
      </c>
      <c r="O92" s="123">
        <v>9174963.0</v>
      </c>
      <c r="P92" s="125">
        <v>46129.0</v>
      </c>
      <c r="Q92" s="123" t="s">
        <v>500</v>
      </c>
      <c r="R92" s="123">
        <v>35671.0</v>
      </c>
      <c r="S92" s="123" t="s">
        <v>501</v>
      </c>
      <c r="T92" s="123" t="s">
        <v>502</v>
      </c>
      <c r="U92" s="123" t="s">
        <v>503</v>
      </c>
      <c r="V92" s="122" t="s">
        <v>504</v>
      </c>
      <c r="W92" s="124"/>
      <c r="X92" s="123">
        <v>275.0</v>
      </c>
      <c r="Y92" s="123">
        <v>7.0</v>
      </c>
      <c r="Z92" s="123">
        <v>1925.0</v>
      </c>
      <c r="AA92" s="122" t="s">
        <v>157</v>
      </c>
      <c r="AB92" s="123" t="s">
        <v>516</v>
      </c>
      <c r="AC92" s="125">
        <v>46129.0</v>
      </c>
      <c r="AD92" s="123" t="s">
        <v>505</v>
      </c>
      <c r="AE92" s="123">
        <v>998729.0</v>
      </c>
      <c r="AF92" s="123" t="s">
        <v>742</v>
      </c>
      <c r="AG92" s="124"/>
      <c r="AH92" s="124"/>
      <c r="AI92" s="123">
        <v>1925.0</v>
      </c>
      <c r="AJ92" s="123" t="s">
        <v>159</v>
      </c>
      <c r="AK92" s="123">
        <v>18.0</v>
      </c>
      <c r="AL92" s="123">
        <v>0.0</v>
      </c>
      <c r="AM92" s="123">
        <v>0.0</v>
      </c>
      <c r="AN92" s="123">
        <v>346.5</v>
      </c>
      <c r="AO92" s="123">
        <v>0.0</v>
      </c>
      <c r="AP92" s="123">
        <v>0.0</v>
      </c>
      <c r="AQ92" s="123">
        <v>0.0</v>
      </c>
      <c r="AR92" s="122">
        <v>0.0</v>
      </c>
      <c r="AS92" s="123">
        <v>0.0</v>
      </c>
      <c r="AT92" s="122">
        <v>0.0</v>
      </c>
      <c r="AU92" s="124"/>
      <c r="AV92" s="124"/>
      <c r="AW92" s="123">
        <v>0.0</v>
      </c>
      <c r="AX92" s="123">
        <v>2271.5</v>
      </c>
      <c r="AY92" s="123" t="s">
        <v>31</v>
      </c>
      <c r="AZ92" s="123" t="s">
        <v>31</v>
      </c>
      <c r="BA92" s="123" t="s">
        <v>518</v>
      </c>
      <c r="BB92" s="123">
        <v>1.126100446E9</v>
      </c>
      <c r="BC92" s="123" t="s">
        <v>508</v>
      </c>
      <c r="BD92" s="123" t="s">
        <v>509</v>
      </c>
      <c r="BE92" s="124"/>
      <c r="BF92" s="124" t="s">
        <v>484</v>
      </c>
      <c r="BG92" s="124" t="s">
        <v>482</v>
      </c>
      <c r="BH92" s="123" t="s">
        <v>510</v>
      </c>
      <c r="BI92" s="171" t="s">
        <v>511</v>
      </c>
      <c r="BJ92" s="171" t="s">
        <v>512</v>
      </c>
      <c r="BK92" s="171" t="s">
        <v>621</v>
      </c>
      <c r="BL92" s="171">
        <v>855.0</v>
      </c>
      <c r="BM92" s="171">
        <v>1584.0</v>
      </c>
      <c r="BN92" s="171">
        <v>-729.0</v>
      </c>
      <c r="BO92" s="171" t="s">
        <v>514</v>
      </c>
      <c r="BP92" s="171">
        <v>9178114.0</v>
      </c>
      <c r="BQ92" s="171" t="s">
        <v>483</v>
      </c>
      <c r="BR92" s="171" t="s">
        <v>479</v>
      </c>
      <c r="BS92" s="171">
        <v>3.0</v>
      </c>
    </row>
    <row r="93" ht="14.25" customHeight="1">
      <c r="A93" s="122" t="s">
        <v>493</v>
      </c>
      <c r="B93" s="123" t="s">
        <v>494</v>
      </c>
      <c r="C93" s="123">
        <v>107.0</v>
      </c>
      <c r="D93" s="123" t="s">
        <v>146</v>
      </c>
      <c r="E93" s="123" t="s">
        <v>147</v>
      </c>
      <c r="F93" s="124"/>
      <c r="G93" s="124" t="s">
        <v>149</v>
      </c>
      <c r="H93" s="123" t="s">
        <v>2</v>
      </c>
      <c r="I93" s="123" t="s">
        <v>495</v>
      </c>
      <c r="J93" s="123" t="s">
        <v>496</v>
      </c>
      <c r="K93" s="123" t="s">
        <v>497</v>
      </c>
      <c r="L93" s="123" t="s">
        <v>498</v>
      </c>
      <c r="M93" s="125">
        <v>46140.0</v>
      </c>
      <c r="N93" s="123" t="s">
        <v>516</v>
      </c>
      <c r="O93" s="123">
        <v>9174963.0</v>
      </c>
      <c r="P93" s="125">
        <v>46129.0</v>
      </c>
      <c r="Q93" s="123" t="s">
        <v>500</v>
      </c>
      <c r="R93" s="123">
        <v>35671.0</v>
      </c>
      <c r="S93" s="123" t="s">
        <v>501</v>
      </c>
      <c r="T93" s="123" t="s">
        <v>502</v>
      </c>
      <c r="U93" s="124" t="s">
        <v>503</v>
      </c>
      <c r="V93" s="124" t="s">
        <v>504</v>
      </c>
      <c r="W93" s="124"/>
      <c r="X93" s="123">
        <v>275.0</v>
      </c>
      <c r="Y93" s="123">
        <v>30.0</v>
      </c>
      <c r="Z93" s="123">
        <v>8250.0</v>
      </c>
      <c r="AA93" s="122" t="s">
        <v>157</v>
      </c>
      <c r="AB93" s="123" t="s">
        <v>516</v>
      </c>
      <c r="AC93" s="125">
        <v>46129.0</v>
      </c>
      <c r="AD93" s="124" t="s">
        <v>505</v>
      </c>
      <c r="AE93" s="123">
        <v>998729.0</v>
      </c>
      <c r="AF93" s="123" t="s">
        <v>562</v>
      </c>
      <c r="AG93" s="124"/>
      <c r="AH93" s="124"/>
      <c r="AI93" s="123">
        <v>8250.0</v>
      </c>
      <c r="AJ93" s="123" t="s">
        <v>159</v>
      </c>
      <c r="AK93" s="123">
        <v>18.0</v>
      </c>
      <c r="AL93" s="123">
        <v>0.0</v>
      </c>
      <c r="AM93" s="123">
        <v>0.0</v>
      </c>
      <c r="AN93" s="123">
        <v>1485.0</v>
      </c>
      <c r="AO93" s="123">
        <v>0.0</v>
      </c>
      <c r="AP93" s="123">
        <v>0.0</v>
      </c>
      <c r="AQ93" s="123">
        <v>0.0</v>
      </c>
      <c r="AR93" s="122">
        <v>0.0</v>
      </c>
      <c r="AS93" s="123">
        <v>0.0</v>
      </c>
      <c r="AT93" s="122">
        <v>0.0</v>
      </c>
      <c r="AU93" s="124"/>
      <c r="AV93" s="124"/>
      <c r="AW93" s="123">
        <v>0.0</v>
      </c>
      <c r="AX93" s="123">
        <v>9735.0</v>
      </c>
      <c r="AY93" s="123" t="s">
        <v>31</v>
      </c>
      <c r="AZ93" s="123" t="s">
        <v>31</v>
      </c>
      <c r="BA93" s="123" t="s">
        <v>518</v>
      </c>
      <c r="BB93" s="123">
        <v>1.126100446E9</v>
      </c>
      <c r="BC93" s="123" t="s">
        <v>508</v>
      </c>
      <c r="BD93" s="123" t="s">
        <v>509</v>
      </c>
      <c r="BE93" s="124"/>
      <c r="BF93" s="124" t="s">
        <v>484</v>
      </c>
      <c r="BG93" s="124" t="s">
        <v>482</v>
      </c>
      <c r="BH93" s="123" t="s">
        <v>510</v>
      </c>
      <c r="BI93" s="171" t="s">
        <v>511</v>
      </c>
      <c r="BJ93" s="171" t="s">
        <v>512</v>
      </c>
      <c r="BK93" s="171" t="s">
        <v>743</v>
      </c>
      <c r="BL93" s="171">
        <v>32.4</v>
      </c>
      <c r="BM93" s="171" t="e">
        <v>#N/A</v>
      </c>
      <c r="BN93" s="171" t="e">
        <v>#N/A</v>
      </c>
      <c r="BO93" s="171" t="s">
        <v>544</v>
      </c>
      <c r="BP93" s="171">
        <v>9164021.0</v>
      </c>
      <c r="BQ93" s="171" t="s">
        <v>481</v>
      </c>
      <c r="BR93" s="171" t="s">
        <v>544</v>
      </c>
      <c r="BS93" s="171">
        <v>5.0</v>
      </c>
    </row>
    <row r="94" ht="14.25" customHeight="1">
      <c r="A94" s="122" t="s">
        <v>493</v>
      </c>
      <c r="B94" s="123" t="s">
        <v>494</v>
      </c>
      <c r="C94" s="123">
        <v>107.0</v>
      </c>
      <c r="D94" s="123" t="s">
        <v>146</v>
      </c>
      <c r="E94" s="123" t="s">
        <v>147</v>
      </c>
      <c r="F94" s="124"/>
      <c r="G94" s="124" t="s">
        <v>149</v>
      </c>
      <c r="H94" s="123" t="s">
        <v>2</v>
      </c>
      <c r="I94" s="123" t="s">
        <v>495</v>
      </c>
      <c r="J94" s="123" t="s">
        <v>496</v>
      </c>
      <c r="K94" s="123" t="s">
        <v>497</v>
      </c>
      <c r="L94" s="123" t="s">
        <v>498</v>
      </c>
      <c r="M94" s="125">
        <v>46140.0</v>
      </c>
      <c r="N94" s="123" t="s">
        <v>551</v>
      </c>
      <c r="O94" s="123">
        <v>9175014.0</v>
      </c>
      <c r="P94" s="125">
        <v>46129.0</v>
      </c>
      <c r="Q94" s="123" t="s">
        <v>500</v>
      </c>
      <c r="R94" s="123">
        <v>15979.0</v>
      </c>
      <c r="S94" s="123" t="s">
        <v>552</v>
      </c>
      <c r="T94" s="123" t="s">
        <v>539</v>
      </c>
      <c r="U94" s="124" t="s">
        <v>553</v>
      </c>
      <c r="V94" s="124" t="s">
        <v>504</v>
      </c>
      <c r="W94" s="124"/>
      <c r="X94" s="123">
        <v>546.3</v>
      </c>
      <c r="Y94" s="123">
        <v>1.0</v>
      </c>
      <c r="Z94" s="123">
        <v>546.3</v>
      </c>
      <c r="AA94" s="122" t="s">
        <v>157</v>
      </c>
      <c r="AB94" s="123" t="s">
        <v>551</v>
      </c>
      <c r="AC94" s="125">
        <v>46129.0</v>
      </c>
      <c r="AD94" s="124" t="s">
        <v>505</v>
      </c>
      <c r="AE94" s="123">
        <v>998729.0</v>
      </c>
      <c r="AF94" s="123" t="s">
        <v>744</v>
      </c>
      <c r="AG94" s="124"/>
      <c r="AH94" s="124"/>
      <c r="AI94" s="123">
        <v>546.3</v>
      </c>
      <c r="AJ94" s="123" t="s">
        <v>159</v>
      </c>
      <c r="AK94" s="123">
        <v>18.0</v>
      </c>
      <c r="AL94" s="123">
        <v>49.17</v>
      </c>
      <c r="AM94" s="123">
        <v>49.17</v>
      </c>
      <c r="AN94" s="123">
        <v>0.0</v>
      </c>
      <c r="AO94" s="123">
        <v>0.0</v>
      </c>
      <c r="AP94" s="123">
        <v>0.0</v>
      </c>
      <c r="AQ94" s="123">
        <v>0.0</v>
      </c>
      <c r="AR94" s="122">
        <v>0.0</v>
      </c>
      <c r="AS94" s="123">
        <v>0.0</v>
      </c>
      <c r="AT94" s="122">
        <v>0.0</v>
      </c>
      <c r="AU94" s="124"/>
      <c r="AV94" s="124"/>
      <c r="AW94" s="123">
        <v>0.0</v>
      </c>
      <c r="AX94" s="123">
        <v>644.64</v>
      </c>
      <c r="AY94" s="123" t="s">
        <v>31</v>
      </c>
      <c r="AZ94" s="123" t="s">
        <v>31</v>
      </c>
      <c r="BA94" s="123" t="s">
        <v>555</v>
      </c>
      <c r="BB94" s="123">
        <v>1.126100447E9</v>
      </c>
      <c r="BC94" s="123" t="s">
        <v>556</v>
      </c>
      <c r="BD94" s="123" t="s">
        <v>509</v>
      </c>
      <c r="BE94" s="124"/>
      <c r="BF94" s="124" t="s">
        <v>484</v>
      </c>
      <c r="BG94" s="124" t="s">
        <v>482</v>
      </c>
      <c r="BH94" s="123" t="s">
        <v>510</v>
      </c>
      <c r="BI94" s="171" t="s">
        <v>511</v>
      </c>
      <c r="BJ94" s="171" t="s">
        <v>512</v>
      </c>
      <c r="BK94" s="171" t="s">
        <v>623</v>
      </c>
      <c r="BL94" s="171">
        <v>270.0</v>
      </c>
      <c r="BM94" s="171" t="e">
        <v>#N/A</v>
      </c>
      <c r="BN94" s="171" t="e">
        <v>#N/A</v>
      </c>
      <c r="BO94" s="171" t="s">
        <v>544</v>
      </c>
      <c r="BP94" s="171">
        <v>9164022.0</v>
      </c>
      <c r="BQ94" s="171" t="s">
        <v>481</v>
      </c>
      <c r="BR94" s="171" t="s">
        <v>544</v>
      </c>
      <c r="BS94" s="171">
        <v>3.0</v>
      </c>
    </row>
    <row r="95" ht="14.25" customHeight="1">
      <c r="A95" s="122" t="s">
        <v>493</v>
      </c>
      <c r="B95" s="123" t="s">
        <v>494</v>
      </c>
      <c r="C95" s="123">
        <v>107.0</v>
      </c>
      <c r="D95" s="123" t="s">
        <v>146</v>
      </c>
      <c r="E95" s="123" t="s">
        <v>147</v>
      </c>
      <c r="F95" s="124"/>
      <c r="G95" s="124"/>
      <c r="H95" s="123" t="s">
        <v>2</v>
      </c>
      <c r="I95" s="123" t="s">
        <v>495</v>
      </c>
      <c r="J95" s="123" t="s">
        <v>528</v>
      </c>
      <c r="K95" s="123" t="s">
        <v>626</v>
      </c>
      <c r="L95" s="123" t="s">
        <v>498</v>
      </c>
      <c r="M95" s="125">
        <v>46133.0</v>
      </c>
      <c r="N95" s="123" t="s">
        <v>745</v>
      </c>
      <c r="O95" s="123">
        <v>9164387.0</v>
      </c>
      <c r="P95" s="125">
        <v>46115.0</v>
      </c>
      <c r="Q95" s="123" t="s">
        <v>500</v>
      </c>
      <c r="R95" s="123">
        <v>6262.0</v>
      </c>
      <c r="S95" s="123" t="s">
        <v>521</v>
      </c>
      <c r="T95" s="123" t="s">
        <v>522</v>
      </c>
      <c r="U95" s="123" t="s">
        <v>523</v>
      </c>
      <c r="V95" s="122" t="s">
        <v>504</v>
      </c>
      <c r="W95" s="124"/>
      <c r="X95" s="123">
        <v>1.0</v>
      </c>
      <c r="Y95" s="123">
        <v>399.0</v>
      </c>
      <c r="Z95" s="123">
        <v>399.0</v>
      </c>
      <c r="AA95" s="122" t="s">
        <v>157</v>
      </c>
      <c r="AB95" s="123" t="s">
        <v>745</v>
      </c>
      <c r="AC95" s="125">
        <v>46115.0</v>
      </c>
      <c r="AD95" s="123" t="s">
        <v>525</v>
      </c>
      <c r="AE95" s="123">
        <v>998412.0</v>
      </c>
      <c r="AF95" s="123" t="s">
        <v>628</v>
      </c>
      <c r="AG95" s="124"/>
      <c r="AH95" s="124"/>
      <c r="AI95" s="123">
        <v>399.0</v>
      </c>
      <c r="AJ95" s="123" t="s">
        <v>159</v>
      </c>
      <c r="AK95" s="123">
        <v>18.0</v>
      </c>
      <c r="AL95" s="123">
        <v>35.91</v>
      </c>
      <c r="AM95" s="123">
        <v>35.91</v>
      </c>
      <c r="AN95" s="123">
        <v>0.0</v>
      </c>
      <c r="AO95" s="123">
        <v>0.0</v>
      </c>
      <c r="AP95" s="123">
        <v>0.0</v>
      </c>
      <c r="AQ95" s="123">
        <v>0.0</v>
      </c>
      <c r="AR95" s="122">
        <v>0.0</v>
      </c>
      <c r="AS95" s="123">
        <v>0.0</v>
      </c>
      <c r="AT95" s="122">
        <v>0.0</v>
      </c>
      <c r="AU95" s="124"/>
      <c r="AV95" s="124"/>
      <c r="AW95" s="123">
        <v>0.0</v>
      </c>
      <c r="AX95" s="123">
        <v>470.82</v>
      </c>
      <c r="AY95" s="123" t="s">
        <v>20</v>
      </c>
      <c r="AZ95" s="123" t="s">
        <v>31</v>
      </c>
      <c r="BA95" s="123" t="s">
        <v>612</v>
      </c>
      <c r="BB95" s="123">
        <v>1.126100283E9</v>
      </c>
      <c r="BC95" s="123" t="s">
        <v>187</v>
      </c>
      <c r="BD95" s="123" t="s">
        <v>162</v>
      </c>
      <c r="BE95" s="124"/>
      <c r="BF95" s="124" t="s">
        <v>483</v>
      </c>
      <c r="BG95" s="124" t="s">
        <v>482</v>
      </c>
      <c r="BH95" s="123" t="s">
        <v>510</v>
      </c>
      <c r="BI95" s="171" t="s">
        <v>511</v>
      </c>
      <c r="BJ95" s="171" t="s">
        <v>512</v>
      </c>
      <c r="BK95" s="171" t="s">
        <v>746</v>
      </c>
      <c r="BL95" s="171">
        <v>59171.04</v>
      </c>
      <c r="BM95" s="171">
        <v>59171.04</v>
      </c>
      <c r="BN95" s="171">
        <v>0.0</v>
      </c>
      <c r="BO95" s="171" t="s">
        <v>514</v>
      </c>
      <c r="BP95" s="171">
        <v>9151135.0</v>
      </c>
      <c r="BQ95" s="171" t="s">
        <v>483</v>
      </c>
      <c r="BR95" s="171" t="s">
        <v>476</v>
      </c>
      <c r="BS95" s="171">
        <v>1.0</v>
      </c>
    </row>
    <row r="96" ht="14.25" customHeight="1">
      <c r="A96" s="122" t="s">
        <v>493</v>
      </c>
      <c r="B96" s="123" t="s">
        <v>494</v>
      </c>
      <c r="C96" s="123">
        <v>107.0</v>
      </c>
      <c r="D96" s="123" t="s">
        <v>146</v>
      </c>
      <c r="E96" s="123" t="s">
        <v>147</v>
      </c>
      <c r="F96" s="124"/>
      <c r="G96" s="124"/>
      <c r="H96" s="123" t="s">
        <v>2</v>
      </c>
      <c r="I96" s="123" t="s">
        <v>495</v>
      </c>
      <c r="J96" s="122" t="s">
        <v>528</v>
      </c>
      <c r="K96" s="122" t="s">
        <v>529</v>
      </c>
      <c r="L96" s="123" t="s">
        <v>498</v>
      </c>
      <c r="M96" s="125">
        <v>46127.0</v>
      </c>
      <c r="N96" s="123" t="s">
        <v>747</v>
      </c>
      <c r="O96" s="123">
        <v>9156866.0</v>
      </c>
      <c r="P96" s="125">
        <v>46113.0</v>
      </c>
      <c r="Q96" s="122" t="s">
        <v>500</v>
      </c>
      <c r="R96" s="123">
        <v>2770.0</v>
      </c>
      <c r="S96" s="123" t="s">
        <v>531</v>
      </c>
      <c r="T96" s="123" t="s">
        <v>572</v>
      </c>
      <c r="U96" s="123" t="s">
        <v>573</v>
      </c>
      <c r="V96" s="123" t="s">
        <v>504</v>
      </c>
      <c r="W96" s="124"/>
      <c r="X96" s="122">
        <v>1.0</v>
      </c>
      <c r="Y96" s="123">
        <v>4365.0</v>
      </c>
      <c r="Z96" s="123">
        <v>4365.0</v>
      </c>
      <c r="AA96" s="123" t="s">
        <v>157</v>
      </c>
      <c r="AB96" s="123" t="s">
        <v>747</v>
      </c>
      <c r="AC96" s="125">
        <v>46113.0</v>
      </c>
      <c r="AD96" s="123" t="s">
        <v>505</v>
      </c>
      <c r="AE96" s="123">
        <v>997314.0</v>
      </c>
      <c r="AF96" s="123" t="s">
        <v>683</v>
      </c>
      <c r="AG96" s="124"/>
      <c r="AH96" s="124"/>
      <c r="AI96" s="123">
        <v>4365.0</v>
      </c>
      <c r="AJ96" s="123" t="s">
        <v>159</v>
      </c>
      <c r="AK96" s="123">
        <v>18.0</v>
      </c>
      <c r="AL96" s="123">
        <v>0.0</v>
      </c>
      <c r="AM96" s="122">
        <v>0.0</v>
      </c>
      <c r="AN96" s="123">
        <v>785.7</v>
      </c>
      <c r="AO96" s="123">
        <v>0.0</v>
      </c>
      <c r="AP96" s="123">
        <v>0.0</v>
      </c>
      <c r="AQ96" s="123">
        <v>0.0</v>
      </c>
      <c r="AR96" s="123">
        <v>0.0</v>
      </c>
      <c r="AS96" s="123">
        <v>0.0</v>
      </c>
      <c r="AT96" s="123">
        <v>0.0</v>
      </c>
      <c r="AU96" s="124"/>
      <c r="AV96" s="124"/>
      <c r="AW96" s="122">
        <v>0.0</v>
      </c>
      <c r="AX96" s="123">
        <v>5150.7</v>
      </c>
      <c r="AY96" s="123" t="s">
        <v>20</v>
      </c>
      <c r="AZ96" s="123" t="s">
        <v>31</v>
      </c>
      <c r="BA96" s="123" t="s">
        <v>575</v>
      </c>
      <c r="BB96" s="123">
        <v>1.126100095E9</v>
      </c>
      <c r="BC96" s="123" t="s">
        <v>161</v>
      </c>
      <c r="BD96" s="123" t="s">
        <v>162</v>
      </c>
      <c r="BE96" s="124"/>
      <c r="BF96" s="124" t="s">
        <v>483</v>
      </c>
      <c r="BG96" s="124" t="s">
        <v>482</v>
      </c>
      <c r="BH96" s="123" t="s">
        <v>510</v>
      </c>
      <c r="BI96" s="171" t="s">
        <v>511</v>
      </c>
      <c r="BJ96" s="171" t="s">
        <v>512</v>
      </c>
      <c r="BK96" s="171" t="s">
        <v>748</v>
      </c>
      <c r="BL96" s="171">
        <v>327.06</v>
      </c>
      <c r="BM96" s="171">
        <v>327.06</v>
      </c>
      <c r="BN96" s="171">
        <v>0.0</v>
      </c>
      <c r="BO96" s="171" t="s">
        <v>514</v>
      </c>
      <c r="BP96" s="171">
        <v>9155611.0</v>
      </c>
      <c r="BQ96" s="171" t="s">
        <v>483</v>
      </c>
      <c r="BR96" s="171" t="s">
        <v>479</v>
      </c>
      <c r="BS96" s="171">
        <v>1.0</v>
      </c>
    </row>
    <row r="97" ht="14.25" customHeight="1">
      <c r="A97" s="122" t="s">
        <v>493</v>
      </c>
      <c r="B97" s="123" t="s">
        <v>494</v>
      </c>
      <c r="C97" s="123">
        <v>107.0</v>
      </c>
      <c r="D97" s="123" t="s">
        <v>146</v>
      </c>
      <c r="E97" s="123" t="s">
        <v>147</v>
      </c>
      <c r="F97" s="124"/>
      <c r="G97" s="124"/>
      <c r="H97" s="123" t="s">
        <v>2</v>
      </c>
      <c r="I97" s="123" t="s">
        <v>495</v>
      </c>
      <c r="J97" s="122" t="s">
        <v>528</v>
      </c>
      <c r="K97" s="122" t="s">
        <v>529</v>
      </c>
      <c r="L97" s="123" t="s">
        <v>498</v>
      </c>
      <c r="M97" s="125">
        <v>46140.0</v>
      </c>
      <c r="N97" s="123" t="s">
        <v>749</v>
      </c>
      <c r="O97" s="123">
        <v>9175766.0</v>
      </c>
      <c r="P97" s="125">
        <v>46127.0</v>
      </c>
      <c r="Q97" s="122" t="s">
        <v>500</v>
      </c>
      <c r="R97" s="123">
        <v>3545.0</v>
      </c>
      <c r="S97" s="123" t="s">
        <v>582</v>
      </c>
      <c r="T97" s="123" t="s">
        <v>539</v>
      </c>
      <c r="U97" s="123" t="s">
        <v>583</v>
      </c>
      <c r="V97" s="123" t="s">
        <v>504</v>
      </c>
      <c r="W97" s="124"/>
      <c r="X97" s="122">
        <v>1.0</v>
      </c>
      <c r="Y97" s="123">
        <v>42840.0</v>
      </c>
      <c r="Z97" s="123">
        <v>42840.0</v>
      </c>
      <c r="AA97" s="123" t="s">
        <v>157</v>
      </c>
      <c r="AB97" s="123" t="s">
        <v>749</v>
      </c>
      <c r="AC97" s="125">
        <v>46127.0</v>
      </c>
      <c r="AD97" s="123" t="s">
        <v>750</v>
      </c>
      <c r="AE97" s="123">
        <v>4.802561E7</v>
      </c>
      <c r="AF97" s="123" t="s">
        <v>751</v>
      </c>
      <c r="AG97" s="124"/>
      <c r="AH97" s="124"/>
      <c r="AI97" s="123">
        <v>42840.0</v>
      </c>
      <c r="AJ97" s="123" t="s">
        <v>159</v>
      </c>
      <c r="AK97" s="123">
        <v>18.0</v>
      </c>
      <c r="AL97" s="123">
        <v>3855.6</v>
      </c>
      <c r="AM97" s="122">
        <v>3855.6</v>
      </c>
      <c r="AN97" s="123">
        <v>0.0</v>
      </c>
      <c r="AO97" s="123">
        <v>0.0</v>
      </c>
      <c r="AP97" s="123">
        <v>0.0</v>
      </c>
      <c r="AQ97" s="123">
        <v>0.0</v>
      </c>
      <c r="AR97" s="123">
        <v>0.0</v>
      </c>
      <c r="AS97" s="123">
        <v>0.0</v>
      </c>
      <c r="AT97" s="123">
        <v>0.0</v>
      </c>
      <c r="AU97" s="124"/>
      <c r="AV97" s="124"/>
      <c r="AW97" s="122">
        <v>0.0</v>
      </c>
      <c r="AX97" s="123">
        <v>50551.2</v>
      </c>
      <c r="AY97" s="123" t="s">
        <v>20</v>
      </c>
      <c r="AZ97" s="123" t="s">
        <v>31</v>
      </c>
      <c r="BA97" s="123" t="s">
        <v>752</v>
      </c>
      <c r="BB97" s="123">
        <v>1.126100451E9</v>
      </c>
      <c r="BC97" s="123" t="s">
        <v>187</v>
      </c>
      <c r="BD97" s="123" t="s">
        <v>586</v>
      </c>
      <c r="BE97" s="124"/>
      <c r="BF97" s="124" t="s">
        <v>483</v>
      </c>
      <c r="BG97" s="124" t="s">
        <v>482</v>
      </c>
      <c r="BH97" s="123" t="s">
        <v>587</v>
      </c>
      <c r="BI97" s="171" t="s">
        <v>511</v>
      </c>
      <c r="BJ97" s="171" t="s">
        <v>512</v>
      </c>
      <c r="BK97" s="171" t="s">
        <v>596</v>
      </c>
      <c r="BL97" s="171">
        <v>263.14</v>
      </c>
      <c r="BM97" s="171">
        <v>665.86</v>
      </c>
      <c r="BN97" s="171">
        <v>-403.0</v>
      </c>
      <c r="BO97" s="171" t="s">
        <v>514</v>
      </c>
      <c r="BP97" s="171">
        <v>9178273.0</v>
      </c>
      <c r="BQ97" s="171" t="s">
        <v>483</v>
      </c>
      <c r="BR97" s="171" t="s">
        <v>479</v>
      </c>
      <c r="BS97" s="171">
        <v>2.0</v>
      </c>
    </row>
    <row r="98" ht="14.25" customHeight="1">
      <c r="A98" s="122" t="s">
        <v>493</v>
      </c>
      <c r="B98" s="123" t="s">
        <v>494</v>
      </c>
      <c r="C98" s="123">
        <v>107.0</v>
      </c>
      <c r="D98" s="123" t="s">
        <v>146</v>
      </c>
      <c r="E98" s="123" t="s">
        <v>147</v>
      </c>
      <c r="F98" s="124"/>
      <c r="G98" s="124" t="s">
        <v>149</v>
      </c>
      <c r="H98" s="123" t="s">
        <v>2</v>
      </c>
      <c r="I98" s="123" t="s">
        <v>495</v>
      </c>
      <c r="J98" s="122" t="s">
        <v>496</v>
      </c>
      <c r="K98" s="122" t="s">
        <v>497</v>
      </c>
      <c r="L98" s="123" t="s">
        <v>498</v>
      </c>
      <c r="M98" s="125">
        <v>46127.0</v>
      </c>
      <c r="N98" s="123" t="s">
        <v>499</v>
      </c>
      <c r="O98" s="123">
        <v>9158398.0</v>
      </c>
      <c r="P98" s="125">
        <v>46090.0</v>
      </c>
      <c r="Q98" s="122" t="s">
        <v>500</v>
      </c>
      <c r="R98" s="123">
        <v>35671.0</v>
      </c>
      <c r="S98" s="123" t="s">
        <v>501</v>
      </c>
      <c r="T98" s="123" t="s">
        <v>502</v>
      </c>
      <c r="U98" s="123" t="s">
        <v>503</v>
      </c>
      <c r="V98" s="123" t="s">
        <v>504</v>
      </c>
      <c r="W98" s="124"/>
      <c r="X98" s="122">
        <v>1811.02</v>
      </c>
      <c r="Y98" s="123">
        <v>1.0</v>
      </c>
      <c r="Z98" s="123">
        <v>1811.02</v>
      </c>
      <c r="AA98" s="123" t="s">
        <v>157</v>
      </c>
      <c r="AB98" s="123" t="s">
        <v>499</v>
      </c>
      <c r="AC98" s="125">
        <v>46121.0</v>
      </c>
      <c r="AD98" s="123" t="s">
        <v>505</v>
      </c>
      <c r="AE98" s="123">
        <v>8.42123E7</v>
      </c>
      <c r="AF98" s="123" t="s">
        <v>702</v>
      </c>
      <c r="AG98" s="124"/>
      <c r="AH98" s="124"/>
      <c r="AI98" s="123">
        <v>1811.02</v>
      </c>
      <c r="AJ98" s="123" t="s">
        <v>159</v>
      </c>
      <c r="AK98" s="123">
        <v>18.0</v>
      </c>
      <c r="AL98" s="123">
        <v>0.0</v>
      </c>
      <c r="AM98" s="122">
        <v>0.0</v>
      </c>
      <c r="AN98" s="123">
        <v>325.98</v>
      </c>
      <c r="AO98" s="123">
        <v>0.0</v>
      </c>
      <c r="AP98" s="123">
        <v>0.0</v>
      </c>
      <c r="AQ98" s="123">
        <v>0.0</v>
      </c>
      <c r="AR98" s="123">
        <v>0.0</v>
      </c>
      <c r="AS98" s="123">
        <v>0.0</v>
      </c>
      <c r="AT98" s="123">
        <v>0.0</v>
      </c>
      <c r="AU98" s="124"/>
      <c r="AV98" s="124"/>
      <c r="AW98" s="122">
        <v>0.0</v>
      </c>
      <c r="AX98" s="123">
        <v>2137.0</v>
      </c>
      <c r="AY98" s="123" t="s">
        <v>31</v>
      </c>
      <c r="AZ98" s="123" t="s">
        <v>31</v>
      </c>
      <c r="BA98" s="123" t="s">
        <v>507</v>
      </c>
      <c r="BB98" s="123">
        <v>1.126100105E9</v>
      </c>
      <c r="BC98" s="123" t="s">
        <v>508</v>
      </c>
      <c r="BD98" s="123" t="s">
        <v>509</v>
      </c>
      <c r="BE98" s="124"/>
      <c r="BF98" s="124" t="s">
        <v>484</v>
      </c>
      <c r="BG98" s="124" t="s">
        <v>482</v>
      </c>
      <c r="BH98" s="123" t="s">
        <v>510</v>
      </c>
      <c r="BI98" s="171" t="s">
        <v>511</v>
      </c>
      <c r="BJ98" s="171" t="s">
        <v>512</v>
      </c>
      <c r="BK98" s="171" t="s">
        <v>753</v>
      </c>
      <c r="BL98" s="171">
        <v>712.08</v>
      </c>
      <c r="BM98" s="171">
        <v>712.08</v>
      </c>
      <c r="BN98" s="171">
        <v>0.0</v>
      </c>
      <c r="BO98" s="171" t="s">
        <v>514</v>
      </c>
      <c r="BP98" s="171">
        <v>9156863.0</v>
      </c>
      <c r="BQ98" s="171" t="s">
        <v>483</v>
      </c>
      <c r="BR98" s="171" t="s">
        <v>479</v>
      </c>
      <c r="BS98" s="171">
        <v>1.0</v>
      </c>
    </row>
    <row r="99" ht="14.25" customHeight="1">
      <c r="A99" s="122" t="s">
        <v>493</v>
      </c>
      <c r="B99" s="123" t="s">
        <v>494</v>
      </c>
      <c r="C99" s="123">
        <v>107.0</v>
      </c>
      <c r="D99" s="123" t="s">
        <v>146</v>
      </c>
      <c r="E99" s="123" t="s">
        <v>147</v>
      </c>
      <c r="F99" s="124"/>
      <c r="G99" s="124" t="s">
        <v>149</v>
      </c>
      <c r="H99" s="123" t="s">
        <v>2</v>
      </c>
      <c r="I99" s="123" t="s">
        <v>495</v>
      </c>
      <c r="J99" s="122" t="s">
        <v>496</v>
      </c>
      <c r="K99" s="122" t="s">
        <v>497</v>
      </c>
      <c r="L99" s="123" t="s">
        <v>498</v>
      </c>
      <c r="M99" s="125">
        <v>46140.0</v>
      </c>
      <c r="N99" s="123" t="s">
        <v>516</v>
      </c>
      <c r="O99" s="123">
        <v>9174963.0</v>
      </c>
      <c r="P99" s="125">
        <v>46129.0</v>
      </c>
      <c r="Q99" s="122" t="s">
        <v>500</v>
      </c>
      <c r="R99" s="123">
        <v>35671.0</v>
      </c>
      <c r="S99" s="123" t="s">
        <v>501</v>
      </c>
      <c r="T99" s="123" t="s">
        <v>502</v>
      </c>
      <c r="U99" s="124" t="s">
        <v>503</v>
      </c>
      <c r="V99" s="124" t="s">
        <v>504</v>
      </c>
      <c r="W99" s="124"/>
      <c r="X99" s="122">
        <v>275.0</v>
      </c>
      <c r="Y99" s="123">
        <v>28.0</v>
      </c>
      <c r="Z99" s="123">
        <v>7700.0</v>
      </c>
      <c r="AA99" s="123" t="s">
        <v>157</v>
      </c>
      <c r="AB99" s="123" t="s">
        <v>516</v>
      </c>
      <c r="AC99" s="125">
        <v>46129.0</v>
      </c>
      <c r="AD99" s="124" t="s">
        <v>505</v>
      </c>
      <c r="AE99" s="123">
        <v>996200.0</v>
      </c>
      <c r="AF99" s="123" t="s">
        <v>754</v>
      </c>
      <c r="AG99" s="124"/>
      <c r="AH99" s="124"/>
      <c r="AI99" s="123">
        <v>7700.0</v>
      </c>
      <c r="AJ99" s="123" t="s">
        <v>159</v>
      </c>
      <c r="AK99" s="123">
        <v>18.0</v>
      </c>
      <c r="AL99" s="123">
        <v>0.0</v>
      </c>
      <c r="AM99" s="122">
        <v>0.0</v>
      </c>
      <c r="AN99" s="123">
        <v>1386.0</v>
      </c>
      <c r="AO99" s="123">
        <v>0.0</v>
      </c>
      <c r="AP99" s="123">
        <v>0.0</v>
      </c>
      <c r="AQ99" s="123">
        <v>0.0</v>
      </c>
      <c r="AR99" s="123">
        <v>0.0</v>
      </c>
      <c r="AS99" s="123">
        <v>0.0</v>
      </c>
      <c r="AT99" s="123">
        <v>0.0</v>
      </c>
      <c r="AU99" s="124"/>
      <c r="AV99" s="124"/>
      <c r="AW99" s="122">
        <v>0.0</v>
      </c>
      <c r="AX99" s="123">
        <v>9086.0</v>
      </c>
      <c r="AY99" s="123" t="s">
        <v>31</v>
      </c>
      <c r="AZ99" s="123" t="s">
        <v>31</v>
      </c>
      <c r="BA99" s="123" t="s">
        <v>518</v>
      </c>
      <c r="BB99" s="123">
        <v>1.126100446E9</v>
      </c>
      <c r="BC99" s="123" t="s">
        <v>508</v>
      </c>
      <c r="BD99" s="123" t="s">
        <v>509</v>
      </c>
      <c r="BE99" s="124"/>
      <c r="BF99" s="124" t="s">
        <v>484</v>
      </c>
      <c r="BG99" s="124" t="s">
        <v>482</v>
      </c>
      <c r="BH99" s="123" t="s">
        <v>510</v>
      </c>
      <c r="BI99" s="171" t="s">
        <v>511</v>
      </c>
      <c r="BJ99" s="171" t="s">
        <v>512</v>
      </c>
      <c r="BK99" s="171" t="s">
        <v>755</v>
      </c>
      <c r="BL99" s="171">
        <v>36000.0</v>
      </c>
      <c r="BM99" s="171" t="e">
        <v>#N/A</v>
      </c>
      <c r="BN99" s="171" t="e">
        <v>#N/A</v>
      </c>
      <c r="BO99" s="171" t="s">
        <v>544</v>
      </c>
      <c r="BP99" s="171">
        <v>9151217.0</v>
      </c>
      <c r="BQ99" s="171" t="s">
        <v>478</v>
      </c>
      <c r="BR99" s="171" t="s">
        <v>544</v>
      </c>
      <c r="BS99" s="171">
        <v>1.0</v>
      </c>
    </row>
    <row r="100" ht="14.25" customHeight="1">
      <c r="A100" s="122" t="s">
        <v>493</v>
      </c>
      <c r="B100" s="123" t="s">
        <v>494</v>
      </c>
      <c r="C100" s="123">
        <v>107.0</v>
      </c>
      <c r="D100" s="123" t="s">
        <v>146</v>
      </c>
      <c r="E100" s="123" t="s">
        <v>147</v>
      </c>
      <c r="F100" s="124"/>
      <c r="G100" s="123" t="s">
        <v>149</v>
      </c>
      <c r="H100" s="123" t="s">
        <v>2</v>
      </c>
      <c r="I100" s="123" t="s">
        <v>495</v>
      </c>
      <c r="J100" s="122" t="s">
        <v>496</v>
      </c>
      <c r="K100" s="122" t="s">
        <v>497</v>
      </c>
      <c r="L100" s="123" t="s">
        <v>498</v>
      </c>
      <c r="M100" s="125">
        <v>46140.0</v>
      </c>
      <c r="N100" s="123" t="s">
        <v>551</v>
      </c>
      <c r="O100" s="123">
        <v>9175014.0</v>
      </c>
      <c r="P100" s="125">
        <v>46129.0</v>
      </c>
      <c r="Q100" s="122" t="s">
        <v>500</v>
      </c>
      <c r="R100" s="123">
        <v>15979.0</v>
      </c>
      <c r="S100" s="123" t="s">
        <v>552</v>
      </c>
      <c r="T100" s="123" t="s">
        <v>539</v>
      </c>
      <c r="U100" s="123" t="s">
        <v>553</v>
      </c>
      <c r="V100" s="123" t="s">
        <v>504</v>
      </c>
      <c r="W100" s="124"/>
      <c r="X100" s="122">
        <v>1110.6</v>
      </c>
      <c r="Y100" s="123">
        <v>1.0</v>
      </c>
      <c r="Z100" s="123">
        <v>1110.6</v>
      </c>
      <c r="AA100" s="123" t="s">
        <v>157</v>
      </c>
      <c r="AB100" s="123" t="s">
        <v>551</v>
      </c>
      <c r="AC100" s="125">
        <v>46129.0</v>
      </c>
      <c r="AD100" s="123" t="s">
        <v>505</v>
      </c>
      <c r="AE100" s="123">
        <v>998729.0</v>
      </c>
      <c r="AF100" s="123" t="s">
        <v>756</v>
      </c>
      <c r="AG100" s="124"/>
      <c r="AH100" s="124"/>
      <c r="AI100" s="123">
        <v>1110.6</v>
      </c>
      <c r="AJ100" s="123" t="s">
        <v>159</v>
      </c>
      <c r="AK100" s="123">
        <v>18.0</v>
      </c>
      <c r="AL100" s="123">
        <v>99.95</v>
      </c>
      <c r="AM100" s="122">
        <v>99.95</v>
      </c>
      <c r="AN100" s="123">
        <v>0.0</v>
      </c>
      <c r="AO100" s="123">
        <v>0.0</v>
      </c>
      <c r="AP100" s="123">
        <v>0.0</v>
      </c>
      <c r="AQ100" s="123">
        <v>0.0</v>
      </c>
      <c r="AR100" s="123">
        <v>0.0</v>
      </c>
      <c r="AS100" s="123">
        <v>0.0</v>
      </c>
      <c r="AT100" s="123">
        <v>0.0</v>
      </c>
      <c r="AU100" s="124"/>
      <c r="AV100" s="124"/>
      <c r="AW100" s="122">
        <v>0.0</v>
      </c>
      <c r="AX100" s="123">
        <v>1310.5</v>
      </c>
      <c r="AY100" s="123" t="s">
        <v>31</v>
      </c>
      <c r="AZ100" s="123" t="s">
        <v>31</v>
      </c>
      <c r="BA100" s="123" t="s">
        <v>555</v>
      </c>
      <c r="BB100" s="123">
        <v>1.126100447E9</v>
      </c>
      <c r="BC100" s="123" t="s">
        <v>556</v>
      </c>
      <c r="BD100" s="123" t="s">
        <v>509</v>
      </c>
      <c r="BE100" s="124"/>
      <c r="BF100" s="124" t="s">
        <v>484</v>
      </c>
      <c r="BG100" s="124" t="s">
        <v>482</v>
      </c>
      <c r="BH100" s="123" t="s">
        <v>510</v>
      </c>
      <c r="BI100" s="171" t="s">
        <v>511</v>
      </c>
      <c r="BJ100" s="171" t="s">
        <v>512</v>
      </c>
      <c r="BK100" s="171" t="s">
        <v>519</v>
      </c>
      <c r="BL100" s="171">
        <v>346.5</v>
      </c>
      <c r="BM100" s="171">
        <v>36494.74</v>
      </c>
      <c r="BN100" s="171">
        <v>-36148.0</v>
      </c>
      <c r="BO100" s="171" t="s">
        <v>514</v>
      </c>
      <c r="BP100" s="171">
        <v>9174963.0</v>
      </c>
      <c r="BQ100" s="171" t="s">
        <v>484</v>
      </c>
      <c r="BR100" s="171" t="s">
        <v>479</v>
      </c>
      <c r="BS100" s="171">
        <v>36.0</v>
      </c>
    </row>
    <row r="101" ht="14.25" customHeight="1">
      <c r="A101" s="122" t="s">
        <v>493</v>
      </c>
      <c r="B101" s="123" t="s">
        <v>494</v>
      </c>
      <c r="C101" s="123">
        <v>107.0</v>
      </c>
      <c r="D101" s="123" t="s">
        <v>146</v>
      </c>
      <c r="E101" s="123" t="s">
        <v>147</v>
      </c>
      <c r="F101" s="124"/>
      <c r="G101" s="123" t="s">
        <v>149</v>
      </c>
      <c r="H101" s="123" t="s">
        <v>2</v>
      </c>
      <c r="I101" s="123" t="s">
        <v>495</v>
      </c>
      <c r="J101" s="122" t="s">
        <v>528</v>
      </c>
      <c r="K101" s="122" t="s">
        <v>529</v>
      </c>
      <c r="L101" s="123" t="s">
        <v>498</v>
      </c>
      <c r="M101" s="125">
        <v>46126.0</v>
      </c>
      <c r="N101" s="123" t="s">
        <v>564</v>
      </c>
      <c r="O101" s="123">
        <v>9155609.0</v>
      </c>
      <c r="P101" s="125">
        <v>46114.0</v>
      </c>
      <c r="Q101" s="122" t="s">
        <v>500</v>
      </c>
      <c r="R101" s="123">
        <v>2770.0</v>
      </c>
      <c r="S101" s="123" t="s">
        <v>531</v>
      </c>
      <c r="T101" s="123" t="s">
        <v>532</v>
      </c>
      <c r="U101" s="123" t="s">
        <v>533</v>
      </c>
      <c r="V101" s="123" t="s">
        <v>504</v>
      </c>
      <c r="W101" s="124"/>
      <c r="X101" s="122">
        <v>1.0</v>
      </c>
      <c r="Y101" s="123">
        <v>7009.2</v>
      </c>
      <c r="Z101" s="123">
        <v>7009.2</v>
      </c>
      <c r="AA101" s="123" t="s">
        <v>157</v>
      </c>
      <c r="AB101" s="123" t="s">
        <v>564</v>
      </c>
      <c r="AC101" s="125">
        <v>46114.0</v>
      </c>
      <c r="AD101" s="123" t="s">
        <v>525</v>
      </c>
      <c r="AE101" s="123">
        <v>8.4439952E7</v>
      </c>
      <c r="AF101" s="123" t="s">
        <v>757</v>
      </c>
      <c r="AG101" s="124"/>
      <c r="AH101" s="124"/>
      <c r="AI101" s="123">
        <v>7009.2</v>
      </c>
      <c r="AJ101" s="123" t="s">
        <v>159</v>
      </c>
      <c r="AK101" s="123">
        <v>18.0</v>
      </c>
      <c r="AL101" s="123">
        <v>630.83</v>
      </c>
      <c r="AM101" s="122">
        <v>630.83</v>
      </c>
      <c r="AN101" s="123">
        <v>0.0</v>
      </c>
      <c r="AO101" s="123">
        <v>0.0</v>
      </c>
      <c r="AP101" s="123">
        <v>0.0</v>
      </c>
      <c r="AQ101" s="123">
        <v>0.0</v>
      </c>
      <c r="AR101" s="123">
        <v>0.0</v>
      </c>
      <c r="AS101" s="123">
        <v>0.0</v>
      </c>
      <c r="AT101" s="123">
        <v>0.0</v>
      </c>
      <c r="AU101" s="124"/>
      <c r="AV101" s="124"/>
      <c r="AW101" s="122">
        <v>0.0</v>
      </c>
      <c r="AX101" s="123">
        <v>8270.86</v>
      </c>
      <c r="AY101" s="123" t="s">
        <v>20</v>
      </c>
      <c r="AZ101" s="123" t="s">
        <v>31</v>
      </c>
      <c r="BA101" s="123" t="s">
        <v>535</v>
      </c>
      <c r="BB101" s="123">
        <v>1.126100059E9</v>
      </c>
      <c r="BC101" s="123" t="s">
        <v>187</v>
      </c>
      <c r="BD101" s="123" t="s">
        <v>162</v>
      </c>
      <c r="BE101" s="124"/>
      <c r="BF101" s="124" t="s">
        <v>483</v>
      </c>
      <c r="BG101" s="124" t="s">
        <v>482</v>
      </c>
      <c r="BH101" s="123" t="s">
        <v>510</v>
      </c>
      <c r="BI101" s="171" t="s">
        <v>511</v>
      </c>
      <c r="BJ101" s="171" t="s">
        <v>512</v>
      </c>
      <c r="BK101" s="171" t="s">
        <v>519</v>
      </c>
      <c r="BL101" s="171">
        <v>1485.0</v>
      </c>
      <c r="BM101" s="171">
        <v>36494.74</v>
      </c>
      <c r="BN101" s="171">
        <v>-35010.0</v>
      </c>
      <c r="BO101" s="171" t="s">
        <v>514</v>
      </c>
      <c r="BP101" s="171">
        <v>9174963.0</v>
      </c>
      <c r="BQ101" s="171" t="s">
        <v>484</v>
      </c>
      <c r="BR101" s="171" t="s">
        <v>479</v>
      </c>
      <c r="BS101" s="171">
        <v>36.0</v>
      </c>
    </row>
    <row r="102" ht="14.25" customHeight="1">
      <c r="A102" s="122" t="s">
        <v>493</v>
      </c>
      <c r="B102" s="123" t="s">
        <v>494</v>
      </c>
      <c r="C102" s="123">
        <v>107.0</v>
      </c>
      <c r="D102" s="123" t="s">
        <v>146</v>
      </c>
      <c r="E102" s="123" t="s">
        <v>147</v>
      </c>
      <c r="F102" s="124"/>
      <c r="G102" s="123" t="s">
        <v>149</v>
      </c>
      <c r="H102" s="123" t="s">
        <v>2</v>
      </c>
      <c r="I102" s="123" t="s">
        <v>495</v>
      </c>
      <c r="J102" s="122" t="s">
        <v>528</v>
      </c>
      <c r="K102" s="122" t="s">
        <v>529</v>
      </c>
      <c r="L102" s="123" t="s">
        <v>498</v>
      </c>
      <c r="M102" s="125">
        <v>46136.0</v>
      </c>
      <c r="N102" s="123">
        <v>7.026000049E9</v>
      </c>
      <c r="O102" s="123">
        <v>9168297.0</v>
      </c>
      <c r="P102" s="125">
        <v>46128.0</v>
      </c>
      <c r="Q102" s="122" t="s">
        <v>500</v>
      </c>
      <c r="R102" s="123">
        <v>14809.0</v>
      </c>
      <c r="S102" s="123" t="s">
        <v>758</v>
      </c>
      <c r="T102" s="123" t="s">
        <v>539</v>
      </c>
      <c r="U102" s="123" t="s">
        <v>759</v>
      </c>
      <c r="V102" s="123" t="s">
        <v>504</v>
      </c>
      <c r="W102" s="124"/>
      <c r="X102" s="122">
        <v>3650.0</v>
      </c>
      <c r="Y102" s="123">
        <v>40.0</v>
      </c>
      <c r="Z102" s="123">
        <v>146000.0</v>
      </c>
      <c r="AA102" s="123" t="s">
        <v>157</v>
      </c>
      <c r="AB102" s="123">
        <v>7.026000049E9</v>
      </c>
      <c r="AC102" s="125">
        <v>46128.0</v>
      </c>
      <c r="AD102" s="123" t="s">
        <v>505</v>
      </c>
      <c r="AE102" s="123">
        <v>998717.0</v>
      </c>
      <c r="AF102" s="123" t="s">
        <v>760</v>
      </c>
      <c r="AG102" s="124"/>
      <c r="AH102" s="124"/>
      <c r="AI102" s="123">
        <v>146000.0</v>
      </c>
      <c r="AJ102" s="123" t="s">
        <v>159</v>
      </c>
      <c r="AK102" s="123">
        <v>18.0</v>
      </c>
      <c r="AL102" s="123">
        <v>13140.0</v>
      </c>
      <c r="AM102" s="122">
        <v>13140.0</v>
      </c>
      <c r="AN102" s="123">
        <v>0.0</v>
      </c>
      <c r="AO102" s="123">
        <v>0.0</v>
      </c>
      <c r="AP102" s="123">
        <v>0.0</v>
      </c>
      <c r="AQ102" s="123">
        <v>0.0</v>
      </c>
      <c r="AR102" s="123">
        <v>0.0</v>
      </c>
      <c r="AS102" s="123">
        <v>0.0</v>
      </c>
      <c r="AT102" s="123">
        <v>0.0</v>
      </c>
      <c r="AU102" s="124"/>
      <c r="AV102" s="124"/>
      <c r="AW102" s="122">
        <v>0.0</v>
      </c>
      <c r="AX102" s="123">
        <v>172280.0</v>
      </c>
      <c r="AY102" s="123" t="s">
        <v>20</v>
      </c>
      <c r="AZ102" s="123" t="s">
        <v>31</v>
      </c>
      <c r="BA102" s="123" t="s">
        <v>542</v>
      </c>
      <c r="BB102" s="123">
        <v>1.12610039E9</v>
      </c>
      <c r="BC102" s="123" t="s">
        <v>187</v>
      </c>
      <c r="BD102" s="123" t="s">
        <v>162</v>
      </c>
      <c r="BE102" s="124"/>
      <c r="BF102" s="124" t="s">
        <v>483</v>
      </c>
      <c r="BG102" s="124" t="s">
        <v>482</v>
      </c>
      <c r="BH102" s="123" t="s">
        <v>510</v>
      </c>
      <c r="BI102" s="171" t="s">
        <v>511</v>
      </c>
      <c r="BJ102" s="171" t="s">
        <v>512</v>
      </c>
      <c r="BK102" s="171" t="s">
        <v>563</v>
      </c>
      <c r="BL102" s="171">
        <v>98.34</v>
      </c>
      <c r="BM102" s="171">
        <v>2435.38</v>
      </c>
      <c r="BN102" s="171">
        <v>-2337.0</v>
      </c>
      <c r="BO102" s="171" t="s">
        <v>514</v>
      </c>
      <c r="BP102" s="171">
        <v>9175014.0</v>
      </c>
      <c r="BQ102" s="171" t="s">
        <v>484</v>
      </c>
      <c r="BR102" s="171" t="s">
        <v>479</v>
      </c>
      <c r="BS102" s="171">
        <v>18.0</v>
      </c>
    </row>
    <row r="103" ht="14.25" customHeight="1">
      <c r="A103" s="122" t="s">
        <v>493</v>
      </c>
      <c r="B103" s="123" t="s">
        <v>494</v>
      </c>
      <c r="C103" s="123">
        <v>107.0</v>
      </c>
      <c r="D103" s="123" t="s">
        <v>146</v>
      </c>
      <c r="E103" s="123" t="s">
        <v>147</v>
      </c>
      <c r="F103" s="124"/>
      <c r="G103" s="124"/>
      <c r="H103" s="123" t="s">
        <v>2</v>
      </c>
      <c r="I103" s="123" t="s">
        <v>495</v>
      </c>
      <c r="J103" s="122" t="s">
        <v>528</v>
      </c>
      <c r="K103" s="122" t="s">
        <v>529</v>
      </c>
      <c r="L103" s="123" t="s">
        <v>498</v>
      </c>
      <c r="M103" s="125">
        <v>46127.0</v>
      </c>
      <c r="N103" s="123" t="s">
        <v>761</v>
      </c>
      <c r="O103" s="123">
        <v>9156868.0</v>
      </c>
      <c r="P103" s="125">
        <v>46113.0</v>
      </c>
      <c r="Q103" s="122" t="s">
        <v>500</v>
      </c>
      <c r="R103" s="123">
        <v>2770.0</v>
      </c>
      <c r="S103" s="123" t="s">
        <v>531</v>
      </c>
      <c r="T103" s="123" t="s">
        <v>572</v>
      </c>
      <c r="U103" s="123" t="s">
        <v>573</v>
      </c>
      <c r="V103" s="123" t="s">
        <v>504</v>
      </c>
      <c r="W103" s="124"/>
      <c r="X103" s="122">
        <v>1.0</v>
      </c>
      <c r="Y103" s="123">
        <v>4365.0</v>
      </c>
      <c r="Z103" s="123">
        <v>4365.0</v>
      </c>
      <c r="AA103" s="123" t="s">
        <v>157</v>
      </c>
      <c r="AB103" s="123" t="s">
        <v>761</v>
      </c>
      <c r="AC103" s="125">
        <v>46113.0</v>
      </c>
      <c r="AD103" s="123" t="s">
        <v>505</v>
      </c>
      <c r="AE103" s="123">
        <v>997314.0</v>
      </c>
      <c r="AF103" s="123" t="s">
        <v>725</v>
      </c>
      <c r="AG103" s="124"/>
      <c r="AH103" s="124"/>
      <c r="AI103" s="123">
        <v>4365.0</v>
      </c>
      <c r="AJ103" s="123" t="s">
        <v>159</v>
      </c>
      <c r="AK103" s="123">
        <v>18.0</v>
      </c>
      <c r="AL103" s="123">
        <v>0.0</v>
      </c>
      <c r="AM103" s="122">
        <v>0.0</v>
      </c>
      <c r="AN103" s="123">
        <v>785.7</v>
      </c>
      <c r="AO103" s="123">
        <v>0.0</v>
      </c>
      <c r="AP103" s="123">
        <v>0.0</v>
      </c>
      <c r="AQ103" s="123">
        <v>0.0</v>
      </c>
      <c r="AR103" s="123">
        <v>0.0</v>
      </c>
      <c r="AS103" s="123">
        <v>0.0</v>
      </c>
      <c r="AT103" s="123">
        <v>0.0</v>
      </c>
      <c r="AU103" s="124"/>
      <c r="AV103" s="124"/>
      <c r="AW103" s="122">
        <v>0.0</v>
      </c>
      <c r="AX103" s="123">
        <v>5150.7</v>
      </c>
      <c r="AY103" s="123" t="s">
        <v>20</v>
      </c>
      <c r="AZ103" s="123" t="s">
        <v>31</v>
      </c>
      <c r="BA103" s="123" t="s">
        <v>726</v>
      </c>
      <c r="BB103" s="123">
        <v>1.126100097E9</v>
      </c>
      <c r="BC103" s="123" t="s">
        <v>161</v>
      </c>
      <c r="BD103" s="123" t="s">
        <v>162</v>
      </c>
      <c r="BE103" s="124"/>
      <c r="BF103" s="124" t="s">
        <v>483</v>
      </c>
      <c r="BG103" s="124" t="s">
        <v>482</v>
      </c>
      <c r="BH103" s="123" t="s">
        <v>510</v>
      </c>
      <c r="BI103" s="171" t="s">
        <v>511</v>
      </c>
      <c r="BJ103" s="171" t="s">
        <v>512</v>
      </c>
      <c r="BK103" s="171" t="s">
        <v>762</v>
      </c>
      <c r="BL103" s="171">
        <v>71.82</v>
      </c>
      <c r="BM103" s="171">
        <v>71.82</v>
      </c>
      <c r="BN103" s="171">
        <v>0.0</v>
      </c>
      <c r="BO103" s="171" t="s">
        <v>514</v>
      </c>
      <c r="BP103" s="171">
        <v>9164387.0</v>
      </c>
      <c r="BQ103" s="171" t="s">
        <v>483</v>
      </c>
      <c r="BR103" s="171" t="s">
        <v>479</v>
      </c>
      <c r="BS103" s="171">
        <v>1.0</v>
      </c>
    </row>
    <row r="104" ht="14.25" customHeight="1">
      <c r="A104" s="122" t="s">
        <v>238</v>
      </c>
      <c r="B104" s="123" t="s">
        <v>763</v>
      </c>
      <c r="C104" s="123">
        <v>107.0</v>
      </c>
      <c r="D104" s="123" t="s">
        <v>146</v>
      </c>
      <c r="E104" s="123" t="s">
        <v>147</v>
      </c>
      <c r="F104" s="124"/>
      <c r="G104" s="124" t="s">
        <v>149</v>
      </c>
      <c r="H104" s="123" t="s">
        <v>2</v>
      </c>
      <c r="I104" s="123" t="s">
        <v>241</v>
      </c>
      <c r="J104" s="122" t="s">
        <v>243</v>
      </c>
      <c r="K104" s="122" t="s">
        <v>244</v>
      </c>
      <c r="L104" s="123" t="s">
        <v>764</v>
      </c>
      <c r="M104" s="125">
        <v>46125.0</v>
      </c>
      <c r="N104" s="123">
        <v>1.07487082E8</v>
      </c>
      <c r="O104" s="123">
        <v>1.07487082E8</v>
      </c>
      <c r="P104" s="125">
        <v>46125.0</v>
      </c>
      <c r="Q104" s="122" t="s">
        <v>765</v>
      </c>
      <c r="R104" s="123">
        <v>45452.0</v>
      </c>
      <c r="S104" s="123" t="s">
        <v>766</v>
      </c>
      <c r="T104" s="123" t="s">
        <v>713</v>
      </c>
      <c r="U104" s="123" t="s">
        <v>767</v>
      </c>
      <c r="V104" s="123" t="s">
        <v>504</v>
      </c>
      <c r="W104" s="124"/>
      <c r="X104" s="122">
        <v>0.0</v>
      </c>
      <c r="Y104" s="123">
        <v>0.0</v>
      </c>
      <c r="Z104" s="123">
        <v>140000.0</v>
      </c>
      <c r="AA104" s="123" t="s">
        <v>157</v>
      </c>
      <c r="AB104" s="123" t="s">
        <v>768</v>
      </c>
      <c r="AC104" s="125">
        <v>46113.0</v>
      </c>
      <c r="AD104" s="123" t="s">
        <v>769</v>
      </c>
      <c r="AE104" s="123">
        <v>9964.0</v>
      </c>
      <c r="AF104" s="123" t="s">
        <v>770</v>
      </c>
      <c r="AG104" s="124"/>
      <c r="AH104" s="124"/>
      <c r="AI104" s="123">
        <v>140000.0</v>
      </c>
      <c r="AJ104" s="123" t="s">
        <v>159</v>
      </c>
      <c r="AK104" s="123">
        <v>18.0</v>
      </c>
      <c r="AL104" s="123">
        <v>12600.0</v>
      </c>
      <c r="AM104" s="122">
        <v>12600.0</v>
      </c>
      <c r="AN104" s="123">
        <v>0.0</v>
      </c>
      <c r="AO104" s="123">
        <v>0.0</v>
      </c>
      <c r="AP104" s="123">
        <v>0.0</v>
      </c>
      <c r="AQ104" s="123">
        <v>0.0</v>
      </c>
      <c r="AR104" s="123">
        <v>0.0</v>
      </c>
      <c r="AS104" s="123">
        <v>0.0</v>
      </c>
      <c r="AT104" s="123">
        <v>0.0</v>
      </c>
      <c r="AU104" s="124"/>
      <c r="AV104" s="124"/>
      <c r="AW104" s="122">
        <v>0.0</v>
      </c>
      <c r="AX104" s="123">
        <v>165200.0</v>
      </c>
      <c r="AY104" s="123" t="s">
        <v>20</v>
      </c>
      <c r="AZ104" s="123" t="s">
        <v>31</v>
      </c>
      <c r="BA104" s="123" t="s">
        <v>771</v>
      </c>
      <c r="BB104" s="123">
        <v>1.126100095E9</v>
      </c>
      <c r="BC104" s="123" t="s">
        <v>161</v>
      </c>
      <c r="BD104" s="123" t="s">
        <v>162</v>
      </c>
      <c r="BE104" s="124"/>
      <c r="BF104" s="124" t="s">
        <v>483</v>
      </c>
      <c r="BG104" s="124" t="s">
        <v>482</v>
      </c>
      <c r="BH104" s="123" t="s">
        <v>587</v>
      </c>
      <c r="BI104" s="171" t="s">
        <v>511</v>
      </c>
      <c r="BJ104" s="171" t="s">
        <v>512</v>
      </c>
      <c r="BK104" s="171" t="s">
        <v>772</v>
      </c>
      <c r="BL104" s="171">
        <v>785.7</v>
      </c>
      <c r="BM104" s="171">
        <v>785.7</v>
      </c>
      <c r="BN104" s="171">
        <v>0.0</v>
      </c>
      <c r="BO104" s="171" t="s">
        <v>514</v>
      </c>
      <c r="BP104" s="171">
        <v>9156866.0</v>
      </c>
      <c r="BQ104" s="171" t="s">
        <v>483</v>
      </c>
      <c r="BR104" s="171" t="s">
        <v>479</v>
      </c>
      <c r="BS104" s="171">
        <v>1.0</v>
      </c>
    </row>
    <row r="105" ht="14.25" customHeight="1">
      <c r="A105" s="122" t="s">
        <v>493</v>
      </c>
      <c r="B105" s="123" t="s">
        <v>494</v>
      </c>
      <c r="C105" s="123">
        <v>107.0</v>
      </c>
      <c r="D105" s="123" t="s">
        <v>146</v>
      </c>
      <c r="E105" s="123" t="s">
        <v>147</v>
      </c>
      <c r="F105" s="124"/>
      <c r="G105" s="124" t="s">
        <v>149</v>
      </c>
      <c r="H105" s="123" t="s">
        <v>2</v>
      </c>
      <c r="I105" s="123" t="s">
        <v>495</v>
      </c>
      <c r="J105" s="122" t="s">
        <v>496</v>
      </c>
      <c r="K105" s="122" t="s">
        <v>497</v>
      </c>
      <c r="L105" s="123" t="s">
        <v>498</v>
      </c>
      <c r="M105" s="125">
        <v>46127.0</v>
      </c>
      <c r="N105" s="123" t="s">
        <v>520</v>
      </c>
      <c r="O105" s="123">
        <v>9156749.0</v>
      </c>
      <c r="P105" s="125">
        <v>46115.0</v>
      </c>
      <c r="Q105" s="122" t="s">
        <v>500</v>
      </c>
      <c r="R105" s="123">
        <v>6262.0</v>
      </c>
      <c r="S105" s="123" t="s">
        <v>521</v>
      </c>
      <c r="T105" s="123" t="s">
        <v>522</v>
      </c>
      <c r="U105" s="123" t="s">
        <v>523</v>
      </c>
      <c r="V105" s="123" t="s">
        <v>504</v>
      </c>
      <c r="W105" s="124"/>
      <c r="X105" s="122">
        <v>1.0</v>
      </c>
      <c r="Y105" s="123">
        <v>435.0</v>
      </c>
      <c r="Z105" s="123">
        <v>435.0</v>
      </c>
      <c r="AA105" s="123" t="s">
        <v>157</v>
      </c>
      <c r="AB105" s="123" t="s">
        <v>524</v>
      </c>
      <c r="AC105" s="125">
        <v>46115.0</v>
      </c>
      <c r="AD105" s="123" t="s">
        <v>525</v>
      </c>
      <c r="AE105" s="123">
        <v>998413.0</v>
      </c>
      <c r="AF105" s="123" t="s">
        <v>526</v>
      </c>
      <c r="AG105" s="124"/>
      <c r="AH105" s="124"/>
      <c r="AI105" s="123">
        <v>435.0</v>
      </c>
      <c r="AJ105" s="123" t="s">
        <v>159</v>
      </c>
      <c r="AK105" s="123">
        <v>18.0</v>
      </c>
      <c r="AL105" s="123">
        <v>39.15</v>
      </c>
      <c r="AM105" s="122">
        <v>39.15</v>
      </c>
      <c r="AN105" s="123">
        <v>0.0</v>
      </c>
      <c r="AO105" s="123">
        <v>0.0</v>
      </c>
      <c r="AP105" s="123">
        <v>0.0</v>
      </c>
      <c r="AQ105" s="123">
        <v>0.0</v>
      </c>
      <c r="AR105" s="123">
        <v>0.0</v>
      </c>
      <c r="AS105" s="123">
        <v>0.0</v>
      </c>
      <c r="AT105" s="123">
        <v>0.0</v>
      </c>
      <c r="AU105" s="124"/>
      <c r="AV105" s="124"/>
      <c r="AW105" s="122">
        <v>0.0</v>
      </c>
      <c r="AX105" s="123">
        <v>513.3</v>
      </c>
      <c r="AY105" s="123" t="s">
        <v>20</v>
      </c>
      <c r="AZ105" s="123" t="s">
        <v>31</v>
      </c>
      <c r="BA105" s="123" t="s">
        <v>527</v>
      </c>
      <c r="BB105" s="123">
        <v>1.126100078E9</v>
      </c>
      <c r="BC105" s="123" t="s">
        <v>187</v>
      </c>
      <c r="BD105" s="123" t="s">
        <v>162</v>
      </c>
      <c r="BE105" s="124"/>
      <c r="BF105" s="124" t="s">
        <v>483</v>
      </c>
      <c r="BG105" s="124" t="s">
        <v>482</v>
      </c>
      <c r="BH105" s="123" t="s">
        <v>510</v>
      </c>
      <c r="BI105" s="171" t="s">
        <v>511</v>
      </c>
      <c r="BJ105" s="171" t="s">
        <v>512</v>
      </c>
      <c r="BK105" s="171" t="s">
        <v>773</v>
      </c>
      <c r="BL105" s="171">
        <v>7711.2</v>
      </c>
      <c r="BM105" s="171">
        <v>7711.2</v>
      </c>
      <c r="BN105" s="171">
        <v>0.0</v>
      </c>
      <c r="BO105" s="171" t="s">
        <v>514</v>
      </c>
      <c r="BP105" s="171">
        <v>9175766.0</v>
      </c>
      <c r="BQ105" s="171" t="s">
        <v>483</v>
      </c>
      <c r="BR105" s="171" t="s">
        <v>479</v>
      </c>
      <c r="BS105" s="171">
        <v>1.0</v>
      </c>
    </row>
    <row r="106" ht="14.25" customHeight="1">
      <c r="A106" s="122" t="s">
        <v>493</v>
      </c>
      <c r="B106" s="123" t="s">
        <v>494</v>
      </c>
      <c r="C106" s="123">
        <v>107.0</v>
      </c>
      <c r="D106" s="123" t="s">
        <v>146</v>
      </c>
      <c r="E106" s="123" t="s">
        <v>147</v>
      </c>
      <c r="F106" s="124"/>
      <c r="G106" s="124"/>
      <c r="H106" s="123" t="s">
        <v>2</v>
      </c>
      <c r="I106" s="123" t="s">
        <v>495</v>
      </c>
      <c r="J106" s="122" t="s">
        <v>528</v>
      </c>
      <c r="K106" s="122" t="s">
        <v>529</v>
      </c>
      <c r="L106" s="123" t="s">
        <v>498</v>
      </c>
      <c r="M106" s="125">
        <v>46134.0</v>
      </c>
      <c r="N106" s="123" t="s">
        <v>630</v>
      </c>
      <c r="O106" s="123">
        <v>9164740.0</v>
      </c>
      <c r="P106" s="125">
        <v>46121.0</v>
      </c>
      <c r="Q106" s="122" t="s">
        <v>500</v>
      </c>
      <c r="R106" s="123">
        <v>3615.0</v>
      </c>
      <c r="S106" s="123" t="s">
        <v>631</v>
      </c>
      <c r="T106" s="123" t="s">
        <v>539</v>
      </c>
      <c r="U106" s="123" t="s">
        <v>632</v>
      </c>
      <c r="V106" s="124" t="s">
        <v>504</v>
      </c>
      <c r="W106" s="124"/>
      <c r="X106" s="122">
        <v>25.0</v>
      </c>
      <c r="Y106" s="123">
        <v>81.0</v>
      </c>
      <c r="Z106" s="123">
        <v>2025.0</v>
      </c>
      <c r="AA106" s="123" t="s">
        <v>157</v>
      </c>
      <c r="AB106" s="123" t="s">
        <v>630</v>
      </c>
      <c r="AC106" s="125">
        <v>46121.0</v>
      </c>
      <c r="AD106" s="124" t="s">
        <v>525</v>
      </c>
      <c r="AE106" s="123">
        <v>998900.0</v>
      </c>
      <c r="AF106" s="123" t="s">
        <v>774</v>
      </c>
      <c r="AG106" s="124"/>
      <c r="AH106" s="124"/>
      <c r="AI106" s="123">
        <v>2025.0</v>
      </c>
      <c r="AJ106" s="123" t="s">
        <v>159</v>
      </c>
      <c r="AK106" s="123">
        <v>18.0</v>
      </c>
      <c r="AL106" s="123">
        <v>182.25</v>
      </c>
      <c r="AM106" s="122">
        <v>182.25</v>
      </c>
      <c r="AN106" s="123">
        <v>0.0</v>
      </c>
      <c r="AO106" s="123">
        <v>0.0</v>
      </c>
      <c r="AP106" s="123">
        <v>0.0</v>
      </c>
      <c r="AQ106" s="123">
        <v>0.0</v>
      </c>
      <c r="AR106" s="123">
        <v>0.0</v>
      </c>
      <c r="AS106" s="123">
        <v>0.0</v>
      </c>
      <c r="AT106" s="123">
        <v>0.0</v>
      </c>
      <c r="AU106" s="124"/>
      <c r="AV106" s="124"/>
      <c r="AW106" s="122">
        <v>0.0</v>
      </c>
      <c r="AX106" s="123">
        <v>2389.5</v>
      </c>
      <c r="AY106" s="123" t="s">
        <v>31</v>
      </c>
      <c r="AZ106" s="123" t="s">
        <v>31</v>
      </c>
      <c r="BA106" s="123" t="s">
        <v>634</v>
      </c>
      <c r="BB106" s="123">
        <v>1.126100334E9</v>
      </c>
      <c r="BC106" s="123" t="s">
        <v>556</v>
      </c>
      <c r="BD106" s="123" t="s">
        <v>162</v>
      </c>
      <c r="BE106" s="124"/>
      <c r="BF106" s="124" t="s">
        <v>484</v>
      </c>
      <c r="BG106" s="124" t="s">
        <v>482</v>
      </c>
      <c r="BH106" s="123" t="s">
        <v>510</v>
      </c>
      <c r="BI106" s="171" t="s">
        <v>511</v>
      </c>
      <c r="BJ106" s="171" t="s">
        <v>512</v>
      </c>
      <c r="BK106" s="171" t="s">
        <v>775</v>
      </c>
      <c r="BL106" s="171">
        <v>618.78</v>
      </c>
      <c r="BM106" s="171">
        <v>618.78</v>
      </c>
      <c r="BN106" s="171">
        <v>0.0</v>
      </c>
      <c r="BO106" s="171" t="s">
        <v>514</v>
      </c>
      <c r="BP106" s="171">
        <v>9177648.0</v>
      </c>
      <c r="BQ106" s="171" t="s">
        <v>484</v>
      </c>
      <c r="BR106" s="171" t="s">
        <v>476</v>
      </c>
      <c r="BS106" s="171">
        <v>1.0</v>
      </c>
    </row>
    <row r="107" ht="14.25" customHeight="1">
      <c r="A107" s="122" t="s">
        <v>493</v>
      </c>
      <c r="B107" s="123" t="s">
        <v>494</v>
      </c>
      <c r="C107" s="123">
        <v>107.0</v>
      </c>
      <c r="D107" s="123" t="s">
        <v>146</v>
      </c>
      <c r="E107" s="123" t="s">
        <v>147</v>
      </c>
      <c r="F107" s="124"/>
      <c r="G107" s="123" t="s">
        <v>149</v>
      </c>
      <c r="H107" s="123" t="s">
        <v>2</v>
      </c>
      <c r="I107" s="123" t="s">
        <v>495</v>
      </c>
      <c r="J107" s="122" t="s">
        <v>528</v>
      </c>
      <c r="K107" s="122" t="s">
        <v>497</v>
      </c>
      <c r="L107" s="123" t="s">
        <v>498</v>
      </c>
      <c r="M107" s="125">
        <v>46125.0</v>
      </c>
      <c r="N107" s="123" t="s">
        <v>776</v>
      </c>
      <c r="O107" s="123">
        <v>9150866.0</v>
      </c>
      <c r="P107" s="125">
        <v>46118.0</v>
      </c>
      <c r="Q107" s="122" t="s">
        <v>500</v>
      </c>
      <c r="R107" s="123">
        <v>3734.0</v>
      </c>
      <c r="S107" s="123" t="s">
        <v>643</v>
      </c>
      <c r="T107" s="123" t="s">
        <v>539</v>
      </c>
      <c r="U107" s="123" t="s">
        <v>644</v>
      </c>
      <c r="V107" s="123" t="s">
        <v>504</v>
      </c>
      <c r="W107" s="124"/>
      <c r="X107" s="122">
        <v>0.0</v>
      </c>
      <c r="Y107" s="123">
        <v>0.0</v>
      </c>
      <c r="Z107" s="123">
        <v>10000.0</v>
      </c>
      <c r="AA107" s="123" t="s">
        <v>157</v>
      </c>
      <c r="AB107" s="123" t="s">
        <v>776</v>
      </c>
      <c r="AC107" s="125">
        <v>46118.0</v>
      </c>
      <c r="AD107" s="123" t="s">
        <v>505</v>
      </c>
      <c r="AE107" s="123">
        <v>997212.0</v>
      </c>
      <c r="AF107" s="123" t="s">
        <v>777</v>
      </c>
      <c r="AG107" s="124"/>
      <c r="AH107" s="124"/>
      <c r="AI107" s="123">
        <v>10000.0</v>
      </c>
      <c r="AJ107" s="123" t="s">
        <v>159</v>
      </c>
      <c r="AK107" s="123">
        <v>18.0</v>
      </c>
      <c r="AL107" s="123">
        <v>900.0</v>
      </c>
      <c r="AM107" s="122">
        <v>900.0</v>
      </c>
      <c r="AN107" s="123">
        <v>0.0</v>
      </c>
      <c r="AO107" s="123">
        <v>0.0</v>
      </c>
      <c r="AP107" s="123">
        <v>0.0</v>
      </c>
      <c r="AQ107" s="123">
        <v>0.0</v>
      </c>
      <c r="AR107" s="123">
        <v>0.0</v>
      </c>
      <c r="AS107" s="123">
        <v>0.0</v>
      </c>
      <c r="AT107" s="123">
        <v>0.0</v>
      </c>
      <c r="AU107" s="124"/>
      <c r="AV107" s="124"/>
      <c r="AW107" s="122">
        <v>0.0</v>
      </c>
      <c r="AX107" s="123">
        <v>11800.0</v>
      </c>
      <c r="AY107" s="123" t="s">
        <v>20</v>
      </c>
      <c r="AZ107" s="123" t="s">
        <v>31</v>
      </c>
      <c r="BA107" s="123" t="s">
        <v>778</v>
      </c>
      <c r="BB107" s="123">
        <v>1.126100022E9</v>
      </c>
      <c r="BC107" s="123" t="s">
        <v>187</v>
      </c>
      <c r="BD107" s="123" t="s">
        <v>162</v>
      </c>
      <c r="BE107" s="124"/>
      <c r="BF107" s="124" t="s">
        <v>483</v>
      </c>
      <c r="BG107" s="124" t="s">
        <v>482</v>
      </c>
      <c r="BH107" s="123" t="s">
        <v>510</v>
      </c>
      <c r="BI107" s="171" t="s">
        <v>511</v>
      </c>
      <c r="BJ107" s="171" t="s">
        <v>512</v>
      </c>
      <c r="BK107" s="171" t="s">
        <v>513</v>
      </c>
      <c r="BL107" s="171">
        <v>325.98</v>
      </c>
      <c r="BM107" s="171">
        <v>38182.88</v>
      </c>
      <c r="BN107" s="171">
        <v>-37857.0</v>
      </c>
      <c r="BO107" s="171" t="s">
        <v>514</v>
      </c>
      <c r="BP107" s="171">
        <v>9158398.0</v>
      </c>
      <c r="BQ107" s="171" t="s">
        <v>484</v>
      </c>
      <c r="BR107" s="171" t="s">
        <v>479</v>
      </c>
      <c r="BS107" s="171">
        <v>37.0</v>
      </c>
    </row>
    <row r="108" ht="14.25" customHeight="1">
      <c r="A108" s="122" t="s">
        <v>493</v>
      </c>
      <c r="B108" s="123" t="s">
        <v>494</v>
      </c>
      <c r="C108" s="123">
        <v>107.0</v>
      </c>
      <c r="D108" s="123" t="s">
        <v>146</v>
      </c>
      <c r="E108" s="123" t="s">
        <v>147</v>
      </c>
      <c r="F108" s="124"/>
      <c r="G108" s="123" t="s">
        <v>149</v>
      </c>
      <c r="H108" s="123" t="s">
        <v>2</v>
      </c>
      <c r="I108" s="123" t="s">
        <v>495</v>
      </c>
      <c r="J108" s="122" t="s">
        <v>496</v>
      </c>
      <c r="K108" s="122" t="s">
        <v>497</v>
      </c>
      <c r="L108" s="123" t="s">
        <v>498</v>
      </c>
      <c r="M108" s="125">
        <v>46126.0</v>
      </c>
      <c r="N108" s="123">
        <v>612.0</v>
      </c>
      <c r="O108" s="123">
        <v>9151235.0</v>
      </c>
      <c r="P108" s="125">
        <v>46116.0</v>
      </c>
      <c r="Q108" s="122" t="s">
        <v>500</v>
      </c>
      <c r="R108" s="123">
        <v>40631.0</v>
      </c>
      <c r="S108" s="123" t="s">
        <v>597</v>
      </c>
      <c r="T108" s="123" t="s">
        <v>539</v>
      </c>
      <c r="U108" s="123" t="s">
        <v>598</v>
      </c>
      <c r="V108" s="123" t="s">
        <v>504</v>
      </c>
      <c r="W108" s="124"/>
      <c r="X108" s="122">
        <v>500.0</v>
      </c>
      <c r="Y108" s="123">
        <v>1.0</v>
      </c>
      <c r="Z108" s="123">
        <v>500.0</v>
      </c>
      <c r="AA108" s="123" t="s">
        <v>157</v>
      </c>
      <c r="AB108" s="123">
        <v>612.0</v>
      </c>
      <c r="AC108" s="125">
        <v>46116.0</v>
      </c>
      <c r="AD108" s="123" t="s">
        <v>505</v>
      </c>
      <c r="AE108" s="123">
        <v>995400.0</v>
      </c>
      <c r="AF108" s="123" t="s">
        <v>779</v>
      </c>
      <c r="AG108" s="124"/>
      <c r="AH108" s="124"/>
      <c r="AI108" s="123">
        <v>500.0</v>
      </c>
      <c r="AJ108" s="123" t="s">
        <v>159</v>
      </c>
      <c r="AK108" s="123">
        <v>18.0</v>
      </c>
      <c r="AL108" s="123">
        <v>45.0</v>
      </c>
      <c r="AM108" s="122">
        <v>45.0</v>
      </c>
      <c r="AN108" s="123">
        <v>0.0</v>
      </c>
      <c r="AO108" s="123">
        <v>0.0</v>
      </c>
      <c r="AP108" s="123">
        <v>0.0</v>
      </c>
      <c r="AQ108" s="123">
        <v>0.0</v>
      </c>
      <c r="AR108" s="123">
        <v>0.0</v>
      </c>
      <c r="AS108" s="123">
        <v>0.0</v>
      </c>
      <c r="AT108" s="123">
        <v>0.0</v>
      </c>
      <c r="AU108" s="124"/>
      <c r="AV108" s="124"/>
      <c r="AW108" s="122">
        <v>0.0</v>
      </c>
      <c r="AX108" s="123">
        <v>590.0</v>
      </c>
      <c r="AY108" s="123" t="s">
        <v>31</v>
      </c>
      <c r="AZ108" s="123" t="s">
        <v>31</v>
      </c>
      <c r="BA108" s="123" t="s">
        <v>600</v>
      </c>
      <c r="BB108" s="123">
        <v>1.126100056E9</v>
      </c>
      <c r="BC108" s="123" t="s">
        <v>556</v>
      </c>
      <c r="BD108" s="123" t="s">
        <v>586</v>
      </c>
      <c r="BE108" s="124"/>
      <c r="BF108" s="124" t="s">
        <v>484</v>
      </c>
      <c r="BG108" s="124" t="s">
        <v>482</v>
      </c>
      <c r="BH108" s="123" t="s">
        <v>587</v>
      </c>
      <c r="BI108" s="171" t="s">
        <v>511</v>
      </c>
      <c r="BJ108" s="171" t="s">
        <v>512</v>
      </c>
      <c r="BK108" s="171" t="s">
        <v>519</v>
      </c>
      <c r="BL108" s="171">
        <v>1386.0</v>
      </c>
      <c r="BM108" s="171">
        <v>36494.74</v>
      </c>
      <c r="BN108" s="171">
        <v>-35109.0</v>
      </c>
      <c r="BO108" s="171" t="s">
        <v>514</v>
      </c>
      <c r="BP108" s="171">
        <v>9174963.0</v>
      </c>
      <c r="BQ108" s="171" t="s">
        <v>484</v>
      </c>
      <c r="BR108" s="171" t="s">
        <v>479</v>
      </c>
      <c r="BS108" s="171">
        <v>36.0</v>
      </c>
    </row>
    <row r="109" ht="14.25" customHeight="1">
      <c r="A109" s="122" t="s">
        <v>493</v>
      </c>
      <c r="B109" s="123" t="s">
        <v>494</v>
      </c>
      <c r="C109" s="123">
        <v>107.0</v>
      </c>
      <c r="D109" s="123" t="s">
        <v>146</v>
      </c>
      <c r="E109" s="123" t="s">
        <v>147</v>
      </c>
      <c r="F109" s="124"/>
      <c r="G109" s="123" t="s">
        <v>149</v>
      </c>
      <c r="H109" s="123" t="s">
        <v>2</v>
      </c>
      <c r="I109" s="123" t="s">
        <v>495</v>
      </c>
      <c r="J109" s="122" t="s">
        <v>496</v>
      </c>
      <c r="K109" s="122" t="s">
        <v>497</v>
      </c>
      <c r="L109" s="123" t="s">
        <v>498</v>
      </c>
      <c r="M109" s="125">
        <v>46127.0</v>
      </c>
      <c r="N109" s="123" t="s">
        <v>499</v>
      </c>
      <c r="O109" s="123">
        <v>9158398.0</v>
      </c>
      <c r="P109" s="125">
        <v>46090.0</v>
      </c>
      <c r="Q109" s="122" t="s">
        <v>500</v>
      </c>
      <c r="R109" s="123">
        <v>35671.0</v>
      </c>
      <c r="S109" s="123" t="s">
        <v>501</v>
      </c>
      <c r="T109" s="123" t="s">
        <v>502</v>
      </c>
      <c r="U109" s="123" t="s">
        <v>503</v>
      </c>
      <c r="V109" s="123" t="s">
        <v>504</v>
      </c>
      <c r="W109" s="124"/>
      <c r="X109" s="122">
        <v>275.0</v>
      </c>
      <c r="Y109" s="123">
        <v>4.0</v>
      </c>
      <c r="Z109" s="123">
        <v>1100.0</v>
      </c>
      <c r="AA109" s="123" t="s">
        <v>157</v>
      </c>
      <c r="AB109" s="123" t="s">
        <v>499</v>
      </c>
      <c r="AC109" s="125">
        <v>46121.0</v>
      </c>
      <c r="AD109" s="123" t="s">
        <v>505</v>
      </c>
      <c r="AE109" s="123">
        <v>998729.0</v>
      </c>
      <c r="AF109" s="123" t="s">
        <v>780</v>
      </c>
      <c r="AG109" s="124"/>
      <c r="AH109" s="124"/>
      <c r="AI109" s="123">
        <v>1100.0</v>
      </c>
      <c r="AJ109" s="123" t="s">
        <v>159</v>
      </c>
      <c r="AK109" s="123">
        <v>18.0</v>
      </c>
      <c r="AL109" s="123">
        <v>0.0</v>
      </c>
      <c r="AM109" s="122">
        <v>0.0</v>
      </c>
      <c r="AN109" s="123">
        <v>198.0</v>
      </c>
      <c r="AO109" s="123">
        <v>0.0</v>
      </c>
      <c r="AP109" s="123">
        <v>0.0</v>
      </c>
      <c r="AQ109" s="123">
        <v>0.0</v>
      </c>
      <c r="AR109" s="123">
        <v>0.0</v>
      </c>
      <c r="AS109" s="123">
        <v>0.0</v>
      </c>
      <c r="AT109" s="123">
        <v>0.0</v>
      </c>
      <c r="AU109" s="124"/>
      <c r="AV109" s="124"/>
      <c r="AW109" s="122">
        <v>0.0</v>
      </c>
      <c r="AX109" s="123">
        <v>1298.0</v>
      </c>
      <c r="AY109" s="123" t="s">
        <v>31</v>
      </c>
      <c r="AZ109" s="123" t="s">
        <v>31</v>
      </c>
      <c r="BA109" s="123" t="s">
        <v>507</v>
      </c>
      <c r="BB109" s="123">
        <v>1.126100105E9</v>
      </c>
      <c r="BC109" s="123" t="s">
        <v>508</v>
      </c>
      <c r="BD109" s="123" t="s">
        <v>509</v>
      </c>
      <c r="BE109" s="124"/>
      <c r="BF109" s="124" t="s">
        <v>484</v>
      </c>
      <c r="BG109" s="124" t="s">
        <v>482</v>
      </c>
      <c r="BH109" s="123" t="s">
        <v>510</v>
      </c>
      <c r="BI109" s="171" t="s">
        <v>511</v>
      </c>
      <c r="BJ109" s="171" t="s">
        <v>512</v>
      </c>
      <c r="BK109" s="171" t="s">
        <v>563</v>
      </c>
      <c r="BL109" s="171">
        <v>199.9</v>
      </c>
      <c r="BM109" s="171">
        <v>2435.38</v>
      </c>
      <c r="BN109" s="171">
        <v>-2235.0</v>
      </c>
      <c r="BO109" s="171" t="s">
        <v>514</v>
      </c>
      <c r="BP109" s="171">
        <v>9175014.0</v>
      </c>
      <c r="BQ109" s="171" t="s">
        <v>484</v>
      </c>
      <c r="BR109" s="171" t="s">
        <v>479</v>
      </c>
      <c r="BS109" s="171">
        <v>18.0</v>
      </c>
    </row>
    <row r="110" ht="14.25" customHeight="1">
      <c r="A110" s="122" t="s">
        <v>493</v>
      </c>
      <c r="B110" s="123" t="s">
        <v>494</v>
      </c>
      <c r="C110" s="123">
        <v>107.0</v>
      </c>
      <c r="D110" s="123" t="s">
        <v>146</v>
      </c>
      <c r="E110" s="123" t="s">
        <v>147</v>
      </c>
      <c r="F110" s="124"/>
      <c r="G110" s="124" t="s">
        <v>149</v>
      </c>
      <c r="H110" s="123" t="s">
        <v>2</v>
      </c>
      <c r="I110" s="123" t="s">
        <v>495</v>
      </c>
      <c r="J110" s="122" t="s">
        <v>496</v>
      </c>
      <c r="K110" s="122" t="s">
        <v>497</v>
      </c>
      <c r="L110" s="123" t="s">
        <v>498</v>
      </c>
      <c r="M110" s="125">
        <v>46140.0</v>
      </c>
      <c r="N110" s="123" t="s">
        <v>516</v>
      </c>
      <c r="O110" s="123">
        <v>9174963.0</v>
      </c>
      <c r="P110" s="125">
        <v>46129.0</v>
      </c>
      <c r="Q110" s="122" t="s">
        <v>500</v>
      </c>
      <c r="R110" s="123">
        <v>35671.0</v>
      </c>
      <c r="S110" s="123" t="s">
        <v>501</v>
      </c>
      <c r="T110" s="123" t="s">
        <v>502</v>
      </c>
      <c r="U110" s="123" t="s">
        <v>503</v>
      </c>
      <c r="V110" s="123" t="s">
        <v>781</v>
      </c>
      <c r="W110" s="124"/>
      <c r="X110" s="122">
        <v>1335.592</v>
      </c>
      <c r="Y110" s="123">
        <v>6.5</v>
      </c>
      <c r="Z110" s="123">
        <v>8681.35</v>
      </c>
      <c r="AA110" s="123" t="s">
        <v>157</v>
      </c>
      <c r="AB110" s="123" t="s">
        <v>516</v>
      </c>
      <c r="AC110" s="125">
        <v>46129.0</v>
      </c>
      <c r="AD110" s="123" t="s">
        <v>505</v>
      </c>
      <c r="AE110" s="123">
        <v>2.7101972E7</v>
      </c>
      <c r="AF110" s="123" t="s">
        <v>782</v>
      </c>
      <c r="AG110" s="124"/>
      <c r="AH110" s="124"/>
      <c r="AI110" s="123">
        <v>8681.35</v>
      </c>
      <c r="AJ110" s="123" t="s">
        <v>159</v>
      </c>
      <c r="AK110" s="123">
        <v>18.0</v>
      </c>
      <c r="AL110" s="123">
        <v>0.0</v>
      </c>
      <c r="AM110" s="122">
        <v>0.0</v>
      </c>
      <c r="AN110" s="123">
        <v>1562.64</v>
      </c>
      <c r="AO110" s="123">
        <v>0.0</v>
      </c>
      <c r="AP110" s="123">
        <v>0.0</v>
      </c>
      <c r="AQ110" s="123">
        <v>0.0</v>
      </c>
      <c r="AR110" s="123">
        <v>0.0</v>
      </c>
      <c r="AS110" s="123">
        <v>0.0</v>
      </c>
      <c r="AT110" s="123">
        <v>0.0</v>
      </c>
      <c r="AU110" s="124"/>
      <c r="AV110" s="124"/>
      <c r="AW110" s="122">
        <v>0.0</v>
      </c>
      <c r="AX110" s="123">
        <v>10243.99</v>
      </c>
      <c r="AY110" s="123" t="s">
        <v>31</v>
      </c>
      <c r="AZ110" s="123" t="s">
        <v>31</v>
      </c>
      <c r="BA110" s="123" t="s">
        <v>518</v>
      </c>
      <c r="BB110" s="123">
        <v>1.126100446E9</v>
      </c>
      <c r="BC110" s="123" t="s">
        <v>508</v>
      </c>
      <c r="BD110" s="123" t="s">
        <v>509</v>
      </c>
      <c r="BE110" s="124"/>
      <c r="BF110" s="124" t="s">
        <v>484</v>
      </c>
      <c r="BG110" s="124" t="s">
        <v>482</v>
      </c>
      <c r="BH110" s="123" t="s">
        <v>510</v>
      </c>
      <c r="BI110" s="171" t="s">
        <v>511</v>
      </c>
      <c r="BJ110" s="171" t="s">
        <v>512</v>
      </c>
      <c r="BK110" s="171" t="s">
        <v>569</v>
      </c>
      <c r="BL110" s="171">
        <v>1261.66</v>
      </c>
      <c r="BM110" s="171">
        <v>1420.5</v>
      </c>
      <c r="BN110" s="171">
        <v>-159.0</v>
      </c>
      <c r="BO110" s="171" t="s">
        <v>514</v>
      </c>
      <c r="BP110" s="171">
        <v>9155609.0</v>
      </c>
      <c r="BQ110" s="171" t="s">
        <v>483</v>
      </c>
      <c r="BR110" s="171" t="s">
        <v>479</v>
      </c>
      <c r="BS110" s="171">
        <v>4.0</v>
      </c>
    </row>
    <row r="111" ht="14.25" customHeight="1">
      <c r="A111" s="122" t="s">
        <v>493</v>
      </c>
      <c r="B111" s="123" t="s">
        <v>494</v>
      </c>
      <c r="C111" s="123">
        <v>107.0</v>
      </c>
      <c r="D111" s="123" t="s">
        <v>146</v>
      </c>
      <c r="E111" s="123" t="s">
        <v>147</v>
      </c>
      <c r="F111" s="124"/>
      <c r="G111" s="124" t="s">
        <v>149</v>
      </c>
      <c r="H111" s="123" t="s">
        <v>2</v>
      </c>
      <c r="I111" s="123" t="s">
        <v>495</v>
      </c>
      <c r="J111" s="122" t="s">
        <v>496</v>
      </c>
      <c r="K111" s="122" t="s">
        <v>497</v>
      </c>
      <c r="L111" s="123" t="s">
        <v>498</v>
      </c>
      <c r="M111" s="125">
        <v>46140.0</v>
      </c>
      <c r="N111" s="123" t="s">
        <v>516</v>
      </c>
      <c r="O111" s="123">
        <v>9174963.0</v>
      </c>
      <c r="P111" s="125">
        <v>46129.0</v>
      </c>
      <c r="Q111" s="122" t="s">
        <v>500</v>
      </c>
      <c r="R111" s="123">
        <v>35671.0</v>
      </c>
      <c r="S111" s="123" t="s">
        <v>501</v>
      </c>
      <c r="T111" s="123" t="s">
        <v>502</v>
      </c>
      <c r="U111" s="123" t="s">
        <v>503</v>
      </c>
      <c r="V111" s="123" t="s">
        <v>504</v>
      </c>
      <c r="W111" s="124"/>
      <c r="X111" s="122">
        <v>762.71</v>
      </c>
      <c r="Y111" s="123">
        <v>2.0</v>
      </c>
      <c r="Z111" s="123">
        <v>1525.42</v>
      </c>
      <c r="AA111" s="123" t="s">
        <v>157</v>
      </c>
      <c r="AB111" s="123" t="s">
        <v>516</v>
      </c>
      <c r="AC111" s="125">
        <v>46129.0</v>
      </c>
      <c r="AD111" s="123" t="s">
        <v>505</v>
      </c>
      <c r="AE111" s="123">
        <v>4.016934E7</v>
      </c>
      <c r="AF111" s="123" t="s">
        <v>783</v>
      </c>
      <c r="AG111" s="124"/>
      <c r="AH111" s="124"/>
      <c r="AI111" s="123">
        <v>1525.42</v>
      </c>
      <c r="AJ111" s="123" t="s">
        <v>159</v>
      </c>
      <c r="AK111" s="123">
        <v>18.0</v>
      </c>
      <c r="AL111" s="123">
        <v>0.0</v>
      </c>
      <c r="AM111" s="122">
        <v>0.0</v>
      </c>
      <c r="AN111" s="123">
        <v>274.58</v>
      </c>
      <c r="AO111" s="123">
        <v>0.0</v>
      </c>
      <c r="AP111" s="123">
        <v>0.0</v>
      </c>
      <c r="AQ111" s="123">
        <v>0.0</v>
      </c>
      <c r="AR111" s="123">
        <v>0.0</v>
      </c>
      <c r="AS111" s="123">
        <v>0.0</v>
      </c>
      <c r="AT111" s="123">
        <v>0.0</v>
      </c>
      <c r="AU111" s="124"/>
      <c r="AV111" s="124"/>
      <c r="AW111" s="122">
        <v>0.0</v>
      </c>
      <c r="AX111" s="123">
        <v>1800.0</v>
      </c>
      <c r="AY111" s="123" t="s">
        <v>31</v>
      </c>
      <c r="AZ111" s="123" t="s">
        <v>31</v>
      </c>
      <c r="BA111" s="123" t="s">
        <v>518</v>
      </c>
      <c r="BB111" s="123">
        <v>1.126100446E9</v>
      </c>
      <c r="BC111" s="123" t="s">
        <v>508</v>
      </c>
      <c r="BD111" s="123" t="s">
        <v>509</v>
      </c>
      <c r="BE111" s="124"/>
      <c r="BF111" s="124" t="s">
        <v>484</v>
      </c>
      <c r="BG111" s="124" t="s">
        <v>482</v>
      </c>
      <c r="BH111" s="123" t="s">
        <v>510</v>
      </c>
      <c r="BI111" s="171" t="s">
        <v>511</v>
      </c>
      <c r="BJ111" s="171" t="s">
        <v>512</v>
      </c>
      <c r="BK111" s="171" t="s">
        <v>784</v>
      </c>
      <c r="BL111" s="171">
        <v>26280.0</v>
      </c>
      <c r="BM111" s="171">
        <v>28440.0</v>
      </c>
      <c r="BN111" s="171">
        <v>-2160.0</v>
      </c>
      <c r="BO111" s="171" t="s">
        <v>514</v>
      </c>
      <c r="BP111" s="171">
        <v>9168297.0</v>
      </c>
      <c r="BQ111" s="171" t="s">
        <v>483</v>
      </c>
      <c r="BR111" s="171" t="s">
        <v>479</v>
      </c>
      <c r="BS111" s="171">
        <v>3.0</v>
      </c>
    </row>
    <row r="112" ht="14.25" customHeight="1">
      <c r="A112" s="122" t="s">
        <v>493</v>
      </c>
      <c r="B112" s="123" t="s">
        <v>494</v>
      </c>
      <c r="C112" s="123">
        <v>107.0</v>
      </c>
      <c r="D112" s="123" t="s">
        <v>146</v>
      </c>
      <c r="E112" s="123" t="s">
        <v>147</v>
      </c>
      <c r="F112" s="124"/>
      <c r="G112" s="124" t="s">
        <v>149</v>
      </c>
      <c r="H112" s="123" t="s">
        <v>2</v>
      </c>
      <c r="I112" s="123" t="s">
        <v>495</v>
      </c>
      <c r="J112" s="122" t="s">
        <v>496</v>
      </c>
      <c r="K112" s="122" t="s">
        <v>497</v>
      </c>
      <c r="L112" s="123" t="s">
        <v>498</v>
      </c>
      <c r="M112" s="125">
        <v>46140.0</v>
      </c>
      <c r="N112" s="123" t="s">
        <v>551</v>
      </c>
      <c r="O112" s="123">
        <v>9175014.0</v>
      </c>
      <c r="P112" s="125">
        <v>46129.0</v>
      </c>
      <c r="Q112" s="122" t="s">
        <v>500</v>
      </c>
      <c r="R112" s="123">
        <v>15979.0</v>
      </c>
      <c r="S112" s="123" t="s">
        <v>552</v>
      </c>
      <c r="T112" s="123" t="s">
        <v>539</v>
      </c>
      <c r="U112" s="123" t="s">
        <v>553</v>
      </c>
      <c r="V112" s="123" t="s">
        <v>504</v>
      </c>
      <c r="W112" s="124"/>
      <c r="X112" s="122">
        <v>591.0</v>
      </c>
      <c r="Y112" s="123">
        <v>1.0</v>
      </c>
      <c r="Z112" s="123">
        <v>591.0</v>
      </c>
      <c r="AA112" s="123" t="s">
        <v>157</v>
      </c>
      <c r="AB112" s="123" t="s">
        <v>551</v>
      </c>
      <c r="AC112" s="125">
        <v>46129.0</v>
      </c>
      <c r="AD112" s="123" t="s">
        <v>505</v>
      </c>
      <c r="AE112" s="123">
        <v>8.421399E7</v>
      </c>
      <c r="AF112" s="123" t="s">
        <v>785</v>
      </c>
      <c r="AG112" s="124"/>
      <c r="AH112" s="124"/>
      <c r="AI112" s="123">
        <v>591.0</v>
      </c>
      <c r="AJ112" s="123" t="s">
        <v>159</v>
      </c>
      <c r="AK112" s="123">
        <v>18.0</v>
      </c>
      <c r="AL112" s="123">
        <v>53.19</v>
      </c>
      <c r="AM112" s="122">
        <v>53.19</v>
      </c>
      <c r="AN112" s="123">
        <v>0.0</v>
      </c>
      <c r="AO112" s="123">
        <v>0.0</v>
      </c>
      <c r="AP112" s="123">
        <v>0.0</v>
      </c>
      <c r="AQ112" s="123">
        <v>0.0</v>
      </c>
      <c r="AR112" s="123">
        <v>0.0</v>
      </c>
      <c r="AS112" s="123">
        <v>0.0</v>
      </c>
      <c r="AT112" s="123">
        <v>0.0</v>
      </c>
      <c r="AU112" s="124"/>
      <c r="AV112" s="124"/>
      <c r="AW112" s="122">
        <v>0.0</v>
      </c>
      <c r="AX112" s="123">
        <v>697.38</v>
      </c>
      <c r="AY112" s="123" t="s">
        <v>31</v>
      </c>
      <c r="AZ112" s="123" t="s">
        <v>31</v>
      </c>
      <c r="BA112" s="123" t="s">
        <v>555</v>
      </c>
      <c r="BB112" s="123">
        <v>1.126100447E9</v>
      </c>
      <c r="BC112" s="123" t="s">
        <v>556</v>
      </c>
      <c r="BD112" s="123" t="s">
        <v>509</v>
      </c>
      <c r="BE112" s="124"/>
      <c r="BF112" s="124" t="s">
        <v>484</v>
      </c>
      <c r="BG112" s="124" t="s">
        <v>482</v>
      </c>
      <c r="BH112" s="123" t="s">
        <v>510</v>
      </c>
      <c r="BI112" s="171" t="s">
        <v>511</v>
      </c>
      <c r="BJ112" s="171" t="s">
        <v>512</v>
      </c>
      <c r="BK112" s="171" t="s">
        <v>786</v>
      </c>
      <c r="BL112" s="171">
        <v>785.7</v>
      </c>
      <c r="BM112" s="171">
        <v>785.7</v>
      </c>
      <c r="BN112" s="171">
        <v>0.0</v>
      </c>
      <c r="BO112" s="171" t="s">
        <v>514</v>
      </c>
      <c r="BP112" s="171">
        <v>9156868.0</v>
      </c>
      <c r="BQ112" s="171" t="s">
        <v>483</v>
      </c>
      <c r="BR112" s="171" t="s">
        <v>479</v>
      </c>
      <c r="BS112" s="171">
        <v>1.0</v>
      </c>
    </row>
    <row r="113" ht="14.25" customHeight="1">
      <c r="A113" s="122" t="s">
        <v>493</v>
      </c>
      <c r="B113" s="123" t="s">
        <v>494</v>
      </c>
      <c r="C113" s="123">
        <v>107.0</v>
      </c>
      <c r="D113" s="123" t="s">
        <v>146</v>
      </c>
      <c r="E113" s="123" t="s">
        <v>147</v>
      </c>
      <c r="F113" s="124"/>
      <c r="G113" s="124" t="s">
        <v>149</v>
      </c>
      <c r="H113" s="123" t="s">
        <v>2</v>
      </c>
      <c r="I113" s="123" t="s">
        <v>495</v>
      </c>
      <c r="J113" s="122" t="s">
        <v>496</v>
      </c>
      <c r="K113" s="122" t="s">
        <v>497</v>
      </c>
      <c r="L113" s="123" t="s">
        <v>498</v>
      </c>
      <c r="M113" s="125">
        <v>46140.0</v>
      </c>
      <c r="N113" s="123" t="s">
        <v>516</v>
      </c>
      <c r="O113" s="123">
        <v>9174963.0</v>
      </c>
      <c r="P113" s="125">
        <v>46129.0</v>
      </c>
      <c r="Q113" s="122" t="s">
        <v>500</v>
      </c>
      <c r="R113" s="123">
        <v>35671.0</v>
      </c>
      <c r="S113" s="123" t="s">
        <v>501</v>
      </c>
      <c r="T113" s="123" t="s">
        <v>502</v>
      </c>
      <c r="U113" s="123" t="s">
        <v>503</v>
      </c>
      <c r="V113" s="123" t="s">
        <v>504</v>
      </c>
      <c r="W113" s="124"/>
      <c r="X113" s="122">
        <v>17219.92</v>
      </c>
      <c r="Y113" s="123">
        <v>1.0</v>
      </c>
      <c r="Z113" s="123">
        <v>17219.92</v>
      </c>
      <c r="AA113" s="123" t="s">
        <v>157</v>
      </c>
      <c r="AB113" s="123" t="s">
        <v>516</v>
      </c>
      <c r="AC113" s="125">
        <v>46129.0</v>
      </c>
      <c r="AD113" s="123" t="s">
        <v>505</v>
      </c>
      <c r="AE113" s="123">
        <v>8.7083E7</v>
      </c>
      <c r="AF113" s="123" t="s">
        <v>787</v>
      </c>
      <c r="AG113" s="124"/>
      <c r="AH113" s="124"/>
      <c r="AI113" s="123">
        <v>17219.92</v>
      </c>
      <c r="AJ113" s="123" t="s">
        <v>159</v>
      </c>
      <c r="AK113" s="123">
        <v>18.0</v>
      </c>
      <c r="AL113" s="123">
        <v>0.0</v>
      </c>
      <c r="AM113" s="122">
        <v>0.0</v>
      </c>
      <c r="AN113" s="123">
        <v>3099.59</v>
      </c>
      <c r="AO113" s="123">
        <v>0.0</v>
      </c>
      <c r="AP113" s="123">
        <v>0.0</v>
      </c>
      <c r="AQ113" s="123">
        <v>0.0</v>
      </c>
      <c r="AR113" s="123">
        <v>0.0</v>
      </c>
      <c r="AS113" s="123">
        <v>0.0</v>
      </c>
      <c r="AT113" s="123">
        <v>0.0</v>
      </c>
      <c r="AU113" s="124"/>
      <c r="AV113" s="124"/>
      <c r="AW113" s="122">
        <v>0.0</v>
      </c>
      <c r="AX113" s="123">
        <v>20319.51</v>
      </c>
      <c r="AY113" s="123" t="s">
        <v>31</v>
      </c>
      <c r="AZ113" s="123" t="s">
        <v>31</v>
      </c>
      <c r="BA113" s="123" t="s">
        <v>518</v>
      </c>
      <c r="BB113" s="123">
        <v>1.126100446E9</v>
      </c>
      <c r="BC113" s="123" t="s">
        <v>508</v>
      </c>
      <c r="BD113" s="123" t="s">
        <v>509</v>
      </c>
      <c r="BE113" s="124"/>
      <c r="BF113" s="124" t="s">
        <v>484</v>
      </c>
      <c r="BG113" s="124" t="s">
        <v>482</v>
      </c>
      <c r="BH113" s="123" t="s">
        <v>510</v>
      </c>
      <c r="BI113" s="171" t="s">
        <v>511</v>
      </c>
      <c r="BJ113" s="171" t="s">
        <v>512</v>
      </c>
      <c r="BK113" s="171" t="s">
        <v>788</v>
      </c>
      <c r="BL113" s="171">
        <v>30239.94</v>
      </c>
      <c r="BM113" s="171">
        <v>30240.0</v>
      </c>
      <c r="BN113" s="171">
        <v>0.0</v>
      </c>
      <c r="BO113" s="171" t="s">
        <v>514</v>
      </c>
      <c r="BP113" s="171">
        <v>9178276.0</v>
      </c>
      <c r="BQ113" s="171" t="s">
        <v>483</v>
      </c>
      <c r="BR113" s="171" t="s">
        <v>476</v>
      </c>
      <c r="BS113" s="171">
        <v>1.0</v>
      </c>
    </row>
    <row r="114" ht="14.25" customHeight="1">
      <c r="A114" s="122" t="s">
        <v>493</v>
      </c>
      <c r="B114" s="123" t="s">
        <v>494</v>
      </c>
      <c r="C114" s="123">
        <v>107.0</v>
      </c>
      <c r="D114" s="123" t="s">
        <v>146</v>
      </c>
      <c r="E114" s="123" t="s">
        <v>147</v>
      </c>
      <c r="F114" s="124"/>
      <c r="G114" s="123" t="s">
        <v>149</v>
      </c>
      <c r="H114" s="123" t="s">
        <v>2</v>
      </c>
      <c r="I114" s="123" t="s">
        <v>495</v>
      </c>
      <c r="J114" s="122" t="s">
        <v>496</v>
      </c>
      <c r="K114" s="122" t="s">
        <v>497</v>
      </c>
      <c r="L114" s="123" t="s">
        <v>498</v>
      </c>
      <c r="M114" s="125">
        <v>46140.0</v>
      </c>
      <c r="N114" s="123" t="s">
        <v>551</v>
      </c>
      <c r="O114" s="123">
        <v>9175014.0</v>
      </c>
      <c r="P114" s="125">
        <v>46129.0</v>
      </c>
      <c r="Q114" s="122" t="s">
        <v>500</v>
      </c>
      <c r="R114" s="123">
        <v>15979.0</v>
      </c>
      <c r="S114" s="123" t="s">
        <v>552</v>
      </c>
      <c r="T114" s="123" t="s">
        <v>539</v>
      </c>
      <c r="U114" s="123" t="s">
        <v>553</v>
      </c>
      <c r="V114" s="123" t="s">
        <v>504</v>
      </c>
      <c r="W114" s="124"/>
      <c r="X114" s="122">
        <v>406.8</v>
      </c>
      <c r="Y114" s="123">
        <v>1.0</v>
      </c>
      <c r="Z114" s="123">
        <v>406.8</v>
      </c>
      <c r="AA114" s="123" t="s">
        <v>157</v>
      </c>
      <c r="AB114" s="123" t="s">
        <v>551</v>
      </c>
      <c r="AC114" s="125">
        <v>46129.0</v>
      </c>
      <c r="AD114" s="123" t="s">
        <v>505</v>
      </c>
      <c r="AE114" s="123">
        <v>998729.0</v>
      </c>
      <c r="AF114" s="123" t="s">
        <v>789</v>
      </c>
      <c r="AG114" s="124"/>
      <c r="AH114" s="124"/>
      <c r="AI114" s="123">
        <v>406.8</v>
      </c>
      <c r="AJ114" s="123" t="s">
        <v>159</v>
      </c>
      <c r="AK114" s="123">
        <v>18.0</v>
      </c>
      <c r="AL114" s="123">
        <v>36.61</v>
      </c>
      <c r="AM114" s="122">
        <v>36.61</v>
      </c>
      <c r="AN114" s="123">
        <v>0.0</v>
      </c>
      <c r="AO114" s="123">
        <v>0.0</v>
      </c>
      <c r="AP114" s="123">
        <v>0.0</v>
      </c>
      <c r="AQ114" s="123">
        <v>0.0</v>
      </c>
      <c r="AR114" s="123">
        <v>0.0</v>
      </c>
      <c r="AS114" s="123">
        <v>0.0</v>
      </c>
      <c r="AT114" s="123">
        <v>0.0</v>
      </c>
      <c r="AU114" s="124"/>
      <c r="AV114" s="124"/>
      <c r="AW114" s="122">
        <v>0.0</v>
      </c>
      <c r="AX114" s="123">
        <v>480.02</v>
      </c>
      <c r="AY114" s="123" t="s">
        <v>31</v>
      </c>
      <c r="AZ114" s="123" t="s">
        <v>31</v>
      </c>
      <c r="BA114" s="123" t="s">
        <v>555</v>
      </c>
      <c r="BB114" s="123">
        <v>1.126100447E9</v>
      </c>
      <c r="BC114" s="123" t="s">
        <v>556</v>
      </c>
      <c r="BD114" s="123" t="s">
        <v>509</v>
      </c>
      <c r="BE114" s="124"/>
      <c r="BF114" s="124" t="s">
        <v>484</v>
      </c>
      <c r="BG114" s="124" t="s">
        <v>482</v>
      </c>
      <c r="BH114" s="123" t="s">
        <v>510</v>
      </c>
      <c r="BI114" s="171" t="s">
        <v>511</v>
      </c>
      <c r="BJ114" s="171" t="s">
        <v>512</v>
      </c>
      <c r="BK114" s="171" t="s">
        <v>480</v>
      </c>
      <c r="BL114" s="171">
        <v>78.3</v>
      </c>
      <c r="BM114" s="171">
        <v>8534.42</v>
      </c>
      <c r="BN114" s="171">
        <v>-8456.0</v>
      </c>
      <c r="BO114" s="171" t="s">
        <v>514</v>
      </c>
      <c r="BP114" s="171">
        <v>9156749.0</v>
      </c>
      <c r="BQ114" s="171" t="s">
        <v>483</v>
      </c>
      <c r="BR114" s="171" t="s">
        <v>479</v>
      </c>
      <c r="BS114" s="171">
        <v>17.0</v>
      </c>
    </row>
    <row r="115" ht="14.25" customHeight="1">
      <c r="A115" s="122" t="s">
        <v>493</v>
      </c>
      <c r="B115" s="123" t="s">
        <v>494</v>
      </c>
      <c r="C115" s="123">
        <v>107.0</v>
      </c>
      <c r="D115" s="123" t="s">
        <v>146</v>
      </c>
      <c r="E115" s="123" t="s">
        <v>147</v>
      </c>
      <c r="F115" s="124"/>
      <c r="G115" s="124"/>
      <c r="H115" s="123" t="s">
        <v>2</v>
      </c>
      <c r="I115" s="123" t="s">
        <v>495</v>
      </c>
      <c r="J115" s="122" t="s">
        <v>528</v>
      </c>
      <c r="K115" s="122" t="s">
        <v>626</v>
      </c>
      <c r="L115" s="123" t="s">
        <v>498</v>
      </c>
      <c r="M115" s="125">
        <v>46133.0</v>
      </c>
      <c r="N115" s="123" t="s">
        <v>790</v>
      </c>
      <c r="O115" s="123">
        <v>9164383.0</v>
      </c>
      <c r="P115" s="125">
        <v>46115.0</v>
      </c>
      <c r="Q115" s="122" t="s">
        <v>500</v>
      </c>
      <c r="R115" s="123">
        <v>6262.0</v>
      </c>
      <c r="S115" s="123" t="s">
        <v>521</v>
      </c>
      <c r="T115" s="123" t="s">
        <v>522</v>
      </c>
      <c r="U115" s="123" t="s">
        <v>523</v>
      </c>
      <c r="V115" s="123" t="s">
        <v>504</v>
      </c>
      <c r="W115" s="124"/>
      <c r="X115" s="122">
        <v>1.0</v>
      </c>
      <c r="Y115" s="123">
        <v>1183.0</v>
      </c>
      <c r="Z115" s="123">
        <v>1183.0</v>
      </c>
      <c r="AA115" s="123" t="s">
        <v>157</v>
      </c>
      <c r="AB115" s="123" t="s">
        <v>790</v>
      </c>
      <c r="AC115" s="125">
        <v>46115.0</v>
      </c>
      <c r="AD115" s="123" t="s">
        <v>525</v>
      </c>
      <c r="AE115" s="123">
        <v>998412.0</v>
      </c>
      <c r="AF115" s="123" t="s">
        <v>657</v>
      </c>
      <c r="AG115" s="124"/>
      <c r="AH115" s="124"/>
      <c r="AI115" s="123">
        <v>1183.0</v>
      </c>
      <c r="AJ115" s="123" t="s">
        <v>159</v>
      </c>
      <c r="AK115" s="123">
        <v>18.0</v>
      </c>
      <c r="AL115" s="123">
        <v>106.47</v>
      </c>
      <c r="AM115" s="122">
        <v>106.47</v>
      </c>
      <c r="AN115" s="123">
        <v>0.0</v>
      </c>
      <c r="AO115" s="123">
        <v>0.0</v>
      </c>
      <c r="AP115" s="123">
        <v>0.0</v>
      </c>
      <c r="AQ115" s="123">
        <v>0.0</v>
      </c>
      <c r="AR115" s="123">
        <v>0.0</v>
      </c>
      <c r="AS115" s="123">
        <v>0.0</v>
      </c>
      <c r="AT115" s="123">
        <v>0.0</v>
      </c>
      <c r="AU115" s="124"/>
      <c r="AV115" s="124"/>
      <c r="AW115" s="122">
        <v>0.0</v>
      </c>
      <c r="AX115" s="123">
        <v>1395.94</v>
      </c>
      <c r="AY115" s="123" t="s">
        <v>31</v>
      </c>
      <c r="AZ115" s="123" t="s">
        <v>31</v>
      </c>
      <c r="BA115" s="123" t="s">
        <v>658</v>
      </c>
      <c r="BB115" s="123">
        <v>1.126100279E9</v>
      </c>
      <c r="BC115" s="123" t="s">
        <v>556</v>
      </c>
      <c r="BD115" s="123" t="s">
        <v>162</v>
      </c>
      <c r="BE115" s="124"/>
      <c r="BF115" s="124" t="s">
        <v>484</v>
      </c>
      <c r="BG115" s="124" t="s">
        <v>482</v>
      </c>
      <c r="BH115" s="123" t="s">
        <v>510</v>
      </c>
      <c r="BI115" s="171" t="s">
        <v>511</v>
      </c>
      <c r="BJ115" s="171" t="s">
        <v>512</v>
      </c>
      <c r="BK115" s="171" t="s">
        <v>635</v>
      </c>
      <c r="BL115" s="171">
        <v>364.5</v>
      </c>
      <c r="BM115" s="171">
        <v>6014.7</v>
      </c>
      <c r="BN115" s="171">
        <v>-5650.0</v>
      </c>
      <c r="BO115" s="171" t="s">
        <v>514</v>
      </c>
      <c r="BP115" s="171">
        <v>9164740.0</v>
      </c>
      <c r="BQ115" s="171" t="s">
        <v>484</v>
      </c>
      <c r="BR115" s="171" t="s">
        <v>479</v>
      </c>
      <c r="BS115" s="171">
        <v>6.0</v>
      </c>
    </row>
    <row r="116" ht="14.25" customHeight="1">
      <c r="A116" s="122" t="s">
        <v>493</v>
      </c>
      <c r="B116" s="123" t="s">
        <v>494</v>
      </c>
      <c r="C116" s="123">
        <v>107.0</v>
      </c>
      <c r="D116" s="123" t="s">
        <v>146</v>
      </c>
      <c r="E116" s="123" t="s">
        <v>147</v>
      </c>
      <c r="F116" s="124"/>
      <c r="G116" s="124"/>
      <c r="H116" s="123" t="s">
        <v>2</v>
      </c>
      <c r="I116" s="123" t="s">
        <v>495</v>
      </c>
      <c r="J116" s="122" t="s">
        <v>528</v>
      </c>
      <c r="K116" s="122" t="s">
        <v>626</v>
      </c>
      <c r="L116" s="123" t="s">
        <v>498</v>
      </c>
      <c r="M116" s="125">
        <v>46133.0</v>
      </c>
      <c r="N116" s="123" t="s">
        <v>791</v>
      </c>
      <c r="O116" s="123">
        <v>9164391.0</v>
      </c>
      <c r="P116" s="125">
        <v>46115.0</v>
      </c>
      <c r="Q116" s="122" t="s">
        <v>500</v>
      </c>
      <c r="R116" s="123">
        <v>6262.0</v>
      </c>
      <c r="S116" s="123" t="s">
        <v>521</v>
      </c>
      <c r="T116" s="123" t="s">
        <v>522</v>
      </c>
      <c r="U116" s="123" t="s">
        <v>523</v>
      </c>
      <c r="V116" s="124" t="s">
        <v>504</v>
      </c>
      <c r="W116" s="124"/>
      <c r="X116" s="122">
        <v>1.0</v>
      </c>
      <c r="Y116" s="123">
        <v>399.0</v>
      </c>
      <c r="Z116" s="123">
        <v>399.0</v>
      </c>
      <c r="AA116" s="123" t="s">
        <v>157</v>
      </c>
      <c r="AB116" s="123" t="s">
        <v>791</v>
      </c>
      <c r="AC116" s="125">
        <v>46115.0</v>
      </c>
      <c r="AD116" s="124" t="s">
        <v>525</v>
      </c>
      <c r="AE116" s="123">
        <v>998412.0</v>
      </c>
      <c r="AF116" s="123" t="s">
        <v>628</v>
      </c>
      <c r="AG116" s="124"/>
      <c r="AH116" s="124"/>
      <c r="AI116" s="123">
        <v>399.0</v>
      </c>
      <c r="AJ116" s="123" t="s">
        <v>159</v>
      </c>
      <c r="AK116" s="123">
        <v>18.0</v>
      </c>
      <c r="AL116" s="123">
        <v>35.91</v>
      </c>
      <c r="AM116" s="122">
        <v>35.91</v>
      </c>
      <c r="AN116" s="123">
        <v>0.0</v>
      </c>
      <c r="AO116" s="123">
        <v>0.0</v>
      </c>
      <c r="AP116" s="123">
        <v>0.0</v>
      </c>
      <c r="AQ116" s="123">
        <v>0.0</v>
      </c>
      <c r="AR116" s="123">
        <v>0.0</v>
      </c>
      <c r="AS116" s="123">
        <v>0.0</v>
      </c>
      <c r="AT116" s="123">
        <v>0.0</v>
      </c>
      <c r="AU116" s="124"/>
      <c r="AV116" s="124"/>
      <c r="AW116" s="122">
        <v>0.0</v>
      </c>
      <c r="AX116" s="123">
        <v>470.82</v>
      </c>
      <c r="AY116" s="123" t="s">
        <v>20</v>
      </c>
      <c r="AZ116" s="123" t="s">
        <v>31</v>
      </c>
      <c r="BA116" s="123" t="s">
        <v>612</v>
      </c>
      <c r="BB116" s="123">
        <v>1.126100287E9</v>
      </c>
      <c r="BC116" s="123" t="s">
        <v>187</v>
      </c>
      <c r="BD116" s="123" t="s">
        <v>162</v>
      </c>
      <c r="BE116" s="124"/>
      <c r="BF116" s="124" t="s">
        <v>483</v>
      </c>
      <c r="BG116" s="124" t="s">
        <v>482</v>
      </c>
      <c r="BH116" s="123" t="s">
        <v>510</v>
      </c>
      <c r="BI116" s="171" t="s">
        <v>511</v>
      </c>
      <c r="BJ116" s="171" t="s">
        <v>512</v>
      </c>
      <c r="BK116" s="171" t="s">
        <v>792</v>
      </c>
      <c r="BL116" s="171">
        <v>1800.0</v>
      </c>
      <c r="BM116" s="171">
        <v>1800.0</v>
      </c>
      <c r="BN116" s="171">
        <v>0.0</v>
      </c>
      <c r="BO116" s="171" t="s">
        <v>514</v>
      </c>
      <c r="BP116" s="171">
        <v>9150866.0</v>
      </c>
      <c r="BQ116" s="171" t="s">
        <v>483</v>
      </c>
      <c r="BR116" s="171" t="s">
        <v>479</v>
      </c>
      <c r="BS116" s="171">
        <v>1.0</v>
      </c>
    </row>
    <row r="117" ht="14.25" customHeight="1">
      <c r="A117" s="122" t="s">
        <v>493</v>
      </c>
      <c r="B117" s="123" t="s">
        <v>494</v>
      </c>
      <c r="C117" s="123">
        <v>107.0</v>
      </c>
      <c r="D117" s="123" t="s">
        <v>146</v>
      </c>
      <c r="E117" s="123" t="s">
        <v>147</v>
      </c>
      <c r="F117" s="124"/>
      <c r="G117" s="123" t="s">
        <v>149</v>
      </c>
      <c r="H117" s="123" t="s">
        <v>2</v>
      </c>
      <c r="I117" s="123" t="s">
        <v>495</v>
      </c>
      <c r="J117" s="122" t="s">
        <v>496</v>
      </c>
      <c r="K117" s="122" t="s">
        <v>497</v>
      </c>
      <c r="L117" s="123" t="s">
        <v>498</v>
      </c>
      <c r="M117" s="125">
        <v>46127.0</v>
      </c>
      <c r="N117" s="123" t="s">
        <v>604</v>
      </c>
      <c r="O117" s="123">
        <v>9156758.0</v>
      </c>
      <c r="P117" s="125">
        <v>46113.0</v>
      </c>
      <c r="Q117" s="122" t="s">
        <v>500</v>
      </c>
      <c r="R117" s="123">
        <v>33841.0</v>
      </c>
      <c r="S117" s="123" t="s">
        <v>605</v>
      </c>
      <c r="T117" s="123" t="s">
        <v>539</v>
      </c>
      <c r="U117" s="123" t="s">
        <v>606</v>
      </c>
      <c r="V117" s="123" t="s">
        <v>504</v>
      </c>
      <c r="W117" s="124"/>
      <c r="X117" s="122">
        <v>1.0</v>
      </c>
      <c r="Y117" s="123">
        <v>1545.0</v>
      </c>
      <c r="Z117" s="123">
        <v>1545.0</v>
      </c>
      <c r="AA117" s="123" t="s">
        <v>157</v>
      </c>
      <c r="AB117" s="123" t="s">
        <v>604</v>
      </c>
      <c r="AC117" s="125">
        <v>46113.0</v>
      </c>
      <c r="AD117" s="123" t="s">
        <v>525</v>
      </c>
      <c r="AE117" s="123">
        <v>998400.0</v>
      </c>
      <c r="AF117" s="123" t="s">
        <v>607</v>
      </c>
      <c r="AG117" s="124"/>
      <c r="AH117" s="124"/>
      <c r="AI117" s="123">
        <v>1545.0</v>
      </c>
      <c r="AJ117" s="123" t="s">
        <v>159</v>
      </c>
      <c r="AK117" s="123">
        <v>18.0</v>
      </c>
      <c r="AL117" s="123">
        <v>139.05</v>
      </c>
      <c r="AM117" s="122">
        <v>139.05</v>
      </c>
      <c r="AN117" s="123">
        <v>0.0</v>
      </c>
      <c r="AO117" s="123">
        <v>0.0</v>
      </c>
      <c r="AP117" s="123">
        <v>0.0</v>
      </c>
      <c r="AQ117" s="123">
        <v>0.0</v>
      </c>
      <c r="AR117" s="123">
        <v>0.0</v>
      </c>
      <c r="AS117" s="123">
        <v>0.0</v>
      </c>
      <c r="AT117" s="123">
        <v>0.0</v>
      </c>
      <c r="AU117" s="124"/>
      <c r="AV117" s="124"/>
      <c r="AW117" s="122">
        <v>0.0</v>
      </c>
      <c r="AX117" s="123">
        <v>1823.1</v>
      </c>
      <c r="AY117" s="123" t="s">
        <v>20</v>
      </c>
      <c r="AZ117" s="123" t="s">
        <v>31</v>
      </c>
      <c r="BA117" s="123" t="s">
        <v>527</v>
      </c>
      <c r="BB117" s="123">
        <v>1.126100082E9</v>
      </c>
      <c r="BC117" s="123" t="s">
        <v>187</v>
      </c>
      <c r="BD117" s="123" t="s">
        <v>162</v>
      </c>
      <c r="BE117" s="124"/>
      <c r="BF117" s="124" t="s">
        <v>483</v>
      </c>
      <c r="BG117" s="124" t="s">
        <v>482</v>
      </c>
      <c r="BH117" s="123" t="s">
        <v>510</v>
      </c>
      <c r="BI117" s="171" t="s">
        <v>511</v>
      </c>
      <c r="BJ117" s="171" t="s">
        <v>512</v>
      </c>
      <c r="BK117" s="171" t="s">
        <v>601</v>
      </c>
      <c r="BL117" s="171">
        <v>90.0</v>
      </c>
      <c r="BM117" s="171">
        <v>4734.0</v>
      </c>
      <c r="BN117" s="171">
        <v>-4644.0</v>
      </c>
      <c r="BO117" s="171" t="s">
        <v>514</v>
      </c>
      <c r="BP117" s="171">
        <v>9151235.0</v>
      </c>
      <c r="BQ117" s="171" t="s">
        <v>484</v>
      </c>
      <c r="BR117" s="171" t="s">
        <v>479</v>
      </c>
      <c r="BS117" s="171">
        <v>3.0</v>
      </c>
    </row>
    <row r="118" ht="14.25" customHeight="1">
      <c r="A118" s="122" t="s">
        <v>493</v>
      </c>
      <c r="B118" s="123" t="s">
        <v>494</v>
      </c>
      <c r="C118" s="123">
        <v>107.0</v>
      </c>
      <c r="D118" s="123" t="s">
        <v>146</v>
      </c>
      <c r="E118" s="123" t="s">
        <v>147</v>
      </c>
      <c r="F118" s="124"/>
      <c r="G118" s="123" t="s">
        <v>149</v>
      </c>
      <c r="H118" s="123" t="s">
        <v>2</v>
      </c>
      <c r="I118" s="123" t="s">
        <v>495</v>
      </c>
      <c r="J118" s="122" t="s">
        <v>496</v>
      </c>
      <c r="K118" s="122" t="s">
        <v>497</v>
      </c>
      <c r="L118" s="123" t="s">
        <v>498</v>
      </c>
      <c r="M118" s="125">
        <v>46127.0</v>
      </c>
      <c r="N118" s="123" t="s">
        <v>499</v>
      </c>
      <c r="O118" s="123">
        <v>9158398.0</v>
      </c>
      <c r="P118" s="125">
        <v>46090.0</v>
      </c>
      <c r="Q118" s="122" t="s">
        <v>500</v>
      </c>
      <c r="R118" s="123">
        <v>35671.0</v>
      </c>
      <c r="S118" s="123" t="s">
        <v>501</v>
      </c>
      <c r="T118" s="123" t="s">
        <v>502</v>
      </c>
      <c r="U118" s="123" t="s">
        <v>503</v>
      </c>
      <c r="V118" s="123" t="s">
        <v>504</v>
      </c>
      <c r="W118" s="124"/>
      <c r="X118" s="122">
        <v>910.17</v>
      </c>
      <c r="Y118" s="123">
        <v>12.0</v>
      </c>
      <c r="Z118" s="123">
        <v>10922.04</v>
      </c>
      <c r="AA118" s="123" t="s">
        <v>157</v>
      </c>
      <c r="AB118" s="123" t="s">
        <v>499</v>
      </c>
      <c r="AC118" s="125">
        <v>46121.0</v>
      </c>
      <c r="AD118" s="123" t="s">
        <v>505</v>
      </c>
      <c r="AE118" s="123">
        <v>3.8119E7</v>
      </c>
      <c r="AF118" s="123" t="s">
        <v>793</v>
      </c>
      <c r="AG118" s="124"/>
      <c r="AH118" s="124"/>
      <c r="AI118" s="123">
        <v>10922.04</v>
      </c>
      <c r="AJ118" s="123" t="s">
        <v>159</v>
      </c>
      <c r="AK118" s="123">
        <v>18.0</v>
      </c>
      <c r="AL118" s="123">
        <v>0.0</v>
      </c>
      <c r="AM118" s="122">
        <v>0.0</v>
      </c>
      <c r="AN118" s="123">
        <v>1965.97</v>
      </c>
      <c r="AO118" s="123">
        <v>0.0</v>
      </c>
      <c r="AP118" s="123">
        <v>0.0</v>
      </c>
      <c r="AQ118" s="123">
        <v>0.0</v>
      </c>
      <c r="AR118" s="123">
        <v>0.0</v>
      </c>
      <c r="AS118" s="123">
        <v>0.0</v>
      </c>
      <c r="AT118" s="123">
        <v>0.0</v>
      </c>
      <c r="AU118" s="124"/>
      <c r="AV118" s="124"/>
      <c r="AW118" s="122">
        <v>0.0</v>
      </c>
      <c r="AX118" s="123">
        <v>12888.01</v>
      </c>
      <c r="AY118" s="123" t="s">
        <v>31</v>
      </c>
      <c r="AZ118" s="123" t="s">
        <v>31</v>
      </c>
      <c r="BA118" s="123" t="s">
        <v>507</v>
      </c>
      <c r="BB118" s="123">
        <v>1.126100105E9</v>
      </c>
      <c r="BC118" s="123" t="s">
        <v>508</v>
      </c>
      <c r="BD118" s="123" t="s">
        <v>509</v>
      </c>
      <c r="BE118" s="124"/>
      <c r="BF118" s="124" t="s">
        <v>484</v>
      </c>
      <c r="BG118" s="124" t="s">
        <v>482</v>
      </c>
      <c r="BH118" s="123" t="s">
        <v>510</v>
      </c>
      <c r="BI118" s="171" t="s">
        <v>511</v>
      </c>
      <c r="BJ118" s="171" t="s">
        <v>512</v>
      </c>
      <c r="BK118" s="171" t="s">
        <v>513</v>
      </c>
      <c r="BL118" s="171">
        <v>198.0</v>
      </c>
      <c r="BM118" s="171">
        <v>38182.88</v>
      </c>
      <c r="BN118" s="171">
        <v>-37985.0</v>
      </c>
      <c r="BO118" s="171" t="s">
        <v>514</v>
      </c>
      <c r="BP118" s="171">
        <v>9158398.0</v>
      </c>
      <c r="BQ118" s="171" t="s">
        <v>484</v>
      </c>
      <c r="BR118" s="171" t="s">
        <v>479</v>
      </c>
      <c r="BS118" s="171">
        <v>37.0</v>
      </c>
    </row>
    <row r="119" ht="14.25" customHeight="1">
      <c r="A119" s="122" t="s">
        <v>493</v>
      </c>
      <c r="B119" s="123" t="s">
        <v>494</v>
      </c>
      <c r="C119" s="123">
        <v>107.0</v>
      </c>
      <c r="D119" s="123" t="s">
        <v>146</v>
      </c>
      <c r="E119" s="123" t="s">
        <v>147</v>
      </c>
      <c r="F119" s="124"/>
      <c r="G119" s="123" t="s">
        <v>149</v>
      </c>
      <c r="H119" s="123" t="s">
        <v>2</v>
      </c>
      <c r="I119" s="123" t="s">
        <v>495</v>
      </c>
      <c r="J119" s="122" t="s">
        <v>496</v>
      </c>
      <c r="K119" s="122" t="s">
        <v>497</v>
      </c>
      <c r="L119" s="123" t="s">
        <v>498</v>
      </c>
      <c r="M119" s="125">
        <v>46140.0</v>
      </c>
      <c r="N119" s="123" t="s">
        <v>516</v>
      </c>
      <c r="O119" s="123">
        <v>9174963.0</v>
      </c>
      <c r="P119" s="125">
        <v>46129.0</v>
      </c>
      <c r="Q119" s="122" t="s">
        <v>500</v>
      </c>
      <c r="R119" s="123">
        <v>35671.0</v>
      </c>
      <c r="S119" s="123" t="s">
        <v>501</v>
      </c>
      <c r="T119" s="123" t="s">
        <v>502</v>
      </c>
      <c r="U119" s="123" t="s">
        <v>503</v>
      </c>
      <c r="V119" s="123" t="s">
        <v>504</v>
      </c>
      <c r="W119" s="124"/>
      <c r="X119" s="122">
        <v>275.0</v>
      </c>
      <c r="Y119" s="123">
        <v>34.0</v>
      </c>
      <c r="Z119" s="123">
        <v>9350.0</v>
      </c>
      <c r="AA119" s="123" t="s">
        <v>157</v>
      </c>
      <c r="AB119" s="123" t="s">
        <v>516</v>
      </c>
      <c r="AC119" s="125">
        <v>46129.0</v>
      </c>
      <c r="AD119" s="123" t="s">
        <v>505</v>
      </c>
      <c r="AE119" s="123">
        <v>996200.0</v>
      </c>
      <c r="AF119" s="123" t="s">
        <v>576</v>
      </c>
      <c r="AG119" s="124"/>
      <c r="AH119" s="124"/>
      <c r="AI119" s="123">
        <v>9350.0</v>
      </c>
      <c r="AJ119" s="123" t="s">
        <v>159</v>
      </c>
      <c r="AK119" s="123">
        <v>18.0</v>
      </c>
      <c r="AL119" s="123">
        <v>0.0</v>
      </c>
      <c r="AM119" s="122">
        <v>0.0</v>
      </c>
      <c r="AN119" s="123">
        <v>1683.0</v>
      </c>
      <c r="AO119" s="123">
        <v>0.0</v>
      </c>
      <c r="AP119" s="123">
        <v>0.0</v>
      </c>
      <c r="AQ119" s="123">
        <v>0.0</v>
      </c>
      <c r="AR119" s="123">
        <v>0.0</v>
      </c>
      <c r="AS119" s="123">
        <v>0.0</v>
      </c>
      <c r="AT119" s="123">
        <v>0.0</v>
      </c>
      <c r="AU119" s="124"/>
      <c r="AV119" s="124"/>
      <c r="AW119" s="122">
        <v>0.0</v>
      </c>
      <c r="AX119" s="123">
        <v>11033.0</v>
      </c>
      <c r="AY119" s="123" t="s">
        <v>31</v>
      </c>
      <c r="AZ119" s="123" t="s">
        <v>31</v>
      </c>
      <c r="BA119" s="123" t="s">
        <v>518</v>
      </c>
      <c r="BB119" s="123">
        <v>1.126100446E9</v>
      </c>
      <c r="BC119" s="123" t="s">
        <v>508</v>
      </c>
      <c r="BD119" s="123" t="s">
        <v>509</v>
      </c>
      <c r="BE119" s="124"/>
      <c r="BF119" s="124" t="s">
        <v>484</v>
      </c>
      <c r="BG119" s="124" t="s">
        <v>482</v>
      </c>
      <c r="BH119" s="123" t="s">
        <v>510</v>
      </c>
      <c r="BI119" s="171" t="s">
        <v>511</v>
      </c>
      <c r="BJ119" s="171" t="s">
        <v>512</v>
      </c>
      <c r="BK119" s="171" t="s">
        <v>519</v>
      </c>
      <c r="BL119" s="171">
        <v>1562.64</v>
      </c>
      <c r="BM119" s="171">
        <v>36494.74</v>
      </c>
      <c r="BN119" s="171">
        <v>-34932.0</v>
      </c>
      <c r="BO119" s="171" t="s">
        <v>514</v>
      </c>
      <c r="BP119" s="171">
        <v>9174963.0</v>
      </c>
      <c r="BQ119" s="171" t="s">
        <v>484</v>
      </c>
      <c r="BR119" s="171" t="s">
        <v>479</v>
      </c>
      <c r="BS119" s="171">
        <v>36.0</v>
      </c>
    </row>
    <row r="120" ht="14.25" customHeight="1">
      <c r="A120" s="122" t="s">
        <v>493</v>
      </c>
      <c r="B120" s="123" t="s">
        <v>494</v>
      </c>
      <c r="C120" s="123">
        <v>107.0</v>
      </c>
      <c r="D120" s="123" t="s">
        <v>146</v>
      </c>
      <c r="E120" s="123" t="s">
        <v>147</v>
      </c>
      <c r="F120" s="124"/>
      <c r="G120" s="123" t="s">
        <v>149</v>
      </c>
      <c r="H120" s="123" t="s">
        <v>2</v>
      </c>
      <c r="I120" s="123" t="s">
        <v>495</v>
      </c>
      <c r="J120" s="122" t="s">
        <v>496</v>
      </c>
      <c r="K120" s="122" t="s">
        <v>497</v>
      </c>
      <c r="L120" s="123" t="s">
        <v>498</v>
      </c>
      <c r="M120" s="125">
        <v>46140.0</v>
      </c>
      <c r="N120" s="123" t="s">
        <v>516</v>
      </c>
      <c r="O120" s="123">
        <v>9174963.0</v>
      </c>
      <c r="P120" s="125">
        <v>46129.0</v>
      </c>
      <c r="Q120" s="122" t="s">
        <v>500</v>
      </c>
      <c r="R120" s="123">
        <v>35671.0</v>
      </c>
      <c r="S120" s="123" t="s">
        <v>501</v>
      </c>
      <c r="T120" s="123" t="s">
        <v>502</v>
      </c>
      <c r="U120" s="123" t="s">
        <v>503</v>
      </c>
      <c r="V120" s="123" t="s">
        <v>504</v>
      </c>
      <c r="W120" s="124"/>
      <c r="X120" s="122">
        <v>275.0</v>
      </c>
      <c r="Y120" s="123">
        <v>11.0</v>
      </c>
      <c r="Z120" s="123">
        <v>3025.0</v>
      </c>
      <c r="AA120" s="123" t="s">
        <v>157</v>
      </c>
      <c r="AB120" s="123" t="s">
        <v>516</v>
      </c>
      <c r="AC120" s="125">
        <v>46129.0</v>
      </c>
      <c r="AD120" s="123" t="s">
        <v>505</v>
      </c>
      <c r="AE120" s="123">
        <v>998729.0</v>
      </c>
      <c r="AF120" s="123" t="s">
        <v>794</v>
      </c>
      <c r="AG120" s="124"/>
      <c r="AH120" s="124"/>
      <c r="AI120" s="123">
        <v>3025.0</v>
      </c>
      <c r="AJ120" s="123" t="s">
        <v>159</v>
      </c>
      <c r="AK120" s="123">
        <v>18.0</v>
      </c>
      <c r="AL120" s="123">
        <v>0.0</v>
      </c>
      <c r="AM120" s="122">
        <v>0.0</v>
      </c>
      <c r="AN120" s="123">
        <v>544.5</v>
      </c>
      <c r="AO120" s="123">
        <v>0.0</v>
      </c>
      <c r="AP120" s="123">
        <v>0.0</v>
      </c>
      <c r="AQ120" s="123">
        <v>0.0</v>
      </c>
      <c r="AR120" s="123">
        <v>0.0</v>
      </c>
      <c r="AS120" s="123">
        <v>0.0</v>
      </c>
      <c r="AT120" s="123">
        <v>0.0</v>
      </c>
      <c r="AU120" s="124"/>
      <c r="AV120" s="124"/>
      <c r="AW120" s="122">
        <v>0.0</v>
      </c>
      <c r="AX120" s="123">
        <v>3569.5</v>
      </c>
      <c r="AY120" s="123" t="s">
        <v>31</v>
      </c>
      <c r="AZ120" s="123" t="s">
        <v>31</v>
      </c>
      <c r="BA120" s="123" t="s">
        <v>518</v>
      </c>
      <c r="BB120" s="123">
        <v>1.126100446E9</v>
      </c>
      <c r="BC120" s="123" t="s">
        <v>508</v>
      </c>
      <c r="BD120" s="123" t="s">
        <v>509</v>
      </c>
      <c r="BE120" s="124"/>
      <c r="BF120" s="124" t="s">
        <v>484</v>
      </c>
      <c r="BG120" s="124" t="s">
        <v>482</v>
      </c>
      <c r="BH120" s="123" t="s">
        <v>510</v>
      </c>
      <c r="BI120" s="171" t="s">
        <v>511</v>
      </c>
      <c r="BJ120" s="171" t="s">
        <v>512</v>
      </c>
      <c r="BK120" s="171" t="s">
        <v>519</v>
      </c>
      <c r="BL120" s="171">
        <v>274.58</v>
      </c>
      <c r="BM120" s="171">
        <v>36494.74</v>
      </c>
      <c r="BN120" s="171">
        <v>-36220.0</v>
      </c>
      <c r="BO120" s="171" t="s">
        <v>514</v>
      </c>
      <c r="BP120" s="171">
        <v>9174963.0</v>
      </c>
      <c r="BQ120" s="171" t="s">
        <v>484</v>
      </c>
      <c r="BR120" s="171" t="s">
        <v>479</v>
      </c>
      <c r="BS120" s="171">
        <v>36.0</v>
      </c>
    </row>
    <row r="121" ht="14.25" customHeight="1">
      <c r="A121" s="122" t="s">
        <v>493</v>
      </c>
      <c r="B121" s="123" t="s">
        <v>494</v>
      </c>
      <c r="C121" s="123">
        <v>107.0</v>
      </c>
      <c r="D121" s="123" t="s">
        <v>146</v>
      </c>
      <c r="E121" s="123" t="s">
        <v>147</v>
      </c>
      <c r="F121" s="124"/>
      <c r="G121" s="123" t="s">
        <v>149</v>
      </c>
      <c r="H121" s="123" t="s">
        <v>2</v>
      </c>
      <c r="I121" s="123" t="s">
        <v>495</v>
      </c>
      <c r="J121" s="122" t="s">
        <v>496</v>
      </c>
      <c r="K121" s="122" t="s">
        <v>497</v>
      </c>
      <c r="L121" s="123" t="s">
        <v>498</v>
      </c>
      <c r="M121" s="125">
        <v>46127.0</v>
      </c>
      <c r="N121" s="123" t="s">
        <v>520</v>
      </c>
      <c r="O121" s="123">
        <v>9156749.0</v>
      </c>
      <c r="P121" s="125">
        <v>46115.0</v>
      </c>
      <c r="Q121" s="122" t="s">
        <v>500</v>
      </c>
      <c r="R121" s="123">
        <v>6262.0</v>
      </c>
      <c r="S121" s="123" t="s">
        <v>521</v>
      </c>
      <c r="T121" s="123" t="s">
        <v>522</v>
      </c>
      <c r="U121" s="123" t="s">
        <v>523</v>
      </c>
      <c r="V121" s="123" t="s">
        <v>504</v>
      </c>
      <c r="W121" s="124"/>
      <c r="X121" s="122">
        <v>1.0</v>
      </c>
      <c r="Y121" s="123">
        <v>1397.0</v>
      </c>
      <c r="Z121" s="123">
        <v>1397.0</v>
      </c>
      <c r="AA121" s="123" t="s">
        <v>157</v>
      </c>
      <c r="AB121" s="123" t="s">
        <v>524</v>
      </c>
      <c r="AC121" s="125">
        <v>46115.0</v>
      </c>
      <c r="AD121" s="123" t="s">
        <v>525</v>
      </c>
      <c r="AE121" s="123">
        <v>998413.0</v>
      </c>
      <c r="AF121" s="123" t="s">
        <v>526</v>
      </c>
      <c r="AG121" s="124"/>
      <c r="AH121" s="124"/>
      <c r="AI121" s="123">
        <v>1397.0</v>
      </c>
      <c r="AJ121" s="123" t="s">
        <v>159</v>
      </c>
      <c r="AK121" s="123">
        <v>18.0</v>
      </c>
      <c r="AL121" s="123">
        <v>125.73</v>
      </c>
      <c r="AM121" s="122">
        <v>125.73</v>
      </c>
      <c r="AN121" s="123">
        <v>0.0</v>
      </c>
      <c r="AO121" s="123">
        <v>0.0</v>
      </c>
      <c r="AP121" s="123">
        <v>0.0</v>
      </c>
      <c r="AQ121" s="123">
        <v>0.0</v>
      </c>
      <c r="AR121" s="123">
        <v>0.0</v>
      </c>
      <c r="AS121" s="123">
        <v>0.0</v>
      </c>
      <c r="AT121" s="123">
        <v>0.0</v>
      </c>
      <c r="AU121" s="124"/>
      <c r="AV121" s="124"/>
      <c r="AW121" s="122">
        <v>0.0</v>
      </c>
      <c r="AX121" s="123">
        <v>1648.46</v>
      </c>
      <c r="AY121" s="123" t="s">
        <v>20</v>
      </c>
      <c r="AZ121" s="123" t="s">
        <v>31</v>
      </c>
      <c r="BA121" s="123" t="s">
        <v>527</v>
      </c>
      <c r="BB121" s="123">
        <v>1.126100078E9</v>
      </c>
      <c r="BC121" s="123" t="s">
        <v>187</v>
      </c>
      <c r="BD121" s="123" t="s">
        <v>162</v>
      </c>
      <c r="BE121" s="124"/>
      <c r="BF121" s="124" t="s">
        <v>483</v>
      </c>
      <c r="BG121" s="124" t="s">
        <v>482</v>
      </c>
      <c r="BH121" s="123" t="s">
        <v>510</v>
      </c>
      <c r="BI121" s="171" t="s">
        <v>511</v>
      </c>
      <c r="BJ121" s="171" t="s">
        <v>512</v>
      </c>
      <c r="BK121" s="171" t="s">
        <v>563</v>
      </c>
      <c r="BL121" s="171">
        <v>106.38</v>
      </c>
      <c r="BM121" s="171">
        <v>2435.38</v>
      </c>
      <c r="BN121" s="171">
        <v>-2329.0</v>
      </c>
      <c r="BO121" s="171" t="s">
        <v>514</v>
      </c>
      <c r="BP121" s="171">
        <v>9175014.0</v>
      </c>
      <c r="BQ121" s="171" t="s">
        <v>484</v>
      </c>
      <c r="BR121" s="171" t="s">
        <v>479</v>
      </c>
      <c r="BS121" s="171">
        <v>18.0</v>
      </c>
    </row>
    <row r="122" ht="14.25" customHeight="1">
      <c r="A122" s="122" t="s">
        <v>493</v>
      </c>
      <c r="B122" s="123" t="s">
        <v>494</v>
      </c>
      <c r="C122" s="123">
        <v>107.0</v>
      </c>
      <c r="D122" s="123" t="s">
        <v>146</v>
      </c>
      <c r="E122" s="123" t="s">
        <v>147</v>
      </c>
      <c r="F122" s="124"/>
      <c r="G122" s="123" t="s">
        <v>149</v>
      </c>
      <c r="H122" s="123" t="s">
        <v>2</v>
      </c>
      <c r="I122" s="123" t="s">
        <v>495</v>
      </c>
      <c r="J122" s="122" t="s">
        <v>496</v>
      </c>
      <c r="K122" s="122" t="s">
        <v>497</v>
      </c>
      <c r="L122" s="123" t="s">
        <v>498</v>
      </c>
      <c r="M122" s="125">
        <v>46140.0</v>
      </c>
      <c r="N122" s="123" t="s">
        <v>551</v>
      </c>
      <c r="O122" s="123">
        <v>9175014.0</v>
      </c>
      <c r="P122" s="125">
        <v>46129.0</v>
      </c>
      <c r="Q122" s="122" t="s">
        <v>500</v>
      </c>
      <c r="R122" s="123">
        <v>15979.0</v>
      </c>
      <c r="S122" s="123" t="s">
        <v>552</v>
      </c>
      <c r="T122" s="123" t="s">
        <v>539</v>
      </c>
      <c r="U122" s="123" t="s">
        <v>553</v>
      </c>
      <c r="V122" s="123" t="s">
        <v>504</v>
      </c>
      <c r="W122" s="124"/>
      <c r="X122" s="122">
        <v>2713.5</v>
      </c>
      <c r="Y122" s="123">
        <v>1.0</v>
      </c>
      <c r="Z122" s="123">
        <v>2713.5</v>
      </c>
      <c r="AA122" s="123" t="s">
        <v>157</v>
      </c>
      <c r="AB122" s="123" t="s">
        <v>551</v>
      </c>
      <c r="AC122" s="125">
        <v>46129.0</v>
      </c>
      <c r="AD122" s="123" t="s">
        <v>505</v>
      </c>
      <c r="AE122" s="123">
        <v>998729.0</v>
      </c>
      <c r="AF122" s="123" t="s">
        <v>795</v>
      </c>
      <c r="AG122" s="124"/>
      <c r="AH122" s="124"/>
      <c r="AI122" s="123">
        <v>2713.5</v>
      </c>
      <c r="AJ122" s="123" t="s">
        <v>159</v>
      </c>
      <c r="AK122" s="123">
        <v>18.0</v>
      </c>
      <c r="AL122" s="123">
        <v>244.22</v>
      </c>
      <c r="AM122" s="122">
        <v>244.22</v>
      </c>
      <c r="AN122" s="123">
        <v>0.0</v>
      </c>
      <c r="AO122" s="123">
        <v>0.0</v>
      </c>
      <c r="AP122" s="123">
        <v>0.0</v>
      </c>
      <c r="AQ122" s="123">
        <v>0.0</v>
      </c>
      <c r="AR122" s="123">
        <v>0.0</v>
      </c>
      <c r="AS122" s="123">
        <v>0.0</v>
      </c>
      <c r="AT122" s="123">
        <v>0.0</v>
      </c>
      <c r="AU122" s="124"/>
      <c r="AV122" s="124"/>
      <c r="AW122" s="122">
        <v>0.0</v>
      </c>
      <c r="AX122" s="123">
        <v>3201.94</v>
      </c>
      <c r="AY122" s="123" t="s">
        <v>31</v>
      </c>
      <c r="AZ122" s="123" t="s">
        <v>31</v>
      </c>
      <c r="BA122" s="123" t="s">
        <v>555</v>
      </c>
      <c r="BB122" s="123">
        <v>1.126100447E9</v>
      </c>
      <c r="BC122" s="123" t="s">
        <v>556</v>
      </c>
      <c r="BD122" s="123" t="s">
        <v>509</v>
      </c>
      <c r="BE122" s="124"/>
      <c r="BF122" s="124" t="s">
        <v>484</v>
      </c>
      <c r="BG122" s="124" t="s">
        <v>482</v>
      </c>
      <c r="BH122" s="123" t="s">
        <v>510</v>
      </c>
      <c r="BI122" s="171" t="s">
        <v>511</v>
      </c>
      <c r="BJ122" s="171" t="s">
        <v>512</v>
      </c>
      <c r="BK122" s="171" t="s">
        <v>519</v>
      </c>
      <c r="BL122" s="171">
        <v>3099.59</v>
      </c>
      <c r="BM122" s="171">
        <v>36494.74</v>
      </c>
      <c r="BN122" s="171">
        <v>-33395.0</v>
      </c>
      <c r="BO122" s="171" t="s">
        <v>514</v>
      </c>
      <c r="BP122" s="171">
        <v>9174963.0</v>
      </c>
      <c r="BQ122" s="171" t="s">
        <v>484</v>
      </c>
      <c r="BR122" s="171" t="s">
        <v>479</v>
      </c>
      <c r="BS122" s="171">
        <v>36.0</v>
      </c>
    </row>
    <row r="123" ht="14.25" customHeight="1">
      <c r="A123" s="122" t="s">
        <v>493</v>
      </c>
      <c r="B123" s="123" t="s">
        <v>494</v>
      </c>
      <c r="C123" s="123">
        <v>107.0</v>
      </c>
      <c r="D123" s="123" t="s">
        <v>146</v>
      </c>
      <c r="E123" s="123" t="s">
        <v>147</v>
      </c>
      <c r="F123" s="124"/>
      <c r="G123" s="123" t="s">
        <v>149</v>
      </c>
      <c r="H123" s="123" t="s">
        <v>2</v>
      </c>
      <c r="I123" s="123" t="s">
        <v>495</v>
      </c>
      <c r="J123" s="122" t="s">
        <v>496</v>
      </c>
      <c r="K123" s="122" t="s">
        <v>497</v>
      </c>
      <c r="L123" s="123" t="s">
        <v>498</v>
      </c>
      <c r="M123" s="125">
        <v>46140.0</v>
      </c>
      <c r="N123" s="123" t="s">
        <v>551</v>
      </c>
      <c r="O123" s="123">
        <v>9175014.0</v>
      </c>
      <c r="P123" s="125">
        <v>46129.0</v>
      </c>
      <c r="Q123" s="122" t="s">
        <v>500</v>
      </c>
      <c r="R123" s="123">
        <v>15979.0</v>
      </c>
      <c r="S123" s="123" t="s">
        <v>552</v>
      </c>
      <c r="T123" s="123" t="s">
        <v>539</v>
      </c>
      <c r="U123" s="123" t="s">
        <v>553</v>
      </c>
      <c r="V123" s="123" t="s">
        <v>504</v>
      </c>
      <c r="W123" s="124"/>
      <c r="X123" s="122">
        <v>410.0</v>
      </c>
      <c r="Y123" s="123">
        <v>1.0</v>
      </c>
      <c r="Z123" s="123">
        <v>410.0</v>
      </c>
      <c r="AA123" s="123" t="s">
        <v>157</v>
      </c>
      <c r="AB123" s="123" t="s">
        <v>551</v>
      </c>
      <c r="AC123" s="125">
        <v>46129.0</v>
      </c>
      <c r="AD123" s="123" t="s">
        <v>505</v>
      </c>
      <c r="AE123" s="123">
        <v>3.814001E7</v>
      </c>
      <c r="AF123" s="123" t="s">
        <v>796</v>
      </c>
      <c r="AG123" s="124"/>
      <c r="AH123" s="124"/>
      <c r="AI123" s="123">
        <v>410.0</v>
      </c>
      <c r="AJ123" s="123" t="s">
        <v>159</v>
      </c>
      <c r="AK123" s="123">
        <v>18.0</v>
      </c>
      <c r="AL123" s="123">
        <v>36.9</v>
      </c>
      <c r="AM123" s="122">
        <v>36.9</v>
      </c>
      <c r="AN123" s="123">
        <v>0.0</v>
      </c>
      <c r="AO123" s="123">
        <v>0.0</v>
      </c>
      <c r="AP123" s="123">
        <v>0.0</v>
      </c>
      <c r="AQ123" s="123">
        <v>0.0</v>
      </c>
      <c r="AR123" s="123">
        <v>0.0</v>
      </c>
      <c r="AS123" s="123">
        <v>0.0</v>
      </c>
      <c r="AT123" s="123">
        <v>0.0</v>
      </c>
      <c r="AU123" s="124"/>
      <c r="AV123" s="124"/>
      <c r="AW123" s="122">
        <v>0.0</v>
      </c>
      <c r="AX123" s="123">
        <v>483.8</v>
      </c>
      <c r="AY123" s="123" t="s">
        <v>31</v>
      </c>
      <c r="AZ123" s="123" t="s">
        <v>31</v>
      </c>
      <c r="BA123" s="123" t="s">
        <v>555</v>
      </c>
      <c r="BB123" s="123">
        <v>1.126100447E9</v>
      </c>
      <c r="BC123" s="123" t="s">
        <v>556</v>
      </c>
      <c r="BD123" s="123" t="s">
        <v>509</v>
      </c>
      <c r="BE123" s="124"/>
      <c r="BF123" s="124" t="s">
        <v>484</v>
      </c>
      <c r="BG123" s="124" t="s">
        <v>482</v>
      </c>
      <c r="BH123" s="123" t="s">
        <v>510</v>
      </c>
      <c r="BI123" s="171" t="s">
        <v>511</v>
      </c>
      <c r="BJ123" s="171" t="s">
        <v>512</v>
      </c>
      <c r="BK123" s="171" t="s">
        <v>563</v>
      </c>
      <c r="BL123" s="171">
        <v>73.22</v>
      </c>
      <c r="BM123" s="171">
        <v>2435.38</v>
      </c>
      <c r="BN123" s="171">
        <v>-2362.0</v>
      </c>
      <c r="BO123" s="171" t="s">
        <v>514</v>
      </c>
      <c r="BP123" s="171">
        <v>9175014.0</v>
      </c>
      <c r="BQ123" s="171" t="s">
        <v>484</v>
      </c>
      <c r="BR123" s="171" t="s">
        <v>479</v>
      </c>
      <c r="BS123" s="171">
        <v>18.0</v>
      </c>
    </row>
    <row r="124" ht="14.25" customHeight="1">
      <c r="A124" s="122" t="s">
        <v>493</v>
      </c>
      <c r="B124" s="123" t="s">
        <v>494</v>
      </c>
      <c r="C124" s="123">
        <v>107.0</v>
      </c>
      <c r="D124" s="123" t="s">
        <v>146</v>
      </c>
      <c r="E124" s="123" t="s">
        <v>147</v>
      </c>
      <c r="F124" s="124"/>
      <c r="G124" s="124" t="s">
        <v>149</v>
      </c>
      <c r="H124" s="123" t="s">
        <v>2</v>
      </c>
      <c r="I124" s="123" t="s">
        <v>495</v>
      </c>
      <c r="J124" s="122" t="s">
        <v>496</v>
      </c>
      <c r="K124" s="122" t="s">
        <v>497</v>
      </c>
      <c r="L124" s="123" t="s">
        <v>498</v>
      </c>
      <c r="M124" s="125">
        <v>46140.0</v>
      </c>
      <c r="N124" s="123" t="s">
        <v>516</v>
      </c>
      <c r="O124" s="123">
        <v>9174963.0</v>
      </c>
      <c r="P124" s="125">
        <v>46129.0</v>
      </c>
      <c r="Q124" s="122" t="s">
        <v>500</v>
      </c>
      <c r="R124" s="123">
        <v>35671.0</v>
      </c>
      <c r="S124" s="123" t="s">
        <v>501</v>
      </c>
      <c r="T124" s="123" t="s">
        <v>502</v>
      </c>
      <c r="U124" s="123" t="s">
        <v>503</v>
      </c>
      <c r="V124" s="123" t="s">
        <v>504</v>
      </c>
      <c r="W124" s="124"/>
      <c r="X124" s="122">
        <v>220.0</v>
      </c>
      <c r="Y124" s="123">
        <v>2.0</v>
      </c>
      <c r="Z124" s="123">
        <v>440.0</v>
      </c>
      <c r="AA124" s="123" t="s">
        <v>157</v>
      </c>
      <c r="AB124" s="123" t="s">
        <v>516</v>
      </c>
      <c r="AC124" s="125">
        <v>46129.0</v>
      </c>
      <c r="AD124" s="123" t="s">
        <v>505</v>
      </c>
      <c r="AE124" s="123">
        <v>998729.0</v>
      </c>
      <c r="AF124" s="123" t="s">
        <v>719</v>
      </c>
      <c r="AG124" s="124"/>
      <c r="AH124" s="124"/>
      <c r="AI124" s="123">
        <v>440.0</v>
      </c>
      <c r="AJ124" s="123" t="s">
        <v>159</v>
      </c>
      <c r="AK124" s="123">
        <v>18.0</v>
      </c>
      <c r="AL124" s="123">
        <v>0.0</v>
      </c>
      <c r="AM124" s="122">
        <v>0.0</v>
      </c>
      <c r="AN124" s="123">
        <v>79.2</v>
      </c>
      <c r="AO124" s="123">
        <v>0.0</v>
      </c>
      <c r="AP124" s="123">
        <v>0.0</v>
      </c>
      <c r="AQ124" s="123">
        <v>0.0</v>
      </c>
      <c r="AR124" s="123">
        <v>0.0</v>
      </c>
      <c r="AS124" s="123">
        <v>0.0</v>
      </c>
      <c r="AT124" s="123">
        <v>0.0</v>
      </c>
      <c r="AU124" s="124"/>
      <c r="AV124" s="124"/>
      <c r="AW124" s="122">
        <v>0.0</v>
      </c>
      <c r="AX124" s="123">
        <v>519.2</v>
      </c>
      <c r="AY124" s="123" t="s">
        <v>31</v>
      </c>
      <c r="AZ124" s="123" t="s">
        <v>31</v>
      </c>
      <c r="BA124" s="123" t="s">
        <v>518</v>
      </c>
      <c r="BB124" s="123">
        <v>1.126100446E9</v>
      </c>
      <c r="BC124" s="123" t="s">
        <v>508</v>
      </c>
      <c r="BD124" s="123" t="s">
        <v>509</v>
      </c>
      <c r="BE124" s="124"/>
      <c r="BF124" s="124" t="s">
        <v>484</v>
      </c>
      <c r="BG124" s="124" t="s">
        <v>482</v>
      </c>
      <c r="BH124" s="123" t="s">
        <v>510</v>
      </c>
      <c r="BI124" s="171" t="s">
        <v>511</v>
      </c>
      <c r="BJ124" s="171" t="s">
        <v>512</v>
      </c>
      <c r="BK124" s="171" t="s">
        <v>797</v>
      </c>
      <c r="BL124" s="171">
        <v>212.94</v>
      </c>
      <c r="BM124" s="171">
        <v>212.94</v>
      </c>
      <c r="BN124" s="171">
        <v>0.0</v>
      </c>
      <c r="BO124" s="171" t="s">
        <v>514</v>
      </c>
      <c r="BP124" s="171">
        <v>9164383.0</v>
      </c>
      <c r="BQ124" s="171" t="s">
        <v>484</v>
      </c>
      <c r="BR124" s="171" t="s">
        <v>479</v>
      </c>
      <c r="BS124" s="171">
        <v>1.0</v>
      </c>
    </row>
    <row r="125" ht="14.25" customHeight="1">
      <c r="A125" s="122" t="s">
        <v>493</v>
      </c>
      <c r="B125" s="123" t="s">
        <v>494</v>
      </c>
      <c r="C125" s="123">
        <v>107.0</v>
      </c>
      <c r="D125" s="123" t="s">
        <v>146</v>
      </c>
      <c r="E125" s="123" t="s">
        <v>147</v>
      </c>
      <c r="F125" s="124"/>
      <c r="G125" s="124"/>
      <c r="H125" s="123" t="s">
        <v>2</v>
      </c>
      <c r="I125" s="123" t="s">
        <v>495</v>
      </c>
      <c r="J125" s="122" t="s">
        <v>528</v>
      </c>
      <c r="K125" s="122" t="s">
        <v>529</v>
      </c>
      <c r="L125" s="123" t="s">
        <v>498</v>
      </c>
      <c r="M125" s="125">
        <v>46126.0</v>
      </c>
      <c r="N125" s="123" t="s">
        <v>564</v>
      </c>
      <c r="O125" s="123">
        <v>9155609.0</v>
      </c>
      <c r="P125" s="125">
        <v>46114.0</v>
      </c>
      <c r="Q125" s="122" t="s">
        <v>500</v>
      </c>
      <c r="R125" s="123">
        <v>2770.0</v>
      </c>
      <c r="S125" s="123" t="s">
        <v>531</v>
      </c>
      <c r="T125" s="123" t="s">
        <v>532</v>
      </c>
      <c r="U125" s="123" t="s">
        <v>533</v>
      </c>
      <c r="V125" s="123" t="s">
        <v>504</v>
      </c>
      <c r="W125" s="124"/>
      <c r="X125" s="122">
        <v>1.0</v>
      </c>
      <c r="Y125" s="123">
        <v>790.92</v>
      </c>
      <c r="Z125" s="123">
        <v>790.92</v>
      </c>
      <c r="AA125" s="123" t="s">
        <v>157</v>
      </c>
      <c r="AB125" s="123" t="s">
        <v>564</v>
      </c>
      <c r="AC125" s="125">
        <v>46114.0</v>
      </c>
      <c r="AD125" s="123" t="s">
        <v>525</v>
      </c>
      <c r="AE125" s="123">
        <v>8.4439952E7</v>
      </c>
      <c r="AF125" s="123" t="s">
        <v>798</v>
      </c>
      <c r="AG125" s="124"/>
      <c r="AH125" s="124"/>
      <c r="AI125" s="123">
        <v>790.92</v>
      </c>
      <c r="AJ125" s="123" t="s">
        <v>159</v>
      </c>
      <c r="AK125" s="123">
        <v>18.0</v>
      </c>
      <c r="AL125" s="123">
        <v>71.18</v>
      </c>
      <c r="AM125" s="122">
        <v>71.18</v>
      </c>
      <c r="AN125" s="123">
        <v>0.0</v>
      </c>
      <c r="AO125" s="123">
        <v>0.0</v>
      </c>
      <c r="AP125" s="123">
        <v>0.0</v>
      </c>
      <c r="AQ125" s="123">
        <v>0.0</v>
      </c>
      <c r="AR125" s="123">
        <v>0.0</v>
      </c>
      <c r="AS125" s="123">
        <v>0.0</v>
      </c>
      <c r="AT125" s="123">
        <v>0.0</v>
      </c>
      <c r="AU125" s="124"/>
      <c r="AV125" s="124"/>
      <c r="AW125" s="122">
        <v>0.0</v>
      </c>
      <c r="AX125" s="123">
        <v>933.28</v>
      </c>
      <c r="AY125" s="123" t="s">
        <v>20</v>
      </c>
      <c r="AZ125" s="123" t="s">
        <v>31</v>
      </c>
      <c r="BA125" s="123" t="s">
        <v>535</v>
      </c>
      <c r="BB125" s="123">
        <v>1.126100059E9</v>
      </c>
      <c r="BC125" s="123" t="s">
        <v>187</v>
      </c>
      <c r="BD125" s="123" t="s">
        <v>162</v>
      </c>
      <c r="BE125" s="124"/>
      <c r="BF125" s="124" t="s">
        <v>483</v>
      </c>
      <c r="BG125" s="124" t="s">
        <v>482</v>
      </c>
      <c r="BH125" s="123" t="s">
        <v>510</v>
      </c>
      <c r="BI125" s="171" t="s">
        <v>511</v>
      </c>
      <c r="BJ125" s="171" t="s">
        <v>512</v>
      </c>
      <c r="BK125" s="171" t="s">
        <v>799</v>
      </c>
      <c r="BL125" s="171">
        <v>71.82</v>
      </c>
      <c r="BM125" s="171">
        <v>71.82</v>
      </c>
      <c r="BN125" s="171">
        <v>0.0</v>
      </c>
      <c r="BO125" s="171" t="s">
        <v>514</v>
      </c>
      <c r="BP125" s="171">
        <v>9164391.0</v>
      </c>
      <c r="BQ125" s="171" t="s">
        <v>483</v>
      </c>
      <c r="BR125" s="171" t="s">
        <v>479</v>
      </c>
      <c r="BS125" s="171">
        <v>1.0</v>
      </c>
    </row>
    <row r="126" ht="14.25" customHeight="1">
      <c r="A126" s="122" t="s">
        <v>493</v>
      </c>
      <c r="B126" s="123" t="s">
        <v>494</v>
      </c>
      <c r="C126" s="123">
        <v>107.0</v>
      </c>
      <c r="D126" s="123" t="s">
        <v>146</v>
      </c>
      <c r="E126" s="123" t="s">
        <v>147</v>
      </c>
      <c r="F126" s="124"/>
      <c r="G126" s="124"/>
      <c r="H126" s="123" t="s">
        <v>2</v>
      </c>
      <c r="I126" s="123" t="s">
        <v>495</v>
      </c>
      <c r="J126" s="122" t="s">
        <v>528</v>
      </c>
      <c r="K126" s="122" t="s">
        <v>529</v>
      </c>
      <c r="L126" s="123" t="s">
        <v>498</v>
      </c>
      <c r="M126" s="125">
        <v>46126.0</v>
      </c>
      <c r="N126" s="123" t="s">
        <v>564</v>
      </c>
      <c r="O126" s="123">
        <v>9155609.0</v>
      </c>
      <c r="P126" s="125">
        <v>46114.0</v>
      </c>
      <c r="Q126" s="122" t="s">
        <v>500</v>
      </c>
      <c r="R126" s="123">
        <v>2770.0</v>
      </c>
      <c r="S126" s="123" t="s">
        <v>531</v>
      </c>
      <c r="T126" s="123" t="s">
        <v>532</v>
      </c>
      <c r="U126" s="124" t="s">
        <v>533</v>
      </c>
      <c r="V126" s="123" t="s">
        <v>504</v>
      </c>
      <c r="W126" s="124"/>
      <c r="X126" s="122">
        <v>1.0</v>
      </c>
      <c r="Y126" s="123">
        <v>90.0</v>
      </c>
      <c r="Z126" s="123">
        <v>90.0</v>
      </c>
      <c r="AA126" s="123" t="s">
        <v>157</v>
      </c>
      <c r="AB126" s="123" t="s">
        <v>564</v>
      </c>
      <c r="AC126" s="125">
        <v>46114.0</v>
      </c>
      <c r="AD126" s="124" t="s">
        <v>525</v>
      </c>
      <c r="AE126" s="123">
        <v>8.4439952E7</v>
      </c>
      <c r="AF126" s="123" t="s">
        <v>567</v>
      </c>
      <c r="AG126" s="124"/>
      <c r="AH126" s="124"/>
      <c r="AI126" s="123">
        <v>90.0</v>
      </c>
      <c r="AJ126" s="123" t="s">
        <v>159</v>
      </c>
      <c r="AK126" s="123">
        <v>18.0</v>
      </c>
      <c r="AL126" s="123">
        <v>8.1</v>
      </c>
      <c r="AM126" s="122">
        <v>8.1</v>
      </c>
      <c r="AN126" s="123">
        <v>0.0</v>
      </c>
      <c r="AO126" s="123">
        <v>0.0</v>
      </c>
      <c r="AP126" s="123">
        <v>0.0</v>
      </c>
      <c r="AQ126" s="123">
        <v>0.0</v>
      </c>
      <c r="AR126" s="123">
        <v>0.0</v>
      </c>
      <c r="AS126" s="123">
        <v>0.0</v>
      </c>
      <c r="AT126" s="123">
        <v>0.0</v>
      </c>
      <c r="AU126" s="124"/>
      <c r="AV126" s="124"/>
      <c r="AW126" s="122">
        <v>0.0</v>
      </c>
      <c r="AX126" s="123">
        <v>106.2</v>
      </c>
      <c r="AY126" s="123" t="s">
        <v>20</v>
      </c>
      <c r="AZ126" s="123" t="s">
        <v>31</v>
      </c>
      <c r="BA126" s="123" t="s">
        <v>535</v>
      </c>
      <c r="BB126" s="123">
        <v>1.126100059E9</v>
      </c>
      <c r="BC126" s="123" t="s">
        <v>187</v>
      </c>
      <c r="BD126" s="123" t="s">
        <v>162</v>
      </c>
      <c r="BE126" s="124"/>
      <c r="BF126" s="124" t="s">
        <v>483</v>
      </c>
      <c r="BG126" s="124" t="s">
        <v>482</v>
      </c>
      <c r="BH126" s="123" t="s">
        <v>510</v>
      </c>
      <c r="BI126" s="171" t="s">
        <v>511</v>
      </c>
      <c r="BJ126" s="171" t="s">
        <v>512</v>
      </c>
      <c r="BK126" s="171" t="s">
        <v>691</v>
      </c>
      <c r="BL126" s="171">
        <v>4500.0</v>
      </c>
      <c r="BM126" s="171" t="e">
        <v>#N/A</v>
      </c>
      <c r="BN126" s="171" t="e">
        <v>#N/A</v>
      </c>
      <c r="BO126" s="171" t="s">
        <v>544</v>
      </c>
      <c r="BP126" s="171">
        <v>9177454.0</v>
      </c>
      <c r="BQ126" s="171" t="s">
        <v>481</v>
      </c>
      <c r="BR126" s="171" t="s">
        <v>544</v>
      </c>
      <c r="BS126" s="171">
        <v>6.0</v>
      </c>
    </row>
    <row r="127" ht="14.25" customHeight="1">
      <c r="A127" s="122" t="s">
        <v>493</v>
      </c>
      <c r="B127" s="123" t="s">
        <v>494</v>
      </c>
      <c r="C127" s="123">
        <v>107.0</v>
      </c>
      <c r="D127" s="123" t="s">
        <v>146</v>
      </c>
      <c r="E127" s="123" t="s">
        <v>147</v>
      </c>
      <c r="F127" s="124"/>
      <c r="G127" s="124"/>
      <c r="H127" s="123" t="s">
        <v>2</v>
      </c>
      <c r="I127" s="123" t="s">
        <v>495</v>
      </c>
      <c r="J127" s="122" t="s">
        <v>528</v>
      </c>
      <c r="K127" s="122" t="s">
        <v>529</v>
      </c>
      <c r="L127" s="123" t="s">
        <v>498</v>
      </c>
      <c r="M127" s="125">
        <v>46126.0</v>
      </c>
      <c r="N127" s="123" t="s">
        <v>800</v>
      </c>
      <c r="O127" s="123">
        <v>9155619.0</v>
      </c>
      <c r="P127" s="125">
        <v>46114.0</v>
      </c>
      <c r="Q127" s="122" t="s">
        <v>500</v>
      </c>
      <c r="R127" s="123">
        <v>2770.0</v>
      </c>
      <c r="S127" s="123" t="s">
        <v>531</v>
      </c>
      <c r="T127" s="123" t="s">
        <v>532</v>
      </c>
      <c r="U127" s="124" t="s">
        <v>533</v>
      </c>
      <c r="V127" s="123" t="s">
        <v>504</v>
      </c>
      <c r="W127" s="124"/>
      <c r="X127" s="122">
        <v>1.0</v>
      </c>
      <c r="Y127" s="123">
        <v>10.0</v>
      </c>
      <c r="Z127" s="123">
        <v>10.0</v>
      </c>
      <c r="AA127" s="123" t="s">
        <v>157</v>
      </c>
      <c r="AB127" s="123" t="s">
        <v>800</v>
      </c>
      <c r="AC127" s="125">
        <v>46114.0</v>
      </c>
      <c r="AD127" s="124" t="s">
        <v>525</v>
      </c>
      <c r="AE127" s="123">
        <v>998712.0</v>
      </c>
      <c r="AF127" s="123" t="s">
        <v>801</v>
      </c>
      <c r="AG127" s="124"/>
      <c r="AH127" s="124"/>
      <c r="AI127" s="123">
        <v>10.0</v>
      </c>
      <c r="AJ127" s="123" t="s">
        <v>159</v>
      </c>
      <c r="AK127" s="123">
        <v>18.0</v>
      </c>
      <c r="AL127" s="123">
        <v>0.9</v>
      </c>
      <c r="AM127" s="122">
        <v>0.9</v>
      </c>
      <c r="AN127" s="123">
        <v>0.0</v>
      </c>
      <c r="AO127" s="123">
        <v>0.0</v>
      </c>
      <c r="AP127" s="123">
        <v>0.0</v>
      </c>
      <c r="AQ127" s="123">
        <v>0.0</v>
      </c>
      <c r="AR127" s="123">
        <v>0.0</v>
      </c>
      <c r="AS127" s="123">
        <v>0.0</v>
      </c>
      <c r="AT127" s="123">
        <v>0.0</v>
      </c>
      <c r="AU127" s="124"/>
      <c r="AV127" s="124"/>
      <c r="AW127" s="122">
        <v>0.0</v>
      </c>
      <c r="AX127" s="123">
        <v>11.8</v>
      </c>
      <c r="AY127" s="123" t="s">
        <v>20</v>
      </c>
      <c r="AZ127" s="123" t="s">
        <v>31</v>
      </c>
      <c r="BA127" s="123" t="s">
        <v>535</v>
      </c>
      <c r="BB127" s="123">
        <v>1.126100069E9</v>
      </c>
      <c r="BC127" s="123" t="s">
        <v>187</v>
      </c>
      <c r="BD127" s="123" t="s">
        <v>162</v>
      </c>
      <c r="BE127" s="124"/>
      <c r="BF127" s="124" t="s">
        <v>483</v>
      </c>
      <c r="BG127" s="124" t="s">
        <v>482</v>
      </c>
      <c r="BH127" s="123" t="s">
        <v>510</v>
      </c>
      <c r="BI127" s="171" t="s">
        <v>511</v>
      </c>
      <c r="BJ127" s="171" t="s">
        <v>512</v>
      </c>
      <c r="BK127" s="171" t="s">
        <v>802</v>
      </c>
      <c r="BL127" s="171">
        <v>4950.0</v>
      </c>
      <c r="BM127" s="171" t="e">
        <v>#N/A</v>
      </c>
      <c r="BN127" s="171" t="e">
        <v>#N/A</v>
      </c>
      <c r="BO127" s="171" t="s">
        <v>544</v>
      </c>
      <c r="BP127" s="171">
        <v>9177451.0</v>
      </c>
      <c r="BQ127" s="171" t="s">
        <v>481</v>
      </c>
      <c r="BR127" s="171" t="s">
        <v>544</v>
      </c>
      <c r="BS127" s="171">
        <v>2.0</v>
      </c>
    </row>
    <row r="128" ht="14.25" customHeight="1">
      <c r="A128" s="122" t="s">
        <v>493</v>
      </c>
      <c r="B128" s="123" t="s">
        <v>494</v>
      </c>
      <c r="C128" s="123">
        <v>107.0</v>
      </c>
      <c r="D128" s="123" t="s">
        <v>146</v>
      </c>
      <c r="E128" s="123" t="s">
        <v>147</v>
      </c>
      <c r="F128" s="124"/>
      <c r="G128" s="123" t="s">
        <v>149</v>
      </c>
      <c r="H128" s="123" t="s">
        <v>2</v>
      </c>
      <c r="I128" s="123" t="s">
        <v>495</v>
      </c>
      <c r="J128" s="122" t="s">
        <v>528</v>
      </c>
      <c r="K128" s="122" t="s">
        <v>497</v>
      </c>
      <c r="L128" s="123" t="s">
        <v>498</v>
      </c>
      <c r="M128" s="125">
        <v>46139.0</v>
      </c>
      <c r="N128" s="123" t="s">
        <v>803</v>
      </c>
      <c r="O128" s="123">
        <v>9173874.0</v>
      </c>
      <c r="P128" s="125">
        <v>46113.0</v>
      </c>
      <c r="Q128" s="122" t="s">
        <v>500</v>
      </c>
      <c r="R128" s="123">
        <v>3734.0</v>
      </c>
      <c r="S128" s="123" t="s">
        <v>643</v>
      </c>
      <c r="T128" s="123" t="s">
        <v>539</v>
      </c>
      <c r="U128" s="123" t="s">
        <v>644</v>
      </c>
      <c r="V128" s="123" t="s">
        <v>504</v>
      </c>
      <c r="W128" s="124"/>
      <c r="X128" s="122">
        <v>0.0</v>
      </c>
      <c r="Y128" s="123">
        <v>0.0</v>
      </c>
      <c r="Z128" s="123">
        <v>125000.0</v>
      </c>
      <c r="AA128" s="123" t="s">
        <v>157</v>
      </c>
      <c r="AB128" s="123" t="s">
        <v>803</v>
      </c>
      <c r="AC128" s="125">
        <v>46113.0</v>
      </c>
      <c r="AD128" s="123" t="s">
        <v>525</v>
      </c>
      <c r="AE128" s="123">
        <v>999599.0</v>
      </c>
      <c r="AF128" s="123" t="s">
        <v>804</v>
      </c>
      <c r="AG128" s="124"/>
      <c r="AH128" s="124"/>
      <c r="AI128" s="123">
        <v>125000.0</v>
      </c>
      <c r="AJ128" s="123" t="s">
        <v>159</v>
      </c>
      <c r="AK128" s="123">
        <v>18.0</v>
      </c>
      <c r="AL128" s="123">
        <v>11250.0</v>
      </c>
      <c r="AM128" s="122">
        <v>11250.0</v>
      </c>
      <c r="AN128" s="123">
        <v>0.0</v>
      </c>
      <c r="AO128" s="123">
        <v>0.0</v>
      </c>
      <c r="AP128" s="123">
        <v>0.0</v>
      </c>
      <c r="AQ128" s="123">
        <v>0.0</v>
      </c>
      <c r="AR128" s="123">
        <v>0.0</v>
      </c>
      <c r="AS128" s="123">
        <v>0.0</v>
      </c>
      <c r="AT128" s="123">
        <v>0.0</v>
      </c>
      <c r="AU128" s="124"/>
      <c r="AV128" s="124"/>
      <c r="AW128" s="122">
        <v>0.0</v>
      </c>
      <c r="AX128" s="123">
        <v>147500.0</v>
      </c>
      <c r="AY128" s="123" t="s">
        <v>31</v>
      </c>
      <c r="AZ128" s="123" t="s">
        <v>31</v>
      </c>
      <c r="BA128" s="123" t="s">
        <v>805</v>
      </c>
      <c r="BB128" s="123">
        <v>1.126100442E9</v>
      </c>
      <c r="BC128" s="123" t="s">
        <v>556</v>
      </c>
      <c r="BD128" s="123" t="s">
        <v>162</v>
      </c>
      <c r="BE128" s="124"/>
      <c r="BF128" s="124" t="s">
        <v>484</v>
      </c>
      <c r="BG128" s="124" t="s">
        <v>482</v>
      </c>
      <c r="BH128" s="123" t="s">
        <v>510</v>
      </c>
      <c r="BI128" s="171" t="s">
        <v>511</v>
      </c>
      <c r="BJ128" s="171" t="s">
        <v>512</v>
      </c>
      <c r="BK128" s="171" t="s">
        <v>608</v>
      </c>
      <c r="BL128" s="171">
        <v>278.1</v>
      </c>
      <c r="BM128" s="171">
        <v>369.72</v>
      </c>
      <c r="BN128" s="171">
        <v>-92.0</v>
      </c>
      <c r="BO128" s="171" t="s">
        <v>514</v>
      </c>
      <c r="BP128" s="171">
        <v>9156758.0</v>
      </c>
      <c r="BQ128" s="171" t="s">
        <v>483</v>
      </c>
      <c r="BR128" s="171" t="s">
        <v>479</v>
      </c>
      <c r="BS128" s="171">
        <v>2.0</v>
      </c>
    </row>
    <row r="129" ht="14.25" customHeight="1">
      <c r="A129" s="122" t="s">
        <v>493</v>
      </c>
      <c r="B129" s="123" t="s">
        <v>494</v>
      </c>
      <c r="C129" s="123">
        <v>107.0</v>
      </c>
      <c r="D129" s="123" t="s">
        <v>146</v>
      </c>
      <c r="E129" s="123" t="s">
        <v>147</v>
      </c>
      <c r="F129" s="124"/>
      <c r="G129" s="123" t="s">
        <v>149</v>
      </c>
      <c r="H129" s="123" t="s">
        <v>2</v>
      </c>
      <c r="I129" s="123" t="s">
        <v>495</v>
      </c>
      <c r="J129" s="122" t="s">
        <v>528</v>
      </c>
      <c r="K129" s="122" t="s">
        <v>529</v>
      </c>
      <c r="L129" s="123" t="s">
        <v>498</v>
      </c>
      <c r="M129" s="125">
        <v>46141.0</v>
      </c>
      <c r="N129" s="123">
        <v>46082.0</v>
      </c>
      <c r="O129" s="123">
        <v>9178114.0</v>
      </c>
      <c r="P129" s="125">
        <v>46127.0</v>
      </c>
      <c r="Q129" s="122" t="s">
        <v>500</v>
      </c>
      <c r="R129" s="123">
        <v>5093.0</v>
      </c>
      <c r="S129" s="123" t="s">
        <v>617</v>
      </c>
      <c r="T129" s="123" t="s">
        <v>618</v>
      </c>
      <c r="U129" s="123" t="s">
        <v>619</v>
      </c>
      <c r="V129" s="123" t="s">
        <v>504</v>
      </c>
      <c r="W129" s="124"/>
      <c r="X129" s="122">
        <v>1.0</v>
      </c>
      <c r="Y129" s="123">
        <v>3600.0</v>
      </c>
      <c r="Z129" s="123">
        <v>3600.0</v>
      </c>
      <c r="AA129" s="123" t="s">
        <v>157</v>
      </c>
      <c r="AB129" s="123">
        <v>3.0</v>
      </c>
      <c r="AC129" s="125">
        <v>46127.0</v>
      </c>
      <c r="AD129" s="123" t="s">
        <v>593</v>
      </c>
      <c r="AE129" s="123">
        <v>8543.0</v>
      </c>
      <c r="AF129" s="123" t="s">
        <v>806</v>
      </c>
      <c r="AG129" s="124"/>
      <c r="AH129" s="124"/>
      <c r="AI129" s="123">
        <v>3600.0</v>
      </c>
      <c r="AJ129" s="123" t="s">
        <v>159</v>
      </c>
      <c r="AK129" s="123">
        <v>18.0</v>
      </c>
      <c r="AL129" s="123">
        <v>324.0</v>
      </c>
      <c r="AM129" s="122">
        <v>324.0</v>
      </c>
      <c r="AN129" s="123">
        <v>0.0</v>
      </c>
      <c r="AO129" s="123">
        <v>0.0</v>
      </c>
      <c r="AP129" s="123">
        <v>0.0</v>
      </c>
      <c r="AQ129" s="123">
        <v>0.0</v>
      </c>
      <c r="AR129" s="123">
        <v>0.0</v>
      </c>
      <c r="AS129" s="123">
        <v>0.0</v>
      </c>
      <c r="AT129" s="123">
        <v>0.0</v>
      </c>
      <c r="AU129" s="124"/>
      <c r="AV129" s="124"/>
      <c r="AW129" s="122">
        <v>0.0</v>
      </c>
      <c r="AX129" s="123">
        <v>4248.0</v>
      </c>
      <c r="AY129" s="123" t="s">
        <v>20</v>
      </c>
      <c r="AZ129" s="123" t="s">
        <v>31</v>
      </c>
      <c r="BA129" s="123" t="s">
        <v>595</v>
      </c>
      <c r="BB129" s="123">
        <v>1.126100466E9</v>
      </c>
      <c r="BC129" s="123" t="s">
        <v>187</v>
      </c>
      <c r="BD129" s="123" t="s">
        <v>586</v>
      </c>
      <c r="BE129" s="124"/>
      <c r="BF129" s="124" t="s">
        <v>483</v>
      </c>
      <c r="BG129" s="124" t="s">
        <v>482</v>
      </c>
      <c r="BH129" s="123" t="s">
        <v>587</v>
      </c>
      <c r="BI129" s="171" t="s">
        <v>511</v>
      </c>
      <c r="BJ129" s="171" t="s">
        <v>512</v>
      </c>
      <c r="BK129" s="171" t="s">
        <v>513</v>
      </c>
      <c r="BL129" s="171">
        <v>1965.97</v>
      </c>
      <c r="BM129" s="171">
        <v>38182.88</v>
      </c>
      <c r="BN129" s="171">
        <v>-36217.0</v>
      </c>
      <c r="BO129" s="171" t="s">
        <v>514</v>
      </c>
      <c r="BP129" s="171">
        <v>9158398.0</v>
      </c>
      <c r="BQ129" s="171" t="s">
        <v>484</v>
      </c>
      <c r="BR129" s="171" t="s">
        <v>479</v>
      </c>
      <c r="BS129" s="171">
        <v>37.0</v>
      </c>
    </row>
    <row r="130" ht="14.25" customHeight="1">
      <c r="A130" s="122" t="s">
        <v>493</v>
      </c>
      <c r="B130" s="123" t="s">
        <v>494</v>
      </c>
      <c r="C130" s="123">
        <v>107.0</v>
      </c>
      <c r="D130" s="123" t="s">
        <v>146</v>
      </c>
      <c r="E130" s="123" t="s">
        <v>147</v>
      </c>
      <c r="F130" s="124"/>
      <c r="G130" s="123" t="s">
        <v>149</v>
      </c>
      <c r="H130" s="123" t="s">
        <v>2</v>
      </c>
      <c r="I130" s="123" t="s">
        <v>495</v>
      </c>
      <c r="J130" s="122" t="s">
        <v>528</v>
      </c>
      <c r="K130" s="122" t="s">
        <v>529</v>
      </c>
      <c r="L130" s="123" t="s">
        <v>498</v>
      </c>
      <c r="M130" s="125">
        <v>46126.0</v>
      </c>
      <c r="N130" s="123" t="s">
        <v>678</v>
      </c>
      <c r="O130" s="123">
        <v>9155618.0</v>
      </c>
      <c r="P130" s="125">
        <v>46114.0</v>
      </c>
      <c r="Q130" s="122" t="s">
        <v>500</v>
      </c>
      <c r="R130" s="123">
        <v>2770.0</v>
      </c>
      <c r="S130" s="123" t="s">
        <v>531</v>
      </c>
      <c r="T130" s="123" t="s">
        <v>532</v>
      </c>
      <c r="U130" s="123" t="s">
        <v>533</v>
      </c>
      <c r="V130" s="123" t="s">
        <v>504</v>
      </c>
      <c r="W130" s="124"/>
      <c r="X130" s="122">
        <v>1.0</v>
      </c>
      <c r="Y130" s="123">
        <v>4138.2</v>
      </c>
      <c r="Z130" s="123">
        <v>4138.2</v>
      </c>
      <c r="AA130" s="123" t="s">
        <v>157</v>
      </c>
      <c r="AB130" s="123" t="s">
        <v>678</v>
      </c>
      <c r="AC130" s="125">
        <v>46114.0</v>
      </c>
      <c r="AD130" s="123" t="s">
        <v>525</v>
      </c>
      <c r="AE130" s="123">
        <v>8.4439952E7</v>
      </c>
      <c r="AF130" s="123" t="s">
        <v>807</v>
      </c>
      <c r="AG130" s="124"/>
      <c r="AH130" s="124"/>
      <c r="AI130" s="123">
        <v>4138.2</v>
      </c>
      <c r="AJ130" s="123" t="s">
        <v>159</v>
      </c>
      <c r="AK130" s="123">
        <v>18.0</v>
      </c>
      <c r="AL130" s="123">
        <v>372.44</v>
      </c>
      <c r="AM130" s="122">
        <v>372.44</v>
      </c>
      <c r="AN130" s="123">
        <v>0.0</v>
      </c>
      <c r="AO130" s="123">
        <v>0.0</v>
      </c>
      <c r="AP130" s="123">
        <v>0.0</v>
      </c>
      <c r="AQ130" s="123">
        <v>0.0</v>
      </c>
      <c r="AR130" s="123">
        <v>0.0</v>
      </c>
      <c r="AS130" s="123">
        <v>0.0</v>
      </c>
      <c r="AT130" s="123">
        <v>0.0</v>
      </c>
      <c r="AU130" s="124"/>
      <c r="AV130" s="124"/>
      <c r="AW130" s="122">
        <v>0.0</v>
      </c>
      <c r="AX130" s="123">
        <v>4883.08</v>
      </c>
      <c r="AY130" s="123" t="s">
        <v>20</v>
      </c>
      <c r="AZ130" s="123" t="s">
        <v>31</v>
      </c>
      <c r="BA130" s="123" t="s">
        <v>535</v>
      </c>
      <c r="BB130" s="123">
        <v>1.126100068E9</v>
      </c>
      <c r="BC130" s="123" t="s">
        <v>187</v>
      </c>
      <c r="BD130" s="123" t="s">
        <v>162</v>
      </c>
      <c r="BE130" s="124"/>
      <c r="BF130" s="124" t="s">
        <v>483</v>
      </c>
      <c r="BG130" s="124" t="s">
        <v>482</v>
      </c>
      <c r="BH130" s="123" t="s">
        <v>510</v>
      </c>
      <c r="BI130" s="171" t="s">
        <v>511</v>
      </c>
      <c r="BJ130" s="171" t="s">
        <v>512</v>
      </c>
      <c r="BK130" s="171" t="s">
        <v>519</v>
      </c>
      <c r="BL130" s="171">
        <v>1683.0</v>
      </c>
      <c r="BM130" s="171">
        <v>36494.74</v>
      </c>
      <c r="BN130" s="171">
        <v>-34812.0</v>
      </c>
      <c r="BO130" s="171" t="s">
        <v>514</v>
      </c>
      <c r="BP130" s="171">
        <v>9174963.0</v>
      </c>
      <c r="BQ130" s="171" t="s">
        <v>484</v>
      </c>
      <c r="BR130" s="171" t="s">
        <v>479</v>
      </c>
      <c r="BS130" s="171">
        <v>36.0</v>
      </c>
    </row>
    <row r="131" ht="14.25" customHeight="1">
      <c r="A131" s="122" t="s">
        <v>493</v>
      </c>
      <c r="B131" s="123" t="s">
        <v>494</v>
      </c>
      <c r="C131" s="123">
        <v>107.0</v>
      </c>
      <c r="D131" s="123" t="s">
        <v>146</v>
      </c>
      <c r="E131" s="123" t="s">
        <v>147</v>
      </c>
      <c r="F131" s="124"/>
      <c r="G131" s="123" t="s">
        <v>149</v>
      </c>
      <c r="H131" s="123" t="s">
        <v>2</v>
      </c>
      <c r="I131" s="123" t="s">
        <v>495</v>
      </c>
      <c r="J131" s="122" t="s">
        <v>528</v>
      </c>
      <c r="K131" s="122" t="s">
        <v>529</v>
      </c>
      <c r="L131" s="123" t="s">
        <v>498</v>
      </c>
      <c r="M131" s="125">
        <v>46136.0</v>
      </c>
      <c r="N131" s="123" t="s">
        <v>808</v>
      </c>
      <c r="O131" s="123">
        <v>9168299.0</v>
      </c>
      <c r="P131" s="125">
        <v>46127.0</v>
      </c>
      <c r="Q131" s="122" t="s">
        <v>500</v>
      </c>
      <c r="R131" s="123">
        <v>14097.0</v>
      </c>
      <c r="S131" s="123" t="s">
        <v>809</v>
      </c>
      <c r="T131" s="123" t="s">
        <v>618</v>
      </c>
      <c r="U131" s="123" t="s">
        <v>810</v>
      </c>
      <c r="V131" s="123" t="s">
        <v>504</v>
      </c>
      <c r="W131" s="124"/>
      <c r="X131" s="122">
        <v>2000.0</v>
      </c>
      <c r="Y131" s="123">
        <v>1.0</v>
      </c>
      <c r="Z131" s="123">
        <v>2000.0</v>
      </c>
      <c r="AA131" s="123" t="s">
        <v>157</v>
      </c>
      <c r="AB131" s="123" t="s">
        <v>808</v>
      </c>
      <c r="AC131" s="125">
        <v>46127.0</v>
      </c>
      <c r="AD131" s="123" t="s">
        <v>505</v>
      </c>
      <c r="AE131" s="123">
        <v>998712.0</v>
      </c>
      <c r="AF131" s="123" t="s">
        <v>811</v>
      </c>
      <c r="AG131" s="124"/>
      <c r="AH131" s="124"/>
      <c r="AI131" s="123">
        <v>2000.0</v>
      </c>
      <c r="AJ131" s="123" t="s">
        <v>159</v>
      </c>
      <c r="AK131" s="123">
        <v>18.0</v>
      </c>
      <c r="AL131" s="123">
        <v>180.0</v>
      </c>
      <c r="AM131" s="122">
        <v>180.0</v>
      </c>
      <c r="AN131" s="123">
        <v>0.0</v>
      </c>
      <c r="AO131" s="123">
        <v>0.0</v>
      </c>
      <c r="AP131" s="123">
        <v>0.0</v>
      </c>
      <c r="AQ131" s="123">
        <v>0.0</v>
      </c>
      <c r="AR131" s="123">
        <v>0.0</v>
      </c>
      <c r="AS131" s="123">
        <v>0.0</v>
      </c>
      <c r="AT131" s="123">
        <v>0.0</v>
      </c>
      <c r="AU131" s="124"/>
      <c r="AV131" s="124"/>
      <c r="AW131" s="122">
        <v>0.0</v>
      </c>
      <c r="AX131" s="123">
        <v>2360.0</v>
      </c>
      <c r="AY131" s="123" t="s">
        <v>20</v>
      </c>
      <c r="AZ131" s="123" t="s">
        <v>31</v>
      </c>
      <c r="BA131" s="123" t="s">
        <v>542</v>
      </c>
      <c r="BB131" s="123">
        <v>1.126100392E9</v>
      </c>
      <c r="BC131" s="123" t="s">
        <v>187</v>
      </c>
      <c r="BD131" s="123" t="s">
        <v>162</v>
      </c>
      <c r="BE131" s="124"/>
      <c r="BF131" s="124" t="s">
        <v>483</v>
      </c>
      <c r="BG131" s="124" t="s">
        <v>482</v>
      </c>
      <c r="BH131" s="123" t="s">
        <v>587</v>
      </c>
      <c r="BI131" s="171" t="s">
        <v>511</v>
      </c>
      <c r="BJ131" s="171" t="s">
        <v>512</v>
      </c>
      <c r="BK131" s="171" t="s">
        <v>519</v>
      </c>
      <c r="BL131" s="171">
        <v>544.5</v>
      </c>
      <c r="BM131" s="171">
        <v>36494.74</v>
      </c>
      <c r="BN131" s="171">
        <v>-35950.0</v>
      </c>
      <c r="BO131" s="171" t="s">
        <v>514</v>
      </c>
      <c r="BP131" s="171">
        <v>9174963.0</v>
      </c>
      <c r="BQ131" s="171" t="s">
        <v>484</v>
      </c>
      <c r="BR131" s="171" t="s">
        <v>479</v>
      </c>
      <c r="BS131" s="171">
        <v>36.0</v>
      </c>
    </row>
    <row r="132" ht="14.25" customHeight="1">
      <c r="A132" s="122" t="s">
        <v>493</v>
      </c>
      <c r="B132" s="123" t="s">
        <v>494</v>
      </c>
      <c r="C132" s="123">
        <v>107.0</v>
      </c>
      <c r="D132" s="123" t="s">
        <v>146</v>
      </c>
      <c r="E132" s="123" t="s">
        <v>147</v>
      </c>
      <c r="F132" s="124"/>
      <c r="G132" s="123" t="s">
        <v>149</v>
      </c>
      <c r="H132" s="123" t="s">
        <v>2</v>
      </c>
      <c r="I132" s="123" t="s">
        <v>495</v>
      </c>
      <c r="J132" s="122" t="s">
        <v>528</v>
      </c>
      <c r="K132" s="122" t="s">
        <v>529</v>
      </c>
      <c r="L132" s="123" t="s">
        <v>498</v>
      </c>
      <c r="M132" s="125">
        <v>46126.0</v>
      </c>
      <c r="N132" s="123" t="s">
        <v>570</v>
      </c>
      <c r="O132" s="123">
        <v>9155615.0</v>
      </c>
      <c r="P132" s="125">
        <v>46114.0</v>
      </c>
      <c r="Q132" s="122" t="s">
        <v>500</v>
      </c>
      <c r="R132" s="123">
        <v>2770.0</v>
      </c>
      <c r="S132" s="123" t="s">
        <v>531</v>
      </c>
      <c r="T132" s="123" t="s">
        <v>532</v>
      </c>
      <c r="U132" s="123" t="s">
        <v>533</v>
      </c>
      <c r="V132" s="123" t="s">
        <v>504</v>
      </c>
      <c r="W132" s="124"/>
      <c r="X132" s="122">
        <v>1.0</v>
      </c>
      <c r="Y132" s="123">
        <v>30.0</v>
      </c>
      <c r="Z132" s="123">
        <v>30.0</v>
      </c>
      <c r="AA132" s="123" t="s">
        <v>157</v>
      </c>
      <c r="AB132" s="123" t="s">
        <v>570</v>
      </c>
      <c r="AC132" s="125">
        <v>46114.0</v>
      </c>
      <c r="AD132" s="123" t="s">
        <v>525</v>
      </c>
      <c r="AE132" s="123">
        <v>8.4439952E7</v>
      </c>
      <c r="AF132" s="123" t="s">
        <v>567</v>
      </c>
      <c r="AG132" s="124"/>
      <c r="AH132" s="124"/>
      <c r="AI132" s="123">
        <v>30.0</v>
      </c>
      <c r="AJ132" s="123" t="s">
        <v>159</v>
      </c>
      <c r="AK132" s="123">
        <v>18.0</v>
      </c>
      <c r="AL132" s="123">
        <v>2.7</v>
      </c>
      <c r="AM132" s="122">
        <v>2.7</v>
      </c>
      <c r="AN132" s="123">
        <v>0.0</v>
      </c>
      <c r="AO132" s="123">
        <v>0.0</v>
      </c>
      <c r="AP132" s="123">
        <v>0.0</v>
      </c>
      <c r="AQ132" s="123">
        <v>0.0</v>
      </c>
      <c r="AR132" s="123">
        <v>0.0</v>
      </c>
      <c r="AS132" s="123">
        <v>0.0</v>
      </c>
      <c r="AT132" s="123">
        <v>0.0</v>
      </c>
      <c r="AU132" s="124"/>
      <c r="AV132" s="124"/>
      <c r="AW132" s="122">
        <v>0.0</v>
      </c>
      <c r="AX132" s="123">
        <v>35.4</v>
      </c>
      <c r="AY132" s="123" t="s">
        <v>20</v>
      </c>
      <c r="AZ132" s="123" t="s">
        <v>31</v>
      </c>
      <c r="BA132" s="123" t="s">
        <v>535</v>
      </c>
      <c r="BB132" s="123">
        <v>1.126100065E9</v>
      </c>
      <c r="BC132" s="123" t="s">
        <v>187</v>
      </c>
      <c r="BD132" s="123" t="s">
        <v>162</v>
      </c>
      <c r="BE132" s="124"/>
      <c r="BF132" s="124" t="s">
        <v>483</v>
      </c>
      <c r="BG132" s="124" t="s">
        <v>482</v>
      </c>
      <c r="BH132" s="123" t="s">
        <v>510</v>
      </c>
      <c r="BI132" s="171" t="s">
        <v>511</v>
      </c>
      <c r="BJ132" s="171" t="s">
        <v>512</v>
      </c>
      <c r="BK132" s="171" t="s">
        <v>480</v>
      </c>
      <c r="BL132" s="171">
        <v>251.46</v>
      </c>
      <c r="BM132" s="171">
        <v>8534.42</v>
      </c>
      <c r="BN132" s="171">
        <v>-8283.0</v>
      </c>
      <c r="BO132" s="171" t="s">
        <v>514</v>
      </c>
      <c r="BP132" s="171">
        <v>9156749.0</v>
      </c>
      <c r="BQ132" s="171" t="s">
        <v>483</v>
      </c>
      <c r="BR132" s="171" t="s">
        <v>479</v>
      </c>
      <c r="BS132" s="171">
        <v>17.0</v>
      </c>
    </row>
    <row r="133" ht="14.25" customHeight="1">
      <c r="A133" s="122" t="s">
        <v>493</v>
      </c>
      <c r="B133" s="123" t="s">
        <v>494</v>
      </c>
      <c r="C133" s="123">
        <v>107.0</v>
      </c>
      <c r="D133" s="123" t="s">
        <v>146</v>
      </c>
      <c r="E133" s="123" t="s">
        <v>147</v>
      </c>
      <c r="F133" s="124"/>
      <c r="G133" s="123" t="s">
        <v>149</v>
      </c>
      <c r="H133" s="123" t="s">
        <v>2</v>
      </c>
      <c r="I133" s="123" t="s">
        <v>495</v>
      </c>
      <c r="J133" s="123" t="s">
        <v>528</v>
      </c>
      <c r="K133" s="123" t="s">
        <v>529</v>
      </c>
      <c r="L133" s="123" t="s">
        <v>498</v>
      </c>
      <c r="M133" s="125">
        <v>46127.0</v>
      </c>
      <c r="N133" s="123" t="s">
        <v>812</v>
      </c>
      <c r="O133" s="122">
        <v>9156869.0</v>
      </c>
      <c r="P133" s="125">
        <v>46113.0</v>
      </c>
      <c r="Q133" s="123" t="s">
        <v>500</v>
      </c>
      <c r="R133" s="123">
        <v>2770.0</v>
      </c>
      <c r="S133" s="123" t="s">
        <v>531</v>
      </c>
      <c r="T133" s="123" t="s">
        <v>572</v>
      </c>
      <c r="U133" s="123" t="s">
        <v>573</v>
      </c>
      <c r="V133" s="123" t="s">
        <v>504</v>
      </c>
      <c r="W133" s="124"/>
      <c r="X133" s="123">
        <v>1.0</v>
      </c>
      <c r="Y133" s="123">
        <v>4365.0</v>
      </c>
      <c r="Z133" s="123">
        <v>4365.0</v>
      </c>
      <c r="AA133" s="123" t="s">
        <v>157</v>
      </c>
      <c r="AB133" s="123" t="s">
        <v>812</v>
      </c>
      <c r="AC133" s="125">
        <v>46113.0</v>
      </c>
      <c r="AD133" s="123" t="s">
        <v>505</v>
      </c>
      <c r="AE133" s="123">
        <v>997314.0</v>
      </c>
      <c r="AF133" s="123" t="s">
        <v>813</v>
      </c>
      <c r="AG133" s="124"/>
      <c r="AH133" s="124"/>
      <c r="AI133" s="123">
        <v>4365.0</v>
      </c>
      <c r="AJ133" s="123" t="s">
        <v>159</v>
      </c>
      <c r="AK133" s="123">
        <v>18.0</v>
      </c>
      <c r="AL133" s="123">
        <v>0.0</v>
      </c>
      <c r="AM133" s="123">
        <v>0.0</v>
      </c>
      <c r="AN133" s="123">
        <v>785.7</v>
      </c>
      <c r="AO133" s="123">
        <v>0.0</v>
      </c>
      <c r="AP133" s="123">
        <v>0.0</v>
      </c>
      <c r="AQ133" s="123">
        <v>0.0</v>
      </c>
      <c r="AR133" s="122">
        <v>0.0</v>
      </c>
      <c r="AS133" s="123">
        <v>0.0</v>
      </c>
      <c r="AT133" s="123">
        <v>0.0</v>
      </c>
      <c r="AU133" s="124"/>
      <c r="AV133" s="124"/>
      <c r="AW133" s="123">
        <v>0.0</v>
      </c>
      <c r="AX133" s="123">
        <v>5150.7</v>
      </c>
      <c r="AY133" s="123" t="s">
        <v>20</v>
      </c>
      <c r="AZ133" s="123" t="s">
        <v>31</v>
      </c>
      <c r="BA133" s="123" t="s">
        <v>814</v>
      </c>
      <c r="BB133" s="123">
        <v>1.126100098E9</v>
      </c>
      <c r="BC133" s="123" t="s">
        <v>161</v>
      </c>
      <c r="BD133" s="123" t="s">
        <v>162</v>
      </c>
      <c r="BE133" s="124"/>
      <c r="BF133" s="124" t="s">
        <v>483</v>
      </c>
      <c r="BG133" s="124" t="s">
        <v>482</v>
      </c>
      <c r="BH133" s="123" t="s">
        <v>510</v>
      </c>
      <c r="BI133" s="171" t="s">
        <v>511</v>
      </c>
      <c r="BJ133" s="171" t="s">
        <v>512</v>
      </c>
      <c r="BK133" s="171" t="s">
        <v>563</v>
      </c>
      <c r="BL133" s="171">
        <v>488.44</v>
      </c>
      <c r="BM133" s="171">
        <v>2435.38</v>
      </c>
      <c r="BN133" s="171">
        <v>-1947.0</v>
      </c>
      <c r="BO133" s="171" t="s">
        <v>514</v>
      </c>
      <c r="BP133" s="171">
        <v>9175014.0</v>
      </c>
      <c r="BQ133" s="171" t="s">
        <v>484</v>
      </c>
      <c r="BR133" s="171" t="s">
        <v>479</v>
      </c>
      <c r="BS133" s="171">
        <v>18.0</v>
      </c>
    </row>
    <row r="134" ht="14.25" customHeight="1">
      <c r="A134" s="122" t="s">
        <v>493</v>
      </c>
      <c r="B134" s="123" t="s">
        <v>494</v>
      </c>
      <c r="C134" s="123">
        <v>107.0</v>
      </c>
      <c r="D134" s="123" t="s">
        <v>146</v>
      </c>
      <c r="E134" s="123" t="s">
        <v>147</v>
      </c>
      <c r="F134" s="124"/>
      <c r="G134" s="123" t="s">
        <v>149</v>
      </c>
      <c r="H134" s="123" t="s">
        <v>2</v>
      </c>
      <c r="I134" s="123" t="s">
        <v>495</v>
      </c>
      <c r="J134" s="123" t="s">
        <v>528</v>
      </c>
      <c r="K134" s="123" t="s">
        <v>529</v>
      </c>
      <c r="L134" s="123" t="s">
        <v>498</v>
      </c>
      <c r="M134" s="125">
        <v>46127.0</v>
      </c>
      <c r="N134" s="123" t="s">
        <v>815</v>
      </c>
      <c r="O134" s="122">
        <v>9156870.0</v>
      </c>
      <c r="P134" s="125">
        <v>46113.0</v>
      </c>
      <c r="Q134" s="123" t="s">
        <v>500</v>
      </c>
      <c r="R134" s="123">
        <v>2770.0</v>
      </c>
      <c r="S134" s="123" t="s">
        <v>531</v>
      </c>
      <c r="T134" s="123" t="s">
        <v>572</v>
      </c>
      <c r="U134" s="123" t="s">
        <v>573</v>
      </c>
      <c r="V134" s="123" t="s">
        <v>504</v>
      </c>
      <c r="W134" s="124"/>
      <c r="X134" s="123">
        <v>1.0</v>
      </c>
      <c r="Y134" s="123">
        <v>4106.0</v>
      </c>
      <c r="Z134" s="123">
        <v>4106.0</v>
      </c>
      <c r="AA134" s="123" t="s">
        <v>157</v>
      </c>
      <c r="AB134" s="123" t="s">
        <v>815</v>
      </c>
      <c r="AC134" s="125">
        <v>46113.0</v>
      </c>
      <c r="AD134" s="123" t="s">
        <v>505</v>
      </c>
      <c r="AE134" s="123">
        <v>997314.0</v>
      </c>
      <c r="AF134" s="123" t="s">
        <v>816</v>
      </c>
      <c r="AG134" s="124"/>
      <c r="AH134" s="124"/>
      <c r="AI134" s="123">
        <v>4106.0</v>
      </c>
      <c r="AJ134" s="123" t="s">
        <v>159</v>
      </c>
      <c r="AK134" s="123">
        <v>18.0</v>
      </c>
      <c r="AL134" s="123">
        <v>0.0</v>
      </c>
      <c r="AM134" s="123">
        <v>0.0</v>
      </c>
      <c r="AN134" s="123">
        <v>739.08</v>
      </c>
      <c r="AO134" s="123">
        <v>0.0</v>
      </c>
      <c r="AP134" s="123">
        <v>0.0</v>
      </c>
      <c r="AQ134" s="123">
        <v>0.0</v>
      </c>
      <c r="AR134" s="122">
        <v>0.0</v>
      </c>
      <c r="AS134" s="123">
        <v>0.0</v>
      </c>
      <c r="AT134" s="123">
        <v>0.0</v>
      </c>
      <c r="AU134" s="124"/>
      <c r="AV134" s="124"/>
      <c r="AW134" s="123">
        <v>0.0</v>
      </c>
      <c r="AX134" s="123">
        <v>4845.08</v>
      </c>
      <c r="AY134" s="123" t="s">
        <v>20</v>
      </c>
      <c r="AZ134" s="123" t="s">
        <v>31</v>
      </c>
      <c r="BA134" s="123" t="s">
        <v>817</v>
      </c>
      <c r="BB134" s="123">
        <v>1.126100099E9</v>
      </c>
      <c r="BC134" s="123" t="s">
        <v>161</v>
      </c>
      <c r="BD134" s="123" t="s">
        <v>162</v>
      </c>
      <c r="BE134" s="124"/>
      <c r="BF134" s="124" t="s">
        <v>483</v>
      </c>
      <c r="BG134" s="124" t="s">
        <v>482</v>
      </c>
      <c r="BH134" s="123" t="s">
        <v>510</v>
      </c>
      <c r="BI134" s="171" t="s">
        <v>511</v>
      </c>
      <c r="BJ134" s="171" t="s">
        <v>512</v>
      </c>
      <c r="BK134" s="171" t="s">
        <v>563</v>
      </c>
      <c r="BL134" s="171">
        <v>73.8</v>
      </c>
      <c r="BM134" s="171">
        <v>2435.38</v>
      </c>
      <c r="BN134" s="171">
        <v>-2362.0</v>
      </c>
      <c r="BO134" s="171" t="s">
        <v>514</v>
      </c>
      <c r="BP134" s="171">
        <v>9175014.0</v>
      </c>
      <c r="BQ134" s="171" t="s">
        <v>484</v>
      </c>
      <c r="BR134" s="171" t="s">
        <v>479</v>
      </c>
      <c r="BS134" s="171">
        <v>18.0</v>
      </c>
    </row>
    <row r="135" ht="14.25" customHeight="1">
      <c r="A135" s="122" t="s">
        <v>493</v>
      </c>
      <c r="B135" s="123" t="s">
        <v>494</v>
      </c>
      <c r="C135" s="123">
        <v>107.0</v>
      </c>
      <c r="D135" s="123" t="s">
        <v>146</v>
      </c>
      <c r="E135" s="123" t="s">
        <v>147</v>
      </c>
      <c r="F135" s="124"/>
      <c r="G135" s="123" t="s">
        <v>149</v>
      </c>
      <c r="H135" s="123" t="s">
        <v>2</v>
      </c>
      <c r="I135" s="123" t="s">
        <v>495</v>
      </c>
      <c r="J135" s="123" t="s">
        <v>528</v>
      </c>
      <c r="K135" s="123" t="s">
        <v>529</v>
      </c>
      <c r="L135" s="123" t="s">
        <v>498</v>
      </c>
      <c r="M135" s="125">
        <v>46139.0</v>
      </c>
      <c r="N135" s="123" t="s">
        <v>818</v>
      </c>
      <c r="O135" s="122">
        <v>9172688.0</v>
      </c>
      <c r="P135" s="125">
        <v>46129.0</v>
      </c>
      <c r="Q135" s="123" t="s">
        <v>500</v>
      </c>
      <c r="R135" s="123">
        <v>25119.0</v>
      </c>
      <c r="S135" s="123" t="s">
        <v>558</v>
      </c>
      <c r="T135" s="123" t="s">
        <v>539</v>
      </c>
      <c r="U135" s="123" t="s">
        <v>559</v>
      </c>
      <c r="V135" s="123" t="s">
        <v>504</v>
      </c>
      <c r="W135" s="124"/>
      <c r="X135" s="123">
        <v>107980.52</v>
      </c>
      <c r="Y135" s="123">
        <v>107980.52</v>
      </c>
      <c r="Z135" s="123">
        <v>107980.52</v>
      </c>
      <c r="AA135" s="123" t="s">
        <v>157</v>
      </c>
      <c r="AB135" s="123" t="s">
        <v>818</v>
      </c>
      <c r="AC135" s="125">
        <v>46129.0</v>
      </c>
      <c r="AD135" s="123" t="s">
        <v>505</v>
      </c>
      <c r="AE135" s="123">
        <v>998729.0</v>
      </c>
      <c r="AF135" s="123" t="s">
        <v>819</v>
      </c>
      <c r="AG135" s="124"/>
      <c r="AH135" s="124"/>
      <c r="AI135" s="123">
        <v>107980.52</v>
      </c>
      <c r="AJ135" s="123" t="s">
        <v>159</v>
      </c>
      <c r="AK135" s="123">
        <v>0.0</v>
      </c>
      <c r="AL135" s="123">
        <v>0.0</v>
      </c>
      <c r="AM135" s="123">
        <v>0.0</v>
      </c>
      <c r="AN135" s="123">
        <v>0.0</v>
      </c>
      <c r="AO135" s="123">
        <v>0.0</v>
      </c>
      <c r="AP135" s="123">
        <v>0.0</v>
      </c>
      <c r="AQ135" s="123">
        <v>0.0</v>
      </c>
      <c r="AR135" s="122">
        <v>0.0</v>
      </c>
      <c r="AS135" s="123">
        <v>0.0</v>
      </c>
      <c r="AT135" s="123">
        <v>0.0</v>
      </c>
      <c r="AU135" s="124"/>
      <c r="AV135" s="124"/>
      <c r="AW135" s="123">
        <v>0.0</v>
      </c>
      <c r="AX135" s="123">
        <v>107980.52</v>
      </c>
      <c r="AY135" s="123" t="s">
        <v>31</v>
      </c>
      <c r="AZ135" s="123" t="s">
        <v>31</v>
      </c>
      <c r="BA135" s="123" t="s">
        <v>710</v>
      </c>
      <c r="BB135" s="123">
        <v>1.126100436E9</v>
      </c>
      <c r="BC135" s="123" t="s">
        <v>649</v>
      </c>
      <c r="BD135" s="123" t="s">
        <v>162</v>
      </c>
      <c r="BE135" s="124"/>
      <c r="BF135" s="124" t="s">
        <v>484</v>
      </c>
      <c r="BG135" s="124" t="s">
        <v>482</v>
      </c>
      <c r="BH135" s="123" t="s">
        <v>510</v>
      </c>
      <c r="BI135" s="171" t="s">
        <v>511</v>
      </c>
      <c r="BJ135" s="171" t="s">
        <v>512</v>
      </c>
      <c r="BK135" s="171" t="s">
        <v>519</v>
      </c>
      <c r="BL135" s="171">
        <v>79.2</v>
      </c>
      <c r="BM135" s="171">
        <v>36494.74</v>
      </c>
      <c r="BN135" s="171">
        <v>-36416.0</v>
      </c>
      <c r="BO135" s="171" t="s">
        <v>514</v>
      </c>
      <c r="BP135" s="171">
        <v>9174963.0</v>
      </c>
      <c r="BQ135" s="171" t="s">
        <v>484</v>
      </c>
      <c r="BR135" s="171" t="s">
        <v>479</v>
      </c>
      <c r="BS135" s="171">
        <v>36.0</v>
      </c>
    </row>
    <row r="136" ht="14.25" customHeight="1">
      <c r="A136" s="122" t="s">
        <v>493</v>
      </c>
      <c r="B136" s="123" t="s">
        <v>494</v>
      </c>
      <c r="C136" s="123">
        <v>107.0</v>
      </c>
      <c r="D136" s="123" t="s">
        <v>146</v>
      </c>
      <c r="E136" s="123" t="s">
        <v>147</v>
      </c>
      <c r="F136" s="124"/>
      <c r="G136" s="124"/>
      <c r="H136" s="123" t="s">
        <v>2</v>
      </c>
      <c r="I136" s="123" t="s">
        <v>495</v>
      </c>
      <c r="J136" s="123" t="s">
        <v>528</v>
      </c>
      <c r="K136" s="123" t="s">
        <v>529</v>
      </c>
      <c r="L136" s="123" t="s">
        <v>498</v>
      </c>
      <c r="M136" s="125">
        <v>46126.0</v>
      </c>
      <c r="N136" s="123" t="s">
        <v>800</v>
      </c>
      <c r="O136" s="122">
        <v>9155619.0</v>
      </c>
      <c r="P136" s="125">
        <v>46114.0</v>
      </c>
      <c r="Q136" s="123" t="s">
        <v>500</v>
      </c>
      <c r="R136" s="123">
        <v>2770.0</v>
      </c>
      <c r="S136" s="123" t="s">
        <v>531</v>
      </c>
      <c r="T136" s="123" t="s">
        <v>532</v>
      </c>
      <c r="U136" s="123" t="s">
        <v>533</v>
      </c>
      <c r="V136" s="123" t="s">
        <v>504</v>
      </c>
      <c r="W136" s="124"/>
      <c r="X136" s="123">
        <v>1.0</v>
      </c>
      <c r="Y136" s="123">
        <v>26670.6</v>
      </c>
      <c r="Z136" s="123">
        <v>26670.6</v>
      </c>
      <c r="AA136" s="123" t="s">
        <v>157</v>
      </c>
      <c r="AB136" s="123" t="s">
        <v>800</v>
      </c>
      <c r="AC136" s="125">
        <v>46114.0</v>
      </c>
      <c r="AD136" s="123" t="s">
        <v>525</v>
      </c>
      <c r="AE136" s="123">
        <v>998712.0</v>
      </c>
      <c r="AF136" s="123" t="s">
        <v>820</v>
      </c>
      <c r="AG136" s="124"/>
      <c r="AH136" s="124"/>
      <c r="AI136" s="123">
        <v>26670.6</v>
      </c>
      <c r="AJ136" s="123" t="s">
        <v>159</v>
      </c>
      <c r="AK136" s="123">
        <v>18.0</v>
      </c>
      <c r="AL136" s="123">
        <v>2400.35</v>
      </c>
      <c r="AM136" s="123">
        <v>2400.35</v>
      </c>
      <c r="AN136" s="123">
        <v>0.0</v>
      </c>
      <c r="AO136" s="123">
        <v>0.0</v>
      </c>
      <c r="AP136" s="123">
        <v>0.0</v>
      </c>
      <c r="AQ136" s="123">
        <v>0.0</v>
      </c>
      <c r="AR136" s="122">
        <v>0.0</v>
      </c>
      <c r="AS136" s="123">
        <v>0.0</v>
      </c>
      <c r="AT136" s="123">
        <v>0.0</v>
      </c>
      <c r="AU136" s="124"/>
      <c r="AV136" s="124"/>
      <c r="AW136" s="123">
        <v>0.0</v>
      </c>
      <c r="AX136" s="123">
        <v>31471.3</v>
      </c>
      <c r="AY136" s="123" t="s">
        <v>20</v>
      </c>
      <c r="AZ136" s="123" t="s">
        <v>31</v>
      </c>
      <c r="BA136" s="123" t="s">
        <v>535</v>
      </c>
      <c r="BB136" s="123">
        <v>1.126100069E9</v>
      </c>
      <c r="BC136" s="123" t="s">
        <v>187</v>
      </c>
      <c r="BD136" s="123" t="s">
        <v>162</v>
      </c>
      <c r="BE136" s="124"/>
      <c r="BF136" s="124" t="s">
        <v>483</v>
      </c>
      <c r="BG136" s="124" t="s">
        <v>482</v>
      </c>
      <c r="BH136" s="123" t="s">
        <v>510</v>
      </c>
      <c r="BI136" s="171" t="s">
        <v>511</v>
      </c>
      <c r="BJ136" s="171" t="s">
        <v>512</v>
      </c>
      <c r="BK136" s="171" t="s">
        <v>569</v>
      </c>
      <c r="BL136" s="171">
        <v>142.36</v>
      </c>
      <c r="BM136" s="171">
        <v>1420.5</v>
      </c>
      <c r="BN136" s="171">
        <v>-1278.0</v>
      </c>
      <c r="BO136" s="171" t="s">
        <v>514</v>
      </c>
      <c r="BP136" s="171">
        <v>9155609.0</v>
      </c>
      <c r="BQ136" s="171" t="s">
        <v>483</v>
      </c>
      <c r="BR136" s="171" t="s">
        <v>479</v>
      </c>
      <c r="BS136" s="171">
        <v>4.0</v>
      </c>
    </row>
    <row r="137" ht="14.25" customHeight="1">
      <c r="A137" s="122" t="s">
        <v>493</v>
      </c>
      <c r="B137" s="123" t="s">
        <v>494</v>
      </c>
      <c r="C137" s="123">
        <v>107.0</v>
      </c>
      <c r="D137" s="123" t="s">
        <v>146</v>
      </c>
      <c r="E137" s="123" t="s">
        <v>147</v>
      </c>
      <c r="F137" s="124"/>
      <c r="G137" s="124"/>
      <c r="H137" s="123" t="s">
        <v>2</v>
      </c>
      <c r="I137" s="123" t="s">
        <v>495</v>
      </c>
      <c r="J137" s="123" t="s">
        <v>528</v>
      </c>
      <c r="K137" s="123" t="s">
        <v>529</v>
      </c>
      <c r="L137" s="123" t="s">
        <v>498</v>
      </c>
      <c r="M137" s="125">
        <v>46126.0</v>
      </c>
      <c r="N137" s="123" t="s">
        <v>545</v>
      </c>
      <c r="O137" s="122">
        <v>9155610.0</v>
      </c>
      <c r="P137" s="125">
        <v>46114.0</v>
      </c>
      <c r="Q137" s="123" t="s">
        <v>500</v>
      </c>
      <c r="R137" s="123">
        <v>2770.0</v>
      </c>
      <c r="S137" s="123" t="s">
        <v>531</v>
      </c>
      <c r="T137" s="123" t="s">
        <v>532</v>
      </c>
      <c r="U137" s="123" t="s">
        <v>533</v>
      </c>
      <c r="V137" s="123" t="s">
        <v>504</v>
      </c>
      <c r="W137" s="124"/>
      <c r="X137" s="123">
        <v>1.0</v>
      </c>
      <c r="Y137" s="123">
        <v>149.76</v>
      </c>
      <c r="Z137" s="123">
        <v>149.76</v>
      </c>
      <c r="AA137" s="123" t="s">
        <v>157</v>
      </c>
      <c r="AB137" s="123" t="s">
        <v>545</v>
      </c>
      <c r="AC137" s="125">
        <v>46114.0</v>
      </c>
      <c r="AD137" s="123" t="s">
        <v>525</v>
      </c>
      <c r="AE137" s="123">
        <v>8.4439952E7</v>
      </c>
      <c r="AF137" s="123" t="s">
        <v>568</v>
      </c>
      <c r="AG137" s="124"/>
      <c r="AH137" s="124"/>
      <c r="AI137" s="123">
        <v>149.76</v>
      </c>
      <c r="AJ137" s="123" t="s">
        <v>159</v>
      </c>
      <c r="AK137" s="123">
        <v>18.0</v>
      </c>
      <c r="AL137" s="123">
        <v>13.48</v>
      </c>
      <c r="AM137" s="123">
        <v>13.48</v>
      </c>
      <c r="AN137" s="123">
        <v>0.0</v>
      </c>
      <c r="AO137" s="123">
        <v>0.0</v>
      </c>
      <c r="AP137" s="123">
        <v>0.0</v>
      </c>
      <c r="AQ137" s="123">
        <v>0.0</v>
      </c>
      <c r="AR137" s="122">
        <v>0.0</v>
      </c>
      <c r="AS137" s="123">
        <v>0.0</v>
      </c>
      <c r="AT137" s="123">
        <v>0.0</v>
      </c>
      <c r="AU137" s="124"/>
      <c r="AV137" s="124"/>
      <c r="AW137" s="123">
        <v>0.0</v>
      </c>
      <c r="AX137" s="123">
        <v>176.72</v>
      </c>
      <c r="AY137" s="123" t="s">
        <v>20</v>
      </c>
      <c r="AZ137" s="123" t="s">
        <v>31</v>
      </c>
      <c r="BA137" s="123" t="s">
        <v>535</v>
      </c>
      <c r="BB137" s="123">
        <v>1.12610006E9</v>
      </c>
      <c r="BC137" s="123" t="s">
        <v>187</v>
      </c>
      <c r="BD137" s="123" t="s">
        <v>162</v>
      </c>
      <c r="BE137" s="124"/>
      <c r="BF137" s="124" t="s">
        <v>483</v>
      </c>
      <c r="BG137" s="124" t="s">
        <v>482</v>
      </c>
      <c r="BH137" s="123" t="s">
        <v>510</v>
      </c>
      <c r="BI137" s="171" t="s">
        <v>511</v>
      </c>
      <c r="BJ137" s="171" t="s">
        <v>512</v>
      </c>
      <c r="BK137" s="171" t="s">
        <v>569</v>
      </c>
      <c r="BL137" s="171">
        <v>16.2</v>
      </c>
      <c r="BM137" s="171">
        <v>1420.5</v>
      </c>
      <c r="BN137" s="171">
        <v>-1404.0</v>
      </c>
      <c r="BO137" s="171" t="s">
        <v>514</v>
      </c>
      <c r="BP137" s="171">
        <v>9155609.0</v>
      </c>
      <c r="BQ137" s="171" t="s">
        <v>483</v>
      </c>
      <c r="BR137" s="171" t="s">
        <v>479</v>
      </c>
      <c r="BS137" s="171">
        <v>4.0</v>
      </c>
    </row>
    <row r="138" ht="14.25" customHeight="1">
      <c r="A138" s="122" t="s">
        <v>493</v>
      </c>
      <c r="B138" s="123" t="s">
        <v>494</v>
      </c>
      <c r="C138" s="123">
        <v>107.0</v>
      </c>
      <c r="D138" s="123" t="s">
        <v>146</v>
      </c>
      <c r="E138" s="123" t="s">
        <v>147</v>
      </c>
      <c r="F138" s="124"/>
      <c r="G138" s="124" t="s">
        <v>149</v>
      </c>
      <c r="H138" s="123" t="s">
        <v>2</v>
      </c>
      <c r="I138" s="123" t="s">
        <v>495</v>
      </c>
      <c r="J138" s="123" t="s">
        <v>496</v>
      </c>
      <c r="K138" s="123" t="s">
        <v>529</v>
      </c>
      <c r="L138" s="123" t="s">
        <v>498</v>
      </c>
      <c r="M138" s="125">
        <v>46139.0</v>
      </c>
      <c r="N138" s="123" t="s">
        <v>821</v>
      </c>
      <c r="O138" s="122">
        <v>9173788.0</v>
      </c>
      <c r="P138" s="125">
        <v>46125.0</v>
      </c>
      <c r="Q138" s="123" t="s">
        <v>500</v>
      </c>
      <c r="R138" s="123">
        <v>35005.0</v>
      </c>
      <c r="S138" s="123" t="s">
        <v>697</v>
      </c>
      <c r="T138" s="123" t="s">
        <v>822</v>
      </c>
      <c r="U138" s="123" t="s">
        <v>699</v>
      </c>
      <c r="V138" s="123" t="s">
        <v>504</v>
      </c>
      <c r="W138" s="124"/>
      <c r="X138" s="123">
        <v>4.0</v>
      </c>
      <c r="Y138" s="123">
        <v>8125.0</v>
      </c>
      <c r="Z138" s="123">
        <v>32500.0</v>
      </c>
      <c r="AA138" s="123" t="s">
        <v>157</v>
      </c>
      <c r="AB138" s="123" t="s">
        <v>821</v>
      </c>
      <c r="AC138" s="125">
        <v>46125.0</v>
      </c>
      <c r="AD138" s="123" t="s">
        <v>593</v>
      </c>
      <c r="AE138" s="123">
        <v>998422.0</v>
      </c>
      <c r="AF138" s="123" t="s">
        <v>823</v>
      </c>
      <c r="AG138" s="124"/>
      <c r="AH138" s="124"/>
      <c r="AI138" s="123">
        <v>32500.0</v>
      </c>
      <c r="AJ138" s="123" t="s">
        <v>159</v>
      </c>
      <c r="AK138" s="123">
        <v>18.0</v>
      </c>
      <c r="AL138" s="123">
        <v>2925.0</v>
      </c>
      <c r="AM138" s="123">
        <v>2925.0</v>
      </c>
      <c r="AN138" s="123">
        <v>0.0</v>
      </c>
      <c r="AO138" s="123">
        <v>0.0</v>
      </c>
      <c r="AP138" s="123">
        <v>0.0</v>
      </c>
      <c r="AQ138" s="123">
        <v>0.0</v>
      </c>
      <c r="AR138" s="122">
        <v>0.0</v>
      </c>
      <c r="AS138" s="123">
        <v>0.0</v>
      </c>
      <c r="AT138" s="123">
        <v>0.0</v>
      </c>
      <c r="AU138" s="124"/>
      <c r="AV138" s="124"/>
      <c r="AW138" s="123">
        <v>0.0</v>
      </c>
      <c r="AX138" s="123">
        <v>38350.0</v>
      </c>
      <c r="AY138" s="123" t="s">
        <v>20</v>
      </c>
      <c r="AZ138" s="123" t="s">
        <v>31</v>
      </c>
      <c r="BA138" s="123" t="s">
        <v>701</v>
      </c>
      <c r="BB138" s="123">
        <v>1.126100439E9</v>
      </c>
      <c r="BC138" s="123" t="s">
        <v>187</v>
      </c>
      <c r="BD138" s="123" t="s">
        <v>162</v>
      </c>
      <c r="BE138" s="124"/>
      <c r="BF138" s="124" t="s">
        <v>483</v>
      </c>
      <c r="BG138" s="124" t="s">
        <v>482</v>
      </c>
      <c r="BH138" s="123" t="s">
        <v>510</v>
      </c>
      <c r="BI138" s="171" t="s">
        <v>511</v>
      </c>
      <c r="BJ138" s="171" t="s">
        <v>512</v>
      </c>
      <c r="BK138" s="171" t="s">
        <v>824</v>
      </c>
      <c r="BL138" s="171">
        <v>1.8</v>
      </c>
      <c r="BM138" s="171">
        <v>5341.12</v>
      </c>
      <c r="BN138" s="171">
        <v>-5339.0</v>
      </c>
      <c r="BO138" s="171" t="s">
        <v>514</v>
      </c>
      <c r="BP138" s="171">
        <v>9155619.0</v>
      </c>
      <c r="BQ138" s="171" t="s">
        <v>483</v>
      </c>
      <c r="BR138" s="171" t="s">
        <v>479</v>
      </c>
      <c r="BS138" s="171">
        <v>4.0</v>
      </c>
    </row>
    <row r="139" ht="14.25" customHeight="1">
      <c r="A139" s="122" t="s">
        <v>493</v>
      </c>
      <c r="B139" s="123" t="s">
        <v>494</v>
      </c>
      <c r="C139" s="123">
        <v>107.0</v>
      </c>
      <c r="D139" s="123" t="s">
        <v>146</v>
      </c>
      <c r="E139" s="123" t="s">
        <v>147</v>
      </c>
      <c r="F139" s="124"/>
      <c r="G139" s="124" t="s">
        <v>149</v>
      </c>
      <c r="H139" s="123" t="s">
        <v>2</v>
      </c>
      <c r="I139" s="123" t="s">
        <v>495</v>
      </c>
      <c r="J139" s="123" t="s">
        <v>496</v>
      </c>
      <c r="K139" s="123" t="s">
        <v>497</v>
      </c>
      <c r="L139" s="123" t="s">
        <v>498</v>
      </c>
      <c r="M139" s="125">
        <v>46127.0</v>
      </c>
      <c r="N139" s="123" t="s">
        <v>499</v>
      </c>
      <c r="O139" s="122">
        <v>9158398.0</v>
      </c>
      <c r="P139" s="125">
        <v>46090.0</v>
      </c>
      <c r="Q139" s="123" t="s">
        <v>500</v>
      </c>
      <c r="R139" s="123">
        <v>35671.0</v>
      </c>
      <c r="S139" s="123" t="s">
        <v>501</v>
      </c>
      <c r="T139" s="123" t="s">
        <v>502</v>
      </c>
      <c r="U139" s="123" t="s">
        <v>503</v>
      </c>
      <c r="V139" s="124" t="s">
        <v>504</v>
      </c>
      <c r="W139" s="124"/>
      <c r="X139" s="123">
        <v>275.0</v>
      </c>
      <c r="Y139" s="123">
        <v>28.0</v>
      </c>
      <c r="Z139" s="123">
        <v>7700.0</v>
      </c>
      <c r="AA139" s="123" t="s">
        <v>157</v>
      </c>
      <c r="AB139" s="123" t="s">
        <v>499</v>
      </c>
      <c r="AC139" s="125">
        <v>46121.0</v>
      </c>
      <c r="AD139" s="124" t="s">
        <v>505</v>
      </c>
      <c r="AE139" s="123">
        <v>998729.0</v>
      </c>
      <c r="AF139" s="123" t="s">
        <v>517</v>
      </c>
      <c r="AG139" s="124"/>
      <c r="AH139" s="124"/>
      <c r="AI139" s="123">
        <v>7700.0</v>
      </c>
      <c r="AJ139" s="123" t="s">
        <v>159</v>
      </c>
      <c r="AK139" s="123">
        <v>18.0</v>
      </c>
      <c r="AL139" s="123">
        <v>0.0</v>
      </c>
      <c r="AM139" s="123">
        <v>0.0</v>
      </c>
      <c r="AN139" s="123">
        <v>1386.0</v>
      </c>
      <c r="AO139" s="123">
        <v>0.0</v>
      </c>
      <c r="AP139" s="123">
        <v>0.0</v>
      </c>
      <c r="AQ139" s="123">
        <v>0.0</v>
      </c>
      <c r="AR139" s="122">
        <v>0.0</v>
      </c>
      <c r="AS139" s="123">
        <v>0.0</v>
      </c>
      <c r="AT139" s="123">
        <v>0.0</v>
      </c>
      <c r="AU139" s="124"/>
      <c r="AV139" s="124"/>
      <c r="AW139" s="123">
        <v>0.0</v>
      </c>
      <c r="AX139" s="123">
        <v>9086.0</v>
      </c>
      <c r="AY139" s="123" t="s">
        <v>31</v>
      </c>
      <c r="AZ139" s="123" t="s">
        <v>31</v>
      </c>
      <c r="BA139" s="123" t="s">
        <v>507</v>
      </c>
      <c r="BB139" s="123">
        <v>1.126100105E9</v>
      </c>
      <c r="BC139" s="123" t="s">
        <v>508</v>
      </c>
      <c r="BD139" s="123" t="s">
        <v>509</v>
      </c>
      <c r="BE139" s="124"/>
      <c r="BF139" s="124" t="s">
        <v>484</v>
      </c>
      <c r="BG139" s="124" t="s">
        <v>482</v>
      </c>
      <c r="BH139" s="123" t="s">
        <v>510</v>
      </c>
      <c r="BI139" s="171" t="s">
        <v>511</v>
      </c>
      <c r="BJ139" s="171" t="s">
        <v>512</v>
      </c>
      <c r="BK139" s="171" t="s">
        <v>825</v>
      </c>
      <c r="BL139" s="171">
        <v>22500.0</v>
      </c>
      <c r="BM139" s="171">
        <v>22500.0</v>
      </c>
      <c r="BN139" s="171">
        <v>0.0</v>
      </c>
      <c r="BO139" s="171" t="s">
        <v>514</v>
      </c>
      <c r="BP139" s="171">
        <v>9173874.0</v>
      </c>
      <c r="BQ139" s="171" t="s">
        <v>484</v>
      </c>
      <c r="BR139" s="171" t="s">
        <v>479</v>
      </c>
      <c r="BS139" s="171">
        <v>1.0</v>
      </c>
    </row>
    <row r="140" ht="14.25" customHeight="1">
      <c r="A140" s="122" t="s">
        <v>493</v>
      </c>
      <c r="B140" s="123" t="s">
        <v>494</v>
      </c>
      <c r="C140" s="123">
        <v>107.0</v>
      </c>
      <c r="D140" s="123" t="s">
        <v>146</v>
      </c>
      <c r="E140" s="123" t="s">
        <v>147</v>
      </c>
      <c r="F140" s="124"/>
      <c r="G140" s="124" t="s">
        <v>149</v>
      </c>
      <c r="H140" s="123" t="s">
        <v>2</v>
      </c>
      <c r="I140" s="123" t="s">
        <v>495</v>
      </c>
      <c r="J140" s="123" t="s">
        <v>496</v>
      </c>
      <c r="K140" s="123" t="s">
        <v>497</v>
      </c>
      <c r="L140" s="123" t="s">
        <v>498</v>
      </c>
      <c r="M140" s="125">
        <v>46127.0</v>
      </c>
      <c r="N140" s="180" t="s">
        <v>499</v>
      </c>
      <c r="O140" s="122">
        <v>9158398.0</v>
      </c>
      <c r="P140" s="125">
        <v>46090.0</v>
      </c>
      <c r="Q140" s="123" t="s">
        <v>500</v>
      </c>
      <c r="R140" s="123">
        <v>35671.0</v>
      </c>
      <c r="S140" s="123" t="s">
        <v>501</v>
      </c>
      <c r="T140" s="123" t="s">
        <v>502</v>
      </c>
      <c r="U140" s="123" t="s">
        <v>503</v>
      </c>
      <c r="V140" s="123" t="s">
        <v>504</v>
      </c>
      <c r="W140" s="124"/>
      <c r="X140" s="123">
        <v>275.0</v>
      </c>
      <c r="Y140" s="123">
        <v>16.0</v>
      </c>
      <c r="Z140" s="123">
        <v>4400.0</v>
      </c>
      <c r="AA140" s="123" t="s">
        <v>157</v>
      </c>
      <c r="AB140" s="123" t="s">
        <v>499</v>
      </c>
      <c r="AC140" s="125">
        <v>46121.0</v>
      </c>
      <c r="AD140" s="123" t="s">
        <v>505</v>
      </c>
      <c r="AE140" s="123">
        <v>996200.0</v>
      </c>
      <c r="AF140" s="123" t="s">
        <v>826</v>
      </c>
      <c r="AG140" s="124"/>
      <c r="AH140" s="124"/>
      <c r="AI140" s="123">
        <v>4400.0</v>
      </c>
      <c r="AJ140" s="123" t="s">
        <v>159</v>
      </c>
      <c r="AK140" s="123">
        <v>18.0</v>
      </c>
      <c r="AL140" s="123">
        <v>0.0</v>
      </c>
      <c r="AM140" s="123">
        <v>0.0</v>
      </c>
      <c r="AN140" s="123">
        <v>792.0</v>
      </c>
      <c r="AO140" s="123">
        <v>0.0</v>
      </c>
      <c r="AP140" s="123">
        <v>0.0</v>
      </c>
      <c r="AQ140" s="123">
        <v>0.0</v>
      </c>
      <c r="AR140" s="122">
        <v>0.0</v>
      </c>
      <c r="AS140" s="123">
        <v>0.0</v>
      </c>
      <c r="AT140" s="123">
        <v>0.0</v>
      </c>
      <c r="AU140" s="124"/>
      <c r="AV140" s="124"/>
      <c r="AW140" s="123">
        <v>0.0</v>
      </c>
      <c r="AX140" s="123">
        <v>5192.0</v>
      </c>
      <c r="AY140" s="123" t="s">
        <v>31</v>
      </c>
      <c r="AZ140" s="123" t="s">
        <v>31</v>
      </c>
      <c r="BA140" s="123" t="s">
        <v>507</v>
      </c>
      <c r="BB140" s="123">
        <v>1.126100105E9</v>
      </c>
      <c r="BC140" s="123" t="s">
        <v>508</v>
      </c>
      <c r="BD140" s="123" t="s">
        <v>509</v>
      </c>
      <c r="BE140" s="124"/>
      <c r="BF140" s="124" t="s">
        <v>484</v>
      </c>
      <c r="BG140" s="124" t="s">
        <v>482</v>
      </c>
      <c r="BH140" s="123" t="s">
        <v>510</v>
      </c>
      <c r="BI140" s="171" t="s">
        <v>511</v>
      </c>
      <c r="BJ140" s="171" t="s">
        <v>512</v>
      </c>
      <c r="BK140" s="171" t="s">
        <v>621</v>
      </c>
      <c r="BL140" s="171">
        <v>648.0</v>
      </c>
      <c r="BM140" s="171">
        <v>1584.0</v>
      </c>
      <c r="BN140" s="171">
        <v>-936.0</v>
      </c>
      <c r="BO140" s="171" t="s">
        <v>514</v>
      </c>
      <c r="BP140" s="171">
        <v>9178114.0</v>
      </c>
      <c r="BQ140" s="171" t="s">
        <v>483</v>
      </c>
      <c r="BR140" s="171" t="s">
        <v>479</v>
      </c>
      <c r="BS140" s="171">
        <v>3.0</v>
      </c>
    </row>
    <row r="141" ht="14.25" customHeight="1">
      <c r="A141" s="122" t="s">
        <v>493</v>
      </c>
      <c r="B141" s="123" t="s">
        <v>494</v>
      </c>
      <c r="C141" s="123">
        <v>107.0</v>
      </c>
      <c r="D141" s="123" t="s">
        <v>146</v>
      </c>
      <c r="E141" s="123" t="s">
        <v>147</v>
      </c>
      <c r="F141" s="124"/>
      <c r="G141" s="124" t="s">
        <v>149</v>
      </c>
      <c r="H141" s="123" t="s">
        <v>2</v>
      </c>
      <c r="I141" s="123" t="s">
        <v>495</v>
      </c>
      <c r="J141" s="123" t="s">
        <v>496</v>
      </c>
      <c r="K141" s="123" t="s">
        <v>497</v>
      </c>
      <c r="L141" s="123" t="s">
        <v>498</v>
      </c>
      <c r="M141" s="125">
        <v>46127.0</v>
      </c>
      <c r="N141" s="123" t="s">
        <v>499</v>
      </c>
      <c r="O141" s="122">
        <v>9158398.0</v>
      </c>
      <c r="P141" s="125">
        <v>46090.0</v>
      </c>
      <c r="Q141" s="123" t="s">
        <v>500</v>
      </c>
      <c r="R141" s="123">
        <v>35671.0</v>
      </c>
      <c r="S141" s="123" t="s">
        <v>501</v>
      </c>
      <c r="T141" s="123" t="s">
        <v>502</v>
      </c>
      <c r="U141" s="123" t="s">
        <v>503</v>
      </c>
      <c r="V141" s="123" t="s">
        <v>504</v>
      </c>
      <c r="W141" s="124"/>
      <c r="X141" s="123">
        <v>275.0</v>
      </c>
      <c r="Y141" s="123">
        <v>4.0</v>
      </c>
      <c r="Z141" s="123">
        <v>1100.0</v>
      </c>
      <c r="AA141" s="123" t="s">
        <v>157</v>
      </c>
      <c r="AB141" s="123" t="s">
        <v>499</v>
      </c>
      <c r="AC141" s="125">
        <v>46121.0</v>
      </c>
      <c r="AD141" s="123" t="s">
        <v>505</v>
      </c>
      <c r="AE141" s="123">
        <v>998729.0</v>
      </c>
      <c r="AF141" s="123" t="s">
        <v>827</v>
      </c>
      <c r="AG141" s="124"/>
      <c r="AH141" s="124"/>
      <c r="AI141" s="123">
        <v>1100.0</v>
      </c>
      <c r="AJ141" s="123" t="s">
        <v>159</v>
      </c>
      <c r="AK141" s="123">
        <v>18.0</v>
      </c>
      <c r="AL141" s="123">
        <v>0.0</v>
      </c>
      <c r="AM141" s="123">
        <v>0.0</v>
      </c>
      <c r="AN141" s="123">
        <v>198.0</v>
      </c>
      <c r="AO141" s="123">
        <v>0.0</v>
      </c>
      <c r="AP141" s="123">
        <v>0.0</v>
      </c>
      <c r="AQ141" s="123">
        <v>0.0</v>
      </c>
      <c r="AR141" s="122">
        <v>0.0</v>
      </c>
      <c r="AS141" s="123">
        <v>0.0</v>
      </c>
      <c r="AT141" s="123">
        <v>0.0</v>
      </c>
      <c r="AU141" s="124"/>
      <c r="AV141" s="124"/>
      <c r="AW141" s="123">
        <v>0.0</v>
      </c>
      <c r="AX141" s="123">
        <v>1298.0</v>
      </c>
      <c r="AY141" s="123" t="s">
        <v>31</v>
      </c>
      <c r="AZ141" s="123" t="s">
        <v>31</v>
      </c>
      <c r="BA141" s="123" t="s">
        <v>507</v>
      </c>
      <c r="BB141" s="123">
        <v>1.126100105E9</v>
      </c>
      <c r="BC141" s="123" t="s">
        <v>508</v>
      </c>
      <c r="BD141" s="123" t="s">
        <v>509</v>
      </c>
      <c r="BE141" s="124"/>
      <c r="BF141" s="124" t="s">
        <v>484</v>
      </c>
      <c r="BG141" s="124" t="s">
        <v>482</v>
      </c>
      <c r="BH141" s="123" t="s">
        <v>510</v>
      </c>
      <c r="BI141" s="171" t="s">
        <v>511</v>
      </c>
      <c r="BJ141" s="171" t="s">
        <v>512</v>
      </c>
      <c r="BK141" s="171" t="s">
        <v>679</v>
      </c>
      <c r="BL141" s="171">
        <v>744.88</v>
      </c>
      <c r="BM141" s="171">
        <v>840.1</v>
      </c>
      <c r="BN141" s="171">
        <v>-95.0</v>
      </c>
      <c r="BO141" s="171" t="s">
        <v>514</v>
      </c>
      <c r="BP141" s="171">
        <v>9155618.0</v>
      </c>
      <c r="BQ141" s="171" t="s">
        <v>483</v>
      </c>
      <c r="BR141" s="171" t="s">
        <v>479</v>
      </c>
      <c r="BS141" s="171">
        <v>3.0</v>
      </c>
    </row>
    <row r="142" ht="14.25" customHeight="1">
      <c r="A142" s="122" t="s">
        <v>493</v>
      </c>
      <c r="B142" s="123" t="s">
        <v>494</v>
      </c>
      <c r="C142" s="123">
        <v>107.0</v>
      </c>
      <c r="D142" s="123" t="s">
        <v>146</v>
      </c>
      <c r="E142" s="123" t="s">
        <v>147</v>
      </c>
      <c r="F142" s="124"/>
      <c r="G142" s="124" t="s">
        <v>149</v>
      </c>
      <c r="H142" s="123" t="s">
        <v>2</v>
      </c>
      <c r="I142" s="123" t="s">
        <v>495</v>
      </c>
      <c r="J142" s="123" t="s">
        <v>496</v>
      </c>
      <c r="K142" s="123" t="s">
        <v>497</v>
      </c>
      <c r="L142" s="123" t="s">
        <v>498</v>
      </c>
      <c r="M142" s="125">
        <v>46140.0</v>
      </c>
      <c r="N142" s="123" t="s">
        <v>516</v>
      </c>
      <c r="O142" s="122">
        <v>9174963.0</v>
      </c>
      <c r="P142" s="125">
        <v>46129.0</v>
      </c>
      <c r="Q142" s="123" t="s">
        <v>500</v>
      </c>
      <c r="R142" s="123">
        <v>35671.0</v>
      </c>
      <c r="S142" s="123" t="s">
        <v>501</v>
      </c>
      <c r="T142" s="123" t="s">
        <v>502</v>
      </c>
      <c r="U142" s="123" t="s">
        <v>503</v>
      </c>
      <c r="V142" s="123" t="s">
        <v>504</v>
      </c>
      <c r="W142" s="124"/>
      <c r="X142" s="123">
        <v>275.0</v>
      </c>
      <c r="Y142" s="123">
        <v>0.001</v>
      </c>
      <c r="Z142" s="123">
        <v>0.28</v>
      </c>
      <c r="AA142" s="123" t="s">
        <v>157</v>
      </c>
      <c r="AB142" s="123" t="s">
        <v>516</v>
      </c>
      <c r="AC142" s="125">
        <v>46129.0</v>
      </c>
      <c r="AD142" s="123" t="s">
        <v>505</v>
      </c>
      <c r="AE142" s="123">
        <v>998729.0</v>
      </c>
      <c r="AF142" s="123" t="s">
        <v>828</v>
      </c>
      <c r="AG142" s="124"/>
      <c r="AH142" s="124"/>
      <c r="AI142" s="123">
        <v>0.28</v>
      </c>
      <c r="AJ142" s="123" t="s">
        <v>159</v>
      </c>
      <c r="AK142" s="123">
        <v>18.0</v>
      </c>
      <c r="AL142" s="123">
        <v>0.0</v>
      </c>
      <c r="AM142" s="123">
        <v>0.0</v>
      </c>
      <c r="AN142" s="123">
        <v>0.05</v>
      </c>
      <c r="AO142" s="123">
        <v>0.0</v>
      </c>
      <c r="AP142" s="123">
        <v>0.0</v>
      </c>
      <c r="AQ142" s="123">
        <v>0.0</v>
      </c>
      <c r="AR142" s="122">
        <v>0.0</v>
      </c>
      <c r="AS142" s="123">
        <v>0.0</v>
      </c>
      <c r="AT142" s="123">
        <v>0.0</v>
      </c>
      <c r="AU142" s="124"/>
      <c r="AV142" s="124"/>
      <c r="AW142" s="123">
        <v>0.0</v>
      </c>
      <c r="AX142" s="123">
        <v>0.33</v>
      </c>
      <c r="AY142" s="123" t="s">
        <v>31</v>
      </c>
      <c r="AZ142" s="123" t="s">
        <v>31</v>
      </c>
      <c r="BA142" s="123" t="s">
        <v>518</v>
      </c>
      <c r="BB142" s="123">
        <v>1.126100446E9</v>
      </c>
      <c r="BC142" s="123" t="s">
        <v>508</v>
      </c>
      <c r="BD142" s="123" t="s">
        <v>509</v>
      </c>
      <c r="BE142" s="124"/>
      <c r="BF142" s="124" t="s">
        <v>484</v>
      </c>
      <c r="BG142" s="124" t="s">
        <v>482</v>
      </c>
      <c r="BH142" s="123" t="s">
        <v>510</v>
      </c>
      <c r="BI142" s="171" t="s">
        <v>511</v>
      </c>
      <c r="BJ142" s="171" t="s">
        <v>512</v>
      </c>
      <c r="BK142" s="171" t="s">
        <v>829</v>
      </c>
      <c r="BL142" s="171">
        <v>360.0</v>
      </c>
      <c r="BM142" s="171">
        <v>2952.0</v>
      </c>
      <c r="BN142" s="171">
        <v>-2592.0</v>
      </c>
      <c r="BO142" s="171" t="s">
        <v>514</v>
      </c>
      <c r="BP142" s="171">
        <v>9168299.0</v>
      </c>
      <c r="BQ142" s="171" t="s">
        <v>483</v>
      </c>
      <c r="BR142" s="171" t="s">
        <v>479</v>
      </c>
      <c r="BS142" s="171">
        <v>4.0</v>
      </c>
    </row>
    <row r="143" ht="14.25" customHeight="1">
      <c r="A143" s="122" t="s">
        <v>493</v>
      </c>
      <c r="B143" s="123" t="s">
        <v>494</v>
      </c>
      <c r="C143" s="123">
        <v>107.0</v>
      </c>
      <c r="D143" s="123" t="s">
        <v>146</v>
      </c>
      <c r="E143" s="123" t="s">
        <v>147</v>
      </c>
      <c r="F143" s="124"/>
      <c r="G143" s="124"/>
      <c r="H143" s="123" t="s">
        <v>2</v>
      </c>
      <c r="I143" s="123" t="s">
        <v>495</v>
      </c>
      <c r="J143" s="123" t="s">
        <v>528</v>
      </c>
      <c r="K143" s="123" t="s">
        <v>529</v>
      </c>
      <c r="L143" s="123" t="s">
        <v>498</v>
      </c>
      <c r="M143" s="125">
        <v>46134.0</v>
      </c>
      <c r="N143" s="123" t="s">
        <v>630</v>
      </c>
      <c r="O143" s="122">
        <v>9164740.0</v>
      </c>
      <c r="P143" s="125">
        <v>46121.0</v>
      </c>
      <c r="Q143" s="123" t="s">
        <v>500</v>
      </c>
      <c r="R143" s="123">
        <v>3615.0</v>
      </c>
      <c r="S143" s="123" t="s">
        <v>631</v>
      </c>
      <c r="T143" s="123" t="s">
        <v>539</v>
      </c>
      <c r="U143" s="123" t="s">
        <v>632</v>
      </c>
      <c r="V143" s="124" t="s">
        <v>504</v>
      </c>
      <c r="W143" s="124"/>
      <c r="X143" s="123">
        <v>2000.0</v>
      </c>
      <c r="Y143" s="123">
        <v>3.0</v>
      </c>
      <c r="Z143" s="123">
        <v>6000.0</v>
      </c>
      <c r="AA143" s="123" t="s">
        <v>157</v>
      </c>
      <c r="AB143" s="123" t="s">
        <v>630</v>
      </c>
      <c r="AC143" s="125">
        <v>46121.0</v>
      </c>
      <c r="AD143" s="124" t="s">
        <v>525</v>
      </c>
      <c r="AE143" s="123">
        <v>998900.0</v>
      </c>
      <c r="AF143" s="123" t="s">
        <v>830</v>
      </c>
      <c r="AG143" s="124"/>
      <c r="AH143" s="124"/>
      <c r="AI143" s="123">
        <v>6000.0</v>
      </c>
      <c r="AJ143" s="123" t="s">
        <v>159</v>
      </c>
      <c r="AK143" s="123">
        <v>18.0</v>
      </c>
      <c r="AL143" s="123">
        <v>540.0</v>
      </c>
      <c r="AM143" s="123">
        <v>540.0</v>
      </c>
      <c r="AN143" s="123">
        <v>0.0</v>
      </c>
      <c r="AO143" s="123">
        <v>0.0</v>
      </c>
      <c r="AP143" s="123">
        <v>0.0</v>
      </c>
      <c r="AQ143" s="123">
        <v>0.0</v>
      </c>
      <c r="AR143" s="122">
        <v>0.0</v>
      </c>
      <c r="AS143" s="123">
        <v>0.0</v>
      </c>
      <c r="AT143" s="123">
        <v>0.0</v>
      </c>
      <c r="AU143" s="124"/>
      <c r="AV143" s="124"/>
      <c r="AW143" s="123">
        <v>0.0</v>
      </c>
      <c r="AX143" s="123">
        <v>7080.0</v>
      </c>
      <c r="AY143" s="123" t="s">
        <v>31</v>
      </c>
      <c r="AZ143" s="123" t="s">
        <v>31</v>
      </c>
      <c r="BA143" s="123" t="s">
        <v>634</v>
      </c>
      <c r="BB143" s="123">
        <v>1.126100334E9</v>
      </c>
      <c r="BC143" s="123" t="s">
        <v>556</v>
      </c>
      <c r="BD143" s="123" t="s">
        <v>162</v>
      </c>
      <c r="BE143" s="124"/>
      <c r="BF143" s="124" t="s">
        <v>484</v>
      </c>
      <c r="BG143" s="124" t="s">
        <v>482</v>
      </c>
      <c r="BH143" s="123" t="s">
        <v>510</v>
      </c>
      <c r="BI143" s="171" t="s">
        <v>511</v>
      </c>
      <c r="BJ143" s="171" t="s">
        <v>512</v>
      </c>
      <c r="BK143" s="171" t="s">
        <v>831</v>
      </c>
      <c r="BL143" s="171">
        <v>21794.44</v>
      </c>
      <c r="BM143" s="171">
        <v>21795.0</v>
      </c>
      <c r="BN143" s="171">
        <v>-1.0</v>
      </c>
      <c r="BO143" s="171" t="s">
        <v>514</v>
      </c>
      <c r="BP143" s="171">
        <v>9177649.0</v>
      </c>
      <c r="BQ143" s="171" t="s">
        <v>484</v>
      </c>
      <c r="BR143" s="171" t="s">
        <v>476</v>
      </c>
      <c r="BS143" s="171">
        <v>1.0</v>
      </c>
    </row>
    <row r="144" ht="14.25" customHeight="1">
      <c r="A144" s="122" t="s">
        <v>493</v>
      </c>
      <c r="B144" s="123" t="s">
        <v>494</v>
      </c>
      <c r="C144" s="123">
        <v>107.0</v>
      </c>
      <c r="D144" s="123" t="s">
        <v>146</v>
      </c>
      <c r="E144" s="123" t="s">
        <v>147</v>
      </c>
      <c r="F144" s="124"/>
      <c r="G144" s="124"/>
      <c r="H144" s="123" t="s">
        <v>2</v>
      </c>
      <c r="I144" s="123" t="s">
        <v>495</v>
      </c>
      <c r="J144" s="123" t="s">
        <v>528</v>
      </c>
      <c r="K144" s="123" t="s">
        <v>529</v>
      </c>
      <c r="L144" s="123" t="s">
        <v>498</v>
      </c>
      <c r="M144" s="125">
        <v>46141.0</v>
      </c>
      <c r="N144" s="123">
        <v>4.0</v>
      </c>
      <c r="O144" s="122">
        <v>9177498.0</v>
      </c>
      <c r="P144" s="125">
        <v>46129.0</v>
      </c>
      <c r="Q144" s="123" t="s">
        <v>500</v>
      </c>
      <c r="R144" s="123">
        <v>5093.0</v>
      </c>
      <c r="S144" s="123" t="s">
        <v>617</v>
      </c>
      <c r="T144" s="123" t="s">
        <v>618</v>
      </c>
      <c r="U144" s="124" t="s">
        <v>619</v>
      </c>
      <c r="V144" s="123" t="s">
        <v>504</v>
      </c>
      <c r="W144" s="124"/>
      <c r="X144" s="123">
        <v>1.0</v>
      </c>
      <c r="Y144" s="123">
        <v>16530.0</v>
      </c>
      <c r="Z144" s="123">
        <v>16530.0</v>
      </c>
      <c r="AA144" s="123" t="s">
        <v>157</v>
      </c>
      <c r="AB144" s="123">
        <v>4.0</v>
      </c>
      <c r="AC144" s="125">
        <v>46129.0</v>
      </c>
      <c r="AD144" s="124" t="s">
        <v>593</v>
      </c>
      <c r="AE144" s="123">
        <v>8471.0</v>
      </c>
      <c r="AF144" s="123" t="s">
        <v>832</v>
      </c>
      <c r="AG144" s="124"/>
      <c r="AH144" s="124"/>
      <c r="AI144" s="123">
        <v>16530.0</v>
      </c>
      <c r="AJ144" s="123" t="s">
        <v>159</v>
      </c>
      <c r="AK144" s="123">
        <v>18.0</v>
      </c>
      <c r="AL144" s="123">
        <v>1487.7</v>
      </c>
      <c r="AM144" s="123">
        <v>1487.7</v>
      </c>
      <c r="AN144" s="123">
        <v>0.0</v>
      </c>
      <c r="AO144" s="123">
        <v>0.0</v>
      </c>
      <c r="AP144" s="123">
        <v>0.0</v>
      </c>
      <c r="AQ144" s="123">
        <v>0.0</v>
      </c>
      <c r="AR144" s="122">
        <v>0.0</v>
      </c>
      <c r="AS144" s="123">
        <v>0.0</v>
      </c>
      <c r="AT144" s="123">
        <v>0.0</v>
      </c>
      <c r="AU144" s="124"/>
      <c r="AV144" s="124"/>
      <c r="AW144" s="123">
        <v>0.0</v>
      </c>
      <c r="AX144" s="123">
        <v>19505.4</v>
      </c>
      <c r="AY144" s="123" t="s">
        <v>20</v>
      </c>
      <c r="AZ144" s="123" t="s">
        <v>31</v>
      </c>
      <c r="BA144" s="123" t="s">
        <v>595</v>
      </c>
      <c r="BB144" s="123">
        <v>1.126100464E9</v>
      </c>
      <c r="BC144" s="123" t="s">
        <v>187</v>
      </c>
      <c r="BD144" s="123" t="s">
        <v>586</v>
      </c>
      <c r="BE144" s="124"/>
      <c r="BF144" s="124" t="s">
        <v>483</v>
      </c>
      <c r="BG144" s="124" t="s">
        <v>482</v>
      </c>
      <c r="BH144" s="123" t="s">
        <v>587</v>
      </c>
      <c r="BI144" s="171" t="s">
        <v>511</v>
      </c>
      <c r="BJ144" s="171" t="s">
        <v>512</v>
      </c>
      <c r="BK144" s="171" t="s">
        <v>802</v>
      </c>
      <c r="BL144" s="171">
        <v>124.2</v>
      </c>
      <c r="BM144" s="171" t="e">
        <v>#N/A</v>
      </c>
      <c r="BN144" s="171" t="e">
        <v>#N/A</v>
      </c>
      <c r="BO144" s="171" t="s">
        <v>544</v>
      </c>
      <c r="BP144" s="171">
        <v>9177451.0</v>
      </c>
      <c r="BQ144" s="171" t="s">
        <v>481</v>
      </c>
      <c r="BR144" s="171" t="s">
        <v>544</v>
      </c>
      <c r="BS144" s="171">
        <v>2.0</v>
      </c>
    </row>
    <row r="145" ht="14.25" customHeight="1">
      <c r="A145" s="122" t="s">
        <v>493</v>
      </c>
      <c r="B145" s="123" t="s">
        <v>494</v>
      </c>
      <c r="C145" s="123">
        <v>107.0</v>
      </c>
      <c r="D145" s="123" t="s">
        <v>146</v>
      </c>
      <c r="E145" s="123" t="s">
        <v>147</v>
      </c>
      <c r="F145" s="124"/>
      <c r="G145" s="124"/>
      <c r="H145" s="123" t="s">
        <v>2</v>
      </c>
      <c r="I145" s="123" t="s">
        <v>495</v>
      </c>
      <c r="J145" s="123" t="s">
        <v>528</v>
      </c>
      <c r="K145" s="123" t="s">
        <v>529</v>
      </c>
      <c r="L145" s="123" t="s">
        <v>498</v>
      </c>
      <c r="M145" s="125">
        <v>46126.0</v>
      </c>
      <c r="N145" s="123" t="s">
        <v>678</v>
      </c>
      <c r="O145" s="122">
        <v>9155618.0</v>
      </c>
      <c r="P145" s="125">
        <v>46114.0</v>
      </c>
      <c r="Q145" s="123" t="s">
        <v>500</v>
      </c>
      <c r="R145" s="123">
        <v>2770.0</v>
      </c>
      <c r="S145" s="123" t="s">
        <v>531</v>
      </c>
      <c r="T145" s="123" t="s">
        <v>532</v>
      </c>
      <c r="U145" s="123" t="s">
        <v>533</v>
      </c>
      <c r="V145" s="123" t="s">
        <v>504</v>
      </c>
      <c r="W145" s="124"/>
      <c r="X145" s="123">
        <v>1.0</v>
      </c>
      <c r="Y145" s="123">
        <v>489.06</v>
      </c>
      <c r="Z145" s="123">
        <v>489.06</v>
      </c>
      <c r="AA145" s="123" t="s">
        <v>157</v>
      </c>
      <c r="AB145" s="123" t="s">
        <v>678</v>
      </c>
      <c r="AC145" s="125">
        <v>46114.0</v>
      </c>
      <c r="AD145" s="124" t="s">
        <v>525</v>
      </c>
      <c r="AE145" s="123">
        <v>8.4439952E7</v>
      </c>
      <c r="AF145" s="123" t="s">
        <v>568</v>
      </c>
      <c r="AG145" s="124"/>
      <c r="AH145" s="124"/>
      <c r="AI145" s="123">
        <v>489.06</v>
      </c>
      <c r="AJ145" s="123" t="s">
        <v>159</v>
      </c>
      <c r="AK145" s="123">
        <v>18.0</v>
      </c>
      <c r="AL145" s="123">
        <v>44.02</v>
      </c>
      <c r="AM145" s="123">
        <v>44.02</v>
      </c>
      <c r="AN145" s="123">
        <v>0.0</v>
      </c>
      <c r="AO145" s="123">
        <v>0.0</v>
      </c>
      <c r="AP145" s="123">
        <v>0.0</v>
      </c>
      <c r="AQ145" s="123">
        <v>0.0</v>
      </c>
      <c r="AR145" s="122">
        <v>0.0</v>
      </c>
      <c r="AS145" s="123">
        <v>0.0</v>
      </c>
      <c r="AT145" s="123">
        <v>0.0</v>
      </c>
      <c r="AU145" s="124"/>
      <c r="AV145" s="124"/>
      <c r="AW145" s="123">
        <v>0.0</v>
      </c>
      <c r="AX145" s="123">
        <v>577.1</v>
      </c>
      <c r="AY145" s="123" t="s">
        <v>20</v>
      </c>
      <c r="AZ145" s="123" t="s">
        <v>31</v>
      </c>
      <c r="BA145" s="123" t="s">
        <v>535</v>
      </c>
      <c r="BB145" s="123">
        <v>1.126100068E9</v>
      </c>
      <c r="BC145" s="123" t="s">
        <v>187</v>
      </c>
      <c r="BD145" s="123" t="s">
        <v>162</v>
      </c>
      <c r="BE145" s="124"/>
      <c r="BF145" s="124" t="s">
        <v>483</v>
      </c>
      <c r="BG145" s="124" t="s">
        <v>482</v>
      </c>
      <c r="BH145" s="123" t="s">
        <v>510</v>
      </c>
      <c r="BI145" s="171" t="s">
        <v>511</v>
      </c>
      <c r="BJ145" s="171" t="s">
        <v>512</v>
      </c>
      <c r="BK145" s="171" t="s">
        <v>833</v>
      </c>
      <c r="BL145" s="171">
        <v>450.0</v>
      </c>
      <c r="BM145" s="171">
        <v>450.0</v>
      </c>
      <c r="BN145" s="171">
        <v>0.0</v>
      </c>
      <c r="BO145" s="171" t="s">
        <v>514</v>
      </c>
      <c r="BP145" s="171">
        <v>9153960.0</v>
      </c>
      <c r="BQ145" s="171" t="s">
        <v>484</v>
      </c>
      <c r="BR145" s="171" t="s">
        <v>476</v>
      </c>
      <c r="BS145" s="171">
        <v>1.0</v>
      </c>
    </row>
    <row r="146" ht="14.25" customHeight="1">
      <c r="A146" s="122" t="s">
        <v>493</v>
      </c>
      <c r="B146" s="123" t="s">
        <v>494</v>
      </c>
      <c r="C146" s="123">
        <v>107.0</v>
      </c>
      <c r="D146" s="123" t="s">
        <v>146</v>
      </c>
      <c r="E146" s="123" t="s">
        <v>147</v>
      </c>
      <c r="F146" s="124"/>
      <c r="G146" s="124"/>
      <c r="H146" s="123" t="s">
        <v>2</v>
      </c>
      <c r="I146" s="123" t="s">
        <v>495</v>
      </c>
      <c r="J146" s="123" t="s">
        <v>528</v>
      </c>
      <c r="K146" s="123" t="s">
        <v>529</v>
      </c>
      <c r="L146" s="123" t="s">
        <v>498</v>
      </c>
      <c r="M146" s="125">
        <v>46136.0</v>
      </c>
      <c r="N146" s="123" t="s">
        <v>808</v>
      </c>
      <c r="O146" s="122">
        <v>9168299.0</v>
      </c>
      <c r="P146" s="125">
        <v>46127.0</v>
      </c>
      <c r="Q146" s="123" t="s">
        <v>500</v>
      </c>
      <c r="R146" s="123">
        <v>14097.0</v>
      </c>
      <c r="S146" s="123" t="s">
        <v>809</v>
      </c>
      <c r="T146" s="123" t="s">
        <v>618</v>
      </c>
      <c r="U146" s="124" t="s">
        <v>810</v>
      </c>
      <c r="V146" s="124" t="s">
        <v>504</v>
      </c>
      <c r="W146" s="124"/>
      <c r="X146" s="123">
        <v>4000.0</v>
      </c>
      <c r="Y146" s="123">
        <v>1.0</v>
      </c>
      <c r="Z146" s="123">
        <v>4000.0</v>
      </c>
      <c r="AA146" s="123" t="s">
        <v>157</v>
      </c>
      <c r="AB146" s="123" t="s">
        <v>808</v>
      </c>
      <c r="AC146" s="125">
        <v>46127.0</v>
      </c>
      <c r="AD146" s="124" t="s">
        <v>505</v>
      </c>
      <c r="AE146" s="123">
        <v>998712.0</v>
      </c>
      <c r="AF146" s="123" t="s">
        <v>834</v>
      </c>
      <c r="AG146" s="124"/>
      <c r="AH146" s="124"/>
      <c r="AI146" s="123">
        <v>4000.0</v>
      </c>
      <c r="AJ146" s="123" t="s">
        <v>159</v>
      </c>
      <c r="AK146" s="123">
        <v>18.0</v>
      </c>
      <c r="AL146" s="123">
        <v>360.0</v>
      </c>
      <c r="AM146" s="123">
        <v>360.0</v>
      </c>
      <c r="AN146" s="123">
        <v>0.0</v>
      </c>
      <c r="AO146" s="123">
        <v>0.0</v>
      </c>
      <c r="AP146" s="123">
        <v>0.0</v>
      </c>
      <c r="AQ146" s="123">
        <v>0.0</v>
      </c>
      <c r="AR146" s="122">
        <v>0.0</v>
      </c>
      <c r="AS146" s="123">
        <v>0.0</v>
      </c>
      <c r="AT146" s="123">
        <v>0.0</v>
      </c>
      <c r="AU146" s="124"/>
      <c r="AV146" s="124"/>
      <c r="AW146" s="123">
        <v>0.0</v>
      </c>
      <c r="AX146" s="123">
        <v>4720.0</v>
      </c>
      <c r="AY146" s="123" t="s">
        <v>20</v>
      </c>
      <c r="AZ146" s="123" t="s">
        <v>31</v>
      </c>
      <c r="BA146" s="123" t="s">
        <v>542</v>
      </c>
      <c r="BB146" s="123">
        <v>1.126100392E9</v>
      </c>
      <c r="BC146" s="123" t="s">
        <v>187</v>
      </c>
      <c r="BD146" s="123" t="s">
        <v>162</v>
      </c>
      <c r="BE146" s="124"/>
      <c r="BF146" s="124" t="s">
        <v>483</v>
      </c>
      <c r="BG146" s="124" t="s">
        <v>482</v>
      </c>
      <c r="BH146" s="123" t="s">
        <v>587</v>
      </c>
      <c r="BI146" s="171" t="s">
        <v>511</v>
      </c>
      <c r="BJ146" s="171" t="s">
        <v>512</v>
      </c>
      <c r="BK146" s="171" t="s">
        <v>743</v>
      </c>
      <c r="BL146" s="171">
        <v>4500.0</v>
      </c>
      <c r="BM146" s="171" t="e">
        <v>#N/A</v>
      </c>
      <c r="BN146" s="171" t="e">
        <v>#N/A</v>
      </c>
      <c r="BO146" s="171" t="s">
        <v>544</v>
      </c>
      <c r="BP146" s="171">
        <v>9164021.0</v>
      </c>
      <c r="BQ146" s="171" t="s">
        <v>481</v>
      </c>
      <c r="BR146" s="171" t="s">
        <v>544</v>
      </c>
      <c r="BS146" s="171">
        <v>5.0</v>
      </c>
    </row>
    <row r="147" ht="14.25" customHeight="1">
      <c r="A147" s="122" t="s">
        <v>493</v>
      </c>
      <c r="B147" s="123" t="s">
        <v>494</v>
      </c>
      <c r="C147" s="123">
        <v>107.0</v>
      </c>
      <c r="D147" s="123" t="s">
        <v>146</v>
      </c>
      <c r="E147" s="123" t="s">
        <v>147</v>
      </c>
      <c r="F147" s="124"/>
      <c r="G147" s="124"/>
      <c r="H147" s="123" t="s">
        <v>2</v>
      </c>
      <c r="I147" s="123" t="s">
        <v>495</v>
      </c>
      <c r="J147" s="123" t="s">
        <v>528</v>
      </c>
      <c r="K147" s="123" t="s">
        <v>529</v>
      </c>
      <c r="L147" s="123" t="s">
        <v>498</v>
      </c>
      <c r="M147" s="125">
        <v>46125.0</v>
      </c>
      <c r="N147" s="123" t="s">
        <v>835</v>
      </c>
      <c r="O147" s="122">
        <v>9151139.0</v>
      </c>
      <c r="P147" s="125">
        <v>46116.0</v>
      </c>
      <c r="Q147" s="123" t="s">
        <v>500</v>
      </c>
      <c r="R147" s="123">
        <v>38972.0</v>
      </c>
      <c r="S147" s="123" t="s">
        <v>836</v>
      </c>
      <c r="T147" s="123" t="s">
        <v>837</v>
      </c>
      <c r="U147" s="123" t="s">
        <v>838</v>
      </c>
      <c r="V147" s="123" t="s">
        <v>504</v>
      </c>
      <c r="W147" s="124"/>
      <c r="X147" s="123">
        <v>1350.0</v>
      </c>
      <c r="Y147" s="123">
        <v>1.0</v>
      </c>
      <c r="Z147" s="123">
        <v>1350.0</v>
      </c>
      <c r="AA147" s="123" t="s">
        <v>157</v>
      </c>
      <c r="AB147" s="123" t="s">
        <v>839</v>
      </c>
      <c r="AC147" s="125">
        <v>46116.0</v>
      </c>
      <c r="AD147" s="123" t="s">
        <v>525</v>
      </c>
      <c r="AE147" s="123">
        <v>991419.0</v>
      </c>
      <c r="AF147" s="123" t="s">
        <v>840</v>
      </c>
      <c r="AG147" s="124"/>
      <c r="AH147" s="124"/>
      <c r="AI147" s="123">
        <v>1350.0</v>
      </c>
      <c r="AJ147" s="123" t="s">
        <v>159</v>
      </c>
      <c r="AK147" s="123">
        <v>18.0</v>
      </c>
      <c r="AL147" s="123">
        <v>121.5</v>
      </c>
      <c r="AM147" s="123">
        <v>121.5</v>
      </c>
      <c r="AN147" s="123">
        <v>0.0</v>
      </c>
      <c r="AO147" s="123">
        <v>0.0</v>
      </c>
      <c r="AP147" s="123">
        <v>0.0</v>
      </c>
      <c r="AQ147" s="123">
        <v>0.0</v>
      </c>
      <c r="AR147" s="122">
        <v>0.0</v>
      </c>
      <c r="AS147" s="123">
        <v>0.0</v>
      </c>
      <c r="AT147" s="123">
        <v>0.0</v>
      </c>
      <c r="AU147" s="124"/>
      <c r="AV147" s="124"/>
      <c r="AW147" s="123">
        <v>0.0</v>
      </c>
      <c r="AX147" s="123">
        <v>1593.0</v>
      </c>
      <c r="AY147" s="123" t="s">
        <v>31</v>
      </c>
      <c r="AZ147" s="123" t="s">
        <v>31</v>
      </c>
      <c r="BA147" s="123" t="s">
        <v>841</v>
      </c>
      <c r="BB147" s="123">
        <v>1.12610003E9</v>
      </c>
      <c r="BC147" s="123" t="s">
        <v>556</v>
      </c>
      <c r="BD147" s="123" t="s">
        <v>162</v>
      </c>
      <c r="BE147" s="124"/>
      <c r="BF147" s="124" t="s">
        <v>484</v>
      </c>
      <c r="BG147" s="124" t="s">
        <v>482</v>
      </c>
      <c r="BH147" s="123" t="s">
        <v>510</v>
      </c>
      <c r="BI147" s="171" t="s">
        <v>511</v>
      </c>
      <c r="BJ147" s="171" t="s">
        <v>512</v>
      </c>
      <c r="BK147" s="171" t="s">
        <v>577</v>
      </c>
      <c r="BL147" s="171">
        <v>5.4</v>
      </c>
      <c r="BM147" s="171">
        <v>1123.84</v>
      </c>
      <c r="BN147" s="171">
        <v>-1118.0</v>
      </c>
      <c r="BO147" s="171" t="s">
        <v>514</v>
      </c>
      <c r="BP147" s="171">
        <v>9155615.0</v>
      </c>
      <c r="BQ147" s="171" t="s">
        <v>483</v>
      </c>
      <c r="BR147" s="171" t="s">
        <v>479</v>
      </c>
      <c r="BS147" s="171">
        <v>4.0</v>
      </c>
    </row>
    <row r="148" ht="14.25" customHeight="1">
      <c r="A148" s="122" t="s">
        <v>493</v>
      </c>
      <c r="B148" s="123" t="s">
        <v>494</v>
      </c>
      <c r="C148" s="123">
        <v>107.0</v>
      </c>
      <c r="D148" s="123" t="s">
        <v>146</v>
      </c>
      <c r="E148" s="123" t="s">
        <v>147</v>
      </c>
      <c r="F148" s="124"/>
      <c r="G148" s="124" t="s">
        <v>149</v>
      </c>
      <c r="H148" s="123" t="s">
        <v>2</v>
      </c>
      <c r="I148" s="123" t="s">
        <v>495</v>
      </c>
      <c r="J148" s="123" t="s">
        <v>496</v>
      </c>
      <c r="K148" s="123" t="s">
        <v>497</v>
      </c>
      <c r="L148" s="123" t="s">
        <v>498</v>
      </c>
      <c r="M148" s="125">
        <v>46127.0</v>
      </c>
      <c r="N148" s="123" t="s">
        <v>651</v>
      </c>
      <c r="O148" s="122">
        <v>9156752.0</v>
      </c>
      <c r="P148" s="125">
        <v>46115.0</v>
      </c>
      <c r="Q148" s="123" t="s">
        <v>500</v>
      </c>
      <c r="R148" s="123">
        <v>6262.0</v>
      </c>
      <c r="S148" s="123" t="s">
        <v>521</v>
      </c>
      <c r="T148" s="123" t="s">
        <v>522</v>
      </c>
      <c r="U148" s="123" t="s">
        <v>523</v>
      </c>
      <c r="V148" s="123" t="s">
        <v>504</v>
      </c>
      <c r="W148" s="124"/>
      <c r="X148" s="123">
        <v>1.0</v>
      </c>
      <c r="Y148" s="123">
        <v>1745.0</v>
      </c>
      <c r="Z148" s="123">
        <v>1745.0</v>
      </c>
      <c r="AA148" s="123" t="s">
        <v>157</v>
      </c>
      <c r="AB148" s="123" t="s">
        <v>651</v>
      </c>
      <c r="AC148" s="125">
        <v>46115.0</v>
      </c>
      <c r="AD148" s="123" t="s">
        <v>525</v>
      </c>
      <c r="AE148" s="123">
        <v>998413.0</v>
      </c>
      <c r="AF148" s="123" t="s">
        <v>842</v>
      </c>
      <c r="AG148" s="124"/>
      <c r="AH148" s="124"/>
      <c r="AI148" s="123">
        <v>1745.0</v>
      </c>
      <c r="AJ148" s="123" t="s">
        <v>159</v>
      </c>
      <c r="AK148" s="123">
        <v>18.0</v>
      </c>
      <c r="AL148" s="123">
        <v>157.05</v>
      </c>
      <c r="AM148" s="123">
        <v>157.05</v>
      </c>
      <c r="AN148" s="123">
        <v>0.0</v>
      </c>
      <c r="AO148" s="123">
        <v>0.0</v>
      </c>
      <c r="AP148" s="123">
        <v>0.0</v>
      </c>
      <c r="AQ148" s="123">
        <v>0.0</v>
      </c>
      <c r="AR148" s="122">
        <v>0.0</v>
      </c>
      <c r="AS148" s="123">
        <v>0.0</v>
      </c>
      <c r="AT148" s="123">
        <v>0.0</v>
      </c>
      <c r="AU148" s="124"/>
      <c r="AV148" s="124"/>
      <c r="AW148" s="123">
        <v>0.0</v>
      </c>
      <c r="AX148" s="123">
        <v>2059.1</v>
      </c>
      <c r="AY148" s="123" t="s">
        <v>20</v>
      </c>
      <c r="AZ148" s="123" t="s">
        <v>31</v>
      </c>
      <c r="BA148" s="123" t="s">
        <v>653</v>
      </c>
      <c r="BB148" s="123">
        <v>1.12610008E9</v>
      </c>
      <c r="BC148" s="123" t="s">
        <v>187</v>
      </c>
      <c r="BD148" s="123" t="s">
        <v>162</v>
      </c>
      <c r="BE148" s="124"/>
      <c r="BF148" s="124" t="s">
        <v>483</v>
      </c>
      <c r="BG148" s="124" t="s">
        <v>482</v>
      </c>
      <c r="BH148" s="123" t="s">
        <v>510</v>
      </c>
      <c r="BI148" s="171" t="s">
        <v>511</v>
      </c>
      <c r="BJ148" s="171" t="s">
        <v>512</v>
      </c>
      <c r="BK148" s="171" t="s">
        <v>843</v>
      </c>
      <c r="BL148" s="171">
        <v>785.7</v>
      </c>
      <c r="BM148" s="171">
        <v>785.7</v>
      </c>
      <c r="BN148" s="171">
        <v>0.0</v>
      </c>
      <c r="BO148" s="171" t="s">
        <v>514</v>
      </c>
      <c r="BP148" s="171">
        <v>9156869.0</v>
      </c>
      <c r="BQ148" s="171" t="s">
        <v>483</v>
      </c>
      <c r="BR148" s="171" t="s">
        <v>479</v>
      </c>
      <c r="BS148" s="171">
        <v>1.0</v>
      </c>
    </row>
    <row r="149" ht="14.25" customHeight="1">
      <c r="A149" s="122" t="s">
        <v>493</v>
      </c>
      <c r="B149" s="123" t="s">
        <v>494</v>
      </c>
      <c r="C149" s="123">
        <v>107.0</v>
      </c>
      <c r="D149" s="123" t="s">
        <v>146</v>
      </c>
      <c r="E149" s="123" t="s">
        <v>147</v>
      </c>
      <c r="F149" s="124"/>
      <c r="G149" s="124" t="s">
        <v>149</v>
      </c>
      <c r="H149" s="123" t="s">
        <v>2</v>
      </c>
      <c r="I149" s="123" t="s">
        <v>495</v>
      </c>
      <c r="J149" s="123" t="s">
        <v>496</v>
      </c>
      <c r="K149" s="123" t="s">
        <v>497</v>
      </c>
      <c r="L149" s="123" t="s">
        <v>498</v>
      </c>
      <c r="M149" s="125">
        <v>46140.0</v>
      </c>
      <c r="N149" s="123" t="s">
        <v>551</v>
      </c>
      <c r="O149" s="122">
        <v>9175014.0</v>
      </c>
      <c r="P149" s="125">
        <v>46129.0</v>
      </c>
      <c r="Q149" s="123" t="s">
        <v>500</v>
      </c>
      <c r="R149" s="123">
        <v>15979.0</v>
      </c>
      <c r="S149" s="123" t="s">
        <v>552</v>
      </c>
      <c r="T149" s="123" t="s">
        <v>539</v>
      </c>
      <c r="U149" s="123" t="s">
        <v>553</v>
      </c>
      <c r="V149" s="123" t="s">
        <v>504</v>
      </c>
      <c r="W149" s="124"/>
      <c r="X149" s="123">
        <v>1354.0</v>
      </c>
      <c r="Y149" s="123">
        <v>1.0</v>
      </c>
      <c r="Z149" s="123">
        <v>1354.0</v>
      </c>
      <c r="AA149" s="123" t="s">
        <v>157</v>
      </c>
      <c r="AB149" s="123" t="s">
        <v>551</v>
      </c>
      <c r="AC149" s="125">
        <v>46129.0</v>
      </c>
      <c r="AD149" s="123" t="s">
        <v>505</v>
      </c>
      <c r="AE149" s="123">
        <v>2.710199E7</v>
      </c>
      <c r="AF149" s="123" t="s">
        <v>844</v>
      </c>
      <c r="AG149" s="124"/>
      <c r="AH149" s="124"/>
      <c r="AI149" s="123">
        <v>1354.0</v>
      </c>
      <c r="AJ149" s="123" t="s">
        <v>159</v>
      </c>
      <c r="AK149" s="123">
        <v>18.0</v>
      </c>
      <c r="AL149" s="123">
        <v>121.86</v>
      </c>
      <c r="AM149" s="123">
        <v>121.86</v>
      </c>
      <c r="AN149" s="123">
        <v>0.0</v>
      </c>
      <c r="AO149" s="123">
        <v>0.0</v>
      </c>
      <c r="AP149" s="123">
        <v>0.0</v>
      </c>
      <c r="AQ149" s="123">
        <v>0.0</v>
      </c>
      <c r="AR149" s="122">
        <v>0.0</v>
      </c>
      <c r="AS149" s="123">
        <v>0.0</v>
      </c>
      <c r="AT149" s="123">
        <v>0.0</v>
      </c>
      <c r="AU149" s="124"/>
      <c r="AV149" s="124"/>
      <c r="AW149" s="123">
        <v>0.0</v>
      </c>
      <c r="AX149" s="123">
        <v>1597.72</v>
      </c>
      <c r="AY149" s="123" t="s">
        <v>31</v>
      </c>
      <c r="AZ149" s="123" t="s">
        <v>31</v>
      </c>
      <c r="BA149" s="123" t="s">
        <v>555</v>
      </c>
      <c r="BB149" s="123">
        <v>1.126100447E9</v>
      </c>
      <c r="BC149" s="123" t="s">
        <v>556</v>
      </c>
      <c r="BD149" s="123" t="s">
        <v>509</v>
      </c>
      <c r="BE149" s="124"/>
      <c r="BF149" s="124" t="s">
        <v>484</v>
      </c>
      <c r="BG149" s="124" t="s">
        <v>482</v>
      </c>
      <c r="BH149" s="123" t="s">
        <v>510</v>
      </c>
      <c r="BI149" s="171" t="s">
        <v>511</v>
      </c>
      <c r="BJ149" s="171" t="s">
        <v>512</v>
      </c>
      <c r="BK149" s="171" t="s">
        <v>845</v>
      </c>
      <c r="BL149" s="171">
        <v>739.08</v>
      </c>
      <c r="BM149" s="171">
        <v>739.08</v>
      </c>
      <c r="BN149" s="171">
        <v>0.0</v>
      </c>
      <c r="BO149" s="171" t="s">
        <v>514</v>
      </c>
      <c r="BP149" s="171">
        <v>9156870.0</v>
      </c>
      <c r="BQ149" s="171" t="s">
        <v>483</v>
      </c>
      <c r="BR149" s="171" t="s">
        <v>479</v>
      </c>
      <c r="BS149" s="171">
        <v>1.0</v>
      </c>
    </row>
    <row r="150" ht="14.25" customHeight="1">
      <c r="A150" s="122" t="s">
        <v>493</v>
      </c>
      <c r="B150" s="123" t="s">
        <v>494</v>
      </c>
      <c r="C150" s="123">
        <v>107.0</v>
      </c>
      <c r="D150" s="123" t="s">
        <v>146</v>
      </c>
      <c r="E150" s="123" t="s">
        <v>147</v>
      </c>
      <c r="F150" s="124"/>
      <c r="G150" s="124" t="s">
        <v>149</v>
      </c>
      <c r="H150" s="123" t="s">
        <v>2</v>
      </c>
      <c r="I150" s="123" t="s">
        <v>495</v>
      </c>
      <c r="J150" s="123" t="s">
        <v>496</v>
      </c>
      <c r="K150" s="123" t="s">
        <v>497</v>
      </c>
      <c r="L150" s="123" t="s">
        <v>498</v>
      </c>
      <c r="M150" s="125">
        <v>46140.0</v>
      </c>
      <c r="N150" s="123" t="s">
        <v>551</v>
      </c>
      <c r="O150" s="122">
        <v>9175014.0</v>
      </c>
      <c r="P150" s="125">
        <v>46129.0</v>
      </c>
      <c r="Q150" s="123" t="s">
        <v>500</v>
      </c>
      <c r="R150" s="123">
        <v>15979.0</v>
      </c>
      <c r="S150" s="123" t="s">
        <v>552</v>
      </c>
      <c r="T150" s="123" t="s">
        <v>539</v>
      </c>
      <c r="U150" s="123" t="s">
        <v>553</v>
      </c>
      <c r="V150" s="123" t="s">
        <v>504</v>
      </c>
      <c r="W150" s="124"/>
      <c r="X150" s="123">
        <v>27.0</v>
      </c>
      <c r="Y150" s="123">
        <v>8.0</v>
      </c>
      <c r="Z150" s="123">
        <v>216.0</v>
      </c>
      <c r="AA150" s="123" t="s">
        <v>157</v>
      </c>
      <c r="AB150" s="123" t="s">
        <v>551</v>
      </c>
      <c r="AC150" s="125">
        <v>46129.0</v>
      </c>
      <c r="AD150" s="123" t="s">
        <v>505</v>
      </c>
      <c r="AE150" s="123">
        <v>8.70899E7</v>
      </c>
      <c r="AF150" s="123" t="s">
        <v>846</v>
      </c>
      <c r="AG150" s="124"/>
      <c r="AH150" s="124"/>
      <c r="AI150" s="123">
        <v>216.0</v>
      </c>
      <c r="AJ150" s="123" t="s">
        <v>159</v>
      </c>
      <c r="AK150" s="123">
        <v>18.0</v>
      </c>
      <c r="AL150" s="123">
        <v>19.44</v>
      </c>
      <c r="AM150" s="123">
        <v>19.44</v>
      </c>
      <c r="AN150" s="123">
        <v>0.0</v>
      </c>
      <c r="AO150" s="123">
        <v>0.0</v>
      </c>
      <c r="AP150" s="123">
        <v>0.0</v>
      </c>
      <c r="AQ150" s="123">
        <v>0.0</v>
      </c>
      <c r="AR150" s="122">
        <v>0.0</v>
      </c>
      <c r="AS150" s="123">
        <v>0.0</v>
      </c>
      <c r="AT150" s="123">
        <v>0.0</v>
      </c>
      <c r="AU150" s="124"/>
      <c r="AV150" s="124"/>
      <c r="AW150" s="123">
        <v>0.0</v>
      </c>
      <c r="AX150" s="123">
        <v>254.88</v>
      </c>
      <c r="AY150" s="123" t="s">
        <v>31</v>
      </c>
      <c r="AZ150" s="123" t="s">
        <v>31</v>
      </c>
      <c r="BA150" s="123" t="s">
        <v>555</v>
      </c>
      <c r="BB150" s="123">
        <v>1.126100447E9</v>
      </c>
      <c r="BC150" s="123" t="s">
        <v>556</v>
      </c>
      <c r="BD150" s="123" t="s">
        <v>509</v>
      </c>
      <c r="BE150" s="124"/>
      <c r="BF150" s="124" t="s">
        <v>484</v>
      </c>
      <c r="BG150" s="124" t="s">
        <v>482</v>
      </c>
      <c r="BH150" s="123" t="s">
        <v>510</v>
      </c>
      <c r="BI150" s="171" t="s">
        <v>511</v>
      </c>
      <c r="BJ150" s="171" t="s">
        <v>512</v>
      </c>
      <c r="BK150" s="171" t="s">
        <v>824</v>
      </c>
      <c r="BL150" s="171">
        <v>4800.7</v>
      </c>
      <c r="BM150" s="171">
        <v>5341.12</v>
      </c>
      <c r="BN150" s="171">
        <v>-540.0</v>
      </c>
      <c r="BO150" s="171" t="s">
        <v>514</v>
      </c>
      <c r="BP150" s="171">
        <v>9155619.0</v>
      </c>
      <c r="BQ150" s="171" t="s">
        <v>483</v>
      </c>
      <c r="BR150" s="171" t="s">
        <v>479</v>
      </c>
      <c r="BS150" s="171">
        <v>4.0</v>
      </c>
    </row>
    <row r="151" ht="14.25" customHeight="1">
      <c r="A151" s="122" t="s">
        <v>493</v>
      </c>
      <c r="B151" s="123" t="s">
        <v>494</v>
      </c>
      <c r="C151" s="123">
        <v>107.0</v>
      </c>
      <c r="D151" s="123" t="s">
        <v>146</v>
      </c>
      <c r="E151" s="123" t="s">
        <v>147</v>
      </c>
      <c r="F151" s="124"/>
      <c r="G151" s="124"/>
      <c r="H151" s="123" t="s">
        <v>2</v>
      </c>
      <c r="I151" s="123" t="s">
        <v>495</v>
      </c>
      <c r="J151" s="123" t="s">
        <v>528</v>
      </c>
      <c r="K151" s="123" t="s">
        <v>626</v>
      </c>
      <c r="L151" s="123" t="s">
        <v>498</v>
      </c>
      <c r="M151" s="125">
        <v>46133.0</v>
      </c>
      <c r="N151" s="123" t="s">
        <v>847</v>
      </c>
      <c r="O151" s="122">
        <v>9164381.0</v>
      </c>
      <c r="P151" s="125">
        <v>46115.0</v>
      </c>
      <c r="Q151" s="123" t="s">
        <v>500</v>
      </c>
      <c r="R151" s="123">
        <v>6262.0</v>
      </c>
      <c r="S151" s="123" t="s">
        <v>521</v>
      </c>
      <c r="T151" s="123" t="s">
        <v>522</v>
      </c>
      <c r="U151" s="123" t="s">
        <v>523</v>
      </c>
      <c r="V151" s="123" t="s">
        <v>504</v>
      </c>
      <c r="W151" s="124"/>
      <c r="X151" s="123">
        <v>1.0</v>
      </c>
      <c r="Y151" s="123">
        <v>399.0</v>
      </c>
      <c r="Z151" s="123">
        <v>399.0</v>
      </c>
      <c r="AA151" s="123" t="s">
        <v>157</v>
      </c>
      <c r="AB151" s="123" t="s">
        <v>847</v>
      </c>
      <c r="AC151" s="125">
        <v>46115.0</v>
      </c>
      <c r="AD151" s="123" t="s">
        <v>525</v>
      </c>
      <c r="AE151" s="123">
        <v>998412.0</v>
      </c>
      <c r="AF151" s="123" t="s">
        <v>628</v>
      </c>
      <c r="AG151" s="124"/>
      <c r="AH151" s="124"/>
      <c r="AI151" s="123">
        <v>399.0</v>
      </c>
      <c r="AJ151" s="123" t="s">
        <v>159</v>
      </c>
      <c r="AK151" s="123">
        <v>18.0</v>
      </c>
      <c r="AL151" s="123">
        <v>35.91</v>
      </c>
      <c r="AM151" s="123">
        <v>35.91</v>
      </c>
      <c r="AN151" s="123">
        <v>0.0</v>
      </c>
      <c r="AO151" s="123">
        <v>0.0</v>
      </c>
      <c r="AP151" s="123">
        <v>0.0</v>
      </c>
      <c r="AQ151" s="123">
        <v>0.0</v>
      </c>
      <c r="AR151" s="122">
        <v>0.0</v>
      </c>
      <c r="AS151" s="123">
        <v>0.0</v>
      </c>
      <c r="AT151" s="123">
        <v>0.0</v>
      </c>
      <c r="AU151" s="124"/>
      <c r="AV151" s="124"/>
      <c r="AW151" s="123">
        <v>0.0</v>
      </c>
      <c r="AX151" s="123">
        <v>470.82</v>
      </c>
      <c r="AY151" s="123" t="s">
        <v>20</v>
      </c>
      <c r="AZ151" s="123" t="s">
        <v>31</v>
      </c>
      <c r="BA151" s="123" t="s">
        <v>612</v>
      </c>
      <c r="BB151" s="123">
        <v>1.126100277E9</v>
      </c>
      <c r="BC151" s="123" t="s">
        <v>187</v>
      </c>
      <c r="BD151" s="123" t="s">
        <v>162</v>
      </c>
      <c r="BE151" s="124"/>
      <c r="BF151" s="124" t="s">
        <v>483</v>
      </c>
      <c r="BG151" s="124" t="s">
        <v>482</v>
      </c>
      <c r="BH151" s="123" t="s">
        <v>510</v>
      </c>
      <c r="BI151" s="171" t="s">
        <v>511</v>
      </c>
      <c r="BJ151" s="171" t="s">
        <v>512</v>
      </c>
      <c r="BK151" s="171" t="s">
        <v>550</v>
      </c>
      <c r="BL151" s="171">
        <v>26.96</v>
      </c>
      <c r="BM151" s="171">
        <v>489.18</v>
      </c>
      <c r="BN151" s="171">
        <v>-462.0</v>
      </c>
      <c r="BO151" s="171" t="s">
        <v>514</v>
      </c>
      <c r="BP151" s="171">
        <v>9155610.0</v>
      </c>
      <c r="BQ151" s="171" t="s">
        <v>483</v>
      </c>
      <c r="BR151" s="171" t="s">
        <v>479</v>
      </c>
      <c r="BS151" s="171">
        <v>4.0</v>
      </c>
    </row>
    <row r="152" ht="14.25" customHeight="1">
      <c r="A152" s="122" t="s">
        <v>493</v>
      </c>
      <c r="B152" s="123" t="s">
        <v>494</v>
      </c>
      <c r="C152" s="123">
        <v>107.0</v>
      </c>
      <c r="D152" s="123" t="s">
        <v>146</v>
      </c>
      <c r="E152" s="123" t="s">
        <v>147</v>
      </c>
      <c r="F152" s="124"/>
      <c r="G152" s="123" t="s">
        <v>149</v>
      </c>
      <c r="H152" s="123" t="s">
        <v>2</v>
      </c>
      <c r="I152" s="123" t="s">
        <v>495</v>
      </c>
      <c r="J152" s="123" t="s">
        <v>528</v>
      </c>
      <c r="K152" s="123" t="s">
        <v>529</v>
      </c>
      <c r="L152" s="123" t="s">
        <v>498</v>
      </c>
      <c r="M152" s="125">
        <v>46141.0</v>
      </c>
      <c r="N152" s="123">
        <v>4.0</v>
      </c>
      <c r="O152" s="122">
        <v>9177498.0</v>
      </c>
      <c r="P152" s="125">
        <v>46129.0</v>
      </c>
      <c r="Q152" s="123" t="s">
        <v>500</v>
      </c>
      <c r="R152" s="123">
        <v>5093.0</v>
      </c>
      <c r="S152" s="123" t="s">
        <v>617</v>
      </c>
      <c r="T152" s="123" t="s">
        <v>618</v>
      </c>
      <c r="U152" s="123" t="s">
        <v>619</v>
      </c>
      <c r="V152" s="123" t="s">
        <v>504</v>
      </c>
      <c r="W152" s="124"/>
      <c r="X152" s="123">
        <v>1.0</v>
      </c>
      <c r="Y152" s="123">
        <v>2250.0</v>
      </c>
      <c r="Z152" s="123">
        <v>2250.0</v>
      </c>
      <c r="AA152" s="123" t="s">
        <v>157</v>
      </c>
      <c r="AB152" s="123">
        <v>4.0</v>
      </c>
      <c r="AC152" s="125">
        <v>46129.0</v>
      </c>
      <c r="AD152" s="123" t="s">
        <v>593</v>
      </c>
      <c r="AE152" s="123">
        <v>8544.0</v>
      </c>
      <c r="AF152" s="123" t="s">
        <v>848</v>
      </c>
      <c r="AG152" s="124"/>
      <c r="AH152" s="124"/>
      <c r="AI152" s="123">
        <v>2250.0</v>
      </c>
      <c r="AJ152" s="123" t="s">
        <v>159</v>
      </c>
      <c r="AK152" s="123">
        <v>18.0</v>
      </c>
      <c r="AL152" s="123">
        <v>202.5</v>
      </c>
      <c r="AM152" s="123">
        <v>202.5</v>
      </c>
      <c r="AN152" s="123">
        <v>0.0</v>
      </c>
      <c r="AO152" s="123">
        <v>0.0</v>
      </c>
      <c r="AP152" s="123">
        <v>0.0</v>
      </c>
      <c r="AQ152" s="123">
        <v>0.0</v>
      </c>
      <c r="AR152" s="122">
        <v>0.0</v>
      </c>
      <c r="AS152" s="123">
        <v>0.0</v>
      </c>
      <c r="AT152" s="123">
        <v>0.0</v>
      </c>
      <c r="AU152" s="124"/>
      <c r="AV152" s="124"/>
      <c r="AW152" s="123">
        <v>0.0</v>
      </c>
      <c r="AX152" s="123">
        <v>2655.0</v>
      </c>
      <c r="AY152" s="123" t="s">
        <v>20</v>
      </c>
      <c r="AZ152" s="123" t="s">
        <v>31</v>
      </c>
      <c r="BA152" s="123" t="s">
        <v>595</v>
      </c>
      <c r="BB152" s="123">
        <v>1.126100464E9</v>
      </c>
      <c r="BC152" s="123" t="s">
        <v>187</v>
      </c>
      <c r="BD152" s="123" t="s">
        <v>586</v>
      </c>
      <c r="BE152" s="124"/>
      <c r="BF152" s="124" t="s">
        <v>483</v>
      </c>
      <c r="BG152" s="124" t="s">
        <v>482</v>
      </c>
      <c r="BH152" s="123" t="s">
        <v>587</v>
      </c>
      <c r="BI152" s="171" t="s">
        <v>511</v>
      </c>
      <c r="BJ152" s="171" t="s">
        <v>512</v>
      </c>
      <c r="BK152" s="171" t="s">
        <v>849</v>
      </c>
      <c r="BL152" s="171">
        <v>5850.0</v>
      </c>
      <c r="BM152" s="171">
        <v>5850.0</v>
      </c>
      <c r="BN152" s="171">
        <v>0.0</v>
      </c>
      <c r="BO152" s="171" t="s">
        <v>514</v>
      </c>
      <c r="BP152" s="171">
        <v>9173788.0</v>
      </c>
      <c r="BQ152" s="171" t="s">
        <v>483</v>
      </c>
      <c r="BR152" s="171" t="s">
        <v>479</v>
      </c>
      <c r="BS152" s="171">
        <v>1.0</v>
      </c>
    </row>
    <row r="153" ht="14.25" customHeight="1">
      <c r="A153" s="122" t="s">
        <v>493</v>
      </c>
      <c r="B153" s="123" t="s">
        <v>494</v>
      </c>
      <c r="C153" s="123">
        <v>107.0</v>
      </c>
      <c r="D153" s="123" t="s">
        <v>146</v>
      </c>
      <c r="E153" s="123" t="s">
        <v>147</v>
      </c>
      <c r="F153" s="124"/>
      <c r="G153" s="123" t="s">
        <v>149</v>
      </c>
      <c r="H153" s="123" t="s">
        <v>2</v>
      </c>
      <c r="I153" s="123" t="s">
        <v>495</v>
      </c>
      <c r="J153" s="123" t="s">
        <v>528</v>
      </c>
      <c r="K153" s="123" t="s">
        <v>529</v>
      </c>
      <c r="L153" s="123" t="s">
        <v>498</v>
      </c>
      <c r="M153" s="125">
        <v>46126.0</v>
      </c>
      <c r="N153" s="123" t="s">
        <v>660</v>
      </c>
      <c r="O153" s="122">
        <v>9155607.0</v>
      </c>
      <c r="P153" s="125">
        <v>46114.0</v>
      </c>
      <c r="Q153" s="123" t="s">
        <v>500</v>
      </c>
      <c r="R153" s="123">
        <v>2770.0</v>
      </c>
      <c r="S153" s="123" t="s">
        <v>531</v>
      </c>
      <c r="T153" s="123" t="s">
        <v>532</v>
      </c>
      <c r="U153" s="123" t="s">
        <v>533</v>
      </c>
      <c r="V153" s="123" t="s">
        <v>504</v>
      </c>
      <c r="W153" s="124"/>
      <c r="X153" s="123">
        <v>1.0</v>
      </c>
      <c r="Y153" s="123">
        <v>685.23</v>
      </c>
      <c r="Z153" s="123">
        <v>685.23</v>
      </c>
      <c r="AA153" s="123" t="s">
        <v>157</v>
      </c>
      <c r="AB153" s="123" t="s">
        <v>660</v>
      </c>
      <c r="AC153" s="125">
        <v>46114.0</v>
      </c>
      <c r="AD153" s="123" t="s">
        <v>525</v>
      </c>
      <c r="AE153" s="123">
        <v>8.4439952E7</v>
      </c>
      <c r="AF153" s="123" t="s">
        <v>850</v>
      </c>
      <c r="AG153" s="124"/>
      <c r="AH153" s="124"/>
      <c r="AI153" s="123">
        <v>685.23</v>
      </c>
      <c r="AJ153" s="123" t="s">
        <v>159</v>
      </c>
      <c r="AK153" s="123">
        <v>18.0</v>
      </c>
      <c r="AL153" s="123">
        <v>61.67</v>
      </c>
      <c r="AM153" s="123">
        <v>61.67</v>
      </c>
      <c r="AN153" s="123">
        <v>0.0</v>
      </c>
      <c r="AO153" s="123">
        <v>0.0</v>
      </c>
      <c r="AP153" s="123">
        <v>0.0</v>
      </c>
      <c r="AQ153" s="123">
        <v>0.0</v>
      </c>
      <c r="AR153" s="122">
        <v>0.0</v>
      </c>
      <c r="AS153" s="123">
        <v>0.0</v>
      </c>
      <c r="AT153" s="123">
        <v>0.0</v>
      </c>
      <c r="AU153" s="124"/>
      <c r="AV153" s="124"/>
      <c r="AW153" s="123">
        <v>0.0</v>
      </c>
      <c r="AX153" s="123">
        <v>808.57</v>
      </c>
      <c r="AY153" s="123" t="s">
        <v>20</v>
      </c>
      <c r="AZ153" s="123" t="s">
        <v>31</v>
      </c>
      <c r="BA153" s="123" t="s">
        <v>535</v>
      </c>
      <c r="BB153" s="123">
        <v>1.126100057E9</v>
      </c>
      <c r="BC153" s="123" t="s">
        <v>187</v>
      </c>
      <c r="BD153" s="123" t="s">
        <v>162</v>
      </c>
      <c r="BE153" s="124"/>
      <c r="BF153" s="124" t="s">
        <v>483</v>
      </c>
      <c r="BG153" s="124" t="s">
        <v>482</v>
      </c>
      <c r="BH153" s="123" t="s">
        <v>510</v>
      </c>
      <c r="BI153" s="171" t="s">
        <v>511</v>
      </c>
      <c r="BJ153" s="171" t="s">
        <v>512</v>
      </c>
      <c r="BK153" s="171" t="s">
        <v>513</v>
      </c>
      <c r="BL153" s="171">
        <v>1386.0</v>
      </c>
      <c r="BM153" s="171">
        <v>38182.88</v>
      </c>
      <c r="BN153" s="171">
        <v>-36797.0</v>
      </c>
      <c r="BO153" s="171" t="s">
        <v>514</v>
      </c>
      <c r="BP153" s="171">
        <v>9158398.0</v>
      </c>
      <c r="BQ153" s="171" t="s">
        <v>484</v>
      </c>
      <c r="BR153" s="171" t="s">
        <v>479</v>
      </c>
      <c r="BS153" s="171">
        <v>37.0</v>
      </c>
    </row>
    <row r="154" ht="14.25" customHeight="1">
      <c r="A154" s="122" t="s">
        <v>493</v>
      </c>
      <c r="B154" s="123" t="s">
        <v>494</v>
      </c>
      <c r="C154" s="123">
        <v>107.0</v>
      </c>
      <c r="D154" s="123" t="s">
        <v>146</v>
      </c>
      <c r="E154" s="123" t="s">
        <v>147</v>
      </c>
      <c r="F154" s="124"/>
      <c r="G154" s="123" t="s">
        <v>149</v>
      </c>
      <c r="H154" s="123" t="s">
        <v>2</v>
      </c>
      <c r="I154" s="123" t="s">
        <v>495</v>
      </c>
      <c r="J154" s="123" t="s">
        <v>528</v>
      </c>
      <c r="K154" s="123" t="s">
        <v>529</v>
      </c>
      <c r="L154" s="123" t="s">
        <v>498</v>
      </c>
      <c r="M154" s="125">
        <v>46133.0</v>
      </c>
      <c r="N154" s="123" t="s">
        <v>711</v>
      </c>
      <c r="O154" s="122">
        <v>9164653.0</v>
      </c>
      <c r="P154" s="125">
        <v>46127.0</v>
      </c>
      <c r="Q154" s="123" t="s">
        <v>500</v>
      </c>
      <c r="R154" s="123">
        <v>39845.0</v>
      </c>
      <c r="S154" s="123" t="s">
        <v>712</v>
      </c>
      <c r="T154" s="123" t="s">
        <v>713</v>
      </c>
      <c r="U154" s="123" t="s">
        <v>714</v>
      </c>
      <c r="V154" s="123" t="s">
        <v>504</v>
      </c>
      <c r="W154" s="124"/>
      <c r="X154" s="123">
        <v>1.0</v>
      </c>
      <c r="Y154" s="123">
        <v>19282.5</v>
      </c>
      <c r="Z154" s="123">
        <v>19282.5</v>
      </c>
      <c r="AA154" s="123" t="s">
        <v>157</v>
      </c>
      <c r="AB154" s="123" t="s">
        <v>711</v>
      </c>
      <c r="AC154" s="125">
        <v>46127.0</v>
      </c>
      <c r="AD154" s="123" t="s">
        <v>505</v>
      </c>
      <c r="AE154" s="123">
        <v>1.704902E7</v>
      </c>
      <c r="AF154" s="123" t="s">
        <v>851</v>
      </c>
      <c r="AG154" s="124"/>
      <c r="AH154" s="124"/>
      <c r="AI154" s="123">
        <v>19282.5</v>
      </c>
      <c r="AJ154" s="123" t="s">
        <v>159</v>
      </c>
      <c r="AK154" s="123">
        <v>5.0</v>
      </c>
      <c r="AL154" s="123">
        <v>0.0</v>
      </c>
      <c r="AM154" s="123">
        <v>0.0</v>
      </c>
      <c r="AN154" s="123">
        <v>964.13</v>
      </c>
      <c r="AO154" s="123">
        <v>0.0</v>
      </c>
      <c r="AP154" s="123">
        <v>0.0</v>
      </c>
      <c r="AQ154" s="123">
        <v>0.0</v>
      </c>
      <c r="AR154" s="122">
        <v>0.0</v>
      </c>
      <c r="AS154" s="123">
        <v>0.0</v>
      </c>
      <c r="AT154" s="123">
        <v>0.0</v>
      </c>
      <c r="AU154" s="124"/>
      <c r="AV154" s="124"/>
      <c r="AW154" s="123">
        <v>0.0</v>
      </c>
      <c r="AX154" s="123">
        <v>20246.63</v>
      </c>
      <c r="AY154" s="123" t="s">
        <v>31</v>
      </c>
      <c r="AZ154" s="123" t="s">
        <v>31</v>
      </c>
      <c r="BA154" s="123" t="s">
        <v>640</v>
      </c>
      <c r="BB154" s="123">
        <v>1.126100308E9</v>
      </c>
      <c r="BC154" s="123" t="s">
        <v>716</v>
      </c>
      <c r="BD154" s="123" t="s">
        <v>586</v>
      </c>
      <c r="BE154" s="124"/>
      <c r="BF154" s="124" t="s">
        <v>484</v>
      </c>
      <c r="BG154" s="124" t="s">
        <v>482</v>
      </c>
      <c r="BH154" s="123" t="s">
        <v>510</v>
      </c>
      <c r="BI154" s="171" t="s">
        <v>511</v>
      </c>
      <c r="BJ154" s="171" t="s">
        <v>512</v>
      </c>
      <c r="BK154" s="171" t="s">
        <v>513</v>
      </c>
      <c r="BL154" s="171">
        <v>792.0</v>
      </c>
      <c r="BM154" s="171">
        <v>38182.88</v>
      </c>
      <c r="BN154" s="171">
        <v>-37391.0</v>
      </c>
      <c r="BO154" s="171" t="s">
        <v>514</v>
      </c>
      <c r="BP154" s="171">
        <v>9158398.0</v>
      </c>
      <c r="BQ154" s="171" t="s">
        <v>484</v>
      </c>
      <c r="BR154" s="171" t="s">
        <v>479</v>
      </c>
      <c r="BS154" s="171">
        <v>37.0</v>
      </c>
    </row>
    <row r="155" ht="14.25" customHeight="1">
      <c r="A155" s="122" t="s">
        <v>493</v>
      </c>
      <c r="B155" s="123" t="s">
        <v>494</v>
      </c>
      <c r="C155" s="123">
        <v>107.0</v>
      </c>
      <c r="D155" s="123" t="s">
        <v>146</v>
      </c>
      <c r="E155" s="123" t="s">
        <v>147</v>
      </c>
      <c r="F155" s="124"/>
      <c r="G155" s="123" t="s">
        <v>149</v>
      </c>
      <c r="H155" s="123" t="s">
        <v>2</v>
      </c>
      <c r="I155" s="123" t="s">
        <v>495</v>
      </c>
      <c r="J155" s="123" t="s">
        <v>528</v>
      </c>
      <c r="K155" s="123" t="s">
        <v>529</v>
      </c>
      <c r="L155" s="123" t="s">
        <v>498</v>
      </c>
      <c r="M155" s="125">
        <v>46142.0</v>
      </c>
      <c r="N155" s="123">
        <v>78.0</v>
      </c>
      <c r="O155" s="122">
        <v>9178850.0</v>
      </c>
      <c r="P155" s="125">
        <v>46086.0</v>
      </c>
      <c r="Q155" s="123" t="s">
        <v>500</v>
      </c>
      <c r="R155" s="123">
        <v>41585.0</v>
      </c>
      <c r="S155" s="123" t="s">
        <v>852</v>
      </c>
      <c r="T155" s="123" t="s">
        <v>853</v>
      </c>
      <c r="U155" s="123" t="s">
        <v>854</v>
      </c>
      <c r="V155" s="123" t="s">
        <v>504</v>
      </c>
      <c r="W155" s="124"/>
      <c r="X155" s="123">
        <v>650000.0</v>
      </c>
      <c r="Y155" s="123">
        <v>1.0</v>
      </c>
      <c r="Z155" s="123">
        <v>650000.0</v>
      </c>
      <c r="AA155" s="123" t="s">
        <v>157</v>
      </c>
      <c r="AB155" s="123">
        <v>78.0</v>
      </c>
      <c r="AC155" s="125">
        <v>46086.0</v>
      </c>
      <c r="AD155" s="123" t="s">
        <v>505</v>
      </c>
      <c r="AE155" s="123">
        <v>998596.0</v>
      </c>
      <c r="AF155" s="123" t="s">
        <v>855</v>
      </c>
      <c r="AG155" s="124"/>
      <c r="AH155" s="124"/>
      <c r="AI155" s="123">
        <v>650000.0</v>
      </c>
      <c r="AJ155" s="123" t="s">
        <v>159</v>
      </c>
      <c r="AK155" s="123">
        <v>18.0</v>
      </c>
      <c r="AL155" s="123">
        <v>58500.0</v>
      </c>
      <c r="AM155" s="123">
        <v>58500.0</v>
      </c>
      <c r="AN155" s="123">
        <v>0.0</v>
      </c>
      <c r="AO155" s="123">
        <v>0.0</v>
      </c>
      <c r="AP155" s="123">
        <v>0.0</v>
      </c>
      <c r="AQ155" s="123">
        <v>0.0</v>
      </c>
      <c r="AR155" s="122">
        <v>0.0</v>
      </c>
      <c r="AS155" s="123">
        <v>0.0</v>
      </c>
      <c r="AT155" s="123">
        <v>0.0</v>
      </c>
      <c r="AU155" s="124"/>
      <c r="AV155" s="124"/>
      <c r="AW155" s="123">
        <v>0.0</v>
      </c>
      <c r="AX155" s="123">
        <v>767000.0</v>
      </c>
      <c r="AY155" s="123" t="s">
        <v>31</v>
      </c>
      <c r="AZ155" s="123" t="s">
        <v>31</v>
      </c>
      <c r="BA155" s="123" t="s">
        <v>535</v>
      </c>
      <c r="BB155" s="123">
        <v>1.126100494E9</v>
      </c>
      <c r="BC155" s="123" t="s">
        <v>556</v>
      </c>
      <c r="BD155" s="123" t="s">
        <v>162</v>
      </c>
      <c r="BE155" s="124"/>
      <c r="BF155" s="124" t="s">
        <v>484</v>
      </c>
      <c r="BG155" s="124" t="s">
        <v>482</v>
      </c>
      <c r="BH155" s="123" t="s">
        <v>510</v>
      </c>
      <c r="BI155" s="171" t="s">
        <v>511</v>
      </c>
      <c r="BJ155" s="171" t="s">
        <v>512</v>
      </c>
      <c r="BK155" s="171" t="s">
        <v>513</v>
      </c>
      <c r="BL155" s="171">
        <v>198.0</v>
      </c>
      <c r="BM155" s="171">
        <v>38182.88</v>
      </c>
      <c r="BN155" s="171">
        <v>-37985.0</v>
      </c>
      <c r="BO155" s="171" t="s">
        <v>514</v>
      </c>
      <c r="BP155" s="171">
        <v>9158398.0</v>
      </c>
      <c r="BQ155" s="171" t="s">
        <v>484</v>
      </c>
      <c r="BR155" s="171" t="s">
        <v>479</v>
      </c>
      <c r="BS155" s="171">
        <v>37.0</v>
      </c>
    </row>
    <row r="156" ht="14.25" customHeight="1">
      <c r="A156" s="122" t="s">
        <v>493</v>
      </c>
      <c r="B156" s="123" t="s">
        <v>494</v>
      </c>
      <c r="C156" s="123">
        <v>107.0</v>
      </c>
      <c r="D156" s="123" t="s">
        <v>146</v>
      </c>
      <c r="E156" s="123" t="s">
        <v>147</v>
      </c>
      <c r="F156" s="124"/>
      <c r="G156" s="123" t="s">
        <v>149</v>
      </c>
      <c r="H156" s="123" t="s">
        <v>2</v>
      </c>
      <c r="I156" s="123" t="s">
        <v>495</v>
      </c>
      <c r="J156" s="123" t="s">
        <v>528</v>
      </c>
      <c r="K156" s="123" t="s">
        <v>529</v>
      </c>
      <c r="L156" s="123" t="s">
        <v>498</v>
      </c>
      <c r="M156" s="125">
        <v>46125.0</v>
      </c>
      <c r="N156" s="123" t="s">
        <v>768</v>
      </c>
      <c r="O156" s="122">
        <v>9151133.0</v>
      </c>
      <c r="P156" s="125">
        <v>46113.0</v>
      </c>
      <c r="Q156" s="123" t="s">
        <v>500</v>
      </c>
      <c r="R156" s="123">
        <v>45452.0</v>
      </c>
      <c r="S156" s="123" t="s">
        <v>766</v>
      </c>
      <c r="T156" s="123" t="s">
        <v>713</v>
      </c>
      <c r="U156" s="123" t="s">
        <v>767</v>
      </c>
      <c r="V156" s="123" t="s">
        <v>504</v>
      </c>
      <c r="W156" s="124"/>
      <c r="X156" s="123">
        <v>1.0</v>
      </c>
      <c r="Y156" s="123">
        <v>140000.0</v>
      </c>
      <c r="Z156" s="123">
        <v>140000.0</v>
      </c>
      <c r="AA156" s="123" t="s">
        <v>157</v>
      </c>
      <c r="AB156" s="123" t="s">
        <v>768</v>
      </c>
      <c r="AC156" s="125">
        <v>46113.0</v>
      </c>
      <c r="AD156" s="123" t="s">
        <v>525</v>
      </c>
      <c r="AE156" s="123">
        <v>997212.0</v>
      </c>
      <c r="AF156" s="123" t="s">
        <v>856</v>
      </c>
      <c r="AG156" s="124"/>
      <c r="AH156" s="124"/>
      <c r="AI156" s="123">
        <v>140000.0</v>
      </c>
      <c r="AJ156" s="123" t="s">
        <v>159</v>
      </c>
      <c r="AK156" s="123">
        <v>18.0</v>
      </c>
      <c r="AL156" s="123">
        <v>12600.0</v>
      </c>
      <c r="AM156" s="123">
        <v>12600.0</v>
      </c>
      <c r="AN156" s="123">
        <v>0.0</v>
      </c>
      <c r="AO156" s="123">
        <v>0.0</v>
      </c>
      <c r="AP156" s="123">
        <v>0.0</v>
      </c>
      <c r="AQ156" s="123">
        <v>0.0</v>
      </c>
      <c r="AR156" s="122">
        <v>0.0</v>
      </c>
      <c r="AS156" s="123">
        <v>0.0</v>
      </c>
      <c r="AT156" s="123">
        <v>0.0</v>
      </c>
      <c r="AU156" s="124"/>
      <c r="AV156" s="124"/>
      <c r="AW156" s="123">
        <v>0.0</v>
      </c>
      <c r="AX156" s="123">
        <v>165200.0</v>
      </c>
      <c r="AY156" s="123" t="s">
        <v>31</v>
      </c>
      <c r="AZ156" s="123" t="s">
        <v>31</v>
      </c>
      <c r="BA156" s="123" t="s">
        <v>857</v>
      </c>
      <c r="BB156" s="123">
        <v>1.126100023E9</v>
      </c>
      <c r="BC156" s="123" t="s">
        <v>556</v>
      </c>
      <c r="BD156" s="123" t="s">
        <v>162</v>
      </c>
      <c r="BE156" s="124"/>
      <c r="BF156" s="124" t="s">
        <v>484</v>
      </c>
      <c r="BG156" s="124" t="s">
        <v>482</v>
      </c>
      <c r="BH156" s="123" t="s">
        <v>587</v>
      </c>
      <c r="BI156" s="171" t="s">
        <v>511</v>
      </c>
      <c r="BJ156" s="171" t="s">
        <v>512</v>
      </c>
      <c r="BK156" s="171" t="s">
        <v>519</v>
      </c>
      <c r="BL156" s="171">
        <v>0.05</v>
      </c>
      <c r="BM156" s="171">
        <v>36494.74</v>
      </c>
      <c r="BN156" s="171">
        <v>-36495.0</v>
      </c>
      <c r="BO156" s="171" t="s">
        <v>514</v>
      </c>
      <c r="BP156" s="171">
        <v>9174963.0</v>
      </c>
      <c r="BQ156" s="171" t="s">
        <v>484</v>
      </c>
      <c r="BR156" s="171" t="s">
        <v>479</v>
      </c>
      <c r="BS156" s="171">
        <v>36.0</v>
      </c>
    </row>
    <row r="157" ht="14.25" customHeight="1">
      <c r="A157" s="122" t="s">
        <v>493</v>
      </c>
      <c r="B157" s="123" t="s">
        <v>494</v>
      </c>
      <c r="C157" s="123">
        <v>107.0</v>
      </c>
      <c r="D157" s="123" t="s">
        <v>146</v>
      </c>
      <c r="E157" s="123" t="s">
        <v>147</v>
      </c>
      <c r="F157" s="124"/>
      <c r="G157" s="124"/>
      <c r="H157" s="123" t="s">
        <v>2</v>
      </c>
      <c r="I157" s="123" t="s">
        <v>495</v>
      </c>
      <c r="J157" s="123" t="s">
        <v>528</v>
      </c>
      <c r="K157" s="123" t="s">
        <v>529</v>
      </c>
      <c r="L157" s="123" t="s">
        <v>498</v>
      </c>
      <c r="M157" s="125">
        <v>46126.0</v>
      </c>
      <c r="N157" s="123" t="s">
        <v>858</v>
      </c>
      <c r="O157" s="122">
        <v>9155617.0</v>
      </c>
      <c r="P157" s="125">
        <v>46114.0</v>
      </c>
      <c r="Q157" s="123" t="s">
        <v>500</v>
      </c>
      <c r="R157" s="123">
        <v>2770.0</v>
      </c>
      <c r="S157" s="123" t="s">
        <v>531</v>
      </c>
      <c r="T157" s="123" t="s">
        <v>532</v>
      </c>
      <c r="U157" s="123" t="s">
        <v>533</v>
      </c>
      <c r="V157" s="123" t="s">
        <v>504</v>
      </c>
      <c r="W157" s="124"/>
      <c r="X157" s="123">
        <v>1.0</v>
      </c>
      <c r="Y157" s="123">
        <v>3743.55</v>
      </c>
      <c r="Z157" s="123">
        <v>3743.55</v>
      </c>
      <c r="AA157" s="123" t="s">
        <v>157</v>
      </c>
      <c r="AB157" s="123" t="s">
        <v>858</v>
      </c>
      <c r="AC157" s="125">
        <v>46114.0</v>
      </c>
      <c r="AD157" s="123" t="s">
        <v>525</v>
      </c>
      <c r="AE157" s="123">
        <v>8.4439952E7</v>
      </c>
      <c r="AF157" s="123" t="s">
        <v>567</v>
      </c>
      <c r="AG157" s="124"/>
      <c r="AH157" s="124"/>
      <c r="AI157" s="123">
        <v>3743.55</v>
      </c>
      <c r="AJ157" s="123" t="s">
        <v>159</v>
      </c>
      <c r="AK157" s="123">
        <v>18.0</v>
      </c>
      <c r="AL157" s="123">
        <v>336.92</v>
      </c>
      <c r="AM157" s="123">
        <v>336.92</v>
      </c>
      <c r="AN157" s="123">
        <v>0.0</v>
      </c>
      <c r="AO157" s="123">
        <v>0.0</v>
      </c>
      <c r="AP157" s="123">
        <v>0.0</v>
      </c>
      <c r="AQ157" s="123">
        <v>0.0</v>
      </c>
      <c r="AR157" s="122">
        <v>0.0</v>
      </c>
      <c r="AS157" s="123">
        <v>0.0</v>
      </c>
      <c r="AT157" s="123">
        <v>0.0</v>
      </c>
      <c r="AU157" s="124"/>
      <c r="AV157" s="124"/>
      <c r="AW157" s="123">
        <v>0.0</v>
      </c>
      <c r="AX157" s="123">
        <v>4417.39</v>
      </c>
      <c r="AY157" s="123" t="s">
        <v>20</v>
      </c>
      <c r="AZ157" s="123" t="s">
        <v>31</v>
      </c>
      <c r="BA157" s="123" t="s">
        <v>535</v>
      </c>
      <c r="BB157" s="123">
        <v>1.126100067E9</v>
      </c>
      <c r="BC157" s="123" t="s">
        <v>187</v>
      </c>
      <c r="BD157" s="123" t="s">
        <v>162</v>
      </c>
      <c r="BE157" s="124"/>
      <c r="BF157" s="124" t="s">
        <v>483</v>
      </c>
      <c r="BG157" s="124" t="s">
        <v>482</v>
      </c>
      <c r="BH157" s="123" t="s">
        <v>510</v>
      </c>
      <c r="BI157" s="171" t="s">
        <v>511</v>
      </c>
      <c r="BJ157" s="171" t="s">
        <v>512</v>
      </c>
      <c r="BK157" s="171" t="s">
        <v>635</v>
      </c>
      <c r="BL157" s="171">
        <v>1080.0</v>
      </c>
      <c r="BM157" s="171">
        <v>6014.7</v>
      </c>
      <c r="BN157" s="171">
        <v>-4935.0</v>
      </c>
      <c r="BO157" s="171" t="s">
        <v>514</v>
      </c>
      <c r="BP157" s="171">
        <v>9164740.0</v>
      </c>
      <c r="BQ157" s="171" t="s">
        <v>484</v>
      </c>
      <c r="BR157" s="171" t="s">
        <v>479</v>
      </c>
      <c r="BS157" s="171">
        <v>6.0</v>
      </c>
    </row>
    <row r="158" ht="14.25" customHeight="1">
      <c r="A158" s="122" t="s">
        <v>493</v>
      </c>
      <c r="B158" s="123" t="s">
        <v>494</v>
      </c>
      <c r="C158" s="123">
        <v>107.0</v>
      </c>
      <c r="D158" s="123" t="s">
        <v>146</v>
      </c>
      <c r="E158" s="123" t="s">
        <v>147</v>
      </c>
      <c r="F158" s="124"/>
      <c r="G158" s="124"/>
      <c r="H158" s="123" t="s">
        <v>2</v>
      </c>
      <c r="I158" s="123" t="s">
        <v>495</v>
      </c>
      <c r="J158" s="123" t="s">
        <v>528</v>
      </c>
      <c r="K158" s="123" t="s">
        <v>529</v>
      </c>
      <c r="L158" s="123" t="s">
        <v>498</v>
      </c>
      <c r="M158" s="125">
        <v>46126.0</v>
      </c>
      <c r="N158" s="123" t="s">
        <v>680</v>
      </c>
      <c r="O158" s="122">
        <v>9155608.0</v>
      </c>
      <c r="P158" s="125">
        <v>46114.0</v>
      </c>
      <c r="Q158" s="123" t="s">
        <v>500</v>
      </c>
      <c r="R158" s="123">
        <v>2770.0</v>
      </c>
      <c r="S158" s="123" t="s">
        <v>531</v>
      </c>
      <c r="T158" s="123" t="s">
        <v>532</v>
      </c>
      <c r="U158" s="123" t="s">
        <v>533</v>
      </c>
      <c r="V158" s="123" t="s">
        <v>504</v>
      </c>
      <c r="W158" s="124"/>
      <c r="X158" s="123">
        <v>1.0</v>
      </c>
      <c r="Y158" s="123">
        <v>3486.99</v>
      </c>
      <c r="Z158" s="123">
        <v>3486.99</v>
      </c>
      <c r="AA158" s="123" t="s">
        <v>157</v>
      </c>
      <c r="AB158" s="123" t="s">
        <v>680</v>
      </c>
      <c r="AC158" s="125">
        <v>46114.0</v>
      </c>
      <c r="AD158" s="123" t="s">
        <v>525</v>
      </c>
      <c r="AE158" s="123">
        <v>8.4439952E7</v>
      </c>
      <c r="AF158" s="123" t="s">
        <v>859</v>
      </c>
      <c r="AG158" s="124"/>
      <c r="AH158" s="124"/>
      <c r="AI158" s="123">
        <v>3486.99</v>
      </c>
      <c r="AJ158" s="123" t="s">
        <v>159</v>
      </c>
      <c r="AK158" s="123">
        <v>18.0</v>
      </c>
      <c r="AL158" s="123">
        <v>313.83</v>
      </c>
      <c r="AM158" s="123">
        <v>313.83</v>
      </c>
      <c r="AN158" s="123">
        <v>0.0</v>
      </c>
      <c r="AO158" s="123">
        <v>0.0</v>
      </c>
      <c r="AP158" s="123">
        <v>0.0</v>
      </c>
      <c r="AQ158" s="123">
        <v>0.0</v>
      </c>
      <c r="AR158" s="122">
        <v>0.0</v>
      </c>
      <c r="AS158" s="123">
        <v>0.0</v>
      </c>
      <c r="AT158" s="123">
        <v>0.0</v>
      </c>
      <c r="AU158" s="124"/>
      <c r="AV158" s="124"/>
      <c r="AW158" s="123">
        <v>0.0</v>
      </c>
      <c r="AX158" s="123">
        <v>4114.65</v>
      </c>
      <c r="AY158" s="123" t="s">
        <v>20</v>
      </c>
      <c r="AZ158" s="123" t="s">
        <v>31</v>
      </c>
      <c r="BA158" s="123" t="s">
        <v>535</v>
      </c>
      <c r="BB158" s="123">
        <v>1.126100058E9</v>
      </c>
      <c r="BC158" s="123" t="s">
        <v>187</v>
      </c>
      <c r="BD158" s="123" t="s">
        <v>162</v>
      </c>
      <c r="BE158" s="124"/>
      <c r="BF158" s="124" t="s">
        <v>483</v>
      </c>
      <c r="BG158" s="124" t="s">
        <v>482</v>
      </c>
      <c r="BH158" s="123" t="s">
        <v>510</v>
      </c>
      <c r="BI158" s="171" t="s">
        <v>511</v>
      </c>
      <c r="BJ158" s="171" t="s">
        <v>512</v>
      </c>
      <c r="BK158" s="171" t="s">
        <v>662</v>
      </c>
      <c r="BL158" s="171">
        <v>2975.4</v>
      </c>
      <c r="BM158" s="171">
        <v>6033.6</v>
      </c>
      <c r="BN158" s="171">
        <v>-3058.0</v>
      </c>
      <c r="BO158" s="171" t="s">
        <v>514</v>
      </c>
      <c r="BP158" s="171">
        <v>9177498.0</v>
      </c>
      <c r="BQ158" s="171" t="s">
        <v>483</v>
      </c>
      <c r="BR158" s="171" t="s">
        <v>479</v>
      </c>
      <c r="BS158" s="171">
        <v>3.0</v>
      </c>
    </row>
    <row r="159" ht="14.25" customHeight="1">
      <c r="A159" s="122" t="s">
        <v>493</v>
      </c>
      <c r="B159" s="123" t="s">
        <v>494</v>
      </c>
      <c r="C159" s="123">
        <v>107.0</v>
      </c>
      <c r="D159" s="123" t="s">
        <v>146</v>
      </c>
      <c r="E159" s="123" t="s">
        <v>147</v>
      </c>
      <c r="F159" s="124"/>
      <c r="G159" s="124"/>
      <c r="H159" s="123" t="s">
        <v>2</v>
      </c>
      <c r="I159" s="123" t="s">
        <v>495</v>
      </c>
      <c r="J159" s="123" t="s">
        <v>528</v>
      </c>
      <c r="K159" s="123" t="s">
        <v>529</v>
      </c>
      <c r="L159" s="123" t="s">
        <v>498</v>
      </c>
      <c r="M159" s="125">
        <v>46136.0</v>
      </c>
      <c r="N159" s="123" t="s">
        <v>808</v>
      </c>
      <c r="O159" s="122">
        <v>9168299.0</v>
      </c>
      <c r="P159" s="125">
        <v>46127.0</v>
      </c>
      <c r="Q159" s="123" t="s">
        <v>500</v>
      </c>
      <c r="R159" s="123">
        <v>14097.0</v>
      </c>
      <c r="S159" s="123" t="s">
        <v>809</v>
      </c>
      <c r="T159" s="123" t="s">
        <v>618</v>
      </c>
      <c r="U159" s="123" t="s">
        <v>810</v>
      </c>
      <c r="V159" s="123" t="s">
        <v>504</v>
      </c>
      <c r="W159" s="124"/>
      <c r="X159" s="123">
        <v>3000.0</v>
      </c>
      <c r="Y159" s="123">
        <v>2.0</v>
      </c>
      <c r="Z159" s="123">
        <v>6000.0</v>
      </c>
      <c r="AA159" s="123" t="s">
        <v>157</v>
      </c>
      <c r="AB159" s="123" t="s">
        <v>808</v>
      </c>
      <c r="AC159" s="125">
        <v>46127.0</v>
      </c>
      <c r="AD159" s="123" t="s">
        <v>505</v>
      </c>
      <c r="AE159" s="123">
        <v>998712.0</v>
      </c>
      <c r="AF159" s="123" t="s">
        <v>860</v>
      </c>
      <c r="AG159" s="124"/>
      <c r="AH159" s="124"/>
      <c r="AI159" s="123">
        <v>6000.0</v>
      </c>
      <c r="AJ159" s="123" t="s">
        <v>159</v>
      </c>
      <c r="AK159" s="123">
        <v>18.0</v>
      </c>
      <c r="AL159" s="123">
        <v>540.0</v>
      </c>
      <c r="AM159" s="123">
        <v>540.0</v>
      </c>
      <c r="AN159" s="123">
        <v>0.0</v>
      </c>
      <c r="AO159" s="123">
        <v>0.0</v>
      </c>
      <c r="AP159" s="123">
        <v>0.0</v>
      </c>
      <c r="AQ159" s="123">
        <v>0.0</v>
      </c>
      <c r="AR159" s="122">
        <v>0.0</v>
      </c>
      <c r="AS159" s="123">
        <v>0.0</v>
      </c>
      <c r="AT159" s="123">
        <v>0.0</v>
      </c>
      <c r="AU159" s="124"/>
      <c r="AV159" s="124"/>
      <c r="AW159" s="123">
        <v>0.0</v>
      </c>
      <c r="AX159" s="123">
        <v>7080.0</v>
      </c>
      <c r="AY159" s="123" t="s">
        <v>20</v>
      </c>
      <c r="AZ159" s="123" t="s">
        <v>31</v>
      </c>
      <c r="BA159" s="123" t="s">
        <v>542</v>
      </c>
      <c r="BB159" s="123">
        <v>1.126100392E9</v>
      </c>
      <c r="BC159" s="123" t="s">
        <v>187</v>
      </c>
      <c r="BD159" s="123" t="s">
        <v>162</v>
      </c>
      <c r="BE159" s="124"/>
      <c r="BF159" s="124" t="s">
        <v>483</v>
      </c>
      <c r="BG159" s="124" t="s">
        <v>482</v>
      </c>
      <c r="BH159" s="123" t="s">
        <v>587</v>
      </c>
      <c r="BI159" s="171" t="s">
        <v>511</v>
      </c>
      <c r="BJ159" s="171" t="s">
        <v>512</v>
      </c>
      <c r="BK159" s="171" t="s">
        <v>679</v>
      </c>
      <c r="BL159" s="171">
        <v>88.04</v>
      </c>
      <c r="BM159" s="171">
        <v>840.1</v>
      </c>
      <c r="BN159" s="171">
        <v>-752.0</v>
      </c>
      <c r="BO159" s="171" t="s">
        <v>514</v>
      </c>
      <c r="BP159" s="171">
        <v>9155618.0</v>
      </c>
      <c r="BQ159" s="171" t="s">
        <v>483</v>
      </c>
      <c r="BR159" s="171" t="s">
        <v>479</v>
      </c>
      <c r="BS159" s="171">
        <v>3.0</v>
      </c>
    </row>
    <row r="160" ht="14.25" customHeight="1">
      <c r="A160" s="122" t="s">
        <v>493</v>
      </c>
      <c r="B160" s="123" t="s">
        <v>494</v>
      </c>
      <c r="C160" s="123">
        <v>107.0</v>
      </c>
      <c r="D160" s="123" t="s">
        <v>146</v>
      </c>
      <c r="E160" s="123" t="s">
        <v>147</v>
      </c>
      <c r="F160" s="124"/>
      <c r="G160" s="124"/>
      <c r="H160" s="123" t="s">
        <v>2</v>
      </c>
      <c r="I160" s="123" t="s">
        <v>495</v>
      </c>
      <c r="J160" s="123" t="s">
        <v>528</v>
      </c>
      <c r="K160" s="123" t="s">
        <v>626</v>
      </c>
      <c r="L160" s="123" t="s">
        <v>498</v>
      </c>
      <c r="M160" s="125">
        <v>46133.0</v>
      </c>
      <c r="N160" s="123" t="s">
        <v>861</v>
      </c>
      <c r="O160" s="122">
        <v>9164390.0</v>
      </c>
      <c r="P160" s="125">
        <v>46115.0</v>
      </c>
      <c r="Q160" s="123" t="s">
        <v>500</v>
      </c>
      <c r="R160" s="123">
        <v>6262.0</v>
      </c>
      <c r="S160" s="123" t="s">
        <v>521</v>
      </c>
      <c r="T160" s="123" t="s">
        <v>522</v>
      </c>
      <c r="U160" s="123" t="s">
        <v>523</v>
      </c>
      <c r="V160" s="123" t="s">
        <v>504</v>
      </c>
      <c r="W160" s="124"/>
      <c r="X160" s="123">
        <v>1.0</v>
      </c>
      <c r="Y160" s="123">
        <v>2196.0</v>
      </c>
      <c r="Z160" s="123">
        <v>2196.0</v>
      </c>
      <c r="AA160" s="123" t="s">
        <v>157</v>
      </c>
      <c r="AB160" s="123" t="s">
        <v>861</v>
      </c>
      <c r="AC160" s="125">
        <v>46115.0</v>
      </c>
      <c r="AD160" s="123" t="s">
        <v>525</v>
      </c>
      <c r="AE160" s="123">
        <v>998412.0</v>
      </c>
      <c r="AF160" s="123" t="s">
        <v>862</v>
      </c>
      <c r="AG160" s="124"/>
      <c r="AH160" s="124"/>
      <c r="AI160" s="123">
        <v>2196.0</v>
      </c>
      <c r="AJ160" s="123" t="s">
        <v>159</v>
      </c>
      <c r="AK160" s="123">
        <v>18.0</v>
      </c>
      <c r="AL160" s="123">
        <v>197.64</v>
      </c>
      <c r="AM160" s="123">
        <v>197.64</v>
      </c>
      <c r="AN160" s="123">
        <v>0.0</v>
      </c>
      <c r="AO160" s="123">
        <v>0.0</v>
      </c>
      <c r="AP160" s="123">
        <v>0.0</v>
      </c>
      <c r="AQ160" s="123">
        <v>0.0</v>
      </c>
      <c r="AR160" s="122">
        <v>0.0</v>
      </c>
      <c r="AS160" s="123">
        <v>0.0</v>
      </c>
      <c r="AT160" s="123">
        <v>0.0</v>
      </c>
      <c r="AU160" s="124"/>
      <c r="AV160" s="124"/>
      <c r="AW160" s="123">
        <v>0.0</v>
      </c>
      <c r="AX160" s="123">
        <v>2591.28</v>
      </c>
      <c r="AY160" s="123" t="s">
        <v>20</v>
      </c>
      <c r="AZ160" s="123" t="s">
        <v>31</v>
      </c>
      <c r="BA160" s="123" t="s">
        <v>612</v>
      </c>
      <c r="BB160" s="123">
        <v>1.126100286E9</v>
      </c>
      <c r="BC160" s="123" t="s">
        <v>187</v>
      </c>
      <c r="BD160" s="123" t="s">
        <v>162</v>
      </c>
      <c r="BE160" s="124"/>
      <c r="BF160" s="124" t="s">
        <v>483</v>
      </c>
      <c r="BG160" s="124" t="s">
        <v>482</v>
      </c>
      <c r="BH160" s="123" t="s">
        <v>510</v>
      </c>
      <c r="BI160" s="171" t="s">
        <v>511</v>
      </c>
      <c r="BJ160" s="171" t="s">
        <v>512</v>
      </c>
      <c r="BK160" s="171" t="s">
        <v>829</v>
      </c>
      <c r="BL160" s="171">
        <v>720.0</v>
      </c>
      <c r="BM160" s="171">
        <v>2952.0</v>
      </c>
      <c r="BN160" s="171">
        <v>-2232.0</v>
      </c>
      <c r="BO160" s="171" t="s">
        <v>514</v>
      </c>
      <c r="BP160" s="171">
        <v>9168299.0</v>
      </c>
      <c r="BQ160" s="171" t="s">
        <v>483</v>
      </c>
      <c r="BR160" s="171" t="s">
        <v>479</v>
      </c>
      <c r="BS160" s="171">
        <v>4.0</v>
      </c>
    </row>
    <row r="161" ht="14.25" customHeight="1">
      <c r="A161" s="122" t="s">
        <v>493</v>
      </c>
      <c r="B161" s="123" t="s">
        <v>494</v>
      </c>
      <c r="C161" s="123">
        <v>107.0</v>
      </c>
      <c r="D161" s="123" t="s">
        <v>146</v>
      </c>
      <c r="E161" s="123" t="s">
        <v>147</v>
      </c>
      <c r="F161" s="124"/>
      <c r="G161" s="124"/>
      <c r="H161" s="123" t="s">
        <v>2</v>
      </c>
      <c r="I161" s="123" t="s">
        <v>495</v>
      </c>
      <c r="J161" s="123" t="s">
        <v>528</v>
      </c>
      <c r="K161" s="123" t="s">
        <v>529</v>
      </c>
      <c r="L161" s="123" t="s">
        <v>498</v>
      </c>
      <c r="M161" s="125">
        <v>46134.0</v>
      </c>
      <c r="N161" s="123" t="s">
        <v>630</v>
      </c>
      <c r="O161" s="122">
        <v>9164740.0</v>
      </c>
      <c r="P161" s="125">
        <v>46121.0</v>
      </c>
      <c r="Q161" s="123" t="s">
        <v>500</v>
      </c>
      <c r="R161" s="123">
        <v>3615.0</v>
      </c>
      <c r="S161" s="123" t="s">
        <v>631</v>
      </c>
      <c r="T161" s="123" t="s">
        <v>539</v>
      </c>
      <c r="U161" s="123" t="s">
        <v>632</v>
      </c>
      <c r="V161" s="123" t="s">
        <v>504</v>
      </c>
      <c r="W161" s="124"/>
      <c r="X161" s="123">
        <v>25.0</v>
      </c>
      <c r="Y161" s="123">
        <v>400.0</v>
      </c>
      <c r="Z161" s="123">
        <v>10000.0</v>
      </c>
      <c r="AA161" s="123" t="s">
        <v>157</v>
      </c>
      <c r="AB161" s="123" t="s">
        <v>630</v>
      </c>
      <c r="AC161" s="125">
        <v>46121.0</v>
      </c>
      <c r="AD161" s="124" t="s">
        <v>525</v>
      </c>
      <c r="AE161" s="123">
        <v>998900.0</v>
      </c>
      <c r="AF161" s="123" t="s">
        <v>863</v>
      </c>
      <c r="AG161" s="124"/>
      <c r="AH161" s="124"/>
      <c r="AI161" s="123">
        <v>10000.0</v>
      </c>
      <c r="AJ161" s="123" t="s">
        <v>159</v>
      </c>
      <c r="AK161" s="123">
        <v>18.0</v>
      </c>
      <c r="AL161" s="123">
        <v>900.0</v>
      </c>
      <c r="AM161" s="123">
        <v>900.0</v>
      </c>
      <c r="AN161" s="123">
        <v>0.0</v>
      </c>
      <c r="AO161" s="123">
        <v>0.0</v>
      </c>
      <c r="AP161" s="123">
        <v>0.0</v>
      </c>
      <c r="AQ161" s="123">
        <v>0.0</v>
      </c>
      <c r="AR161" s="122">
        <v>0.0</v>
      </c>
      <c r="AS161" s="123">
        <v>0.0</v>
      </c>
      <c r="AT161" s="123">
        <v>0.0</v>
      </c>
      <c r="AU161" s="124"/>
      <c r="AV161" s="124"/>
      <c r="AW161" s="123">
        <v>0.0</v>
      </c>
      <c r="AX161" s="123">
        <v>11800.0</v>
      </c>
      <c r="AY161" s="123" t="s">
        <v>31</v>
      </c>
      <c r="AZ161" s="123" t="s">
        <v>31</v>
      </c>
      <c r="BA161" s="123" t="s">
        <v>634</v>
      </c>
      <c r="BB161" s="123">
        <v>1.126100334E9</v>
      </c>
      <c r="BC161" s="123" t="s">
        <v>556</v>
      </c>
      <c r="BD161" s="123" t="s">
        <v>162</v>
      </c>
      <c r="BE161" s="124"/>
      <c r="BF161" s="124" t="s">
        <v>484</v>
      </c>
      <c r="BG161" s="124" t="s">
        <v>482</v>
      </c>
      <c r="BH161" s="123" t="s">
        <v>510</v>
      </c>
      <c r="BI161" s="171" t="s">
        <v>511</v>
      </c>
      <c r="BJ161" s="171" t="s">
        <v>512</v>
      </c>
      <c r="BK161" s="171" t="s">
        <v>864</v>
      </c>
      <c r="BL161" s="171">
        <v>243.0</v>
      </c>
      <c r="BM161" s="171">
        <v>11178.0</v>
      </c>
      <c r="BN161" s="171">
        <v>-10935.0</v>
      </c>
      <c r="BO161" s="171" t="s">
        <v>514</v>
      </c>
      <c r="BP161" s="171">
        <v>9151139.0</v>
      </c>
      <c r="BQ161" s="171" t="s">
        <v>484</v>
      </c>
      <c r="BR161" s="171" t="s">
        <v>479</v>
      </c>
      <c r="BS161" s="171">
        <v>2.0</v>
      </c>
    </row>
    <row r="162" ht="14.25" customHeight="1">
      <c r="A162" s="122" t="s">
        <v>493</v>
      </c>
      <c r="B162" s="123" t="s">
        <v>494</v>
      </c>
      <c r="C162" s="123">
        <v>107.0</v>
      </c>
      <c r="D162" s="123" t="s">
        <v>146</v>
      </c>
      <c r="E162" s="123" t="s">
        <v>147</v>
      </c>
      <c r="F162" s="124"/>
      <c r="G162" s="123" t="s">
        <v>149</v>
      </c>
      <c r="H162" s="123" t="s">
        <v>2</v>
      </c>
      <c r="I162" s="123" t="s">
        <v>495</v>
      </c>
      <c r="J162" s="123" t="s">
        <v>528</v>
      </c>
      <c r="K162" s="123" t="s">
        <v>529</v>
      </c>
      <c r="L162" s="123" t="s">
        <v>498</v>
      </c>
      <c r="M162" s="125">
        <v>46134.0</v>
      </c>
      <c r="N162" s="123" t="s">
        <v>630</v>
      </c>
      <c r="O162" s="122">
        <v>9164740.0</v>
      </c>
      <c r="P162" s="125">
        <v>46121.0</v>
      </c>
      <c r="Q162" s="123" t="s">
        <v>500</v>
      </c>
      <c r="R162" s="123">
        <v>3615.0</v>
      </c>
      <c r="S162" s="123" t="s">
        <v>631</v>
      </c>
      <c r="T162" s="123" t="s">
        <v>539</v>
      </c>
      <c r="U162" s="123" t="s">
        <v>632</v>
      </c>
      <c r="V162" s="123" t="s">
        <v>504</v>
      </c>
      <c r="W162" s="124"/>
      <c r="X162" s="123">
        <v>30.0</v>
      </c>
      <c r="Y162" s="123">
        <v>81.0</v>
      </c>
      <c r="Z162" s="123">
        <v>2430.0</v>
      </c>
      <c r="AA162" s="123" t="s">
        <v>157</v>
      </c>
      <c r="AB162" s="123" t="s">
        <v>630</v>
      </c>
      <c r="AC162" s="125">
        <v>46121.0</v>
      </c>
      <c r="AD162" s="123" t="s">
        <v>525</v>
      </c>
      <c r="AE162" s="123">
        <v>998900.0</v>
      </c>
      <c r="AF162" s="123" t="s">
        <v>865</v>
      </c>
      <c r="AG162" s="124"/>
      <c r="AH162" s="124"/>
      <c r="AI162" s="123">
        <v>2430.0</v>
      </c>
      <c r="AJ162" s="123" t="s">
        <v>159</v>
      </c>
      <c r="AK162" s="123">
        <v>18.0</v>
      </c>
      <c r="AL162" s="123">
        <v>218.7</v>
      </c>
      <c r="AM162" s="123">
        <v>218.7</v>
      </c>
      <c r="AN162" s="123">
        <v>0.0</v>
      </c>
      <c r="AO162" s="123">
        <v>0.0</v>
      </c>
      <c r="AP162" s="123">
        <v>0.0</v>
      </c>
      <c r="AQ162" s="123">
        <v>0.0</v>
      </c>
      <c r="AR162" s="122">
        <v>0.0</v>
      </c>
      <c r="AS162" s="123">
        <v>0.0</v>
      </c>
      <c r="AT162" s="123">
        <v>0.0</v>
      </c>
      <c r="AU162" s="124"/>
      <c r="AV162" s="124"/>
      <c r="AW162" s="123">
        <v>0.0</v>
      </c>
      <c r="AX162" s="123">
        <v>2867.4</v>
      </c>
      <c r="AY162" s="123" t="s">
        <v>31</v>
      </c>
      <c r="AZ162" s="123" t="s">
        <v>31</v>
      </c>
      <c r="BA162" s="123" t="s">
        <v>634</v>
      </c>
      <c r="BB162" s="123">
        <v>1.126100334E9</v>
      </c>
      <c r="BC162" s="123" t="s">
        <v>556</v>
      </c>
      <c r="BD162" s="123" t="s">
        <v>162</v>
      </c>
      <c r="BE162" s="124"/>
      <c r="BF162" s="124" t="s">
        <v>484</v>
      </c>
      <c r="BG162" s="124" t="s">
        <v>482</v>
      </c>
      <c r="BH162" s="123" t="s">
        <v>510</v>
      </c>
      <c r="BI162" s="171" t="s">
        <v>511</v>
      </c>
      <c r="BJ162" s="171" t="s">
        <v>512</v>
      </c>
      <c r="BK162" s="171" t="s">
        <v>650</v>
      </c>
      <c r="BL162" s="171">
        <v>314.1</v>
      </c>
      <c r="BM162" s="171">
        <v>385.92</v>
      </c>
      <c r="BN162" s="171">
        <v>-72.0</v>
      </c>
      <c r="BO162" s="171" t="s">
        <v>514</v>
      </c>
      <c r="BP162" s="171">
        <v>9156752.0</v>
      </c>
      <c r="BQ162" s="171" t="s">
        <v>483</v>
      </c>
      <c r="BR162" s="171" t="s">
        <v>479</v>
      </c>
      <c r="BS162" s="171">
        <v>2.0</v>
      </c>
    </row>
    <row r="163" ht="14.25" customHeight="1">
      <c r="A163" s="122" t="s">
        <v>493</v>
      </c>
      <c r="B163" s="123" t="s">
        <v>494</v>
      </c>
      <c r="C163" s="123">
        <v>107.0</v>
      </c>
      <c r="D163" s="123" t="s">
        <v>146</v>
      </c>
      <c r="E163" s="123" t="s">
        <v>147</v>
      </c>
      <c r="F163" s="124"/>
      <c r="G163" s="123" t="s">
        <v>149</v>
      </c>
      <c r="H163" s="123" t="s">
        <v>2</v>
      </c>
      <c r="I163" s="123" t="s">
        <v>495</v>
      </c>
      <c r="J163" s="123" t="s">
        <v>528</v>
      </c>
      <c r="K163" s="123" t="s">
        <v>529</v>
      </c>
      <c r="L163" s="123" t="s">
        <v>498</v>
      </c>
      <c r="M163" s="125">
        <v>46127.0</v>
      </c>
      <c r="N163" s="123" t="s">
        <v>866</v>
      </c>
      <c r="O163" s="122">
        <v>9157985.0</v>
      </c>
      <c r="P163" s="125">
        <v>46118.0</v>
      </c>
      <c r="Q163" s="123" t="s">
        <v>500</v>
      </c>
      <c r="R163" s="123">
        <v>43194.0</v>
      </c>
      <c r="S163" s="123" t="s">
        <v>867</v>
      </c>
      <c r="T163" s="123" t="s">
        <v>713</v>
      </c>
      <c r="U163" s="123" t="s">
        <v>868</v>
      </c>
      <c r="V163" s="123" t="s">
        <v>504</v>
      </c>
      <c r="W163" s="124"/>
      <c r="X163" s="123">
        <v>1.0</v>
      </c>
      <c r="Y163" s="123">
        <v>12500.0</v>
      </c>
      <c r="Z163" s="123">
        <v>12500.0</v>
      </c>
      <c r="AA163" s="123" t="s">
        <v>157</v>
      </c>
      <c r="AB163" s="123" t="s">
        <v>866</v>
      </c>
      <c r="AC163" s="125">
        <v>46118.0</v>
      </c>
      <c r="AD163" s="123" t="s">
        <v>525</v>
      </c>
      <c r="AE163" s="123">
        <v>996743.0</v>
      </c>
      <c r="AF163" s="123" t="s">
        <v>869</v>
      </c>
      <c r="AG163" s="124"/>
      <c r="AH163" s="124"/>
      <c r="AI163" s="123">
        <v>12500.0</v>
      </c>
      <c r="AJ163" s="123" t="s">
        <v>159</v>
      </c>
      <c r="AK163" s="123">
        <v>18.0</v>
      </c>
      <c r="AL163" s="123">
        <v>1125.0</v>
      </c>
      <c r="AM163" s="123">
        <v>1125.0</v>
      </c>
      <c r="AN163" s="123">
        <v>0.0</v>
      </c>
      <c r="AO163" s="123">
        <v>0.0</v>
      </c>
      <c r="AP163" s="123">
        <v>0.0</v>
      </c>
      <c r="AQ163" s="123">
        <v>0.0</v>
      </c>
      <c r="AR163" s="122">
        <v>0.0</v>
      </c>
      <c r="AS163" s="123">
        <v>0.0</v>
      </c>
      <c r="AT163" s="123">
        <v>0.0</v>
      </c>
      <c r="AU163" s="124"/>
      <c r="AV163" s="124"/>
      <c r="AW163" s="123">
        <v>0.0</v>
      </c>
      <c r="AX163" s="123">
        <v>14750.0</v>
      </c>
      <c r="AY163" s="123" t="s">
        <v>31</v>
      </c>
      <c r="AZ163" s="123" t="s">
        <v>31</v>
      </c>
      <c r="BA163" s="123" t="s">
        <v>870</v>
      </c>
      <c r="BB163" s="123">
        <v>1.126100102E9</v>
      </c>
      <c r="BC163" s="123" t="s">
        <v>556</v>
      </c>
      <c r="BD163" s="123" t="s">
        <v>162</v>
      </c>
      <c r="BE163" s="124"/>
      <c r="BF163" s="124" t="s">
        <v>484</v>
      </c>
      <c r="BG163" s="124" t="s">
        <v>482</v>
      </c>
      <c r="BH163" s="123" t="s">
        <v>587</v>
      </c>
      <c r="BI163" s="171" t="s">
        <v>511</v>
      </c>
      <c r="BJ163" s="171" t="s">
        <v>512</v>
      </c>
      <c r="BK163" s="171" t="s">
        <v>563</v>
      </c>
      <c r="BL163" s="171">
        <v>243.72</v>
      </c>
      <c r="BM163" s="171">
        <v>2435.38</v>
      </c>
      <c r="BN163" s="171">
        <v>-2192.0</v>
      </c>
      <c r="BO163" s="171" t="s">
        <v>514</v>
      </c>
      <c r="BP163" s="171">
        <v>9175014.0</v>
      </c>
      <c r="BQ163" s="171" t="s">
        <v>484</v>
      </c>
      <c r="BR163" s="171" t="s">
        <v>479</v>
      </c>
      <c r="BS163" s="171">
        <v>18.0</v>
      </c>
    </row>
    <row r="164" ht="14.25" customHeight="1">
      <c r="A164" s="122" t="s">
        <v>493</v>
      </c>
      <c r="B164" s="123" t="s">
        <v>494</v>
      </c>
      <c r="C164" s="123">
        <v>107.0</v>
      </c>
      <c r="D164" s="123" t="s">
        <v>146</v>
      </c>
      <c r="E164" s="123" t="s">
        <v>147</v>
      </c>
      <c r="F164" s="124"/>
      <c r="G164" s="123" t="s">
        <v>149</v>
      </c>
      <c r="H164" s="123" t="s">
        <v>2</v>
      </c>
      <c r="I164" s="123" t="s">
        <v>495</v>
      </c>
      <c r="J164" s="123" t="s">
        <v>528</v>
      </c>
      <c r="K164" s="123" t="s">
        <v>529</v>
      </c>
      <c r="L164" s="123" t="s">
        <v>498</v>
      </c>
      <c r="M164" s="125">
        <v>46127.0</v>
      </c>
      <c r="N164" s="123">
        <v>3.0</v>
      </c>
      <c r="O164" s="122">
        <v>9156871.0</v>
      </c>
      <c r="P164" s="125">
        <v>46113.0</v>
      </c>
      <c r="Q164" s="123" t="s">
        <v>500</v>
      </c>
      <c r="R164" s="123">
        <v>43295.0</v>
      </c>
      <c r="S164" s="123" t="s">
        <v>636</v>
      </c>
      <c r="T164" s="123" t="s">
        <v>637</v>
      </c>
      <c r="U164" s="123" t="s">
        <v>638</v>
      </c>
      <c r="V164" s="123" t="s">
        <v>504</v>
      </c>
      <c r="W164" s="124"/>
      <c r="X164" s="123">
        <v>160.0</v>
      </c>
      <c r="Y164" s="123">
        <v>12.0</v>
      </c>
      <c r="Z164" s="123">
        <v>1920.0</v>
      </c>
      <c r="AA164" s="123" t="s">
        <v>157</v>
      </c>
      <c r="AB164" s="123">
        <v>3.0</v>
      </c>
      <c r="AC164" s="125">
        <v>46113.0</v>
      </c>
      <c r="AD164" s="123" t="s">
        <v>505</v>
      </c>
      <c r="AE164" s="123">
        <v>9024040.0</v>
      </c>
      <c r="AF164" s="123" t="s">
        <v>871</v>
      </c>
      <c r="AG164" s="124"/>
      <c r="AH164" s="124"/>
      <c r="AI164" s="123">
        <v>1920.0</v>
      </c>
      <c r="AJ164" s="123" t="s">
        <v>159</v>
      </c>
      <c r="AK164" s="123">
        <v>5.0</v>
      </c>
      <c r="AL164" s="123">
        <v>48.0</v>
      </c>
      <c r="AM164" s="123">
        <v>48.0</v>
      </c>
      <c r="AN164" s="123">
        <v>0.0</v>
      </c>
      <c r="AO164" s="123">
        <v>0.0</v>
      </c>
      <c r="AP164" s="123">
        <v>0.0</v>
      </c>
      <c r="AQ164" s="123">
        <v>0.0</v>
      </c>
      <c r="AR164" s="122">
        <v>0.0</v>
      </c>
      <c r="AS164" s="123">
        <v>0.0</v>
      </c>
      <c r="AT164" s="123">
        <v>0.0</v>
      </c>
      <c r="AU164" s="124"/>
      <c r="AV164" s="124"/>
      <c r="AW164" s="123">
        <v>0.0</v>
      </c>
      <c r="AX164" s="123">
        <v>2016.0</v>
      </c>
      <c r="AY164" s="123" t="s">
        <v>31</v>
      </c>
      <c r="AZ164" s="123" t="s">
        <v>31</v>
      </c>
      <c r="BA164" s="123" t="s">
        <v>640</v>
      </c>
      <c r="BB164" s="123">
        <v>1.126100101E9</v>
      </c>
      <c r="BC164" s="123" t="s">
        <v>872</v>
      </c>
      <c r="BD164" s="123" t="s">
        <v>586</v>
      </c>
      <c r="BE164" s="124"/>
      <c r="BF164" s="124" t="s">
        <v>484</v>
      </c>
      <c r="BG164" s="124" t="s">
        <v>482</v>
      </c>
      <c r="BH164" s="123" t="s">
        <v>587</v>
      </c>
      <c r="BI164" s="171" t="s">
        <v>511</v>
      </c>
      <c r="BJ164" s="171" t="s">
        <v>512</v>
      </c>
      <c r="BK164" s="171" t="s">
        <v>563</v>
      </c>
      <c r="BL164" s="171">
        <v>38.88</v>
      </c>
      <c r="BM164" s="171">
        <v>2435.38</v>
      </c>
      <c r="BN164" s="171">
        <v>-2397.0</v>
      </c>
      <c r="BO164" s="171" t="s">
        <v>514</v>
      </c>
      <c r="BP164" s="171">
        <v>9175014.0</v>
      </c>
      <c r="BQ164" s="171" t="s">
        <v>484</v>
      </c>
      <c r="BR164" s="171" t="s">
        <v>479</v>
      </c>
      <c r="BS164" s="171">
        <v>18.0</v>
      </c>
    </row>
    <row r="165" ht="14.25" customHeight="1">
      <c r="A165" s="122" t="s">
        <v>493</v>
      </c>
      <c r="B165" s="123" t="s">
        <v>494</v>
      </c>
      <c r="C165" s="123">
        <v>107.0</v>
      </c>
      <c r="D165" s="123" t="s">
        <v>146</v>
      </c>
      <c r="E165" s="123" t="s">
        <v>147</v>
      </c>
      <c r="F165" s="124"/>
      <c r="G165" s="124"/>
      <c r="H165" s="123" t="s">
        <v>2</v>
      </c>
      <c r="I165" s="123" t="s">
        <v>495</v>
      </c>
      <c r="J165" s="123" t="s">
        <v>528</v>
      </c>
      <c r="K165" s="123" t="s">
        <v>529</v>
      </c>
      <c r="L165" s="123" t="s">
        <v>498</v>
      </c>
      <c r="M165" s="125">
        <v>46136.0</v>
      </c>
      <c r="N165" s="123">
        <v>7.026000049E9</v>
      </c>
      <c r="O165" s="122">
        <v>9168297.0</v>
      </c>
      <c r="P165" s="125">
        <v>46128.0</v>
      </c>
      <c r="Q165" s="123" t="s">
        <v>500</v>
      </c>
      <c r="R165" s="123">
        <v>14809.0</v>
      </c>
      <c r="S165" s="123" t="s">
        <v>758</v>
      </c>
      <c r="T165" s="123" t="s">
        <v>539</v>
      </c>
      <c r="U165" s="123" t="s">
        <v>759</v>
      </c>
      <c r="V165" s="123" t="s">
        <v>504</v>
      </c>
      <c r="W165" s="124"/>
      <c r="X165" s="123">
        <v>5500.0</v>
      </c>
      <c r="Y165" s="123">
        <v>1.0</v>
      </c>
      <c r="Z165" s="123">
        <v>5500.0</v>
      </c>
      <c r="AA165" s="123" t="s">
        <v>157</v>
      </c>
      <c r="AB165" s="123">
        <v>7.026000049E9</v>
      </c>
      <c r="AC165" s="125">
        <v>46128.0</v>
      </c>
      <c r="AD165" s="123" t="s">
        <v>505</v>
      </c>
      <c r="AE165" s="123">
        <v>998717.0</v>
      </c>
      <c r="AF165" s="123" t="s">
        <v>873</v>
      </c>
      <c r="AG165" s="124"/>
      <c r="AH165" s="124"/>
      <c r="AI165" s="123">
        <v>5500.0</v>
      </c>
      <c r="AJ165" s="123" t="s">
        <v>159</v>
      </c>
      <c r="AK165" s="123">
        <v>18.0</v>
      </c>
      <c r="AL165" s="123">
        <v>495.0</v>
      </c>
      <c r="AM165" s="123">
        <v>495.0</v>
      </c>
      <c r="AN165" s="123">
        <v>0.0</v>
      </c>
      <c r="AO165" s="123">
        <v>0.0</v>
      </c>
      <c r="AP165" s="123">
        <v>0.0</v>
      </c>
      <c r="AQ165" s="123">
        <v>0.0</v>
      </c>
      <c r="AR165" s="122">
        <v>0.0</v>
      </c>
      <c r="AS165" s="123">
        <v>0.0</v>
      </c>
      <c r="AT165" s="123">
        <v>0.0</v>
      </c>
      <c r="AU165" s="124"/>
      <c r="AV165" s="124"/>
      <c r="AW165" s="123">
        <v>0.0</v>
      </c>
      <c r="AX165" s="123">
        <v>6490.0</v>
      </c>
      <c r="AY165" s="123" t="s">
        <v>20</v>
      </c>
      <c r="AZ165" s="123" t="s">
        <v>31</v>
      </c>
      <c r="BA165" s="123" t="s">
        <v>542</v>
      </c>
      <c r="BB165" s="123">
        <v>1.12610039E9</v>
      </c>
      <c r="BC165" s="123" t="s">
        <v>187</v>
      </c>
      <c r="BD165" s="123" t="s">
        <v>162</v>
      </c>
      <c r="BE165" s="124"/>
      <c r="BF165" s="124" t="s">
        <v>483</v>
      </c>
      <c r="BG165" s="124" t="s">
        <v>482</v>
      </c>
      <c r="BH165" s="123" t="s">
        <v>510</v>
      </c>
      <c r="BI165" s="171" t="s">
        <v>511</v>
      </c>
      <c r="BJ165" s="171" t="s">
        <v>512</v>
      </c>
      <c r="BK165" s="171" t="s">
        <v>874</v>
      </c>
      <c r="BL165" s="171">
        <v>71.82</v>
      </c>
      <c r="BM165" s="171">
        <v>71.82</v>
      </c>
      <c r="BN165" s="171">
        <v>0.0</v>
      </c>
      <c r="BO165" s="171" t="s">
        <v>514</v>
      </c>
      <c r="BP165" s="171">
        <v>9164381.0</v>
      </c>
      <c r="BQ165" s="171" t="s">
        <v>483</v>
      </c>
      <c r="BR165" s="171" t="s">
        <v>479</v>
      </c>
      <c r="BS165" s="171">
        <v>1.0</v>
      </c>
    </row>
    <row r="166" ht="14.25" customHeight="1">
      <c r="A166" s="122" t="s">
        <v>493</v>
      </c>
      <c r="B166" s="123" t="s">
        <v>494</v>
      </c>
      <c r="C166" s="123">
        <v>107.0</v>
      </c>
      <c r="D166" s="123" t="s">
        <v>146</v>
      </c>
      <c r="E166" s="123" t="s">
        <v>147</v>
      </c>
      <c r="F166" s="124"/>
      <c r="G166" s="124" t="s">
        <v>149</v>
      </c>
      <c r="H166" s="123" t="s">
        <v>2</v>
      </c>
      <c r="I166" s="123" t="s">
        <v>495</v>
      </c>
      <c r="J166" s="123" t="s">
        <v>496</v>
      </c>
      <c r="K166" s="123" t="s">
        <v>497</v>
      </c>
      <c r="L166" s="123" t="s">
        <v>498</v>
      </c>
      <c r="M166" s="125">
        <v>46126.0</v>
      </c>
      <c r="N166" s="123">
        <v>612.0</v>
      </c>
      <c r="O166" s="122">
        <v>9151235.0</v>
      </c>
      <c r="P166" s="125">
        <v>46116.0</v>
      </c>
      <c r="Q166" s="123" t="s">
        <v>500</v>
      </c>
      <c r="R166" s="123">
        <v>40631.0</v>
      </c>
      <c r="S166" s="123" t="s">
        <v>597</v>
      </c>
      <c r="T166" s="123" t="s">
        <v>539</v>
      </c>
      <c r="U166" s="124" t="s">
        <v>598</v>
      </c>
      <c r="V166" s="123" t="s">
        <v>504</v>
      </c>
      <c r="W166" s="124"/>
      <c r="X166" s="123">
        <v>15000.0</v>
      </c>
      <c r="Y166" s="123">
        <v>1.0</v>
      </c>
      <c r="Z166" s="123">
        <v>15000.0</v>
      </c>
      <c r="AA166" s="123" t="s">
        <v>157</v>
      </c>
      <c r="AB166" s="123">
        <v>612.0</v>
      </c>
      <c r="AC166" s="125">
        <v>46116.0</v>
      </c>
      <c r="AD166" s="124" t="s">
        <v>505</v>
      </c>
      <c r="AE166" s="123">
        <v>995400.0</v>
      </c>
      <c r="AF166" s="123" t="s">
        <v>875</v>
      </c>
      <c r="AG166" s="124"/>
      <c r="AH166" s="124"/>
      <c r="AI166" s="123">
        <v>15000.0</v>
      </c>
      <c r="AJ166" s="123" t="s">
        <v>159</v>
      </c>
      <c r="AK166" s="123">
        <v>18.0</v>
      </c>
      <c r="AL166" s="123">
        <v>1350.0</v>
      </c>
      <c r="AM166" s="123">
        <v>1350.0</v>
      </c>
      <c r="AN166" s="123">
        <v>0.0</v>
      </c>
      <c r="AO166" s="123">
        <v>0.0</v>
      </c>
      <c r="AP166" s="123">
        <v>0.0</v>
      </c>
      <c r="AQ166" s="123">
        <v>0.0</v>
      </c>
      <c r="AR166" s="122">
        <v>0.0</v>
      </c>
      <c r="AS166" s="123">
        <v>0.0</v>
      </c>
      <c r="AT166" s="123">
        <v>0.0</v>
      </c>
      <c r="AU166" s="124"/>
      <c r="AV166" s="124"/>
      <c r="AW166" s="123">
        <v>0.0</v>
      </c>
      <c r="AX166" s="123">
        <v>17700.0</v>
      </c>
      <c r="AY166" s="123" t="s">
        <v>31</v>
      </c>
      <c r="AZ166" s="123" t="s">
        <v>31</v>
      </c>
      <c r="BA166" s="123" t="s">
        <v>600</v>
      </c>
      <c r="BB166" s="123">
        <v>1.126100056E9</v>
      </c>
      <c r="BC166" s="123" t="s">
        <v>556</v>
      </c>
      <c r="BD166" s="123" t="s">
        <v>162</v>
      </c>
      <c r="BE166" s="124"/>
      <c r="BF166" s="124" t="s">
        <v>484</v>
      </c>
      <c r="BG166" s="124" t="s">
        <v>482</v>
      </c>
      <c r="BH166" s="123" t="s">
        <v>587</v>
      </c>
      <c r="BI166" s="171" t="s">
        <v>511</v>
      </c>
      <c r="BJ166" s="171" t="s">
        <v>512</v>
      </c>
      <c r="BK166" s="171" t="s">
        <v>589</v>
      </c>
      <c r="BL166" s="171">
        <v>2700.0</v>
      </c>
      <c r="BM166" s="171" t="e">
        <v>#N/A</v>
      </c>
      <c r="BN166" s="171" t="e">
        <v>#N/A</v>
      </c>
      <c r="BO166" s="171" t="s">
        <v>544</v>
      </c>
      <c r="BP166" s="171">
        <v>9167056.0</v>
      </c>
      <c r="BQ166" s="171" t="s">
        <v>481</v>
      </c>
      <c r="BR166" s="171" t="s">
        <v>544</v>
      </c>
      <c r="BS166" s="171">
        <v>3.0</v>
      </c>
    </row>
    <row r="167" ht="14.25" customHeight="1">
      <c r="A167" s="122" t="s">
        <v>493</v>
      </c>
      <c r="B167" s="123" t="s">
        <v>494</v>
      </c>
      <c r="C167" s="123">
        <v>107.0</v>
      </c>
      <c r="D167" s="123" t="s">
        <v>146</v>
      </c>
      <c r="E167" s="123" t="s">
        <v>147</v>
      </c>
      <c r="F167" s="124"/>
      <c r="G167" s="124" t="s">
        <v>149</v>
      </c>
      <c r="H167" s="123" t="s">
        <v>2</v>
      </c>
      <c r="I167" s="123" t="s">
        <v>495</v>
      </c>
      <c r="J167" s="123" t="s">
        <v>496</v>
      </c>
      <c r="K167" s="123" t="s">
        <v>497</v>
      </c>
      <c r="L167" s="123" t="s">
        <v>498</v>
      </c>
      <c r="M167" s="125">
        <v>46127.0</v>
      </c>
      <c r="N167" s="123" t="s">
        <v>499</v>
      </c>
      <c r="O167" s="122">
        <v>9158398.0</v>
      </c>
      <c r="P167" s="125">
        <v>46090.0</v>
      </c>
      <c r="Q167" s="123" t="s">
        <v>500</v>
      </c>
      <c r="R167" s="123">
        <v>35671.0</v>
      </c>
      <c r="S167" s="123" t="s">
        <v>501</v>
      </c>
      <c r="T167" s="123" t="s">
        <v>502</v>
      </c>
      <c r="U167" s="123" t="s">
        <v>503</v>
      </c>
      <c r="V167" s="123" t="s">
        <v>504</v>
      </c>
      <c r="W167" s="124"/>
      <c r="X167" s="123">
        <v>11644.92</v>
      </c>
      <c r="Y167" s="123">
        <v>1.0</v>
      </c>
      <c r="Z167" s="123">
        <v>11644.92</v>
      </c>
      <c r="AA167" s="123" t="s">
        <v>157</v>
      </c>
      <c r="AB167" s="123" t="s">
        <v>499</v>
      </c>
      <c r="AC167" s="125">
        <v>46121.0</v>
      </c>
      <c r="AD167" s="123" t="s">
        <v>505</v>
      </c>
      <c r="AE167" s="123">
        <v>8.42199E7</v>
      </c>
      <c r="AF167" s="123" t="s">
        <v>603</v>
      </c>
      <c r="AG167" s="124"/>
      <c r="AH167" s="124"/>
      <c r="AI167" s="123">
        <v>11644.92</v>
      </c>
      <c r="AJ167" s="123" t="s">
        <v>159</v>
      </c>
      <c r="AK167" s="123">
        <v>18.0</v>
      </c>
      <c r="AL167" s="123">
        <v>0.0</v>
      </c>
      <c r="AM167" s="123">
        <v>0.0</v>
      </c>
      <c r="AN167" s="123">
        <v>2096.09</v>
      </c>
      <c r="AO167" s="123">
        <v>0.0</v>
      </c>
      <c r="AP167" s="123">
        <v>0.0</v>
      </c>
      <c r="AQ167" s="123">
        <v>0.0</v>
      </c>
      <c r="AR167" s="122">
        <v>0.0</v>
      </c>
      <c r="AS167" s="123">
        <v>0.0</v>
      </c>
      <c r="AT167" s="123">
        <v>0.0</v>
      </c>
      <c r="AU167" s="124"/>
      <c r="AV167" s="124"/>
      <c r="AW167" s="123">
        <v>0.0</v>
      </c>
      <c r="AX167" s="123">
        <v>13741.01</v>
      </c>
      <c r="AY167" s="123" t="s">
        <v>31</v>
      </c>
      <c r="AZ167" s="123" t="s">
        <v>31</v>
      </c>
      <c r="BA167" s="123" t="s">
        <v>507</v>
      </c>
      <c r="BB167" s="123">
        <v>1.126100105E9</v>
      </c>
      <c r="BC167" s="123" t="s">
        <v>508</v>
      </c>
      <c r="BD167" s="123" t="s">
        <v>509</v>
      </c>
      <c r="BE167" s="124"/>
      <c r="BF167" s="124" t="s">
        <v>484</v>
      </c>
      <c r="BG167" s="124" t="s">
        <v>482</v>
      </c>
      <c r="BH167" s="123" t="s">
        <v>510</v>
      </c>
      <c r="BI167" s="171" t="s">
        <v>511</v>
      </c>
      <c r="BJ167" s="171" t="s">
        <v>512</v>
      </c>
      <c r="BK167" s="171" t="s">
        <v>662</v>
      </c>
      <c r="BL167" s="171">
        <v>405.0</v>
      </c>
      <c r="BM167" s="171">
        <v>6033.6</v>
      </c>
      <c r="BN167" s="171">
        <v>-5629.0</v>
      </c>
      <c r="BO167" s="171" t="s">
        <v>514</v>
      </c>
      <c r="BP167" s="171">
        <v>9177498.0</v>
      </c>
      <c r="BQ167" s="171" t="s">
        <v>483</v>
      </c>
      <c r="BR167" s="171" t="s">
        <v>479</v>
      </c>
      <c r="BS167" s="171">
        <v>3.0</v>
      </c>
    </row>
    <row r="168" ht="14.25" customHeight="1">
      <c r="A168" s="122" t="s">
        <v>493</v>
      </c>
      <c r="B168" s="123" t="s">
        <v>494</v>
      </c>
      <c r="C168" s="123">
        <v>107.0</v>
      </c>
      <c r="D168" s="123" t="s">
        <v>146</v>
      </c>
      <c r="E168" s="123" t="s">
        <v>147</v>
      </c>
      <c r="F168" s="124"/>
      <c r="G168" s="124" t="s">
        <v>149</v>
      </c>
      <c r="H168" s="123" t="s">
        <v>2</v>
      </c>
      <c r="I168" s="123" t="s">
        <v>495</v>
      </c>
      <c r="J168" s="123" t="s">
        <v>496</v>
      </c>
      <c r="K168" s="123" t="s">
        <v>497</v>
      </c>
      <c r="L168" s="123" t="s">
        <v>498</v>
      </c>
      <c r="M168" s="125">
        <v>46140.0</v>
      </c>
      <c r="N168" s="123" t="s">
        <v>516</v>
      </c>
      <c r="O168" s="122">
        <v>9174963.0</v>
      </c>
      <c r="P168" s="125">
        <v>46129.0</v>
      </c>
      <c r="Q168" s="123" t="s">
        <v>500</v>
      </c>
      <c r="R168" s="123">
        <v>35671.0</v>
      </c>
      <c r="S168" s="123" t="s">
        <v>501</v>
      </c>
      <c r="T168" s="123" t="s">
        <v>502</v>
      </c>
      <c r="U168" s="123" t="s">
        <v>503</v>
      </c>
      <c r="V168" s="123" t="s">
        <v>504</v>
      </c>
      <c r="W168" s="124"/>
      <c r="X168" s="123">
        <v>275.0</v>
      </c>
      <c r="Y168" s="123">
        <v>24.0</v>
      </c>
      <c r="Z168" s="123">
        <v>6600.0</v>
      </c>
      <c r="AA168" s="123" t="s">
        <v>157</v>
      </c>
      <c r="AB168" s="123" t="s">
        <v>516</v>
      </c>
      <c r="AC168" s="125">
        <v>46129.0</v>
      </c>
      <c r="AD168" s="123" t="s">
        <v>505</v>
      </c>
      <c r="AE168" s="123">
        <v>996200.0</v>
      </c>
      <c r="AF168" s="123" t="s">
        <v>826</v>
      </c>
      <c r="AG168" s="124"/>
      <c r="AH168" s="124"/>
      <c r="AI168" s="123">
        <v>6600.0</v>
      </c>
      <c r="AJ168" s="123" t="s">
        <v>159</v>
      </c>
      <c r="AK168" s="123">
        <v>18.0</v>
      </c>
      <c r="AL168" s="123">
        <v>0.0</v>
      </c>
      <c r="AM168" s="123">
        <v>0.0</v>
      </c>
      <c r="AN168" s="123">
        <v>1188.0</v>
      </c>
      <c r="AO168" s="123">
        <v>0.0</v>
      </c>
      <c r="AP168" s="123">
        <v>0.0</v>
      </c>
      <c r="AQ168" s="123">
        <v>0.0</v>
      </c>
      <c r="AR168" s="122">
        <v>0.0</v>
      </c>
      <c r="AS168" s="123">
        <v>0.0</v>
      </c>
      <c r="AT168" s="123">
        <v>0.0</v>
      </c>
      <c r="AU168" s="124"/>
      <c r="AV168" s="124"/>
      <c r="AW168" s="123">
        <v>0.0</v>
      </c>
      <c r="AX168" s="123">
        <v>7788.0</v>
      </c>
      <c r="AY168" s="123" t="s">
        <v>31</v>
      </c>
      <c r="AZ168" s="123" t="s">
        <v>31</v>
      </c>
      <c r="BA168" s="123" t="s">
        <v>518</v>
      </c>
      <c r="BB168" s="123">
        <v>1.126100446E9</v>
      </c>
      <c r="BC168" s="123" t="s">
        <v>508</v>
      </c>
      <c r="BD168" s="123" t="s">
        <v>509</v>
      </c>
      <c r="BE168" s="124"/>
      <c r="BF168" s="124" t="s">
        <v>484</v>
      </c>
      <c r="BG168" s="124" t="s">
        <v>482</v>
      </c>
      <c r="BH168" s="123" t="s">
        <v>510</v>
      </c>
      <c r="BI168" s="171" t="s">
        <v>511</v>
      </c>
      <c r="BJ168" s="171" t="s">
        <v>512</v>
      </c>
      <c r="BK168" s="171" t="s">
        <v>659</v>
      </c>
      <c r="BL168" s="171">
        <v>123.34</v>
      </c>
      <c r="BM168" s="171">
        <v>2568.6</v>
      </c>
      <c r="BN168" s="171">
        <v>-2445.0</v>
      </c>
      <c r="BO168" s="171" t="s">
        <v>514</v>
      </c>
      <c r="BP168" s="171">
        <v>9155607.0</v>
      </c>
      <c r="BQ168" s="171" t="s">
        <v>483</v>
      </c>
      <c r="BR168" s="171" t="s">
        <v>479</v>
      </c>
      <c r="BS168" s="171">
        <v>4.0</v>
      </c>
    </row>
    <row r="169" ht="14.25" customHeight="1">
      <c r="A169" s="122" t="s">
        <v>493</v>
      </c>
      <c r="B169" s="123" t="s">
        <v>494</v>
      </c>
      <c r="C169" s="123">
        <v>107.0</v>
      </c>
      <c r="D169" s="123" t="s">
        <v>146</v>
      </c>
      <c r="E169" s="123" t="s">
        <v>147</v>
      </c>
      <c r="F169" s="124"/>
      <c r="G169" s="124" t="s">
        <v>149</v>
      </c>
      <c r="H169" s="123" t="s">
        <v>2</v>
      </c>
      <c r="I169" s="123" t="s">
        <v>495</v>
      </c>
      <c r="J169" s="123" t="s">
        <v>496</v>
      </c>
      <c r="K169" s="123" t="s">
        <v>497</v>
      </c>
      <c r="L169" s="123" t="s">
        <v>498</v>
      </c>
      <c r="M169" s="125">
        <v>46127.0</v>
      </c>
      <c r="N169" s="123" t="s">
        <v>520</v>
      </c>
      <c r="O169" s="122">
        <v>9156749.0</v>
      </c>
      <c r="P169" s="125">
        <v>46115.0</v>
      </c>
      <c r="Q169" s="123" t="s">
        <v>500</v>
      </c>
      <c r="R169" s="123">
        <v>6262.0</v>
      </c>
      <c r="S169" s="123" t="s">
        <v>521</v>
      </c>
      <c r="T169" s="123" t="s">
        <v>522</v>
      </c>
      <c r="U169" s="123" t="s">
        <v>523</v>
      </c>
      <c r="V169" s="123" t="s">
        <v>504</v>
      </c>
      <c r="W169" s="124"/>
      <c r="X169" s="123">
        <v>1.0</v>
      </c>
      <c r="Y169" s="123">
        <v>2395.0</v>
      </c>
      <c r="Z169" s="123">
        <v>2395.0</v>
      </c>
      <c r="AA169" s="123" t="s">
        <v>157</v>
      </c>
      <c r="AB169" s="123" t="s">
        <v>524</v>
      </c>
      <c r="AC169" s="125">
        <v>46115.0</v>
      </c>
      <c r="AD169" s="123" t="s">
        <v>525</v>
      </c>
      <c r="AE169" s="123">
        <v>998413.0</v>
      </c>
      <c r="AF169" s="123" t="s">
        <v>526</v>
      </c>
      <c r="AG169" s="124"/>
      <c r="AH169" s="124"/>
      <c r="AI169" s="123">
        <v>2395.0</v>
      </c>
      <c r="AJ169" s="123" t="s">
        <v>159</v>
      </c>
      <c r="AK169" s="123">
        <v>18.0</v>
      </c>
      <c r="AL169" s="123">
        <v>215.55</v>
      </c>
      <c r="AM169" s="123">
        <v>215.55</v>
      </c>
      <c r="AN169" s="123">
        <v>0.0</v>
      </c>
      <c r="AO169" s="123">
        <v>0.0</v>
      </c>
      <c r="AP169" s="123">
        <v>0.0</v>
      </c>
      <c r="AQ169" s="123">
        <v>0.0</v>
      </c>
      <c r="AR169" s="122">
        <v>0.0</v>
      </c>
      <c r="AS169" s="123">
        <v>0.0</v>
      </c>
      <c r="AT169" s="123">
        <v>0.0</v>
      </c>
      <c r="AU169" s="124"/>
      <c r="AV169" s="124"/>
      <c r="AW169" s="123">
        <v>0.0</v>
      </c>
      <c r="AX169" s="123">
        <v>2826.1</v>
      </c>
      <c r="AY169" s="123" t="s">
        <v>20</v>
      </c>
      <c r="AZ169" s="123" t="s">
        <v>31</v>
      </c>
      <c r="BA169" s="123" t="s">
        <v>527</v>
      </c>
      <c r="BB169" s="123">
        <v>1.126100078E9</v>
      </c>
      <c r="BC169" s="123" t="s">
        <v>187</v>
      </c>
      <c r="BD169" s="123" t="s">
        <v>162</v>
      </c>
      <c r="BE169" s="124"/>
      <c r="BF169" s="124" t="s">
        <v>483</v>
      </c>
      <c r="BG169" s="124" t="s">
        <v>482</v>
      </c>
      <c r="BH169" s="123" t="s">
        <v>510</v>
      </c>
      <c r="BI169" s="171" t="s">
        <v>511</v>
      </c>
      <c r="BJ169" s="171" t="s">
        <v>512</v>
      </c>
      <c r="BK169" s="171" t="s">
        <v>720</v>
      </c>
      <c r="BL169" s="171">
        <v>964.13</v>
      </c>
      <c r="BM169" s="171">
        <v>1632.71</v>
      </c>
      <c r="BN169" s="171">
        <v>-669.0</v>
      </c>
      <c r="BO169" s="171" t="s">
        <v>514</v>
      </c>
      <c r="BP169" s="171">
        <v>9164653.0</v>
      </c>
      <c r="BQ169" s="171" t="s">
        <v>484</v>
      </c>
      <c r="BR169" s="171" t="s">
        <v>479</v>
      </c>
      <c r="BS169" s="171">
        <v>3.0</v>
      </c>
    </row>
    <row r="170" ht="14.25" customHeight="1">
      <c r="A170" s="122" t="s">
        <v>493</v>
      </c>
      <c r="B170" s="123" t="s">
        <v>494</v>
      </c>
      <c r="C170" s="123">
        <v>107.0</v>
      </c>
      <c r="D170" s="123" t="s">
        <v>146</v>
      </c>
      <c r="E170" s="123" t="s">
        <v>147</v>
      </c>
      <c r="F170" s="124"/>
      <c r="G170" s="124" t="s">
        <v>149</v>
      </c>
      <c r="H170" s="123" t="s">
        <v>2</v>
      </c>
      <c r="I170" s="123" t="s">
        <v>495</v>
      </c>
      <c r="J170" s="123" t="s">
        <v>496</v>
      </c>
      <c r="K170" s="123" t="s">
        <v>497</v>
      </c>
      <c r="L170" s="123" t="s">
        <v>498</v>
      </c>
      <c r="M170" s="125">
        <v>46140.0</v>
      </c>
      <c r="N170" s="123" t="s">
        <v>551</v>
      </c>
      <c r="O170" s="122">
        <v>9175014.0</v>
      </c>
      <c r="P170" s="125">
        <v>46129.0</v>
      </c>
      <c r="Q170" s="123" t="s">
        <v>500</v>
      </c>
      <c r="R170" s="123">
        <v>15979.0</v>
      </c>
      <c r="S170" s="123" t="s">
        <v>552</v>
      </c>
      <c r="T170" s="123" t="s">
        <v>539</v>
      </c>
      <c r="U170" s="123" t="s">
        <v>553</v>
      </c>
      <c r="V170" s="123" t="s">
        <v>504</v>
      </c>
      <c r="W170" s="124"/>
      <c r="X170" s="123">
        <v>68.0</v>
      </c>
      <c r="Y170" s="123">
        <v>1.0</v>
      </c>
      <c r="Z170" s="123">
        <v>68.0</v>
      </c>
      <c r="AA170" s="123" t="s">
        <v>157</v>
      </c>
      <c r="AB170" s="123" t="s">
        <v>551</v>
      </c>
      <c r="AC170" s="125">
        <v>46129.0</v>
      </c>
      <c r="AD170" s="123" t="s">
        <v>505</v>
      </c>
      <c r="AE170" s="123">
        <v>8.708109E7</v>
      </c>
      <c r="AF170" s="123" t="s">
        <v>876</v>
      </c>
      <c r="AG170" s="124"/>
      <c r="AH170" s="124"/>
      <c r="AI170" s="123">
        <v>68.0</v>
      </c>
      <c r="AJ170" s="123" t="s">
        <v>159</v>
      </c>
      <c r="AK170" s="123">
        <v>18.0</v>
      </c>
      <c r="AL170" s="123">
        <v>6.12</v>
      </c>
      <c r="AM170" s="123">
        <v>6.12</v>
      </c>
      <c r="AN170" s="123">
        <v>0.0</v>
      </c>
      <c r="AO170" s="123">
        <v>0.0</v>
      </c>
      <c r="AP170" s="123">
        <v>0.0</v>
      </c>
      <c r="AQ170" s="123">
        <v>0.0</v>
      </c>
      <c r="AR170" s="122">
        <v>0.0</v>
      </c>
      <c r="AS170" s="123">
        <v>0.0</v>
      </c>
      <c r="AT170" s="123">
        <v>0.0</v>
      </c>
      <c r="AU170" s="124"/>
      <c r="AV170" s="124"/>
      <c r="AW170" s="123">
        <v>0.0</v>
      </c>
      <c r="AX170" s="123">
        <v>80.24</v>
      </c>
      <c r="AY170" s="123" t="s">
        <v>31</v>
      </c>
      <c r="AZ170" s="123" t="s">
        <v>31</v>
      </c>
      <c r="BA170" s="123" t="s">
        <v>555</v>
      </c>
      <c r="BB170" s="123">
        <v>1.126100447E9</v>
      </c>
      <c r="BC170" s="123" t="s">
        <v>556</v>
      </c>
      <c r="BD170" s="123" t="s">
        <v>509</v>
      </c>
      <c r="BE170" s="124"/>
      <c r="BF170" s="124" t="s">
        <v>484</v>
      </c>
      <c r="BG170" s="124" t="s">
        <v>482</v>
      </c>
      <c r="BH170" s="123" t="s">
        <v>510</v>
      </c>
      <c r="BI170" s="171" t="s">
        <v>511</v>
      </c>
      <c r="BJ170" s="171" t="s">
        <v>512</v>
      </c>
      <c r="BK170" s="171" t="s">
        <v>877</v>
      </c>
      <c r="BL170" s="171">
        <v>117000.0</v>
      </c>
      <c r="BM170" s="171">
        <v>117000.0</v>
      </c>
      <c r="BN170" s="171">
        <v>0.0</v>
      </c>
      <c r="BO170" s="171" t="s">
        <v>514</v>
      </c>
      <c r="BP170" s="171">
        <v>9178850.0</v>
      </c>
      <c r="BQ170" s="171" t="s">
        <v>484</v>
      </c>
      <c r="BR170" s="171" t="s">
        <v>476</v>
      </c>
      <c r="BS170" s="171">
        <v>1.0</v>
      </c>
    </row>
    <row r="171" ht="14.25" customHeight="1">
      <c r="A171" s="122" t="s">
        <v>493</v>
      </c>
      <c r="B171" s="123" t="s">
        <v>494</v>
      </c>
      <c r="C171" s="123">
        <v>107.0</v>
      </c>
      <c r="D171" s="123" t="s">
        <v>146</v>
      </c>
      <c r="E171" s="123" t="s">
        <v>147</v>
      </c>
      <c r="F171" s="124"/>
      <c r="G171" s="124"/>
      <c r="H171" s="123" t="s">
        <v>2</v>
      </c>
      <c r="I171" s="123" t="s">
        <v>495</v>
      </c>
      <c r="J171" s="123" t="s">
        <v>528</v>
      </c>
      <c r="K171" s="123" t="s">
        <v>529</v>
      </c>
      <c r="L171" s="123" t="s">
        <v>498</v>
      </c>
      <c r="M171" s="125">
        <v>46125.0</v>
      </c>
      <c r="N171" s="123" t="s">
        <v>878</v>
      </c>
      <c r="O171" s="122">
        <v>9151137.0</v>
      </c>
      <c r="P171" s="125">
        <v>46113.0</v>
      </c>
      <c r="Q171" s="123" t="s">
        <v>500</v>
      </c>
      <c r="R171" s="123">
        <v>40036.0</v>
      </c>
      <c r="S171" s="123" t="s">
        <v>879</v>
      </c>
      <c r="T171" s="123" t="s">
        <v>637</v>
      </c>
      <c r="U171" s="123" t="s">
        <v>880</v>
      </c>
      <c r="V171" s="123" t="s">
        <v>504</v>
      </c>
      <c r="W171" s="124"/>
      <c r="X171" s="123">
        <v>8123625.0</v>
      </c>
      <c r="Y171" s="123">
        <v>1.0</v>
      </c>
      <c r="Z171" s="123">
        <v>8123625.0</v>
      </c>
      <c r="AA171" s="123" t="s">
        <v>157</v>
      </c>
      <c r="AB171" s="123" t="s">
        <v>878</v>
      </c>
      <c r="AC171" s="125">
        <v>46113.0</v>
      </c>
      <c r="AD171" s="123" t="s">
        <v>525</v>
      </c>
      <c r="AE171" s="123">
        <v>997212.0</v>
      </c>
      <c r="AF171" s="123" t="s">
        <v>881</v>
      </c>
      <c r="AG171" s="124"/>
      <c r="AH171" s="124"/>
      <c r="AI171" s="123">
        <v>8123625.0</v>
      </c>
      <c r="AJ171" s="123" t="s">
        <v>159</v>
      </c>
      <c r="AK171" s="123">
        <v>18.0</v>
      </c>
      <c r="AL171" s="123">
        <v>731126.25</v>
      </c>
      <c r="AM171" s="123">
        <v>731126.25</v>
      </c>
      <c r="AN171" s="123">
        <v>0.0</v>
      </c>
      <c r="AO171" s="123">
        <v>0.0</v>
      </c>
      <c r="AP171" s="123">
        <v>0.0</v>
      </c>
      <c r="AQ171" s="123">
        <v>0.0</v>
      </c>
      <c r="AR171" s="122">
        <v>0.0</v>
      </c>
      <c r="AS171" s="123">
        <v>0.0</v>
      </c>
      <c r="AT171" s="123">
        <v>0.0</v>
      </c>
      <c r="AU171" s="124"/>
      <c r="AV171" s="124"/>
      <c r="AW171" s="123">
        <v>0.0</v>
      </c>
      <c r="AX171" s="123">
        <v>9585877.5</v>
      </c>
      <c r="AY171" s="123" t="s">
        <v>20</v>
      </c>
      <c r="AZ171" s="123" t="s">
        <v>31</v>
      </c>
      <c r="BA171" s="123" t="s">
        <v>857</v>
      </c>
      <c r="BB171" s="123">
        <v>1.126100027E9</v>
      </c>
      <c r="BC171" s="123" t="s">
        <v>187</v>
      </c>
      <c r="BD171" s="123" t="s">
        <v>162</v>
      </c>
      <c r="BE171" s="124"/>
      <c r="BF171" s="124" t="s">
        <v>483</v>
      </c>
      <c r="BG171" s="124" t="s">
        <v>482</v>
      </c>
      <c r="BH171" s="123" t="s">
        <v>510</v>
      </c>
      <c r="BI171" s="171" t="s">
        <v>511</v>
      </c>
      <c r="BJ171" s="171" t="s">
        <v>512</v>
      </c>
      <c r="BK171" s="171" t="s">
        <v>882</v>
      </c>
      <c r="BL171" s="171">
        <v>25200.0</v>
      </c>
      <c r="BM171" s="171">
        <v>25200.0</v>
      </c>
      <c r="BN171" s="171">
        <v>0.0</v>
      </c>
      <c r="BO171" s="171" t="s">
        <v>514</v>
      </c>
      <c r="BP171" s="171">
        <v>9151133.0</v>
      </c>
      <c r="BQ171" s="171" t="s">
        <v>484</v>
      </c>
      <c r="BR171" s="171" t="s">
        <v>479</v>
      </c>
      <c r="BS171" s="171">
        <v>1.0</v>
      </c>
    </row>
    <row r="172" ht="14.25" customHeight="1">
      <c r="A172" s="122" t="s">
        <v>493</v>
      </c>
      <c r="B172" s="123" t="s">
        <v>494</v>
      </c>
      <c r="C172" s="123">
        <v>107.0</v>
      </c>
      <c r="D172" s="123" t="s">
        <v>146</v>
      </c>
      <c r="E172" s="123" t="s">
        <v>147</v>
      </c>
      <c r="F172" s="124"/>
      <c r="G172" s="124"/>
      <c r="H172" s="123" t="s">
        <v>2</v>
      </c>
      <c r="I172" s="123" t="s">
        <v>495</v>
      </c>
      <c r="J172" s="123" t="s">
        <v>528</v>
      </c>
      <c r="K172" s="123" t="s">
        <v>529</v>
      </c>
      <c r="L172" s="123" t="s">
        <v>498</v>
      </c>
      <c r="M172" s="125">
        <v>46126.0</v>
      </c>
      <c r="N172" s="123" t="s">
        <v>530</v>
      </c>
      <c r="O172" s="122">
        <v>9155613.0</v>
      </c>
      <c r="P172" s="125">
        <v>46114.0</v>
      </c>
      <c r="Q172" s="123" t="s">
        <v>500</v>
      </c>
      <c r="R172" s="123">
        <v>2770.0</v>
      </c>
      <c r="S172" s="123" t="s">
        <v>531</v>
      </c>
      <c r="T172" s="123" t="s">
        <v>532</v>
      </c>
      <c r="U172" s="123" t="s">
        <v>533</v>
      </c>
      <c r="V172" s="123" t="s">
        <v>504</v>
      </c>
      <c r="W172" s="124"/>
      <c r="X172" s="123">
        <v>1.0</v>
      </c>
      <c r="Y172" s="123">
        <v>2447.25</v>
      </c>
      <c r="Z172" s="123">
        <v>2447.25</v>
      </c>
      <c r="AA172" s="123" t="s">
        <v>157</v>
      </c>
      <c r="AB172" s="123" t="s">
        <v>530</v>
      </c>
      <c r="AC172" s="125">
        <v>46114.0</v>
      </c>
      <c r="AD172" s="123" t="s">
        <v>525</v>
      </c>
      <c r="AE172" s="123">
        <v>8.4439952E7</v>
      </c>
      <c r="AF172" s="123" t="s">
        <v>883</v>
      </c>
      <c r="AG172" s="124"/>
      <c r="AH172" s="124"/>
      <c r="AI172" s="123">
        <v>2447.25</v>
      </c>
      <c r="AJ172" s="123" t="s">
        <v>159</v>
      </c>
      <c r="AK172" s="123">
        <v>18.0</v>
      </c>
      <c r="AL172" s="123">
        <v>220.25</v>
      </c>
      <c r="AM172" s="123">
        <v>220.25</v>
      </c>
      <c r="AN172" s="123">
        <v>0.0</v>
      </c>
      <c r="AO172" s="123">
        <v>0.0</v>
      </c>
      <c r="AP172" s="123">
        <v>0.0</v>
      </c>
      <c r="AQ172" s="123">
        <v>0.0</v>
      </c>
      <c r="AR172" s="122">
        <v>0.0</v>
      </c>
      <c r="AS172" s="123">
        <v>0.0</v>
      </c>
      <c r="AT172" s="123">
        <v>0.0</v>
      </c>
      <c r="AU172" s="124"/>
      <c r="AV172" s="124"/>
      <c r="AW172" s="123">
        <v>0.0</v>
      </c>
      <c r="AX172" s="123">
        <v>2887.75</v>
      </c>
      <c r="AY172" s="123" t="s">
        <v>20</v>
      </c>
      <c r="AZ172" s="123" t="s">
        <v>31</v>
      </c>
      <c r="BA172" s="123" t="s">
        <v>535</v>
      </c>
      <c r="BB172" s="123">
        <v>1.126100063E9</v>
      </c>
      <c r="BC172" s="123" t="s">
        <v>187</v>
      </c>
      <c r="BD172" s="123" t="s">
        <v>162</v>
      </c>
      <c r="BE172" s="124"/>
      <c r="BF172" s="124" t="s">
        <v>483</v>
      </c>
      <c r="BG172" s="124" t="s">
        <v>482</v>
      </c>
      <c r="BH172" s="123" t="s">
        <v>510</v>
      </c>
      <c r="BI172" s="171" t="s">
        <v>511</v>
      </c>
      <c r="BJ172" s="171" t="s">
        <v>512</v>
      </c>
      <c r="BK172" s="171" t="s">
        <v>884</v>
      </c>
      <c r="BL172" s="171">
        <v>673.84</v>
      </c>
      <c r="BM172" s="171">
        <v>673.84</v>
      </c>
      <c r="BN172" s="171">
        <v>0.0</v>
      </c>
      <c r="BO172" s="171" t="s">
        <v>514</v>
      </c>
      <c r="BP172" s="171">
        <v>9155617.0</v>
      </c>
      <c r="BQ172" s="171" t="s">
        <v>483</v>
      </c>
      <c r="BR172" s="171" t="s">
        <v>479</v>
      </c>
      <c r="BS172" s="171">
        <v>1.0</v>
      </c>
    </row>
    <row r="173" ht="14.25" customHeight="1">
      <c r="A173" s="122" t="s">
        <v>493</v>
      </c>
      <c r="B173" s="123" t="s">
        <v>494</v>
      </c>
      <c r="C173" s="123">
        <v>107.0</v>
      </c>
      <c r="D173" s="123" t="s">
        <v>146</v>
      </c>
      <c r="E173" s="123" t="s">
        <v>147</v>
      </c>
      <c r="F173" s="124"/>
      <c r="G173" s="124"/>
      <c r="H173" s="123" t="s">
        <v>2</v>
      </c>
      <c r="I173" s="123" t="s">
        <v>495</v>
      </c>
      <c r="J173" s="123" t="s">
        <v>528</v>
      </c>
      <c r="K173" s="123" t="s">
        <v>529</v>
      </c>
      <c r="L173" s="123" t="s">
        <v>498</v>
      </c>
      <c r="M173" s="125">
        <v>46126.0</v>
      </c>
      <c r="N173" s="123" t="s">
        <v>545</v>
      </c>
      <c r="O173" s="122">
        <v>9155610.0</v>
      </c>
      <c r="P173" s="125">
        <v>46114.0</v>
      </c>
      <c r="Q173" s="123" t="s">
        <v>500</v>
      </c>
      <c r="R173" s="123">
        <v>2770.0</v>
      </c>
      <c r="S173" s="123" t="s">
        <v>531</v>
      </c>
      <c r="T173" s="123" t="s">
        <v>532</v>
      </c>
      <c r="U173" s="123" t="s">
        <v>533</v>
      </c>
      <c r="V173" s="124" t="s">
        <v>504</v>
      </c>
      <c r="W173" s="124"/>
      <c r="X173" s="123">
        <v>1.0</v>
      </c>
      <c r="Y173" s="123">
        <v>2286.9</v>
      </c>
      <c r="Z173" s="123">
        <v>2286.9</v>
      </c>
      <c r="AA173" s="123" t="s">
        <v>157</v>
      </c>
      <c r="AB173" s="123" t="s">
        <v>545</v>
      </c>
      <c r="AC173" s="125">
        <v>46114.0</v>
      </c>
      <c r="AD173" s="124" t="s">
        <v>525</v>
      </c>
      <c r="AE173" s="123">
        <v>8.4439952E7</v>
      </c>
      <c r="AF173" s="123" t="s">
        <v>885</v>
      </c>
      <c r="AG173" s="124"/>
      <c r="AH173" s="124"/>
      <c r="AI173" s="123">
        <v>2286.9</v>
      </c>
      <c r="AJ173" s="123" t="s">
        <v>159</v>
      </c>
      <c r="AK173" s="123">
        <v>18.0</v>
      </c>
      <c r="AL173" s="123">
        <v>205.82</v>
      </c>
      <c r="AM173" s="123">
        <v>205.82</v>
      </c>
      <c r="AN173" s="123">
        <v>0.0</v>
      </c>
      <c r="AO173" s="123">
        <v>0.0</v>
      </c>
      <c r="AP173" s="123">
        <v>0.0</v>
      </c>
      <c r="AQ173" s="123">
        <v>0.0</v>
      </c>
      <c r="AR173" s="122">
        <v>0.0</v>
      </c>
      <c r="AS173" s="123">
        <v>0.0</v>
      </c>
      <c r="AT173" s="123">
        <v>0.0</v>
      </c>
      <c r="AU173" s="124"/>
      <c r="AV173" s="124"/>
      <c r="AW173" s="123">
        <v>0.0</v>
      </c>
      <c r="AX173" s="123">
        <v>2698.54</v>
      </c>
      <c r="AY173" s="123" t="s">
        <v>20</v>
      </c>
      <c r="AZ173" s="123" t="s">
        <v>31</v>
      </c>
      <c r="BA173" s="123" t="s">
        <v>535</v>
      </c>
      <c r="BB173" s="123">
        <v>1.12610006E9</v>
      </c>
      <c r="BC173" s="123" t="s">
        <v>187</v>
      </c>
      <c r="BD173" s="123" t="s">
        <v>162</v>
      </c>
      <c r="BE173" s="124"/>
      <c r="BF173" s="124" t="s">
        <v>483</v>
      </c>
      <c r="BG173" s="124" t="s">
        <v>482</v>
      </c>
      <c r="BH173" s="123" t="s">
        <v>510</v>
      </c>
      <c r="BI173" s="171" t="s">
        <v>511</v>
      </c>
      <c r="BJ173" s="171" t="s">
        <v>512</v>
      </c>
      <c r="BK173" s="171" t="s">
        <v>886</v>
      </c>
      <c r="BL173" s="171">
        <v>1453.5</v>
      </c>
      <c r="BM173" s="171">
        <v>1454.0</v>
      </c>
      <c r="BN173" s="171">
        <v>-1.0</v>
      </c>
      <c r="BO173" s="171" t="s">
        <v>514</v>
      </c>
      <c r="BP173" s="171">
        <v>9178797.0</v>
      </c>
      <c r="BQ173" s="171" t="s">
        <v>484</v>
      </c>
      <c r="BR173" s="171" t="s">
        <v>476</v>
      </c>
      <c r="BS173" s="171">
        <v>1.0</v>
      </c>
    </row>
    <row r="174" ht="14.25" customHeight="1">
      <c r="A174" s="122" t="s">
        <v>493</v>
      </c>
      <c r="B174" s="123" t="s">
        <v>494</v>
      </c>
      <c r="C174" s="123">
        <v>107.0</v>
      </c>
      <c r="D174" s="123" t="s">
        <v>146</v>
      </c>
      <c r="E174" s="123" t="s">
        <v>147</v>
      </c>
      <c r="F174" s="124"/>
      <c r="G174" s="124"/>
      <c r="H174" s="123" t="s">
        <v>2</v>
      </c>
      <c r="I174" s="123" t="s">
        <v>495</v>
      </c>
      <c r="J174" s="123" t="s">
        <v>528</v>
      </c>
      <c r="K174" s="123" t="s">
        <v>529</v>
      </c>
      <c r="L174" s="123" t="s">
        <v>498</v>
      </c>
      <c r="M174" s="125">
        <v>46125.0</v>
      </c>
      <c r="N174" s="123" t="s">
        <v>835</v>
      </c>
      <c r="O174" s="122">
        <v>9151139.0</v>
      </c>
      <c r="P174" s="125">
        <v>46116.0</v>
      </c>
      <c r="Q174" s="123" t="s">
        <v>500</v>
      </c>
      <c r="R174" s="123">
        <v>38972.0</v>
      </c>
      <c r="S174" s="123" t="s">
        <v>836</v>
      </c>
      <c r="T174" s="123" t="s">
        <v>837</v>
      </c>
      <c r="U174" s="123" t="s">
        <v>838</v>
      </c>
      <c r="V174" s="123" t="s">
        <v>504</v>
      </c>
      <c r="W174" s="124"/>
      <c r="X174" s="123">
        <v>60746.0</v>
      </c>
      <c r="Y174" s="123">
        <v>1.0</v>
      </c>
      <c r="Z174" s="123">
        <v>60746.0</v>
      </c>
      <c r="AA174" s="123" t="s">
        <v>157</v>
      </c>
      <c r="AB174" s="123" t="s">
        <v>839</v>
      </c>
      <c r="AC174" s="125">
        <v>46116.0</v>
      </c>
      <c r="AD174" s="123" t="s">
        <v>525</v>
      </c>
      <c r="AE174" s="123">
        <v>991419.0</v>
      </c>
      <c r="AF174" s="123" t="s">
        <v>887</v>
      </c>
      <c r="AG174" s="124"/>
      <c r="AH174" s="124"/>
      <c r="AI174" s="123">
        <v>60746.0</v>
      </c>
      <c r="AJ174" s="123" t="s">
        <v>159</v>
      </c>
      <c r="AK174" s="123">
        <v>18.0</v>
      </c>
      <c r="AL174" s="123">
        <v>5467.14</v>
      </c>
      <c r="AM174" s="123">
        <v>5467.14</v>
      </c>
      <c r="AN174" s="123">
        <v>0.0</v>
      </c>
      <c r="AO174" s="123">
        <v>0.0</v>
      </c>
      <c r="AP174" s="123">
        <v>0.0</v>
      </c>
      <c r="AQ174" s="123">
        <v>0.0</v>
      </c>
      <c r="AR174" s="122">
        <v>0.0</v>
      </c>
      <c r="AS174" s="123">
        <v>0.0</v>
      </c>
      <c r="AT174" s="123">
        <v>0.0</v>
      </c>
      <c r="AU174" s="124"/>
      <c r="AV174" s="124"/>
      <c r="AW174" s="123">
        <v>0.0</v>
      </c>
      <c r="AX174" s="123">
        <v>71680.28</v>
      </c>
      <c r="AY174" s="123" t="s">
        <v>31</v>
      </c>
      <c r="AZ174" s="123" t="s">
        <v>31</v>
      </c>
      <c r="BA174" s="123" t="s">
        <v>841</v>
      </c>
      <c r="BB174" s="123">
        <v>1.12610003E9</v>
      </c>
      <c r="BC174" s="123" t="s">
        <v>556</v>
      </c>
      <c r="BD174" s="123" t="s">
        <v>162</v>
      </c>
      <c r="BE174" s="124"/>
      <c r="BF174" s="124" t="s">
        <v>484</v>
      </c>
      <c r="BG174" s="124" t="s">
        <v>482</v>
      </c>
      <c r="BH174" s="123" t="s">
        <v>510</v>
      </c>
      <c r="BI174" s="171" t="s">
        <v>511</v>
      </c>
      <c r="BJ174" s="171" t="s">
        <v>512</v>
      </c>
      <c r="BK174" s="171" t="s">
        <v>681</v>
      </c>
      <c r="BL174" s="171">
        <v>627.66</v>
      </c>
      <c r="BM174" s="171">
        <v>1873.72</v>
      </c>
      <c r="BN174" s="171">
        <v>-1246.0</v>
      </c>
      <c r="BO174" s="171" t="s">
        <v>514</v>
      </c>
      <c r="BP174" s="171">
        <v>9155608.0</v>
      </c>
      <c r="BQ174" s="171" t="s">
        <v>483</v>
      </c>
      <c r="BR174" s="171" t="s">
        <v>479</v>
      </c>
      <c r="BS174" s="171">
        <v>4.0</v>
      </c>
    </row>
    <row r="175" ht="14.25" customHeight="1">
      <c r="A175" s="122" t="s">
        <v>493</v>
      </c>
      <c r="B175" s="123" t="s">
        <v>494</v>
      </c>
      <c r="C175" s="123">
        <v>107.0</v>
      </c>
      <c r="D175" s="123" t="s">
        <v>146</v>
      </c>
      <c r="E175" s="123" t="s">
        <v>147</v>
      </c>
      <c r="F175" s="124"/>
      <c r="G175" s="124" t="s">
        <v>149</v>
      </c>
      <c r="H175" s="123" t="s">
        <v>2</v>
      </c>
      <c r="I175" s="123" t="s">
        <v>495</v>
      </c>
      <c r="J175" s="123" t="s">
        <v>496</v>
      </c>
      <c r="K175" s="123" t="s">
        <v>497</v>
      </c>
      <c r="L175" s="123" t="s">
        <v>498</v>
      </c>
      <c r="M175" s="125">
        <v>46127.0</v>
      </c>
      <c r="N175" s="123" t="s">
        <v>499</v>
      </c>
      <c r="O175" s="122">
        <v>9158398.0</v>
      </c>
      <c r="P175" s="125">
        <v>46090.0</v>
      </c>
      <c r="Q175" s="123" t="s">
        <v>500</v>
      </c>
      <c r="R175" s="123">
        <v>35671.0</v>
      </c>
      <c r="S175" s="123" t="s">
        <v>501</v>
      </c>
      <c r="T175" s="123" t="s">
        <v>502</v>
      </c>
      <c r="U175" s="123" t="s">
        <v>503</v>
      </c>
      <c r="V175" s="123" t="s">
        <v>781</v>
      </c>
      <c r="W175" s="124"/>
      <c r="X175" s="123">
        <v>1434.75</v>
      </c>
      <c r="Y175" s="123">
        <v>5.25</v>
      </c>
      <c r="Z175" s="123">
        <v>7532.44</v>
      </c>
      <c r="AA175" s="123" t="s">
        <v>157</v>
      </c>
      <c r="AB175" s="123" t="s">
        <v>499</v>
      </c>
      <c r="AC175" s="125">
        <v>46121.0</v>
      </c>
      <c r="AD175" s="123" t="s">
        <v>505</v>
      </c>
      <c r="AE175" s="123">
        <v>2.710198E7</v>
      </c>
      <c r="AF175" s="123" t="s">
        <v>888</v>
      </c>
      <c r="AG175" s="124"/>
      <c r="AH175" s="124"/>
      <c r="AI175" s="123">
        <v>7532.44</v>
      </c>
      <c r="AJ175" s="123" t="s">
        <v>159</v>
      </c>
      <c r="AK175" s="123">
        <v>18.0</v>
      </c>
      <c r="AL175" s="123">
        <v>0.0</v>
      </c>
      <c r="AM175" s="123">
        <v>0.0</v>
      </c>
      <c r="AN175" s="123">
        <v>1355.84</v>
      </c>
      <c r="AO175" s="123">
        <v>0.0</v>
      </c>
      <c r="AP175" s="123">
        <v>0.0</v>
      </c>
      <c r="AQ175" s="123">
        <v>0.0</v>
      </c>
      <c r="AR175" s="122">
        <v>0.0</v>
      </c>
      <c r="AS175" s="123">
        <v>0.0</v>
      </c>
      <c r="AT175" s="123">
        <v>0.0</v>
      </c>
      <c r="AU175" s="124"/>
      <c r="AV175" s="124"/>
      <c r="AW175" s="123">
        <v>0.0</v>
      </c>
      <c r="AX175" s="123">
        <v>8888.28</v>
      </c>
      <c r="AY175" s="123" t="s">
        <v>31</v>
      </c>
      <c r="AZ175" s="123" t="s">
        <v>31</v>
      </c>
      <c r="BA175" s="123" t="s">
        <v>507</v>
      </c>
      <c r="BB175" s="123">
        <v>1.126100105E9</v>
      </c>
      <c r="BC175" s="123" t="s">
        <v>508</v>
      </c>
      <c r="BD175" s="123" t="s">
        <v>509</v>
      </c>
      <c r="BE175" s="124"/>
      <c r="BF175" s="124" t="s">
        <v>484</v>
      </c>
      <c r="BG175" s="124" t="s">
        <v>482</v>
      </c>
      <c r="BH175" s="123" t="s">
        <v>510</v>
      </c>
      <c r="BI175" s="171" t="s">
        <v>511</v>
      </c>
      <c r="BJ175" s="171" t="s">
        <v>512</v>
      </c>
      <c r="BK175" s="171" t="s">
        <v>829</v>
      </c>
      <c r="BL175" s="171">
        <v>1080.0</v>
      </c>
      <c r="BM175" s="171">
        <v>2952.0</v>
      </c>
      <c r="BN175" s="171">
        <v>-1872.0</v>
      </c>
      <c r="BO175" s="171" t="s">
        <v>514</v>
      </c>
      <c r="BP175" s="171">
        <v>9168299.0</v>
      </c>
      <c r="BQ175" s="171" t="s">
        <v>483</v>
      </c>
      <c r="BR175" s="171" t="s">
        <v>479</v>
      </c>
      <c r="BS175" s="171">
        <v>4.0</v>
      </c>
    </row>
    <row r="176" ht="14.25" customHeight="1">
      <c r="A176" s="122" t="s">
        <v>493</v>
      </c>
      <c r="B176" s="123" t="s">
        <v>494</v>
      </c>
      <c r="C176" s="123">
        <v>107.0</v>
      </c>
      <c r="D176" s="123" t="s">
        <v>146</v>
      </c>
      <c r="E176" s="123" t="s">
        <v>147</v>
      </c>
      <c r="F176" s="124"/>
      <c r="G176" s="124" t="s">
        <v>149</v>
      </c>
      <c r="H176" s="123" t="s">
        <v>2</v>
      </c>
      <c r="I176" s="123" t="s">
        <v>495</v>
      </c>
      <c r="J176" s="123" t="s">
        <v>496</v>
      </c>
      <c r="K176" s="123" t="s">
        <v>497</v>
      </c>
      <c r="L176" s="123" t="s">
        <v>498</v>
      </c>
      <c r="M176" s="125">
        <v>46127.0</v>
      </c>
      <c r="N176" s="123" t="s">
        <v>499</v>
      </c>
      <c r="O176" s="122">
        <v>9158398.0</v>
      </c>
      <c r="P176" s="125">
        <v>46090.0</v>
      </c>
      <c r="Q176" s="123" t="s">
        <v>500</v>
      </c>
      <c r="R176" s="123">
        <v>35671.0</v>
      </c>
      <c r="S176" s="123" t="s">
        <v>501</v>
      </c>
      <c r="T176" s="123" t="s">
        <v>502</v>
      </c>
      <c r="U176" s="123" t="s">
        <v>503</v>
      </c>
      <c r="V176" s="123" t="s">
        <v>504</v>
      </c>
      <c r="W176" s="124"/>
      <c r="X176" s="123">
        <v>275.0</v>
      </c>
      <c r="Y176" s="123">
        <v>3.0</v>
      </c>
      <c r="Z176" s="123">
        <v>825.0</v>
      </c>
      <c r="AA176" s="123" t="s">
        <v>157</v>
      </c>
      <c r="AB176" s="123" t="s">
        <v>499</v>
      </c>
      <c r="AC176" s="125">
        <v>46121.0</v>
      </c>
      <c r="AD176" s="123" t="s">
        <v>505</v>
      </c>
      <c r="AE176" s="123">
        <v>998729.0</v>
      </c>
      <c r="AF176" s="123" t="s">
        <v>889</v>
      </c>
      <c r="AG176" s="124"/>
      <c r="AH176" s="124"/>
      <c r="AI176" s="123">
        <v>825.0</v>
      </c>
      <c r="AJ176" s="123" t="s">
        <v>159</v>
      </c>
      <c r="AK176" s="123">
        <v>18.0</v>
      </c>
      <c r="AL176" s="123">
        <v>0.0</v>
      </c>
      <c r="AM176" s="123">
        <v>0.0</v>
      </c>
      <c r="AN176" s="123">
        <v>148.5</v>
      </c>
      <c r="AO176" s="123">
        <v>0.0</v>
      </c>
      <c r="AP176" s="123">
        <v>0.0</v>
      </c>
      <c r="AQ176" s="123">
        <v>0.0</v>
      </c>
      <c r="AR176" s="122">
        <v>0.0</v>
      </c>
      <c r="AS176" s="123">
        <v>0.0</v>
      </c>
      <c r="AT176" s="123">
        <v>0.0</v>
      </c>
      <c r="AU176" s="124"/>
      <c r="AV176" s="124"/>
      <c r="AW176" s="123">
        <v>0.0</v>
      </c>
      <c r="AX176" s="123">
        <v>973.5</v>
      </c>
      <c r="AY176" s="123" t="s">
        <v>31</v>
      </c>
      <c r="AZ176" s="123" t="s">
        <v>31</v>
      </c>
      <c r="BA176" s="123" t="s">
        <v>507</v>
      </c>
      <c r="BB176" s="123">
        <v>1.126100105E9</v>
      </c>
      <c r="BC176" s="123" t="s">
        <v>508</v>
      </c>
      <c r="BD176" s="123" t="s">
        <v>509</v>
      </c>
      <c r="BE176" s="124"/>
      <c r="BF176" s="124" t="s">
        <v>484</v>
      </c>
      <c r="BG176" s="124" t="s">
        <v>482</v>
      </c>
      <c r="BH176" s="123" t="s">
        <v>510</v>
      </c>
      <c r="BI176" s="171" t="s">
        <v>511</v>
      </c>
      <c r="BJ176" s="171" t="s">
        <v>512</v>
      </c>
      <c r="BK176" s="171" t="s">
        <v>890</v>
      </c>
      <c r="BL176" s="171">
        <v>395.28</v>
      </c>
      <c r="BM176" s="171">
        <v>395.28</v>
      </c>
      <c r="BN176" s="171">
        <v>0.0</v>
      </c>
      <c r="BO176" s="171" t="s">
        <v>514</v>
      </c>
      <c r="BP176" s="171">
        <v>9164390.0</v>
      </c>
      <c r="BQ176" s="171" t="s">
        <v>483</v>
      </c>
      <c r="BR176" s="171" t="s">
        <v>479</v>
      </c>
      <c r="BS176" s="171">
        <v>1.0</v>
      </c>
    </row>
    <row r="177" ht="14.25" customHeight="1">
      <c r="A177" s="122" t="s">
        <v>493</v>
      </c>
      <c r="B177" s="123" t="s">
        <v>494</v>
      </c>
      <c r="C177" s="123">
        <v>107.0</v>
      </c>
      <c r="D177" s="123" t="s">
        <v>146</v>
      </c>
      <c r="E177" s="123" t="s">
        <v>147</v>
      </c>
      <c r="F177" s="124"/>
      <c r="G177" s="124" t="s">
        <v>149</v>
      </c>
      <c r="H177" s="123" t="s">
        <v>2</v>
      </c>
      <c r="I177" s="123" t="s">
        <v>495</v>
      </c>
      <c r="J177" s="123" t="s">
        <v>496</v>
      </c>
      <c r="K177" s="123" t="s">
        <v>497</v>
      </c>
      <c r="L177" s="123" t="s">
        <v>498</v>
      </c>
      <c r="M177" s="125">
        <v>46127.0</v>
      </c>
      <c r="N177" s="123" t="s">
        <v>499</v>
      </c>
      <c r="O177" s="122">
        <v>9158398.0</v>
      </c>
      <c r="P177" s="125">
        <v>46090.0</v>
      </c>
      <c r="Q177" s="123" t="s">
        <v>500</v>
      </c>
      <c r="R177" s="123">
        <v>35671.0</v>
      </c>
      <c r="S177" s="123" t="s">
        <v>501</v>
      </c>
      <c r="T177" s="123" t="s">
        <v>502</v>
      </c>
      <c r="U177" s="123" t="s">
        <v>503</v>
      </c>
      <c r="V177" s="123" t="s">
        <v>504</v>
      </c>
      <c r="W177" s="124"/>
      <c r="X177" s="123">
        <v>275.0</v>
      </c>
      <c r="Y177" s="123">
        <v>30.0</v>
      </c>
      <c r="Z177" s="123">
        <v>8250.0</v>
      </c>
      <c r="AA177" s="123" t="s">
        <v>157</v>
      </c>
      <c r="AB177" s="123" t="s">
        <v>499</v>
      </c>
      <c r="AC177" s="125">
        <v>46121.0</v>
      </c>
      <c r="AD177" s="123" t="s">
        <v>505</v>
      </c>
      <c r="AE177" s="123">
        <v>998729.0</v>
      </c>
      <c r="AF177" s="123" t="s">
        <v>721</v>
      </c>
      <c r="AG177" s="124"/>
      <c r="AH177" s="124"/>
      <c r="AI177" s="123">
        <v>8250.0</v>
      </c>
      <c r="AJ177" s="123" t="s">
        <v>159</v>
      </c>
      <c r="AK177" s="123">
        <v>18.0</v>
      </c>
      <c r="AL177" s="123">
        <v>0.0</v>
      </c>
      <c r="AM177" s="123">
        <v>0.0</v>
      </c>
      <c r="AN177" s="123">
        <v>1485.0</v>
      </c>
      <c r="AO177" s="123">
        <v>0.0</v>
      </c>
      <c r="AP177" s="123">
        <v>0.0</v>
      </c>
      <c r="AQ177" s="123">
        <v>0.0</v>
      </c>
      <c r="AR177" s="122">
        <v>0.0</v>
      </c>
      <c r="AS177" s="123">
        <v>0.0</v>
      </c>
      <c r="AT177" s="123">
        <v>0.0</v>
      </c>
      <c r="AU177" s="124"/>
      <c r="AV177" s="124"/>
      <c r="AW177" s="123">
        <v>0.0</v>
      </c>
      <c r="AX177" s="123">
        <v>9735.0</v>
      </c>
      <c r="AY177" s="123" t="s">
        <v>31</v>
      </c>
      <c r="AZ177" s="123" t="s">
        <v>31</v>
      </c>
      <c r="BA177" s="123" t="s">
        <v>507</v>
      </c>
      <c r="BB177" s="123">
        <v>1.126100105E9</v>
      </c>
      <c r="BC177" s="123" t="s">
        <v>508</v>
      </c>
      <c r="BD177" s="123" t="s">
        <v>509</v>
      </c>
      <c r="BE177" s="124"/>
      <c r="BF177" s="124" t="s">
        <v>484</v>
      </c>
      <c r="BG177" s="124" t="s">
        <v>482</v>
      </c>
      <c r="BH177" s="123" t="s">
        <v>510</v>
      </c>
      <c r="BI177" s="171" t="s">
        <v>511</v>
      </c>
      <c r="BJ177" s="171" t="s">
        <v>512</v>
      </c>
      <c r="BK177" s="171" t="s">
        <v>635</v>
      </c>
      <c r="BL177" s="171">
        <v>1800.0</v>
      </c>
      <c r="BM177" s="171">
        <v>6014.7</v>
      </c>
      <c r="BN177" s="171">
        <v>-4215.0</v>
      </c>
      <c r="BO177" s="171" t="s">
        <v>514</v>
      </c>
      <c r="BP177" s="171">
        <v>9164740.0</v>
      </c>
      <c r="BQ177" s="171" t="s">
        <v>484</v>
      </c>
      <c r="BR177" s="171" t="s">
        <v>479</v>
      </c>
      <c r="BS177" s="171">
        <v>6.0</v>
      </c>
    </row>
    <row r="178" ht="14.25" customHeight="1">
      <c r="A178" s="122" t="s">
        <v>493</v>
      </c>
      <c r="B178" s="123" t="s">
        <v>494</v>
      </c>
      <c r="C178" s="123">
        <v>107.0</v>
      </c>
      <c r="D178" s="123" t="s">
        <v>146</v>
      </c>
      <c r="E178" s="123" t="s">
        <v>147</v>
      </c>
      <c r="F178" s="124"/>
      <c r="G178" s="124" t="s">
        <v>149</v>
      </c>
      <c r="H178" s="123" t="s">
        <v>2</v>
      </c>
      <c r="I178" s="123" t="s">
        <v>495</v>
      </c>
      <c r="J178" s="123" t="s">
        <v>496</v>
      </c>
      <c r="K178" s="123" t="s">
        <v>497</v>
      </c>
      <c r="L178" s="123" t="s">
        <v>498</v>
      </c>
      <c r="M178" s="125">
        <v>46127.0</v>
      </c>
      <c r="N178" s="123" t="s">
        <v>499</v>
      </c>
      <c r="O178" s="122">
        <v>9158398.0</v>
      </c>
      <c r="P178" s="125">
        <v>46090.0</v>
      </c>
      <c r="Q178" s="123" t="s">
        <v>500</v>
      </c>
      <c r="R178" s="123">
        <v>35671.0</v>
      </c>
      <c r="S178" s="123" t="s">
        <v>501</v>
      </c>
      <c r="T178" s="123" t="s">
        <v>502</v>
      </c>
      <c r="U178" s="123" t="s">
        <v>503</v>
      </c>
      <c r="V178" s="123" t="s">
        <v>504</v>
      </c>
      <c r="W178" s="124"/>
      <c r="X178" s="123">
        <v>275.0</v>
      </c>
      <c r="Y178" s="123">
        <v>3.0</v>
      </c>
      <c r="Z178" s="123">
        <v>825.0</v>
      </c>
      <c r="AA178" s="123" t="s">
        <v>157</v>
      </c>
      <c r="AB178" s="123" t="s">
        <v>499</v>
      </c>
      <c r="AC178" s="125">
        <v>46121.0</v>
      </c>
      <c r="AD178" s="123" t="s">
        <v>505</v>
      </c>
      <c r="AE178" s="123">
        <v>998729.0</v>
      </c>
      <c r="AF178" s="123" t="s">
        <v>669</v>
      </c>
      <c r="AG178" s="124"/>
      <c r="AH178" s="124"/>
      <c r="AI178" s="123">
        <v>825.0</v>
      </c>
      <c r="AJ178" s="123" t="s">
        <v>159</v>
      </c>
      <c r="AK178" s="123">
        <v>18.0</v>
      </c>
      <c r="AL178" s="123">
        <v>0.0</v>
      </c>
      <c r="AM178" s="123">
        <v>0.0</v>
      </c>
      <c r="AN178" s="123">
        <v>148.5</v>
      </c>
      <c r="AO178" s="123">
        <v>0.0</v>
      </c>
      <c r="AP178" s="123">
        <v>0.0</v>
      </c>
      <c r="AQ178" s="123">
        <v>0.0</v>
      </c>
      <c r="AR178" s="122">
        <v>0.0</v>
      </c>
      <c r="AS178" s="123">
        <v>0.0</v>
      </c>
      <c r="AT178" s="123">
        <v>0.0</v>
      </c>
      <c r="AU178" s="124"/>
      <c r="AV178" s="124"/>
      <c r="AW178" s="123">
        <v>0.0</v>
      </c>
      <c r="AX178" s="123">
        <v>973.5</v>
      </c>
      <c r="AY178" s="123" t="s">
        <v>31</v>
      </c>
      <c r="AZ178" s="123" t="s">
        <v>31</v>
      </c>
      <c r="BA178" s="123" t="s">
        <v>507</v>
      </c>
      <c r="BB178" s="123">
        <v>1.126100105E9</v>
      </c>
      <c r="BC178" s="123" t="s">
        <v>508</v>
      </c>
      <c r="BD178" s="123" t="s">
        <v>509</v>
      </c>
      <c r="BE178" s="124"/>
      <c r="BF178" s="124" t="s">
        <v>484</v>
      </c>
      <c r="BG178" s="124" t="s">
        <v>482</v>
      </c>
      <c r="BH178" s="123" t="s">
        <v>510</v>
      </c>
      <c r="BI178" s="171" t="s">
        <v>511</v>
      </c>
      <c r="BJ178" s="171" t="s">
        <v>512</v>
      </c>
      <c r="BK178" s="171" t="s">
        <v>635</v>
      </c>
      <c r="BL178" s="171">
        <v>437.4</v>
      </c>
      <c r="BM178" s="171">
        <v>6014.7</v>
      </c>
      <c r="BN178" s="171">
        <v>-5577.0</v>
      </c>
      <c r="BO178" s="171" t="s">
        <v>514</v>
      </c>
      <c r="BP178" s="171">
        <v>9164740.0</v>
      </c>
      <c r="BQ178" s="171" t="s">
        <v>484</v>
      </c>
      <c r="BR178" s="171" t="s">
        <v>479</v>
      </c>
      <c r="BS178" s="171">
        <v>6.0</v>
      </c>
    </row>
    <row r="179" ht="14.25" customHeight="1">
      <c r="A179" s="122" t="s">
        <v>493</v>
      </c>
      <c r="B179" s="123" t="s">
        <v>494</v>
      </c>
      <c r="C179" s="123">
        <v>107.0</v>
      </c>
      <c r="D179" s="123" t="s">
        <v>146</v>
      </c>
      <c r="E179" s="123" t="s">
        <v>147</v>
      </c>
      <c r="F179" s="124"/>
      <c r="G179" s="124" t="s">
        <v>149</v>
      </c>
      <c r="H179" s="123" t="s">
        <v>2</v>
      </c>
      <c r="I179" s="123" t="s">
        <v>495</v>
      </c>
      <c r="J179" s="123" t="s">
        <v>496</v>
      </c>
      <c r="K179" s="123" t="s">
        <v>497</v>
      </c>
      <c r="L179" s="123" t="s">
        <v>498</v>
      </c>
      <c r="M179" s="125">
        <v>46127.0</v>
      </c>
      <c r="N179" s="123" t="s">
        <v>499</v>
      </c>
      <c r="O179" s="122">
        <v>9158398.0</v>
      </c>
      <c r="P179" s="125">
        <v>46090.0</v>
      </c>
      <c r="Q179" s="123" t="s">
        <v>500</v>
      </c>
      <c r="R179" s="123">
        <v>35671.0</v>
      </c>
      <c r="S179" s="123" t="s">
        <v>501</v>
      </c>
      <c r="T179" s="123" t="s">
        <v>502</v>
      </c>
      <c r="U179" s="123" t="s">
        <v>503</v>
      </c>
      <c r="V179" s="123" t="s">
        <v>504</v>
      </c>
      <c r="W179" s="124"/>
      <c r="X179" s="123">
        <v>275.0</v>
      </c>
      <c r="Y179" s="123">
        <v>1.0</v>
      </c>
      <c r="Z179" s="123">
        <v>275.0</v>
      </c>
      <c r="AA179" s="123" t="s">
        <v>157</v>
      </c>
      <c r="AB179" s="123" t="s">
        <v>499</v>
      </c>
      <c r="AC179" s="125">
        <v>46121.0</v>
      </c>
      <c r="AD179" s="123" t="s">
        <v>505</v>
      </c>
      <c r="AE179" s="123">
        <v>998729.0</v>
      </c>
      <c r="AF179" s="123" t="s">
        <v>891</v>
      </c>
      <c r="AG179" s="124"/>
      <c r="AH179" s="124"/>
      <c r="AI179" s="123">
        <v>275.0</v>
      </c>
      <c r="AJ179" s="123" t="s">
        <v>159</v>
      </c>
      <c r="AK179" s="123">
        <v>18.0</v>
      </c>
      <c r="AL179" s="123">
        <v>0.0</v>
      </c>
      <c r="AM179" s="123">
        <v>0.0</v>
      </c>
      <c r="AN179" s="123">
        <v>49.5</v>
      </c>
      <c r="AO179" s="123">
        <v>0.0</v>
      </c>
      <c r="AP179" s="123">
        <v>0.0</v>
      </c>
      <c r="AQ179" s="123">
        <v>0.0</v>
      </c>
      <c r="AR179" s="122">
        <v>0.0</v>
      </c>
      <c r="AS179" s="123">
        <v>0.0</v>
      </c>
      <c r="AT179" s="123">
        <v>0.0</v>
      </c>
      <c r="AU179" s="124"/>
      <c r="AV179" s="124"/>
      <c r="AW179" s="123">
        <v>0.0</v>
      </c>
      <c r="AX179" s="123">
        <v>324.5</v>
      </c>
      <c r="AY179" s="123" t="s">
        <v>31</v>
      </c>
      <c r="AZ179" s="123" t="s">
        <v>31</v>
      </c>
      <c r="BA179" s="123" t="s">
        <v>507</v>
      </c>
      <c r="BB179" s="123">
        <v>1.126100105E9</v>
      </c>
      <c r="BC179" s="123" t="s">
        <v>508</v>
      </c>
      <c r="BD179" s="123" t="s">
        <v>509</v>
      </c>
      <c r="BE179" s="124"/>
      <c r="BF179" s="124" t="s">
        <v>484</v>
      </c>
      <c r="BG179" s="124" t="s">
        <v>482</v>
      </c>
      <c r="BH179" s="123" t="s">
        <v>510</v>
      </c>
      <c r="BI179" s="171" t="s">
        <v>511</v>
      </c>
      <c r="BJ179" s="171" t="s">
        <v>512</v>
      </c>
      <c r="BK179" s="171" t="s">
        <v>892</v>
      </c>
      <c r="BL179" s="171">
        <v>2250.0</v>
      </c>
      <c r="BM179" s="171">
        <v>2250.0</v>
      </c>
      <c r="BN179" s="171">
        <v>0.0</v>
      </c>
      <c r="BO179" s="171" t="s">
        <v>514</v>
      </c>
      <c r="BP179" s="171">
        <v>9157985.0</v>
      </c>
      <c r="BQ179" s="171" t="s">
        <v>484</v>
      </c>
      <c r="BR179" s="171" t="s">
        <v>479</v>
      </c>
      <c r="BS179" s="171">
        <v>1.0</v>
      </c>
    </row>
    <row r="180" ht="14.25" customHeight="1">
      <c r="A180" s="122" t="s">
        <v>493</v>
      </c>
      <c r="B180" s="123" t="s">
        <v>494</v>
      </c>
      <c r="C180" s="123">
        <v>107.0</v>
      </c>
      <c r="D180" s="123" t="s">
        <v>146</v>
      </c>
      <c r="E180" s="123" t="s">
        <v>147</v>
      </c>
      <c r="F180" s="124"/>
      <c r="G180" s="124" t="s">
        <v>149</v>
      </c>
      <c r="H180" s="123" t="s">
        <v>2</v>
      </c>
      <c r="I180" s="123" t="s">
        <v>495</v>
      </c>
      <c r="J180" s="123" t="s">
        <v>496</v>
      </c>
      <c r="K180" s="123" t="s">
        <v>497</v>
      </c>
      <c r="L180" s="123" t="s">
        <v>498</v>
      </c>
      <c r="M180" s="125">
        <v>46127.0</v>
      </c>
      <c r="N180" s="123" t="s">
        <v>499</v>
      </c>
      <c r="O180" s="122">
        <v>9158398.0</v>
      </c>
      <c r="P180" s="125">
        <v>46090.0</v>
      </c>
      <c r="Q180" s="123" t="s">
        <v>500</v>
      </c>
      <c r="R180" s="123">
        <v>35671.0</v>
      </c>
      <c r="S180" s="123" t="s">
        <v>501</v>
      </c>
      <c r="T180" s="123" t="s">
        <v>502</v>
      </c>
      <c r="U180" s="123" t="s">
        <v>503</v>
      </c>
      <c r="V180" s="123" t="s">
        <v>504</v>
      </c>
      <c r="W180" s="124"/>
      <c r="X180" s="123">
        <v>275.0</v>
      </c>
      <c r="Y180" s="123">
        <v>48.0</v>
      </c>
      <c r="Z180" s="123">
        <v>13200.0</v>
      </c>
      <c r="AA180" s="123" t="s">
        <v>157</v>
      </c>
      <c r="AB180" s="123" t="s">
        <v>499</v>
      </c>
      <c r="AC180" s="125">
        <v>46121.0</v>
      </c>
      <c r="AD180" s="123" t="s">
        <v>505</v>
      </c>
      <c r="AE180" s="123">
        <v>996200.0</v>
      </c>
      <c r="AF180" s="123" t="s">
        <v>548</v>
      </c>
      <c r="AG180" s="124"/>
      <c r="AH180" s="124"/>
      <c r="AI180" s="123">
        <v>13200.0</v>
      </c>
      <c r="AJ180" s="123" t="s">
        <v>159</v>
      </c>
      <c r="AK180" s="123">
        <v>18.0</v>
      </c>
      <c r="AL180" s="123">
        <v>0.0</v>
      </c>
      <c r="AM180" s="123">
        <v>0.0</v>
      </c>
      <c r="AN180" s="123">
        <v>2376.0</v>
      </c>
      <c r="AO180" s="123">
        <v>0.0</v>
      </c>
      <c r="AP180" s="123">
        <v>0.0</v>
      </c>
      <c r="AQ180" s="123">
        <v>0.0</v>
      </c>
      <c r="AR180" s="122">
        <v>0.0</v>
      </c>
      <c r="AS180" s="123">
        <v>0.0</v>
      </c>
      <c r="AT180" s="123">
        <v>0.0</v>
      </c>
      <c r="AU180" s="124"/>
      <c r="AV180" s="124"/>
      <c r="AW180" s="123">
        <v>0.0</v>
      </c>
      <c r="AX180" s="123">
        <v>15576.0</v>
      </c>
      <c r="AY180" s="123" t="s">
        <v>31</v>
      </c>
      <c r="AZ180" s="123" t="s">
        <v>31</v>
      </c>
      <c r="BA180" s="123" t="s">
        <v>507</v>
      </c>
      <c r="BB180" s="123">
        <v>1.126100105E9</v>
      </c>
      <c r="BC180" s="123" t="s">
        <v>508</v>
      </c>
      <c r="BD180" s="123" t="s">
        <v>509</v>
      </c>
      <c r="BE180" s="124"/>
      <c r="BF180" s="124" t="s">
        <v>484</v>
      </c>
      <c r="BG180" s="124" t="s">
        <v>482</v>
      </c>
      <c r="BH180" s="123" t="s">
        <v>510</v>
      </c>
      <c r="BI180" s="171" t="s">
        <v>511</v>
      </c>
      <c r="BJ180" s="171" t="s">
        <v>512</v>
      </c>
      <c r="BK180" s="171" t="s">
        <v>893</v>
      </c>
      <c r="BL180" s="171">
        <v>96.0</v>
      </c>
      <c r="BM180" s="171">
        <v>1647.0</v>
      </c>
      <c r="BN180" s="171">
        <v>-1551.0</v>
      </c>
      <c r="BO180" s="171" t="s">
        <v>514</v>
      </c>
      <c r="BP180" s="171">
        <v>9156871.0</v>
      </c>
      <c r="BQ180" s="171" t="s">
        <v>484</v>
      </c>
      <c r="BR180" s="171" t="s">
        <v>479</v>
      </c>
      <c r="BS180" s="171">
        <v>3.0</v>
      </c>
    </row>
    <row r="181" ht="14.25" customHeight="1">
      <c r="A181" s="122" t="s">
        <v>493</v>
      </c>
      <c r="B181" s="123" t="s">
        <v>494</v>
      </c>
      <c r="C181" s="123">
        <v>107.0</v>
      </c>
      <c r="D181" s="123" t="s">
        <v>146</v>
      </c>
      <c r="E181" s="123" t="s">
        <v>147</v>
      </c>
      <c r="F181" s="124"/>
      <c r="G181" s="124" t="s">
        <v>149</v>
      </c>
      <c r="H181" s="123" t="s">
        <v>2</v>
      </c>
      <c r="I181" s="123" t="s">
        <v>495</v>
      </c>
      <c r="J181" s="123" t="s">
        <v>496</v>
      </c>
      <c r="K181" s="123" t="s">
        <v>497</v>
      </c>
      <c r="L181" s="123" t="s">
        <v>498</v>
      </c>
      <c r="M181" s="179">
        <v>46140.0</v>
      </c>
      <c r="N181" s="123" t="s">
        <v>516</v>
      </c>
      <c r="O181" s="123">
        <v>9174963.0</v>
      </c>
      <c r="P181" s="125">
        <v>46129.0</v>
      </c>
      <c r="Q181" s="123" t="s">
        <v>500</v>
      </c>
      <c r="R181" s="122">
        <v>35671.0</v>
      </c>
      <c r="S181" s="123" t="s">
        <v>501</v>
      </c>
      <c r="T181" s="123" t="s">
        <v>502</v>
      </c>
      <c r="U181" s="123" t="s">
        <v>503</v>
      </c>
      <c r="V181" s="123" t="s">
        <v>504</v>
      </c>
      <c r="W181" s="124"/>
      <c r="X181" s="123">
        <v>303.0</v>
      </c>
      <c r="Y181" s="123">
        <v>28.0</v>
      </c>
      <c r="Z181" s="123">
        <v>8484.0</v>
      </c>
      <c r="AA181" s="123" t="s">
        <v>157</v>
      </c>
      <c r="AB181" s="123" t="s">
        <v>516</v>
      </c>
      <c r="AC181" s="125">
        <v>46129.0</v>
      </c>
      <c r="AD181" s="122" t="s">
        <v>505</v>
      </c>
      <c r="AE181" s="123">
        <v>998729.0</v>
      </c>
      <c r="AF181" s="123" t="s">
        <v>894</v>
      </c>
      <c r="AG181" s="124"/>
      <c r="AH181" s="124"/>
      <c r="AI181" s="123">
        <v>8484.0</v>
      </c>
      <c r="AJ181" s="123" t="s">
        <v>159</v>
      </c>
      <c r="AK181" s="123">
        <v>18.0</v>
      </c>
      <c r="AL181" s="123">
        <v>0.0</v>
      </c>
      <c r="AM181" s="123">
        <v>0.0</v>
      </c>
      <c r="AN181" s="123">
        <v>1527.12</v>
      </c>
      <c r="AO181" s="123">
        <v>0.0</v>
      </c>
      <c r="AP181" s="123">
        <v>0.0</v>
      </c>
      <c r="AQ181" s="123">
        <v>0.0</v>
      </c>
      <c r="AR181" s="123">
        <v>0.0</v>
      </c>
      <c r="AS181" s="123">
        <v>0.0</v>
      </c>
      <c r="AT181" s="123">
        <v>0.0</v>
      </c>
      <c r="AU181" s="124"/>
      <c r="AV181" s="124"/>
      <c r="AW181" s="123">
        <v>0.0</v>
      </c>
      <c r="AX181" s="123">
        <v>10011.12</v>
      </c>
      <c r="AY181" s="123" t="s">
        <v>31</v>
      </c>
      <c r="AZ181" s="123" t="s">
        <v>31</v>
      </c>
      <c r="BA181" s="123" t="s">
        <v>518</v>
      </c>
      <c r="BB181" s="123">
        <v>1.126100446E9</v>
      </c>
      <c r="BC181" s="122" t="s">
        <v>508</v>
      </c>
      <c r="BD181" s="123" t="s">
        <v>509</v>
      </c>
      <c r="BE181" s="124"/>
      <c r="BF181" s="124" t="s">
        <v>484</v>
      </c>
      <c r="BG181" s="124" t="s">
        <v>482</v>
      </c>
      <c r="BH181" s="123" t="s">
        <v>510</v>
      </c>
      <c r="BI181" s="171" t="s">
        <v>511</v>
      </c>
      <c r="BJ181" s="171" t="s">
        <v>512</v>
      </c>
      <c r="BK181" s="171" t="s">
        <v>784</v>
      </c>
      <c r="BL181" s="171">
        <v>990.0</v>
      </c>
      <c r="BM181" s="171">
        <v>28440.0</v>
      </c>
      <c r="BN181" s="171">
        <v>-27450.0</v>
      </c>
      <c r="BO181" s="171" t="s">
        <v>514</v>
      </c>
      <c r="BP181" s="171">
        <v>9168297.0</v>
      </c>
      <c r="BQ181" s="171" t="s">
        <v>483</v>
      </c>
      <c r="BR181" s="171" t="s">
        <v>479</v>
      </c>
      <c r="BS181" s="171">
        <v>3.0</v>
      </c>
    </row>
    <row r="182" ht="14.25" customHeight="1">
      <c r="A182" s="122" t="s">
        <v>493</v>
      </c>
      <c r="B182" s="123" t="s">
        <v>494</v>
      </c>
      <c r="C182" s="123">
        <v>107.0</v>
      </c>
      <c r="D182" s="123" t="s">
        <v>146</v>
      </c>
      <c r="E182" s="123" t="s">
        <v>147</v>
      </c>
      <c r="F182" s="124"/>
      <c r="G182" s="124" t="s">
        <v>149</v>
      </c>
      <c r="H182" s="123" t="s">
        <v>2</v>
      </c>
      <c r="I182" s="123" t="s">
        <v>495</v>
      </c>
      <c r="J182" s="123" t="s">
        <v>496</v>
      </c>
      <c r="K182" s="123" t="s">
        <v>497</v>
      </c>
      <c r="L182" s="123" t="s">
        <v>498</v>
      </c>
      <c r="M182" s="179">
        <v>46140.0</v>
      </c>
      <c r="N182" s="123" t="s">
        <v>516</v>
      </c>
      <c r="O182" s="123">
        <v>9174963.0</v>
      </c>
      <c r="P182" s="125">
        <v>46129.0</v>
      </c>
      <c r="Q182" s="123" t="s">
        <v>500</v>
      </c>
      <c r="R182" s="122">
        <v>35671.0</v>
      </c>
      <c r="S182" s="123" t="s">
        <v>501</v>
      </c>
      <c r="T182" s="123" t="s">
        <v>502</v>
      </c>
      <c r="U182" s="124" t="s">
        <v>503</v>
      </c>
      <c r="V182" s="124" t="s">
        <v>504</v>
      </c>
      <c r="W182" s="124"/>
      <c r="X182" s="123">
        <v>1031.36</v>
      </c>
      <c r="Y182" s="123">
        <v>4.0</v>
      </c>
      <c r="Z182" s="123">
        <v>4125.44</v>
      </c>
      <c r="AA182" s="123" t="s">
        <v>157</v>
      </c>
      <c r="AB182" s="123" t="s">
        <v>516</v>
      </c>
      <c r="AC182" s="125">
        <v>46129.0</v>
      </c>
      <c r="AD182" s="124" t="s">
        <v>505</v>
      </c>
      <c r="AE182" s="123">
        <v>3.4029099E7</v>
      </c>
      <c r="AF182" s="123" t="s">
        <v>515</v>
      </c>
      <c r="AG182" s="124"/>
      <c r="AH182" s="124"/>
      <c r="AI182" s="123">
        <v>4125.44</v>
      </c>
      <c r="AJ182" s="123" t="s">
        <v>159</v>
      </c>
      <c r="AK182" s="123">
        <v>18.0</v>
      </c>
      <c r="AL182" s="123">
        <v>0.0</v>
      </c>
      <c r="AM182" s="123">
        <v>0.0</v>
      </c>
      <c r="AN182" s="123">
        <v>742.58</v>
      </c>
      <c r="AO182" s="123">
        <v>0.0</v>
      </c>
      <c r="AP182" s="123">
        <v>0.0</v>
      </c>
      <c r="AQ182" s="123">
        <v>0.0</v>
      </c>
      <c r="AR182" s="123">
        <v>0.0</v>
      </c>
      <c r="AS182" s="123">
        <v>0.0</v>
      </c>
      <c r="AT182" s="123">
        <v>0.0</v>
      </c>
      <c r="AU182" s="124"/>
      <c r="AV182" s="124"/>
      <c r="AW182" s="123">
        <v>0.0</v>
      </c>
      <c r="AX182" s="123">
        <v>4868.02</v>
      </c>
      <c r="AY182" s="123" t="s">
        <v>31</v>
      </c>
      <c r="AZ182" s="123" t="s">
        <v>31</v>
      </c>
      <c r="BA182" s="123" t="s">
        <v>518</v>
      </c>
      <c r="BB182" s="123">
        <v>1.126100446E9</v>
      </c>
      <c r="BC182" s="122" t="s">
        <v>508</v>
      </c>
      <c r="BD182" s="123" t="s">
        <v>509</v>
      </c>
      <c r="BE182" s="124"/>
      <c r="BF182" s="124" t="s">
        <v>484</v>
      </c>
      <c r="BG182" s="124" t="s">
        <v>482</v>
      </c>
      <c r="BH182" s="123" t="s">
        <v>510</v>
      </c>
      <c r="BI182" s="171" t="s">
        <v>511</v>
      </c>
      <c r="BJ182" s="171" t="s">
        <v>512</v>
      </c>
      <c r="BK182" s="171" t="s">
        <v>693</v>
      </c>
      <c r="BL182" s="171">
        <v>162.0</v>
      </c>
      <c r="BM182" s="171" t="e">
        <v>#N/A</v>
      </c>
      <c r="BN182" s="171" t="e">
        <v>#N/A</v>
      </c>
      <c r="BO182" s="171" t="s">
        <v>544</v>
      </c>
      <c r="BP182" s="171">
        <v>9164023.0</v>
      </c>
      <c r="BQ182" s="171" t="s">
        <v>481</v>
      </c>
      <c r="BR182" s="171" t="s">
        <v>544</v>
      </c>
      <c r="BS182" s="171">
        <v>2.0</v>
      </c>
    </row>
    <row r="183" ht="14.25" customHeight="1">
      <c r="A183" s="122" t="s">
        <v>493</v>
      </c>
      <c r="B183" s="123" t="s">
        <v>494</v>
      </c>
      <c r="C183" s="123">
        <v>107.0</v>
      </c>
      <c r="D183" s="123" t="s">
        <v>146</v>
      </c>
      <c r="E183" s="123" t="s">
        <v>147</v>
      </c>
      <c r="F183" s="124"/>
      <c r="G183" s="123" t="s">
        <v>149</v>
      </c>
      <c r="H183" s="123" t="s">
        <v>2</v>
      </c>
      <c r="I183" s="123" t="s">
        <v>495</v>
      </c>
      <c r="J183" s="123" t="s">
        <v>496</v>
      </c>
      <c r="K183" s="123" t="s">
        <v>497</v>
      </c>
      <c r="L183" s="123" t="s">
        <v>498</v>
      </c>
      <c r="M183" s="179">
        <v>46127.0</v>
      </c>
      <c r="N183" s="123" t="s">
        <v>520</v>
      </c>
      <c r="O183" s="123">
        <v>9156749.0</v>
      </c>
      <c r="P183" s="125">
        <v>46115.0</v>
      </c>
      <c r="Q183" s="123" t="s">
        <v>500</v>
      </c>
      <c r="R183" s="122">
        <v>6262.0</v>
      </c>
      <c r="S183" s="123" t="s">
        <v>521</v>
      </c>
      <c r="T183" s="123" t="s">
        <v>522</v>
      </c>
      <c r="U183" s="123" t="s">
        <v>523</v>
      </c>
      <c r="V183" s="123" t="s">
        <v>504</v>
      </c>
      <c r="W183" s="124"/>
      <c r="X183" s="123">
        <v>1.0</v>
      </c>
      <c r="Y183" s="123">
        <v>798.0</v>
      </c>
      <c r="Z183" s="123">
        <v>798.0</v>
      </c>
      <c r="AA183" s="123" t="s">
        <v>157</v>
      </c>
      <c r="AB183" s="123" t="s">
        <v>524</v>
      </c>
      <c r="AC183" s="125">
        <v>46115.0</v>
      </c>
      <c r="AD183" s="122" t="s">
        <v>525</v>
      </c>
      <c r="AE183" s="123">
        <v>998413.0</v>
      </c>
      <c r="AF183" s="123" t="s">
        <v>526</v>
      </c>
      <c r="AG183" s="124"/>
      <c r="AH183" s="124"/>
      <c r="AI183" s="123">
        <v>798.0</v>
      </c>
      <c r="AJ183" s="123" t="s">
        <v>159</v>
      </c>
      <c r="AK183" s="123">
        <v>18.0</v>
      </c>
      <c r="AL183" s="123">
        <v>71.82</v>
      </c>
      <c r="AM183" s="123">
        <v>71.82</v>
      </c>
      <c r="AN183" s="123">
        <v>0.0</v>
      </c>
      <c r="AO183" s="123">
        <v>0.0</v>
      </c>
      <c r="AP183" s="123">
        <v>0.0</v>
      </c>
      <c r="AQ183" s="123">
        <v>0.0</v>
      </c>
      <c r="AR183" s="123">
        <v>0.0</v>
      </c>
      <c r="AS183" s="123">
        <v>0.0</v>
      </c>
      <c r="AT183" s="123">
        <v>0.0</v>
      </c>
      <c r="AU183" s="124"/>
      <c r="AV183" s="124"/>
      <c r="AW183" s="123">
        <v>0.0</v>
      </c>
      <c r="AX183" s="123">
        <v>941.64</v>
      </c>
      <c r="AY183" s="123" t="s">
        <v>20</v>
      </c>
      <c r="AZ183" s="123" t="s">
        <v>31</v>
      </c>
      <c r="BA183" s="123" t="s">
        <v>527</v>
      </c>
      <c r="BB183" s="123">
        <v>1.126100078E9</v>
      </c>
      <c r="BC183" s="122" t="s">
        <v>187</v>
      </c>
      <c r="BD183" s="123" t="s">
        <v>162</v>
      </c>
      <c r="BE183" s="124"/>
      <c r="BF183" s="124" t="s">
        <v>483</v>
      </c>
      <c r="BG183" s="124" t="s">
        <v>482</v>
      </c>
      <c r="BH183" s="123" t="s">
        <v>510</v>
      </c>
      <c r="BI183" s="171" t="s">
        <v>511</v>
      </c>
      <c r="BJ183" s="171" t="s">
        <v>512</v>
      </c>
      <c r="BK183" s="171" t="s">
        <v>601</v>
      </c>
      <c r="BL183" s="171">
        <v>2700.0</v>
      </c>
      <c r="BM183" s="171">
        <v>4734.0</v>
      </c>
      <c r="BN183" s="171">
        <v>-2034.0</v>
      </c>
      <c r="BO183" s="171" t="s">
        <v>514</v>
      </c>
      <c r="BP183" s="171">
        <v>9151235.0</v>
      </c>
      <c r="BQ183" s="171" t="s">
        <v>484</v>
      </c>
      <c r="BR183" s="171" t="s">
        <v>479</v>
      </c>
      <c r="BS183" s="171">
        <v>3.0</v>
      </c>
    </row>
    <row r="184" ht="14.25" customHeight="1">
      <c r="A184" s="122" t="s">
        <v>493</v>
      </c>
      <c r="B184" s="123" t="s">
        <v>494</v>
      </c>
      <c r="C184" s="123">
        <v>107.0</v>
      </c>
      <c r="D184" s="123" t="s">
        <v>146</v>
      </c>
      <c r="E184" s="123" t="s">
        <v>147</v>
      </c>
      <c r="F184" s="124"/>
      <c r="G184" s="123" t="s">
        <v>149</v>
      </c>
      <c r="H184" s="123" t="s">
        <v>2</v>
      </c>
      <c r="I184" s="123" t="s">
        <v>495</v>
      </c>
      <c r="J184" s="123" t="s">
        <v>528</v>
      </c>
      <c r="K184" s="123" t="s">
        <v>626</v>
      </c>
      <c r="L184" s="123" t="s">
        <v>498</v>
      </c>
      <c r="M184" s="179">
        <v>46133.0</v>
      </c>
      <c r="N184" s="123" t="s">
        <v>895</v>
      </c>
      <c r="O184" s="123">
        <v>9164384.0</v>
      </c>
      <c r="P184" s="125">
        <v>46115.0</v>
      </c>
      <c r="Q184" s="123" t="s">
        <v>500</v>
      </c>
      <c r="R184" s="122">
        <v>6262.0</v>
      </c>
      <c r="S184" s="123" t="s">
        <v>521</v>
      </c>
      <c r="T184" s="123" t="s">
        <v>522</v>
      </c>
      <c r="U184" s="123" t="s">
        <v>523</v>
      </c>
      <c r="V184" s="123" t="s">
        <v>504</v>
      </c>
      <c r="W184" s="124"/>
      <c r="X184" s="123">
        <v>1.0</v>
      </c>
      <c r="Y184" s="123">
        <v>999.0</v>
      </c>
      <c r="Z184" s="123">
        <v>999.0</v>
      </c>
      <c r="AA184" s="123" t="s">
        <v>157</v>
      </c>
      <c r="AB184" s="123" t="s">
        <v>895</v>
      </c>
      <c r="AC184" s="125">
        <v>46115.0</v>
      </c>
      <c r="AD184" s="122" t="s">
        <v>525</v>
      </c>
      <c r="AE184" s="123">
        <v>998412.0</v>
      </c>
      <c r="AF184" s="123" t="s">
        <v>628</v>
      </c>
      <c r="AG184" s="124"/>
      <c r="AH184" s="124"/>
      <c r="AI184" s="123">
        <v>999.0</v>
      </c>
      <c r="AJ184" s="123" t="s">
        <v>159</v>
      </c>
      <c r="AK184" s="123">
        <v>18.0</v>
      </c>
      <c r="AL184" s="123">
        <v>89.91</v>
      </c>
      <c r="AM184" s="123">
        <v>89.91</v>
      </c>
      <c r="AN184" s="123">
        <v>0.0</v>
      </c>
      <c r="AO184" s="123">
        <v>0.0</v>
      </c>
      <c r="AP184" s="123">
        <v>0.0</v>
      </c>
      <c r="AQ184" s="123">
        <v>0.0</v>
      </c>
      <c r="AR184" s="123">
        <v>0.0</v>
      </c>
      <c r="AS184" s="123">
        <v>0.0</v>
      </c>
      <c r="AT184" s="123">
        <v>0.0</v>
      </c>
      <c r="AU184" s="124"/>
      <c r="AV184" s="124"/>
      <c r="AW184" s="123">
        <v>0.0</v>
      </c>
      <c r="AX184" s="123">
        <v>1178.82</v>
      </c>
      <c r="AY184" s="123" t="s">
        <v>20</v>
      </c>
      <c r="AZ184" s="123" t="s">
        <v>31</v>
      </c>
      <c r="BA184" s="123" t="s">
        <v>612</v>
      </c>
      <c r="BB184" s="123">
        <v>1.12610028E9</v>
      </c>
      <c r="BC184" s="122" t="s">
        <v>187</v>
      </c>
      <c r="BD184" s="123" t="s">
        <v>162</v>
      </c>
      <c r="BE184" s="124"/>
      <c r="BF184" s="124" t="s">
        <v>483</v>
      </c>
      <c r="BG184" s="124" t="s">
        <v>482</v>
      </c>
      <c r="BH184" s="123" t="s">
        <v>510</v>
      </c>
      <c r="BI184" s="171" t="s">
        <v>511</v>
      </c>
      <c r="BJ184" s="171" t="s">
        <v>512</v>
      </c>
      <c r="BK184" s="171" t="s">
        <v>513</v>
      </c>
      <c r="BL184" s="171">
        <v>2096.09</v>
      </c>
      <c r="BM184" s="171">
        <v>38182.88</v>
      </c>
      <c r="BN184" s="171">
        <v>-36087.0</v>
      </c>
      <c r="BO184" s="171" t="s">
        <v>514</v>
      </c>
      <c r="BP184" s="171">
        <v>9158398.0</v>
      </c>
      <c r="BQ184" s="171" t="s">
        <v>484</v>
      </c>
      <c r="BR184" s="171" t="s">
        <v>479</v>
      </c>
      <c r="BS184" s="171">
        <v>37.0</v>
      </c>
    </row>
    <row r="185" ht="14.25" customHeight="1">
      <c r="A185" s="122" t="s">
        <v>493</v>
      </c>
      <c r="B185" s="123" t="s">
        <v>494</v>
      </c>
      <c r="C185" s="123">
        <v>107.0</v>
      </c>
      <c r="D185" s="123" t="s">
        <v>146</v>
      </c>
      <c r="E185" s="123" t="s">
        <v>147</v>
      </c>
      <c r="F185" s="124"/>
      <c r="G185" s="123" t="s">
        <v>149</v>
      </c>
      <c r="H185" s="123" t="s">
        <v>2</v>
      </c>
      <c r="I185" s="123" t="s">
        <v>495</v>
      </c>
      <c r="J185" s="123" t="s">
        <v>528</v>
      </c>
      <c r="K185" s="123" t="s">
        <v>529</v>
      </c>
      <c r="L185" s="123" t="s">
        <v>498</v>
      </c>
      <c r="M185" s="179">
        <v>46127.0</v>
      </c>
      <c r="N185" s="123">
        <v>3.0</v>
      </c>
      <c r="O185" s="123">
        <v>9156871.0</v>
      </c>
      <c r="P185" s="125">
        <v>46113.0</v>
      </c>
      <c r="Q185" s="123" t="s">
        <v>500</v>
      </c>
      <c r="R185" s="122">
        <v>43295.0</v>
      </c>
      <c r="S185" s="123" t="s">
        <v>636</v>
      </c>
      <c r="T185" s="123" t="s">
        <v>637</v>
      </c>
      <c r="U185" s="123" t="s">
        <v>638</v>
      </c>
      <c r="V185" s="123" t="s">
        <v>504</v>
      </c>
      <c r="W185" s="124"/>
      <c r="X185" s="123">
        <v>500.0</v>
      </c>
      <c r="Y185" s="123">
        <v>15.0</v>
      </c>
      <c r="Z185" s="123">
        <v>7500.0</v>
      </c>
      <c r="AA185" s="123" t="s">
        <v>157</v>
      </c>
      <c r="AB185" s="123">
        <v>3.0</v>
      </c>
      <c r="AC185" s="125">
        <v>46113.0</v>
      </c>
      <c r="AD185" s="122" t="s">
        <v>505</v>
      </c>
      <c r="AE185" s="123">
        <v>9021030.0</v>
      </c>
      <c r="AF185" s="123" t="s">
        <v>896</v>
      </c>
      <c r="AG185" s="124"/>
      <c r="AH185" s="124"/>
      <c r="AI185" s="123">
        <v>7500.0</v>
      </c>
      <c r="AJ185" s="123" t="s">
        <v>159</v>
      </c>
      <c r="AK185" s="123">
        <v>5.0</v>
      </c>
      <c r="AL185" s="123">
        <v>187.5</v>
      </c>
      <c r="AM185" s="123">
        <v>187.5</v>
      </c>
      <c r="AN185" s="123">
        <v>0.0</v>
      </c>
      <c r="AO185" s="123">
        <v>0.0</v>
      </c>
      <c r="AP185" s="123">
        <v>0.0</v>
      </c>
      <c r="AQ185" s="123">
        <v>0.0</v>
      </c>
      <c r="AR185" s="123">
        <v>0.0</v>
      </c>
      <c r="AS185" s="123">
        <v>0.0</v>
      </c>
      <c r="AT185" s="123">
        <v>0.0</v>
      </c>
      <c r="AU185" s="124"/>
      <c r="AV185" s="124"/>
      <c r="AW185" s="123">
        <v>0.0</v>
      </c>
      <c r="AX185" s="123">
        <v>7875.0</v>
      </c>
      <c r="AY185" s="123" t="s">
        <v>31</v>
      </c>
      <c r="AZ185" s="123" t="s">
        <v>31</v>
      </c>
      <c r="BA185" s="123" t="s">
        <v>640</v>
      </c>
      <c r="BB185" s="123">
        <v>1.126100101E9</v>
      </c>
      <c r="BC185" s="122" t="s">
        <v>872</v>
      </c>
      <c r="BD185" s="123" t="s">
        <v>586</v>
      </c>
      <c r="BE185" s="124"/>
      <c r="BF185" s="124" t="s">
        <v>484</v>
      </c>
      <c r="BG185" s="124" t="s">
        <v>482</v>
      </c>
      <c r="BH185" s="123" t="s">
        <v>587</v>
      </c>
      <c r="BI185" s="171" t="s">
        <v>511</v>
      </c>
      <c r="BJ185" s="171" t="s">
        <v>512</v>
      </c>
      <c r="BK185" s="171" t="s">
        <v>519</v>
      </c>
      <c r="BL185" s="171">
        <v>1188.0</v>
      </c>
      <c r="BM185" s="171">
        <v>36494.74</v>
      </c>
      <c r="BN185" s="171">
        <v>-35307.0</v>
      </c>
      <c r="BO185" s="171" t="s">
        <v>514</v>
      </c>
      <c r="BP185" s="171">
        <v>9174963.0</v>
      </c>
      <c r="BQ185" s="171" t="s">
        <v>484</v>
      </c>
      <c r="BR185" s="171" t="s">
        <v>479</v>
      </c>
      <c r="BS185" s="171">
        <v>36.0</v>
      </c>
    </row>
    <row r="186" ht="14.25" customHeight="1">
      <c r="A186" s="122" t="s">
        <v>493</v>
      </c>
      <c r="B186" s="123" t="s">
        <v>494</v>
      </c>
      <c r="C186" s="123">
        <v>107.0</v>
      </c>
      <c r="D186" s="123" t="s">
        <v>146</v>
      </c>
      <c r="E186" s="123" t="s">
        <v>147</v>
      </c>
      <c r="F186" s="124"/>
      <c r="G186" s="123" t="s">
        <v>149</v>
      </c>
      <c r="H186" s="123" t="s">
        <v>2</v>
      </c>
      <c r="I186" s="123" t="s">
        <v>495</v>
      </c>
      <c r="J186" s="123" t="s">
        <v>528</v>
      </c>
      <c r="K186" s="123" t="s">
        <v>529</v>
      </c>
      <c r="L186" s="123" t="s">
        <v>498</v>
      </c>
      <c r="M186" s="179">
        <v>46126.0</v>
      </c>
      <c r="N186" s="123" t="s">
        <v>660</v>
      </c>
      <c r="O186" s="123">
        <v>9155607.0</v>
      </c>
      <c r="P186" s="125">
        <v>46114.0</v>
      </c>
      <c r="Q186" s="123" t="s">
        <v>500</v>
      </c>
      <c r="R186" s="122">
        <v>2770.0</v>
      </c>
      <c r="S186" s="123" t="s">
        <v>531</v>
      </c>
      <c r="T186" s="123" t="s">
        <v>532</v>
      </c>
      <c r="U186" s="123" t="s">
        <v>533</v>
      </c>
      <c r="V186" s="123" t="s">
        <v>504</v>
      </c>
      <c r="W186" s="124"/>
      <c r="X186" s="123">
        <v>1.0</v>
      </c>
      <c r="Y186" s="123">
        <v>13548.15</v>
      </c>
      <c r="Z186" s="123">
        <v>13548.15</v>
      </c>
      <c r="AA186" s="123" t="s">
        <v>157</v>
      </c>
      <c r="AB186" s="123" t="s">
        <v>660</v>
      </c>
      <c r="AC186" s="125">
        <v>46114.0</v>
      </c>
      <c r="AD186" s="122" t="s">
        <v>525</v>
      </c>
      <c r="AE186" s="123">
        <v>8.4439952E7</v>
      </c>
      <c r="AF186" s="123" t="s">
        <v>897</v>
      </c>
      <c r="AG186" s="124"/>
      <c r="AH186" s="124"/>
      <c r="AI186" s="123">
        <v>13548.15</v>
      </c>
      <c r="AJ186" s="123" t="s">
        <v>159</v>
      </c>
      <c r="AK186" s="123">
        <v>18.0</v>
      </c>
      <c r="AL186" s="123">
        <v>1219.33</v>
      </c>
      <c r="AM186" s="123">
        <v>1219.33</v>
      </c>
      <c r="AN186" s="123">
        <v>0.0</v>
      </c>
      <c r="AO186" s="123">
        <v>0.0</v>
      </c>
      <c r="AP186" s="123">
        <v>0.0</v>
      </c>
      <c r="AQ186" s="123">
        <v>0.0</v>
      </c>
      <c r="AR186" s="123">
        <v>0.0</v>
      </c>
      <c r="AS186" s="123">
        <v>0.0</v>
      </c>
      <c r="AT186" s="123">
        <v>0.0</v>
      </c>
      <c r="AU186" s="124"/>
      <c r="AV186" s="124"/>
      <c r="AW186" s="123">
        <v>0.0</v>
      </c>
      <c r="AX186" s="123">
        <v>15986.81</v>
      </c>
      <c r="AY186" s="123" t="s">
        <v>20</v>
      </c>
      <c r="AZ186" s="123" t="s">
        <v>31</v>
      </c>
      <c r="BA186" s="123" t="s">
        <v>535</v>
      </c>
      <c r="BB186" s="123">
        <v>1.126100057E9</v>
      </c>
      <c r="BC186" s="122" t="s">
        <v>187</v>
      </c>
      <c r="BD186" s="123" t="s">
        <v>162</v>
      </c>
      <c r="BE186" s="124"/>
      <c r="BF186" s="124" t="s">
        <v>483</v>
      </c>
      <c r="BG186" s="124" t="s">
        <v>482</v>
      </c>
      <c r="BH186" s="123" t="s">
        <v>510</v>
      </c>
      <c r="BI186" s="171" t="s">
        <v>511</v>
      </c>
      <c r="BJ186" s="171" t="s">
        <v>512</v>
      </c>
      <c r="BK186" s="171" t="s">
        <v>480</v>
      </c>
      <c r="BL186" s="171">
        <v>431.1</v>
      </c>
      <c r="BM186" s="171">
        <v>8534.42</v>
      </c>
      <c r="BN186" s="171">
        <v>-8103.0</v>
      </c>
      <c r="BO186" s="171" t="s">
        <v>514</v>
      </c>
      <c r="BP186" s="171">
        <v>9156749.0</v>
      </c>
      <c r="BQ186" s="171" t="s">
        <v>483</v>
      </c>
      <c r="BR186" s="171" t="s">
        <v>479</v>
      </c>
      <c r="BS186" s="171">
        <v>17.0</v>
      </c>
    </row>
    <row r="187" ht="14.25" customHeight="1">
      <c r="A187" s="122" t="s">
        <v>493</v>
      </c>
      <c r="B187" s="123" t="s">
        <v>494</v>
      </c>
      <c r="C187" s="123">
        <v>107.0</v>
      </c>
      <c r="D187" s="123" t="s">
        <v>146</v>
      </c>
      <c r="E187" s="123" t="s">
        <v>147</v>
      </c>
      <c r="F187" s="124"/>
      <c r="G187" s="123" t="s">
        <v>149</v>
      </c>
      <c r="H187" s="123" t="s">
        <v>2</v>
      </c>
      <c r="I187" s="123" t="s">
        <v>495</v>
      </c>
      <c r="J187" s="123" t="s">
        <v>496</v>
      </c>
      <c r="K187" s="123" t="s">
        <v>497</v>
      </c>
      <c r="L187" s="123" t="s">
        <v>498</v>
      </c>
      <c r="M187" s="179">
        <v>46127.0</v>
      </c>
      <c r="N187" s="123" t="s">
        <v>499</v>
      </c>
      <c r="O187" s="123">
        <v>9158398.0</v>
      </c>
      <c r="P187" s="125">
        <v>46090.0</v>
      </c>
      <c r="Q187" s="123" t="s">
        <v>500</v>
      </c>
      <c r="R187" s="122">
        <v>35671.0</v>
      </c>
      <c r="S187" s="123" t="s">
        <v>501</v>
      </c>
      <c r="T187" s="123" t="s">
        <v>502</v>
      </c>
      <c r="U187" s="123" t="s">
        <v>503</v>
      </c>
      <c r="V187" s="123" t="s">
        <v>504</v>
      </c>
      <c r="W187" s="124"/>
      <c r="X187" s="123">
        <v>231.23</v>
      </c>
      <c r="Y187" s="123">
        <v>6.0</v>
      </c>
      <c r="Z187" s="123">
        <v>1387.38</v>
      </c>
      <c r="AA187" s="123" t="s">
        <v>157</v>
      </c>
      <c r="AB187" s="123" t="s">
        <v>499</v>
      </c>
      <c r="AC187" s="125">
        <v>46121.0</v>
      </c>
      <c r="AD187" s="122" t="s">
        <v>505</v>
      </c>
      <c r="AE187" s="123">
        <v>8.7087E7</v>
      </c>
      <c r="AF187" s="123" t="s">
        <v>898</v>
      </c>
      <c r="AG187" s="124"/>
      <c r="AH187" s="124"/>
      <c r="AI187" s="123">
        <v>1387.38</v>
      </c>
      <c r="AJ187" s="123" t="s">
        <v>159</v>
      </c>
      <c r="AK187" s="123">
        <v>18.0</v>
      </c>
      <c r="AL187" s="123">
        <v>0.0</v>
      </c>
      <c r="AM187" s="123">
        <v>0.0</v>
      </c>
      <c r="AN187" s="123">
        <v>249.73</v>
      </c>
      <c r="AO187" s="123">
        <v>0.0</v>
      </c>
      <c r="AP187" s="123">
        <v>0.0</v>
      </c>
      <c r="AQ187" s="123">
        <v>0.0</v>
      </c>
      <c r="AR187" s="123">
        <v>0.0</v>
      </c>
      <c r="AS187" s="123">
        <v>0.0</v>
      </c>
      <c r="AT187" s="123">
        <v>0.0</v>
      </c>
      <c r="AU187" s="124"/>
      <c r="AV187" s="124"/>
      <c r="AW187" s="123">
        <v>0.0</v>
      </c>
      <c r="AX187" s="123">
        <v>1637.11</v>
      </c>
      <c r="AY187" s="123" t="s">
        <v>31</v>
      </c>
      <c r="AZ187" s="123" t="s">
        <v>31</v>
      </c>
      <c r="BA187" s="123" t="s">
        <v>507</v>
      </c>
      <c r="BB187" s="123">
        <v>1.126100105E9</v>
      </c>
      <c r="BC187" s="122" t="s">
        <v>508</v>
      </c>
      <c r="BD187" s="123" t="s">
        <v>509</v>
      </c>
      <c r="BE187" s="124"/>
      <c r="BF187" s="124" t="s">
        <v>484</v>
      </c>
      <c r="BG187" s="124" t="s">
        <v>482</v>
      </c>
      <c r="BH187" s="123" t="s">
        <v>510</v>
      </c>
      <c r="BI187" s="171" t="s">
        <v>511</v>
      </c>
      <c r="BJ187" s="171" t="s">
        <v>512</v>
      </c>
      <c r="BK187" s="171" t="s">
        <v>563</v>
      </c>
      <c r="BL187" s="171">
        <v>12.24</v>
      </c>
      <c r="BM187" s="171">
        <v>2435.38</v>
      </c>
      <c r="BN187" s="171">
        <v>-2423.0</v>
      </c>
      <c r="BO187" s="171" t="s">
        <v>514</v>
      </c>
      <c r="BP187" s="171">
        <v>9175014.0</v>
      </c>
      <c r="BQ187" s="171" t="s">
        <v>484</v>
      </c>
      <c r="BR187" s="171" t="s">
        <v>479</v>
      </c>
      <c r="BS187" s="171">
        <v>18.0</v>
      </c>
    </row>
    <row r="188" ht="14.25" customHeight="1">
      <c r="A188" s="122" t="s">
        <v>493</v>
      </c>
      <c r="B188" s="123" t="s">
        <v>494</v>
      </c>
      <c r="C188" s="123">
        <v>107.0</v>
      </c>
      <c r="D188" s="123" t="s">
        <v>146</v>
      </c>
      <c r="E188" s="123" t="s">
        <v>147</v>
      </c>
      <c r="F188" s="124"/>
      <c r="G188" s="124" t="s">
        <v>149</v>
      </c>
      <c r="H188" s="123" t="s">
        <v>2</v>
      </c>
      <c r="I188" s="123" t="s">
        <v>495</v>
      </c>
      <c r="J188" s="123" t="s">
        <v>496</v>
      </c>
      <c r="K188" s="123" t="s">
        <v>497</v>
      </c>
      <c r="L188" s="123" t="s">
        <v>498</v>
      </c>
      <c r="M188" s="179">
        <v>46140.0</v>
      </c>
      <c r="N188" s="123" t="s">
        <v>551</v>
      </c>
      <c r="O188" s="123">
        <v>9175014.0</v>
      </c>
      <c r="P188" s="125">
        <v>46129.0</v>
      </c>
      <c r="Q188" s="123" t="s">
        <v>500</v>
      </c>
      <c r="R188" s="122">
        <v>15979.0</v>
      </c>
      <c r="S188" s="123" t="s">
        <v>552</v>
      </c>
      <c r="T188" s="123" t="s">
        <v>539</v>
      </c>
      <c r="U188" s="124" t="s">
        <v>553</v>
      </c>
      <c r="V188" s="123" t="s">
        <v>504</v>
      </c>
      <c r="W188" s="124"/>
      <c r="X188" s="123">
        <v>537.3</v>
      </c>
      <c r="Y188" s="123">
        <v>1.0</v>
      </c>
      <c r="Z188" s="123">
        <v>537.3</v>
      </c>
      <c r="AA188" s="123" t="s">
        <v>157</v>
      </c>
      <c r="AB188" s="123" t="s">
        <v>551</v>
      </c>
      <c r="AC188" s="125">
        <v>46129.0</v>
      </c>
      <c r="AD188" s="124" t="s">
        <v>505</v>
      </c>
      <c r="AE188" s="123">
        <v>998729.0</v>
      </c>
      <c r="AF188" s="123" t="s">
        <v>899</v>
      </c>
      <c r="AG188" s="124"/>
      <c r="AH188" s="124"/>
      <c r="AI188" s="123">
        <v>537.3</v>
      </c>
      <c r="AJ188" s="123" t="s">
        <v>159</v>
      </c>
      <c r="AK188" s="123">
        <v>18.0</v>
      </c>
      <c r="AL188" s="123">
        <v>48.36</v>
      </c>
      <c r="AM188" s="123">
        <v>48.36</v>
      </c>
      <c r="AN188" s="123">
        <v>0.0</v>
      </c>
      <c r="AO188" s="123">
        <v>0.0</v>
      </c>
      <c r="AP188" s="123">
        <v>0.0</v>
      </c>
      <c r="AQ188" s="123">
        <v>0.0</v>
      </c>
      <c r="AR188" s="123">
        <v>0.0</v>
      </c>
      <c r="AS188" s="123">
        <v>0.0</v>
      </c>
      <c r="AT188" s="123">
        <v>0.0</v>
      </c>
      <c r="AU188" s="124"/>
      <c r="AV188" s="124"/>
      <c r="AW188" s="123">
        <v>0.0</v>
      </c>
      <c r="AX188" s="123">
        <v>634.02</v>
      </c>
      <c r="AY188" s="123" t="s">
        <v>31</v>
      </c>
      <c r="AZ188" s="123" t="s">
        <v>31</v>
      </c>
      <c r="BA188" s="123" t="s">
        <v>555</v>
      </c>
      <c r="BB188" s="123">
        <v>1.126100447E9</v>
      </c>
      <c r="BC188" s="122" t="s">
        <v>556</v>
      </c>
      <c r="BD188" s="123" t="s">
        <v>509</v>
      </c>
      <c r="BE188" s="124"/>
      <c r="BF188" s="124" t="s">
        <v>484</v>
      </c>
      <c r="BG188" s="124" t="s">
        <v>482</v>
      </c>
      <c r="BH188" s="123" t="s">
        <v>510</v>
      </c>
      <c r="BI188" s="171" t="s">
        <v>511</v>
      </c>
      <c r="BJ188" s="171" t="s">
        <v>512</v>
      </c>
      <c r="BK188" s="171" t="s">
        <v>589</v>
      </c>
      <c r="BL188" s="171">
        <v>2700.0</v>
      </c>
      <c r="BM188" s="171" t="e">
        <v>#N/A</v>
      </c>
      <c r="BN188" s="171" t="e">
        <v>#N/A</v>
      </c>
      <c r="BO188" s="171" t="s">
        <v>544</v>
      </c>
      <c r="BP188" s="171">
        <v>9167056.0</v>
      </c>
      <c r="BQ188" s="171" t="s">
        <v>481</v>
      </c>
      <c r="BR188" s="171" t="s">
        <v>544</v>
      </c>
      <c r="BS188" s="171">
        <v>3.0</v>
      </c>
    </row>
    <row r="189" ht="14.25" customHeight="1">
      <c r="A189" s="122" t="s">
        <v>493</v>
      </c>
      <c r="B189" s="123" t="s">
        <v>494</v>
      </c>
      <c r="C189" s="123">
        <v>107.0</v>
      </c>
      <c r="D189" s="123" t="s">
        <v>146</v>
      </c>
      <c r="E189" s="123" t="s">
        <v>147</v>
      </c>
      <c r="F189" s="124"/>
      <c r="G189" s="124" t="s">
        <v>149</v>
      </c>
      <c r="H189" s="123" t="s">
        <v>2</v>
      </c>
      <c r="I189" s="123" t="s">
        <v>495</v>
      </c>
      <c r="J189" s="123" t="s">
        <v>496</v>
      </c>
      <c r="K189" s="123" t="s">
        <v>497</v>
      </c>
      <c r="L189" s="123" t="s">
        <v>498</v>
      </c>
      <c r="M189" s="179">
        <v>46127.0</v>
      </c>
      <c r="N189" s="123" t="s">
        <v>499</v>
      </c>
      <c r="O189" s="123">
        <v>9158398.0</v>
      </c>
      <c r="P189" s="125">
        <v>46090.0</v>
      </c>
      <c r="Q189" s="123" t="s">
        <v>500</v>
      </c>
      <c r="R189" s="122">
        <v>35671.0</v>
      </c>
      <c r="S189" s="123" t="s">
        <v>501</v>
      </c>
      <c r="T189" s="123" t="s">
        <v>502</v>
      </c>
      <c r="U189" s="124" t="s">
        <v>503</v>
      </c>
      <c r="V189" s="124" t="s">
        <v>504</v>
      </c>
      <c r="W189" s="124"/>
      <c r="X189" s="123">
        <v>275.0</v>
      </c>
      <c r="Y189" s="123">
        <v>30.0</v>
      </c>
      <c r="Z189" s="123">
        <v>8250.0</v>
      </c>
      <c r="AA189" s="123" t="s">
        <v>157</v>
      </c>
      <c r="AB189" s="123" t="s">
        <v>499</v>
      </c>
      <c r="AC189" s="125">
        <v>46121.0</v>
      </c>
      <c r="AD189" s="124" t="s">
        <v>505</v>
      </c>
      <c r="AE189" s="123">
        <v>996200.0</v>
      </c>
      <c r="AF189" s="123" t="s">
        <v>754</v>
      </c>
      <c r="AG189" s="124"/>
      <c r="AH189" s="124"/>
      <c r="AI189" s="123">
        <v>8250.0</v>
      </c>
      <c r="AJ189" s="123" t="s">
        <v>159</v>
      </c>
      <c r="AK189" s="123">
        <v>18.0</v>
      </c>
      <c r="AL189" s="123">
        <v>0.0</v>
      </c>
      <c r="AM189" s="123">
        <v>0.0</v>
      </c>
      <c r="AN189" s="123">
        <v>1485.0</v>
      </c>
      <c r="AO189" s="123">
        <v>0.0</v>
      </c>
      <c r="AP189" s="123">
        <v>0.0</v>
      </c>
      <c r="AQ189" s="123">
        <v>0.0</v>
      </c>
      <c r="AR189" s="123">
        <v>0.0</v>
      </c>
      <c r="AS189" s="123">
        <v>0.0</v>
      </c>
      <c r="AT189" s="123">
        <v>0.0</v>
      </c>
      <c r="AU189" s="124"/>
      <c r="AV189" s="124"/>
      <c r="AW189" s="123">
        <v>0.0</v>
      </c>
      <c r="AX189" s="123">
        <v>9735.0</v>
      </c>
      <c r="AY189" s="123" t="s">
        <v>31</v>
      </c>
      <c r="AZ189" s="123" t="s">
        <v>31</v>
      </c>
      <c r="BA189" s="123" t="s">
        <v>507</v>
      </c>
      <c r="BB189" s="123">
        <v>1.126100105E9</v>
      </c>
      <c r="BC189" s="122" t="s">
        <v>508</v>
      </c>
      <c r="BD189" s="123" t="s">
        <v>509</v>
      </c>
      <c r="BE189" s="124"/>
      <c r="BF189" s="124" t="s">
        <v>484</v>
      </c>
      <c r="BG189" s="124" t="s">
        <v>482</v>
      </c>
      <c r="BH189" s="123" t="s">
        <v>510</v>
      </c>
      <c r="BI189" s="171" t="s">
        <v>511</v>
      </c>
      <c r="BJ189" s="171" t="s">
        <v>512</v>
      </c>
      <c r="BK189" s="171" t="s">
        <v>743</v>
      </c>
      <c r="BL189" s="171">
        <v>1044.0</v>
      </c>
      <c r="BM189" s="171" t="e">
        <v>#N/A</v>
      </c>
      <c r="BN189" s="171" t="e">
        <v>#N/A</v>
      </c>
      <c r="BO189" s="171" t="s">
        <v>544</v>
      </c>
      <c r="BP189" s="171">
        <v>9164021.0</v>
      </c>
      <c r="BQ189" s="171" t="s">
        <v>481</v>
      </c>
      <c r="BR189" s="171" t="s">
        <v>544</v>
      </c>
      <c r="BS189" s="171">
        <v>5.0</v>
      </c>
    </row>
    <row r="190" ht="14.25" customHeight="1">
      <c r="A190" s="122" t="s">
        <v>493</v>
      </c>
      <c r="B190" s="123" t="s">
        <v>494</v>
      </c>
      <c r="C190" s="123">
        <v>107.0</v>
      </c>
      <c r="D190" s="123" t="s">
        <v>146</v>
      </c>
      <c r="E190" s="123" t="s">
        <v>147</v>
      </c>
      <c r="F190" s="124"/>
      <c r="G190" s="124" t="s">
        <v>149</v>
      </c>
      <c r="H190" s="123" t="s">
        <v>2</v>
      </c>
      <c r="I190" s="123" t="s">
        <v>495</v>
      </c>
      <c r="J190" s="123" t="s">
        <v>496</v>
      </c>
      <c r="K190" s="123" t="s">
        <v>497</v>
      </c>
      <c r="L190" s="123" t="s">
        <v>498</v>
      </c>
      <c r="M190" s="179">
        <v>46127.0</v>
      </c>
      <c r="N190" s="123" t="s">
        <v>499</v>
      </c>
      <c r="O190" s="123">
        <v>9158398.0</v>
      </c>
      <c r="P190" s="125">
        <v>46090.0</v>
      </c>
      <c r="Q190" s="123" t="s">
        <v>500</v>
      </c>
      <c r="R190" s="122">
        <v>35671.0</v>
      </c>
      <c r="S190" s="123" t="s">
        <v>501</v>
      </c>
      <c r="T190" s="123" t="s">
        <v>502</v>
      </c>
      <c r="U190" s="123" t="s">
        <v>503</v>
      </c>
      <c r="V190" s="123" t="s">
        <v>504</v>
      </c>
      <c r="W190" s="124"/>
      <c r="X190" s="123">
        <v>275.0</v>
      </c>
      <c r="Y190" s="123">
        <v>2.0</v>
      </c>
      <c r="Z190" s="123">
        <v>550.0</v>
      </c>
      <c r="AA190" s="123" t="s">
        <v>157</v>
      </c>
      <c r="AB190" s="123" t="s">
        <v>499</v>
      </c>
      <c r="AC190" s="125">
        <v>46121.0</v>
      </c>
      <c r="AD190" s="122" t="s">
        <v>505</v>
      </c>
      <c r="AE190" s="123">
        <v>998729.0</v>
      </c>
      <c r="AF190" s="123" t="s">
        <v>900</v>
      </c>
      <c r="AG190" s="124"/>
      <c r="AH190" s="124"/>
      <c r="AI190" s="123">
        <v>550.0</v>
      </c>
      <c r="AJ190" s="123" t="s">
        <v>159</v>
      </c>
      <c r="AK190" s="123">
        <v>18.0</v>
      </c>
      <c r="AL190" s="123">
        <v>0.0</v>
      </c>
      <c r="AM190" s="123">
        <v>0.0</v>
      </c>
      <c r="AN190" s="123">
        <v>99.0</v>
      </c>
      <c r="AO190" s="123">
        <v>0.0</v>
      </c>
      <c r="AP190" s="123">
        <v>0.0</v>
      </c>
      <c r="AQ190" s="123">
        <v>0.0</v>
      </c>
      <c r="AR190" s="123">
        <v>0.0</v>
      </c>
      <c r="AS190" s="123">
        <v>0.0</v>
      </c>
      <c r="AT190" s="123">
        <v>0.0</v>
      </c>
      <c r="AU190" s="124"/>
      <c r="AV190" s="124"/>
      <c r="AW190" s="123">
        <v>0.0</v>
      </c>
      <c r="AX190" s="123">
        <v>649.0</v>
      </c>
      <c r="AY190" s="123" t="s">
        <v>31</v>
      </c>
      <c r="AZ190" s="123" t="s">
        <v>31</v>
      </c>
      <c r="BA190" s="123" t="s">
        <v>507</v>
      </c>
      <c r="BB190" s="123">
        <v>1.126100105E9</v>
      </c>
      <c r="BC190" s="122" t="s">
        <v>508</v>
      </c>
      <c r="BD190" s="123" t="s">
        <v>509</v>
      </c>
      <c r="BE190" s="124"/>
      <c r="BF190" s="124" t="s">
        <v>484</v>
      </c>
      <c r="BG190" s="124" t="s">
        <v>482</v>
      </c>
      <c r="BH190" s="123" t="s">
        <v>510</v>
      </c>
      <c r="BI190" s="171" t="s">
        <v>511</v>
      </c>
      <c r="BJ190" s="171" t="s">
        <v>512</v>
      </c>
      <c r="BK190" s="171" t="s">
        <v>901</v>
      </c>
      <c r="BL190" s="171">
        <v>1462252.5</v>
      </c>
      <c r="BM190" s="171">
        <v>1462252.0</v>
      </c>
      <c r="BN190" s="171">
        <v>1.0</v>
      </c>
      <c r="BO190" s="171" t="s">
        <v>514</v>
      </c>
      <c r="BP190" s="171">
        <v>9151137.0</v>
      </c>
      <c r="BQ190" s="171" t="s">
        <v>483</v>
      </c>
      <c r="BR190" s="171" t="s">
        <v>479</v>
      </c>
      <c r="BS190" s="171">
        <v>1.0</v>
      </c>
    </row>
    <row r="191" ht="14.25" customHeight="1">
      <c r="A191" s="122" t="s">
        <v>493</v>
      </c>
      <c r="B191" s="123" t="s">
        <v>494</v>
      </c>
      <c r="C191" s="123">
        <v>107.0</v>
      </c>
      <c r="D191" s="123" t="s">
        <v>146</v>
      </c>
      <c r="E191" s="123" t="s">
        <v>147</v>
      </c>
      <c r="F191" s="124"/>
      <c r="G191" s="124" t="s">
        <v>149</v>
      </c>
      <c r="H191" s="123" t="s">
        <v>2</v>
      </c>
      <c r="I191" s="123" t="s">
        <v>495</v>
      </c>
      <c r="J191" s="123" t="s">
        <v>496</v>
      </c>
      <c r="K191" s="123" t="s">
        <v>497</v>
      </c>
      <c r="L191" s="123" t="s">
        <v>498</v>
      </c>
      <c r="M191" s="179">
        <v>46127.0</v>
      </c>
      <c r="N191" s="123" t="s">
        <v>520</v>
      </c>
      <c r="O191" s="123">
        <v>9156749.0</v>
      </c>
      <c r="P191" s="125">
        <v>46115.0</v>
      </c>
      <c r="Q191" s="123" t="s">
        <v>500</v>
      </c>
      <c r="R191" s="122">
        <v>6262.0</v>
      </c>
      <c r="S191" s="123" t="s">
        <v>521</v>
      </c>
      <c r="T191" s="123" t="s">
        <v>522</v>
      </c>
      <c r="U191" s="123" t="s">
        <v>523</v>
      </c>
      <c r="V191" s="123" t="s">
        <v>504</v>
      </c>
      <c r="W191" s="124"/>
      <c r="X191" s="123">
        <v>1.0</v>
      </c>
      <c r="Y191" s="123">
        <v>499.0</v>
      </c>
      <c r="Z191" s="123">
        <v>499.0</v>
      </c>
      <c r="AA191" s="123" t="s">
        <v>157</v>
      </c>
      <c r="AB191" s="123" t="s">
        <v>524</v>
      </c>
      <c r="AC191" s="125">
        <v>46115.0</v>
      </c>
      <c r="AD191" s="122" t="s">
        <v>525</v>
      </c>
      <c r="AE191" s="123">
        <v>998413.0</v>
      </c>
      <c r="AF191" s="123" t="s">
        <v>526</v>
      </c>
      <c r="AG191" s="124"/>
      <c r="AH191" s="124"/>
      <c r="AI191" s="123">
        <v>499.0</v>
      </c>
      <c r="AJ191" s="123" t="s">
        <v>159</v>
      </c>
      <c r="AK191" s="123">
        <v>18.0</v>
      </c>
      <c r="AL191" s="123">
        <v>44.91</v>
      </c>
      <c r="AM191" s="123">
        <v>44.91</v>
      </c>
      <c r="AN191" s="123">
        <v>0.0</v>
      </c>
      <c r="AO191" s="123">
        <v>0.0</v>
      </c>
      <c r="AP191" s="123">
        <v>0.0</v>
      </c>
      <c r="AQ191" s="123">
        <v>0.0</v>
      </c>
      <c r="AR191" s="123">
        <v>0.0</v>
      </c>
      <c r="AS191" s="123">
        <v>0.0</v>
      </c>
      <c r="AT191" s="123">
        <v>0.0</v>
      </c>
      <c r="AU191" s="124"/>
      <c r="AV191" s="124"/>
      <c r="AW191" s="123">
        <v>0.0</v>
      </c>
      <c r="AX191" s="123">
        <v>588.82</v>
      </c>
      <c r="AY191" s="123" t="s">
        <v>20</v>
      </c>
      <c r="AZ191" s="123" t="s">
        <v>31</v>
      </c>
      <c r="BA191" s="123" t="s">
        <v>527</v>
      </c>
      <c r="BB191" s="123">
        <v>1.126100078E9</v>
      </c>
      <c r="BC191" s="122" t="s">
        <v>187</v>
      </c>
      <c r="BD191" s="123" t="s">
        <v>162</v>
      </c>
      <c r="BE191" s="124"/>
      <c r="BF191" s="124" t="s">
        <v>483</v>
      </c>
      <c r="BG191" s="124" t="s">
        <v>482</v>
      </c>
      <c r="BH191" s="123" t="s">
        <v>510</v>
      </c>
      <c r="BI191" s="171" t="s">
        <v>511</v>
      </c>
      <c r="BJ191" s="171" t="s">
        <v>512</v>
      </c>
      <c r="BK191" s="171" t="s">
        <v>536</v>
      </c>
      <c r="BL191" s="171">
        <v>440.5</v>
      </c>
      <c r="BM191" s="171">
        <v>5381.62</v>
      </c>
      <c r="BN191" s="171">
        <v>-4941.0</v>
      </c>
      <c r="BO191" s="171" t="s">
        <v>514</v>
      </c>
      <c r="BP191" s="171">
        <v>9155613.0</v>
      </c>
      <c r="BQ191" s="171" t="s">
        <v>483</v>
      </c>
      <c r="BR191" s="171" t="s">
        <v>479</v>
      </c>
      <c r="BS191" s="171">
        <v>4.0</v>
      </c>
    </row>
    <row r="192" ht="14.25" customHeight="1">
      <c r="A192" s="122" t="s">
        <v>493</v>
      </c>
      <c r="B192" s="123" t="s">
        <v>494</v>
      </c>
      <c r="C192" s="123">
        <v>107.0</v>
      </c>
      <c r="D192" s="123" t="s">
        <v>146</v>
      </c>
      <c r="E192" s="123" t="s">
        <v>147</v>
      </c>
      <c r="F192" s="124"/>
      <c r="G192" s="124" t="s">
        <v>149</v>
      </c>
      <c r="H192" s="123" t="s">
        <v>2</v>
      </c>
      <c r="I192" s="123" t="s">
        <v>495</v>
      </c>
      <c r="J192" s="123" t="s">
        <v>496</v>
      </c>
      <c r="K192" s="123" t="s">
        <v>497</v>
      </c>
      <c r="L192" s="123" t="s">
        <v>498</v>
      </c>
      <c r="M192" s="179">
        <v>46140.0</v>
      </c>
      <c r="N192" s="123" t="s">
        <v>551</v>
      </c>
      <c r="O192" s="123">
        <v>9175014.0</v>
      </c>
      <c r="P192" s="125">
        <v>46129.0</v>
      </c>
      <c r="Q192" s="123" t="s">
        <v>500</v>
      </c>
      <c r="R192" s="122">
        <v>15979.0</v>
      </c>
      <c r="S192" s="123" t="s">
        <v>552</v>
      </c>
      <c r="T192" s="123" t="s">
        <v>539</v>
      </c>
      <c r="U192" s="123" t="s">
        <v>553</v>
      </c>
      <c r="V192" s="123" t="s">
        <v>504</v>
      </c>
      <c r="W192" s="124"/>
      <c r="X192" s="123">
        <v>457.2</v>
      </c>
      <c r="Y192" s="123">
        <v>1.0</v>
      </c>
      <c r="Z192" s="123">
        <v>457.2</v>
      </c>
      <c r="AA192" s="123" t="s">
        <v>157</v>
      </c>
      <c r="AB192" s="123" t="s">
        <v>551</v>
      </c>
      <c r="AC192" s="125">
        <v>46129.0</v>
      </c>
      <c r="AD192" s="122" t="s">
        <v>505</v>
      </c>
      <c r="AE192" s="123">
        <v>998729.0</v>
      </c>
      <c r="AF192" s="123" t="s">
        <v>902</v>
      </c>
      <c r="AG192" s="124"/>
      <c r="AH192" s="124"/>
      <c r="AI192" s="123">
        <v>457.2</v>
      </c>
      <c r="AJ192" s="123" t="s">
        <v>159</v>
      </c>
      <c r="AK192" s="123">
        <v>18.0</v>
      </c>
      <c r="AL192" s="123">
        <v>41.15</v>
      </c>
      <c r="AM192" s="123">
        <v>41.15</v>
      </c>
      <c r="AN192" s="123">
        <v>0.0</v>
      </c>
      <c r="AO192" s="123">
        <v>0.0</v>
      </c>
      <c r="AP192" s="123">
        <v>0.0</v>
      </c>
      <c r="AQ192" s="123">
        <v>0.0</v>
      </c>
      <c r="AR192" s="123">
        <v>0.0</v>
      </c>
      <c r="AS192" s="123">
        <v>0.0</v>
      </c>
      <c r="AT192" s="123">
        <v>0.0</v>
      </c>
      <c r="AU192" s="124"/>
      <c r="AV192" s="124"/>
      <c r="AW192" s="123">
        <v>0.0</v>
      </c>
      <c r="AX192" s="123">
        <v>539.5</v>
      </c>
      <c r="AY192" s="123" t="s">
        <v>31</v>
      </c>
      <c r="AZ192" s="123" t="s">
        <v>31</v>
      </c>
      <c r="BA192" s="123" t="s">
        <v>555</v>
      </c>
      <c r="BB192" s="123">
        <v>1.126100447E9</v>
      </c>
      <c r="BC192" s="122" t="s">
        <v>556</v>
      </c>
      <c r="BD192" s="123" t="s">
        <v>509</v>
      </c>
      <c r="BE192" s="124"/>
      <c r="BF192" s="124" t="s">
        <v>484</v>
      </c>
      <c r="BG192" s="124" t="s">
        <v>482</v>
      </c>
      <c r="BH192" s="123" t="s">
        <v>510</v>
      </c>
      <c r="BI192" s="171" t="s">
        <v>511</v>
      </c>
      <c r="BJ192" s="171" t="s">
        <v>512</v>
      </c>
      <c r="BK192" s="171" t="s">
        <v>550</v>
      </c>
      <c r="BL192" s="171">
        <v>411.64</v>
      </c>
      <c r="BM192" s="171">
        <v>489.18</v>
      </c>
      <c r="BN192" s="171">
        <v>-78.0</v>
      </c>
      <c r="BO192" s="171" t="s">
        <v>514</v>
      </c>
      <c r="BP192" s="171">
        <v>9155610.0</v>
      </c>
      <c r="BQ192" s="171" t="s">
        <v>483</v>
      </c>
      <c r="BR192" s="171" t="s">
        <v>479</v>
      </c>
      <c r="BS192" s="171">
        <v>4.0</v>
      </c>
    </row>
    <row r="193" ht="14.25" customHeight="1">
      <c r="A193" s="122" t="s">
        <v>493</v>
      </c>
      <c r="B193" s="123" t="s">
        <v>494</v>
      </c>
      <c r="C193" s="123">
        <v>107.0</v>
      </c>
      <c r="D193" s="123" t="s">
        <v>146</v>
      </c>
      <c r="E193" s="123" t="s">
        <v>147</v>
      </c>
      <c r="F193" s="124"/>
      <c r="G193" s="124"/>
      <c r="H193" s="123" t="s">
        <v>2</v>
      </c>
      <c r="I193" s="123" t="s">
        <v>495</v>
      </c>
      <c r="J193" s="123" t="s">
        <v>528</v>
      </c>
      <c r="K193" s="123" t="s">
        <v>529</v>
      </c>
      <c r="L193" s="123" t="s">
        <v>498</v>
      </c>
      <c r="M193" s="179">
        <v>46133.0</v>
      </c>
      <c r="N193" s="123" t="s">
        <v>711</v>
      </c>
      <c r="O193" s="123">
        <v>9164653.0</v>
      </c>
      <c r="P193" s="125">
        <v>46127.0</v>
      </c>
      <c r="Q193" s="123" t="s">
        <v>500</v>
      </c>
      <c r="R193" s="122">
        <v>39845.0</v>
      </c>
      <c r="S193" s="123" t="s">
        <v>712</v>
      </c>
      <c r="T193" s="123" t="s">
        <v>713</v>
      </c>
      <c r="U193" s="123" t="s">
        <v>714</v>
      </c>
      <c r="V193" s="123" t="s">
        <v>504</v>
      </c>
      <c r="W193" s="124"/>
      <c r="X193" s="123">
        <v>1.0</v>
      </c>
      <c r="Y193" s="123">
        <v>8914.32</v>
      </c>
      <c r="Z193" s="123">
        <v>8914.32</v>
      </c>
      <c r="AA193" s="123" t="s">
        <v>157</v>
      </c>
      <c r="AB193" s="123" t="s">
        <v>711</v>
      </c>
      <c r="AC193" s="125">
        <v>46127.0</v>
      </c>
      <c r="AD193" s="124" t="s">
        <v>505</v>
      </c>
      <c r="AE193" s="123">
        <v>1.704902E7</v>
      </c>
      <c r="AF193" s="123" t="s">
        <v>903</v>
      </c>
      <c r="AG193" s="124"/>
      <c r="AH193" s="124"/>
      <c r="AI193" s="123">
        <v>8914.32</v>
      </c>
      <c r="AJ193" s="123" t="s">
        <v>159</v>
      </c>
      <c r="AK193" s="123">
        <v>5.0</v>
      </c>
      <c r="AL193" s="123">
        <v>0.0</v>
      </c>
      <c r="AM193" s="123">
        <v>0.0</v>
      </c>
      <c r="AN193" s="123">
        <v>445.72</v>
      </c>
      <c r="AO193" s="123">
        <v>0.0</v>
      </c>
      <c r="AP193" s="123">
        <v>0.0</v>
      </c>
      <c r="AQ193" s="123">
        <v>0.0</v>
      </c>
      <c r="AR193" s="123">
        <v>0.0</v>
      </c>
      <c r="AS193" s="123">
        <v>0.0</v>
      </c>
      <c r="AT193" s="123">
        <v>0.0</v>
      </c>
      <c r="AU193" s="124"/>
      <c r="AV193" s="124"/>
      <c r="AW193" s="123">
        <v>0.0</v>
      </c>
      <c r="AX193" s="123">
        <v>9360.04</v>
      </c>
      <c r="AY193" s="123" t="s">
        <v>31</v>
      </c>
      <c r="AZ193" s="123" t="s">
        <v>31</v>
      </c>
      <c r="BA193" s="123" t="s">
        <v>640</v>
      </c>
      <c r="BB193" s="123">
        <v>1.126100308E9</v>
      </c>
      <c r="BC193" s="122" t="s">
        <v>716</v>
      </c>
      <c r="BD193" s="123" t="s">
        <v>586</v>
      </c>
      <c r="BE193" s="124"/>
      <c r="BF193" s="124" t="s">
        <v>484</v>
      </c>
      <c r="BG193" s="124" t="s">
        <v>482</v>
      </c>
      <c r="BH193" s="123" t="s">
        <v>510</v>
      </c>
      <c r="BI193" s="171" t="s">
        <v>511</v>
      </c>
      <c r="BJ193" s="171" t="s">
        <v>512</v>
      </c>
      <c r="BK193" s="171" t="s">
        <v>864</v>
      </c>
      <c r="BL193" s="171">
        <v>10934.28</v>
      </c>
      <c r="BM193" s="171">
        <v>11178.0</v>
      </c>
      <c r="BN193" s="171">
        <v>-244.0</v>
      </c>
      <c r="BO193" s="171" t="s">
        <v>514</v>
      </c>
      <c r="BP193" s="171">
        <v>9151139.0</v>
      </c>
      <c r="BQ193" s="171" t="s">
        <v>484</v>
      </c>
      <c r="BR193" s="171" t="s">
        <v>479</v>
      </c>
      <c r="BS193" s="171">
        <v>2.0</v>
      </c>
    </row>
    <row r="194" ht="14.25" customHeight="1">
      <c r="A194" s="122" t="s">
        <v>493</v>
      </c>
      <c r="B194" s="123" t="s">
        <v>494</v>
      </c>
      <c r="C194" s="123">
        <v>107.0</v>
      </c>
      <c r="D194" s="123" t="s">
        <v>146</v>
      </c>
      <c r="E194" s="123" t="s">
        <v>147</v>
      </c>
      <c r="F194" s="124"/>
      <c r="G194" s="123" t="s">
        <v>149</v>
      </c>
      <c r="H194" s="123" t="s">
        <v>2</v>
      </c>
      <c r="I194" s="123" t="s">
        <v>495</v>
      </c>
      <c r="J194" s="123" t="s">
        <v>496</v>
      </c>
      <c r="K194" s="123" t="s">
        <v>497</v>
      </c>
      <c r="L194" s="123" t="s">
        <v>498</v>
      </c>
      <c r="M194" s="179">
        <v>46140.0</v>
      </c>
      <c r="N194" s="123" t="s">
        <v>516</v>
      </c>
      <c r="O194" s="123">
        <v>9174963.0</v>
      </c>
      <c r="P194" s="125">
        <v>46129.0</v>
      </c>
      <c r="Q194" s="123" t="s">
        <v>500</v>
      </c>
      <c r="R194" s="122">
        <v>35671.0</v>
      </c>
      <c r="S194" s="123" t="s">
        <v>501</v>
      </c>
      <c r="T194" s="123" t="s">
        <v>502</v>
      </c>
      <c r="U194" s="123" t="s">
        <v>503</v>
      </c>
      <c r="V194" s="123" t="s">
        <v>504</v>
      </c>
      <c r="W194" s="124"/>
      <c r="X194" s="123">
        <v>275.0</v>
      </c>
      <c r="Y194" s="123">
        <v>3.0</v>
      </c>
      <c r="Z194" s="123">
        <v>825.0</v>
      </c>
      <c r="AA194" s="123" t="s">
        <v>157</v>
      </c>
      <c r="AB194" s="123" t="s">
        <v>516</v>
      </c>
      <c r="AC194" s="125">
        <v>46129.0</v>
      </c>
      <c r="AD194" s="122" t="s">
        <v>505</v>
      </c>
      <c r="AE194" s="123">
        <v>998729.0</v>
      </c>
      <c r="AF194" s="123" t="s">
        <v>904</v>
      </c>
      <c r="AG194" s="124"/>
      <c r="AH194" s="124"/>
      <c r="AI194" s="123">
        <v>825.0</v>
      </c>
      <c r="AJ194" s="123" t="s">
        <v>159</v>
      </c>
      <c r="AK194" s="123">
        <v>18.0</v>
      </c>
      <c r="AL194" s="123">
        <v>0.0</v>
      </c>
      <c r="AM194" s="123">
        <v>0.0</v>
      </c>
      <c r="AN194" s="123">
        <v>148.5</v>
      </c>
      <c r="AO194" s="123">
        <v>0.0</v>
      </c>
      <c r="AP194" s="123">
        <v>0.0</v>
      </c>
      <c r="AQ194" s="123">
        <v>0.0</v>
      </c>
      <c r="AR194" s="123">
        <v>0.0</v>
      </c>
      <c r="AS194" s="123">
        <v>0.0</v>
      </c>
      <c r="AT194" s="123">
        <v>0.0</v>
      </c>
      <c r="AU194" s="124"/>
      <c r="AV194" s="124"/>
      <c r="AW194" s="123">
        <v>0.0</v>
      </c>
      <c r="AX194" s="123">
        <v>973.5</v>
      </c>
      <c r="AY194" s="123" t="s">
        <v>31</v>
      </c>
      <c r="AZ194" s="123" t="s">
        <v>31</v>
      </c>
      <c r="BA194" s="123" t="s">
        <v>518</v>
      </c>
      <c r="BB194" s="123">
        <v>1.126100446E9</v>
      </c>
      <c r="BC194" s="122" t="s">
        <v>508</v>
      </c>
      <c r="BD194" s="123" t="s">
        <v>509</v>
      </c>
      <c r="BE194" s="124"/>
      <c r="BF194" s="124" t="s">
        <v>484</v>
      </c>
      <c r="BG194" s="124" t="s">
        <v>482</v>
      </c>
      <c r="BH194" s="123" t="s">
        <v>510</v>
      </c>
      <c r="BI194" s="171" t="s">
        <v>511</v>
      </c>
      <c r="BJ194" s="171" t="s">
        <v>512</v>
      </c>
      <c r="BK194" s="171" t="s">
        <v>513</v>
      </c>
      <c r="BL194" s="171">
        <v>1355.84</v>
      </c>
      <c r="BM194" s="171">
        <v>38182.88</v>
      </c>
      <c r="BN194" s="171">
        <v>-36827.0</v>
      </c>
      <c r="BO194" s="171" t="s">
        <v>514</v>
      </c>
      <c r="BP194" s="171">
        <v>9158398.0</v>
      </c>
      <c r="BQ194" s="171" t="s">
        <v>484</v>
      </c>
      <c r="BR194" s="171" t="s">
        <v>479</v>
      </c>
      <c r="BS194" s="171">
        <v>37.0</v>
      </c>
    </row>
    <row r="195" ht="14.25" customHeight="1">
      <c r="A195" s="122" t="s">
        <v>493</v>
      </c>
      <c r="B195" s="123" t="s">
        <v>494</v>
      </c>
      <c r="C195" s="123">
        <v>107.0</v>
      </c>
      <c r="D195" s="123" t="s">
        <v>146</v>
      </c>
      <c r="E195" s="123" t="s">
        <v>147</v>
      </c>
      <c r="F195" s="124"/>
      <c r="G195" s="123" t="s">
        <v>149</v>
      </c>
      <c r="H195" s="123" t="s">
        <v>2</v>
      </c>
      <c r="I195" s="123" t="s">
        <v>495</v>
      </c>
      <c r="J195" s="123" t="s">
        <v>496</v>
      </c>
      <c r="K195" s="123" t="s">
        <v>497</v>
      </c>
      <c r="L195" s="123" t="s">
        <v>498</v>
      </c>
      <c r="M195" s="179">
        <v>46127.0</v>
      </c>
      <c r="N195" s="123" t="s">
        <v>520</v>
      </c>
      <c r="O195" s="123">
        <v>9156749.0</v>
      </c>
      <c r="P195" s="125">
        <v>46115.0</v>
      </c>
      <c r="Q195" s="123" t="s">
        <v>500</v>
      </c>
      <c r="R195" s="122">
        <v>6262.0</v>
      </c>
      <c r="S195" s="123" t="s">
        <v>521</v>
      </c>
      <c r="T195" s="123" t="s">
        <v>522</v>
      </c>
      <c r="U195" s="123" t="s">
        <v>523</v>
      </c>
      <c r="V195" s="123" t="s">
        <v>504</v>
      </c>
      <c r="W195" s="124"/>
      <c r="X195" s="123">
        <v>1.0</v>
      </c>
      <c r="Y195" s="123">
        <v>1447.0</v>
      </c>
      <c r="Z195" s="123">
        <v>1447.0</v>
      </c>
      <c r="AA195" s="123" t="s">
        <v>157</v>
      </c>
      <c r="AB195" s="123" t="s">
        <v>524</v>
      </c>
      <c r="AC195" s="125">
        <v>46115.0</v>
      </c>
      <c r="AD195" s="122" t="s">
        <v>525</v>
      </c>
      <c r="AE195" s="123">
        <v>998413.0</v>
      </c>
      <c r="AF195" s="123" t="s">
        <v>526</v>
      </c>
      <c r="AG195" s="124"/>
      <c r="AH195" s="124"/>
      <c r="AI195" s="123">
        <v>1447.0</v>
      </c>
      <c r="AJ195" s="123" t="s">
        <v>159</v>
      </c>
      <c r="AK195" s="123">
        <v>18.0</v>
      </c>
      <c r="AL195" s="123">
        <v>130.23</v>
      </c>
      <c r="AM195" s="123">
        <v>130.23</v>
      </c>
      <c r="AN195" s="123">
        <v>0.0</v>
      </c>
      <c r="AO195" s="123">
        <v>0.0</v>
      </c>
      <c r="AP195" s="123">
        <v>0.0</v>
      </c>
      <c r="AQ195" s="123">
        <v>0.0</v>
      </c>
      <c r="AR195" s="123">
        <v>0.0</v>
      </c>
      <c r="AS195" s="123">
        <v>0.0</v>
      </c>
      <c r="AT195" s="123">
        <v>0.0</v>
      </c>
      <c r="AU195" s="124"/>
      <c r="AV195" s="124"/>
      <c r="AW195" s="123">
        <v>0.0</v>
      </c>
      <c r="AX195" s="123">
        <v>1707.46</v>
      </c>
      <c r="AY195" s="123" t="s">
        <v>20</v>
      </c>
      <c r="AZ195" s="123" t="s">
        <v>31</v>
      </c>
      <c r="BA195" s="123" t="s">
        <v>527</v>
      </c>
      <c r="BB195" s="123">
        <v>1.126100078E9</v>
      </c>
      <c r="BC195" s="122" t="s">
        <v>187</v>
      </c>
      <c r="BD195" s="123" t="s">
        <v>162</v>
      </c>
      <c r="BE195" s="124"/>
      <c r="BF195" s="124" t="s">
        <v>483</v>
      </c>
      <c r="BG195" s="124" t="s">
        <v>482</v>
      </c>
      <c r="BH195" s="123" t="s">
        <v>510</v>
      </c>
      <c r="BI195" s="171" t="s">
        <v>511</v>
      </c>
      <c r="BJ195" s="171" t="s">
        <v>512</v>
      </c>
      <c r="BK195" s="171" t="s">
        <v>513</v>
      </c>
      <c r="BL195" s="171">
        <v>148.5</v>
      </c>
      <c r="BM195" s="171">
        <v>38182.88</v>
      </c>
      <c r="BN195" s="171">
        <v>-38034.0</v>
      </c>
      <c r="BO195" s="171" t="s">
        <v>514</v>
      </c>
      <c r="BP195" s="171">
        <v>9158398.0</v>
      </c>
      <c r="BQ195" s="171" t="s">
        <v>484</v>
      </c>
      <c r="BR195" s="171" t="s">
        <v>479</v>
      </c>
      <c r="BS195" s="171">
        <v>37.0</v>
      </c>
    </row>
    <row r="196" ht="14.25" customHeight="1">
      <c r="A196" s="122" t="s">
        <v>493</v>
      </c>
      <c r="B196" s="123" t="s">
        <v>494</v>
      </c>
      <c r="C196" s="123">
        <v>107.0</v>
      </c>
      <c r="D196" s="123" t="s">
        <v>146</v>
      </c>
      <c r="E196" s="123" t="s">
        <v>147</v>
      </c>
      <c r="F196" s="124"/>
      <c r="G196" s="123" t="s">
        <v>149</v>
      </c>
      <c r="H196" s="123" t="s">
        <v>2</v>
      </c>
      <c r="I196" s="123" t="s">
        <v>495</v>
      </c>
      <c r="J196" s="123" t="s">
        <v>496</v>
      </c>
      <c r="K196" s="123" t="s">
        <v>497</v>
      </c>
      <c r="L196" s="123" t="s">
        <v>498</v>
      </c>
      <c r="M196" s="179">
        <v>46127.0</v>
      </c>
      <c r="N196" s="123" t="s">
        <v>520</v>
      </c>
      <c r="O196" s="123">
        <v>9156749.0</v>
      </c>
      <c r="P196" s="125">
        <v>46115.0</v>
      </c>
      <c r="Q196" s="123" t="s">
        <v>500</v>
      </c>
      <c r="R196" s="122">
        <v>6262.0</v>
      </c>
      <c r="S196" s="123" t="s">
        <v>521</v>
      </c>
      <c r="T196" s="123" t="s">
        <v>522</v>
      </c>
      <c r="U196" s="123" t="s">
        <v>523</v>
      </c>
      <c r="V196" s="123" t="s">
        <v>504</v>
      </c>
      <c r="W196" s="124"/>
      <c r="X196" s="123">
        <v>1.0</v>
      </c>
      <c r="Y196" s="123">
        <v>3057.0</v>
      </c>
      <c r="Z196" s="123">
        <v>3057.0</v>
      </c>
      <c r="AA196" s="123" t="s">
        <v>157</v>
      </c>
      <c r="AB196" s="123" t="s">
        <v>524</v>
      </c>
      <c r="AC196" s="125">
        <v>46115.0</v>
      </c>
      <c r="AD196" s="122" t="s">
        <v>525</v>
      </c>
      <c r="AE196" s="123">
        <v>998413.0</v>
      </c>
      <c r="AF196" s="123" t="s">
        <v>526</v>
      </c>
      <c r="AG196" s="124"/>
      <c r="AH196" s="124"/>
      <c r="AI196" s="123">
        <v>3057.0</v>
      </c>
      <c r="AJ196" s="123" t="s">
        <v>159</v>
      </c>
      <c r="AK196" s="123">
        <v>18.0</v>
      </c>
      <c r="AL196" s="123">
        <v>275.13</v>
      </c>
      <c r="AM196" s="123">
        <v>275.13</v>
      </c>
      <c r="AN196" s="123">
        <v>0.0</v>
      </c>
      <c r="AO196" s="123">
        <v>0.0</v>
      </c>
      <c r="AP196" s="123">
        <v>0.0</v>
      </c>
      <c r="AQ196" s="123">
        <v>0.0</v>
      </c>
      <c r="AR196" s="123">
        <v>0.0</v>
      </c>
      <c r="AS196" s="123">
        <v>0.0</v>
      </c>
      <c r="AT196" s="123">
        <v>0.0</v>
      </c>
      <c r="AU196" s="124"/>
      <c r="AV196" s="124"/>
      <c r="AW196" s="123">
        <v>0.0</v>
      </c>
      <c r="AX196" s="123">
        <v>3607.26</v>
      </c>
      <c r="AY196" s="123" t="s">
        <v>20</v>
      </c>
      <c r="AZ196" s="123" t="s">
        <v>31</v>
      </c>
      <c r="BA196" s="123" t="s">
        <v>527</v>
      </c>
      <c r="BB196" s="123">
        <v>1.126100078E9</v>
      </c>
      <c r="BC196" s="122" t="s">
        <v>187</v>
      </c>
      <c r="BD196" s="123" t="s">
        <v>162</v>
      </c>
      <c r="BE196" s="124"/>
      <c r="BF196" s="124" t="s">
        <v>483</v>
      </c>
      <c r="BG196" s="124" t="s">
        <v>482</v>
      </c>
      <c r="BH196" s="123" t="s">
        <v>510</v>
      </c>
      <c r="BI196" s="171" t="s">
        <v>511</v>
      </c>
      <c r="BJ196" s="171" t="s">
        <v>512</v>
      </c>
      <c r="BK196" s="171" t="s">
        <v>513</v>
      </c>
      <c r="BL196" s="171">
        <v>1485.0</v>
      </c>
      <c r="BM196" s="171">
        <v>38182.88</v>
      </c>
      <c r="BN196" s="171">
        <v>-36698.0</v>
      </c>
      <c r="BO196" s="171" t="s">
        <v>514</v>
      </c>
      <c r="BP196" s="171">
        <v>9158398.0</v>
      </c>
      <c r="BQ196" s="171" t="s">
        <v>484</v>
      </c>
      <c r="BR196" s="171" t="s">
        <v>479</v>
      </c>
      <c r="BS196" s="171">
        <v>37.0</v>
      </c>
    </row>
    <row r="197" ht="14.25" customHeight="1">
      <c r="A197" s="122" t="s">
        <v>493</v>
      </c>
      <c r="B197" s="123" t="s">
        <v>494</v>
      </c>
      <c r="C197" s="123">
        <v>107.0</v>
      </c>
      <c r="D197" s="123" t="s">
        <v>146</v>
      </c>
      <c r="E197" s="123" t="s">
        <v>147</v>
      </c>
      <c r="F197" s="124"/>
      <c r="G197" s="123" t="s">
        <v>149</v>
      </c>
      <c r="H197" s="123" t="s">
        <v>2</v>
      </c>
      <c r="I197" s="123" t="s">
        <v>495</v>
      </c>
      <c r="J197" s="123" t="s">
        <v>496</v>
      </c>
      <c r="K197" s="123" t="s">
        <v>497</v>
      </c>
      <c r="L197" s="123" t="s">
        <v>498</v>
      </c>
      <c r="M197" s="179">
        <v>46127.0</v>
      </c>
      <c r="N197" s="123" t="s">
        <v>520</v>
      </c>
      <c r="O197" s="123">
        <v>9156749.0</v>
      </c>
      <c r="P197" s="125">
        <v>46115.0</v>
      </c>
      <c r="Q197" s="123" t="s">
        <v>500</v>
      </c>
      <c r="R197" s="122">
        <v>6262.0</v>
      </c>
      <c r="S197" s="123" t="s">
        <v>521</v>
      </c>
      <c r="T197" s="123" t="s">
        <v>522</v>
      </c>
      <c r="U197" s="123" t="s">
        <v>523</v>
      </c>
      <c r="V197" s="123" t="s">
        <v>504</v>
      </c>
      <c r="W197" s="124"/>
      <c r="X197" s="123">
        <v>1.0</v>
      </c>
      <c r="Y197" s="123">
        <v>1718.0</v>
      </c>
      <c r="Z197" s="123">
        <v>1718.0</v>
      </c>
      <c r="AA197" s="123" t="s">
        <v>157</v>
      </c>
      <c r="AB197" s="123" t="s">
        <v>524</v>
      </c>
      <c r="AC197" s="125">
        <v>46115.0</v>
      </c>
      <c r="AD197" s="122" t="s">
        <v>525</v>
      </c>
      <c r="AE197" s="123">
        <v>998413.0</v>
      </c>
      <c r="AF197" s="123" t="s">
        <v>526</v>
      </c>
      <c r="AG197" s="124"/>
      <c r="AH197" s="124"/>
      <c r="AI197" s="123">
        <v>1718.0</v>
      </c>
      <c r="AJ197" s="123" t="s">
        <v>159</v>
      </c>
      <c r="AK197" s="123">
        <v>18.0</v>
      </c>
      <c r="AL197" s="123">
        <v>154.62</v>
      </c>
      <c r="AM197" s="123">
        <v>154.62</v>
      </c>
      <c r="AN197" s="123">
        <v>0.0</v>
      </c>
      <c r="AO197" s="123">
        <v>0.0</v>
      </c>
      <c r="AP197" s="123">
        <v>0.0</v>
      </c>
      <c r="AQ197" s="123">
        <v>0.0</v>
      </c>
      <c r="AR197" s="123">
        <v>0.0</v>
      </c>
      <c r="AS197" s="123">
        <v>0.0</v>
      </c>
      <c r="AT197" s="123">
        <v>0.0</v>
      </c>
      <c r="AU197" s="124"/>
      <c r="AV197" s="124"/>
      <c r="AW197" s="123">
        <v>0.0</v>
      </c>
      <c r="AX197" s="123">
        <v>2027.24</v>
      </c>
      <c r="AY197" s="123" t="s">
        <v>20</v>
      </c>
      <c r="AZ197" s="123" t="s">
        <v>31</v>
      </c>
      <c r="BA197" s="123" t="s">
        <v>527</v>
      </c>
      <c r="BB197" s="123">
        <v>1.126100078E9</v>
      </c>
      <c r="BC197" s="122" t="s">
        <v>187</v>
      </c>
      <c r="BD197" s="123" t="s">
        <v>162</v>
      </c>
      <c r="BE197" s="124"/>
      <c r="BF197" s="124" t="s">
        <v>483</v>
      </c>
      <c r="BG197" s="124" t="s">
        <v>482</v>
      </c>
      <c r="BH197" s="123" t="s">
        <v>510</v>
      </c>
      <c r="BI197" s="171" t="s">
        <v>511</v>
      </c>
      <c r="BJ197" s="171" t="s">
        <v>512</v>
      </c>
      <c r="BK197" s="171" t="s">
        <v>513</v>
      </c>
      <c r="BL197" s="171">
        <v>148.5</v>
      </c>
      <c r="BM197" s="171">
        <v>38182.88</v>
      </c>
      <c r="BN197" s="171">
        <v>-38034.0</v>
      </c>
      <c r="BO197" s="171" t="s">
        <v>514</v>
      </c>
      <c r="BP197" s="171">
        <v>9158398.0</v>
      </c>
      <c r="BQ197" s="171" t="s">
        <v>484</v>
      </c>
      <c r="BR197" s="171" t="s">
        <v>479</v>
      </c>
      <c r="BS197" s="171">
        <v>37.0</v>
      </c>
    </row>
    <row r="198" ht="14.25" customHeight="1">
      <c r="A198" s="122" t="s">
        <v>493</v>
      </c>
      <c r="B198" s="123" t="s">
        <v>494</v>
      </c>
      <c r="C198" s="123">
        <v>107.0</v>
      </c>
      <c r="D198" s="123" t="s">
        <v>146</v>
      </c>
      <c r="E198" s="123" t="s">
        <v>147</v>
      </c>
      <c r="F198" s="124"/>
      <c r="G198" s="123" t="s">
        <v>149</v>
      </c>
      <c r="H198" s="123" t="s">
        <v>2</v>
      </c>
      <c r="I198" s="123" t="s">
        <v>495</v>
      </c>
      <c r="J198" s="123" t="s">
        <v>496</v>
      </c>
      <c r="K198" s="123" t="s">
        <v>497</v>
      </c>
      <c r="L198" s="123" t="s">
        <v>498</v>
      </c>
      <c r="M198" s="179">
        <v>46140.0</v>
      </c>
      <c r="N198" s="123" t="s">
        <v>551</v>
      </c>
      <c r="O198" s="123">
        <v>9175014.0</v>
      </c>
      <c r="P198" s="125">
        <v>46129.0</v>
      </c>
      <c r="Q198" s="123" t="s">
        <v>500</v>
      </c>
      <c r="R198" s="122">
        <v>15979.0</v>
      </c>
      <c r="S198" s="123" t="s">
        <v>552</v>
      </c>
      <c r="T198" s="123" t="s">
        <v>539</v>
      </c>
      <c r="U198" s="123" t="s">
        <v>553</v>
      </c>
      <c r="V198" s="123" t="s">
        <v>781</v>
      </c>
      <c r="W198" s="124"/>
      <c r="X198" s="123">
        <v>46.94</v>
      </c>
      <c r="Y198" s="123">
        <v>33.0</v>
      </c>
      <c r="Z198" s="123">
        <v>1549.02</v>
      </c>
      <c r="AA198" s="123" t="s">
        <v>157</v>
      </c>
      <c r="AB198" s="123" t="s">
        <v>551</v>
      </c>
      <c r="AC198" s="125">
        <v>46129.0</v>
      </c>
      <c r="AD198" s="122" t="s">
        <v>505</v>
      </c>
      <c r="AE198" s="123">
        <v>2.7101972E7</v>
      </c>
      <c r="AF198" s="123" t="s">
        <v>905</v>
      </c>
      <c r="AG198" s="124"/>
      <c r="AH198" s="124"/>
      <c r="AI198" s="123">
        <v>1549.02</v>
      </c>
      <c r="AJ198" s="123" t="s">
        <v>159</v>
      </c>
      <c r="AK198" s="123">
        <v>18.0</v>
      </c>
      <c r="AL198" s="123">
        <v>139.41</v>
      </c>
      <c r="AM198" s="123">
        <v>139.41</v>
      </c>
      <c r="AN198" s="123">
        <v>0.0</v>
      </c>
      <c r="AO198" s="123">
        <v>0.0</v>
      </c>
      <c r="AP198" s="123">
        <v>0.0</v>
      </c>
      <c r="AQ198" s="123">
        <v>0.0</v>
      </c>
      <c r="AR198" s="123">
        <v>0.0</v>
      </c>
      <c r="AS198" s="123">
        <v>0.0</v>
      </c>
      <c r="AT198" s="123">
        <v>0.0</v>
      </c>
      <c r="AU198" s="124"/>
      <c r="AV198" s="124"/>
      <c r="AW198" s="123">
        <v>0.0</v>
      </c>
      <c r="AX198" s="123">
        <v>1827.84</v>
      </c>
      <c r="AY198" s="123" t="s">
        <v>31</v>
      </c>
      <c r="AZ198" s="123" t="s">
        <v>31</v>
      </c>
      <c r="BA198" s="123" t="s">
        <v>555</v>
      </c>
      <c r="BB198" s="123">
        <v>1.126100447E9</v>
      </c>
      <c r="BC198" s="122" t="s">
        <v>556</v>
      </c>
      <c r="BD198" s="123" t="s">
        <v>509</v>
      </c>
      <c r="BE198" s="124"/>
      <c r="BF198" s="124" t="s">
        <v>484</v>
      </c>
      <c r="BG198" s="124" t="s">
        <v>482</v>
      </c>
      <c r="BH198" s="123" t="s">
        <v>510</v>
      </c>
      <c r="BI198" s="171" t="s">
        <v>511</v>
      </c>
      <c r="BJ198" s="171" t="s">
        <v>512</v>
      </c>
      <c r="BK198" s="171" t="s">
        <v>513</v>
      </c>
      <c r="BL198" s="171">
        <v>49.5</v>
      </c>
      <c r="BM198" s="171">
        <v>38182.88</v>
      </c>
      <c r="BN198" s="171">
        <v>-38133.0</v>
      </c>
      <c r="BO198" s="171" t="s">
        <v>514</v>
      </c>
      <c r="BP198" s="171">
        <v>9158398.0</v>
      </c>
      <c r="BQ198" s="171" t="s">
        <v>484</v>
      </c>
      <c r="BR198" s="171" t="s">
        <v>479</v>
      </c>
      <c r="BS198" s="171">
        <v>37.0</v>
      </c>
    </row>
    <row r="199" ht="14.25" customHeight="1">
      <c r="A199" s="122" t="s">
        <v>493</v>
      </c>
      <c r="B199" s="123" t="s">
        <v>494</v>
      </c>
      <c r="C199" s="123">
        <v>107.0</v>
      </c>
      <c r="D199" s="123" t="s">
        <v>146</v>
      </c>
      <c r="E199" s="123" t="s">
        <v>147</v>
      </c>
      <c r="F199" s="124"/>
      <c r="G199" s="123" t="s">
        <v>149</v>
      </c>
      <c r="H199" s="123" t="s">
        <v>2</v>
      </c>
      <c r="I199" s="123" t="s">
        <v>495</v>
      </c>
      <c r="J199" s="123" t="s">
        <v>528</v>
      </c>
      <c r="K199" s="123" t="s">
        <v>626</v>
      </c>
      <c r="L199" s="123" t="s">
        <v>498</v>
      </c>
      <c r="M199" s="179">
        <v>46133.0</v>
      </c>
      <c r="N199" s="123" t="s">
        <v>906</v>
      </c>
      <c r="O199" s="123">
        <v>9164389.0</v>
      </c>
      <c r="P199" s="125">
        <v>46115.0</v>
      </c>
      <c r="Q199" s="123" t="s">
        <v>500</v>
      </c>
      <c r="R199" s="122">
        <v>6262.0</v>
      </c>
      <c r="S199" s="123" t="s">
        <v>521</v>
      </c>
      <c r="T199" s="123" t="s">
        <v>522</v>
      </c>
      <c r="U199" s="123" t="s">
        <v>523</v>
      </c>
      <c r="V199" s="123" t="s">
        <v>504</v>
      </c>
      <c r="W199" s="124"/>
      <c r="X199" s="123">
        <v>1.0</v>
      </c>
      <c r="Y199" s="123">
        <v>1499.0</v>
      </c>
      <c r="Z199" s="123">
        <v>1499.0</v>
      </c>
      <c r="AA199" s="123" t="s">
        <v>157</v>
      </c>
      <c r="AB199" s="123" t="s">
        <v>906</v>
      </c>
      <c r="AC199" s="125">
        <v>46115.0</v>
      </c>
      <c r="AD199" s="122" t="s">
        <v>525</v>
      </c>
      <c r="AE199" s="123">
        <v>998412.0</v>
      </c>
      <c r="AF199" s="123" t="s">
        <v>907</v>
      </c>
      <c r="AG199" s="124"/>
      <c r="AH199" s="124"/>
      <c r="AI199" s="123">
        <v>1499.0</v>
      </c>
      <c r="AJ199" s="123" t="s">
        <v>159</v>
      </c>
      <c r="AK199" s="123">
        <v>18.0</v>
      </c>
      <c r="AL199" s="123">
        <v>134.91</v>
      </c>
      <c r="AM199" s="123">
        <v>134.91</v>
      </c>
      <c r="AN199" s="123">
        <v>0.0</v>
      </c>
      <c r="AO199" s="123">
        <v>0.0</v>
      </c>
      <c r="AP199" s="123">
        <v>0.0</v>
      </c>
      <c r="AQ199" s="123">
        <v>0.0</v>
      </c>
      <c r="AR199" s="123">
        <v>0.0</v>
      </c>
      <c r="AS199" s="123">
        <v>0.0</v>
      </c>
      <c r="AT199" s="123">
        <v>0.0</v>
      </c>
      <c r="AU199" s="124"/>
      <c r="AV199" s="124"/>
      <c r="AW199" s="123">
        <v>0.0</v>
      </c>
      <c r="AX199" s="123">
        <v>1768.82</v>
      </c>
      <c r="AY199" s="123" t="s">
        <v>20</v>
      </c>
      <c r="AZ199" s="123" t="s">
        <v>31</v>
      </c>
      <c r="BA199" s="123" t="s">
        <v>612</v>
      </c>
      <c r="BB199" s="123">
        <v>1.126100285E9</v>
      </c>
      <c r="BC199" s="122" t="s">
        <v>187</v>
      </c>
      <c r="BD199" s="123" t="s">
        <v>162</v>
      </c>
      <c r="BE199" s="124"/>
      <c r="BF199" s="124" t="s">
        <v>483</v>
      </c>
      <c r="BG199" s="124" t="s">
        <v>482</v>
      </c>
      <c r="BH199" s="123" t="s">
        <v>510</v>
      </c>
      <c r="BI199" s="171" t="s">
        <v>511</v>
      </c>
      <c r="BJ199" s="171" t="s">
        <v>512</v>
      </c>
      <c r="BK199" s="171" t="s">
        <v>513</v>
      </c>
      <c r="BL199" s="171">
        <v>2376.0</v>
      </c>
      <c r="BM199" s="171">
        <v>38182.88</v>
      </c>
      <c r="BN199" s="171">
        <v>-35807.0</v>
      </c>
      <c r="BO199" s="171" t="s">
        <v>514</v>
      </c>
      <c r="BP199" s="171">
        <v>9158398.0</v>
      </c>
      <c r="BQ199" s="171" t="s">
        <v>484</v>
      </c>
      <c r="BR199" s="171" t="s">
        <v>479</v>
      </c>
      <c r="BS199" s="171">
        <v>37.0</v>
      </c>
    </row>
    <row r="200" ht="14.25" customHeight="1">
      <c r="A200" s="122" t="s">
        <v>493</v>
      </c>
      <c r="B200" s="123" t="s">
        <v>494</v>
      </c>
      <c r="C200" s="123">
        <v>107.0</v>
      </c>
      <c r="D200" s="123" t="s">
        <v>146</v>
      </c>
      <c r="E200" s="123" t="s">
        <v>147</v>
      </c>
      <c r="F200" s="124"/>
      <c r="G200" s="123" t="s">
        <v>149</v>
      </c>
      <c r="H200" s="123" t="s">
        <v>2</v>
      </c>
      <c r="I200" s="123" t="s">
        <v>495</v>
      </c>
      <c r="J200" s="123" t="s">
        <v>528</v>
      </c>
      <c r="K200" s="123" t="s">
        <v>529</v>
      </c>
      <c r="L200" s="123" t="s">
        <v>498</v>
      </c>
      <c r="M200" s="179">
        <v>46126.0</v>
      </c>
      <c r="N200" s="123" t="s">
        <v>908</v>
      </c>
      <c r="O200" s="123">
        <v>9155616.0</v>
      </c>
      <c r="P200" s="125">
        <v>46114.0</v>
      </c>
      <c r="Q200" s="123" t="s">
        <v>500</v>
      </c>
      <c r="R200" s="122">
        <v>2770.0</v>
      </c>
      <c r="S200" s="123" t="s">
        <v>531</v>
      </c>
      <c r="T200" s="123" t="s">
        <v>532</v>
      </c>
      <c r="U200" s="123" t="s">
        <v>533</v>
      </c>
      <c r="V200" s="123" t="s">
        <v>504</v>
      </c>
      <c r="W200" s="124"/>
      <c r="X200" s="123">
        <v>1.0</v>
      </c>
      <c r="Y200" s="123">
        <v>2881.77</v>
      </c>
      <c r="Z200" s="123">
        <v>2881.77</v>
      </c>
      <c r="AA200" s="123" t="s">
        <v>157</v>
      </c>
      <c r="AB200" s="123" t="s">
        <v>908</v>
      </c>
      <c r="AC200" s="125">
        <v>46114.0</v>
      </c>
      <c r="AD200" s="122" t="s">
        <v>525</v>
      </c>
      <c r="AE200" s="123">
        <v>8.4439952E7</v>
      </c>
      <c r="AF200" s="123" t="s">
        <v>909</v>
      </c>
      <c r="AG200" s="124"/>
      <c r="AH200" s="124"/>
      <c r="AI200" s="123">
        <v>2881.77</v>
      </c>
      <c r="AJ200" s="123" t="s">
        <v>159</v>
      </c>
      <c r="AK200" s="123">
        <v>18.0</v>
      </c>
      <c r="AL200" s="123">
        <v>259.36</v>
      </c>
      <c r="AM200" s="123">
        <v>259.36</v>
      </c>
      <c r="AN200" s="123">
        <v>0.0</v>
      </c>
      <c r="AO200" s="123">
        <v>0.0</v>
      </c>
      <c r="AP200" s="123">
        <v>0.0</v>
      </c>
      <c r="AQ200" s="123">
        <v>0.0</v>
      </c>
      <c r="AR200" s="123">
        <v>0.0</v>
      </c>
      <c r="AS200" s="123">
        <v>0.0</v>
      </c>
      <c r="AT200" s="123">
        <v>0.0</v>
      </c>
      <c r="AU200" s="124"/>
      <c r="AV200" s="124"/>
      <c r="AW200" s="123">
        <v>0.0</v>
      </c>
      <c r="AX200" s="123">
        <v>3400.49</v>
      </c>
      <c r="AY200" s="123" t="s">
        <v>20</v>
      </c>
      <c r="AZ200" s="123" t="s">
        <v>31</v>
      </c>
      <c r="BA200" s="123" t="s">
        <v>535</v>
      </c>
      <c r="BB200" s="123">
        <v>1.126100066E9</v>
      </c>
      <c r="BC200" s="122" t="s">
        <v>187</v>
      </c>
      <c r="BD200" s="123" t="s">
        <v>162</v>
      </c>
      <c r="BE200" s="124"/>
      <c r="BF200" s="124" t="s">
        <v>483</v>
      </c>
      <c r="BG200" s="124" t="s">
        <v>482</v>
      </c>
      <c r="BH200" s="123" t="s">
        <v>510</v>
      </c>
      <c r="BI200" s="171" t="s">
        <v>511</v>
      </c>
      <c r="BJ200" s="171" t="s">
        <v>512</v>
      </c>
      <c r="BK200" s="171" t="s">
        <v>519</v>
      </c>
      <c r="BL200" s="171">
        <v>1527.12</v>
      </c>
      <c r="BM200" s="171">
        <v>36494.74</v>
      </c>
      <c r="BN200" s="171">
        <v>-34968.0</v>
      </c>
      <c r="BO200" s="171" t="s">
        <v>514</v>
      </c>
      <c r="BP200" s="171">
        <v>9174963.0</v>
      </c>
      <c r="BQ200" s="171" t="s">
        <v>484</v>
      </c>
      <c r="BR200" s="171" t="s">
        <v>479</v>
      </c>
      <c r="BS200" s="171">
        <v>36.0</v>
      </c>
    </row>
    <row r="201" ht="14.25" customHeight="1">
      <c r="A201" s="122" t="s">
        <v>493</v>
      </c>
      <c r="B201" s="123" t="s">
        <v>494</v>
      </c>
      <c r="C201" s="123">
        <v>107.0</v>
      </c>
      <c r="D201" s="123" t="s">
        <v>146</v>
      </c>
      <c r="E201" s="123" t="s">
        <v>147</v>
      </c>
      <c r="F201" s="124"/>
      <c r="G201" s="123" t="s">
        <v>149</v>
      </c>
      <c r="H201" s="123" t="s">
        <v>2</v>
      </c>
      <c r="I201" s="123" t="s">
        <v>495</v>
      </c>
      <c r="J201" s="123" t="s">
        <v>528</v>
      </c>
      <c r="K201" s="123" t="s">
        <v>529</v>
      </c>
      <c r="L201" s="123" t="s">
        <v>498</v>
      </c>
      <c r="M201" s="179">
        <v>46142.0</v>
      </c>
      <c r="N201" s="123" t="s">
        <v>910</v>
      </c>
      <c r="O201" s="123">
        <v>9156858.0</v>
      </c>
      <c r="P201" s="125">
        <v>46113.0</v>
      </c>
      <c r="Q201" s="123" t="s">
        <v>500</v>
      </c>
      <c r="R201" s="122">
        <v>2770.0</v>
      </c>
      <c r="S201" s="123" t="s">
        <v>531</v>
      </c>
      <c r="T201" s="123" t="s">
        <v>572</v>
      </c>
      <c r="U201" s="123" t="s">
        <v>573</v>
      </c>
      <c r="V201" s="123" t="s">
        <v>504</v>
      </c>
      <c r="W201" s="124"/>
      <c r="X201" s="123">
        <v>1.0</v>
      </c>
      <c r="Y201" s="123">
        <v>-3956.0</v>
      </c>
      <c r="Z201" s="123">
        <v>-3956.0</v>
      </c>
      <c r="AA201" s="123" t="s">
        <v>157</v>
      </c>
      <c r="AB201" s="123" t="s">
        <v>910</v>
      </c>
      <c r="AC201" s="125">
        <v>46113.0</v>
      </c>
      <c r="AD201" s="122" t="s">
        <v>593</v>
      </c>
      <c r="AE201" s="123">
        <v>997314.0</v>
      </c>
      <c r="AF201" s="123" t="s">
        <v>725</v>
      </c>
      <c r="AG201" s="124"/>
      <c r="AH201" s="124"/>
      <c r="AI201" s="123">
        <v>-3956.0</v>
      </c>
      <c r="AJ201" s="123" t="s">
        <v>159</v>
      </c>
      <c r="AK201" s="123">
        <v>18.0</v>
      </c>
      <c r="AL201" s="123">
        <v>0.0</v>
      </c>
      <c r="AM201" s="123">
        <v>0.0</v>
      </c>
      <c r="AN201" s="123">
        <v>0.0</v>
      </c>
      <c r="AO201" s="123">
        <v>0.0</v>
      </c>
      <c r="AP201" s="123">
        <v>0.0</v>
      </c>
      <c r="AQ201" s="123">
        <v>0.0</v>
      </c>
      <c r="AR201" s="123">
        <v>0.0</v>
      </c>
      <c r="AS201" s="123">
        <v>0.0</v>
      </c>
      <c r="AT201" s="123">
        <v>0.0</v>
      </c>
      <c r="AU201" s="124"/>
      <c r="AV201" s="124"/>
      <c r="AW201" s="123">
        <v>0.0</v>
      </c>
      <c r="AX201" s="123">
        <v>-3956.0</v>
      </c>
      <c r="AY201" s="123" t="s">
        <v>20</v>
      </c>
      <c r="AZ201" s="123" t="s">
        <v>31</v>
      </c>
      <c r="BA201" s="123" t="s">
        <v>575</v>
      </c>
      <c r="BB201" s="123">
        <v>1.126100087E9</v>
      </c>
      <c r="BC201" s="122" t="s">
        <v>161</v>
      </c>
      <c r="BD201" s="123" t="s">
        <v>162</v>
      </c>
      <c r="BE201" s="124"/>
      <c r="BF201" s="124" t="s">
        <v>483</v>
      </c>
      <c r="BG201" s="124" t="s">
        <v>482</v>
      </c>
      <c r="BH201" s="123" t="s">
        <v>510</v>
      </c>
      <c r="BI201" s="171" t="s">
        <v>511</v>
      </c>
      <c r="BJ201" s="171" t="s">
        <v>512</v>
      </c>
      <c r="BK201" s="171" t="s">
        <v>519</v>
      </c>
      <c r="BL201" s="171">
        <v>742.58</v>
      </c>
      <c r="BM201" s="171">
        <v>36494.74</v>
      </c>
      <c r="BN201" s="171">
        <v>-35752.0</v>
      </c>
      <c r="BO201" s="171" t="s">
        <v>514</v>
      </c>
      <c r="BP201" s="171">
        <v>9174963.0</v>
      </c>
      <c r="BQ201" s="171" t="s">
        <v>484</v>
      </c>
      <c r="BR201" s="171" t="s">
        <v>479</v>
      </c>
      <c r="BS201" s="171">
        <v>36.0</v>
      </c>
    </row>
    <row r="202" ht="14.25" customHeight="1">
      <c r="A202" s="122" t="s">
        <v>493</v>
      </c>
      <c r="B202" s="123" t="s">
        <v>494</v>
      </c>
      <c r="C202" s="123">
        <v>107.0</v>
      </c>
      <c r="D202" s="123" t="s">
        <v>146</v>
      </c>
      <c r="E202" s="123" t="s">
        <v>147</v>
      </c>
      <c r="F202" s="124"/>
      <c r="G202" s="123" t="s">
        <v>149</v>
      </c>
      <c r="H202" s="123" t="s">
        <v>2</v>
      </c>
      <c r="I202" s="123" t="s">
        <v>495</v>
      </c>
      <c r="J202" s="123" t="s">
        <v>528</v>
      </c>
      <c r="K202" s="123" t="s">
        <v>529</v>
      </c>
      <c r="L202" s="123" t="s">
        <v>498</v>
      </c>
      <c r="M202" s="179">
        <v>46133.0</v>
      </c>
      <c r="N202" s="123" t="s">
        <v>911</v>
      </c>
      <c r="O202" s="123">
        <v>9166991.0</v>
      </c>
      <c r="P202" s="125">
        <v>46125.0</v>
      </c>
      <c r="Q202" s="123" t="s">
        <v>500</v>
      </c>
      <c r="R202" s="122">
        <v>35005.0</v>
      </c>
      <c r="S202" s="123" t="s">
        <v>697</v>
      </c>
      <c r="T202" s="123" t="s">
        <v>539</v>
      </c>
      <c r="U202" s="123" t="s">
        <v>699</v>
      </c>
      <c r="V202" s="123" t="s">
        <v>504</v>
      </c>
      <c r="W202" s="124"/>
      <c r="X202" s="123">
        <v>4.0</v>
      </c>
      <c r="Y202" s="123">
        <v>5625.0</v>
      </c>
      <c r="Z202" s="123">
        <v>22500.0</v>
      </c>
      <c r="AA202" s="123" t="s">
        <v>157</v>
      </c>
      <c r="AB202" s="123" t="s">
        <v>911</v>
      </c>
      <c r="AC202" s="125">
        <v>46125.0</v>
      </c>
      <c r="AD202" s="122" t="s">
        <v>593</v>
      </c>
      <c r="AE202" s="123">
        <v>998422.0</v>
      </c>
      <c r="AF202" s="123" t="s">
        <v>912</v>
      </c>
      <c r="AG202" s="124"/>
      <c r="AH202" s="124"/>
      <c r="AI202" s="123">
        <v>22500.0</v>
      </c>
      <c r="AJ202" s="123" t="s">
        <v>159</v>
      </c>
      <c r="AK202" s="123">
        <v>18.0</v>
      </c>
      <c r="AL202" s="123">
        <v>2025.0</v>
      </c>
      <c r="AM202" s="123">
        <v>2025.0</v>
      </c>
      <c r="AN202" s="123">
        <v>0.0</v>
      </c>
      <c r="AO202" s="123">
        <v>0.0</v>
      </c>
      <c r="AP202" s="123">
        <v>0.0</v>
      </c>
      <c r="AQ202" s="123">
        <v>0.0</v>
      </c>
      <c r="AR202" s="123">
        <v>0.0</v>
      </c>
      <c r="AS202" s="123">
        <v>0.0</v>
      </c>
      <c r="AT202" s="123">
        <v>0.0</v>
      </c>
      <c r="AU202" s="124"/>
      <c r="AV202" s="124"/>
      <c r="AW202" s="123">
        <v>0.0</v>
      </c>
      <c r="AX202" s="123">
        <v>26550.0</v>
      </c>
      <c r="AY202" s="123" t="s">
        <v>20</v>
      </c>
      <c r="AZ202" s="123" t="s">
        <v>31</v>
      </c>
      <c r="BA202" s="123" t="s">
        <v>701</v>
      </c>
      <c r="BB202" s="123">
        <v>1.126100298E9</v>
      </c>
      <c r="BC202" s="122" t="s">
        <v>187</v>
      </c>
      <c r="BD202" s="123" t="s">
        <v>162</v>
      </c>
      <c r="BE202" s="124"/>
      <c r="BF202" s="124" t="s">
        <v>483</v>
      </c>
      <c r="BG202" s="124" t="s">
        <v>482</v>
      </c>
      <c r="BH202" s="123" t="s">
        <v>510</v>
      </c>
      <c r="BI202" s="171" t="s">
        <v>511</v>
      </c>
      <c r="BJ202" s="171" t="s">
        <v>512</v>
      </c>
      <c r="BK202" s="171" t="s">
        <v>480</v>
      </c>
      <c r="BL202" s="171">
        <v>143.64</v>
      </c>
      <c r="BM202" s="171">
        <v>8534.42</v>
      </c>
      <c r="BN202" s="171">
        <v>-8391.0</v>
      </c>
      <c r="BO202" s="171" t="s">
        <v>514</v>
      </c>
      <c r="BP202" s="171">
        <v>9156749.0</v>
      </c>
      <c r="BQ202" s="171" t="s">
        <v>483</v>
      </c>
      <c r="BR202" s="171" t="s">
        <v>479</v>
      </c>
      <c r="BS202" s="171">
        <v>17.0</v>
      </c>
    </row>
    <row r="203" ht="14.25" customHeight="1">
      <c r="A203" s="122" t="s">
        <v>493</v>
      </c>
      <c r="B203" s="123" t="s">
        <v>494</v>
      </c>
      <c r="C203" s="123">
        <v>107.0</v>
      </c>
      <c r="D203" s="123" t="s">
        <v>146</v>
      </c>
      <c r="E203" s="123" t="s">
        <v>147</v>
      </c>
      <c r="F203" s="124"/>
      <c r="G203" s="124"/>
      <c r="H203" s="123" t="s">
        <v>2</v>
      </c>
      <c r="I203" s="123" t="s">
        <v>495</v>
      </c>
      <c r="J203" s="123" t="s">
        <v>528</v>
      </c>
      <c r="K203" s="123" t="s">
        <v>529</v>
      </c>
      <c r="L203" s="123" t="s">
        <v>498</v>
      </c>
      <c r="M203" s="179">
        <v>46126.0</v>
      </c>
      <c r="N203" s="123" t="s">
        <v>800</v>
      </c>
      <c r="O203" s="123">
        <v>9155619.0</v>
      </c>
      <c r="P203" s="125">
        <v>46114.0</v>
      </c>
      <c r="Q203" s="123" t="s">
        <v>500</v>
      </c>
      <c r="R203" s="122">
        <v>2770.0</v>
      </c>
      <c r="S203" s="123" t="s">
        <v>531</v>
      </c>
      <c r="T203" s="123" t="s">
        <v>532</v>
      </c>
      <c r="U203" s="123" t="s">
        <v>533</v>
      </c>
      <c r="V203" s="123" t="s">
        <v>504</v>
      </c>
      <c r="W203" s="124"/>
      <c r="X203" s="123">
        <v>1.0</v>
      </c>
      <c r="Y203" s="123">
        <v>155.0</v>
      </c>
      <c r="Z203" s="123">
        <v>155.0</v>
      </c>
      <c r="AA203" s="123" t="s">
        <v>157</v>
      </c>
      <c r="AB203" s="123" t="s">
        <v>800</v>
      </c>
      <c r="AC203" s="125">
        <v>46114.0</v>
      </c>
      <c r="AD203" s="122" t="s">
        <v>525</v>
      </c>
      <c r="AE203" s="123">
        <v>998712.0</v>
      </c>
      <c r="AF203" s="123" t="s">
        <v>913</v>
      </c>
      <c r="AG203" s="124"/>
      <c r="AH203" s="124"/>
      <c r="AI203" s="123">
        <v>155.0</v>
      </c>
      <c r="AJ203" s="123" t="s">
        <v>159</v>
      </c>
      <c r="AK203" s="123">
        <v>18.0</v>
      </c>
      <c r="AL203" s="123">
        <v>13.95</v>
      </c>
      <c r="AM203" s="123">
        <v>13.95</v>
      </c>
      <c r="AN203" s="123">
        <v>0.0</v>
      </c>
      <c r="AO203" s="123">
        <v>0.0</v>
      </c>
      <c r="AP203" s="123">
        <v>0.0</v>
      </c>
      <c r="AQ203" s="123">
        <v>0.0</v>
      </c>
      <c r="AR203" s="123">
        <v>0.0</v>
      </c>
      <c r="AS203" s="123">
        <v>0.0</v>
      </c>
      <c r="AT203" s="123">
        <v>0.0</v>
      </c>
      <c r="AU203" s="124"/>
      <c r="AV203" s="124"/>
      <c r="AW203" s="123">
        <v>0.0</v>
      </c>
      <c r="AX203" s="123">
        <v>182.9</v>
      </c>
      <c r="AY203" s="123" t="s">
        <v>20</v>
      </c>
      <c r="AZ203" s="123" t="s">
        <v>31</v>
      </c>
      <c r="BA203" s="123" t="s">
        <v>535</v>
      </c>
      <c r="BB203" s="123">
        <v>1.126100069E9</v>
      </c>
      <c r="BC203" s="122" t="s">
        <v>187</v>
      </c>
      <c r="BD203" s="123" t="s">
        <v>162</v>
      </c>
      <c r="BE203" s="124"/>
      <c r="BF203" s="124" t="s">
        <v>483</v>
      </c>
      <c r="BG203" s="124" t="s">
        <v>482</v>
      </c>
      <c r="BH203" s="123" t="s">
        <v>510</v>
      </c>
      <c r="BI203" s="171" t="s">
        <v>511</v>
      </c>
      <c r="BJ203" s="171" t="s">
        <v>512</v>
      </c>
      <c r="BK203" s="171" t="s">
        <v>914</v>
      </c>
      <c r="BL203" s="171">
        <v>179.82</v>
      </c>
      <c r="BM203" s="171">
        <v>179.82</v>
      </c>
      <c r="BN203" s="171">
        <v>0.0</v>
      </c>
      <c r="BO203" s="171" t="s">
        <v>514</v>
      </c>
      <c r="BP203" s="171">
        <v>9164384.0</v>
      </c>
      <c r="BQ203" s="171" t="s">
        <v>483</v>
      </c>
      <c r="BR203" s="171" t="s">
        <v>479</v>
      </c>
      <c r="BS203" s="171">
        <v>1.0</v>
      </c>
    </row>
    <row r="204" ht="14.25" customHeight="1">
      <c r="A204" s="122" t="s">
        <v>493</v>
      </c>
      <c r="B204" s="123" t="s">
        <v>494</v>
      </c>
      <c r="C204" s="123">
        <v>107.0</v>
      </c>
      <c r="D204" s="123" t="s">
        <v>146</v>
      </c>
      <c r="E204" s="123" t="s">
        <v>147</v>
      </c>
      <c r="F204" s="124"/>
      <c r="G204" s="124"/>
      <c r="H204" s="123" t="s">
        <v>2</v>
      </c>
      <c r="I204" s="123" t="s">
        <v>495</v>
      </c>
      <c r="J204" s="123" t="s">
        <v>528</v>
      </c>
      <c r="K204" s="123" t="s">
        <v>529</v>
      </c>
      <c r="L204" s="123" t="s">
        <v>498</v>
      </c>
      <c r="M204" s="179">
        <v>46142.0</v>
      </c>
      <c r="N204" s="123" t="s">
        <v>915</v>
      </c>
      <c r="O204" s="123">
        <v>9156864.0</v>
      </c>
      <c r="P204" s="125">
        <v>46113.0</v>
      </c>
      <c r="Q204" s="123" t="s">
        <v>500</v>
      </c>
      <c r="R204" s="122">
        <v>2770.0</v>
      </c>
      <c r="S204" s="123" t="s">
        <v>531</v>
      </c>
      <c r="T204" s="123" t="s">
        <v>572</v>
      </c>
      <c r="U204" s="123" t="s">
        <v>573</v>
      </c>
      <c r="V204" s="123" t="s">
        <v>504</v>
      </c>
      <c r="W204" s="124"/>
      <c r="X204" s="123">
        <v>1.0</v>
      </c>
      <c r="Y204" s="123">
        <v>-3538.0</v>
      </c>
      <c r="Z204" s="123">
        <v>-3538.0</v>
      </c>
      <c r="AA204" s="123" t="s">
        <v>157</v>
      </c>
      <c r="AB204" s="123" t="s">
        <v>915</v>
      </c>
      <c r="AC204" s="125">
        <v>46113.0</v>
      </c>
      <c r="AD204" s="122" t="s">
        <v>593</v>
      </c>
      <c r="AE204" s="123">
        <v>997314.0</v>
      </c>
      <c r="AF204" s="123" t="s">
        <v>916</v>
      </c>
      <c r="AG204" s="124"/>
      <c r="AH204" s="124"/>
      <c r="AI204" s="123">
        <v>-3538.0</v>
      </c>
      <c r="AJ204" s="123" t="s">
        <v>159</v>
      </c>
      <c r="AK204" s="123">
        <v>18.0</v>
      </c>
      <c r="AL204" s="123">
        <v>0.0</v>
      </c>
      <c r="AM204" s="123">
        <v>0.0</v>
      </c>
      <c r="AN204" s="123">
        <v>0.0</v>
      </c>
      <c r="AO204" s="123">
        <v>0.0</v>
      </c>
      <c r="AP204" s="123">
        <v>0.0</v>
      </c>
      <c r="AQ204" s="123">
        <v>0.0</v>
      </c>
      <c r="AR204" s="123">
        <v>0.0</v>
      </c>
      <c r="AS204" s="123">
        <v>0.0</v>
      </c>
      <c r="AT204" s="123">
        <v>0.0</v>
      </c>
      <c r="AU204" s="124"/>
      <c r="AV204" s="124"/>
      <c r="AW204" s="123">
        <v>0.0</v>
      </c>
      <c r="AX204" s="123">
        <v>-3538.0</v>
      </c>
      <c r="AY204" s="123" t="s">
        <v>20</v>
      </c>
      <c r="AZ204" s="123" t="s">
        <v>31</v>
      </c>
      <c r="BA204" s="123" t="s">
        <v>817</v>
      </c>
      <c r="BB204" s="123">
        <v>1.126100093E9</v>
      </c>
      <c r="BC204" s="122" t="s">
        <v>161</v>
      </c>
      <c r="BD204" s="123" t="s">
        <v>162</v>
      </c>
      <c r="BE204" s="124"/>
      <c r="BF204" s="124" t="s">
        <v>483</v>
      </c>
      <c r="BG204" s="124" t="s">
        <v>482</v>
      </c>
      <c r="BH204" s="123" t="s">
        <v>510</v>
      </c>
      <c r="BI204" s="171" t="s">
        <v>511</v>
      </c>
      <c r="BJ204" s="171" t="s">
        <v>512</v>
      </c>
      <c r="BK204" s="171" t="s">
        <v>893</v>
      </c>
      <c r="BL204" s="171">
        <v>375.0</v>
      </c>
      <c r="BM204" s="171">
        <v>1647.0</v>
      </c>
      <c r="BN204" s="171">
        <v>-1272.0</v>
      </c>
      <c r="BO204" s="171" t="s">
        <v>514</v>
      </c>
      <c r="BP204" s="171">
        <v>9156871.0</v>
      </c>
      <c r="BQ204" s="171" t="s">
        <v>484</v>
      </c>
      <c r="BR204" s="171" t="s">
        <v>479</v>
      </c>
      <c r="BS204" s="171">
        <v>3.0</v>
      </c>
    </row>
    <row r="205" ht="14.25" customHeight="1">
      <c r="A205" s="122" t="s">
        <v>493</v>
      </c>
      <c r="B205" s="123" t="s">
        <v>494</v>
      </c>
      <c r="C205" s="123">
        <v>107.0</v>
      </c>
      <c r="D205" s="123" t="s">
        <v>146</v>
      </c>
      <c r="E205" s="123" t="s">
        <v>147</v>
      </c>
      <c r="F205" s="124"/>
      <c r="G205" s="124"/>
      <c r="H205" s="123" t="s">
        <v>2</v>
      </c>
      <c r="I205" s="123" t="s">
        <v>495</v>
      </c>
      <c r="J205" s="123" t="s">
        <v>528</v>
      </c>
      <c r="K205" s="123" t="s">
        <v>529</v>
      </c>
      <c r="L205" s="123" t="s">
        <v>498</v>
      </c>
      <c r="M205" s="179">
        <v>46127.0</v>
      </c>
      <c r="N205" s="123" t="s">
        <v>917</v>
      </c>
      <c r="O205" s="123">
        <v>9156861.0</v>
      </c>
      <c r="P205" s="125">
        <v>46113.0</v>
      </c>
      <c r="Q205" s="123" t="s">
        <v>500</v>
      </c>
      <c r="R205" s="122">
        <v>2770.0</v>
      </c>
      <c r="S205" s="123" t="s">
        <v>531</v>
      </c>
      <c r="T205" s="123" t="s">
        <v>572</v>
      </c>
      <c r="U205" s="123" t="s">
        <v>573</v>
      </c>
      <c r="V205" s="123" t="s">
        <v>504</v>
      </c>
      <c r="W205" s="124"/>
      <c r="X205" s="123">
        <v>1.0</v>
      </c>
      <c r="Y205" s="123">
        <v>3538.0</v>
      </c>
      <c r="Z205" s="123">
        <v>3538.0</v>
      </c>
      <c r="AA205" s="123" t="s">
        <v>157</v>
      </c>
      <c r="AB205" s="123" t="s">
        <v>917</v>
      </c>
      <c r="AC205" s="125">
        <v>46113.0</v>
      </c>
      <c r="AD205" s="122" t="s">
        <v>593</v>
      </c>
      <c r="AE205" s="123">
        <v>997314.0</v>
      </c>
      <c r="AF205" s="123" t="s">
        <v>916</v>
      </c>
      <c r="AG205" s="124"/>
      <c r="AH205" s="124"/>
      <c r="AI205" s="123">
        <v>3538.0</v>
      </c>
      <c r="AJ205" s="123" t="s">
        <v>159</v>
      </c>
      <c r="AK205" s="123">
        <v>18.0</v>
      </c>
      <c r="AL205" s="123">
        <v>0.0</v>
      </c>
      <c r="AM205" s="123">
        <v>0.0</v>
      </c>
      <c r="AN205" s="123">
        <v>0.0</v>
      </c>
      <c r="AO205" s="123">
        <v>0.0</v>
      </c>
      <c r="AP205" s="123">
        <v>0.0</v>
      </c>
      <c r="AQ205" s="123">
        <v>0.0</v>
      </c>
      <c r="AR205" s="123">
        <v>0.0</v>
      </c>
      <c r="AS205" s="123">
        <v>0.0</v>
      </c>
      <c r="AT205" s="123">
        <v>0.0</v>
      </c>
      <c r="AU205" s="124"/>
      <c r="AV205" s="124"/>
      <c r="AW205" s="123">
        <v>0.0</v>
      </c>
      <c r="AX205" s="123">
        <v>3538.0</v>
      </c>
      <c r="AY205" s="123" t="s">
        <v>20</v>
      </c>
      <c r="AZ205" s="123" t="s">
        <v>31</v>
      </c>
      <c r="BA205" s="123" t="s">
        <v>918</v>
      </c>
      <c r="BB205" s="123">
        <v>1.12610009E9</v>
      </c>
      <c r="BC205" s="122" t="s">
        <v>161</v>
      </c>
      <c r="BD205" s="123" t="s">
        <v>162</v>
      </c>
      <c r="BE205" s="124"/>
      <c r="BF205" s="124" t="s">
        <v>483</v>
      </c>
      <c r="BG205" s="124" t="s">
        <v>482</v>
      </c>
      <c r="BH205" s="123" t="s">
        <v>510</v>
      </c>
      <c r="BI205" s="171" t="s">
        <v>511</v>
      </c>
      <c r="BJ205" s="171" t="s">
        <v>512</v>
      </c>
      <c r="BK205" s="171" t="s">
        <v>659</v>
      </c>
      <c r="BL205" s="171">
        <v>2438.66</v>
      </c>
      <c r="BM205" s="171">
        <v>2568.6</v>
      </c>
      <c r="BN205" s="171">
        <v>-130.0</v>
      </c>
      <c r="BO205" s="171" t="s">
        <v>514</v>
      </c>
      <c r="BP205" s="171">
        <v>9155607.0</v>
      </c>
      <c r="BQ205" s="171" t="s">
        <v>483</v>
      </c>
      <c r="BR205" s="171" t="s">
        <v>479</v>
      </c>
      <c r="BS205" s="171">
        <v>4.0</v>
      </c>
    </row>
    <row r="206" ht="14.25" customHeight="1">
      <c r="A206" s="122" t="s">
        <v>493</v>
      </c>
      <c r="B206" s="123" t="s">
        <v>494</v>
      </c>
      <c r="C206" s="123">
        <v>107.0</v>
      </c>
      <c r="D206" s="123" t="s">
        <v>146</v>
      </c>
      <c r="E206" s="123" t="s">
        <v>147</v>
      </c>
      <c r="F206" s="124"/>
      <c r="G206" s="124"/>
      <c r="H206" s="123" t="s">
        <v>2</v>
      </c>
      <c r="I206" s="123" t="s">
        <v>495</v>
      </c>
      <c r="J206" s="123" t="s">
        <v>528</v>
      </c>
      <c r="K206" s="123" t="s">
        <v>529</v>
      </c>
      <c r="L206" s="123" t="s">
        <v>498</v>
      </c>
      <c r="M206" s="179">
        <v>46142.0</v>
      </c>
      <c r="N206" s="123" t="s">
        <v>917</v>
      </c>
      <c r="O206" s="123">
        <v>9156861.0</v>
      </c>
      <c r="P206" s="125">
        <v>46113.0</v>
      </c>
      <c r="Q206" s="123" t="s">
        <v>500</v>
      </c>
      <c r="R206" s="122">
        <v>2770.0</v>
      </c>
      <c r="S206" s="123" t="s">
        <v>531</v>
      </c>
      <c r="T206" s="123" t="s">
        <v>572</v>
      </c>
      <c r="U206" s="124" t="s">
        <v>573</v>
      </c>
      <c r="V206" s="124" t="s">
        <v>504</v>
      </c>
      <c r="W206" s="124"/>
      <c r="X206" s="123">
        <v>1.0</v>
      </c>
      <c r="Y206" s="123">
        <v>-3538.0</v>
      </c>
      <c r="Z206" s="123">
        <v>-3538.0</v>
      </c>
      <c r="AA206" s="123" t="s">
        <v>157</v>
      </c>
      <c r="AB206" s="123" t="s">
        <v>917</v>
      </c>
      <c r="AC206" s="125">
        <v>46113.0</v>
      </c>
      <c r="AD206" s="124" t="s">
        <v>593</v>
      </c>
      <c r="AE206" s="123">
        <v>997314.0</v>
      </c>
      <c r="AF206" s="123" t="s">
        <v>916</v>
      </c>
      <c r="AG206" s="124"/>
      <c r="AH206" s="124"/>
      <c r="AI206" s="123">
        <v>-3538.0</v>
      </c>
      <c r="AJ206" s="123" t="s">
        <v>159</v>
      </c>
      <c r="AK206" s="123">
        <v>18.0</v>
      </c>
      <c r="AL206" s="123">
        <v>0.0</v>
      </c>
      <c r="AM206" s="123">
        <v>0.0</v>
      </c>
      <c r="AN206" s="123">
        <v>0.0</v>
      </c>
      <c r="AO206" s="123">
        <v>0.0</v>
      </c>
      <c r="AP206" s="123">
        <v>0.0</v>
      </c>
      <c r="AQ206" s="123">
        <v>0.0</v>
      </c>
      <c r="AR206" s="123">
        <v>0.0</v>
      </c>
      <c r="AS206" s="123">
        <v>0.0</v>
      </c>
      <c r="AT206" s="123">
        <v>0.0</v>
      </c>
      <c r="AU206" s="124"/>
      <c r="AV206" s="124"/>
      <c r="AW206" s="123">
        <v>0.0</v>
      </c>
      <c r="AX206" s="123">
        <v>-3538.0</v>
      </c>
      <c r="AY206" s="123" t="s">
        <v>20</v>
      </c>
      <c r="AZ206" s="123" t="s">
        <v>31</v>
      </c>
      <c r="BA206" s="123" t="s">
        <v>918</v>
      </c>
      <c r="BB206" s="123">
        <v>1.12610009E9</v>
      </c>
      <c r="BC206" s="122" t="s">
        <v>161</v>
      </c>
      <c r="BD206" s="123" t="s">
        <v>162</v>
      </c>
      <c r="BE206" s="124"/>
      <c r="BF206" s="124" t="s">
        <v>483</v>
      </c>
      <c r="BG206" s="124" t="s">
        <v>475</v>
      </c>
      <c r="BH206" s="123" t="s">
        <v>510</v>
      </c>
      <c r="BI206" s="171" t="s">
        <v>511</v>
      </c>
      <c r="BJ206" s="171" t="s">
        <v>512</v>
      </c>
      <c r="BK206" s="171" t="s">
        <v>919</v>
      </c>
      <c r="BL206" s="171">
        <v>216000.0</v>
      </c>
      <c r="BM206" s="171" t="e">
        <v>#N/A</v>
      </c>
      <c r="BN206" s="171" t="e">
        <v>#N/A</v>
      </c>
      <c r="BO206" s="171" t="s">
        <v>544</v>
      </c>
      <c r="BP206" s="171">
        <v>9167354.0</v>
      </c>
      <c r="BQ206" s="171" t="s">
        <v>481</v>
      </c>
      <c r="BR206" s="171" t="s">
        <v>544</v>
      </c>
      <c r="BS206" s="171">
        <v>1.0</v>
      </c>
    </row>
    <row r="207" ht="14.25" customHeight="1">
      <c r="A207" s="122" t="s">
        <v>493</v>
      </c>
      <c r="B207" s="123" t="s">
        <v>494</v>
      </c>
      <c r="C207" s="123">
        <v>107.0</v>
      </c>
      <c r="D207" s="123" t="s">
        <v>146</v>
      </c>
      <c r="E207" s="123" t="s">
        <v>147</v>
      </c>
      <c r="F207" s="124"/>
      <c r="G207" s="123" t="s">
        <v>149</v>
      </c>
      <c r="H207" s="123" t="s">
        <v>2</v>
      </c>
      <c r="I207" s="123" t="s">
        <v>495</v>
      </c>
      <c r="J207" s="123" t="s">
        <v>528</v>
      </c>
      <c r="K207" s="123" t="s">
        <v>529</v>
      </c>
      <c r="L207" s="123" t="s">
        <v>498</v>
      </c>
      <c r="M207" s="179">
        <v>46139.0</v>
      </c>
      <c r="N207" s="123" t="s">
        <v>818</v>
      </c>
      <c r="O207" s="123">
        <v>9172688.0</v>
      </c>
      <c r="P207" s="125">
        <v>46129.0</v>
      </c>
      <c r="Q207" s="123" t="s">
        <v>500</v>
      </c>
      <c r="R207" s="122">
        <v>25119.0</v>
      </c>
      <c r="S207" s="123" t="s">
        <v>558</v>
      </c>
      <c r="T207" s="123" t="s">
        <v>539</v>
      </c>
      <c r="U207" s="123" t="s">
        <v>559</v>
      </c>
      <c r="V207" s="123" t="s">
        <v>504</v>
      </c>
      <c r="W207" s="124"/>
      <c r="X207" s="123">
        <v>578084.98</v>
      </c>
      <c r="Y207" s="123">
        <v>578084.98</v>
      </c>
      <c r="Z207" s="123">
        <v>578084.98</v>
      </c>
      <c r="AA207" s="123" t="s">
        <v>157</v>
      </c>
      <c r="AB207" s="123" t="s">
        <v>818</v>
      </c>
      <c r="AC207" s="125">
        <v>46129.0</v>
      </c>
      <c r="AD207" s="122" t="s">
        <v>505</v>
      </c>
      <c r="AE207" s="123">
        <v>8.7087E7</v>
      </c>
      <c r="AF207" s="123" t="s">
        <v>920</v>
      </c>
      <c r="AG207" s="124"/>
      <c r="AH207" s="124"/>
      <c r="AI207" s="123">
        <v>578084.98</v>
      </c>
      <c r="AJ207" s="123" t="s">
        <v>159</v>
      </c>
      <c r="AK207" s="123">
        <v>0.0</v>
      </c>
      <c r="AL207" s="123">
        <v>0.0</v>
      </c>
      <c r="AM207" s="123">
        <v>0.0</v>
      </c>
      <c r="AN207" s="123">
        <v>0.0</v>
      </c>
      <c r="AO207" s="123">
        <v>0.0</v>
      </c>
      <c r="AP207" s="123">
        <v>0.0</v>
      </c>
      <c r="AQ207" s="123">
        <v>0.0</v>
      </c>
      <c r="AR207" s="123">
        <v>0.0</v>
      </c>
      <c r="AS207" s="123">
        <v>0.0</v>
      </c>
      <c r="AT207" s="123">
        <v>0.0</v>
      </c>
      <c r="AU207" s="124"/>
      <c r="AV207" s="124"/>
      <c r="AW207" s="123">
        <v>0.0</v>
      </c>
      <c r="AX207" s="123">
        <v>578084.98</v>
      </c>
      <c r="AY207" s="123" t="s">
        <v>31</v>
      </c>
      <c r="AZ207" s="123" t="s">
        <v>31</v>
      </c>
      <c r="BA207" s="123" t="s">
        <v>710</v>
      </c>
      <c r="BB207" s="123">
        <v>1.126100436E9</v>
      </c>
      <c r="BC207" s="122" t="s">
        <v>649</v>
      </c>
      <c r="BD207" s="123" t="s">
        <v>162</v>
      </c>
      <c r="BE207" s="124"/>
      <c r="BF207" s="124" t="s">
        <v>484</v>
      </c>
      <c r="BG207" s="124" t="s">
        <v>482</v>
      </c>
      <c r="BH207" s="123" t="s">
        <v>510</v>
      </c>
      <c r="BI207" s="171" t="s">
        <v>511</v>
      </c>
      <c r="BJ207" s="171" t="s">
        <v>512</v>
      </c>
      <c r="BK207" s="171" t="s">
        <v>513</v>
      </c>
      <c r="BL207" s="171">
        <v>249.73</v>
      </c>
      <c r="BM207" s="171">
        <v>38182.88</v>
      </c>
      <c r="BN207" s="171">
        <v>-37933.0</v>
      </c>
      <c r="BO207" s="171" t="s">
        <v>514</v>
      </c>
      <c r="BP207" s="171">
        <v>9158398.0</v>
      </c>
      <c r="BQ207" s="171" t="s">
        <v>484</v>
      </c>
      <c r="BR207" s="171" t="s">
        <v>479</v>
      </c>
      <c r="BS207" s="171">
        <v>37.0</v>
      </c>
    </row>
    <row r="208" ht="14.25" customHeight="1">
      <c r="A208" s="122" t="s">
        <v>493</v>
      </c>
      <c r="B208" s="123" t="s">
        <v>494</v>
      </c>
      <c r="C208" s="123">
        <v>107.0</v>
      </c>
      <c r="D208" s="123" t="s">
        <v>146</v>
      </c>
      <c r="E208" s="123" t="s">
        <v>147</v>
      </c>
      <c r="F208" s="124"/>
      <c r="G208" s="123" t="s">
        <v>149</v>
      </c>
      <c r="H208" s="123" t="s">
        <v>2</v>
      </c>
      <c r="I208" s="123" t="s">
        <v>495</v>
      </c>
      <c r="J208" s="123" t="s">
        <v>496</v>
      </c>
      <c r="K208" s="123" t="s">
        <v>497</v>
      </c>
      <c r="L208" s="123" t="s">
        <v>498</v>
      </c>
      <c r="M208" s="179">
        <v>46140.0</v>
      </c>
      <c r="N208" s="123" t="s">
        <v>516</v>
      </c>
      <c r="O208" s="123">
        <v>9174963.0</v>
      </c>
      <c r="P208" s="125">
        <v>46129.0</v>
      </c>
      <c r="Q208" s="123" t="s">
        <v>500</v>
      </c>
      <c r="R208" s="122">
        <v>35671.0</v>
      </c>
      <c r="S208" s="123" t="s">
        <v>501</v>
      </c>
      <c r="T208" s="123" t="s">
        <v>502</v>
      </c>
      <c r="U208" s="123" t="s">
        <v>503</v>
      </c>
      <c r="V208" s="123" t="s">
        <v>504</v>
      </c>
      <c r="W208" s="124"/>
      <c r="X208" s="123">
        <v>275.0</v>
      </c>
      <c r="Y208" s="123">
        <v>30.0</v>
      </c>
      <c r="Z208" s="123">
        <v>8250.0</v>
      </c>
      <c r="AA208" s="123" t="s">
        <v>157</v>
      </c>
      <c r="AB208" s="123" t="s">
        <v>516</v>
      </c>
      <c r="AC208" s="125">
        <v>46129.0</v>
      </c>
      <c r="AD208" s="122" t="s">
        <v>505</v>
      </c>
      <c r="AE208" s="123">
        <v>996200.0</v>
      </c>
      <c r="AF208" s="123" t="s">
        <v>921</v>
      </c>
      <c r="AG208" s="124"/>
      <c r="AH208" s="124"/>
      <c r="AI208" s="123">
        <v>8250.0</v>
      </c>
      <c r="AJ208" s="123" t="s">
        <v>159</v>
      </c>
      <c r="AK208" s="123">
        <v>18.0</v>
      </c>
      <c r="AL208" s="123">
        <v>0.0</v>
      </c>
      <c r="AM208" s="123">
        <v>0.0</v>
      </c>
      <c r="AN208" s="123">
        <v>1485.0</v>
      </c>
      <c r="AO208" s="123">
        <v>0.0</v>
      </c>
      <c r="AP208" s="123">
        <v>0.0</v>
      </c>
      <c r="AQ208" s="123">
        <v>0.0</v>
      </c>
      <c r="AR208" s="123">
        <v>0.0</v>
      </c>
      <c r="AS208" s="123">
        <v>0.0</v>
      </c>
      <c r="AT208" s="123">
        <v>0.0</v>
      </c>
      <c r="AU208" s="124"/>
      <c r="AV208" s="124"/>
      <c r="AW208" s="123">
        <v>0.0</v>
      </c>
      <c r="AX208" s="123">
        <v>9735.0</v>
      </c>
      <c r="AY208" s="123" t="s">
        <v>31</v>
      </c>
      <c r="AZ208" s="123" t="s">
        <v>31</v>
      </c>
      <c r="BA208" s="123" t="s">
        <v>518</v>
      </c>
      <c r="BB208" s="123">
        <v>1.126100446E9</v>
      </c>
      <c r="BC208" s="122" t="s">
        <v>508</v>
      </c>
      <c r="BD208" s="123" t="s">
        <v>509</v>
      </c>
      <c r="BE208" s="124"/>
      <c r="BF208" s="124" t="s">
        <v>484</v>
      </c>
      <c r="BG208" s="124" t="s">
        <v>482</v>
      </c>
      <c r="BH208" s="123" t="s">
        <v>510</v>
      </c>
      <c r="BI208" s="171" t="s">
        <v>511</v>
      </c>
      <c r="BJ208" s="171" t="s">
        <v>512</v>
      </c>
      <c r="BK208" s="171" t="s">
        <v>563</v>
      </c>
      <c r="BL208" s="171">
        <v>96.72</v>
      </c>
      <c r="BM208" s="171">
        <v>2435.38</v>
      </c>
      <c r="BN208" s="171">
        <v>-2339.0</v>
      </c>
      <c r="BO208" s="171" t="s">
        <v>514</v>
      </c>
      <c r="BP208" s="171">
        <v>9175014.0</v>
      </c>
      <c r="BQ208" s="171" t="s">
        <v>484</v>
      </c>
      <c r="BR208" s="171" t="s">
        <v>479</v>
      </c>
      <c r="BS208" s="171">
        <v>18.0</v>
      </c>
    </row>
    <row r="209" ht="14.25" customHeight="1">
      <c r="A209" s="122" t="s">
        <v>493</v>
      </c>
      <c r="B209" s="123" t="s">
        <v>494</v>
      </c>
      <c r="C209" s="123">
        <v>107.0</v>
      </c>
      <c r="D209" s="123" t="s">
        <v>146</v>
      </c>
      <c r="E209" s="123" t="s">
        <v>147</v>
      </c>
      <c r="F209" s="124"/>
      <c r="G209" s="123" t="s">
        <v>149</v>
      </c>
      <c r="H209" s="123" t="s">
        <v>2</v>
      </c>
      <c r="I209" s="123" t="s">
        <v>495</v>
      </c>
      <c r="J209" s="123" t="s">
        <v>496</v>
      </c>
      <c r="K209" s="123" t="s">
        <v>497</v>
      </c>
      <c r="L209" s="123" t="s">
        <v>498</v>
      </c>
      <c r="M209" s="179">
        <v>46140.0</v>
      </c>
      <c r="N209" s="123" t="s">
        <v>516</v>
      </c>
      <c r="O209" s="123">
        <v>9174963.0</v>
      </c>
      <c r="P209" s="125">
        <v>46129.0</v>
      </c>
      <c r="Q209" s="123" t="s">
        <v>500</v>
      </c>
      <c r="R209" s="122">
        <v>35671.0</v>
      </c>
      <c r="S209" s="123" t="s">
        <v>501</v>
      </c>
      <c r="T209" s="123" t="s">
        <v>502</v>
      </c>
      <c r="U209" s="123" t="s">
        <v>503</v>
      </c>
      <c r="V209" s="123" t="s">
        <v>504</v>
      </c>
      <c r="W209" s="124"/>
      <c r="X209" s="123">
        <v>220.0</v>
      </c>
      <c r="Y209" s="123">
        <v>2.0</v>
      </c>
      <c r="Z209" s="123">
        <v>440.0</v>
      </c>
      <c r="AA209" s="123" t="s">
        <v>157</v>
      </c>
      <c r="AB209" s="123" t="s">
        <v>516</v>
      </c>
      <c r="AC209" s="125">
        <v>46129.0</v>
      </c>
      <c r="AD209" s="122" t="s">
        <v>505</v>
      </c>
      <c r="AE209" s="123">
        <v>998729.0</v>
      </c>
      <c r="AF209" s="123" t="s">
        <v>922</v>
      </c>
      <c r="AG209" s="124"/>
      <c r="AH209" s="124"/>
      <c r="AI209" s="123">
        <v>440.0</v>
      </c>
      <c r="AJ209" s="123" t="s">
        <v>159</v>
      </c>
      <c r="AK209" s="123">
        <v>18.0</v>
      </c>
      <c r="AL209" s="123">
        <v>0.0</v>
      </c>
      <c r="AM209" s="123">
        <v>0.0</v>
      </c>
      <c r="AN209" s="123">
        <v>79.2</v>
      </c>
      <c r="AO209" s="123">
        <v>0.0</v>
      </c>
      <c r="AP209" s="123">
        <v>0.0</v>
      </c>
      <c r="AQ209" s="123">
        <v>0.0</v>
      </c>
      <c r="AR209" s="123">
        <v>0.0</v>
      </c>
      <c r="AS209" s="123">
        <v>0.0</v>
      </c>
      <c r="AT209" s="123">
        <v>0.0</v>
      </c>
      <c r="AU209" s="124"/>
      <c r="AV209" s="124"/>
      <c r="AW209" s="123">
        <v>0.0</v>
      </c>
      <c r="AX209" s="123">
        <v>519.2</v>
      </c>
      <c r="AY209" s="123" t="s">
        <v>31</v>
      </c>
      <c r="AZ209" s="123" t="s">
        <v>31</v>
      </c>
      <c r="BA209" s="123" t="s">
        <v>518</v>
      </c>
      <c r="BB209" s="123">
        <v>1.126100446E9</v>
      </c>
      <c r="BC209" s="122" t="s">
        <v>508</v>
      </c>
      <c r="BD209" s="123" t="s">
        <v>509</v>
      </c>
      <c r="BE209" s="124"/>
      <c r="BF209" s="124" t="s">
        <v>484</v>
      </c>
      <c r="BG209" s="124" t="s">
        <v>482</v>
      </c>
      <c r="BH209" s="123" t="s">
        <v>510</v>
      </c>
      <c r="BI209" s="171" t="s">
        <v>511</v>
      </c>
      <c r="BJ209" s="171" t="s">
        <v>512</v>
      </c>
      <c r="BK209" s="171" t="s">
        <v>513</v>
      </c>
      <c r="BL209" s="171">
        <v>1485.0</v>
      </c>
      <c r="BM209" s="171">
        <v>38182.88</v>
      </c>
      <c r="BN209" s="171">
        <v>-36698.0</v>
      </c>
      <c r="BO209" s="171" t="s">
        <v>514</v>
      </c>
      <c r="BP209" s="171">
        <v>9158398.0</v>
      </c>
      <c r="BQ209" s="171" t="s">
        <v>484</v>
      </c>
      <c r="BR209" s="171" t="s">
        <v>479</v>
      </c>
      <c r="BS209" s="171">
        <v>37.0</v>
      </c>
    </row>
    <row r="210" ht="14.25" customHeight="1">
      <c r="A210" s="122" t="s">
        <v>493</v>
      </c>
      <c r="B210" s="123" t="s">
        <v>494</v>
      </c>
      <c r="C210" s="123">
        <v>107.0</v>
      </c>
      <c r="D210" s="123" t="s">
        <v>146</v>
      </c>
      <c r="E210" s="123" t="s">
        <v>147</v>
      </c>
      <c r="F210" s="124"/>
      <c r="G210" s="123" t="s">
        <v>149</v>
      </c>
      <c r="H210" s="123" t="s">
        <v>2</v>
      </c>
      <c r="I210" s="123" t="s">
        <v>495</v>
      </c>
      <c r="J210" s="123" t="s">
        <v>496</v>
      </c>
      <c r="K210" s="123" t="s">
        <v>497</v>
      </c>
      <c r="L210" s="123" t="s">
        <v>498</v>
      </c>
      <c r="M210" s="179">
        <v>46127.0</v>
      </c>
      <c r="N210" s="123" t="s">
        <v>520</v>
      </c>
      <c r="O210" s="123">
        <v>9156749.0</v>
      </c>
      <c r="P210" s="125">
        <v>46115.0</v>
      </c>
      <c r="Q210" s="123" t="s">
        <v>500</v>
      </c>
      <c r="R210" s="122">
        <v>6262.0</v>
      </c>
      <c r="S210" s="123" t="s">
        <v>521</v>
      </c>
      <c r="T210" s="123" t="s">
        <v>522</v>
      </c>
      <c r="U210" s="123" t="s">
        <v>523</v>
      </c>
      <c r="V210" s="123" t="s">
        <v>504</v>
      </c>
      <c r="W210" s="124"/>
      <c r="X210" s="123">
        <v>1.0</v>
      </c>
      <c r="Y210" s="123">
        <v>16313.0</v>
      </c>
      <c r="Z210" s="123">
        <v>16313.0</v>
      </c>
      <c r="AA210" s="123" t="s">
        <v>157</v>
      </c>
      <c r="AB210" s="123" t="s">
        <v>524</v>
      </c>
      <c r="AC210" s="125">
        <v>46115.0</v>
      </c>
      <c r="AD210" s="122" t="s">
        <v>525</v>
      </c>
      <c r="AE210" s="123">
        <v>998413.0</v>
      </c>
      <c r="AF210" s="123" t="s">
        <v>526</v>
      </c>
      <c r="AG210" s="124"/>
      <c r="AH210" s="124"/>
      <c r="AI210" s="123">
        <v>16313.0</v>
      </c>
      <c r="AJ210" s="123" t="s">
        <v>159</v>
      </c>
      <c r="AK210" s="123">
        <v>18.0</v>
      </c>
      <c r="AL210" s="123">
        <v>1468.17</v>
      </c>
      <c r="AM210" s="123">
        <v>1468.17</v>
      </c>
      <c r="AN210" s="123">
        <v>0.0</v>
      </c>
      <c r="AO210" s="123">
        <v>0.0</v>
      </c>
      <c r="AP210" s="123">
        <v>0.0</v>
      </c>
      <c r="AQ210" s="123">
        <v>0.0</v>
      </c>
      <c r="AR210" s="123">
        <v>0.0</v>
      </c>
      <c r="AS210" s="123">
        <v>0.0</v>
      </c>
      <c r="AT210" s="123">
        <v>0.0</v>
      </c>
      <c r="AU210" s="124"/>
      <c r="AV210" s="124"/>
      <c r="AW210" s="123">
        <v>0.0</v>
      </c>
      <c r="AX210" s="123">
        <v>19249.34</v>
      </c>
      <c r="AY210" s="123" t="s">
        <v>20</v>
      </c>
      <c r="AZ210" s="123" t="s">
        <v>31</v>
      </c>
      <c r="BA210" s="123" t="s">
        <v>527</v>
      </c>
      <c r="BB210" s="123">
        <v>1.126100078E9</v>
      </c>
      <c r="BC210" s="122" t="s">
        <v>187</v>
      </c>
      <c r="BD210" s="123" t="s">
        <v>162</v>
      </c>
      <c r="BE210" s="124"/>
      <c r="BF210" s="124" t="s">
        <v>483</v>
      </c>
      <c r="BG210" s="124" t="s">
        <v>482</v>
      </c>
      <c r="BH210" s="123" t="s">
        <v>510</v>
      </c>
      <c r="BI210" s="171" t="s">
        <v>511</v>
      </c>
      <c r="BJ210" s="171" t="s">
        <v>512</v>
      </c>
      <c r="BK210" s="171" t="s">
        <v>513</v>
      </c>
      <c r="BL210" s="171">
        <v>99.0</v>
      </c>
      <c r="BM210" s="171">
        <v>38182.88</v>
      </c>
      <c r="BN210" s="171">
        <v>-38084.0</v>
      </c>
      <c r="BO210" s="171" t="s">
        <v>514</v>
      </c>
      <c r="BP210" s="171">
        <v>9158398.0</v>
      </c>
      <c r="BQ210" s="171" t="s">
        <v>484</v>
      </c>
      <c r="BR210" s="171" t="s">
        <v>479</v>
      </c>
      <c r="BS210" s="171">
        <v>37.0</v>
      </c>
    </row>
    <row r="211" ht="14.25" customHeight="1">
      <c r="A211" s="122" t="s">
        <v>493</v>
      </c>
      <c r="B211" s="123" t="s">
        <v>494</v>
      </c>
      <c r="C211" s="123">
        <v>107.0</v>
      </c>
      <c r="D211" s="123" t="s">
        <v>146</v>
      </c>
      <c r="E211" s="123" t="s">
        <v>147</v>
      </c>
      <c r="F211" s="124"/>
      <c r="G211" s="123" t="s">
        <v>149</v>
      </c>
      <c r="H211" s="123" t="s">
        <v>2</v>
      </c>
      <c r="I211" s="123" t="s">
        <v>495</v>
      </c>
      <c r="J211" s="123" t="s">
        <v>496</v>
      </c>
      <c r="K211" s="123" t="s">
        <v>529</v>
      </c>
      <c r="L211" s="123" t="s">
        <v>498</v>
      </c>
      <c r="M211" s="179">
        <v>46142.0</v>
      </c>
      <c r="N211" s="123" t="s">
        <v>581</v>
      </c>
      <c r="O211" s="123">
        <v>9175765.0</v>
      </c>
      <c r="P211" s="125">
        <v>46130.0</v>
      </c>
      <c r="Q211" s="123" t="s">
        <v>500</v>
      </c>
      <c r="R211" s="122">
        <v>3545.0</v>
      </c>
      <c r="S211" s="123" t="s">
        <v>582</v>
      </c>
      <c r="T211" s="123" t="s">
        <v>539</v>
      </c>
      <c r="U211" s="123" t="s">
        <v>583</v>
      </c>
      <c r="V211" s="123" t="s">
        <v>504</v>
      </c>
      <c r="W211" s="124"/>
      <c r="X211" s="123">
        <v>2725.0</v>
      </c>
      <c r="Y211" s="123">
        <v>-4.0</v>
      </c>
      <c r="Z211" s="123">
        <v>-10900.0</v>
      </c>
      <c r="AA211" s="123" t="s">
        <v>157</v>
      </c>
      <c r="AB211" s="123" t="s">
        <v>581</v>
      </c>
      <c r="AC211" s="125">
        <v>46130.0</v>
      </c>
      <c r="AD211" s="122" t="s">
        <v>505</v>
      </c>
      <c r="AE211" s="123">
        <v>8.4439951E7</v>
      </c>
      <c r="AF211" s="123" t="s">
        <v>923</v>
      </c>
      <c r="AG211" s="124"/>
      <c r="AH211" s="124"/>
      <c r="AI211" s="123">
        <v>-10900.0</v>
      </c>
      <c r="AJ211" s="123" t="s">
        <v>159</v>
      </c>
      <c r="AK211" s="123">
        <v>18.0</v>
      </c>
      <c r="AL211" s="123">
        <v>0.0</v>
      </c>
      <c r="AM211" s="123">
        <v>0.0</v>
      </c>
      <c r="AN211" s="123">
        <v>0.0</v>
      </c>
      <c r="AO211" s="123">
        <v>0.0</v>
      </c>
      <c r="AP211" s="123">
        <v>0.0</v>
      </c>
      <c r="AQ211" s="123">
        <v>0.0</v>
      </c>
      <c r="AR211" s="123">
        <v>0.0</v>
      </c>
      <c r="AS211" s="123">
        <v>0.0</v>
      </c>
      <c r="AT211" s="123">
        <v>0.0</v>
      </c>
      <c r="AU211" s="124"/>
      <c r="AV211" s="124"/>
      <c r="AW211" s="123">
        <v>0.0</v>
      </c>
      <c r="AX211" s="123">
        <v>-10900.0</v>
      </c>
      <c r="AY211" s="123" t="s">
        <v>31</v>
      </c>
      <c r="AZ211" s="123" t="s">
        <v>31</v>
      </c>
      <c r="BA211" s="123" t="s">
        <v>585</v>
      </c>
      <c r="BB211" s="123">
        <v>1.12610045E9</v>
      </c>
      <c r="BC211" s="122" t="s">
        <v>556</v>
      </c>
      <c r="BD211" s="123" t="s">
        <v>586</v>
      </c>
      <c r="BE211" s="124"/>
      <c r="BF211" s="124" t="s">
        <v>484</v>
      </c>
      <c r="BG211" s="124" t="s">
        <v>482</v>
      </c>
      <c r="BH211" s="123" t="s">
        <v>587</v>
      </c>
      <c r="BI211" s="171" t="s">
        <v>511</v>
      </c>
      <c r="BJ211" s="171" t="s">
        <v>512</v>
      </c>
      <c r="BK211" s="171" t="s">
        <v>480</v>
      </c>
      <c r="BL211" s="171">
        <v>89.82</v>
      </c>
      <c r="BM211" s="171">
        <v>8534.42</v>
      </c>
      <c r="BN211" s="171">
        <v>-8445.0</v>
      </c>
      <c r="BO211" s="171" t="s">
        <v>514</v>
      </c>
      <c r="BP211" s="171">
        <v>9156749.0</v>
      </c>
      <c r="BQ211" s="171" t="s">
        <v>483</v>
      </c>
      <c r="BR211" s="171" t="s">
        <v>479</v>
      </c>
      <c r="BS211" s="171">
        <v>17.0</v>
      </c>
    </row>
    <row r="212" ht="14.25" customHeight="1">
      <c r="A212" s="122" t="s">
        <v>493</v>
      </c>
      <c r="B212" s="123" t="s">
        <v>494</v>
      </c>
      <c r="C212" s="123">
        <v>107.0</v>
      </c>
      <c r="D212" s="123" t="s">
        <v>146</v>
      </c>
      <c r="E212" s="123" t="s">
        <v>147</v>
      </c>
      <c r="F212" s="124"/>
      <c r="G212" s="123" t="s">
        <v>149</v>
      </c>
      <c r="H212" s="123" t="s">
        <v>2</v>
      </c>
      <c r="I212" s="123" t="s">
        <v>495</v>
      </c>
      <c r="J212" s="123" t="s">
        <v>528</v>
      </c>
      <c r="K212" s="123" t="s">
        <v>626</v>
      </c>
      <c r="L212" s="123" t="s">
        <v>498</v>
      </c>
      <c r="M212" s="179">
        <v>46133.0</v>
      </c>
      <c r="N212" s="123" t="s">
        <v>924</v>
      </c>
      <c r="O212" s="123">
        <v>9164385.0</v>
      </c>
      <c r="P212" s="125">
        <v>46115.0</v>
      </c>
      <c r="Q212" s="123" t="s">
        <v>500</v>
      </c>
      <c r="R212" s="122">
        <v>6262.0</v>
      </c>
      <c r="S212" s="123" t="s">
        <v>521</v>
      </c>
      <c r="T212" s="123" t="s">
        <v>522</v>
      </c>
      <c r="U212" s="123" t="s">
        <v>523</v>
      </c>
      <c r="V212" s="123" t="s">
        <v>504</v>
      </c>
      <c r="W212" s="124"/>
      <c r="X212" s="123">
        <v>1.0</v>
      </c>
      <c r="Y212" s="123">
        <v>999.0</v>
      </c>
      <c r="Z212" s="123">
        <v>999.0</v>
      </c>
      <c r="AA212" s="123" t="s">
        <v>157</v>
      </c>
      <c r="AB212" s="123" t="s">
        <v>924</v>
      </c>
      <c r="AC212" s="125">
        <v>46115.0</v>
      </c>
      <c r="AD212" s="122" t="s">
        <v>525</v>
      </c>
      <c r="AE212" s="123">
        <v>998412.0</v>
      </c>
      <c r="AF212" s="123" t="s">
        <v>628</v>
      </c>
      <c r="AG212" s="124"/>
      <c r="AH212" s="124"/>
      <c r="AI212" s="123">
        <v>999.0</v>
      </c>
      <c r="AJ212" s="123" t="s">
        <v>159</v>
      </c>
      <c r="AK212" s="123">
        <v>18.0</v>
      </c>
      <c r="AL212" s="123">
        <v>89.91</v>
      </c>
      <c r="AM212" s="123">
        <v>89.91</v>
      </c>
      <c r="AN212" s="123">
        <v>0.0</v>
      </c>
      <c r="AO212" s="123">
        <v>0.0</v>
      </c>
      <c r="AP212" s="123">
        <v>0.0</v>
      </c>
      <c r="AQ212" s="123">
        <v>0.0</v>
      </c>
      <c r="AR212" s="123">
        <v>0.0</v>
      </c>
      <c r="AS212" s="123">
        <v>0.0</v>
      </c>
      <c r="AT212" s="123">
        <v>0.0</v>
      </c>
      <c r="AU212" s="124"/>
      <c r="AV212" s="124"/>
      <c r="AW212" s="123">
        <v>0.0</v>
      </c>
      <c r="AX212" s="123">
        <v>1178.82</v>
      </c>
      <c r="AY212" s="123" t="s">
        <v>20</v>
      </c>
      <c r="AZ212" s="123" t="s">
        <v>31</v>
      </c>
      <c r="BA212" s="123" t="s">
        <v>612</v>
      </c>
      <c r="BB212" s="123">
        <v>1.126100281E9</v>
      </c>
      <c r="BC212" s="122" t="s">
        <v>187</v>
      </c>
      <c r="BD212" s="123" t="s">
        <v>162</v>
      </c>
      <c r="BE212" s="124"/>
      <c r="BF212" s="124" t="s">
        <v>483</v>
      </c>
      <c r="BG212" s="124" t="s">
        <v>482</v>
      </c>
      <c r="BH212" s="123" t="s">
        <v>510</v>
      </c>
      <c r="BI212" s="171" t="s">
        <v>511</v>
      </c>
      <c r="BJ212" s="171" t="s">
        <v>512</v>
      </c>
      <c r="BK212" s="171" t="s">
        <v>563</v>
      </c>
      <c r="BL212" s="171">
        <v>82.3</v>
      </c>
      <c r="BM212" s="171">
        <v>2435.38</v>
      </c>
      <c r="BN212" s="171">
        <v>-2353.0</v>
      </c>
      <c r="BO212" s="171" t="s">
        <v>514</v>
      </c>
      <c r="BP212" s="171">
        <v>9175014.0</v>
      </c>
      <c r="BQ212" s="171" t="s">
        <v>484</v>
      </c>
      <c r="BR212" s="171" t="s">
        <v>479</v>
      </c>
      <c r="BS212" s="171">
        <v>18.0</v>
      </c>
    </row>
    <row r="213" ht="14.25" customHeight="1">
      <c r="A213" s="122" t="s">
        <v>493</v>
      </c>
      <c r="B213" s="123" t="s">
        <v>494</v>
      </c>
      <c r="C213" s="123">
        <v>107.0</v>
      </c>
      <c r="D213" s="123" t="s">
        <v>146</v>
      </c>
      <c r="E213" s="123" t="s">
        <v>147</v>
      </c>
      <c r="F213" s="124"/>
      <c r="G213" s="124"/>
      <c r="H213" s="123" t="s">
        <v>2</v>
      </c>
      <c r="I213" s="123" t="s">
        <v>495</v>
      </c>
      <c r="J213" s="123" t="s">
        <v>528</v>
      </c>
      <c r="K213" s="123" t="s">
        <v>529</v>
      </c>
      <c r="L213" s="123" t="s">
        <v>498</v>
      </c>
      <c r="M213" s="179">
        <v>46134.0</v>
      </c>
      <c r="N213" s="123" t="s">
        <v>630</v>
      </c>
      <c r="O213" s="123">
        <v>9164740.0</v>
      </c>
      <c r="P213" s="125">
        <v>46121.0</v>
      </c>
      <c r="Q213" s="123" t="s">
        <v>500</v>
      </c>
      <c r="R213" s="122">
        <v>3615.0</v>
      </c>
      <c r="S213" s="123" t="s">
        <v>631</v>
      </c>
      <c r="T213" s="123" t="s">
        <v>539</v>
      </c>
      <c r="U213" s="123" t="s">
        <v>632</v>
      </c>
      <c r="V213" s="123" t="s">
        <v>504</v>
      </c>
      <c r="W213" s="124"/>
      <c r="X213" s="123">
        <v>30.0</v>
      </c>
      <c r="Y213" s="123">
        <v>32.0</v>
      </c>
      <c r="Z213" s="123">
        <v>960.0</v>
      </c>
      <c r="AA213" s="123" t="s">
        <v>157</v>
      </c>
      <c r="AB213" s="123" t="s">
        <v>630</v>
      </c>
      <c r="AC213" s="125">
        <v>46121.0</v>
      </c>
      <c r="AD213" s="122" t="s">
        <v>525</v>
      </c>
      <c r="AE213" s="123">
        <v>998900.0</v>
      </c>
      <c r="AF213" s="123" t="s">
        <v>925</v>
      </c>
      <c r="AG213" s="124"/>
      <c r="AH213" s="124"/>
      <c r="AI213" s="123">
        <v>960.0</v>
      </c>
      <c r="AJ213" s="123" t="s">
        <v>159</v>
      </c>
      <c r="AK213" s="123">
        <v>18.0</v>
      </c>
      <c r="AL213" s="123">
        <v>86.4</v>
      </c>
      <c r="AM213" s="123">
        <v>86.4</v>
      </c>
      <c r="AN213" s="123">
        <v>0.0</v>
      </c>
      <c r="AO213" s="123">
        <v>0.0</v>
      </c>
      <c r="AP213" s="123">
        <v>0.0</v>
      </c>
      <c r="AQ213" s="123">
        <v>0.0</v>
      </c>
      <c r="AR213" s="123">
        <v>0.0</v>
      </c>
      <c r="AS213" s="123">
        <v>0.0</v>
      </c>
      <c r="AT213" s="123">
        <v>0.0</v>
      </c>
      <c r="AU213" s="124"/>
      <c r="AV213" s="124"/>
      <c r="AW213" s="123">
        <v>0.0</v>
      </c>
      <c r="AX213" s="123">
        <v>1132.8</v>
      </c>
      <c r="AY213" s="123" t="s">
        <v>31</v>
      </c>
      <c r="AZ213" s="123" t="s">
        <v>31</v>
      </c>
      <c r="BA213" s="123" t="s">
        <v>634</v>
      </c>
      <c r="BB213" s="123">
        <v>1.126100334E9</v>
      </c>
      <c r="BC213" s="122" t="s">
        <v>556</v>
      </c>
      <c r="BD213" s="123" t="s">
        <v>162</v>
      </c>
      <c r="BE213" s="124"/>
      <c r="BF213" s="124" t="s">
        <v>484</v>
      </c>
      <c r="BG213" s="124" t="s">
        <v>482</v>
      </c>
      <c r="BH213" s="123" t="s">
        <v>510</v>
      </c>
      <c r="BI213" s="171" t="s">
        <v>511</v>
      </c>
      <c r="BJ213" s="171" t="s">
        <v>512</v>
      </c>
      <c r="BK213" s="171" t="s">
        <v>720</v>
      </c>
      <c r="BL213" s="171">
        <v>445.72</v>
      </c>
      <c r="BM213" s="171">
        <v>1632.71</v>
      </c>
      <c r="BN213" s="171">
        <v>-1187.0</v>
      </c>
      <c r="BO213" s="171" t="s">
        <v>514</v>
      </c>
      <c r="BP213" s="171">
        <v>9164653.0</v>
      </c>
      <c r="BQ213" s="171" t="s">
        <v>484</v>
      </c>
      <c r="BR213" s="171" t="s">
        <v>479</v>
      </c>
      <c r="BS213" s="171">
        <v>3.0</v>
      </c>
    </row>
    <row r="214" ht="14.25" customHeight="1">
      <c r="A214" s="122" t="s">
        <v>493</v>
      </c>
      <c r="B214" s="123" t="s">
        <v>494</v>
      </c>
      <c r="C214" s="123">
        <v>107.0</v>
      </c>
      <c r="D214" s="123" t="s">
        <v>146</v>
      </c>
      <c r="E214" s="123" t="s">
        <v>147</v>
      </c>
      <c r="F214" s="124"/>
      <c r="G214" s="123" t="s">
        <v>149</v>
      </c>
      <c r="H214" s="123" t="s">
        <v>2</v>
      </c>
      <c r="I214" s="123" t="s">
        <v>495</v>
      </c>
      <c r="J214" s="123" t="s">
        <v>528</v>
      </c>
      <c r="K214" s="123" t="s">
        <v>529</v>
      </c>
      <c r="L214" s="123" t="s">
        <v>498</v>
      </c>
      <c r="M214" s="179">
        <v>46127.0</v>
      </c>
      <c r="N214" s="123">
        <v>47.0</v>
      </c>
      <c r="O214" s="123">
        <v>9157982.0</v>
      </c>
      <c r="P214" s="125">
        <v>46113.0</v>
      </c>
      <c r="Q214" s="123" t="s">
        <v>500</v>
      </c>
      <c r="R214" s="122">
        <v>41223.0</v>
      </c>
      <c r="S214" s="123" t="s">
        <v>926</v>
      </c>
      <c r="T214" s="123" t="s">
        <v>713</v>
      </c>
      <c r="U214" s="123" t="s">
        <v>927</v>
      </c>
      <c r="V214" s="123" t="s">
        <v>504</v>
      </c>
      <c r="W214" s="124"/>
      <c r="X214" s="123">
        <v>1.0</v>
      </c>
      <c r="Y214" s="123">
        <v>1800.0</v>
      </c>
      <c r="Z214" s="123">
        <v>1800.0</v>
      </c>
      <c r="AA214" s="123" t="s">
        <v>157</v>
      </c>
      <c r="AB214" s="123">
        <v>47.0</v>
      </c>
      <c r="AC214" s="125">
        <v>46113.0</v>
      </c>
      <c r="AD214" s="122" t="s">
        <v>525</v>
      </c>
      <c r="AE214" s="123">
        <v>997329.0</v>
      </c>
      <c r="AF214" s="123" t="s">
        <v>928</v>
      </c>
      <c r="AG214" s="124"/>
      <c r="AH214" s="124"/>
      <c r="AI214" s="123">
        <v>1800.0</v>
      </c>
      <c r="AJ214" s="123" t="s">
        <v>159</v>
      </c>
      <c r="AK214" s="123">
        <v>18.0</v>
      </c>
      <c r="AL214" s="123">
        <v>162.0</v>
      </c>
      <c r="AM214" s="123">
        <v>162.0</v>
      </c>
      <c r="AN214" s="123">
        <v>0.0</v>
      </c>
      <c r="AO214" s="123">
        <v>0.0</v>
      </c>
      <c r="AP214" s="123">
        <v>0.0</v>
      </c>
      <c r="AQ214" s="123">
        <v>0.0</v>
      </c>
      <c r="AR214" s="123">
        <v>0.0</v>
      </c>
      <c r="AS214" s="123">
        <v>0.0</v>
      </c>
      <c r="AT214" s="123">
        <v>0.0</v>
      </c>
      <c r="AU214" s="124"/>
      <c r="AV214" s="124"/>
      <c r="AW214" s="123">
        <v>0.0</v>
      </c>
      <c r="AX214" s="123">
        <v>2124.0</v>
      </c>
      <c r="AY214" s="123" t="s">
        <v>31</v>
      </c>
      <c r="AZ214" s="123" t="s">
        <v>31</v>
      </c>
      <c r="BA214" s="123" t="s">
        <v>640</v>
      </c>
      <c r="BB214" s="123">
        <v>1.1261001E9</v>
      </c>
      <c r="BC214" s="122" t="s">
        <v>556</v>
      </c>
      <c r="BD214" s="123" t="s">
        <v>162</v>
      </c>
      <c r="BE214" s="124"/>
      <c r="BF214" s="124" t="s">
        <v>484</v>
      </c>
      <c r="BG214" s="124" t="s">
        <v>482</v>
      </c>
      <c r="BH214" s="123" t="s">
        <v>510</v>
      </c>
      <c r="BI214" s="171" t="s">
        <v>511</v>
      </c>
      <c r="BJ214" s="171" t="s">
        <v>512</v>
      </c>
      <c r="BK214" s="171" t="s">
        <v>519</v>
      </c>
      <c r="BL214" s="171">
        <v>148.5</v>
      </c>
      <c r="BM214" s="171">
        <v>36494.74</v>
      </c>
      <c r="BN214" s="171">
        <v>-36346.0</v>
      </c>
      <c r="BO214" s="171" t="s">
        <v>514</v>
      </c>
      <c r="BP214" s="171">
        <v>9174963.0</v>
      </c>
      <c r="BQ214" s="171" t="s">
        <v>484</v>
      </c>
      <c r="BR214" s="171" t="s">
        <v>479</v>
      </c>
      <c r="BS214" s="171">
        <v>36.0</v>
      </c>
    </row>
    <row r="215" ht="14.25" customHeight="1">
      <c r="A215" s="122" t="s">
        <v>493</v>
      </c>
      <c r="B215" s="123" t="s">
        <v>494</v>
      </c>
      <c r="C215" s="123">
        <v>107.0</v>
      </c>
      <c r="D215" s="123" t="s">
        <v>146</v>
      </c>
      <c r="E215" s="123" t="s">
        <v>147</v>
      </c>
      <c r="F215" s="124"/>
      <c r="G215" s="123" t="s">
        <v>149</v>
      </c>
      <c r="H215" s="123" t="s">
        <v>2</v>
      </c>
      <c r="I215" s="123" t="s">
        <v>495</v>
      </c>
      <c r="J215" s="123" t="s">
        <v>528</v>
      </c>
      <c r="K215" s="123" t="s">
        <v>529</v>
      </c>
      <c r="L215" s="123" t="s">
        <v>498</v>
      </c>
      <c r="M215" s="179">
        <v>46126.0</v>
      </c>
      <c r="N215" s="123" t="s">
        <v>680</v>
      </c>
      <c r="O215" s="123">
        <v>9155608.0</v>
      </c>
      <c r="P215" s="125">
        <v>46114.0</v>
      </c>
      <c r="Q215" s="123" t="s">
        <v>500</v>
      </c>
      <c r="R215" s="122">
        <v>2770.0</v>
      </c>
      <c r="S215" s="123" t="s">
        <v>531</v>
      </c>
      <c r="T215" s="123" t="s">
        <v>532</v>
      </c>
      <c r="U215" s="123" t="s">
        <v>533</v>
      </c>
      <c r="V215" s="123" t="s">
        <v>504</v>
      </c>
      <c r="W215" s="124"/>
      <c r="X215" s="123">
        <v>1.0</v>
      </c>
      <c r="Y215" s="123">
        <v>2.4</v>
      </c>
      <c r="Z215" s="123">
        <v>2.4</v>
      </c>
      <c r="AA215" s="123" t="s">
        <v>157</v>
      </c>
      <c r="AB215" s="123" t="s">
        <v>680</v>
      </c>
      <c r="AC215" s="125">
        <v>46114.0</v>
      </c>
      <c r="AD215" s="122" t="s">
        <v>525</v>
      </c>
      <c r="AE215" s="123">
        <v>8.4439952E7</v>
      </c>
      <c r="AF215" s="123" t="s">
        <v>929</v>
      </c>
      <c r="AG215" s="124"/>
      <c r="AH215" s="124"/>
      <c r="AI215" s="123">
        <v>2.4</v>
      </c>
      <c r="AJ215" s="123" t="s">
        <v>159</v>
      </c>
      <c r="AK215" s="123">
        <v>18.0</v>
      </c>
      <c r="AL215" s="123">
        <v>0.22</v>
      </c>
      <c r="AM215" s="123">
        <v>0.22</v>
      </c>
      <c r="AN215" s="123">
        <v>0.0</v>
      </c>
      <c r="AO215" s="123">
        <v>0.0</v>
      </c>
      <c r="AP215" s="123">
        <v>0.0</v>
      </c>
      <c r="AQ215" s="123">
        <v>0.0</v>
      </c>
      <c r="AR215" s="123">
        <v>0.0</v>
      </c>
      <c r="AS215" s="123">
        <v>0.0</v>
      </c>
      <c r="AT215" s="123">
        <v>0.0</v>
      </c>
      <c r="AU215" s="124"/>
      <c r="AV215" s="124"/>
      <c r="AW215" s="123">
        <v>0.0</v>
      </c>
      <c r="AX215" s="123">
        <v>2.84</v>
      </c>
      <c r="AY215" s="123" t="s">
        <v>20</v>
      </c>
      <c r="AZ215" s="123" t="s">
        <v>31</v>
      </c>
      <c r="BA215" s="123" t="s">
        <v>535</v>
      </c>
      <c r="BB215" s="123">
        <v>1.126100058E9</v>
      </c>
      <c r="BC215" s="122" t="s">
        <v>187</v>
      </c>
      <c r="BD215" s="123" t="s">
        <v>162</v>
      </c>
      <c r="BE215" s="124"/>
      <c r="BF215" s="124" t="s">
        <v>483</v>
      </c>
      <c r="BG215" s="124" t="s">
        <v>482</v>
      </c>
      <c r="BH215" s="123" t="s">
        <v>510</v>
      </c>
      <c r="BI215" s="171" t="s">
        <v>511</v>
      </c>
      <c r="BJ215" s="171" t="s">
        <v>512</v>
      </c>
      <c r="BK215" s="171" t="s">
        <v>480</v>
      </c>
      <c r="BL215" s="171">
        <v>260.46</v>
      </c>
      <c r="BM215" s="171">
        <v>8534.42</v>
      </c>
      <c r="BN215" s="171">
        <v>-8274.0</v>
      </c>
      <c r="BO215" s="171" t="s">
        <v>514</v>
      </c>
      <c r="BP215" s="171">
        <v>9156749.0</v>
      </c>
      <c r="BQ215" s="171" t="s">
        <v>483</v>
      </c>
      <c r="BR215" s="171" t="s">
        <v>479</v>
      </c>
      <c r="BS215" s="171">
        <v>17.0</v>
      </c>
    </row>
    <row r="216" ht="14.25" customHeight="1">
      <c r="A216" s="122" t="s">
        <v>493</v>
      </c>
      <c r="B216" s="123" t="s">
        <v>494</v>
      </c>
      <c r="C216" s="123">
        <v>107.0</v>
      </c>
      <c r="D216" s="123" t="s">
        <v>146</v>
      </c>
      <c r="E216" s="123" t="s">
        <v>147</v>
      </c>
      <c r="F216" s="124"/>
      <c r="G216" s="123" t="s">
        <v>149</v>
      </c>
      <c r="H216" s="123" t="s">
        <v>2</v>
      </c>
      <c r="I216" s="123" t="s">
        <v>495</v>
      </c>
      <c r="J216" s="123" t="s">
        <v>496</v>
      </c>
      <c r="K216" s="123" t="s">
        <v>497</v>
      </c>
      <c r="L216" s="123" t="s">
        <v>498</v>
      </c>
      <c r="M216" s="179">
        <v>46127.0</v>
      </c>
      <c r="N216" s="123" t="s">
        <v>499</v>
      </c>
      <c r="O216" s="123">
        <v>9158398.0</v>
      </c>
      <c r="P216" s="125">
        <v>46090.0</v>
      </c>
      <c r="Q216" s="123" t="s">
        <v>500</v>
      </c>
      <c r="R216" s="122">
        <v>35671.0</v>
      </c>
      <c r="S216" s="123" t="s">
        <v>501</v>
      </c>
      <c r="T216" s="123" t="s">
        <v>502</v>
      </c>
      <c r="U216" s="123" t="s">
        <v>503</v>
      </c>
      <c r="V216" s="123" t="s">
        <v>504</v>
      </c>
      <c r="W216" s="124"/>
      <c r="X216" s="123">
        <v>275.0</v>
      </c>
      <c r="Y216" s="123">
        <v>54.0</v>
      </c>
      <c r="Z216" s="123">
        <v>14850.0</v>
      </c>
      <c r="AA216" s="123" t="s">
        <v>157</v>
      </c>
      <c r="AB216" s="123" t="s">
        <v>499</v>
      </c>
      <c r="AC216" s="125">
        <v>46121.0</v>
      </c>
      <c r="AD216" s="122" t="s">
        <v>505</v>
      </c>
      <c r="AE216" s="123">
        <v>998729.0</v>
      </c>
      <c r="AF216" s="123" t="s">
        <v>930</v>
      </c>
      <c r="AG216" s="124"/>
      <c r="AH216" s="124"/>
      <c r="AI216" s="123">
        <v>14850.0</v>
      </c>
      <c r="AJ216" s="123" t="s">
        <v>159</v>
      </c>
      <c r="AK216" s="123">
        <v>18.0</v>
      </c>
      <c r="AL216" s="123">
        <v>0.0</v>
      </c>
      <c r="AM216" s="123">
        <v>0.0</v>
      </c>
      <c r="AN216" s="123">
        <v>2673.0</v>
      </c>
      <c r="AO216" s="123">
        <v>0.0</v>
      </c>
      <c r="AP216" s="123">
        <v>0.0</v>
      </c>
      <c r="AQ216" s="123">
        <v>0.0</v>
      </c>
      <c r="AR216" s="123">
        <v>0.0</v>
      </c>
      <c r="AS216" s="123">
        <v>0.0</v>
      </c>
      <c r="AT216" s="123">
        <v>0.0</v>
      </c>
      <c r="AU216" s="124"/>
      <c r="AV216" s="124"/>
      <c r="AW216" s="123">
        <v>0.0</v>
      </c>
      <c r="AX216" s="123">
        <v>17523.0</v>
      </c>
      <c r="AY216" s="123" t="s">
        <v>31</v>
      </c>
      <c r="AZ216" s="123" t="s">
        <v>31</v>
      </c>
      <c r="BA216" s="123" t="s">
        <v>507</v>
      </c>
      <c r="BB216" s="123">
        <v>1.126100105E9</v>
      </c>
      <c r="BC216" s="122" t="s">
        <v>508</v>
      </c>
      <c r="BD216" s="123" t="s">
        <v>509</v>
      </c>
      <c r="BE216" s="124"/>
      <c r="BF216" s="124" t="s">
        <v>484</v>
      </c>
      <c r="BG216" s="124" t="s">
        <v>482</v>
      </c>
      <c r="BH216" s="123" t="s">
        <v>510</v>
      </c>
      <c r="BI216" s="171" t="s">
        <v>511</v>
      </c>
      <c r="BJ216" s="171" t="s">
        <v>512</v>
      </c>
      <c r="BK216" s="171" t="s">
        <v>480</v>
      </c>
      <c r="BL216" s="171">
        <v>550.26</v>
      </c>
      <c r="BM216" s="171">
        <v>8534.42</v>
      </c>
      <c r="BN216" s="171">
        <v>-7984.0</v>
      </c>
      <c r="BO216" s="171" t="s">
        <v>514</v>
      </c>
      <c r="BP216" s="171">
        <v>9156749.0</v>
      </c>
      <c r="BQ216" s="171" t="s">
        <v>483</v>
      </c>
      <c r="BR216" s="171" t="s">
        <v>479</v>
      </c>
      <c r="BS216" s="171">
        <v>17.0</v>
      </c>
    </row>
    <row r="217" ht="14.25" customHeight="1">
      <c r="A217" s="122" t="s">
        <v>493</v>
      </c>
      <c r="B217" s="123" t="s">
        <v>494</v>
      </c>
      <c r="C217" s="123">
        <v>107.0</v>
      </c>
      <c r="D217" s="123" t="s">
        <v>146</v>
      </c>
      <c r="E217" s="123" t="s">
        <v>147</v>
      </c>
      <c r="F217" s="124"/>
      <c r="G217" s="123" t="s">
        <v>149</v>
      </c>
      <c r="H217" s="123" t="s">
        <v>2</v>
      </c>
      <c r="I217" s="123" t="s">
        <v>495</v>
      </c>
      <c r="J217" s="123" t="s">
        <v>496</v>
      </c>
      <c r="K217" s="123" t="s">
        <v>497</v>
      </c>
      <c r="L217" s="123" t="s">
        <v>498</v>
      </c>
      <c r="M217" s="179">
        <v>46140.0</v>
      </c>
      <c r="N217" s="123" t="s">
        <v>516</v>
      </c>
      <c r="O217" s="123">
        <v>9174963.0</v>
      </c>
      <c r="P217" s="125">
        <v>46129.0</v>
      </c>
      <c r="Q217" s="123" t="s">
        <v>500</v>
      </c>
      <c r="R217" s="122">
        <v>35671.0</v>
      </c>
      <c r="S217" s="123" t="s">
        <v>501</v>
      </c>
      <c r="T217" s="123" t="s">
        <v>502</v>
      </c>
      <c r="U217" s="123" t="s">
        <v>503</v>
      </c>
      <c r="V217" s="123" t="s">
        <v>504</v>
      </c>
      <c r="W217" s="124"/>
      <c r="X217" s="123">
        <v>220.0</v>
      </c>
      <c r="Y217" s="123">
        <v>2.0</v>
      </c>
      <c r="Z217" s="123">
        <v>440.0</v>
      </c>
      <c r="AA217" s="123" t="s">
        <v>157</v>
      </c>
      <c r="AB217" s="123" t="s">
        <v>516</v>
      </c>
      <c r="AC217" s="125">
        <v>46129.0</v>
      </c>
      <c r="AD217" s="122" t="s">
        <v>505</v>
      </c>
      <c r="AE217" s="123">
        <v>998729.0</v>
      </c>
      <c r="AF217" s="123" t="s">
        <v>900</v>
      </c>
      <c r="AG217" s="124"/>
      <c r="AH217" s="124"/>
      <c r="AI217" s="123">
        <v>440.0</v>
      </c>
      <c r="AJ217" s="123" t="s">
        <v>159</v>
      </c>
      <c r="AK217" s="123">
        <v>18.0</v>
      </c>
      <c r="AL217" s="123">
        <v>0.0</v>
      </c>
      <c r="AM217" s="123">
        <v>0.0</v>
      </c>
      <c r="AN217" s="123">
        <v>79.2</v>
      </c>
      <c r="AO217" s="123">
        <v>0.0</v>
      </c>
      <c r="AP217" s="123">
        <v>0.0</v>
      </c>
      <c r="AQ217" s="123">
        <v>0.0</v>
      </c>
      <c r="AR217" s="123">
        <v>0.0</v>
      </c>
      <c r="AS217" s="123">
        <v>0.0</v>
      </c>
      <c r="AT217" s="123">
        <v>0.0</v>
      </c>
      <c r="AU217" s="124"/>
      <c r="AV217" s="124"/>
      <c r="AW217" s="123">
        <v>0.0</v>
      </c>
      <c r="AX217" s="123">
        <v>519.2</v>
      </c>
      <c r="AY217" s="123" t="s">
        <v>31</v>
      </c>
      <c r="AZ217" s="123" t="s">
        <v>31</v>
      </c>
      <c r="BA217" s="123" t="s">
        <v>518</v>
      </c>
      <c r="BB217" s="123">
        <v>1.126100446E9</v>
      </c>
      <c r="BC217" s="122" t="s">
        <v>508</v>
      </c>
      <c r="BD217" s="123" t="s">
        <v>509</v>
      </c>
      <c r="BE217" s="124"/>
      <c r="BF217" s="124" t="s">
        <v>484</v>
      </c>
      <c r="BG217" s="124" t="s">
        <v>482</v>
      </c>
      <c r="BH217" s="123" t="s">
        <v>510</v>
      </c>
      <c r="BI217" s="171" t="s">
        <v>511</v>
      </c>
      <c r="BJ217" s="171" t="s">
        <v>512</v>
      </c>
      <c r="BK217" s="171" t="s">
        <v>480</v>
      </c>
      <c r="BL217" s="171">
        <v>309.24</v>
      </c>
      <c r="BM217" s="171">
        <v>8534.42</v>
      </c>
      <c r="BN217" s="171">
        <v>-8225.0</v>
      </c>
      <c r="BO217" s="171" t="s">
        <v>514</v>
      </c>
      <c r="BP217" s="171">
        <v>9156749.0</v>
      </c>
      <c r="BQ217" s="171" t="s">
        <v>483</v>
      </c>
      <c r="BR217" s="171" t="s">
        <v>479</v>
      </c>
      <c r="BS217" s="171">
        <v>17.0</v>
      </c>
    </row>
    <row r="218" ht="14.25" customHeight="1">
      <c r="A218" s="122" t="s">
        <v>493</v>
      </c>
      <c r="B218" s="123" t="s">
        <v>494</v>
      </c>
      <c r="C218" s="123">
        <v>107.0</v>
      </c>
      <c r="D218" s="123" t="s">
        <v>146</v>
      </c>
      <c r="E218" s="123" t="s">
        <v>147</v>
      </c>
      <c r="F218" s="124"/>
      <c r="G218" s="123" t="s">
        <v>149</v>
      </c>
      <c r="H218" s="123" t="s">
        <v>2</v>
      </c>
      <c r="I218" s="123" t="s">
        <v>495</v>
      </c>
      <c r="J218" s="123" t="s">
        <v>496</v>
      </c>
      <c r="K218" s="123" t="s">
        <v>529</v>
      </c>
      <c r="L218" s="123" t="s">
        <v>498</v>
      </c>
      <c r="M218" s="179">
        <v>46140.0</v>
      </c>
      <c r="N218" s="123" t="s">
        <v>581</v>
      </c>
      <c r="O218" s="123">
        <v>9175765.0</v>
      </c>
      <c r="P218" s="125">
        <v>46130.0</v>
      </c>
      <c r="Q218" s="123" t="s">
        <v>500</v>
      </c>
      <c r="R218" s="122">
        <v>3545.0</v>
      </c>
      <c r="S218" s="123" t="s">
        <v>582</v>
      </c>
      <c r="T218" s="123" t="s">
        <v>539</v>
      </c>
      <c r="U218" s="123" t="s">
        <v>583</v>
      </c>
      <c r="V218" s="123" t="s">
        <v>504</v>
      </c>
      <c r="W218" s="124"/>
      <c r="X218" s="123">
        <v>2725.0</v>
      </c>
      <c r="Y218" s="123">
        <v>4.0</v>
      </c>
      <c r="Z218" s="123">
        <v>10900.0</v>
      </c>
      <c r="AA218" s="123" t="s">
        <v>157</v>
      </c>
      <c r="AB218" s="123" t="s">
        <v>581</v>
      </c>
      <c r="AC218" s="125">
        <v>46130.0</v>
      </c>
      <c r="AD218" s="122" t="s">
        <v>505</v>
      </c>
      <c r="AE218" s="123">
        <v>8.4439951E7</v>
      </c>
      <c r="AF218" s="123" t="s">
        <v>625</v>
      </c>
      <c r="AG218" s="124"/>
      <c r="AH218" s="124"/>
      <c r="AI218" s="123">
        <v>10900.0</v>
      </c>
      <c r="AJ218" s="123" t="s">
        <v>159</v>
      </c>
      <c r="AK218" s="123">
        <v>18.0</v>
      </c>
      <c r="AL218" s="123">
        <v>0.0</v>
      </c>
      <c r="AM218" s="123">
        <v>0.0</v>
      </c>
      <c r="AN218" s="123">
        <v>0.0</v>
      </c>
      <c r="AO218" s="123">
        <v>0.0</v>
      </c>
      <c r="AP218" s="123">
        <v>0.0</v>
      </c>
      <c r="AQ218" s="123">
        <v>0.0</v>
      </c>
      <c r="AR218" s="123">
        <v>0.0</v>
      </c>
      <c r="AS218" s="123">
        <v>0.0</v>
      </c>
      <c r="AT218" s="123">
        <v>0.0</v>
      </c>
      <c r="AU218" s="124"/>
      <c r="AV218" s="124"/>
      <c r="AW218" s="123">
        <v>0.0</v>
      </c>
      <c r="AX218" s="123">
        <v>10900.0</v>
      </c>
      <c r="AY218" s="123" t="s">
        <v>31</v>
      </c>
      <c r="AZ218" s="123" t="s">
        <v>31</v>
      </c>
      <c r="BA218" s="123" t="s">
        <v>585</v>
      </c>
      <c r="BB218" s="123">
        <v>1.12610045E9</v>
      </c>
      <c r="BC218" s="122" t="s">
        <v>556</v>
      </c>
      <c r="BD218" s="123" t="s">
        <v>586</v>
      </c>
      <c r="BE218" s="124"/>
      <c r="BF218" s="124" t="s">
        <v>484</v>
      </c>
      <c r="BG218" s="124" t="s">
        <v>482</v>
      </c>
      <c r="BH218" s="123" t="s">
        <v>587</v>
      </c>
      <c r="BI218" s="171" t="s">
        <v>511</v>
      </c>
      <c r="BJ218" s="171" t="s">
        <v>512</v>
      </c>
      <c r="BK218" s="171" t="s">
        <v>563</v>
      </c>
      <c r="BL218" s="171">
        <v>278.82</v>
      </c>
      <c r="BM218" s="171">
        <v>2435.38</v>
      </c>
      <c r="BN218" s="171">
        <v>-2157.0</v>
      </c>
      <c r="BO218" s="171" t="s">
        <v>514</v>
      </c>
      <c r="BP218" s="171">
        <v>9175014.0</v>
      </c>
      <c r="BQ218" s="171" t="s">
        <v>484</v>
      </c>
      <c r="BR218" s="171" t="s">
        <v>479</v>
      </c>
      <c r="BS218" s="171">
        <v>18.0</v>
      </c>
    </row>
    <row r="219" ht="14.25" customHeight="1">
      <c r="A219" s="122" t="s">
        <v>493</v>
      </c>
      <c r="B219" s="123" t="s">
        <v>494</v>
      </c>
      <c r="C219" s="123">
        <v>107.0</v>
      </c>
      <c r="D219" s="123" t="s">
        <v>146</v>
      </c>
      <c r="E219" s="123" t="s">
        <v>147</v>
      </c>
      <c r="F219" s="124"/>
      <c r="G219" s="124"/>
      <c r="H219" s="123" t="s">
        <v>2</v>
      </c>
      <c r="I219" s="123" t="s">
        <v>495</v>
      </c>
      <c r="J219" s="123" t="s">
        <v>528</v>
      </c>
      <c r="K219" s="123" t="s">
        <v>529</v>
      </c>
      <c r="L219" s="123" t="s">
        <v>498</v>
      </c>
      <c r="M219" s="179">
        <v>46127.0</v>
      </c>
      <c r="N219" s="123">
        <v>3.0</v>
      </c>
      <c r="O219" s="123">
        <v>9156871.0</v>
      </c>
      <c r="P219" s="125">
        <v>46113.0</v>
      </c>
      <c r="Q219" s="123" t="s">
        <v>500</v>
      </c>
      <c r="R219" s="122">
        <v>43295.0</v>
      </c>
      <c r="S219" s="123" t="s">
        <v>636</v>
      </c>
      <c r="T219" s="123" t="s">
        <v>637</v>
      </c>
      <c r="U219" s="123" t="s">
        <v>638</v>
      </c>
      <c r="V219" s="123" t="s">
        <v>504</v>
      </c>
      <c r="W219" s="124"/>
      <c r="X219" s="123">
        <v>980.0</v>
      </c>
      <c r="Y219" s="123">
        <v>24.0</v>
      </c>
      <c r="Z219" s="123">
        <v>23520.0</v>
      </c>
      <c r="AA219" s="123" t="s">
        <v>157</v>
      </c>
      <c r="AB219" s="123">
        <v>3.0</v>
      </c>
      <c r="AC219" s="125">
        <v>46113.0</v>
      </c>
      <c r="AD219" s="122" t="s">
        <v>505</v>
      </c>
      <c r="AE219" s="123">
        <v>9021030.0</v>
      </c>
      <c r="AF219" s="123" t="s">
        <v>931</v>
      </c>
      <c r="AG219" s="124"/>
      <c r="AH219" s="124"/>
      <c r="AI219" s="123">
        <v>23520.0</v>
      </c>
      <c r="AJ219" s="123" t="s">
        <v>159</v>
      </c>
      <c r="AK219" s="123">
        <v>5.0</v>
      </c>
      <c r="AL219" s="123">
        <v>588.0</v>
      </c>
      <c r="AM219" s="123">
        <v>588.0</v>
      </c>
      <c r="AN219" s="123">
        <v>0.0</v>
      </c>
      <c r="AO219" s="123">
        <v>0.0</v>
      </c>
      <c r="AP219" s="123">
        <v>0.0</v>
      </c>
      <c r="AQ219" s="123">
        <v>0.0</v>
      </c>
      <c r="AR219" s="123">
        <v>0.0</v>
      </c>
      <c r="AS219" s="123">
        <v>0.0</v>
      </c>
      <c r="AT219" s="123">
        <v>0.0</v>
      </c>
      <c r="AU219" s="124"/>
      <c r="AV219" s="124"/>
      <c r="AW219" s="123">
        <v>0.0</v>
      </c>
      <c r="AX219" s="123">
        <v>24696.0</v>
      </c>
      <c r="AY219" s="123" t="s">
        <v>31</v>
      </c>
      <c r="AZ219" s="123" t="s">
        <v>31</v>
      </c>
      <c r="BA219" s="123" t="s">
        <v>640</v>
      </c>
      <c r="BB219" s="123">
        <v>1.126100101E9</v>
      </c>
      <c r="BC219" s="122" t="s">
        <v>872</v>
      </c>
      <c r="BD219" s="123" t="s">
        <v>586</v>
      </c>
      <c r="BE219" s="124"/>
      <c r="BF219" s="124" t="s">
        <v>484</v>
      </c>
      <c r="BG219" s="124" t="s">
        <v>482</v>
      </c>
      <c r="BH219" s="123" t="s">
        <v>587</v>
      </c>
      <c r="BI219" s="171" t="s">
        <v>511</v>
      </c>
      <c r="BJ219" s="171" t="s">
        <v>512</v>
      </c>
      <c r="BK219" s="171" t="s">
        <v>932</v>
      </c>
      <c r="BL219" s="171">
        <v>269.82</v>
      </c>
      <c r="BM219" s="171">
        <v>269.82</v>
      </c>
      <c r="BN219" s="171">
        <v>0.0</v>
      </c>
      <c r="BO219" s="171" t="s">
        <v>514</v>
      </c>
      <c r="BP219" s="171">
        <v>9164389.0</v>
      </c>
      <c r="BQ219" s="171" t="s">
        <v>483</v>
      </c>
      <c r="BR219" s="171" t="s">
        <v>479</v>
      </c>
      <c r="BS219" s="171">
        <v>1.0</v>
      </c>
    </row>
    <row r="220" ht="14.25" customHeight="1">
      <c r="A220" s="122" t="s">
        <v>493</v>
      </c>
      <c r="B220" s="123" t="s">
        <v>494</v>
      </c>
      <c r="C220" s="123">
        <v>107.0</v>
      </c>
      <c r="D220" s="123" t="s">
        <v>146</v>
      </c>
      <c r="E220" s="123" t="s">
        <v>147</v>
      </c>
      <c r="F220" s="124"/>
      <c r="G220" s="124" t="s">
        <v>149</v>
      </c>
      <c r="H220" s="123" t="s">
        <v>2</v>
      </c>
      <c r="I220" s="123" t="s">
        <v>495</v>
      </c>
      <c r="J220" s="123" t="s">
        <v>496</v>
      </c>
      <c r="K220" s="123" t="s">
        <v>497</v>
      </c>
      <c r="L220" s="123" t="s">
        <v>498</v>
      </c>
      <c r="M220" s="179">
        <v>46127.0</v>
      </c>
      <c r="N220" s="123" t="s">
        <v>499</v>
      </c>
      <c r="O220" s="123">
        <v>9158398.0</v>
      </c>
      <c r="P220" s="125">
        <v>46090.0</v>
      </c>
      <c r="Q220" s="123" t="s">
        <v>500</v>
      </c>
      <c r="R220" s="122">
        <v>35671.0</v>
      </c>
      <c r="S220" s="123" t="s">
        <v>501</v>
      </c>
      <c r="T220" s="123" t="s">
        <v>502</v>
      </c>
      <c r="U220" s="124" t="s">
        <v>503</v>
      </c>
      <c r="V220" s="123" t="s">
        <v>504</v>
      </c>
      <c r="W220" s="124"/>
      <c r="X220" s="123">
        <v>275.0</v>
      </c>
      <c r="Y220" s="123">
        <v>12.0</v>
      </c>
      <c r="Z220" s="123">
        <v>3300.0</v>
      </c>
      <c r="AA220" s="123" t="s">
        <v>157</v>
      </c>
      <c r="AB220" s="123" t="s">
        <v>499</v>
      </c>
      <c r="AC220" s="125">
        <v>46121.0</v>
      </c>
      <c r="AD220" s="124" t="s">
        <v>505</v>
      </c>
      <c r="AE220" s="123">
        <v>998729.0</v>
      </c>
      <c r="AF220" s="123" t="s">
        <v>933</v>
      </c>
      <c r="AG220" s="124"/>
      <c r="AH220" s="124"/>
      <c r="AI220" s="123">
        <v>3300.0</v>
      </c>
      <c r="AJ220" s="123" t="s">
        <v>159</v>
      </c>
      <c r="AK220" s="123">
        <v>18.0</v>
      </c>
      <c r="AL220" s="123">
        <v>0.0</v>
      </c>
      <c r="AM220" s="123">
        <v>0.0</v>
      </c>
      <c r="AN220" s="123">
        <v>594.0</v>
      </c>
      <c r="AO220" s="123">
        <v>0.0</v>
      </c>
      <c r="AP220" s="123">
        <v>0.0</v>
      </c>
      <c r="AQ220" s="123">
        <v>0.0</v>
      </c>
      <c r="AR220" s="123">
        <v>0.0</v>
      </c>
      <c r="AS220" s="123">
        <v>0.0</v>
      </c>
      <c r="AT220" s="123">
        <v>0.0</v>
      </c>
      <c r="AU220" s="124"/>
      <c r="AV220" s="124"/>
      <c r="AW220" s="123">
        <v>0.0</v>
      </c>
      <c r="AX220" s="123">
        <v>3894.0</v>
      </c>
      <c r="AY220" s="123" t="s">
        <v>31</v>
      </c>
      <c r="AZ220" s="123" t="s">
        <v>31</v>
      </c>
      <c r="BA220" s="123" t="s">
        <v>507</v>
      </c>
      <c r="BB220" s="123">
        <v>1.126100105E9</v>
      </c>
      <c r="BC220" s="122" t="s">
        <v>508</v>
      </c>
      <c r="BD220" s="123" t="s">
        <v>509</v>
      </c>
      <c r="BE220" s="124"/>
      <c r="BF220" s="124" t="s">
        <v>484</v>
      </c>
      <c r="BG220" s="124" t="s">
        <v>482</v>
      </c>
      <c r="BH220" s="123" t="s">
        <v>510</v>
      </c>
      <c r="BI220" s="171" t="s">
        <v>511</v>
      </c>
      <c r="BJ220" s="171" t="s">
        <v>512</v>
      </c>
      <c r="BK220" s="171" t="s">
        <v>691</v>
      </c>
      <c r="BL220" s="171">
        <v>3600.0</v>
      </c>
      <c r="BM220" s="171" t="e">
        <v>#N/A</v>
      </c>
      <c r="BN220" s="171" t="e">
        <v>#N/A</v>
      </c>
      <c r="BO220" s="171" t="s">
        <v>544</v>
      </c>
      <c r="BP220" s="171">
        <v>9177454.0</v>
      </c>
      <c r="BQ220" s="171" t="s">
        <v>481</v>
      </c>
      <c r="BR220" s="171" t="s">
        <v>544</v>
      </c>
      <c r="BS220" s="171">
        <v>6.0</v>
      </c>
    </row>
    <row r="221" ht="14.25" customHeight="1">
      <c r="A221" s="122" t="s">
        <v>493</v>
      </c>
      <c r="B221" s="123" t="s">
        <v>494</v>
      </c>
      <c r="C221" s="123">
        <v>107.0</v>
      </c>
      <c r="D221" s="123" t="s">
        <v>146</v>
      </c>
      <c r="E221" s="123" t="s">
        <v>147</v>
      </c>
      <c r="F221" s="124"/>
      <c r="G221" s="124" t="s">
        <v>149</v>
      </c>
      <c r="H221" s="123" t="s">
        <v>2</v>
      </c>
      <c r="I221" s="123" t="s">
        <v>495</v>
      </c>
      <c r="J221" s="123" t="s">
        <v>496</v>
      </c>
      <c r="K221" s="123" t="s">
        <v>497</v>
      </c>
      <c r="L221" s="123" t="s">
        <v>498</v>
      </c>
      <c r="M221" s="179">
        <v>46127.0</v>
      </c>
      <c r="N221" s="123" t="s">
        <v>499</v>
      </c>
      <c r="O221" s="123">
        <v>9158398.0</v>
      </c>
      <c r="P221" s="125">
        <v>46090.0</v>
      </c>
      <c r="Q221" s="123" t="s">
        <v>500</v>
      </c>
      <c r="R221" s="122">
        <v>35671.0</v>
      </c>
      <c r="S221" s="123" t="s">
        <v>501</v>
      </c>
      <c r="T221" s="123" t="s">
        <v>502</v>
      </c>
      <c r="U221" s="123" t="s">
        <v>503</v>
      </c>
      <c r="V221" s="123" t="s">
        <v>504</v>
      </c>
      <c r="W221" s="124"/>
      <c r="X221" s="123">
        <v>275.0</v>
      </c>
      <c r="Y221" s="123">
        <v>30.0</v>
      </c>
      <c r="Z221" s="123">
        <v>8250.0</v>
      </c>
      <c r="AA221" s="123" t="s">
        <v>157</v>
      </c>
      <c r="AB221" s="123" t="s">
        <v>499</v>
      </c>
      <c r="AC221" s="125">
        <v>46121.0</v>
      </c>
      <c r="AD221" s="122" t="s">
        <v>505</v>
      </c>
      <c r="AE221" s="123">
        <v>998729.0</v>
      </c>
      <c r="AF221" s="123" t="s">
        <v>580</v>
      </c>
      <c r="AG221" s="124"/>
      <c r="AH221" s="124"/>
      <c r="AI221" s="123">
        <v>8250.0</v>
      </c>
      <c r="AJ221" s="123" t="s">
        <v>159</v>
      </c>
      <c r="AK221" s="123">
        <v>18.0</v>
      </c>
      <c r="AL221" s="123">
        <v>0.0</v>
      </c>
      <c r="AM221" s="123">
        <v>0.0</v>
      </c>
      <c r="AN221" s="123">
        <v>1485.0</v>
      </c>
      <c r="AO221" s="123">
        <v>0.0</v>
      </c>
      <c r="AP221" s="123">
        <v>0.0</v>
      </c>
      <c r="AQ221" s="123">
        <v>0.0</v>
      </c>
      <c r="AR221" s="123">
        <v>0.0</v>
      </c>
      <c r="AS221" s="123">
        <v>0.0</v>
      </c>
      <c r="AT221" s="123">
        <v>0.0</v>
      </c>
      <c r="AU221" s="124"/>
      <c r="AV221" s="124"/>
      <c r="AW221" s="123">
        <v>0.0</v>
      </c>
      <c r="AX221" s="123">
        <v>9735.0</v>
      </c>
      <c r="AY221" s="123" t="s">
        <v>31</v>
      </c>
      <c r="AZ221" s="123" t="s">
        <v>31</v>
      </c>
      <c r="BA221" s="123" t="s">
        <v>507</v>
      </c>
      <c r="BB221" s="123">
        <v>1.126100105E9</v>
      </c>
      <c r="BC221" s="122" t="s">
        <v>508</v>
      </c>
      <c r="BD221" s="123" t="s">
        <v>509</v>
      </c>
      <c r="BE221" s="124"/>
      <c r="BF221" s="124" t="s">
        <v>484</v>
      </c>
      <c r="BG221" s="124" t="s">
        <v>482</v>
      </c>
      <c r="BH221" s="123" t="s">
        <v>510</v>
      </c>
      <c r="BI221" s="171" t="s">
        <v>511</v>
      </c>
      <c r="BJ221" s="171" t="s">
        <v>512</v>
      </c>
      <c r="BK221" s="171" t="s">
        <v>934</v>
      </c>
      <c r="BL221" s="171">
        <v>518.72</v>
      </c>
      <c r="BM221" s="171">
        <v>518.72</v>
      </c>
      <c r="BN221" s="171">
        <v>0.0</v>
      </c>
      <c r="BO221" s="171" t="s">
        <v>514</v>
      </c>
      <c r="BP221" s="171">
        <v>9155616.0</v>
      </c>
      <c r="BQ221" s="171" t="s">
        <v>483</v>
      </c>
      <c r="BR221" s="171" t="s">
        <v>479</v>
      </c>
      <c r="BS221" s="171">
        <v>1.0</v>
      </c>
    </row>
    <row r="222" ht="14.25" customHeight="1">
      <c r="A222" s="122" t="s">
        <v>493</v>
      </c>
      <c r="B222" s="123" t="s">
        <v>494</v>
      </c>
      <c r="C222" s="123">
        <v>107.0</v>
      </c>
      <c r="D222" s="123" t="s">
        <v>146</v>
      </c>
      <c r="E222" s="123" t="s">
        <v>147</v>
      </c>
      <c r="F222" s="124"/>
      <c r="G222" s="124" t="s">
        <v>149</v>
      </c>
      <c r="H222" s="123" t="s">
        <v>2</v>
      </c>
      <c r="I222" s="123" t="s">
        <v>495</v>
      </c>
      <c r="J222" s="123" t="s">
        <v>496</v>
      </c>
      <c r="K222" s="123" t="s">
        <v>497</v>
      </c>
      <c r="L222" s="123" t="s">
        <v>498</v>
      </c>
      <c r="M222" s="179">
        <v>46140.0</v>
      </c>
      <c r="N222" s="123" t="s">
        <v>516</v>
      </c>
      <c r="O222" s="123">
        <v>9174963.0</v>
      </c>
      <c r="P222" s="125">
        <v>46129.0</v>
      </c>
      <c r="Q222" s="123" t="s">
        <v>500</v>
      </c>
      <c r="R222" s="122">
        <v>35671.0</v>
      </c>
      <c r="S222" s="123" t="s">
        <v>501</v>
      </c>
      <c r="T222" s="123" t="s">
        <v>502</v>
      </c>
      <c r="U222" s="124" t="s">
        <v>503</v>
      </c>
      <c r="V222" s="124" t="s">
        <v>504</v>
      </c>
      <c r="W222" s="124"/>
      <c r="X222" s="123">
        <v>275.0</v>
      </c>
      <c r="Y222" s="123">
        <v>24.0</v>
      </c>
      <c r="Z222" s="123">
        <v>6600.0</v>
      </c>
      <c r="AA222" s="123" t="s">
        <v>157</v>
      </c>
      <c r="AB222" s="123" t="s">
        <v>516</v>
      </c>
      <c r="AC222" s="125">
        <v>46129.0</v>
      </c>
      <c r="AD222" s="124" t="s">
        <v>505</v>
      </c>
      <c r="AE222" s="123">
        <v>996200.0</v>
      </c>
      <c r="AF222" s="123" t="s">
        <v>506</v>
      </c>
      <c r="AG222" s="124"/>
      <c r="AH222" s="124"/>
      <c r="AI222" s="123">
        <v>6600.0</v>
      </c>
      <c r="AJ222" s="123" t="s">
        <v>159</v>
      </c>
      <c r="AK222" s="123">
        <v>18.0</v>
      </c>
      <c r="AL222" s="123">
        <v>0.0</v>
      </c>
      <c r="AM222" s="123">
        <v>0.0</v>
      </c>
      <c r="AN222" s="123">
        <v>1188.0</v>
      </c>
      <c r="AO222" s="123">
        <v>0.0</v>
      </c>
      <c r="AP222" s="123">
        <v>0.0</v>
      </c>
      <c r="AQ222" s="123">
        <v>0.0</v>
      </c>
      <c r="AR222" s="123">
        <v>0.0</v>
      </c>
      <c r="AS222" s="123">
        <v>0.0</v>
      </c>
      <c r="AT222" s="123">
        <v>0.0</v>
      </c>
      <c r="AU222" s="124"/>
      <c r="AV222" s="124"/>
      <c r="AW222" s="123">
        <v>0.0</v>
      </c>
      <c r="AX222" s="123">
        <v>7788.0</v>
      </c>
      <c r="AY222" s="123" t="s">
        <v>31</v>
      </c>
      <c r="AZ222" s="123" t="s">
        <v>31</v>
      </c>
      <c r="BA222" s="123" t="s">
        <v>518</v>
      </c>
      <c r="BB222" s="123">
        <v>1.126100446E9</v>
      </c>
      <c r="BC222" s="122" t="s">
        <v>508</v>
      </c>
      <c r="BD222" s="123" t="s">
        <v>509</v>
      </c>
      <c r="BE222" s="124"/>
      <c r="BF222" s="124" t="s">
        <v>484</v>
      </c>
      <c r="BG222" s="124" t="s">
        <v>482</v>
      </c>
      <c r="BH222" s="123" t="s">
        <v>510</v>
      </c>
      <c r="BI222" s="171" t="s">
        <v>511</v>
      </c>
      <c r="BJ222" s="171" t="s">
        <v>512</v>
      </c>
      <c r="BK222" s="171" t="s">
        <v>935</v>
      </c>
      <c r="BL222" s="171">
        <v>12500.1</v>
      </c>
      <c r="BM222" s="171" t="e">
        <v>#N/A</v>
      </c>
      <c r="BN222" s="171" t="e">
        <v>#N/A</v>
      </c>
      <c r="BO222" s="171" t="s">
        <v>544</v>
      </c>
      <c r="BP222" s="171">
        <v>9151218.0</v>
      </c>
      <c r="BQ222" s="171" t="s">
        <v>478</v>
      </c>
      <c r="BR222" s="171" t="s">
        <v>544</v>
      </c>
      <c r="BS222" s="171">
        <v>1.0</v>
      </c>
    </row>
    <row r="223" ht="14.25" customHeight="1">
      <c r="A223" s="122" t="s">
        <v>493</v>
      </c>
      <c r="B223" s="123" t="s">
        <v>494</v>
      </c>
      <c r="C223" s="123">
        <v>107.0</v>
      </c>
      <c r="D223" s="123" t="s">
        <v>146</v>
      </c>
      <c r="E223" s="123" t="s">
        <v>147</v>
      </c>
      <c r="F223" s="124"/>
      <c r="G223" s="124" t="s">
        <v>149</v>
      </c>
      <c r="H223" s="123" t="s">
        <v>2</v>
      </c>
      <c r="I223" s="123" t="s">
        <v>495</v>
      </c>
      <c r="J223" s="123" t="s">
        <v>496</v>
      </c>
      <c r="K223" s="123" t="s">
        <v>497</v>
      </c>
      <c r="L223" s="123" t="s">
        <v>498</v>
      </c>
      <c r="M223" s="179">
        <v>46127.0</v>
      </c>
      <c r="N223" s="123" t="s">
        <v>520</v>
      </c>
      <c r="O223" s="123">
        <v>9156749.0</v>
      </c>
      <c r="P223" s="125">
        <v>46115.0</v>
      </c>
      <c r="Q223" s="123" t="s">
        <v>500</v>
      </c>
      <c r="R223" s="122">
        <v>6262.0</v>
      </c>
      <c r="S223" s="123" t="s">
        <v>521</v>
      </c>
      <c r="T223" s="123" t="s">
        <v>522</v>
      </c>
      <c r="U223" s="123" t="s">
        <v>523</v>
      </c>
      <c r="V223" s="123" t="s">
        <v>504</v>
      </c>
      <c r="W223" s="124"/>
      <c r="X223" s="123">
        <v>1.0</v>
      </c>
      <c r="Y223" s="123">
        <v>2793.0</v>
      </c>
      <c r="Z223" s="123">
        <v>2793.0</v>
      </c>
      <c r="AA223" s="123" t="s">
        <v>157</v>
      </c>
      <c r="AB223" s="123" t="s">
        <v>524</v>
      </c>
      <c r="AC223" s="125">
        <v>46115.0</v>
      </c>
      <c r="AD223" s="122" t="s">
        <v>525</v>
      </c>
      <c r="AE223" s="123">
        <v>998413.0</v>
      </c>
      <c r="AF223" s="123" t="s">
        <v>526</v>
      </c>
      <c r="AG223" s="124"/>
      <c r="AH223" s="124"/>
      <c r="AI223" s="123">
        <v>2793.0</v>
      </c>
      <c r="AJ223" s="123" t="s">
        <v>159</v>
      </c>
      <c r="AK223" s="123">
        <v>18.0</v>
      </c>
      <c r="AL223" s="123">
        <v>251.37</v>
      </c>
      <c r="AM223" s="123">
        <v>251.37</v>
      </c>
      <c r="AN223" s="123">
        <v>0.0</v>
      </c>
      <c r="AO223" s="123">
        <v>0.0</v>
      </c>
      <c r="AP223" s="123">
        <v>0.0</v>
      </c>
      <c r="AQ223" s="123">
        <v>0.0</v>
      </c>
      <c r="AR223" s="123">
        <v>0.0</v>
      </c>
      <c r="AS223" s="123">
        <v>0.0</v>
      </c>
      <c r="AT223" s="123">
        <v>0.0</v>
      </c>
      <c r="AU223" s="124"/>
      <c r="AV223" s="124"/>
      <c r="AW223" s="123">
        <v>0.0</v>
      </c>
      <c r="AX223" s="123">
        <v>3295.74</v>
      </c>
      <c r="AY223" s="123" t="s">
        <v>20</v>
      </c>
      <c r="AZ223" s="123" t="s">
        <v>31</v>
      </c>
      <c r="BA223" s="123" t="s">
        <v>527</v>
      </c>
      <c r="BB223" s="123">
        <v>1.126100078E9</v>
      </c>
      <c r="BC223" s="122" t="s">
        <v>187</v>
      </c>
      <c r="BD223" s="123" t="s">
        <v>162</v>
      </c>
      <c r="BE223" s="124"/>
      <c r="BF223" s="124" t="s">
        <v>483</v>
      </c>
      <c r="BG223" s="124" t="s">
        <v>482</v>
      </c>
      <c r="BH223" s="123" t="s">
        <v>510</v>
      </c>
      <c r="BI223" s="171" t="s">
        <v>511</v>
      </c>
      <c r="BJ223" s="171" t="s">
        <v>512</v>
      </c>
      <c r="BK223" s="171" t="s">
        <v>936</v>
      </c>
      <c r="BL223" s="171">
        <v>4050.0</v>
      </c>
      <c r="BM223" s="171">
        <v>4050.0</v>
      </c>
      <c r="BN223" s="171">
        <v>0.0</v>
      </c>
      <c r="BO223" s="171" t="s">
        <v>514</v>
      </c>
      <c r="BP223" s="171">
        <v>9166991.0</v>
      </c>
      <c r="BQ223" s="171" t="s">
        <v>483</v>
      </c>
      <c r="BR223" s="171" t="s">
        <v>479</v>
      </c>
      <c r="BS223" s="171">
        <v>1.0</v>
      </c>
    </row>
    <row r="224" ht="14.25" customHeight="1">
      <c r="A224" s="122" t="s">
        <v>493</v>
      </c>
      <c r="B224" s="123" t="s">
        <v>494</v>
      </c>
      <c r="C224" s="123">
        <v>107.0</v>
      </c>
      <c r="D224" s="123" t="s">
        <v>146</v>
      </c>
      <c r="E224" s="123" t="s">
        <v>147</v>
      </c>
      <c r="F224" s="124"/>
      <c r="G224" s="124"/>
      <c r="H224" s="123" t="s">
        <v>2</v>
      </c>
      <c r="I224" s="123" t="s">
        <v>495</v>
      </c>
      <c r="J224" s="123" t="s">
        <v>528</v>
      </c>
      <c r="K224" s="123" t="s">
        <v>529</v>
      </c>
      <c r="L224" s="123" t="s">
        <v>498</v>
      </c>
      <c r="M224" s="179">
        <v>46136.0</v>
      </c>
      <c r="N224" s="123">
        <v>7.026000049E9</v>
      </c>
      <c r="O224" s="123">
        <v>9168297.0</v>
      </c>
      <c r="P224" s="125">
        <v>46128.0</v>
      </c>
      <c r="Q224" s="123" t="s">
        <v>500</v>
      </c>
      <c r="R224" s="122">
        <v>14809.0</v>
      </c>
      <c r="S224" s="123" t="s">
        <v>758</v>
      </c>
      <c r="T224" s="123" t="s">
        <v>539</v>
      </c>
      <c r="U224" s="123" t="s">
        <v>759</v>
      </c>
      <c r="V224" s="123" t="s">
        <v>504</v>
      </c>
      <c r="W224" s="124"/>
      <c r="X224" s="123">
        <v>6500.0</v>
      </c>
      <c r="Y224" s="123">
        <v>1.0</v>
      </c>
      <c r="Z224" s="123">
        <v>6500.0</v>
      </c>
      <c r="AA224" s="123" t="s">
        <v>157</v>
      </c>
      <c r="AB224" s="123">
        <v>7.026000049E9</v>
      </c>
      <c r="AC224" s="125">
        <v>46128.0</v>
      </c>
      <c r="AD224" s="122" t="s">
        <v>505</v>
      </c>
      <c r="AE224" s="123">
        <v>998717.0</v>
      </c>
      <c r="AF224" s="123" t="s">
        <v>873</v>
      </c>
      <c r="AG224" s="124"/>
      <c r="AH224" s="124"/>
      <c r="AI224" s="123">
        <v>6500.0</v>
      </c>
      <c r="AJ224" s="123" t="s">
        <v>159</v>
      </c>
      <c r="AK224" s="123">
        <v>18.0</v>
      </c>
      <c r="AL224" s="123">
        <v>585.0</v>
      </c>
      <c r="AM224" s="123">
        <v>585.0</v>
      </c>
      <c r="AN224" s="123">
        <v>0.0</v>
      </c>
      <c r="AO224" s="123">
        <v>0.0</v>
      </c>
      <c r="AP224" s="123">
        <v>0.0</v>
      </c>
      <c r="AQ224" s="123">
        <v>0.0</v>
      </c>
      <c r="AR224" s="123">
        <v>0.0</v>
      </c>
      <c r="AS224" s="123">
        <v>0.0</v>
      </c>
      <c r="AT224" s="123">
        <v>0.0</v>
      </c>
      <c r="AU224" s="124"/>
      <c r="AV224" s="124"/>
      <c r="AW224" s="123">
        <v>0.0</v>
      </c>
      <c r="AX224" s="123">
        <v>7670.0</v>
      </c>
      <c r="AY224" s="123" t="s">
        <v>20</v>
      </c>
      <c r="AZ224" s="123" t="s">
        <v>31</v>
      </c>
      <c r="BA224" s="123" t="s">
        <v>542</v>
      </c>
      <c r="BB224" s="123">
        <v>1.12610039E9</v>
      </c>
      <c r="BC224" s="122" t="s">
        <v>187</v>
      </c>
      <c r="BD224" s="123" t="s">
        <v>162</v>
      </c>
      <c r="BE224" s="124"/>
      <c r="BF224" s="124" t="s">
        <v>483</v>
      </c>
      <c r="BG224" s="124" t="s">
        <v>482</v>
      </c>
      <c r="BH224" s="123" t="s">
        <v>510</v>
      </c>
      <c r="BI224" s="171" t="s">
        <v>511</v>
      </c>
      <c r="BJ224" s="171" t="s">
        <v>512</v>
      </c>
      <c r="BK224" s="171" t="s">
        <v>824</v>
      </c>
      <c r="BL224" s="171">
        <v>27.9</v>
      </c>
      <c r="BM224" s="171">
        <v>5341.12</v>
      </c>
      <c r="BN224" s="171">
        <v>-5313.0</v>
      </c>
      <c r="BO224" s="171" t="s">
        <v>514</v>
      </c>
      <c r="BP224" s="171">
        <v>9155619.0</v>
      </c>
      <c r="BQ224" s="171" t="s">
        <v>483</v>
      </c>
      <c r="BR224" s="171" t="s">
        <v>479</v>
      </c>
      <c r="BS224" s="171">
        <v>4.0</v>
      </c>
    </row>
    <row r="225" ht="14.25" customHeight="1">
      <c r="A225" s="122" t="s">
        <v>493</v>
      </c>
      <c r="B225" s="123" t="s">
        <v>494</v>
      </c>
      <c r="C225" s="123">
        <v>107.0</v>
      </c>
      <c r="D225" s="123" t="s">
        <v>146</v>
      </c>
      <c r="E225" s="123" t="s">
        <v>147</v>
      </c>
      <c r="F225" s="124"/>
      <c r="G225" s="123" t="s">
        <v>149</v>
      </c>
      <c r="H225" s="123" t="s">
        <v>2</v>
      </c>
      <c r="I225" s="123" t="s">
        <v>495</v>
      </c>
      <c r="J225" s="123" t="s">
        <v>528</v>
      </c>
      <c r="K225" s="123" t="s">
        <v>529</v>
      </c>
      <c r="L225" s="123" t="s">
        <v>498</v>
      </c>
      <c r="M225" s="125">
        <v>46126.0</v>
      </c>
      <c r="N225" s="123" t="s">
        <v>800</v>
      </c>
      <c r="O225" s="123">
        <v>9155619.0</v>
      </c>
      <c r="P225" s="125">
        <v>46114.0</v>
      </c>
      <c r="Q225" s="123" t="s">
        <v>500</v>
      </c>
      <c r="R225" s="123">
        <v>2770.0</v>
      </c>
      <c r="S225" s="123" t="s">
        <v>531</v>
      </c>
      <c r="T225" s="123" t="s">
        <v>532</v>
      </c>
      <c r="U225" s="123" t="s">
        <v>533</v>
      </c>
      <c r="V225" s="122" t="s">
        <v>504</v>
      </c>
      <c r="W225" s="124"/>
      <c r="X225" s="123">
        <v>1.0</v>
      </c>
      <c r="Y225" s="123">
        <v>2837.25</v>
      </c>
      <c r="Z225" s="123">
        <v>2837.25</v>
      </c>
      <c r="AA225" s="123" t="s">
        <v>157</v>
      </c>
      <c r="AB225" s="123" t="s">
        <v>800</v>
      </c>
      <c r="AC225" s="125">
        <v>46114.0</v>
      </c>
      <c r="AD225" s="123" t="s">
        <v>525</v>
      </c>
      <c r="AE225" s="123">
        <v>998712.0</v>
      </c>
      <c r="AF225" s="123" t="s">
        <v>568</v>
      </c>
      <c r="AG225" s="124"/>
      <c r="AH225" s="124"/>
      <c r="AI225" s="123">
        <v>2837.25</v>
      </c>
      <c r="AJ225" s="123" t="s">
        <v>159</v>
      </c>
      <c r="AK225" s="123">
        <v>18.0</v>
      </c>
      <c r="AL225" s="123">
        <v>255.35</v>
      </c>
      <c r="AM225" s="123">
        <v>255.35</v>
      </c>
      <c r="AN225" s="123">
        <v>0.0</v>
      </c>
      <c r="AO225" s="123">
        <v>0.0</v>
      </c>
      <c r="AP225" s="123">
        <v>0.0</v>
      </c>
      <c r="AQ225" s="123">
        <v>0.0</v>
      </c>
      <c r="AR225" s="123">
        <v>0.0</v>
      </c>
      <c r="AS225" s="123">
        <v>0.0</v>
      </c>
      <c r="AT225" s="123">
        <v>0.0</v>
      </c>
      <c r="AU225" s="124"/>
      <c r="AV225" s="124"/>
      <c r="AW225" s="123">
        <v>0.0</v>
      </c>
      <c r="AX225" s="122">
        <v>3347.95</v>
      </c>
      <c r="AY225" s="123" t="s">
        <v>20</v>
      </c>
      <c r="AZ225" s="123" t="s">
        <v>31</v>
      </c>
      <c r="BA225" s="123" t="s">
        <v>535</v>
      </c>
      <c r="BB225" s="123">
        <v>1.126100069E9</v>
      </c>
      <c r="BC225" s="123" t="s">
        <v>187</v>
      </c>
      <c r="BD225" s="123" t="s">
        <v>162</v>
      </c>
      <c r="BE225" s="124"/>
      <c r="BF225" s="124" t="s">
        <v>483</v>
      </c>
      <c r="BG225" s="124" t="s">
        <v>482</v>
      </c>
      <c r="BH225" s="123" t="s">
        <v>510</v>
      </c>
      <c r="BI225" s="171" t="s">
        <v>511</v>
      </c>
      <c r="BJ225" s="171" t="s">
        <v>512</v>
      </c>
      <c r="BK225" s="171" t="s">
        <v>519</v>
      </c>
      <c r="BL225" s="171">
        <v>1485.0</v>
      </c>
      <c r="BM225" s="171">
        <v>36494.74</v>
      </c>
      <c r="BN225" s="171">
        <v>-35010.0</v>
      </c>
      <c r="BO225" s="171" t="s">
        <v>514</v>
      </c>
      <c r="BP225" s="171">
        <v>9174963.0</v>
      </c>
      <c r="BQ225" s="171" t="s">
        <v>484</v>
      </c>
      <c r="BR225" s="171" t="s">
        <v>479</v>
      </c>
      <c r="BS225" s="171">
        <v>36.0</v>
      </c>
    </row>
    <row r="226" ht="14.25" customHeight="1">
      <c r="A226" s="122" t="s">
        <v>493</v>
      </c>
      <c r="B226" s="123" t="s">
        <v>494</v>
      </c>
      <c r="C226" s="123">
        <v>107.0</v>
      </c>
      <c r="D226" s="123" t="s">
        <v>146</v>
      </c>
      <c r="E226" s="123" t="s">
        <v>147</v>
      </c>
      <c r="F226" s="124"/>
      <c r="G226" s="123" t="s">
        <v>149</v>
      </c>
      <c r="H226" s="123" t="s">
        <v>2</v>
      </c>
      <c r="I226" s="123" t="s">
        <v>495</v>
      </c>
      <c r="J226" s="123" t="s">
        <v>528</v>
      </c>
      <c r="K226" s="123" t="s">
        <v>529</v>
      </c>
      <c r="L226" s="123" t="s">
        <v>498</v>
      </c>
      <c r="M226" s="125">
        <v>46126.0</v>
      </c>
      <c r="N226" s="123" t="s">
        <v>660</v>
      </c>
      <c r="O226" s="123">
        <v>9155607.0</v>
      </c>
      <c r="P226" s="125">
        <v>46114.0</v>
      </c>
      <c r="Q226" s="123" t="s">
        <v>500</v>
      </c>
      <c r="R226" s="123">
        <v>2770.0</v>
      </c>
      <c r="S226" s="123" t="s">
        <v>531</v>
      </c>
      <c r="T226" s="123" t="s">
        <v>532</v>
      </c>
      <c r="U226" s="123" t="s">
        <v>533</v>
      </c>
      <c r="V226" s="122" t="s">
        <v>504</v>
      </c>
      <c r="W226" s="124"/>
      <c r="X226" s="123">
        <v>1.0</v>
      </c>
      <c r="Y226" s="123">
        <v>35.0</v>
      </c>
      <c r="Z226" s="123">
        <v>35.0</v>
      </c>
      <c r="AA226" s="123" t="s">
        <v>157</v>
      </c>
      <c r="AB226" s="123" t="s">
        <v>660</v>
      </c>
      <c r="AC226" s="125">
        <v>46114.0</v>
      </c>
      <c r="AD226" s="123" t="s">
        <v>525</v>
      </c>
      <c r="AE226" s="123">
        <v>8.4439952E7</v>
      </c>
      <c r="AF226" s="123" t="s">
        <v>937</v>
      </c>
      <c r="AG226" s="124"/>
      <c r="AH226" s="124"/>
      <c r="AI226" s="123">
        <v>35.0</v>
      </c>
      <c r="AJ226" s="123" t="s">
        <v>159</v>
      </c>
      <c r="AK226" s="123">
        <v>18.0</v>
      </c>
      <c r="AL226" s="123">
        <v>3.15</v>
      </c>
      <c r="AM226" s="123">
        <v>3.15</v>
      </c>
      <c r="AN226" s="123">
        <v>0.0</v>
      </c>
      <c r="AO226" s="123">
        <v>0.0</v>
      </c>
      <c r="AP226" s="123">
        <v>0.0</v>
      </c>
      <c r="AQ226" s="123">
        <v>0.0</v>
      </c>
      <c r="AR226" s="123">
        <v>0.0</v>
      </c>
      <c r="AS226" s="123">
        <v>0.0</v>
      </c>
      <c r="AT226" s="123">
        <v>0.0</v>
      </c>
      <c r="AU226" s="124"/>
      <c r="AV226" s="124"/>
      <c r="AW226" s="123">
        <v>0.0</v>
      </c>
      <c r="AX226" s="122">
        <v>41.3</v>
      </c>
      <c r="AY226" s="123" t="s">
        <v>20</v>
      </c>
      <c r="AZ226" s="123" t="s">
        <v>31</v>
      </c>
      <c r="BA226" s="123" t="s">
        <v>535</v>
      </c>
      <c r="BB226" s="123">
        <v>1.126100057E9</v>
      </c>
      <c r="BC226" s="123" t="s">
        <v>187</v>
      </c>
      <c r="BD226" s="123" t="s">
        <v>162</v>
      </c>
      <c r="BE226" s="124"/>
      <c r="BF226" s="124" t="s">
        <v>483</v>
      </c>
      <c r="BG226" s="124" t="s">
        <v>482</v>
      </c>
      <c r="BH226" s="123" t="s">
        <v>510</v>
      </c>
      <c r="BI226" s="171" t="s">
        <v>511</v>
      </c>
      <c r="BJ226" s="171" t="s">
        <v>512</v>
      </c>
      <c r="BK226" s="171" t="s">
        <v>519</v>
      </c>
      <c r="BL226" s="171">
        <v>79.2</v>
      </c>
      <c r="BM226" s="171">
        <v>36494.74</v>
      </c>
      <c r="BN226" s="171">
        <v>-36416.0</v>
      </c>
      <c r="BO226" s="171" t="s">
        <v>514</v>
      </c>
      <c r="BP226" s="171">
        <v>9174963.0</v>
      </c>
      <c r="BQ226" s="171" t="s">
        <v>484</v>
      </c>
      <c r="BR226" s="171" t="s">
        <v>479</v>
      </c>
      <c r="BS226" s="171">
        <v>36.0</v>
      </c>
    </row>
    <row r="227" ht="14.25" customHeight="1">
      <c r="A227" s="122" t="s">
        <v>493</v>
      </c>
      <c r="B227" s="123" t="s">
        <v>494</v>
      </c>
      <c r="C227" s="123">
        <v>107.0</v>
      </c>
      <c r="D227" s="123" t="s">
        <v>146</v>
      </c>
      <c r="E227" s="123" t="s">
        <v>147</v>
      </c>
      <c r="F227" s="124"/>
      <c r="G227" s="123" t="s">
        <v>149</v>
      </c>
      <c r="H227" s="123" t="s">
        <v>2</v>
      </c>
      <c r="I227" s="123" t="s">
        <v>495</v>
      </c>
      <c r="J227" s="123" t="s">
        <v>528</v>
      </c>
      <c r="K227" s="123" t="s">
        <v>529</v>
      </c>
      <c r="L227" s="123" t="s">
        <v>498</v>
      </c>
      <c r="M227" s="125">
        <v>46126.0</v>
      </c>
      <c r="N227" s="123" t="s">
        <v>570</v>
      </c>
      <c r="O227" s="123">
        <v>9155615.0</v>
      </c>
      <c r="P227" s="125">
        <v>46114.0</v>
      </c>
      <c r="Q227" s="123" t="s">
        <v>500</v>
      </c>
      <c r="R227" s="123">
        <v>2770.0</v>
      </c>
      <c r="S227" s="123" t="s">
        <v>531</v>
      </c>
      <c r="T227" s="123" t="s">
        <v>532</v>
      </c>
      <c r="U227" s="123" t="s">
        <v>533</v>
      </c>
      <c r="V227" s="122" t="s">
        <v>504</v>
      </c>
      <c r="W227" s="124"/>
      <c r="X227" s="123">
        <v>1.0</v>
      </c>
      <c r="Y227" s="123">
        <v>11.6</v>
      </c>
      <c r="Z227" s="123">
        <v>11.6</v>
      </c>
      <c r="AA227" s="123" t="s">
        <v>157</v>
      </c>
      <c r="AB227" s="123" t="s">
        <v>570</v>
      </c>
      <c r="AC227" s="125">
        <v>46114.0</v>
      </c>
      <c r="AD227" s="123" t="s">
        <v>525</v>
      </c>
      <c r="AE227" s="123">
        <v>8.4439952E7</v>
      </c>
      <c r="AF227" s="123" t="s">
        <v>568</v>
      </c>
      <c r="AG227" s="124"/>
      <c r="AH227" s="124"/>
      <c r="AI227" s="123">
        <v>11.6</v>
      </c>
      <c r="AJ227" s="123" t="s">
        <v>159</v>
      </c>
      <c r="AK227" s="123">
        <v>18.0</v>
      </c>
      <c r="AL227" s="123">
        <v>1.04</v>
      </c>
      <c r="AM227" s="123">
        <v>1.04</v>
      </c>
      <c r="AN227" s="123">
        <v>0.0</v>
      </c>
      <c r="AO227" s="123">
        <v>0.0</v>
      </c>
      <c r="AP227" s="123">
        <v>0.0</v>
      </c>
      <c r="AQ227" s="123">
        <v>0.0</v>
      </c>
      <c r="AR227" s="123">
        <v>0.0</v>
      </c>
      <c r="AS227" s="123">
        <v>0.0</v>
      </c>
      <c r="AT227" s="123">
        <v>0.0</v>
      </c>
      <c r="AU227" s="124"/>
      <c r="AV227" s="124"/>
      <c r="AW227" s="123">
        <v>0.0</v>
      </c>
      <c r="AX227" s="122">
        <v>13.68</v>
      </c>
      <c r="AY227" s="123" t="s">
        <v>20</v>
      </c>
      <c r="AZ227" s="123" t="s">
        <v>31</v>
      </c>
      <c r="BA227" s="123" t="s">
        <v>535</v>
      </c>
      <c r="BB227" s="123">
        <v>1.126100065E9</v>
      </c>
      <c r="BC227" s="123" t="s">
        <v>187</v>
      </c>
      <c r="BD227" s="123" t="s">
        <v>162</v>
      </c>
      <c r="BE227" s="124"/>
      <c r="BF227" s="124" t="s">
        <v>483</v>
      </c>
      <c r="BG227" s="124" t="s">
        <v>482</v>
      </c>
      <c r="BH227" s="123" t="s">
        <v>510</v>
      </c>
      <c r="BI227" s="171" t="s">
        <v>511</v>
      </c>
      <c r="BJ227" s="171" t="s">
        <v>512</v>
      </c>
      <c r="BK227" s="171" t="s">
        <v>480</v>
      </c>
      <c r="BL227" s="171">
        <v>2936.34</v>
      </c>
      <c r="BM227" s="171">
        <v>8534.42</v>
      </c>
      <c r="BN227" s="171">
        <v>-5598.0</v>
      </c>
      <c r="BO227" s="171" t="s">
        <v>514</v>
      </c>
      <c r="BP227" s="171">
        <v>9156749.0</v>
      </c>
      <c r="BQ227" s="171" t="s">
        <v>483</v>
      </c>
      <c r="BR227" s="171" t="s">
        <v>479</v>
      </c>
      <c r="BS227" s="171">
        <v>17.0</v>
      </c>
    </row>
    <row r="228" ht="14.25" customHeight="1">
      <c r="A228" s="122" t="s">
        <v>493</v>
      </c>
      <c r="B228" s="123" t="s">
        <v>494</v>
      </c>
      <c r="C228" s="123">
        <v>107.0</v>
      </c>
      <c r="D228" s="123" t="s">
        <v>146</v>
      </c>
      <c r="E228" s="123" t="s">
        <v>147</v>
      </c>
      <c r="F228" s="124"/>
      <c r="G228" s="124"/>
      <c r="H228" s="123" t="s">
        <v>2</v>
      </c>
      <c r="I228" s="123" t="s">
        <v>495</v>
      </c>
      <c r="J228" s="123" t="s">
        <v>528</v>
      </c>
      <c r="K228" s="123" t="s">
        <v>529</v>
      </c>
      <c r="L228" s="123" t="s">
        <v>498</v>
      </c>
      <c r="M228" s="125">
        <v>46136.0</v>
      </c>
      <c r="N228" s="123" t="s">
        <v>808</v>
      </c>
      <c r="O228" s="123">
        <v>9168299.0</v>
      </c>
      <c r="P228" s="125">
        <v>46127.0</v>
      </c>
      <c r="Q228" s="123" t="s">
        <v>500</v>
      </c>
      <c r="R228" s="123">
        <v>14097.0</v>
      </c>
      <c r="S228" s="123" t="s">
        <v>809</v>
      </c>
      <c r="T228" s="123" t="s">
        <v>618</v>
      </c>
      <c r="U228" s="123" t="s">
        <v>810</v>
      </c>
      <c r="V228" s="122" t="s">
        <v>504</v>
      </c>
      <c r="W228" s="124"/>
      <c r="X228" s="123">
        <v>4400.0</v>
      </c>
      <c r="Y228" s="123">
        <v>1.0</v>
      </c>
      <c r="Z228" s="123">
        <v>4400.0</v>
      </c>
      <c r="AA228" s="123" t="s">
        <v>157</v>
      </c>
      <c r="AB228" s="123" t="s">
        <v>808</v>
      </c>
      <c r="AC228" s="125">
        <v>46127.0</v>
      </c>
      <c r="AD228" s="123" t="s">
        <v>505</v>
      </c>
      <c r="AE228" s="123">
        <v>998712.0</v>
      </c>
      <c r="AF228" s="123" t="s">
        <v>938</v>
      </c>
      <c r="AG228" s="124"/>
      <c r="AH228" s="124"/>
      <c r="AI228" s="123">
        <v>4400.0</v>
      </c>
      <c r="AJ228" s="123" t="s">
        <v>159</v>
      </c>
      <c r="AK228" s="123">
        <v>18.0</v>
      </c>
      <c r="AL228" s="123">
        <v>396.0</v>
      </c>
      <c r="AM228" s="123">
        <v>396.0</v>
      </c>
      <c r="AN228" s="123">
        <v>0.0</v>
      </c>
      <c r="AO228" s="123">
        <v>0.0</v>
      </c>
      <c r="AP228" s="123">
        <v>0.0</v>
      </c>
      <c r="AQ228" s="123">
        <v>0.0</v>
      </c>
      <c r="AR228" s="123">
        <v>0.0</v>
      </c>
      <c r="AS228" s="123">
        <v>0.0</v>
      </c>
      <c r="AT228" s="123">
        <v>0.0</v>
      </c>
      <c r="AU228" s="124"/>
      <c r="AV228" s="124"/>
      <c r="AW228" s="123">
        <v>0.0</v>
      </c>
      <c r="AX228" s="122">
        <v>5192.0</v>
      </c>
      <c r="AY228" s="123" t="s">
        <v>20</v>
      </c>
      <c r="AZ228" s="123" t="s">
        <v>31</v>
      </c>
      <c r="BA228" s="123" t="s">
        <v>542</v>
      </c>
      <c r="BB228" s="123">
        <v>1.126100392E9</v>
      </c>
      <c r="BC228" s="123" t="s">
        <v>187</v>
      </c>
      <c r="BD228" s="123" t="s">
        <v>162</v>
      </c>
      <c r="BE228" s="124"/>
      <c r="BF228" s="124" t="s">
        <v>483</v>
      </c>
      <c r="BG228" s="124" t="s">
        <v>482</v>
      </c>
      <c r="BH228" s="123" t="s">
        <v>587</v>
      </c>
      <c r="BI228" s="171" t="s">
        <v>511</v>
      </c>
      <c r="BJ228" s="171" t="s">
        <v>512</v>
      </c>
      <c r="BK228" s="171" t="s">
        <v>939</v>
      </c>
      <c r="BL228" s="171">
        <v>179.82</v>
      </c>
      <c r="BM228" s="171">
        <v>179.82</v>
      </c>
      <c r="BN228" s="171">
        <v>0.0</v>
      </c>
      <c r="BO228" s="171" t="s">
        <v>514</v>
      </c>
      <c r="BP228" s="171">
        <v>9164385.0</v>
      </c>
      <c r="BQ228" s="171" t="s">
        <v>483</v>
      </c>
      <c r="BR228" s="171" t="s">
        <v>479</v>
      </c>
      <c r="BS228" s="171">
        <v>1.0</v>
      </c>
    </row>
    <row r="229" ht="14.25" customHeight="1">
      <c r="A229" s="122" t="s">
        <v>493</v>
      </c>
      <c r="B229" s="123" t="s">
        <v>494</v>
      </c>
      <c r="C229" s="123">
        <v>107.0</v>
      </c>
      <c r="D229" s="123" t="s">
        <v>146</v>
      </c>
      <c r="E229" s="123" t="s">
        <v>147</v>
      </c>
      <c r="F229" s="124"/>
      <c r="G229" s="124"/>
      <c r="H229" s="123" t="s">
        <v>2</v>
      </c>
      <c r="I229" s="123" t="s">
        <v>495</v>
      </c>
      <c r="J229" s="123" t="s">
        <v>528</v>
      </c>
      <c r="K229" s="123" t="s">
        <v>529</v>
      </c>
      <c r="L229" s="123" t="s">
        <v>498</v>
      </c>
      <c r="M229" s="125">
        <v>46127.0</v>
      </c>
      <c r="N229" s="123" t="s">
        <v>940</v>
      </c>
      <c r="O229" s="123">
        <v>9156859.0</v>
      </c>
      <c r="P229" s="125">
        <v>46113.0</v>
      </c>
      <c r="Q229" s="123" t="s">
        <v>500</v>
      </c>
      <c r="R229" s="123">
        <v>2770.0</v>
      </c>
      <c r="S229" s="123" t="s">
        <v>531</v>
      </c>
      <c r="T229" s="123" t="s">
        <v>572</v>
      </c>
      <c r="U229" s="123" t="s">
        <v>573</v>
      </c>
      <c r="V229" s="122" t="s">
        <v>504</v>
      </c>
      <c r="W229" s="124"/>
      <c r="X229" s="123">
        <v>1.0</v>
      </c>
      <c r="Y229" s="123">
        <v>4365.0</v>
      </c>
      <c r="Z229" s="123">
        <v>4365.0</v>
      </c>
      <c r="AA229" s="123" t="s">
        <v>157</v>
      </c>
      <c r="AB229" s="123" t="s">
        <v>940</v>
      </c>
      <c r="AC229" s="125">
        <v>46113.0</v>
      </c>
      <c r="AD229" s="123" t="s">
        <v>505</v>
      </c>
      <c r="AE229" s="123">
        <v>997314.0</v>
      </c>
      <c r="AF229" s="123" t="s">
        <v>725</v>
      </c>
      <c r="AG229" s="124"/>
      <c r="AH229" s="124"/>
      <c r="AI229" s="123">
        <v>4365.0</v>
      </c>
      <c r="AJ229" s="123" t="s">
        <v>159</v>
      </c>
      <c r="AK229" s="123">
        <v>18.0</v>
      </c>
      <c r="AL229" s="123">
        <v>0.0</v>
      </c>
      <c r="AM229" s="123">
        <v>0.0</v>
      </c>
      <c r="AN229" s="123">
        <v>785.7</v>
      </c>
      <c r="AO229" s="123">
        <v>0.0</v>
      </c>
      <c r="AP229" s="123">
        <v>0.0</v>
      </c>
      <c r="AQ229" s="123">
        <v>0.0</v>
      </c>
      <c r="AR229" s="123">
        <v>0.0</v>
      </c>
      <c r="AS229" s="123">
        <v>0.0</v>
      </c>
      <c r="AT229" s="123">
        <v>0.0</v>
      </c>
      <c r="AU229" s="124"/>
      <c r="AV229" s="124"/>
      <c r="AW229" s="123">
        <v>0.0</v>
      </c>
      <c r="AX229" s="122">
        <v>5150.7</v>
      </c>
      <c r="AY229" s="123" t="s">
        <v>20</v>
      </c>
      <c r="AZ229" s="123" t="s">
        <v>31</v>
      </c>
      <c r="BA229" s="123" t="s">
        <v>941</v>
      </c>
      <c r="BB229" s="123">
        <v>1.126100088E9</v>
      </c>
      <c r="BC229" s="123" t="s">
        <v>161</v>
      </c>
      <c r="BD229" s="123" t="s">
        <v>162</v>
      </c>
      <c r="BE229" s="124"/>
      <c r="BF229" s="124" t="s">
        <v>483</v>
      </c>
      <c r="BG229" s="124" t="s">
        <v>482</v>
      </c>
      <c r="BH229" s="123" t="s">
        <v>510</v>
      </c>
      <c r="BI229" s="171" t="s">
        <v>511</v>
      </c>
      <c r="BJ229" s="171" t="s">
        <v>512</v>
      </c>
      <c r="BK229" s="171" t="s">
        <v>635</v>
      </c>
      <c r="BL229" s="171">
        <v>172.8</v>
      </c>
      <c r="BM229" s="171">
        <v>6014.7</v>
      </c>
      <c r="BN229" s="171">
        <v>-5842.0</v>
      </c>
      <c r="BO229" s="171" t="s">
        <v>514</v>
      </c>
      <c r="BP229" s="171">
        <v>9164740.0</v>
      </c>
      <c r="BQ229" s="171" t="s">
        <v>484</v>
      </c>
      <c r="BR229" s="171" t="s">
        <v>479</v>
      </c>
      <c r="BS229" s="171">
        <v>6.0</v>
      </c>
    </row>
    <row r="230" ht="14.25" customHeight="1">
      <c r="A230" s="122" t="s">
        <v>493</v>
      </c>
      <c r="B230" s="123" t="s">
        <v>494</v>
      </c>
      <c r="C230" s="123">
        <v>107.0</v>
      </c>
      <c r="D230" s="123" t="s">
        <v>146</v>
      </c>
      <c r="E230" s="123" t="s">
        <v>147</v>
      </c>
      <c r="F230" s="124"/>
      <c r="G230" s="124"/>
      <c r="H230" s="123" t="s">
        <v>2</v>
      </c>
      <c r="I230" s="123" t="s">
        <v>495</v>
      </c>
      <c r="J230" s="123" t="s">
        <v>528</v>
      </c>
      <c r="K230" s="123" t="s">
        <v>529</v>
      </c>
      <c r="L230" s="123" t="s">
        <v>498</v>
      </c>
      <c r="M230" s="125">
        <v>46133.0</v>
      </c>
      <c r="N230" s="123" t="s">
        <v>942</v>
      </c>
      <c r="O230" s="123">
        <v>9166965.0</v>
      </c>
      <c r="P230" s="125">
        <v>46122.0</v>
      </c>
      <c r="Q230" s="123" t="s">
        <v>500</v>
      </c>
      <c r="R230" s="123">
        <v>3545.0</v>
      </c>
      <c r="S230" s="123" t="s">
        <v>582</v>
      </c>
      <c r="T230" s="123" t="s">
        <v>539</v>
      </c>
      <c r="U230" s="123" t="s">
        <v>583</v>
      </c>
      <c r="V230" s="122" t="s">
        <v>504</v>
      </c>
      <c r="W230" s="124"/>
      <c r="X230" s="123">
        <v>1.0</v>
      </c>
      <c r="Y230" s="123">
        <v>1650.0</v>
      </c>
      <c r="Z230" s="123">
        <v>1650.0</v>
      </c>
      <c r="AA230" s="123" t="s">
        <v>157</v>
      </c>
      <c r="AB230" s="123" t="s">
        <v>942</v>
      </c>
      <c r="AC230" s="125">
        <v>46122.0</v>
      </c>
      <c r="AD230" s="123" t="s">
        <v>593</v>
      </c>
      <c r="AE230" s="123">
        <v>8473.0</v>
      </c>
      <c r="AF230" s="123" t="s">
        <v>943</v>
      </c>
      <c r="AG230" s="124"/>
      <c r="AH230" s="124"/>
      <c r="AI230" s="123">
        <v>1650.0</v>
      </c>
      <c r="AJ230" s="123" t="s">
        <v>159</v>
      </c>
      <c r="AK230" s="123">
        <v>18.0</v>
      </c>
      <c r="AL230" s="123">
        <v>148.5</v>
      </c>
      <c r="AM230" s="123">
        <v>148.5</v>
      </c>
      <c r="AN230" s="123">
        <v>0.0</v>
      </c>
      <c r="AO230" s="123">
        <v>0.0</v>
      </c>
      <c r="AP230" s="123">
        <v>0.0</v>
      </c>
      <c r="AQ230" s="123">
        <v>0.0</v>
      </c>
      <c r="AR230" s="123">
        <v>0.0</v>
      </c>
      <c r="AS230" s="123">
        <v>0.0</v>
      </c>
      <c r="AT230" s="123">
        <v>0.0</v>
      </c>
      <c r="AU230" s="124"/>
      <c r="AV230" s="124"/>
      <c r="AW230" s="123">
        <v>0.0</v>
      </c>
      <c r="AX230" s="122">
        <v>1947.0</v>
      </c>
      <c r="AY230" s="123" t="s">
        <v>20</v>
      </c>
      <c r="AZ230" s="123" t="s">
        <v>31</v>
      </c>
      <c r="BA230" s="123" t="s">
        <v>595</v>
      </c>
      <c r="BB230" s="123">
        <v>1.126100295E9</v>
      </c>
      <c r="BC230" s="123" t="s">
        <v>187</v>
      </c>
      <c r="BD230" s="123" t="s">
        <v>586</v>
      </c>
      <c r="BE230" s="124"/>
      <c r="BF230" s="124" t="s">
        <v>483</v>
      </c>
      <c r="BG230" s="124" t="s">
        <v>482</v>
      </c>
      <c r="BH230" s="123" t="s">
        <v>587</v>
      </c>
      <c r="BI230" s="171" t="s">
        <v>511</v>
      </c>
      <c r="BJ230" s="171" t="s">
        <v>512</v>
      </c>
      <c r="BK230" s="171" t="s">
        <v>944</v>
      </c>
      <c r="BL230" s="171">
        <v>324.0</v>
      </c>
      <c r="BM230" s="171">
        <v>324.0</v>
      </c>
      <c r="BN230" s="171">
        <v>0.0</v>
      </c>
      <c r="BO230" s="171" t="s">
        <v>514</v>
      </c>
      <c r="BP230" s="171">
        <v>9157982.0</v>
      </c>
      <c r="BQ230" s="171" t="s">
        <v>484</v>
      </c>
      <c r="BR230" s="171" t="s">
        <v>479</v>
      </c>
      <c r="BS230" s="171">
        <v>1.0</v>
      </c>
    </row>
    <row r="231" ht="14.25" customHeight="1">
      <c r="A231" s="122" t="s">
        <v>493</v>
      </c>
      <c r="B231" s="123" t="s">
        <v>494</v>
      </c>
      <c r="C231" s="123">
        <v>107.0</v>
      </c>
      <c r="D231" s="123" t="s">
        <v>146</v>
      </c>
      <c r="E231" s="123" t="s">
        <v>147</v>
      </c>
      <c r="F231" s="124"/>
      <c r="G231" s="124" t="s">
        <v>149</v>
      </c>
      <c r="H231" s="123" t="s">
        <v>2</v>
      </c>
      <c r="I231" s="123" t="s">
        <v>495</v>
      </c>
      <c r="J231" s="123" t="s">
        <v>496</v>
      </c>
      <c r="K231" s="123" t="s">
        <v>497</v>
      </c>
      <c r="L231" s="123" t="s">
        <v>498</v>
      </c>
      <c r="M231" s="125">
        <v>46127.0</v>
      </c>
      <c r="N231" s="123" t="s">
        <v>499</v>
      </c>
      <c r="O231" s="123">
        <v>9158398.0</v>
      </c>
      <c r="P231" s="125">
        <v>46090.0</v>
      </c>
      <c r="Q231" s="123" t="s">
        <v>500</v>
      </c>
      <c r="R231" s="123">
        <v>35671.0</v>
      </c>
      <c r="S231" s="123" t="s">
        <v>501</v>
      </c>
      <c r="T231" s="123" t="s">
        <v>502</v>
      </c>
      <c r="U231" s="124" t="s">
        <v>503</v>
      </c>
      <c r="V231" s="124" t="s">
        <v>504</v>
      </c>
      <c r="W231" s="124"/>
      <c r="X231" s="123">
        <v>2717.37</v>
      </c>
      <c r="Y231" s="123">
        <v>8.0</v>
      </c>
      <c r="Z231" s="123">
        <v>21738.96</v>
      </c>
      <c r="AA231" s="123" t="s">
        <v>157</v>
      </c>
      <c r="AB231" s="123" t="s">
        <v>499</v>
      </c>
      <c r="AC231" s="125">
        <v>46121.0</v>
      </c>
      <c r="AD231" s="124" t="s">
        <v>505</v>
      </c>
      <c r="AE231" s="123">
        <v>3.4029099E7</v>
      </c>
      <c r="AF231" s="123" t="s">
        <v>687</v>
      </c>
      <c r="AG231" s="124"/>
      <c r="AH231" s="124"/>
      <c r="AI231" s="123">
        <v>21738.96</v>
      </c>
      <c r="AJ231" s="123" t="s">
        <v>159</v>
      </c>
      <c r="AK231" s="123">
        <v>18.0</v>
      </c>
      <c r="AL231" s="123">
        <v>0.0</v>
      </c>
      <c r="AM231" s="123">
        <v>0.0</v>
      </c>
      <c r="AN231" s="123">
        <v>3913.01</v>
      </c>
      <c r="AO231" s="123">
        <v>0.0</v>
      </c>
      <c r="AP231" s="123">
        <v>0.0</v>
      </c>
      <c r="AQ231" s="123">
        <v>0.0</v>
      </c>
      <c r="AR231" s="123">
        <v>0.0</v>
      </c>
      <c r="AS231" s="123">
        <v>0.0</v>
      </c>
      <c r="AT231" s="123">
        <v>0.0</v>
      </c>
      <c r="AU231" s="124"/>
      <c r="AV231" s="124"/>
      <c r="AW231" s="123">
        <v>0.0</v>
      </c>
      <c r="AX231" s="122">
        <v>25651.97</v>
      </c>
      <c r="AY231" s="123" t="s">
        <v>31</v>
      </c>
      <c r="AZ231" s="123" t="s">
        <v>31</v>
      </c>
      <c r="BA231" s="123" t="s">
        <v>507</v>
      </c>
      <c r="BB231" s="123">
        <v>1.126100105E9</v>
      </c>
      <c r="BC231" s="123" t="s">
        <v>508</v>
      </c>
      <c r="BD231" s="123" t="s">
        <v>509</v>
      </c>
      <c r="BE231" s="124"/>
      <c r="BF231" s="124" t="s">
        <v>484</v>
      </c>
      <c r="BG231" s="124" t="s">
        <v>482</v>
      </c>
      <c r="BH231" s="123" t="s">
        <v>510</v>
      </c>
      <c r="BI231" s="171" t="s">
        <v>511</v>
      </c>
      <c r="BJ231" s="171" t="s">
        <v>512</v>
      </c>
      <c r="BK231" s="171" t="s">
        <v>743</v>
      </c>
      <c r="BL231" s="171">
        <v>4500.0</v>
      </c>
      <c r="BM231" s="171" t="e">
        <v>#N/A</v>
      </c>
      <c r="BN231" s="171" t="e">
        <v>#N/A</v>
      </c>
      <c r="BO231" s="171" t="s">
        <v>544</v>
      </c>
      <c r="BP231" s="171">
        <v>9164021.0</v>
      </c>
      <c r="BQ231" s="171" t="s">
        <v>481</v>
      </c>
      <c r="BR231" s="171" t="s">
        <v>544</v>
      </c>
      <c r="BS231" s="171">
        <v>5.0</v>
      </c>
    </row>
    <row r="232" ht="14.25" customHeight="1">
      <c r="A232" s="122" t="s">
        <v>493</v>
      </c>
      <c r="B232" s="123" t="s">
        <v>494</v>
      </c>
      <c r="C232" s="123">
        <v>107.0</v>
      </c>
      <c r="D232" s="123" t="s">
        <v>146</v>
      </c>
      <c r="E232" s="123" t="s">
        <v>147</v>
      </c>
      <c r="F232" s="124"/>
      <c r="G232" s="124" t="s">
        <v>149</v>
      </c>
      <c r="H232" s="123" t="s">
        <v>2</v>
      </c>
      <c r="I232" s="123" t="s">
        <v>495</v>
      </c>
      <c r="J232" s="123" t="s">
        <v>496</v>
      </c>
      <c r="K232" s="123" t="s">
        <v>497</v>
      </c>
      <c r="L232" s="123" t="s">
        <v>498</v>
      </c>
      <c r="M232" s="125">
        <v>46127.0</v>
      </c>
      <c r="N232" s="123" t="s">
        <v>499</v>
      </c>
      <c r="O232" s="123">
        <v>9158398.0</v>
      </c>
      <c r="P232" s="125">
        <v>46090.0</v>
      </c>
      <c r="Q232" s="123" t="s">
        <v>500</v>
      </c>
      <c r="R232" s="123">
        <v>35671.0</v>
      </c>
      <c r="S232" s="123" t="s">
        <v>501</v>
      </c>
      <c r="T232" s="123" t="s">
        <v>502</v>
      </c>
      <c r="U232" s="123" t="s">
        <v>503</v>
      </c>
      <c r="V232" s="122" t="s">
        <v>504</v>
      </c>
      <c r="W232" s="124"/>
      <c r="X232" s="123">
        <v>275.0</v>
      </c>
      <c r="Y232" s="123">
        <v>11.0</v>
      </c>
      <c r="Z232" s="123">
        <v>3025.0</v>
      </c>
      <c r="AA232" s="123" t="s">
        <v>157</v>
      </c>
      <c r="AB232" s="123" t="s">
        <v>499</v>
      </c>
      <c r="AC232" s="125">
        <v>46121.0</v>
      </c>
      <c r="AD232" s="123" t="s">
        <v>505</v>
      </c>
      <c r="AE232" s="123">
        <v>998729.0</v>
      </c>
      <c r="AF232" s="123" t="s">
        <v>794</v>
      </c>
      <c r="AG232" s="124"/>
      <c r="AH232" s="124"/>
      <c r="AI232" s="123">
        <v>3025.0</v>
      </c>
      <c r="AJ232" s="123" t="s">
        <v>159</v>
      </c>
      <c r="AK232" s="123">
        <v>18.0</v>
      </c>
      <c r="AL232" s="123">
        <v>0.0</v>
      </c>
      <c r="AM232" s="123">
        <v>0.0</v>
      </c>
      <c r="AN232" s="123">
        <v>544.5</v>
      </c>
      <c r="AO232" s="123">
        <v>0.0</v>
      </c>
      <c r="AP232" s="123">
        <v>0.0</v>
      </c>
      <c r="AQ232" s="123">
        <v>0.0</v>
      </c>
      <c r="AR232" s="123">
        <v>0.0</v>
      </c>
      <c r="AS232" s="123">
        <v>0.0</v>
      </c>
      <c r="AT232" s="123">
        <v>0.0</v>
      </c>
      <c r="AU232" s="124"/>
      <c r="AV232" s="124"/>
      <c r="AW232" s="123">
        <v>0.0</v>
      </c>
      <c r="AX232" s="122">
        <v>3569.5</v>
      </c>
      <c r="AY232" s="123" t="s">
        <v>31</v>
      </c>
      <c r="AZ232" s="123" t="s">
        <v>31</v>
      </c>
      <c r="BA232" s="123" t="s">
        <v>507</v>
      </c>
      <c r="BB232" s="123">
        <v>1.126100105E9</v>
      </c>
      <c r="BC232" s="123" t="s">
        <v>508</v>
      </c>
      <c r="BD232" s="123" t="s">
        <v>509</v>
      </c>
      <c r="BE232" s="124"/>
      <c r="BF232" s="124" t="s">
        <v>484</v>
      </c>
      <c r="BG232" s="124" t="s">
        <v>482</v>
      </c>
      <c r="BH232" s="123" t="s">
        <v>510</v>
      </c>
      <c r="BI232" s="171" t="s">
        <v>511</v>
      </c>
      <c r="BJ232" s="171" t="s">
        <v>512</v>
      </c>
      <c r="BK232" s="171" t="s">
        <v>681</v>
      </c>
      <c r="BL232" s="171">
        <v>0.44</v>
      </c>
      <c r="BM232" s="171">
        <v>1873.72</v>
      </c>
      <c r="BN232" s="171">
        <v>-1873.0</v>
      </c>
      <c r="BO232" s="171" t="s">
        <v>514</v>
      </c>
      <c r="BP232" s="171">
        <v>9155608.0</v>
      </c>
      <c r="BQ232" s="171" t="s">
        <v>483</v>
      </c>
      <c r="BR232" s="171" t="s">
        <v>479</v>
      </c>
      <c r="BS232" s="171">
        <v>4.0</v>
      </c>
    </row>
    <row r="233" ht="14.25" customHeight="1">
      <c r="A233" s="122" t="s">
        <v>493</v>
      </c>
      <c r="B233" s="123" t="s">
        <v>494</v>
      </c>
      <c r="C233" s="123">
        <v>107.0</v>
      </c>
      <c r="D233" s="123" t="s">
        <v>146</v>
      </c>
      <c r="E233" s="123" t="s">
        <v>147</v>
      </c>
      <c r="F233" s="124"/>
      <c r="G233" s="123" t="s">
        <v>149</v>
      </c>
      <c r="H233" s="123" t="s">
        <v>2</v>
      </c>
      <c r="I233" s="123" t="s">
        <v>495</v>
      </c>
      <c r="J233" s="123" t="s">
        <v>496</v>
      </c>
      <c r="K233" s="123" t="s">
        <v>497</v>
      </c>
      <c r="L233" s="123" t="s">
        <v>498</v>
      </c>
      <c r="M233" s="125">
        <v>46127.0</v>
      </c>
      <c r="N233" s="123" t="s">
        <v>499</v>
      </c>
      <c r="O233" s="123">
        <v>9158398.0</v>
      </c>
      <c r="P233" s="125">
        <v>46090.0</v>
      </c>
      <c r="Q233" s="123" t="s">
        <v>500</v>
      </c>
      <c r="R233" s="123">
        <v>35671.0</v>
      </c>
      <c r="S233" s="123" t="s">
        <v>501</v>
      </c>
      <c r="T233" s="123" t="s">
        <v>502</v>
      </c>
      <c r="U233" s="123" t="s">
        <v>503</v>
      </c>
      <c r="V233" s="122" t="s">
        <v>504</v>
      </c>
      <c r="W233" s="124"/>
      <c r="X233" s="123">
        <v>1070.76</v>
      </c>
      <c r="Y233" s="123">
        <v>1.0</v>
      </c>
      <c r="Z233" s="123">
        <v>1070.76</v>
      </c>
      <c r="AA233" s="123" t="s">
        <v>157</v>
      </c>
      <c r="AB233" s="123" t="s">
        <v>499</v>
      </c>
      <c r="AC233" s="125">
        <v>46121.0</v>
      </c>
      <c r="AD233" s="123" t="s">
        <v>505</v>
      </c>
      <c r="AE233" s="123">
        <v>3.819001E7</v>
      </c>
      <c r="AF233" s="123" t="s">
        <v>704</v>
      </c>
      <c r="AG233" s="124"/>
      <c r="AH233" s="124"/>
      <c r="AI233" s="123">
        <v>1070.76</v>
      </c>
      <c r="AJ233" s="123" t="s">
        <v>159</v>
      </c>
      <c r="AK233" s="123">
        <v>18.0</v>
      </c>
      <c r="AL233" s="123">
        <v>0.0</v>
      </c>
      <c r="AM233" s="123">
        <v>0.0</v>
      </c>
      <c r="AN233" s="123">
        <v>192.74</v>
      </c>
      <c r="AO233" s="123">
        <v>0.0</v>
      </c>
      <c r="AP233" s="123">
        <v>0.0</v>
      </c>
      <c r="AQ233" s="123">
        <v>0.0</v>
      </c>
      <c r="AR233" s="123">
        <v>0.0</v>
      </c>
      <c r="AS233" s="123">
        <v>0.0</v>
      </c>
      <c r="AT233" s="123">
        <v>0.0</v>
      </c>
      <c r="AU233" s="124"/>
      <c r="AV233" s="124"/>
      <c r="AW233" s="123">
        <v>0.0</v>
      </c>
      <c r="AX233" s="122">
        <v>1263.5</v>
      </c>
      <c r="AY233" s="123" t="s">
        <v>31</v>
      </c>
      <c r="AZ233" s="123" t="s">
        <v>31</v>
      </c>
      <c r="BA233" s="123" t="s">
        <v>507</v>
      </c>
      <c r="BB233" s="123">
        <v>1.126100105E9</v>
      </c>
      <c r="BC233" s="123" t="s">
        <v>508</v>
      </c>
      <c r="BD233" s="123" t="s">
        <v>509</v>
      </c>
      <c r="BE233" s="124"/>
      <c r="BF233" s="124" t="s">
        <v>484</v>
      </c>
      <c r="BG233" s="124" t="s">
        <v>482</v>
      </c>
      <c r="BH233" s="123" t="s">
        <v>510</v>
      </c>
      <c r="BI233" s="171" t="s">
        <v>511</v>
      </c>
      <c r="BJ233" s="171" t="s">
        <v>512</v>
      </c>
      <c r="BK233" s="171" t="s">
        <v>513</v>
      </c>
      <c r="BL233" s="171">
        <v>2673.0</v>
      </c>
      <c r="BM233" s="171">
        <v>38182.88</v>
      </c>
      <c r="BN233" s="171">
        <v>-35510.0</v>
      </c>
      <c r="BO233" s="171" t="s">
        <v>514</v>
      </c>
      <c r="BP233" s="171">
        <v>9158398.0</v>
      </c>
      <c r="BQ233" s="171" t="s">
        <v>484</v>
      </c>
      <c r="BR233" s="171" t="s">
        <v>479</v>
      </c>
      <c r="BS233" s="171">
        <v>37.0</v>
      </c>
    </row>
    <row r="234" ht="14.25" customHeight="1">
      <c r="A234" s="122" t="s">
        <v>493</v>
      </c>
      <c r="B234" s="123" t="s">
        <v>494</v>
      </c>
      <c r="C234" s="123">
        <v>107.0</v>
      </c>
      <c r="D234" s="123" t="s">
        <v>146</v>
      </c>
      <c r="E234" s="123" t="s">
        <v>147</v>
      </c>
      <c r="F234" s="124"/>
      <c r="G234" s="123" t="s">
        <v>149</v>
      </c>
      <c r="H234" s="123" t="s">
        <v>2</v>
      </c>
      <c r="I234" s="123" t="s">
        <v>495</v>
      </c>
      <c r="J234" s="123" t="s">
        <v>496</v>
      </c>
      <c r="K234" s="123" t="s">
        <v>497</v>
      </c>
      <c r="L234" s="123" t="s">
        <v>498</v>
      </c>
      <c r="M234" s="125">
        <v>46127.0</v>
      </c>
      <c r="N234" s="123" t="s">
        <v>499</v>
      </c>
      <c r="O234" s="123">
        <v>9158398.0</v>
      </c>
      <c r="P234" s="125">
        <v>46090.0</v>
      </c>
      <c r="Q234" s="123" t="s">
        <v>500</v>
      </c>
      <c r="R234" s="123">
        <v>35671.0</v>
      </c>
      <c r="S234" s="123" t="s">
        <v>501</v>
      </c>
      <c r="T234" s="123" t="s">
        <v>502</v>
      </c>
      <c r="U234" s="123" t="s">
        <v>503</v>
      </c>
      <c r="V234" s="122" t="s">
        <v>504</v>
      </c>
      <c r="W234" s="124"/>
      <c r="X234" s="123">
        <v>275.0</v>
      </c>
      <c r="Y234" s="123">
        <v>17.0</v>
      </c>
      <c r="Z234" s="123">
        <v>4675.0</v>
      </c>
      <c r="AA234" s="123" t="s">
        <v>157</v>
      </c>
      <c r="AB234" s="123" t="s">
        <v>499</v>
      </c>
      <c r="AC234" s="125">
        <v>46121.0</v>
      </c>
      <c r="AD234" s="123" t="s">
        <v>505</v>
      </c>
      <c r="AE234" s="123">
        <v>998729.0</v>
      </c>
      <c r="AF234" s="123" t="s">
        <v>945</v>
      </c>
      <c r="AG234" s="124"/>
      <c r="AH234" s="124"/>
      <c r="AI234" s="123">
        <v>4675.0</v>
      </c>
      <c r="AJ234" s="123" t="s">
        <v>159</v>
      </c>
      <c r="AK234" s="123">
        <v>18.0</v>
      </c>
      <c r="AL234" s="123">
        <v>0.0</v>
      </c>
      <c r="AM234" s="123">
        <v>0.0</v>
      </c>
      <c r="AN234" s="123">
        <v>841.5</v>
      </c>
      <c r="AO234" s="123">
        <v>0.0</v>
      </c>
      <c r="AP234" s="123">
        <v>0.0</v>
      </c>
      <c r="AQ234" s="123">
        <v>0.0</v>
      </c>
      <c r="AR234" s="123">
        <v>0.0</v>
      </c>
      <c r="AS234" s="123">
        <v>0.0</v>
      </c>
      <c r="AT234" s="123">
        <v>0.0</v>
      </c>
      <c r="AU234" s="124"/>
      <c r="AV234" s="124"/>
      <c r="AW234" s="123">
        <v>0.0</v>
      </c>
      <c r="AX234" s="122">
        <v>5516.5</v>
      </c>
      <c r="AY234" s="123" t="s">
        <v>31</v>
      </c>
      <c r="AZ234" s="123" t="s">
        <v>31</v>
      </c>
      <c r="BA234" s="123" t="s">
        <v>507</v>
      </c>
      <c r="BB234" s="123">
        <v>1.126100105E9</v>
      </c>
      <c r="BC234" s="123" t="s">
        <v>508</v>
      </c>
      <c r="BD234" s="123" t="s">
        <v>509</v>
      </c>
      <c r="BE234" s="124"/>
      <c r="BF234" s="124" t="s">
        <v>484</v>
      </c>
      <c r="BG234" s="124" t="s">
        <v>482</v>
      </c>
      <c r="BH234" s="123" t="s">
        <v>510</v>
      </c>
      <c r="BI234" s="171" t="s">
        <v>511</v>
      </c>
      <c r="BJ234" s="171" t="s">
        <v>512</v>
      </c>
      <c r="BK234" s="171" t="s">
        <v>519</v>
      </c>
      <c r="BL234" s="171">
        <v>79.2</v>
      </c>
      <c r="BM234" s="171">
        <v>36494.74</v>
      </c>
      <c r="BN234" s="171">
        <v>-36416.0</v>
      </c>
      <c r="BO234" s="171" t="s">
        <v>514</v>
      </c>
      <c r="BP234" s="171">
        <v>9174963.0</v>
      </c>
      <c r="BQ234" s="171" t="s">
        <v>484</v>
      </c>
      <c r="BR234" s="171" t="s">
        <v>479</v>
      </c>
      <c r="BS234" s="171">
        <v>36.0</v>
      </c>
    </row>
    <row r="235" ht="14.25" customHeight="1">
      <c r="A235" s="122" t="s">
        <v>493</v>
      </c>
      <c r="B235" s="123" t="s">
        <v>494</v>
      </c>
      <c r="C235" s="123">
        <v>107.0</v>
      </c>
      <c r="D235" s="123" t="s">
        <v>146</v>
      </c>
      <c r="E235" s="123" t="s">
        <v>147</v>
      </c>
      <c r="F235" s="124"/>
      <c r="G235" s="124" t="s">
        <v>149</v>
      </c>
      <c r="H235" s="123" t="s">
        <v>2</v>
      </c>
      <c r="I235" s="123" t="s">
        <v>495</v>
      </c>
      <c r="J235" s="123" t="s">
        <v>496</v>
      </c>
      <c r="K235" s="123" t="s">
        <v>497</v>
      </c>
      <c r="L235" s="123" t="s">
        <v>498</v>
      </c>
      <c r="M235" s="125">
        <v>46127.0</v>
      </c>
      <c r="N235" s="123" t="s">
        <v>499</v>
      </c>
      <c r="O235" s="123">
        <v>9158398.0</v>
      </c>
      <c r="P235" s="125">
        <v>46090.0</v>
      </c>
      <c r="Q235" s="123" t="s">
        <v>500</v>
      </c>
      <c r="R235" s="123">
        <v>35671.0</v>
      </c>
      <c r="S235" s="123" t="s">
        <v>501</v>
      </c>
      <c r="T235" s="123" t="s">
        <v>502</v>
      </c>
      <c r="U235" s="123" t="s">
        <v>503</v>
      </c>
      <c r="V235" s="122" t="s">
        <v>504</v>
      </c>
      <c r="W235" s="124"/>
      <c r="X235" s="123">
        <v>275.0</v>
      </c>
      <c r="Y235" s="123">
        <v>2.0</v>
      </c>
      <c r="Z235" s="123">
        <v>550.0</v>
      </c>
      <c r="AA235" s="123" t="s">
        <v>157</v>
      </c>
      <c r="AB235" s="123" t="s">
        <v>499</v>
      </c>
      <c r="AC235" s="125">
        <v>46121.0</v>
      </c>
      <c r="AD235" s="123" t="s">
        <v>505</v>
      </c>
      <c r="AE235" s="123">
        <v>998729.0</v>
      </c>
      <c r="AF235" s="123" t="s">
        <v>922</v>
      </c>
      <c r="AG235" s="124"/>
      <c r="AH235" s="124"/>
      <c r="AI235" s="123">
        <v>550.0</v>
      </c>
      <c r="AJ235" s="123" t="s">
        <v>159</v>
      </c>
      <c r="AK235" s="123">
        <v>18.0</v>
      </c>
      <c r="AL235" s="123">
        <v>0.0</v>
      </c>
      <c r="AM235" s="123">
        <v>0.0</v>
      </c>
      <c r="AN235" s="123">
        <v>99.0</v>
      </c>
      <c r="AO235" s="123">
        <v>0.0</v>
      </c>
      <c r="AP235" s="123">
        <v>0.0</v>
      </c>
      <c r="AQ235" s="123">
        <v>0.0</v>
      </c>
      <c r="AR235" s="123">
        <v>0.0</v>
      </c>
      <c r="AS235" s="123">
        <v>0.0</v>
      </c>
      <c r="AT235" s="123">
        <v>0.0</v>
      </c>
      <c r="AU235" s="124"/>
      <c r="AV235" s="124"/>
      <c r="AW235" s="123">
        <v>0.0</v>
      </c>
      <c r="AX235" s="122">
        <v>649.0</v>
      </c>
      <c r="AY235" s="123" t="s">
        <v>31</v>
      </c>
      <c r="AZ235" s="123" t="s">
        <v>31</v>
      </c>
      <c r="BA235" s="123" t="s">
        <v>507</v>
      </c>
      <c r="BB235" s="123">
        <v>1.126100105E9</v>
      </c>
      <c r="BC235" s="123" t="s">
        <v>508</v>
      </c>
      <c r="BD235" s="123" t="s">
        <v>509</v>
      </c>
      <c r="BE235" s="124"/>
      <c r="BF235" s="124" t="s">
        <v>484</v>
      </c>
      <c r="BG235" s="124" t="s">
        <v>482</v>
      </c>
      <c r="BH235" s="123" t="s">
        <v>510</v>
      </c>
      <c r="BI235" s="171" t="s">
        <v>511</v>
      </c>
      <c r="BJ235" s="171" t="s">
        <v>512</v>
      </c>
      <c r="BK235" s="171" t="s">
        <v>893</v>
      </c>
      <c r="BL235" s="171">
        <v>1176.0</v>
      </c>
      <c r="BM235" s="171">
        <v>1647.0</v>
      </c>
      <c r="BN235" s="171">
        <v>-471.0</v>
      </c>
      <c r="BO235" s="171" t="s">
        <v>514</v>
      </c>
      <c r="BP235" s="171">
        <v>9156871.0</v>
      </c>
      <c r="BQ235" s="171" t="s">
        <v>484</v>
      </c>
      <c r="BR235" s="171" t="s">
        <v>479</v>
      </c>
      <c r="BS235" s="171">
        <v>3.0</v>
      </c>
    </row>
    <row r="236" ht="14.25" customHeight="1">
      <c r="A236" s="122" t="s">
        <v>493</v>
      </c>
      <c r="B236" s="123" t="s">
        <v>494</v>
      </c>
      <c r="C236" s="123">
        <v>107.0</v>
      </c>
      <c r="D236" s="123" t="s">
        <v>146</v>
      </c>
      <c r="E236" s="123" t="s">
        <v>147</v>
      </c>
      <c r="F236" s="124"/>
      <c r="G236" s="123" t="s">
        <v>149</v>
      </c>
      <c r="H236" s="123" t="s">
        <v>2</v>
      </c>
      <c r="I236" s="123" t="s">
        <v>495</v>
      </c>
      <c r="J236" s="123" t="s">
        <v>496</v>
      </c>
      <c r="K236" s="123" t="s">
        <v>497</v>
      </c>
      <c r="L236" s="123" t="s">
        <v>498</v>
      </c>
      <c r="M236" s="125">
        <v>46140.0</v>
      </c>
      <c r="N236" s="123" t="s">
        <v>516</v>
      </c>
      <c r="O236" s="123">
        <v>9174963.0</v>
      </c>
      <c r="P236" s="125">
        <v>46129.0</v>
      </c>
      <c r="Q236" s="123" t="s">
        <v>500</v>
      </c>
      <c r="R236" s="123">
        <v>35671.0</v>
      </c>
      <c r="S236" s="123" t="s">
        <v>501</v>
      </c>
      <c r="T236" s="123" t="s">
        <v>502</v>
      </c>
      <c r="U236" s="123" t="s">
        <v>503</v>
      </c>
      <c r="V236" s="122" t="s">
        <v>504</v>
      </c>
      <c r="W236" s="124"/>
      <c r="X236" s="123">
        <v>910.17</v>
      </c>
      <c r="Y236" s="123">
        <v>10.0</v>
      </c>
      <c r="Z236" s="123">
        <v>9101.7</v>
      </c>
      <c r="AA236" s="123" t="s">
        <v>157</v>
      </c>
      <c r="AB236" s="123" t="s">
        <v>516</v>
      </c>
      <c r="AC236" s="125">
        <v>46129.0</v>
      </c>
      <c r="AD236" s="123" t="s">
        <v>505</v>
      </c>
      <c r="AE236" s="123">
        <v>3.8119E7</v>
      </c>
      <c r="AF236" s="123" t="s">
        <v>793</v>
      </c>
      <c r="AG236" s="124"/>
      <c r="AH236" s="124"/>
      <c r="AI236" s="123">
        <v>9101.7</v>
      </c>
      <c r="AJ236" s="123" t="s">
        <v>159</v>
      </c>
      <c r="AK236" s="123">
        <v>18.0</v>
      </c>
      <c r="AL236" s="123">
        <v>0.0</v>
      </c>
      <c r="AM236" s="123">
        <v>0.0</v>
      </c>
      <c r="AN236" s="123">
        <v>1638.31</v>
      </c>
      <c r="AO236" s="123">
        <v>0.0</v>
      </c>
      <c r="AP236" s="123">
        <v>0.0</v>
      </c>
      <c r="AQ236" s="123">
        <v>0.0</v>
      </c>
      <c r="AR236" s="123">
        <v>0.0</v>
      </c>
      <c r="AS236" s="123">
        <v>0.0</v>
      </c>
      <c r="AT236" s="123">
        <v>0.0</v>
      </c>
      <c r="AU236" s="124"/>
      <c r="AV236" s="124"/>
      <c r="AW236" s="123">
        <v>0.0</v>
      </c>
      <c r="AX236" s="122">
        <v>10740.01</v>
      </c>
      <c r="AY236" s="123" t="s">
        <v>31</v>
      </c>
      <c r="AZ236" s="123" t="s">
        <v>31</v>
      </c>
      <c r="BA236" s="123" t="s">
        <v>518</v>
      </c>
      <c r="BB236" s="123">
        <v>1.126100446E9</v>
      </c>
      <c r="BC236" s="123" t="s">
        <v>508</v>
      </c>
      <c r="BD236" s="123" t="s">
        <v>509</v>
      </c>
      <c r="BE236" s="124"/>
      <c r="BF236" s="124" t="s">
        <v>484</v>
      </c>
      <c r="BG236" s="124" t="s">
        <v>482</v>
      </c>
      <c r="BH236" s="123" t="s">
        <v>510</v>
      </c>
      <c r="BI236" s="171" t="s">
        <v>511</v>
      </c>
      <c r="BJ236" s="171" t="s">
        <v>512</v>
      </c>
      <c r="BK236" s="171" t="s">
        <v>513</v>
      </c>
      <c r="BL236" s="171">
        <v>594.0</v>
      </c>
      <c r="BM236" s="171">
        <v>38182.88</v>
      </c>
      <c r="BN236" s="171">
        <v>-37589.0</v>
      </c>
      <c r="BO236" s="171" t="s">
        <v>514</v>
      </c>
      <c r="BP236" s="171">
        <v>9158398.0</v>
      </c>
      <c r="BQ236" s="171" t="s">
        <v>484</v>
      </c>
      <c r="BR236" s="171" t="s">
        <v>479</v>
      </c>
      <c r="BS236" s="171">
        <v>37.0</v>
      </c>
    </row>
    <row r="237" ht="14.25" customHeight="1">
      <c r="A237" s="122" t="s">
        <v>493</v>
      </c>
      <c r="B237" s="123" t="s">
        <v>494</v>
      </c>
      <c r="C237" s="123">
        <v>107.0</v>
      </c>
      <c r="D237" s="123" t="s">
        <v>146</v>
      </c>
      <c r="E237" s="123" t="s">
        <v>147</v>
      </c>
      <c r="F237" s="124"/>
      <c r="G237" s="123" t="s">
        <v>149</v>
      </c>
      <c r="H237" s="123" t="s">
        <v>2</v>
      </c>
      <c r="I237" s="123" t="s">
        <v>495</v>
      </c>
      <c r="J237" s="123" t="s">
        <v>496</v>
      </c>
      <c r="K237" s="123" t="s">
        <v>497</v>
      </c>
      <c r="L237" s="123" t="s">
        <v>498</v>
      </c>
      <c r="M237" s="125">
        <v>46127.0</v>
      </c>
      <c r="N237" s="123" t="s">
        <v>520</v>
      </c>
      <c r="O237" s="123">
        <v>9156749.0</v>
      </c>
      <c r="P237" s="125">
        <v>46115.0</v>
      </c>
      <c r="Q237" s="123" t="s">
        <v>500</v>
      </c>
      <c r="R237" s="123">
        <v>6262.0</v>
      </c>
      <c r="S237" s="123" t="s">
        <v>521</v>
      </c>
      <c r="T237" s="123" t="s">
        <v>522</v>
      </c>
      <c r="U237" s="123" t="s">
        <v>523</v>
      </c>
      <c r="V237" s="122" t="s">
        <v>504</v>
      </c>
      <c r="W237" s="124"/>
      <c r="X237" s="123">
        <v>1.0</v>
      </c>
      <c r="Y237" s="123">
        <v>3133.48</v>
      </c>
      <c r="Z237" s="123">
        <v>3133.48</v>
      </c>
      <c r="AA237" s="123" t="s">
        <v>157</v>
      </c>
      <c r="AB237" s="123" t="s">
        <v>524</v>
      </c>
      <c r="AC237" s="125">
        <v>46115.0</v>
      </c>
      <c r="AD237" s="123" t="s">
        <v>525</v>
      </c>
      <c r="AE237" s="123">
        <v>998413.0</v>
      </c>
      <c r="AF237" s="123" t="s">
        <v>526</v>
      </c>
      <c r="AG237" s="124"/>
      <c r="AH237" s="124"/>
      <c r="AI237" s="123">
        <v>3133.48</v>
      </c>
      <c r="AJ237" s="123" t="s">
        <v>159</v>
      </c>
      <c r="AK237" s="123">
        <v>18.0</v>
      </c>
      <c r="AL237" s="123">
        <v>282.01</v>
      </c>
      <c r="AM237" s="123">
        <v>282.01</v>
      </c>
      <c r="AN237" s="123">
        <v>0.0</v>
      </c>
      <c r="AO237" s="123">
        <v>0.0</v>
      </c>
      <c r="AP237" s="123">
        <v>0.0</v>
      </c>
      <c r="AQ237" s="123">
        <v>0.0</v>
      </c>
      <c r="AR237" s="123">
        <v>0.0</v>
      </c>
      <c r="AS237" s="123">
        <v>0.0</v>
      </c>
      <c r="AT237" s="123">
        <v>0.0</v>
      </c>
      <c r="AU237" s="124"/>
      <c r="AV237" s="124"/>
      <c r="AW237" s="123">
        <v>0.0</v>
      </c>
      <c r="AX237" s="122">
        <v>3697.5</v>
      </c>
      <c r="AY237" s="123" t="s">
        <v>20</v>
      </c>
      <c r="AZ237" s="123" t="s">
        <v>31</v>
      </c>
      <c r="BA237" s="123" t="s">
        <v>527</v>
      </c>
      <c r="BB237" s="123">
        <v>1.126100078E9</v>
      </c>
      <c r="BC237" s="123" t="s">
        <v>187</v>
      </c>
      <c r="BD237" s="123" t="s">
        <v>162</v>
      </c>
      <c r="BE237" s="124"/>
      <c r="BF237" s="124" t="s">
        <v>483</v>
      </c>
      <c r="BG237" s="124" t="s">
        <v>482</v>
      </c>
      <c r="BH237" s="123" t="s">
        <v>510</v>
      </c>
      <c r="BI237" s="171" t="s">
        <v>511</v>
      </c>
      <c r="BJ237" s="171" t="s">
        <v>512</v>
      </c>
      <c r="BK237" s="171" t="s">
        <v>513</v>
      </c>
      <c r="BL237" s="171">
        <v>1485.0</v>
      </c>
      <c r="BM237" s="171">
        <v>38182.88</v>
      </c>
      <c r="BN237" s="171">
        <v>-36698.0</v>
      </c>
      <c r="BO237" s="171" t="s">
        <v>514</v>
      </c>
      <c r="BP237" s="171">
        <v>9158398.0</v>
      </c>
      <c r="BQ237" s="171" t="s">
        <v>484</v>
      </c>
      <c r="BR237" s="171" t="s">
        <v>479</v>
      </c>
      <c r="BS237" s="171">
        <v>37.0</v>
      </c>
    </row>
    <row r="238" ht="14.25" customHeight="1">
      <c r="A238" s="122" t="s">
        <v>493</v>
      </c>
      <c r="B238" s="123" t="s">
        <v>494</v>
      </c>
      <c r="C238" s="123">
        <v>107.0</v>
      </c>
      <c r="D238" s="123" t="s">
        <v>146</v>
      </c>
      <c r="E238" s="123" t="s">
        <v>147</v>
      </c>
      <c r="F238" s="124"/>
      <c r="G238" s="123" t="s">
        <v>149</v>
      </c>
      <c r="H238" s="123" t="s">
        <v>2</v>
      </c>
      <c r="I238" s="123" t="s">
        <v>495</v>
      </c>
      <c r="J238" s="123" t="s">
        <v>528</v>
      </c>
      <c r="K238" s="123" t="s">
        <v>529</v>
      </c>
      <c r="L238" s="123" t="s">
        <v>498</v>
      </c>
      <c r="M238" s="125">
        <v>46127.0</v>
      </c>
      <c r="N238" s="123" t="s">
        <v>910</v>
      </c>
      <c r="O238" s="123">
        <v>9156858.0</v>
      </c>
      <c r="P238" s="125">
        <v>46113.0</v>
      </c>
      <c r="Q238" s="123" t="s">
        <v>500</v>
      </c>
      <c r="R238" s="123">
        <v>2770.0</v>
      </c>
      <c r="S238" s="123" t="s">
        <v>531</v>
      </c>
      <c r="T238" s="123" t="s">
        <v>572</v>
      </c>
      <c r="U238" s="123" t="s">
        <v>573</v>
      </c>
      <c r="V238" s="122" t="s">
        <v>504</v>
      </c>
      <c r="W238" s="124"/>
      <c r="X238" s="123">
        <v>1.0</v>
      </c>
      <c r="Y238" s="123">
        <v>3956.0</v>
      </c>
      <c r="Z238" s="123">
        <v>3956.0</v>
      </c>
      <c r="AA238" s="123" t="s">
        <v>157</v>
      </c>
      <c r="AB238" s="123" t="s">
        <v>910</v>
      </c>
      <c r="AC238" s="125">
        <v>46113.0</v>
      </c>
      <c r="AD238" s="123" t="s">
        <v>593</v>
      </c>
      <c r="AE238" s="123">
        <v>997314.0</v>
      </c>
      <c r="AF238" s="123" t="s">
        <v>725</v>
      </c>
      <c r="AG238" s="124"/>
      <c r="AH238" s="124"/>
      <c r="AI238" s="123">
        <v>3956.0</v>
      </c>
      <c r="AJ238" s="123" t="s">
        <v>159</v>
      </c>
      <c r="AK238" s="123">
        <v>18.0</v>
      </c>
      <c r="AL238" s="123">
        <v>0.0</v>
      </c>
      <c r="AM238" s="123">
        <v>0.0</v>
      </c>
      <c r="AN238" s="123">
        <v>0.0</v>
      </c>
      <c r="AO238" s="123">
        <v>0.0</v>
      </c>
      <c r="AP238" s="123">
        <v>0.0</v>
      </c>
      <c r="AQ238" s="123">
        <v>0.0</v>
      </c>
      <c r="AR238" s="123">
        <v>0.0</v>
      </c>
      <c r="AS238" s="123">
        <v>0.0</v>
      </c>
      <c r="AT238" s="123">
        <v>0.0</v>
      </c>
      <c r="AU238" s="124"/>
      <c r="AV238" s="124"/>
      <c r="AW238" s="123">
        <v>0.0</v>
      </c>
      <c r="AX238" s="122">
        <v>3956.0</v>
      </c>
      <c r="AY238" s="123" t="s">
        <v>20</v>
      </c>
      <c r="AZ238" s="123" t="s">
        <v>31</v>
      </c>
      <c r="BA238" s="123" t="s">
        <v>575</v>
      </c>
      <c r="BB238" s="123">
        <v>1.126100087E9</v>
      </c>
      <c r="BC238" s="123" t="s">
        <v>161</v>
      </c>
      <c r="BD238" s="123" t="s">
        <v>162</v>
      </c>
      <c r="BE238" s="124"/>
      <c r="BF238" s="124" t="s">
        <v>483</v>
      </c>
      <c r="BG238" s="124" t="s">
        <v>482</v>
      </c>
      <c r="BH238" s="123" t="s">
        <v>510</v>
      </c>
      <c r="BI238" s="171" t="s">
        <v>511</v>
      </c>
      <c r="BJ238" s="171" t="s">
        <v>512</v>
      </c>
      <c r="BK238" s="171" t="s">
        <v>519</v>
      </c>
      <c r="BL238" s="171">
        <v>1188.0</v>
      </c>
      <c r="BM238" s="171">
        <v>36494.74</v>
      </c>
      <c r="BN238" s="171">
        <v>-35307.0</v>
      </c>
      <c r="BO238" s="171" t="s">
        <v>514</v>
      </c>
      <c r="BP238" s="171">
        <v>9174963.0</v>
      </c>
      <c r="BQ238" s="171" t="s">
        <v>484</v>
      </c>
      <c r="BR238" s="171" t="s">
        <v>479</v>
      </c>
      <c r="BS238" s="171">
        <v>36.0</v>
      </c>
    </row>
    <row r="239" ht="14.25" customHeight="1">
      <c r="A239" s="122" t="s">
        <v>493</v>
      </c>
      <c r="B239" s="123" t="s">
        <v>494</v>
      </c>
      <c r="C239" s="123">
        <v>107.0</v>
      </c>
      <c r="D239" s="123" t="s">
        <v>146</v>
      </c>
      <c r="E239" s="123" t="s">
        <v>147</v>
      </c>
      <c r="F239" s="124"/>
      <c r="G239" s="123" t="s">
        <v>149</v>
      </c>
      <c r="H239" s="123" t="s">
        <v>2</v>
      </c>
      <c r="I239" s="123" t="s">
        <v>495</v>
      </c>
      <c r="J239" s="123" t="s">
        <v>528</v>
      </c>
      <c r="K239" s="123" t="s">
        <v>529</v>
      </c>
      <c r="L239" s="123" t="s">
        <v>498</v>
      </c>
      <c r="M239" s="125">
        <v>46127.0</v>
      </c>
      <c r="N239" s="123" t="s">
        <v>946</v>
      </c>
      <c r="O239" s="123">
        <v>9156865.0</v>
      </c>
      <c r="P239" s="125">
        <v>46113.0</v>
      </c>
      <c r="Q239" s="123" t="s">
        <v>500</v>
      </c>
      <c r="R239" s="123">
        <v>2770.0</v>
      </c>
      <c r="S239" s="123" t="s">
        <v>531</v>
      </c>
      <c r="T239" s="123" t="s">
        <v>572</v>
      </c>
      <c r="U239" s="123" t="s">
        <v>573</v>
      </c>
      <c r="V239" s="122" t="s">
        <v>504</v>
      </c>
      <c r="W239" s="124"/>
      <c r="X239" s="123">
        <v>1.0</v>
      </c>
      <c r="Y239" s="123">
        <v>4365.0</v>
      </c>
      <c r="Z239" s="123">
        <v>4365.0</v>
      </c>
      <c r="AA239" s="123" t="s">
        <v>157</v>
      </c>
      <c r="AB239" s="123" t="s">
        <v>946</v>
      </c>
      <c r="AC239" s="125">
        <v>46113.0</v>
      </c>
      <c r="AD239" s="123" t="s">
        <v>505</v>
      </c>
      <c r="AE239" s="123">
        <v>997314.0</v>
      </c>
      <c r="AF239" s="123" t="s">
        <v>683</v>
      </c>
      <c r="AG239" s="124"/>
      <c r="AH239" s="124"/>
      <c r="AI239" s="123">
        <v>4365.0</v>
      </c>
      <c r="AJ239" s="123" t="s">
        <v>159</v>
      </c>
      <c r="AK239" s="123">
        <v>18.0</v>
      </c>
      <c r="AL239" s="123">
        <v>0.0</v>
      </c>
      <c r="AM239" s="123">
        <v>0.0</v>
      </c>
      <c r="AN239" s="123">
        <v>785.7</v>
      </c>
      <c r="AO239" s="123">
        <v>0.0</v>
      </c>
      <c r="AP239" s="123">
        <v>0.0</v>
      </c>
      <c r="AQ239" s="123">
        <v>0.0</v>
      </c>
      <c r="AR239" s="123">
        <v>0.0</v>
      </c>
      <c r="AS239" s="123">
        <v>0.0</v>
      </c>
      <c r="AT239" s="123">
        <v>0.0</v>
      </c>
      <c r="AU239" s="124"/>
      <c r="AV239" s="124"/>
      <c r="AW239" s="123">
        <v>0.0</v>
      </c>
      <c r="AX239" s="122">
        <v>5150.7</v>
      </c>
      <c r="AY239" s="123" t="s">
        <v>20</v>
      </c>
      <c r="AZ239" s="123" t="s">
        <v>31</v>
      </c>
      <c r="BA239" s="123" t="s">
        <v>726</v>
      </c>
      <c r="BB239" s="123">
        <v>1.126100094E9</v>
      </c>
      <c r="BC239" s="123" t="s">
        <v>161</v>
      </c>
      <c r="BD239" s="123" t="s">
        <v>162</v>
      </c>
      <c r="BE239" s="124"/>
      <c r="BF239" s="124" t="s">
        <v>483</v>
      </c>
      <c r="BG239" s="124" t="s">
        <v>482</v>
      </c>
      <c r="BH239" s="123" t="s">
        <v>510</v>
      </c>
      <c r="BI239" s="171" t="s">
        <v>511</v>
      </c>
      <c r="BJ239" s="171" t="s">
        <v>512</v>
      </c>
      <c r="BK239" s="171" t="s">
        <v>480</v>
      </c>
      <c r="BL239" s="171">
        <v>502.74</v>
      </c>
      <c r="BM239" s="171">
        <v>8534.42</v>
      </c>
      <c r="BN239" s="171">
        <v>-8032.0</v>
      </c>
      <c r="BO239" s="171" t="s">
        <v>514</v>
      </c>
      <c r="BP239" s="171">
        <v>9156749.0</v>
      </c>
      <c r="BQ239" s="171" t="s">
        <v>483</v>
      </c>
      <c r="BR239" s="171" t="s">
        <v>479</v>
      </c>
      <c r="BS239" s="171">
        <v>17.0</v>
      </c>
    </row>
    <row r="240" ht="14.25" customHeight="1">
      <c r="A240" s="122" t="s">
        <v>493</v>
      </c>
      <c r="B240" s="123" t="s">
        <v>494</v>
      </c>
      <c r="C240" s="123">
        <v>107.0</v>
      </c>
      <c r="D240" s="123" t="s">
        <v>146</v>
      </c>
      <c r="E240" s="123" t="s">
        <v>147</v>
      </c>
      <c r="F240" s="124"/>
      <c r="G240" s="124"/>
      <c r="H240" s="123" t="s">
        <v>2</v>
      </c>
      <c r="I240" s="123" t="s">
        <v>495</v>
      </c>
      <c r="J240" s="123" t="s">
        <v>528</v>
      </c>
      <c r="K240" s="123" t="s">
        <v>529</v>
      </c>
      <c r="L240" s="123" t="s">
        <v>498</v>
      </c>
      <c r="M240" s="125">
        <v>46127.0</v>
      </c>
      <c r="N240" s="123" t="s">
        <v>915</v>
      </c>
      <c r="O240" s="123">
        <v>9156864.0</v>
      </c>
      <c r="P240" s="125">
        <v>46113.0</v>
      </c>
      <c r="Q240" s="123" t="s">
        <v>500</v>
      </c>
      <c r="R240" s="123">
        <v>2770.0</v>
      </c>
      <c r="S240" s="123" t="s">
        <v>531</v>
      </c>
      <c r="T240" s="123" t="s">
        <v>572</v>
      </c>
      <c r="U240" s="123" t="s">
        <v>573</v>
      </c>
      <c r="V240" s="122" t="s">
        <v>504</v>
      </c>
      <c r="W240" s="124"/>
      <c r="X240" s="123">
        <v>1.0</v>
      </c>
      <c r="Y240" s="123">
        <v>3538.0</v>
      </c>
      <c r="Z240" s="123">
        <v>3538.0</v>
      </c>
      <c r="AA240" s="123" t="s">
        <v>157</v>
      </c>
      <c r="AB240" s="123" t="s">
        <v>915</v>
      </c>
      <c r="AC240" s="125">
        <v>46113.0</v>
      </c>
      <c r="AD240" s="123" t="s">
        <v>593</v>
      </c>
      <c r="AE240" s="123">
        <v>997314.0</v>
      </c>
      <c r="AF240" s="123" t="s">
        <v>916</v>
      </c>
      <c r="AG240" s="124"/>
      <c r="AH240" s="124"/>
      <c r="AI240" s="123">
        <v>3538.0</v>
      </c>
      <c r="AJ240" s="123" t="s">
        <v>159</v>
      </c>
      <c r="AK240" s="123">
        <v>18.0</v>
      </c>
      <c r="AL240" s="123">
        <v>0.0</v>
      </c>
      <c r="AM240" s="123">
        <v>0.0</v>
      </c>
      <c r="AN240" s="123">
        <v>0.0</v>
      </c>
      <c r="AO240" s="123">
        <v>0.0</v>
      </c>
      <c r="AP240" s="123">
        <v>0.0</v>
      </c>
      <c r="AQ240" s="123">
        <v>0.0</v>
      </c>
      <c r="AR240" s="123">
        <v>0.0</v>
      </c>
      <c r="AS240" s="123">
        <v>0.0</v>
      </c>
      <c r="AT240" s="123">
        <v>0.0</v>
      </c>
      <c r="AU240" s="124"/>
      <c r="AV240" s="124"/>
      <c r="AW240" s="123">
        <v>0.0</v>
      </c>
      <c r="AX240" s="122">
        <v>3538.0</v>
      </c>
      <c r="AY240" s="123" t="s">
        <v>20</v>
      </c>
      <c r="AZ240" s="123" t="s">
        <v>31</v>
      </c>
      <c r="BA240" s="123" t="s">
        <v>817</v>
      </c>
      <c r="BB240" s="123">
        <v>1.126100093E9</v>
      </c>
      <c r="BC240" s="123" t="s">
        <v>161</v>
      </c>
      <c r="BD240" s="123" t="s">
        <v>162</v>
      </c>
      <c r="BE240" s="124"/>
      <c r="BF240" s="124" t="s">
        <v>483</v>
      </c>
      <c r="BG240" s="124" t="s">
        <v>482</v>
      </c>
      <c r="BH240" s="123" t="s">
        <v>510</v>
      </c>
      <c r="BI240" s="171" t="s">
        <v>511</v>
      </c>
      <c r="BJ240" s="171" t="s">
        <v>512</v>
      </c>
      <c r="BK240" s="171" t="s">
        <v>784</v>
      </c>
      <c r="BL240" s="171">
        <v>1170.0</v>
      </c>
      <c r="BM240" s="171">
        <v>28440.0</v>
      </c>
      <c r="BN240" s="171">
        <v>-27270.0</v>
      </c>
      <c r="BO240" s="171" t="s">
        <v>514</v>
      </c>
      <c r="BP240" s="171">
        <v>9168297.0</v>
      </c>
      <c r="BQ240" s="171" t="s">
        <v>483</v>
      </c>
      <c r="BR240" s="171" t="s">
        <v>479</v>
      </c>
      <c r="BS240" s="171">
        <v>3.0</v>
      </c>
    </row>
    <row r="241" ht="14.25" customHeight="1">
      <c r="A241" s="122" t="s">
        <v>493</v>
      </c>
      <c r="B241" s="123" t="s">
        <v>494</v>
      </c>
      <c r="C241" s="123">
        <v>107.0</v>
      </c>
      <c r="D241" s="123" t="s">
        <v>146</v>
      </c>
      <c r="E241" s="123" t="s">
        <v>147</v>
      </c>
      <c r="F241" s="124"/>
      <c r="G241" s="124"/>
      <c r="H241" s="123" t="s">
        <v>2</v>
      </c>
      <c r="I241" s="123" t="s">
        <v>495</v>
      </c>
      <c r="J241" s="123" t="s">
        <v>528</v>
      </c>
      <c r="K241" s="123" t="s">
        <v>529</v>
      </c>
      <c r="L241" s="123" t="s">
        <v>498</v>
      </c>
      <c r="M241" s="125">
        <v>46139.0</v>
      </c>
      <c r="N241" s="123" t="s">
        <v>818</v>
      </c>
      <c r="O241" s="123">
        <v>9172688.0</v>
      </c>
      <c r="P241" s="125">
        <v>46129.0</v>
      </c>
      <c r="Q241" s="123" t="s">
        <v>500</v>
      </c>
      <c r="R241" s="123">
        <v>25119.0</v>
      </c>
      <c r="S241" s="123" t="s">
        <v>558</v>
      </c>
      <c r="T241" s="123" t="s">
        <v>539</v>
      </c>
      <c r="U241" s="123" t="s">
        <v>559</v>
      </c>
      <c r="V241" s="122" t="s">
        <v>504</v>
      </c>
      <c r="W241" s="124"/>
      <c r="X241" s="123">
        <v>1.0</v>
      </c>
      <c r="Y241" s="123">
        <v>2837.25</v>
      </c>
      <c r="Z241" s="123">
        <v>-221.76</v>
      </c>
      <c r="AA241" s="123" t="s">
        <v>157</v>
      </c>
      <c r="AB241" s="123" t="s">
        <v>818</v>
      </c>
      <c r="AC241" s="125">
        <v>46129.0</v>
      </c>
      <c r="AD241" s="123" t="s">
        <v>525</v>
      </c>
      <c r="AE241" s="123">
        <v>998712.0</v>
      </c>
      <c r="AF241" s="123" t="s">
        <v>947</v>
      </c>
      <c r="AG241" s="124"/>
      <c r="AH241" s="124"/>
      <c r="AI241" s="123">
        <v>-221.76</v>
      </c>
      <c r="AJ241" s="123" t="s">
        <v>159</v>
      </c>
      <c r="AK241" s="123">
        <v>0.0</v>
      </c>
      <c r="AL241" s="123">
        <v>0.0</v>
      </c>
      <c r="AM241" s="123">
        <v>0.0</v>
      </c>
      <c r="AN241" s="123">
        <v>0.0</v>
      </c>
      <c r="AO241" s="123">
        <v>0.0</v>
      </c>
      <c r="AP241" s="123">
        <v>0.0</v>
      </c>
      <c r="AQ241" s="123">
        <v>0.0</v>
      </c>
      <c r="AR241" s="123">
        <v>0.0</v>
      </c>
      <c r="AS241" s="123">
        <v>0.0</v>
      </c>
      <c r="AT241" s="123">
        <v>0.0</v>
      </c>
      <c r="AU241" s="124"/>
      <c r="AV241" s="124"/>
      <c r="AW241" s="123">
        <v>0.0</v>
      </c>
      <c r="AX241" s="122">
        <v>-221.76</v>
      </c>
      <c r="AY241" s="123" t="s">
        <v>31</v>
      </c>
      <c r="AZ241" s="123" t="s">
        <v>31</v>
      </c>
      <c r="BA241" s="123" t="s">
        <v>710</v>
      </c>
      <c r="BB241" s="123">
        <v>1.126100436E9</v>
      </c>
      <c r="BC241" s="123" t="s">
        <v>649</v>
      </c>
      <c r="BD241" s="123" t="s">
        <v>162</v>
      </c>
      <c r="BE241" s="124"/>
      <c r="BF241" s="124" t="s">
        <v>484</v>
      </c>
      <c r="BG241" s="124" t="s">
        <v>482</v>
      </c>
      <c r="BH241" s="123" t="s">
        <v>510</v>
      </c>
      <c r="BI241" s="171" t="s">
        <v>511</v>
      </c>
      <c r="BJ241" s="171" t="s">
        <v>512</v>
      </c>
      <c r="BK241" s="171" t="s">
        <v>824</v>
      </c>
      <c r="BL241" s="171">
        <v>510.7</v>
      </c>
      <c r="BM241" s="171">
        <v>5341.12</v>
      </c>
      <c r="BN241" s="171">
        <v>-4830.0</v>
      </c>
      <c r="BO241" s="171" t="s">
        <v>514</v>
      </c>
      <c r="BP241" s="171">
        <v>9155619.0</v>
      </c>
      <c r="BQ241" s="171" t="s">
        <v>483</v>
      </c>
      <c r="BR241" s="171" t="s">
        <v>479</v>
      </c>
      <c r="BS241" s="171">
        <v>4.0</v>
      </c>
    </row>
    <row r="242" ht="14.25" customHeight="1">
      <c r="A242" s="122" t="s">
        <v>493</v>
      </c>
      <c r="B242" s="123" t="s">
        <v>494</v>
      </c>
      <c r="C242" s="123">
        <v>107.0</v>
      </c>
      <c r="D242" s="123" t="s">
        <v>146</v>
      </c>
      <c r="E242" s="123" t="s">
        <v>147</v>
      </c>
      <c r="F242" s="124"/>
      <c r="G242" s="124" t="s">
        <v>149</v>
      </c>
      <c r="H242" s="123" t="s">
        <v>2</v>
      </c>
      <c r="I242" s="123" t="s">
        <v>495</v>
      </c>
      <c r="J242" s="123" t="s">
        <v>496</v>
      </c>
      <c r="K242" s="123" t="s">
        <v>497</v>
      </c>
      <c r="L242" s="123" t="s">
        <v>498</v>
      </c>
      <c r="M242" s="125">
        <v>46127.0</v>
      </c>
      <c r="N242" s="123" t="s">
        <v>499</v>
      </c>
      <c r="O242" s="123">
        <v>9158398.0</v>
      </c>
      <c r="P242" s="125">
        <v>46090.0</v>
      </c>
      <c r="Q242" s="123" t="s">
        <v>500</v>
      </c>
      <c r="R242" s="123">
        <v>35671.0</v>
      </c>
      <c r="S242" s="123" t="s">
        <v>501</v>
      </c>
      <c r="T242" s="123" t="s">
        <v>502</v>
      </c>
      <c r="U242" s="123" t="s">
        <v>503</v>
      </c>
      <c r="V242" s="122" t="s">
        <v>504</v>
      </c>
      <c r="W242" s="124"/>
      <c r="X242" s="123">
        <v>275.0</v>
      </c>
      <c r="Y242" s="123">
        <v>7.0</v>
      </c>
      <c r="Z242" s="123">
        <v>1925.0</v>
      </c>
      <c r="AA242" s="123" t="s">
        <v>157</v>
      </c>
      <c r="AB242" s="123" t="s">
        <v>499</v>
      </c>
      <c r="AC242" s="125">
        <v>46121.0</v>
      </c>
      <c r="AD242" s="123" t="s">
        <v>505</v>
      </c>
      <c r="AE242" s="123">
        <v>998729.0</v>
      </c>
      <c r="AF242" s="123" t="s">
        <v>742</v>
      </c>
      <c r="AG242" s="124"/>
      <c r="AH242" s="124"/>
      <c r="AI242" s="123">
        <v>1925.0</v>
      </c>
      <c r="AJ242" s="123" t="s">
        <v>159</v>
      </c>
      <c r="AK242" s="123">
        <v>18.0</v>
      </c>
      <c r="AL242" s="123">
        <v>0.0</v>
      </c>
      <c r="AM242" s="123">
        <v>0.0</v>
      </c>
      <c r="AN242" s="123">
        <v>346.5</v>
      </c>
      <c r="AO242" s="123">
        <v>0.0</v>
      </c>
      <c r="AP242" s="123">
        <v>0.0</v>
      </c>
      <c r="AQ242" s="123">
        <v>0.0</v>
      </c>
      <c r="AR242" s="123">
        <v>0.0</v>
      </c>
      <c r="AS242" s="123">
        <v>0.0</v>
      </c>
      <c r="AT242" s="123">
        <v>0.0</v>
      </c>
      <c r="AU242" s="124"/>
      <c r="AV242" s="124"/>
      <c r="AW242" s="123">
        <v>0.0</v>
      </c>
      <c r="AX242" s="122">
        <v>2271.5</v>
      </c>
      <c r="AY242" s="123" t="s">
        <v>31</v>
      </c>
      <c r="AZ242" s="123" t="s">
        <v>31</v>
      </c>
      <c r="BA242" s="123" t="s">
        <v>507</v>
      </c>
      <c r="BB242" s="123">
        <v>1.126100105E9</v>
      </c>
      <c r="BC242" s="123" t="s">
        <v>508</v>
      </c>
      <c r="BD242" s="123" t="s">
        <v>509</v>
      </c>
      <c r="BE242" s="124"/>
      <c r="BF242" s="124" t="s">
        <v>484</v>
      </c>
      <c r="BG242" s="124" t="s">
        <v>482</v>
      </c>
      <c r="BH242" s="123" t="s">
        <v>510</v>
      </c>
      <c r="BI242" s="171" t="s">
        <v>511</v>
      </c>
      <c r="BJ242" s="171" t="s">
        <v>512</v>
      </c>
      <c r="BK242" s="171" t="s">
        <v>659</v>
      </c>
      <c r="BL242" s="171">
        <v>6.3</v>
      </c>
      <c r="BM242" s="171">
        <v>2568.6</v>
      </c>
      <c r="BN242" s="171">
        <v>-2562.0</v>
      </c>
      <c r="BO242" s="171" t="s">
        <v>514</v>
      </c>
      <c r="BP242" s="171">
        <v>9155607.0</v>
      </c>
      <c r="BQ242" s="171" t="s">
        <v>483</v>
      </c>
      <c r="BR242" s="171" t="s">
        <v>479</v>
      </c>
      <c r="BS242" s="171">
        <v>4.0</v>
      </c>
    </row>
    <row r="243" ht="14.25" customHeight="1">
      <c r="A243" s="122" t="s">
        <v>493</v>
      </c>
      <c r="B243" s="123" t="s">
        <v>494</v>
      </c>
      <c r="C243" s="123">
        <v>107.0</v>
      </c>
      <c r="D243" s="123" t="s">
        <v>146</v>
      </c>
      <c r="E243" s="123" t="s">
        <v>147</v>
      </c>
      <c r="F243" s="124"/>
      <c r="G243" s="124" t="s">
        <v>149</v>
      </c>
      <c r="H243" s="123" t="s">
        <v>2</v>
      </c>
      <c r="I243" s="123" t="s">
        <v>495</v>
      </c>
      <c r="J243" s="123" t="s">
        <v>496</v>
      </c>
      <c r="K243" s="123" t="s">
        <v>497</v>
      </c>
      <c r="L243" s="123" t="s">
        <v>498</v>
      </c>
      <c r="M243" s="125">
        <v>46140.0</v>
      </c>
      <c r="N243" s="123" t="s">
        <v>516</v>
      </c>
      <c r="O243" s="123">
        <v>9174963.0</v>
      </c>
      <c r="P243" s="125">
        <v>46129.0</v>
      </c>
      <c r="Q243" s="123" t="s">
        <v>500</v>
      </c>
      <c r="R243" s="123">
        <v>35671.0</v>
      </c>
      <c r="S243" s="123" t="s">
        <v>501</v>
      </c>
      <c r="T243" s="123" t="s">
        <v>502</v>
      </c>
      <c r="U243" s="123" t="s">
        <v>503</v>
      </c>
      <c r="V243" s="122" t="s">
        <v>504</v>
      </c>
      <c r="W243" s="124"/>
      <c r="X243" s="123">
        <v>763.98</v>
      </c>
      <c r="Y243" s="123">
        <v>6.0</v>
      </c>
      <c r="Z243" s="123">
        <v>4583.88</v>
      </c>
      <c r="AA243" s="123" t="s">
        <v>157</v>
      </c>
      <c r="AB243" s="123" t="s">
        <v>516</v>
      </c>
      <c r="AC243" s="125">
        <v>46129.0</v>
      </c>
      <c r="AD243" s="123" t="s">
        <v>505</v>
      </c>
      <c r="AE243" s="123">
        <v>8.484109E7</v>
      </c>
      <c r="AF243" s="123" t="s">
        <v>948</v>
      </c>
      <c r="AG243" s="124"/>
      <c r="AH243" s="124"/>
      <c r="AI243" s="123">
        <v>4583.88</v>
      </c>
      <c r="AJ243" s="123" t="s">
        <v>159</v>
      </c>
      <c r="AK243" s="123">
        <v>18.0</v>
      </c>
      <c r="AL243" s="123">
        <v>0.0</v>
      </c>
      <c r="AM243" s="123">
        <v>0.0</v>
      </c>
      <c r="AN243" s="123">
        <v>825.1</v>
      </c>
      <c r="AO243" s="123">
        <v>0.0</v>
      </c>
      <c r="AP243" s="123">
        <v>0.0</v>
      </c>
      <c r="AQ243" s="123">
        <v>0.0</v>
      </c>
      <c r="AR243" s="123">
        <v>0.0</v>
      </c>
      <c r="AS243" s="123">
        <v>0.0</v>
      </c>
      <c r="AT243" s="123">
        <v>0.0</v>
      </c>
      <c r="AU243" s="124"/>
      <c r="AV243" s="124"/>
      <c r="AW243" s="123">
        <v>0.0</v>
      </c>
      <c r="AX243" s="122">
        <v>5408.98</v>
      </c>
      <c r="AY243" s="123" t="s">
        <v>31</v>
      </c>
      <c r="AZ243" s="123" t="s">
        <v>31</v>
      </c>
      <c r="BA243" s="123" t="s">
        <v>518</v>
      </c>
      <c r="BB243" s="123">
        <v>1.126100446E9</v>
      </c>
      <c r="BC243" s="123" t="s">
        <v>508</v>
      </c>
      <c r="BD243" s="123" t="s">
        <v>509</v>
      </c>
      <c r="BE243" s="124"/>
      <c r="BF243" s="124" t="s">
        <v>484</v>
      </c>
      <c r="BG243" s="124" t="s">
        <v>482</v>
      </c>
      <c r="BH243" s="123" t="s">
        <v>510</v>
      </c>
      <c r="BI243" s="171" t="s">
        <v>511</v>
      </c>
      <c r="BJ243" s="171" t="s">
        <v>512</v>
      </c>
      <c r="BK243" s="171" t="s">
        <v>577</v>
      </c>
      <c r="BL243" s="171">
        <v>2.08</v>
      </c>
      <c r="BM243" s="171">
        <v>1123.84</v>
      </c>
      <c r="BN243" s="171">
        <v>-1122.0</v>
      </c>
      <c r="BO243" s="171" t="s">
        <v>514</v>
      </c>
      <c r="BP243" s="171">
        <v>9155615.0</v>
      </c>
      <c r="BQ243" s="171" t="s">
        <v>483</v>
      </c>
      <c r="BR243" s="171" t="s">
        <v>479</v>
      </c>
      <c r="BS243" s="171">
        <v>4.0</v>
      </c>
    </row>
    <row r="244" ht="14.25" customHeight="1">
      <c r="A244" s="122" t="s">
        <v>493</v>
      </c>
      <c r="B244" s="123" t="s">
        <v>494</v>
      </c>
      <c r="C244" s="123">
        <v>107.0</v>
      </c>
      <c r="D244" s="123" t="s">
        <v>146</v>
      </c>
      <c r="E244" s="123" t="s">
        <v>147</v>
      </c>
      <c r="F244" s="124"/>
      <c r="G244" s="124"/>
      <c r="H244" s="123" t="s">
        <v>2</v>
      </c>
      <c r="I244" s="123" t="s">
        <v>495</v>
      </c>
      <c r="J244" s="123" t="s">
        <v>496</v>
      </c>
      <c r="K244" s="123" t="s">
        <v>529</v>
      </c>
      <c r="L244" s="123" t="s">
        <v>498</v>
      </c>
      <c r="M244" s="125">
        <v>46140.0</v>
      </c>
      <c r="N244" s="123" t="s">
        <v>581</v>
      </c>
      <c r="O244" s="123">
        <v>9175765.0</v>
      </c>
      <c r="P244" s="125">
        <v>46130.0</v>
      </c>
      <c r="Q244" s="123" t="s">
        <v>500</v>
      </c>
      <c r="R244" s="123">
        <v>3545.0</v>
      </c>
      <c r="S244" s="123" t="s">
        <v>582</v>
      </c>
      <c r="T244" s="123" t="s">
        <v>539</v>
      </c>
      <c r="U244" s="123" t="s">
        <v>583</v>
      </c>
      <c r="V244" s="122" t="s">
        <v>504</v>
      </c>
      <c r="W244" s="124"/>
      <c r="X244" s="123">
        <v>2725.0</v>
      </c>
      <c r="Y244" s="123">
        <v>4.0</v>
      </c>
      <c r="Z244" s="123">
        <v>10900.0</v>
      </c>
      <c r="AA244" s="123" t="s">
        <v>157</v>
      </c>
      <c r="AB244" s="123" t="s">
        <v>581</v>
      </c>
      <c r="AC244" s="125">
        <v>46130.0</v>
      </c>
      <c r="AD244" s="123" t="s">
        <v>505</v>
      </c>
      <c r="AE244" s="123">
        <v>8.4439951E7</v>
      </c>
      <c r="AF244" s="123" t="s">
        <v>923</v>
      </c>
      <c r="AG244" s="124"/>
      <c r="AH244" s="124"/>
      <c r="AI244" s="123">
        <v>10900.0</v>
      </c>
      <c r="AJ244" s="123" t="s">
        <v>159</v>
      </c>
      <c r="AK244" s="123">
        <v>18.0</v>
      </c>
      <c r="AL244" s="123">
        <v>0.0</v>
      </c>
      <c r="AM244" s="123">
        <v>0.0</v>
      </c>
      <c r="AN244" s="123">
        <v>0.0</v>
      </c>
      <c r="AO244" s="123">
        <v>0.0</v>
      </c>
      <c r="AP244" s="123">
        <v>0.0</v>
      </c>
      <c r="AQ244" s="123">
        <v>0.0</v>
      </c>
      <c r="AR244" s="123">
        <v>0.0</v>
      </c>
      <c r="AS244" s="123">
        <v>0.0</v>
      </c>
      <c r="AT244" s="123">
        <v>0.0</v>
      </c>
      <c r="AU244" s="124"/>
      <c r="AV244" s="124"/>
      <c r="AW244" s="123">
        <v>0.0</v>
      </c>
      <c r="AX244" s="122">
        <v>10900.0</v>
      </c>
      <c r="AY244" s="123" t="s">
        <v>31</v>
      </c>
      <c r="AZ244" s="123" t="s">
        <v>31</v>
      </c>
      <c r="BA244" s="123" t="s">
        <v>585</v>
      </c>
      <c r="BB244" s="123">
        <v>1.12610045E9</v>
      </c>
      <c r="BC244" s="123" t="s">
        <v>556</v>
      </c>
      <c r="BD244" s="123" t="s">
        <v>586</v>
      </c>
      <c r="BE244" s="124"/>
      <c r="BF244" s="124" t="s">
        <v>484</v>
      </c>
      <c r="BG244" s="124" t="s">
        <v>482</v>
      </c>
      <c r="BH244" s="123" t="s">
        <v>587</v>
      </c>
      <c r="BI244" s="171" t="s">
        <v>511</v>
      </c>
      <c r="BJ244" s="171" t="s">
        <v>512</v>
      </c>
      <c r="BK244" s="171" t="s">
        <v>829</v>
      </c>
      <c r="BL244" s="171">
        <v>792.0</v>
      </c>
      <c r="BM244" s="171">
        <v>2952.0</v>
      </c>
      <c r="BN244" s="171">
        <v>-2160.0</v>
      </c>
      <c r="BO244" s="171" t="s">
        <v>514</v>
      </c>
      <c r="BP244" s="171">
        <v>9168299.0</v>
      </c>
      <c r="BQ244" s="171" t="s">
        <v>483</v>
      </c>
      <c r="BR244" s="171" t="s">
        <v>479</v>
      </c>
      <c r="BS244" s="171">
        <v>4.0</v>
      </c>
    </row>
    <row r="245" ht="14.25" customHeight="1">
      <c r="A245" s="122" t="s">
        <v>493</v>
      </c>
      <c r="B245" s="123" t="s">
        <v>494</v>
      </c>
      <c r="C245" s="123">
        <v>107.0</v>
      </c>
      <c r="D245" s="123" t="s">
        <v>146</v>
      </c>
      <c r="E245" s="123" t="s">
        <v>147</v>
      </c>
      <c r="F245" s="124"/>
      <c r="G245" s="124"/>
      <c r="H245" s="123" t="s">
        <v>2</v>
      </c>
      <c r="I245" s="123" t="s">
        <v>495</v>
      </c>
      <c r="J245" s="123" t="s">
        <v>528</v>
      </c>
      <c r="K245" s="123" t="s">
        <v>626</v>
      </c>
      <c r="L245" s="123" t="s">
        <v>498</v>
      </c>
      <c r="M245" s="125">
        <v>46133.0</v>
      </c>
      <c r="N245" s="123" t="s">
        <v>949</v>
      </c>
      <c r="O245" s="123">
        <v>9164382.0</v>
      </c>
      <c r="P245" s="125">
        <v>46115.0</v>
      </c>
      <c r="Q245" s="123" t="s">
        <v>500</v>
      </c>
      <c r="R245" s="123">
        <v>6262.0</v>
      </c>
      <c r="S245" s="123" t="s">
        <v>521</v>
      </c>
      <c r="T245" s="123" t="s">
        <v>522</v>
      </c>
      <c r="U245" s="123" t="s">
        <v>523</v>
      </c>
      <c r="V245" s="122" t="s">
        <v>504</v>
      </c>
      <c r="W245" s="124"/>
      <c r="X245" s="123">
        <v>1.0</v>
      </c>
      <c r="Y245" s="123">
        <v>4098.0</v>
      </c>
      <c r="Z245" s="123">
        <v>4098.0</v>
      </c>
      <c r="AA245" s="123" t="s">
        <v>157</v>
      </c>
      <c r="AB245" s="123" t="s">
        <v>949</v>
      </c>
      <c r="AC245" s="125">
        <v>46115.0</v>
      </c>
      <c r="AD245" s="123" t="s">
        <v>525</v>
      </c>
      <c r="AE245" s="123">
        <v>998412.0</v>
      </c>
      <c r="AF245" s="123" t="s">
        <v>950</v>
      </c>
      <c r="AG245" s="124"/>
      <c r="AH245" s="124"/>
      <c r="AI245" s="123">
        <v>4098.0</v>
      </c>
      <c r="AJ245" s="123" t="s">
        <v>159</v>
      </c>
      <c r="AK245" s="123">
        <v>18.0</v>
      </c>
      <c r="AL245" s="123">
        <v>368.82</v>
      </c>
      <c r="AM245" s="123">
        <v>368.82</v>
      </c>
      <c r="AN245" s="123">
        <v>0.0</v>
      </c>
      <c r="AO245" s="123">
        <v>0.0</v>
      </c>
      <c r="AP245" s="123">
        <v>0.0</v>
      </c>
      <c r="AQ245" s="123">
        <v>0.0</v>
      </c>
      <c r="AR245" s="123">
        <v>0.0</v>
      </c>
      <c r="AS245" s="123">
        <v>0.0</v>
      </c>
      <c r="AT245" s="123">
        <v>0.0</v>
      </c>
      <c r="AU245" s="124"/>
      <c r="AV245" s="124"/>
      <c r="AW245" s="123">
        <v>0.0</v>
      </c>
      <c r="AX245" s="122">
        <v>4835.64</v>
      </c>
      <c r="AY245" s="123" t="s">
        <v>20</v>
      </c>
      <c r="AZ245" s="123" t="s">
        <v>31</v>
      </c>
      <c r="BA245" s="123" t="s">
        <v>951</v>
      </c>
      <c r="BB245" s="123">
        <v>1.126100278E9</v>
      </c>
      <c r="BC245" s="123" t="s">
        <v>187</v>
      </c>
      <c r="BD245" s="123" t="s">
        <v>162</v>
      </c>
      <c r="BE245" s="124"/>
      <c r="BF245" s="124" t="s">
        <v>483</v>
      </c>
      <c r="BG245" s="124" t="s">
        <v>482</v>
      </c>
      <c r="BH245" s="123" t="s">
        <v>510</v>
      </c>
      <c r="BI245" s="171" t="s">
        <v>511</v>
      </c>
      <c r="BJ245" s="171" t="s">
        <v>512</v>
      </c>
      <c r="BK245" s="171" t="s">
        <v>952</v>
      </c>
      <c r="BL245" s="171">
        <v>785.7</v>
      </c>
      <c r="BM245" s="171">
        <v>785.7</v>
      </c>
      <c r="BN245" s="171">
        <v>0.0</v>
      </c>
      <c r="BO245" s="171" t="s">
        <v>514</v>
      </c>
      <c r="BP245" s="171">
        <v>9156859.0</v>
      </c>
      <c r="BQ245" s="171" t="s">
        <v>483</v>
      </c>
      <c r="BR245" s="171" t="s">
        <v>479</v>
      </c>
      <c r="BS245" s="171">
        <v>1.0</v>
      </c>
    </row>
    <row r="246" ht="14.25" customHeight="1">
      <c r="A246" s="122" t="s">
        <v>493</v>
      </c>
      <c r="B246" s="123" t="s">
        <v>494</v>
      </c>
      <c r="C246" s="123">
        <v>107.0</v>
      </c>
      <c r="D246" s="123" t="s">
        <v>146</v>
      </c>
      <c r="E246" s="123" t="s">
        <v>147</v>
      </c>
      <c r="F246" s="124"/>
      <c r="G246" s="124" t="s">
        <v>149</v>
      </c>
      <c r="H246" s="123" t="s">
        <v>2</v>
      </c>
      <c r="I246" s="123" t="s">
        <v>495</v>
      </c>
      <c r="J246" s="123" t="s">
        <v>496</v>
      </c>
      <c r="K246" s="123" t="s">
        <v>497</v>
      </c>
      <c r="L246" s="123" t="s">
        <v>498</v>
      </c>
      <c r="M246" s="125">
        <v>46112.0</v>
      </c>
      <c r="N246" s="123">
        <v>5500.0</v>
      </c>
      <c r="O246" s="123">
        <v>9122840.0</v>
      </c>
      <c r="P246" s="125">
        <v>46090.0</v>
      </c>
      <c r="Q246" s="123" t="s">
        <v>500</v>
      </c>
      <c r="R246" s="123">
        <v>43683.0</v>
      </c>
      <c r="S246" s="123" t="s">
        <v>953</v>
      </c>
      <c r="T246" s="123" t="s">
        <v>713</v>
      </c>
      <c r="U246" s="123" t="s">
        <v>954</v>
      </c>
      <c r="V246" s="122" t="s">
        <v>504</v>
      </c>
      <c r="W246" s="124"/>
      <c r="X246" s="123">
        <v>1650.0</v>
      </c>
      <c r="Y246" s="123">
        <v>6.0</v>
      </c>
      <c r="Z246" s="123">
        <v>9900.0</v>
      </c>
      <c r="AA246" s="123" t="s">
        <v>157</v>
      </c>
      <c r="AB246" s="123">
        <v>5500.0</v>
      </c>
      <c r="AC246" s="125">
        <v>46090.0</v>
      </c>
      <c r="AD246" s="123" t="s">
        <v>505</v>
      </c>
      <c r="AE246" s="123">
        <v>9405.0</v>
      </c>
      <c r="AF246" s="123" t="s">
        <v>955</v>
      </c>
      <c r="AG246" s="124"/>
      <c r="AH246" s="124"/>
      <c r="AI246" s="123">
        <v>9900.0</v>
      </c>
      <c r="AJ246" s="123" t="s">
        <v>159</v>
      </c>
      <c r="AK246" s="123">
        <v>18.0</v>
      </c>
      <c r="AL246" s="123">
        <v>891.0</v>
      </c>
      <c r="AM246" s="123">
        <v>891.0</v>
      </c>
      <c r="AN246" s="123">
        <v>0.0</v>
      </c>
      <c r="AO246" s="123">
        <v>0.0</v>
      </c>
      <c r="AP246" s="123">
        <v>0.0</v>
      </c>
      <c r="AQ246" s="123">
        <v>0.0</v>
      </c>
      <c r="AR246" s="123">
        <v>0.0</v>
      </c>
      <c r="AS246" s="123">
        <v>0.0</v>
      </c>
      <c r="AT246" s="123">
        <v>0.0</v>
      </c>
      <c r="AU246" s="124"/>
      <c r="AV246" s="124"/>
      <c r="AW246" s="123">
        <v>0.0</v>
      </c>
      <c r="AX246" s="122">
        <v>11682.0</v>
      </c>
      <c r="AY246" s="123" t="s">
        <v>31</v>
      </c>
      <c r="AZ246" s="123" t="s">
        <v>31</v>
      </c>
      <c r="BA246" s="123" t="s">
        <v>600</v>
      </c>
      <c r="BB246" s="123">
        <v>1.125113238E9</v>
      </c>
      <c r="BC246" s="123" t="s">
        <v>556</v>
      </c>
      <c r="BD246" s="123" t="s">
        <v>586</v>
      </c>
      <c r="BE246" s="124"/>
      <c r="BF246" s="124" t="s">
        <v>484</v>
      </c>
      <c r="BG246" s="124" t="s">
        <v>482</v>
      </c>
      <c r="BH246" s="123" t="s">
        <v>587</v>
      </c>
      <c r="BI246" s="171" t="s">
        <v>511</v>
      </c>
      <c r="BJ246" s="171" t="s">
        <v>512</v>
      </c>
      <c r="BK246" s="171" t="s">
        <v>956</v>
      </c>
      <c r="BL246" s="171">
        <v>297.0</v>
      </c>
      <c r="BM246" s="171">
        <v>297.0</v>
      </c>
      <c r="BN246" s="171">
        <v>0.0</v>
      </c>
      <c r="BO246" s="171" t="s">
        <v>514</v>
      </c>
      <c r="BP246" s="171">
        <v>9166965.0</v>
      </c>
      <c r="BQ246" s="171" t="s">
        <v>483</v>
      </c>
      <c r="BR246" s="171" t="s">
        <v>479</v>
      </c>
      <c r="BS246" s="171">
        <v>1.0</v>
      </c>
    </row>
    <row r="247" ht="14.25" customHeight="1">
      <c r="A247" s="122" t="s">
        <v>493</v>
      </c>
      <c r="B247" s="123" t="s">
        <v>494</v>
      </c>
      <c r="C247" s="123">
        <v>107.0</v>
      </c>
      <c r="D247" s="123" t="s">
        <v>146</v>
      </c>
      <c r="E247" s="123" t="s">
        <v>147</v>
      </c>
      <c r="F247" s="124"/>
      <c r="G247" s="124" t="s">
        <v>149</v>
      </c>
      <c r="H247" s="123" t="s">
        <v>2</v>
      </c>
      <c r="I247" s="123" t="s">
        <v>495</v>
      </c>
      <c r="J247" s="123" t="s">
        <v>496</v>
      </c>
      <c r="K247" s="123" t="s">
        <v>497</v>
      </c>
      <c r="L247" s="123" t="s">
        <v>498</v>
      </c>
      <c r="M247" s="125">
        <v>46112.0</v>
      </c>
      <c r="N247" s="123">
        <v>5500.0</v>
      </c>
      <c r="O247" s="123">
        <v>9122840.0</v>
      </c>
      <c r="P247" s="125">
        <v>46090.0</v>
      </c>
      <c r="Q247" s="123" t="s">
        <v>500</v>
      </c>
      <c r="R247" s="123">
        <v>43683.0</v>
      </c>
      <c r="S247" s="123" t="s">
        <v>953</v>
      </c>
      <c r="T247" s="123" t="s">
        <v>713</v>
      </c>
      <c r="U247" s="124" t="s">
        <v>954</v>
      </c>
      <c r="V247" s="124" t="s">
        <v>504</v>
      </c>
      <c r="W247" s="124"/>
      <c r="X247" s="123">
        <v>90.0</v>
      </c>
      <c r="Y247" s="123">
        <v>1.0</v>
      </c>
      <c r="Z247" s="123">
        <v>90.0</v>
      </c>
      <c r="AA247" s="123" t="s">
        <v>157</v>
      </c>
      <c r="AB247" s="123">
        <v>5500.0</v>
      </c>
      <c r="AC247" s="125">
        <v>46090.0</v>
      </c>
      <c r="AD247" s="124" t="s">
        <v>505</v>
      </c>
      <c r="AE247" s="123">
        <v>8538.0</v>
      </c>
      <c r="AF247" s="123" t="s">
        <v>957</v>
      </c>
      <c r="AG247" s="124"/>
      <c r="AH247" s="124"/>
      <c r="AI247" s="123">
        <v>90.0</v>
      </c>
      <c r="AJ247" s="123" t="s">
        <v>159</v>
      </c>
      <c r="AK247" s="123">
        <v>18.0</v>
      </c>
      <c r="AL247" s="123">
        <v>8.1</v>
      </c>
      <c r="AM247" s="123">
        <v>8.1</v>
      </c>
      <c r="AN247" s="123">
        <v>0.0</v>
      </c>
      <c r="AO247" s="123">
        <v>0.0</v>
      </c>
      <c r="AP247" s="123">
        <v>0.0</v>
      </c>
      <c r="AQ247" s="123">
        <v>0.0</v>
      </c>
      <c r="AR247" s="123">
        <v>0.0</v>
      </c>
      <c r="AS247" s="123">
        <v>0.0</v>
      </c>
      <c r="AT247" s="123">
        <v>0.0</v>
      </c>
      <c r="AU247" s="124"/>
      <c r="AV247" s="124"/>
      <c r="AW247" s="123">
        <v>0.0</v>
      </c>
      <c r="AX247" s="122">
        <v>106.2</v>
      </c>
      <c r="AY247" s="123" t="s">
        <v>31</v>
      </c>
      <c r="AZ247" s="123" t="s">
        <v>31</v>
      </c>
      <c r="BA247" s="123" t="s">
        <v>600</v>
      </c>
      <c r="BB247" s="123">
        <v>1.125113238E9</v>
      </c>
      <c r="BC247" s="123" t="s">
        <v>556</v>
      </c>
      <c r="BD247" s="123" t="s">
        <v>586</v>
      </c>
      <c r="BE247" s="124"/>
      <c r="BF247" s="124" t="s">
        <v>484</v>
      </c>
      <c r="BG247" s="124" t="s">
        <v>482</v>
      </c>
      <c r="BH247" s="123" t="s">
        <v>587</v>
      </c>
      <c r="BI247" s="171" t="s">
        <v>511</v>
      </c>
      <c r="BJ247" s="171" t="s">
        <v>512</v>
      </c>
      <c r="BK247" s="171" t="s">
        <v>958</v>
      </c>
      <c r="BL247" s="171">
        <v>3420.0</v>
      </c>
      <c r="BM247" s="171" t="e">
        <v>#N/A</v>
      </c>
      <c r="BN247" s="171" t="e">
        <v>#N/A</v>
      </c>
      <c r="BO247" s="171" t="s">
        <v>544</v>
      </c>
      <c r="BP247" s="171">
        <v>9157040.0</v>
      </c>
      <c r="BQ247" s="171" t="s">
        <v>481</v>
      </c>
      <c r="BR247" s="171" t="s">
        <v>544</v>
      </c>
      <c r="BS247" s="171">
        <v>1.0</v>
      </c>
    </row>
    <row r="248" ht="14.25" customHeight="1">
      <c r="A248" s="122" t="s">
        <v>493</v>
      </c>
      <c r="B248" s="123" t="s">
        <v>494</v>
      </c>
      <c r="C248" s="123">
        <v>107.0</v>
      </c>
      <c r="D248" s="123" t="s">
        <v>146</v>
      </c>
      <c r="E248" s="123" t="s">
        <v>147</v>
      </c>
      <c r="F248" s="124"/>
      <c r="G248" s="123" t="s">
        <v>149</v>
      </c>
      <c r="H248" s="123" t="s">
        <v>2</v>
      </c>
      <c r="I248" s="123" t="s">
        <v>495</v>
      </c>
      <c r="J248" s="123" t="s">
        <v>528</v>
      </c>
      <c r="K248" s="123" t="s">
        <v>529</v>
      </c>
      <c r="L248" s="123" t="s">
        <v>498</v>
      </c>
      <c r="M248" s="125">
        <v>46112.0</v>
      </c>
      <c r="N248" s="123" t="s">
        <v>959</v>
      </c>
      <c r="O248" s="123">
        <v>9140710.0</v>
      </c>
      <c r="P248" s="125">
        <v>46111.0</v>
      </c>
      <c r="Q248" s="123" t="s">
        <v>500</v>
      </c>
      <c r="R248" s="123">
        <v>29978.0</v>
      </c>
      <c r="S248" s="123" t="s">
        <v>960</v>
      </c>
      <c r="T248" s="123" t="s">
        <v>961</v>
      </c>
      <c r="U248" s="123" t="s">
        <v>962</v>
      </c>
      <c r="V248" s="122" t="s">
        <v>504</v>
      </c>
      <c r="W248" s="124"/>
      <c r="X248" s="123">
        <v>37268.0</v>
      </c>
      <c r="Y248" s="123">
        <v>6.0</v>
      </c>
      <c r="Z248" s="123">
        <v>223608.0</v>
      </c>
      <c r="AA248" s="123" t="s">
        <v>157</v>
      </c>
      <c r="AB248" s="123" t="s">
        <v>959</v>
      </c>
      <c r="AC248" s="125">
        <v>46111.0</v>
      </c>
      <c r="AD248" s="123" t="s">
        <v>505</v>
      </c>
      <c r="AE248" s="123">
        <v>998729.0</v>
      </c>
      <c r="AF248" s="123" t="s">
        <v>963</v>
      </c>
      <c r="AG248" s="124"/>
      <c r="AH248" s="124"/>
      <c r="AI248" s="123">
        <v>223608.0</v>
      </c>
      <c r="AJ248" s="123" t="s">
        <v>159</v>
      </c>
      <c r="AK248" s="123">
        <v>18.0</v>
      </c>
      <c r="AL248" s="123">
        <v>0.0</v>
      </c>
      <c r="AM248" s="123">
        <v>0.0</v>
      </c>
      <c r="AN248" s="123">
        <v>40249.44</v>
      </c>
      <c r="AO248" s="123">
        <v>0.0</v>
      </c>
      <c r="AP248" s="123">
        <v>0.0</v>
      </c>
      <c r="AQ248" s="123">
        <v>0.0</v>
      </c>
      <c r="AR248" s="123">
        <v>0.0</v>
      </c>
      <c r="AS248" s="123">
        <v>0.0</v>
      </c>
      <c r="AT248" s="123">
        <v>0.0</v>
      </c>
      <c r="AU248" s="124"/>
      <c r="AV248" s="124"/>
      <c r="AW248" s="123">
        <v>0.0</v>
      </c>
      <c r="AX248" s="122">
        <v>263857.44</v>
      </c>
      <c r="AY248" s="123" t="s">
        <v>20</v>
      </c>
      <c r="AZ248" s="123" t="s">
        <v>31</v>
      </c>
      <c r="BA248" s="123" t="s">
        <v>542</v>
      </c>
      <c r="BB248" s="123">
        <v>1.125113662E9</v>
      </c>
      <c r="BC248" s="123" t="s">
        <v>161</v>
      </c>
      <c r="BD248" s="123" t="s">
        <v>964</v>
      </c>
      <c r="BE248" s="124"/>
      <c r="BF248" s="124" t="s">
        <v>483</v>
      </c>
      <c r="BG248" s="124" t="s">
        <v>482</v>
      </c>
      <c r="BH248" s="123" t="s">
        <v>510</v>
      </c>
      <c r="BI248" s="171" t="s">
        <v>511</v>
      </c>
      <c r="BJ248" s="171" t="s">
        <v>512</v>
      </c>
      <c r="BK248" s="171" t="s">
        <v>965</v>
      </c>
      <c r="BL248" s="171">
        <v>117399.96</v>
      </c>
      <c r="BM248" s="171">
        <v>117399.96</v>
      </c>
      <c r="BN248" s="171">
        <v>0.0</v>
      </c>
      <c r="BO248" s="171" t="s">
        <v>514</v>
      </c>
      <c r="BP248" s="171">
        <v>9178377.0</v>
      </c>
      <c r="BQ248" s="171" t="s">
        <v>483</v>
      </c>
      <c r="BR248" s="171" t="s">
        <v>476</v>
      </c>
      <c r="BS248" s="171">
        <v>1.0</v>
      </c>
    </row>
    <row r="249" ht="14.25" customHeight="1">
      <c r="A249" s="122" t="s">
        <v>493</v>
      </c>
      <c r="B249" s="123" t="s">
        <v>494</v>
      </c>
      <c r="C249" s="123">
        <v>107.0</v>
      </c>
      <c r="D249" s="123" t="s">
        <v>146</v>
      </c>
      <c r="E249" s="123" t="s">
        <v>147</v>
      </c>
      <c r="F249" s="124"/>
      <c r="G249" s="123" t="s">
        <v>149</v>
      </c>
      <c r="H249" s="123" t="s">
        <v>2</v>
      </c>
      <c r="I249" s="123" t="s">
        <v>495</v>
      </c>
      <c r="J249" s="123" t="s">
        <v>496</v>
      </c>
      <c r="K249" s="123" t="s">
        <v>497</v>
      </c>
      <c r="L249" s="123" t="s">
        <v>498</v>
      </c>
      <c r="M249" s="125">
        <v>46112.0</v>
      </c>
      <c r="N249" s="123">
        <v>5501.0</v>
      </c>
      <c r="O249" s="123">
        <v>9122848.0</v>
      </c>
      <c r="P249" s="125">
        <v>46090.0</v>
      </c>
      <c r="Q249" s="123" t="s">
        <v>500</v>
      </c>
      <c r="R249" s="123">
        <v>43683.0</v>
      </c>
      <c r="S249" s="123" t="s">
        <v>953</v>
      </c>
      <c r="T249" s="123" t="s">
        <v>713</v>
      </c>
      <c r="U249" s="123" t="s">
        <v>954</v>
      </c>
      <c r="V249" s="122" t="s">
        <v>504</v>
      </c>
      <c r="W249" s="124"/>
      <c r="X249" s="123">
        <v>80.0</v>
      </c>
      <c r="Y249" s="123">
        <v>1.0</v>
      </c>
      <c r="Z249" s="123">
        <v>80.0</v>
      </c>
      <c r="AA249" s="123" t="s">
        <v>157</v>
      </c>
      <c r="AB249" s="123">
        <v>5501.0</v>
      </c>
      <c r="AC249" s="125">
        <v>46090.0</v>
      </c>
      <c r="AD249" s="123" t="s">
        <v>505</v>
      </c>
      <c r="AE249" s="123">
        <v>8538.0</v>
      </c>
      <c r="AF249" s="123" t="s">
        <v>966</v>
      </c>
      <c r="AG249" s="124"/>
      <c r="AH249" s="124"/>
      <c r="AI249" s="123">
        <v>80.0</v>
      </c>
      <c r="AJ249" s="123" t="s">
        <v>159</v>
      </c>
      <c r="AK249" s="123">
        <v>18.0</v>
      </c>
      <c r="AL249" s="123">
        <v>7.2</v>
      </c>
      <c r="AM249" s="123">
        <v>7.2</v>
      </c>
      <c r="AN249" s="123">
        <v>0.0</v>
      </c>
      <c r="AO249" s="123">
        <v>0.0</v>
      </c>
      <c r="AP249" s="123">
        <v>0.0</v>
      </c>
      <c r="AQ249" s="123">
        <v>0.0</v>
      </c>
      <c r="AR249" s="123">
        <v>0.0</v>
      </c>
      <c r="AS249" s="123">
        <v>0.0</v>
      </c>
      <c r="AT249" s="123">
        <v>0.0</v>
      </c>
      <c r="AU249" s="124"/>
      <c r="AV249" s="124"/>
      <c r="AW249" s="123">
        <v>0.0</v>
      </c>
      <c r="AX249" s="122">
        <v>94.4</v>
      </c>
      <c r="AY249" s="123" t="s">
        <v>31</v>
      </c>
      <c r="AZ249" s="123" t="s">
        <v>31</v>
      </c>
      <c r="BA249" s="123" t="s">
        <v>600</v>
      </c>
      <c r="BB249" s="123">
        <v>1.125113239E9</v>
      </c>
      <c r="BC249" s="123" t="s">
        <v>556</v>
      </c>
      <c r="BD249" s="123" t="s">
        <v>586</v>
      </c>
      <c r="BE249" s="124"/>
      <c r="BF249" s="124" t="s">
        <v>484</v>
      </c>
      <c r="BG249" s="124" t="s">
        <v>482</v>
      </c>
      <c r="BH249" s="123" t="s">
        <v>587</v>
      </c>
      <c r="BI249" s="171" t="s">
        <v>511</v>
      </c>
      <c r="BJ249" s="171" t="s">
        <v>512</v>
      </c>
      <c r="BK249" s="171" t="s">
        <v>513</v>
      </c>
      <c r="BL249" s="171">
        <v>3913.01</v>
      </c>
      <c r="BM249" s="171">
        <v>38182.88</v>
      </c>
      <c r="BN249" s="171">
        <v>-34270.0</v>
      </c>
      <c r="BO249" s="171" t="s">
        <v>514</v>
      </c>
      <c r="BP249" s="171">
        <v>9158398.0</v>
      </c>
      <c r="BQ249" s="171" t="s">
        <v>484</v>
      </c>
      <c r="BR249" s="171" t="s">
        <v>479</v>
      </c>
      <c r="BS249" s="171">
        <v>37.0</v>
      </c>
    </row>
    <row r="250" ht="14.25" customHeight="1">
      <c r="A250" s="122" t="s">
        <v>493</v>
      </c>
      <c r="B250" s="123" t="s">
        <v>494</v>
      </c>
      <c r="C250" s="123">
        <v>107.0</v>
      </c>
      <c r="D250" s="123" t="s">
        <v>146</v>
      </c>
      <c r="E250" s="123" t="s">
        <v>147</v>
      </c>
      <c r="F250" s="124"/>
      <c r="G250" s="123" t="s">
        <v>149</v>
      </c>
      <c r="H250" s="123" t="s">
        <v>2</v>
      </c>
      <c r="I250" s="123" t="s">
        <v>495</v>
      </c>
      <c r="J250" s="123" t="s">
        <v>496</v>
      </c>
      <c r="K250" s="123" t="s">
        <v>497</v>
      </c>
      <c r="L250" s="123" t="s">
        <v>498</v>
      </c>
      <c r="M250" s="125">
        <v>46112.0</v>
      </c>
      <c r="N250" s="123">
        <v>5501.0</v>
      </c>
      <c r="O250" s="123">
        <v>9122848.0</v>
      </c>
      <c r="P250" s="125">
        <v>46090.0</v>
      </c>
      <c r="Q250" s="123" t="s">
        <v>500</v>
      </c>
      <c r="R250" s="123">
        <v>43683.0</v>
      </c>
      <c r="S250" s="123" t="s">
        <v>953</v>
      </c>
      <c r="T250" s="123" t="s">
        <v>713</v>
      </c>
      <c r="U250" s="123" t="s">
        <v>954</v>
      </c>
      <c r="V250" s="122" t="s">
        <v>504</v>
      </c>
      <c r="W250" s="124"/>
      <c r="X250" s="123">
        <v>1350.0</v>
      </c>
      <c r="Y250" s="123">
        <v>2.0</v>
      </c>
      <c r="Z250" s="123">
        <v>2700.0</v>
      </c>
      <c r="AA250" s="123" t="s">
        <v>157</v>
      </c>
      <c r="AB250" s="123">
        <v>5501.0</v>
      </c>
      <c r="AC250" s="125">
        <v>46090.0</v>
      </c>
      <c r="AD250" s="123" t="s">
        <v>505</v>
      </c>
      <c r="AE250" s="123">
        <v>8537.0</v>
      </c>
      <c r="AF250" s="123" t="s">
        <v>967</v>
      </c>
      <c r="AG250" s="124"/>
      <c r="AH250" s="124"/>
      <c r="AI250" s="123">
        <v>2700.0</v>
      </c>
      <c r="AJ250" s="123" t="s">
        <v>159</v>
      </c>
      <c r="AK250" s="123">
        <v>18.0</v>
      </c>
      <c r="AL250" s="123">
        <v>243.0</v>
      </c>
      <c r="AM250" s="123">
        <v>243.0</v>
      </c>
      <c r="AN250" s="123">
        <v>0.0</v>
      </c>
      <c r="AO250" s="123">
        <v>0.0</v>
      </c>
      <c r="AP250" s="123">
        <v>0.0</v>
      </c>
      <c r="AQ250" s="123">
        <v>0.0</v>
      </c>
      <c r="AR250" s="123">
        <v>0.0</v>
      </c>
      <c r="AS250" s="123">
        <v>0.0</v>
      </c>
      <c r="AT250" s="123">
        <v>0.0</v>
      </c>
      <c r="AU250" s="124"/>
      <c r="AV250" s="124"/>
      <c r="AW250" s="123">
        <v>0.0</v>
      </c>
      <c r="AX250" s="122">
        <v>3186.0</v>
      </c>
      <c r="AY250" s="123" t="s">
        <v>31</v>
      </c>
      <c r="AZ250" s="123" t="s">
        <v>31</v>
      </c>
      <c r="BA250" s="123" t="s">
        <v>600</v>
      </c>
      <c r="BB250" s="123">
        <v>1.125113239E9</v>
      </c>
      <c r="BC250" s="123" t="s">
        <v>556</v>
      </c>
      <c r="BD250" s="123" t="s">
        <v>586</v>
      </c>
      <c r="BE250" s="124"/>
      <c r="BF250" s="124" t="s">
        <v>484</v>
      </c>
      <c r="BG250" s="124" t="s">
        <v>482</v>
      </c>
      <c r="BH250" s="123" t="s">
        <v>587</v>
      </c>
      <c r="BI250" s="171" t="s">
        <v>511</v>
      </c>
      <c r="BJ250" s="171" t="s">
        <v>512</v>
      </c>
      <c r="BK250" s="171" t="s">
        <v>513</v>
      </c>
      <c r="BL250" s="171">
        <v>544.5</v>
      </c>
      <c r="BM250" s="171">
        <v>38182.88</v>
      </c>
      <c r="BN250" s="171">
        <v>-37638.0</v>
      </c>
      <c r="BO250" s="171" t="s">
        <v>514</v>
      </c>
      <c r="BP250" s="171">
        <v>9158398.0</v>
      </c>
      <c r="BQ250" s="171" t="s">
        <v>484</v>
      </c>
      <c r="BR250" s="171" t="s">
        <v>479</v>
      </c>
      <c r="BS250" s="171">
        <v>37.0</v>
      </c>
    </row>
    <row r="251" ht="14.25" customHeight="1">
      <c r="A251" s="122" t="s">
        <v>493</v>
      </c>
      <c r="B251" s="123" t="s">
        <v>494</v>
      </c>
      <c r="C251" s="123">
        <v>107.0</v>
      </c>
      <c r="D251" s="123" t="s">
        <v>146</v>
      </c>
      <c r="E251" s="123" t="s">
        <v>147</v>
      </c>
      <c r="F251" s="124"/>
      <c r="G251" s="123" t="s">
        <v>149</v>
      </c>
      <c r="H251" s="123" t="s">
        <v>2</v>
      </c>
      <c r="I251" s="123" t="s">
        <v>495</v>
      </c>
      <c r="J251" s="123" t="s">
        <v>496</v>
      </c>
      <c r="K251" s="123" t="s">
        <v>497</v>
      </c>
      <c r="L251" s="123" t="s">
        <v>498</v>
      </c>
      <c r="M251" s="125">
        <v>46112.0</v>
      </c>
      <c r="N251" s="123">
        <v>5501.0</v>
      </c>
      <c r="O251" s="123">
        <v>9122848.0</v>
      </c>
      <c r="P251" s="125">
        <v>46090.0</v>
      </c>
      <c r="Q251" s="123" t="s">
        <v>500</v>
      </c>
      <c r="R251" s="123">
        <v>43683.0</v>
      </c>
      <c r="S251" s="123" t="s">
        <v>953</v>
      </c>
      <c r="T251" s="123" t="s">
        <v>713</v>
      </c>
      <c r="U251" s="123" t="s">
        <v>954</v>
      </c>
      <c r="V251" s="122" t="s">
        <v>504</v>
      </c>
      <c r="W251" s="124"/>
      <c r="X251" s="123">
        <v>1450.0</v>
      </c>
      <c r="Y251" s="123">
        <v>1.0</v>
      </c>
      <c r="Z251" s="123">
        <v>1450.0</v>
      </c>
      <c r="AA251" s="123" t="s">
        <v>157</v>
      </c>
      <c r="AB251" s="123">
        <v>5501.0</v>
      </c>
      <c r="AC251" s="125">
        <v>46090.0</v>
      </c>
      <c r="AD251" s="123" t="s">
        <v>505</v>
      </c>
      <c r="AE251" s="123">
        <v>8537.0</v>
      </c>
      <c r="AF251" s="123" t="s">
        <v>968</v>
      </c>
      <c r="AG251" s="124"/>
      <c r="AH251" s="124"/>
      <c r="AI251" s="123">
        <v>1450.0</v>
      </c>
      <c r="AJ251" s="123" t="s">
        <v>159</v>
      </c>
      <c r="AK251" s="123">
        <v>18.0</v>
      </c>
      <c r="AL251" s="123">
        <v>130.5</v>
      </c>
      <c r="AM251" s="123">
        <v>130.5</v>
      </c>
      <c r="AN251" s="123">
        <v>0.0</v>
      </c>
      <c r="AO251" s="123">
        <v>0.0</v>
      </c>
      <c r="AP251" s="123">
        <v>0.0</v>
      </c>
      <c r="AQ251" s="123">
        <v>0.0</v>
      </c>
      <c r="AR251" s="123">
        <v>0.0</v>
      </c>
      <c r="AS251" s="123">
        <v>0.0</v>
      </c>
      <c r="AT251" s="123">
        <v>0.0</v>
      </c>
      <c r="AU251" s="124"/>
      <c r="AV251" s="124"/>
      <c r="AW251" s="123">
        <v>0.0</v>
      </c>
      <c r="AX251" s="122">
        <v>1711.0</v>
      </c>
      <c r="AY251" s="123" t="s">
        <v>31</v>
      </c>
      <c r="AZ251" s="123" t="s">
        <v>31</v>
      </c>
      <c r="BA251" s="123" t="s">
        <v>600</v>
      </c>
      <c r="BB251" s="123">
        <v>1.125113239E9</v>
      </c>
      <c r="BC251" s="123" t="s">
        <v>556</v>
      </c>
      <c r="BD251" s="123" t="s">
        <v>586</v>
      </c>
      <c r="BE251" s="124"/>
      <c r="BF251" s="124" t="s">
        <v>484</v>
      </c>
      <c r="BG251" s="124" t="s">
        <v>482</v>
      </c>
      <c r="BH251" s="123" t="s">
        <v>587</v>
      </c>
      <c r="BI251" s="171" t="s">
        <v>511</v>
      </c>
      <c r="BJ251" s="171" t="s">
        <v>512</v>
      </c>
      <c r="BK251" s="171" t="s">
        <v>513</v>
      </c>
      <c r="BL251" s="171">
        <v>192.74</v>
      </c>
      <c r="BM251" s="171">
        <v>38182.88</v>
      </c>
      <c r="BN251" s="171">
        <v>-37990.0</v>
      </c>
      <c r="BO251" s="171" t="s">
        <v>514</v>
      </c>
      <c r="BP251" s="171">
        <v>9158398.0</v>
      </c>
      <c r="BQ251" s="171" t="s">
        <v>484</v>
      </c>
      <c r="BR251" s="171" t="s">
        <v>479</v>
      </c>
      <c r="BS251" s="171">
        <v>37.0</v>
      </c>
    </row>
    <row r="252" ht="14.25" customHeight="1">
      <c r="A252" s="122" t="s">
        <v>493</v>
      </c>
      <c r="B252" s="123" t="s">
        <v>494</v>
      </c>
      <c r="C252" s="123">
        <v>107.0</v>
      </c>
      <c r="D252" s="123" t="s">
        <v>146</v>
      </c>
      <c r="E252" s="123" t="s">
        <v>147</v>
      </c>
      <c r="F252" s="124"/>
      <c r="G252" s="123" t="s">
        <v>149</v>
      </c>
      <c r="H252" s="123" t="s">
        <v>2</v>
      </c>
      <c r="I252" s="123" t="s">
        <v>495</v>
      </c>
      <c r="J252" s="123" t="s">
        <v>496</v>
      </c>
      <c r="K252" s="123" t="s">
        <v>497</v>
      </c>
      <c r="L252" s="123" t="s">
        <v>498</v>
      </c>
      <c r="M252" s="125">
        <v>46112.0</v>
      </c>
      <c r="N252" s="123">
        <v>5501.0</v>
      </c>
      <c r="O252" s="123">
        <v>9122848.0</v>
      </c>
      <c r="P252" s="125">
        <v>46090.0</v>
      </c>
      <c r="Q252" s="123" t="s">
        <v>500</v>
      </c>
      <c r="R252" s="123">
        <v>43683.0</v>
      </c>
      <c r="S252" s="123" t="s">
        <v>953</v>
      </c>
      <c r="T252" s="123" t="s">
        <v>713</v>
      </c>
      <c r="U252" s="123" t="s">
        <v>954</v>
      </c>
      <c r="V252" s="122" t="s">
        <v>504</v>
      </c>
      <c r="W252" s="124"/>
      <c r="X252" s="123">
        <v>130.0</v>
      </c>
      <c r="Y252" s="123">
        <v>1.0</v>
      </c>
      <c r="Z252" s="123">
        <v>130.0</v>
      </c>
      <c r="AA252" s="123" t="s">
        <v>157</v>
      </c>
      <c r="AB252" s="123">
        <v>5501.0</v>
      </c>
      <c r="AC252" s="125">
        <v>46090.0</v>
      </c>
      <c r="AD252" s="123" t="s">
        <v>505</v>
      </c>
      <c r="AE252" s="123">
        <v>8538.0</v>
      </c>
      <c r="AF252" s="123" t="s">
        <v>969</v>
      </c>
      <c r="AG252" s="124"/>
      <c r="AH252" s="124"/>
      <c r="AI252" s="123">
        <v>130.0</v>
      </c>
      <c r="AJ252" s="123" t="s">
        <v>159</v>
      </c>
      <c r="AK252" s="123">
        <v>18.0</v>
      </c>
      <c r="AL252" s="123">
        <v>11.7</v>
      </c>
      <c r="AM252" s="123">
        <v>11.7</v>
      </c>
      <c r="AN252" s="123">
        <v>0.0</v>
      </c>
      <c r="AO252" s="123">
        <v>0.0</v>
      </c>
      <c r="AP252" s="123">
        <v>0.0</v>
      </c>
      <c r="AQ252" s="123">
        <v>0.0</v>
      </c>
      <c r="AR252" s="123">
        <v>0.0</v>
      </c>
      <c r="AS252" s="123">
        <v>0.0</v>
      </c>
      <c r="AT252" s="123">
        <v>0.0</v>
      </c>
      <c r="AU252" s="124"/>
      <c r="AV252" s="124"/>
      <c r="AW252" s="123">
        <v>0.0</v>
      </c>
      <c r="AX252" s="122">
        <v>153.4</v>
      </c>
      <c r="AY252" s="123" t="s">
        <v>31</v>
      </c>
      <c r="AZ252" s="123" t="s">
        <v>31</v>
      </c>
      <c r="BA252" s="123" t="s">
        <v>600</v>
      </c>
      <c r="BB252" s="123">
        <v>1.125113239E9</v>
      </c>
      <c r="BC252" s="123" t="s">
        <v>556</v>
      </c>
      <c r="BD252" s="123" t="s">
        <v>586</v>
      </c>
      <c r="BE252" s="124"/>
      <c r="BF252" s="124" t="s">
        <v>484</v>
      </c>
      <c r="BG252" s="124" t="s">
        <v>482</v>
      </c>
      <c r="BH252" s="123" t="s">
        <v>587</v>
      </c>
      <c r="BI252" s="171" t="s">
        <v>511</v>
      </c>
      <c r="BJ252" s="171" t="s">
        <v>512</v>
      </c>
      <c r="BK252" s="171" t="s">
        <v>513</v>
      </c>
      <c r="BL252" s="171">
        <v>841.5</v>
      </c>
      <c r="BM252" s="171">
        <v>38182.88</v>
      </c>
      <c r="BN252" s="171">
        <v>-37341.0</v>
      </c>
      <c r="BO252" s="171" t="s">
        <v>514</v>
      </c>
      <c r="BP252" s="171">
        <v>9158398.0</v>
      </c>
      <c r="BQ252" s="171" t="s">
        <v>484</v>
      </c>
      <c r="BR252" s="171" t="s">
        <v>479</v>
      </c>
      <c r="BS252" s="171">
        <v>37.0</v>
      </c>
    </row>
    <row r="253" ht="14.25" customHeight="1">
      <c r="A253" s="122" t="s">
        <v>493</v>
      </c>
      <c r="B253" s="123" t="s">
        <v>494</v>
      </c>
      <c r="C253" s="123">
        <v>107.0</v>
      </c>
      <c r="D253" s="123" t="s">
        <v>146</v>
      </c>
      <c r="E253" s="123" t="s">
        <v>147</v>
      </c>
      <c r="F253" s="124"/>
      <c r="G253" s="123" t="s">
        <v>149</v>
      </c>
      <c r="H253" s="123" t="s">
        <v>2</v>
      </c>
      <c r="I253" s="123" t="s">
        <v>495</v>
      </c>
      <c r="J253" s="123" t="s">
        <v>496</v>
      </c>
      <c r="K253" s="123" t="s">
        <v>497</v>
      </c>
      <c r="L253" s="123" t="s">
        <v>498</v>
      </c>
      <c r="M253" s="125">
        <v>46112.0</v>
      </c>
      <c r="N253" s="123">
        <v>5500.0</v>
      </c>
      <c r="O253" s="123">
        <v>9122840.0</v>
      </c>
      <c r="P253" s="125">
        <v>46090.0</v>
      </c>
      <c r="Q253" s="123" t="s">
        <v>500</v>
      </c>
      <c r="R253" s="123">
        <v>43683.0</v>
      </c>
      <c r="S253" s="123" t="s">
        <v>953</v>
      </c>
      <c r="T253" s="123" t="s">
        <v>713</v>
      </c>
      <c r="U253" s="123" t="s">
        <v>954</v>
      </c>
      <c r="V253" s="122" t="s">
        <v>504</v>
      </c>
      <c r="W253" s="124"/>
      <c r="X253" s="123">
        <v>1950.0</v>
      </c>
      <c r="Y253" s="123">
        <v>1.0</v>
      </c>
      <c r="Z253" s="123">
        <v>1950.0</v>
      </c>
      <c r="AA253" s="123" t="s">
        <v>157</v>
      </c>
      <c r="AB253" s="123">
        <v>5500.0</v>
      </c>
      <c r="AC253" s="125">
        <v>46090.0</v>
      </c>
      <c r="AD253" s="123" t="s">
        <v>505</v>
      </c>
      <c r="AE253" s="123">
        <v>3917.0</v>
      </c>
      <c r="AF253" s="123" t="s">
        <v>970</v>
      </c>
      <c r="AG253" s="124"/>
      <c r="AH253" s="124"/>
      <c r="AI253" s="123">
        <v>1950.0</v>
      </c>
      <c r="AJ253" s="123" t="s">
        <v>159</v>
      </c>
      <c r="AK253" s="123">
        <v>18.0</v>
      </c>
      <c r="AL253" s="123">
        <v>175.5</v>
      </c>
      <c r="AM253" s="123">
        <v>175.5</v>
      </c>
      <c r="AN253" s="123">
        <v>0.0</v>
      </c>
      <c r="AO253" s="123">
        <v>0.0</v>
      </c>
      <c r="AP253" s="123">
        <v>0.0</v>
      </c>
      <c r="AQ253" s="123">
        <v>0.0</v>
      </c>
      <c r="AR253" s="123">
        <v>0.0</v>
      </c>
      <c r="AS253" s="123">
        <v>0.0</v>
      </c>
      <c r="AT253" s="123">
        <v>0.0</v>
      </c>
      <c r="AU253" s="124"/>
      <c r="AV253" s="124"/>
      <c r="AW253" s="123">
        <v>0.0</v>
      </c>
      <c r="AX253" s="122">
        <v>2301.0</v>
      </c>
      <c r="AY253" s="123" t="s">
        <v>31</v>
      </c>
      <c r="AZ253" s="123" t="s">
        <v>31</v>
      </c>
      <c r="BA253" s="123" t="s">
        <v>600</v>
      </c>
      <c r="BB253" s="123">
        <v>1.125113238E9</v>
      </c>
      <c r="BC253" s="123" t="s">
        <v>556</v>
      </c>
      <c r="BD253" s="123" t="s">
        <v>586</v>
      </c>
      <c r="BE253" s="124"/>
      <c r="BF253" s="124" t="s">
        <v>484</v>
      </c>
      <c r="BG253" s="124" t="s">
        <v>482</v>
      </c>
      <c r="BH253" s="123" t="s">
        <v>587</v>
      </c>
      <c r="BI253" s="171" t="s">
        <v>511</v>
      </c>
      <c r="BJ253" s="171" t="s">
        <v>512</v>
      </c>
      <c r="BK253" s="171" t="s">
        <v>513</v>
      </c>
      <c r="BL253" s="171">
        <v>99.0</v>
      </c>
      <c r="BM253" s="171">
        <v>38182.88</v>
      </c>
      <c r="BN253" s="171">
        <v>-38084.0</v>
      </c>
      <c r="BO253" s="171" t="s">
        <v>514</v>
      </c>
      <c r="BP253" s="171">
        <v>9158398.0</v>
      </c>
      <c r="BQ253" s="171" t="s">
        <v>484</v>
      </c>
      <c r="BR253" s="171" t="s">
        <v>479</v>
      </c>
      <c r="BS253" s="171">
        <v>37.0</v>
      </c>
    </row>
    <row r="254" ht="14.25" customHeight="1">
      <c r="A254" s="122" t="s">
        <v>493</v>
      </c>
      <c r="B254" s="123" t="s">
        <v>494</v>
      </c>
      <c r="C254" s="123">
        <v>107.0</v>
      </c>
      <c r="D254" s="123" t="s">
        <v>146</v>
      </c>
      <c r="E254" s="123" t="s">
        <v>147</v>
      </c>
      <c r="F254" s="124"/>
      <c r="G254" s="123" t="s">
        <v>149</v>
      </c>
      <c r="H254" s="123" t="s">
        <v>2</v>
      </c>
      <c r="I254" s="123" t="s">
        <v>495</v>
      </c>
      <c r="J254" s="123" t="s">
        <v>496</v>
      </c>
      <c r="K254" s="123" t="s">
        <v>497</v>
      </c>
      <c r="L254" s="123" t="s">
        <v>498</v>
      </c>
      <c r="M254" s="125">
        <v>46112.0</v>
      </c>
      <c r="N254" s="123">
        <v>5501.0</v>
      </c>
      <c r="O254" s="123">
        <v>9122848.0</v>
      </c>
      <c r="P254" s="125">
        <v>46090.0</v>
      </c>
      <c r="Q254" s="123" t="s">
        <v>500</v>
      </c>
      <c r="R254" s="123">
        <v>43683.0</v>
      </c>
      <c r="S254" s="123" t="s">
        <v>953</v>
      </c>
      <c r="T254" s="123" t="s">
        <v>713</v>
      </c>
      <c r="U254" s="123" t="s">
        <v>954</v>
      </c>
      <c r="V254" s="122" t="s">
        <v>504</v>
      </c>
      <c r="W254" s="124"/>
      <c r="X254" s="123">
        <v>190.0</v>
      </c>
      <c r="Y254" s="123">
        <v>2.0</v>
      </c>
      <c r="Z254" s="123">
        <v>380.0</v>
      </c>
      <c r="AA254" s="123" t="s">
        <v>157</v>
      </c>
      <c r="AB254" s="123">
        <v>5501.0</v>
      </c>
      <c r="AC254" s="125">
        <v>46090.0</v>
      </c>
      <c r="AD254" s="123" t="s">
        <v>505</v>
      </c>
      <c r="AE254" s="123">
        <v>8537.0</v>
      </c>
      <c r="AF254" s="123" t="s">
        <v>971</v>
      </c>
      <c r="AG254" s="124"/>
      <c r="AH254" s="124"/>
      <c r="AI254" s="123">
        <v>380.0</v>
      </c>
      <c r="AJ254" s="123" t="s">
        <v>159</v>
      </c>
      <c r="AK254" s="123">
        <v>18.0</v>
      </c>
      <c r="AL254" s="123">
        <v>34.2</v>
      </c>
      <c r="AM254" s="123">
        <v>34.2</v>
      </c>
      <c r="AN254" s="123">
        <v>0.0</v>
      </c>
      <c r="AO254" s="123">
        <v>0.0</v>
      </c>
      <c r="AP254" s="123">
        <v>0.0</v>
      </c>
      <c r="AQ254" s="123">
        <v>0.0</v>
      </c>
      <c r="AR254" s="123">
        <v>0.0</v>
      </c>
      <c r="AS254" s="123">
        <v>0.0</v>
      </c>
      <c r="AT254" s="123">
        <v>0.0</v>
      </c>
      <c r="AU254" s="124"/>
      <c r="AV254" s="124"/>
      <c r="AW254" s="123">
        <v>0.0</v>
      </c>
      <c r="AX254" s="122">
        <v>448.4</v>
      </c>
      <c r="AY254" s="123" t="s">
        <v>31</v>
      </c>
      <c r="AZ254" s="123" t="s">
        <v>31</v>
      </c>
      <c r="BA254" s="123" t="s">
        <v>600</v>
      </c>
      <c r="BB254" s="123">
        <v>1.125113239E9</v>
      </c>
      <c r="BC254" s="123" t="s">
        <v>556</v>
      </c>
      <c r="BD254" s="123" t="s">
        <v>586</v>
      </c>
      <c r="BE254" s="124"/>
      <c r="BF254" s="124" t="s">
        <v>484</v>
      </c>
      <c r="BG254" s="124" t="s">
        <v>482</v>
      </c>
      <c r="BH254" s="123" t="s">
        <v>587</v>
      </c>
      <c r="BI254" s="171" t="s">
        <v>511</v>
      </c>
      <c r="BJ254" s="171" t="s">
        <v>512</v>
      </c>
      <c r="BK254" s="171" t="s">
        <v>519</v>
      </c>
      <c r="BL254" s="171">
        <v>1638.31</v>
      </c>
      <c r="BM254" s="171">
        <v>36494.74</v>
      </c>
      <c r="BN254" s="171">
        <v>-34856.0</v>
      </c>
      <c r="BO254" s="171" t="s">
        <v>514</v>
      </c>
      <c r="BP254" s="171">
        <v>9174963.0</v>
      </c>
      <c r="BQ254" s="171" t="s">
        <v>484</v>
      </c>
      <c r="BR254" s="171" t="s">
        <v>479</v>
      </c>
      <c r="BS254" s="171">
        <v>36.0</v>
      </c>
    </row>
    <row r="255" ht="14.25" customHeight="1">
      <c r="A255" s="122" t="s">
        <v>493</v>
      </c>
      <c r="B255" s="123" t="s">
        <v>494</v>
      </c>
      <c r="C255" s="123">
        <v>107.0</v>
      </c>
      <c r="D255" s="123" t="s">
        <v>146</v>
      </c>
      <c r="E255" s="123" t="s">
        <v>147</v>
      </c>
      <c r="F255" s="124"/>
      <c r="G255" s="123" t="s">
        <v>149</v>
      </c>
      <c r="H255" s="123" t="s">
        <v>2</v>
      </c>
      <c r="I255" s="123" t="s">
        <v>495</v>
      </c>
      <c r="J255" s="123" t="s">
        <v>496</v>
      </c>
      <c r="K255" s="123" t="s">
        <v>497</v>
      </c>
      <c r="L255" s="123" t="s">
        <v>498</v>
      </c>
      <c r="M255" s="125">
        <v>46112.0</v>
      </c>
      <c r="N255" s="123">
        <v>5500.0</v>
      </c>
      <c r="O255" s="123">
        <v>9122840.0</v>
      </c>
      <c r="P255" s="125">
        <v>46090.0</v>
      </c>
      <c r="Q255" s="123" t="s">
        <v>500</v>
      </c>
      <c r="R255" s="123">
        <v>43683.0</v>
      </c>
      <c r="S255" s="123" t="s">
        <v>953</v>
      </c>
      <c r="T255" s="123" t="s">
        <v>713</v>
      </c>
      <c r="U255" s="123" t="s">
        <v>954</v>
      </c>
      <c r="V255" s="122" t="s">
        <v>504</v>
      </c>
      <c r="W255" s="124"/>
      <c r="X255" s="123">
        <v>750.0</v>
      </c>
      <c r="Y255" s="123">
        <v>4.0</v>
      </c>
      <c r="Z255" s="123">
        <v>3000.0</v>
      </c>
      <c r="AA255" s="123" t="s">
        <v>157</v>
      </c>
      <c r="AB255" s="123">
        <v>5500.0</v>
      </c>
      <c r="AC255" s="125">
        <v>46090.0</v>
      </c>
      <c r="AD255" s="123" t="s">
        <v>505</v>
      </c>
      <c r="AE255" s="123">
        <v>9405.0</v>
      </c>
      <c r="AF255" s="123" t="s">
        <v>972</v>
      </c>
      <c r="AG255" s="124"/>
      <c r="AH255" s="124"/>
      <c r="AI255" s="123">
        <v>3000.0</v>
      </c>
      <c r="AJ255" s="123" t="s">
        <v>159</v>
      </c>
      <c r="AK255" s="123">
        <v>18.0</v>
      </c>
      <c r="AL255" s="123">
        <v>270.0</v>
      </c>
      <c r="AM255" s="123">
        <v>270.0</v>
      </c>
      <c r="AN255" s="123">
        <v>0.0</v>
      </c>
      <c r="AO255" s="123">
        <v>0.0</v>
      </c>
      <c r="AP255" s="123">
        <v>0.0</v>
      </c>
      <c r="AQ255" s="123">
        <v>0.0</v>
      </c>
      <c r="AR255" s="123">
        <v>0.0</v>
      </c>
      <c r="AS255" s="123">
        <v>0.0</v>
      </c>
      <c r="AT255" s="123">
        <v>0.0</v>
      </c>
      <c r="AU255" s="124"/>
      <c r="AV255" s="124"/>
      <c r="AW255" s="123">
        <v>0.0</v>
      </c>
      <c r="AX255" s="122">
        <v>3540.0</v>
      </c>
      <c r="AY255" s="123" t="s">
        <v>31</v>
      </c>
      <c r="AZ255" s="123" t="s">
        <v>31</v>
      </c>
      <c r="BA255" s="123" t="s">
        <v>600</v>
      </c>
      <c r="BB255" s="123">
        <v>1.125113238E9</v>
      </c>
      <c r="BC255" s="123" t="s">
        <v>556</v>
      </c>
      <c r="BD255" s="123" t="s">
        <v>586</v>
      </c>
      <c r="BE255" s="124"/>
      <c r="BF255" s="124" t="s">
        <v>484</v>
      </c>
      <c r="BG255" s="124" t="s">
        <v>482</v>
      </c>
      <c r="BH255" s="123" t="s">
        <v>587</v>
      </c>
      <c r="BI255" s="171" t="s">
        <v>511</v>
      </c>
      <c r="BJ255" s="171" t="s">
        <v>512</v>
      </c>
      <c r="BK255" s="171" t="s">
        <v>480</v>
      </c>
      <c r="BL255" s="171">
        <v>564.02</v>
      </c>
      <c r="BM255" s="171">
        <v>8534.42</v>
      </c>
      <c r="BN255" s="171">
        <v>-7970.0</v>
      </c>
      <c r="BO255" s="171" t="s">
        <v>514</v>
      </c>
      <c r="BP255" s="171">
        <v>9156749.0</v>
      </c>
      <c r="BQ255" s="171" t="s">
        <v>483</v>
      </c>
      <c r="BR255" s="171" t="s">
        <v>479</v>
      </c>
      <c r="BS255" s="171">
        <v>17.0</v>
      </c>
    </row>
    <row r="256" ht="14.25" customHeight="1">
      <c r="A256" s="122" t="s">
        <v>493</v>
      </c>
      <c r="B256" s="123" t="s">
        <v>494</v>
      </c>
      <c r="C256" s="123">
        <v>107.0</v>
      </c>
      <c r="D256" s="123" t="s">
        <v>146</v>
      </c>
      <c r="E256" s="123" t="s">
        <v>147</v>
      </c>
      <c r="F256" s="124"/>
      <c r="G256" s="124" t="s">
        <v>149</v>
      </c>
      <c r="H256" s="123" t="s">
        <v>2</v>
      </c>
      <c r="I256" s="123" t="s">
        <v>495</v>
      </c>
      <c r="J256" s="123" t="s">
        <v>496</v>
      </c>
      <c r="K256" s="123" t="s">
        <v>497</v>
      </c>
      <c r="L256" s="123" t="s">
        <v>498</v>
      </c>
      <c r="M256" s="125">
        <v>46112.0</v>
      </c>
      <c r="N256" s="123">
        <v>5500.0</v>
      </c>
      <c r="O256" s="123">
        <v>9122840.0</v>
      </c>
      <c r="P256" s="125">
        <v>46090.0</v>
      </c>
      <c r="Q256" s="123" t="s">
        <v>500</v>
      </c>
      <c r="R256" s="123">
        <v>43683.0</v>
      </c>
      <c r="S256" s="123" t="s">
        <v>953</v>
      </c>
      <c r="T256" s="123" t="s">
        <v>713</v>
      </c>
      <c r="U256" s="124" t="s">
        <v>954</v>
      </c>
      <c r="V256" s="122" t="s">
        <v>504</v>
      </c>
      <c r="W256" s="124"/>
      <c r="X256" s="123">
        <v>650.0</v>
      </c>
      <c r="Y256" s="123">
        <v>10.0</v>
      </c>
      <c r="Z256" s="123">
        <v>6500.0</v>
      </c>
      <c r="AA256" s="123" t="s">
        <v>157</v>
      </c>
      <c r="AB256" s="123">
        <v>5500.0</v>
      </c>
      <c r="AC256" s="125">
        <v>46090.0</v>
      </c>
      <c r="AD256" s="124" t="s">
        <v>505</v>
      </c>
      <c r="AE256" s="123">
        <v>9405.0</v>
      </c>
      <c r="AF256" s="123" t="s">
        <v>973</v>
      </c>
      <c r="AG256" s="124"/>
      <c r="AH256" s="124"/>
      <c r="AI256" s="123">
        <v>6500.0</v>
      </c>
      <c r="AJ256" s="123" t="s">
        <v>159</v>
      </c>
      <c r="AK256" s="123">
        <v>18.0</v>
      </c>
      <c r="AL256" s="123">
        <v>585.0</v>
      </c>
      <c r="AM256" s="123">
        <v>585.0</v>
      </c>
      <c r="AN256" s="123">
        <v>0.0</v>
      </c>
      <c r="AO256" s="123">
        <v>0.0</v>
      </c>
      <c r="AP256" s="123">
        <v>0.0</v>
      </c>
      <c r="AQ256" s="123">
        <v>0.0</v>
      </c>
      <c r="AR256" s="123">
        <v>0.0</v>
      </c>
      <c r="AS256" s="123">
        <v>0.0</v>
      </c>
      <c r="AT256" s="123">
        <v>0.0</v>
      </c>
      <c r="AU256" s="124"/>
      <c r="AV256" s="124"/>
      <c r="AW256" s="123">
        <v>0.0</v>
      </c>
      <c r="AX256" s="122">
        <v>7670.0</v>
      </c>
      <c r="AY256" s="123" t="s">
        <v>31</v>
      </c>
      <c r="AZ256" s="123" t="s">
        <v>31</v>
      </c>
      <c r="BA256" s="123" t="s">
        <v>600</v>
      </c>
      <c r="BB256" s="123">
        <v>1.125113238E9</v>
      </c>
      <c r="BC256" s="123" t="s">
        <v>556</v>
      </c>
      <c r="BD256" s="123" t="s">
        <v>586</v>
      </c>
      <c r="BE256" s="124"/>
      <c r="BF256" s="124" t="s">
        <v>484</v>
      </c>
      <c r="BG256" s="124" t="s">
        <v>482</v>
      </c>
      <c r="BH256" s="123" t="s">
        <v>587</v>
      </c>
      <c r="BI256" s="171" t="s">
        <v>511</v>
      </c>
      <c r="BJ256" s="171" t="s">
        <v>512</v>
      </c>
      <c r="BK256" s="171" t="s">
        <v>691</v>
      </c>
      <c r="BL256" s="171">
        <v>1800.0</v>
      </c>
      <c r="BM256" s="171" t="e">
        <v>#N/A</v>
      </c>
      <c r="BN256" s="171" t="e">
        <v>#N/A</v>
      </c>
      <c r="BO256" s="171" t="s">
        <v>544</v>
      </c>
      <c r="BP256" s="171">
        <v>9177454.0</v>
      </c>
      <c r="BQ256" s="171" t="s">
        <v>481</v>
      </c>
      <c r="BR256" s="171" t="s">
        <v>544</v>
      </c>
      <c r="BS256" s="171">
        <v>6.0</v>
      </c>
    </row>
    <row r="257" ht="14.25" customHeight="1">
      <c r="A257" s="122" t="s">
        <v>493</v>
      </c>
      <c r="B257" s="123" t="s">
        <v>494</v>
      </c>
      <c r="C257" s="123">
        <v>107.0</v>
      </c>
      <c r="D257" s="123" t="s">
        <v>146</v>
      </c>
      <c r="E257" s="123" t="s">
        <v>147</v>
      </c>
      <c r="F257" s="124"/>
      <c r="G257" s="124" t="s">
        <v>149</v>
      </c>
      <c r="H257" s="123" t="s">
        <v>2</v>
      </c>
      <c r="I257" s="123" t="s">
        <v>495</v>
      </c>
      <c r="J257" s="123" t="s">
        <v>496</v>
      </c>
      <c r="K257" s="123" t="s">
        <v>497</v>
      </c>
      <c r="L257" s="123" t="s">
        <v>498</v>
      </c>
      <c r="M257" s="125">
        <v>46112.0</v>
      </c>
      <c r="N257" s="123">
        <v>5500.0</v>
      </c>
      <c r="O257" s="123">
        <v>9122840.0</v>
      </c>
      <c r="P257" s="125">
        <v>46090.0</v>
      </c>
      <c r="Q257" s="123" t="s">
        <v>500</v>
      </c>
      <c r="R257" s="123">
        <v>43683.0</v>
      </c>
      <c r="S257" s="123" t="s">
        <v>953</v>
      </c>
      <c r="T257" s="123" t="s">
        <v>713</v>
      </c>
      <c r="U257" s="123" t="s">
        <v>954</v>
      </c>
      <c r="V257" s="122" t="s">
        <v>504</v>
      </c>
      <c r="W257" s="124"/>
      <c r="X257" s="123">
        <v>650.0</v>
      </c>
      <c r="Y257" s="123">
        <v>6.0</v>
      </c>
      <c r="Z257" s="123">
        <v>3900.0</v>
      </c>
      <c r="AA257" s="123" t="s">
        <v>157</v>
      </c>
      <c r="AB257" s="123">
        <v>5500.0</v>
      </c>
      <c r="AC257" s="125">
        <v>46090.0</v>
      </c>
      <c r="AD257" s="123" t="s">
        <v>505</v>
      </c>
      <c r="AE257" s="123">
        <v>9405.0</v>
      </c>
      <c r="AF257" s="123" t="s">
        <v>974</v>
      </c>
      <c r="AG257" s="124"/>
      <c r="AH257" s="124"/>
      <c r="AI257" s="123">
        <v>3900.0</v>
      </c>
      <c r="AJ257" s="123" t="s">
        <v>159</v>
      </c>
      <c r="AK257" s="123">
        <v>18.0</v>
      </c>
      <c r="AL257" s="123">
        <v>351.0</v>
      </c>
      <c r="AM257" s="123">
        <v>351.0</v>
      </c>
      <c r="AN257" s="123">
        <v>0.0</v>
      </c>
      <c r="AO257" s="123">
        <v>0.0</v>
      </c>
      <c r="AP257" s="123">
        <v>0.0</v>
      </c>
      <c r="AQ257" s="123">
        <v>0.0</v>
      </c>
      <c r="AR257" s="123">
        <v>0.0</v>
      </c>
      <c r="AS257" s="123">
        <v>0.0</v>
      </c>
      <c r="AT257" s="123">
        <v>0.0</v>
      </c>
      <c r="AU257" s="124"/>
      <c r="AV257" s="124"/>
      <c r="AW257" s="123">
        <v>0.0</v>
      </c>
      <c r="AX257" s="122">
        <v>4602.0</v>
      </c>
      <c r="AY257" s="123" t="s">
        <v>31</v>
      </c>
      <c r="AZ257" s="123" t="s">
        <v>31</v>
      </c>
      <c r="BA257" s="123" t="s">
        <v>600</v>
      </c>
      <c r="BB257" s="123">
        <v>1.125113238E9</v>
      </c>
      <c r="BC257" s="123" t="s">
        <v>556</v>
      </c>
      <c r="BD257" s="123" t="s">
        <v>586</v>
      </c>
      <c r="BE257" s="124"/>
      <c r="BF257" s="124" t="s">
        <v>484</v>
      </c>
      <c r="BG257" s="124" t="s">
        <v>482</v>
      </c>
      <c r="BH257" s="123" t="s">
        <v>587</v>
      </c>
      <c r="BI257" s="171" t="s">
        <v>511</v>
      </c>
      <c r="BJ257" s="171" t="s">
        <v>512</v>
      </c>
      <c r="BK257" s="171" t="s">
        <v>975</v>
      </c>
      <c r="BL257" s="171">
        <v>785.7</v>
      </c>
      <c r="BM257" s="171">
        <v>785.7</v>
      </c>
      <c r="BN257" s="171">
        <v>0.0</v>
      </c>
      <c r="BO257" s="171" t="s">
        <v>514</v>
      </c>
      <c r="BP257" s="171">
        <v>9156865.0</v>
      </c>
      <c r="BQ257" s="171" t="s">
        <v>483</v>
      </c>
      <c r="BR257" s="171" t="s">
        <v>479</v>
      </c>
      <c r="BS257" s="171">
        <v>1.0</v>
      </c>
    </row>
    <row r="258" ht="14.25" customHeight="1">
      <c r="A258" s="122" t="s">
        <v>493</v>
      </c>
      <c r="B258" s="123" t="s">
        <v>494</v>
      </c>
      <c r="C258" s="123">
        <v>107.0</v>
      </c>
      <c r="D258" s="123" t="s">
        <v>146</v>
      </c>
      <c r="E258" s="123" t="s">
        <v>147</v>
      </c>
      <c r="F258" s="124"/>
      <c r="G258" s="123" t="s">
        <v>149</v>
      </c>
      <c r="H258" s="123" t="s">
        <v>2</v>
      </c>
      <c r="I258" s="123" t="s">
        <v>495</v>
      </c>
      <c r="J258" s="123" t="s">
        <v>496</v>
      </c>
      <c r="K258" s="123" t="s">
        <v>497</v>
      </c>
      <c r="L258" s="123" t="s">
        <v>498</v>
      </c>
      <c r="M258" s="125">
        <v>46112.0</v>
      </c>
      <c r="N258" s="123">
        <v>5500.0</v>
      </c>
      <c r="O258" s="123">
        <v>9122840.0</v>
      </c>
      <c r="P258" s="125">
        <v>46090.0</v>
      </c>
      <c r="Q258" s="123" t="s">
        <v>500</v>
      </c>
      <c r="R258" s="123">
        <v>43683.0</v>
      </c>
      <c r="S258" s="123" t="s">
        <v>953</v>
      </c>
      <c r="T258" s="123" t="s">
        <v>713</v>
      </c>
      <c r="U258" s="123" t="s">
        <v>954</v>
      </c>
      <c r="V258" s="122" t="s">
        <v>504</v>
      </c>
      <c r="W258" s="124"/>
      <c r="X258" s="123">
        <v>4450.0</v>
      </c>
      <c r="Y258" s="123">
        <v>2.0</v>
      </c>
      <c r="Z258" s="123">
        <v>8900.0</v>
      </c>
      <c r="AA258" s="123" t="s">
        <v>157</v>
      </c>
      <c r="AB258" s="123">
        <v>5500.0</v>
      </c>
      <c r="AC258" s="125">
        <v>46090.0</v>
      </c>
      <c r="AD258" s="123" t="s">
        <v>505</v>
      </c>
      <c r="AE258" s="123">
        <v>8414.0</v>
      </c>
      <c r="AF258" s="123" t="s">
        <v>976</v>
      </c>
      <c r="AG258" s="124"/>
      <c r="AH258" s="124"/>
      <c r="AI258" s="123">
        <v>8900.0</v>
      </c>
      <c r="AJ258" s="123" t="s">
        <v>159</v>
      </c>
      <c r="AK258" s="123">
        <v>18.0</v>
      </c>
      <c r="AL258" s="123">
        <v>801.0</v>
      </c>
      <c r="AM258" s="123">
        <v>801.0</v>
      </c>
      <c r="AN258" s="123">
        <v>0.0</v>
      </c>
      <c r="AO258" s="123">
        <v>0.0</v>
      </c>
      <c r="AP258" s="123">
        <v>0.0</v>
      </c>
      <c r="AQ258" s="123">
        <v>0.0</v>
      </c>
      <c r="AR258" s="123">
        <v>0.0</v>
      </c>
      <c r="AS258" s="123">
        <v>0.0</v>
      </c>
      <c r="AT258" s="123">
        <v>0.0</v>
      </c>
      <c r="AU258" s="124"/>
      <c r="AV258" s="124"/>
      <c r="AW258" s="123">
        <v>0.0</v>
      </c>
      <c r="AX258" s="122">
        <v>10502.0</v>
      </c>
      <c r="AY258" s="123" t="s">
        <v>31</v>
      </c>
      <c r="AZ258" s="123" t="s">
        <v>31</v>
      </c>
      <c r="BA258" s="123" t="s">
        <v>600</v>
      </c>
      <c r="BB258" s="123">
        <v>1.125113238E9</v>
      </c>
      <c r="BC258" s="123" t="s">
        <v>556</v>
      </c>
      <c r="BD258" s="123" t="s">
        <v>586</v>
      </c>
      <c r="BE258" s="124"/>
      <c r="BF258" s="124" t="s">
        <v>484</v>
      </c>
      <c r="BG258" s="124" t="s">
        <v>482</v>
      </c>
      <c r="BH258" s="123" t="s">
        <v>587</v>
      </c>
      <c r="BI258" s="171" t="s">
        <v>511</v>
      </c>
      <c r="BJ258" s="171" t="s">
        <v>512</v>
      </c>
      <c r="BK258" s="171" t="s">
        <v>513</v>
      </c>
      <c r="BL258" s="171">
        <v>346.5</v>
      </c>
      <c r="BM258" s="171">
        <v>38182.88</v>
      </c>
      <c r="BN258" s="171">
        <v>-37836.0</v>
      </c>
      <c r="BO258" s="171" t="s">
        <v>514</v>
      </c>
      <c r="BP258" s="171">
        <v>9158398.0</v>
      </c>
      <c r="BQ258" s="171" t="s">
        <v>484</v>
      </c>
      <c r="BR258" s="171" t="s">
        <v>479</v>
      </c>
      <c r="BS258" s="171">
        <v>37.0</v>
      </c>
    </row>
    <row r="259" ht="14.25" customHeight="1">
      <c r="A259" s="122" t="s">
        <v>493</v>
      </c>
      <c r="B259" s="123" t="s">
        <v>494</v>
      </c>
      <c r="C259" s="123">
        <v>107.0</v>
      </c>
      <c r="D259" s="123" t="s">
        <v>146</v>
      </c>
      <c r="E259" s="123" t="s">
        <v>147</v>
      </c>
      <c r="F259" s="124"/>
      <c r="G259" s="123" t="s">
        <v>149</v>
      </c>
      <c r="H259" s="123" t="s">
        <v>2</v>
      </c>
      <c r="I259" s="123" t="s">
        <v>495</v>
      </c>
      <c r="J259" s="123" t="s">
        <v>496</v>
      </c>
      <c r="K259" s="123" t="s">
        <v>497</v>
      </c>
      <c r="L259" s="123" t="s">
        <v>498</v>
      </c>
      <c r="M259" s="125">
        <v>46112.0</v>
      </c>
      <c r="N259" s="123">
        <v>5500.0</v>
      </c>
      <c r="O259" s="123">
        <v>9122840.0</v>
      </c>
      <c r="P259" s="125">
        <v>46090.0</v>
      </c>
      <c r="Q259" s="123" t="s">
        <v>500</v>
      </c>
      <c r="R259" s="123">
        <v>43683.0</v>
      </c>
      <c r="S259" s="123" t="s">
        <v>953</v>
      </c>
      <c r="T259" s="123" t="s">
        <v>713</v>
      </c>
      <c r="U259" s="123" t="s">
        <v>954</v>
      </c>
      <c r="V259" s="122" t="s">
        <v>504</v>
      </c>
      <c r="W259" s="124"/>
      <c r="X259" s="123">
        <v>150.0</v>
      </c>
      <c r="Y259" s="123">
        <v>5.0</v>
      </c>
      <c r="Z259" s="123">
        <v>750.0</v>
      </c>
      <c r="AA259" s="123" t="s">
        <v>157</v>
      </c>
      <c r="AB259" s="123">
        <v>5500.0</v>
      </c>
      <c r="AC259" s="125">
        <v>46090.0</v>
      </c>
      <c r="AD259" s="123" t="s">
        <v>505</v>
      </c>
      <c r="AE259" s="123">
        <v>9405.0</v>
      </c>
      <c r="AF259" s="123" t="s">
        <v>977</v>
      </c>
      <c r="AG259" s="124"/>
      <c r="AH259" s="124"/>
      <c r="AI259" s="123">
        <v>750.0</v>
      </c>
      <c r="AJ259" s="123" t="s">
        <v>159</v>
      </c>
      <c r="AK259" s="123">
        <v>18.0</v>
      </c>
      <c r="AL259" s="123">
        <v>67.5</v>
      </c>
      <c r="AM259" s="123">
        <v>67.5</v>
      </c>
      <c r="AN259" s="123">
        <v>0.0</v>
      </c>
      <c r="AO259" s="123">
        <v>0.0</v>
      </c>
      <c r="AP259" s="123">
        <v>0.0</v>
      </c>
      <c r="AQ259" s="123">
        <v>0.0</v>
      </c>
      <c r="AR259" s="123">
        <v>0.0</v>
      </c>
      <c r="AS259" s="123">
        <v>0.0</v>
      </c>
      <c r="AT259" s="123">
        <v>0.0</v>
      </c>
      <c r="AU259" s="124"/>
      <c r="AV259" s="124"/>
      <c r="AW259" s="123">
        <v>0.0</v>
      </c>
      <c r="AX259" s="122">
        <v>885.0</v>
      </c>
      <c r="AY259" s="123" t="s">
        <v>31</v>
      </c>
      <c r="AZ259" s="123" t="s">
        <v>31</v>
      </c>
      <c r="BA259" s="123" t="s">
        <v>600</v>
      </c>
      <c r="BB259" s="123">
        <v>1.125113238E9</v>
      </c>
      <c r="BC259" s="123" t="s">
        <v>556</v>
      </c>
      <c r="BD259" s="123" t="s">
        <v>586</v>
      </c>
      <c r="BE259" s="124"/>
      <c r="BF259" s="124" t="s">
        <v>484</v>
      </c>
      <c r="BG259" s="124" t="s">
        <v>482</v>
      </c>
      <c r="BH259" s="123" t="s">
        <v>587</v>
      </c>
      <c r="BI259" s="171" t="s">
        <v>511</v>
      </c>
      <c r="BJ259" s="171" t="s">
        <v>512</v>
      </c>
      <c r="BK259" s="171" t="s">
        <v>519</v>
      </c>
      <c r="BL259" s="171">
        <v>825.1</v>
      </c>
      <c r="BM259" s="171">
        <v>36494.74</v>
      </c>
      <c r="BN259" s="171">
        <v>-35670.0</v>
      </c>
      <c r="BO259" s="171" t="s">
        <v>514</v>
      </c>
      <c r="BP259" s="171">
        <v>9174963.0</v>
      </c>
      <c r="BQ259" s="171" t="s">
        <v>484</v>
      </c>
      <c r="BR259" s="171" t="s">
        <v>479</v>
      </c>
      <c r="BS259" s="171">
        <v>36.0</v>
      </c>
    </row>
    <row r="260" ht="14.25" customHeight="1">
      <c r="A260" s="122" t="s">
        <v>493</v>
      </c>
      <c r="B260" s="123" t="s">
        <v>494</v>
      </c>
      <c r="C260" s="123">
        <v>107.0</v>
      </c>
      <c r="D260" s="123" t="s">
        <v>146</v>
      </c>
      <c r="E260" s="123" t="s">
        <v>147</v>
      </c>
      <c r="F260" s="124"/>
      <c r="G260" s="124" t="s">
        <v>149</v>
      </c>
      <c r="H260" s="123" t="s">
        <v>2</v>
      </c>
      <c r="I260" s="123" t="s">
        <v>495</v>
      </c>
      <c r="J260" s="123" t="s">
        <v>496</v>
      </c>
      <c r="K260" s="123" t="s">
        <v>497</v>
      </c>
      <c r="L260" s="123" t="s">
        <v>498</v>
      </c>
      <c r="M260" s="125">
        <v>46112.0</v>
      </c>
      <c r="N260" s="123">
        <v>5500.0</v>
      </c>
      <c r="O260" s="123">
        <v>9122840.0</v>
      </c>
      <c r="P260" s="125">
        <v>46090.0</v>
      </c>
      <c r="Q260" s="123" t="s">
        <v>500</v>
      </c>
      <c r="R260" s="123">
        <v>43683.0</v>
      </c>
      <c r="S260" s="123" t="s">
        <v>953</v>
      </c>
      <c r="T260" s="123" t="s">
        <v>713</v>
      </c>
      <c r="U260" s="123" t="s">
        <v>954</v>
      </c>
      <c r="V260" s="122" t="s">
        <v>504</v>
      </c>
      <c r="W260" s="124"/>
      <c r="X260" s="123">
        <v>190.0</v>
      </c>
      <c r="Y260" s="123">
        <v>3.0</v>
      </c>
      <c r="Z260" s="123">
        <v>570.0</v>
      </c>
      <c r="AA260" s="123" t="s">
        <v>157</v>
      </c>
      <c r="AB260" s="123">
        <v>5500.0</v>
      </c>
      <c r="AC260" s="125">
        <v>46090.0</v>
      </c>
      <c r="AD260" s="123" t="s">
        <v>505</v>
      </c>
      <c r="AE260" s="123">
        <v>3917.0</v>
      </c>
      <c r="AF260" s="123" t="s">
        <v>978</v>
      </c>
      <c r="AG260" s="124"/>
      <c r="AH260" s="124"/>
      <c r="AI260" s="123">
        <v>570.0</v>
      </c>
      <c r="AJ260" s="123" t="s">
        <v>159</v>
      </c>
      <c r="AK260" s="123">
        <v>18.0</v>
      </c>
      <c r="AL260" s="123">
        <v>51.3</v>
      </c>
      <c r="AM260" s="123">
        <v>51.3</v>
      </c>
      <c r="AN260" s="123">
        <v>0.0</v>
      </c>
      <c r="AO260" s="123">
        <v>0.0</v>
      </c>
      <c r="AP260" s="123">
        <v>0.0</v>
      </c>
      <c r="AQ260" s="123">
        <v>0.0</v>
      </c>
      <c r="AR260" s="123">
        <v>0.0</v>
      </c>
      <c r="AS260" s="123">
        <v>0.0</v>
      </c>
      <c r="AT260" s="123">
        <v>0.0</v>
      </c>
      <c r="AU260" s="124"/>
      <c r="AV260" s="124"/>
      <c r="AW260" s="123">
        <v>0.0</v>
      </c>
      <c r="AX260" s="122">
        <v>672.6</v>
      </c>
      <c r="AY260" s="123" t="s">
        <v>31</v>
      </c>
      <c r="AZ260" s="123" t="s">
        <v>31</v>
      </c>
      <c r="BA260" s="123" t="s">
        <v>600</v>
      </c>
      <c r="BB260" s="123">
        <v>1.125113238E9</v>
      </c>
      <c r="BC260" s="123" t="s">
        <v>556</v>
      </c>
      <c r="BD260" s="123" t="s">
        <v>586</v>
      </c>
      <c r="BE260" s="124"/>
      <c r="BF260" s="124" t="s">
        <v>484</v>
      </c>
      <c r="BG260" s="124" t="s">
        <v>482</v>
      </c>
      <c r="BH260" s="123" t="s">
        <v>587</v>
      </c>
      <c r="BI260" s="171" t="s">
        <v>511</v>
      </c>
      <c r="BJ260" s="171" t="s">
        <v>512</v>
      </c>
      <c r="BK260" s="171" t="s">
        <v>979</v>
      </c>
      <c r="BL260" s="171">
        <v>737.64</v>
      </c>
      <c r="BM260" s="171">
        <v>737.64</v>
      </c>
      <c r="BN260" s="171">
        <v>0.0</v>
      </c>
      <c r="BO260" s="171" t="s">
        <v>514</v>
      </c>
      <c r="BP260" s="171">
        <v>9164382.0</v>
      </c>
      <c r="BQ260" s="171" t="s">
        <v>483</v>
      </c>
      <c r="BR260" s="171" t="s">
        <v>479</v>
      </c>
      <c r="BS260" s="171">
        <v>1.0</v>
      </c>
    </row>
    <row r="261" ht="14.25" customHeight="1">
      <c r="A261" s="122" t="s">
        <v>493</v>
      </c>
      <c r="B261" s="123" t="s">
        <v>494</v>
      </c>
      <c r="C261" s="123">
        <v>107.0</v>
      </c>
      <c r="D261" s="123" t="s">
        <v>146</v>
      </c>
      <c r="E261" s="123" t="s">
        <v>147</v>
      </c>
      <c r="F261" s="124"/>
      <c r="G261" s="124" t="s">
        <v>149</v>
      </c>
      <c r="H261" s="123" t="s">
        <v>2</v>
      </c>
      <c r="I261" s="123" t="s">
        <v>495</v>
      </c>
      <c r="J261" s="123" t="s">
        <v>496</v>
      </c>
      <c r="K261" s="123" t="s">
        <v>497</v>
      </c>
      <c r="L261" s="123" t="s">
        <v>498</v>
      </c>
      <c r="M261" s="125">
        <v>46112.0</v>
      </c>
      <c r="N261" s="123">
        <v>5500.0</v>
      </c>
      <c r="O261" s="123">
        <v>9122840.0</v>
      </c>
      <c r="P261" s="125">
        <v>46090.0</v>
      </c>
      <c r="Q261" s="123" t="s">
        <v>500</v>
      </c>
      <c r="R261" s="123">
        <v>43683.0</v>
      </c>
      <c r="S261" s="123" t="s">
        <v>953</v>
      </c>
      <c r="T261" s="123" t="s">
        <v>713</v>
      </c>
      <c r="U261" s="124" t="s">
        <v>954</v>
      </c>
      <c r="V261" s="122" t="s">
        <v>504</v>
      </c>
      <c r="W261" s="124"/>
      <c r="X261" s="123">
        <v>160.0</v>
      </c>
      <c r="Y261" s="123">
        <v>1.0</v>
      </c>
      <c r="Z261" s="123">
        <v>160.0</v>
      </c>
      <c r="AA261" s="123" t="s">
        <v>157</v>
      </c>
      <c r="AB261" s="123">
        <v>5500.0</v>
      </c>
      <c r="AC261" s="125">
        <v>46090.0</v>
      </c>
      <c r="AD261" s="124" t="s">
        <v>505</v>
      </c>
      <c r="AE261" s="123">
        <v>8538.0</v>
      </c>
      <c r="AF261" s="123" t="s">
        <v>980</v>
      </c>
      <c r="AG261" s="124"/>
      <c r="AH261" s="124"/>
      <c r="AI261" s="123">
        <v>160.0</v>
      </c>
      <c r="AJ261" s="123" t="s">
        <v>159</v>
      </c>
      <c r="AK261" s="123">
        <v>18.0</v>
      </c>
      <c r="AL261" s="123">
        <v>14.4</v>
      </c>
      <c r="AM261" s="123">
        <v>14.4</v>
      </c>
      <c r="AN261" s="123">
        <v>0.0</v>
      </c>
      <c r="AO261" s="123">
        <v>0.0</v>
      </c>
      <c r="AP261" s="123">
        <v>0.0</v>
      </c>
      <c r="AQ261" s="123">
        <v>0.0</v>
      </c>
      <c r="AR261" s="123">
        <v>0.0</v>
      </c>
      <c r="AS261" s="123">
        <v>0.0</v>
      </c>
      <c r="AT261" s="123">
        <v>0.0</v>
      </c>
      <c r="AU261" s="124"/>
      <c r="AV261" s="124"/>
      <c r="AW261" s="123">
        <v>0.0</v>
      </c>
      <c r="AX261" s="122">
        <v>188.8</v>
      </c>
      <c r="AY261" s="123" t="s">
        <v>31</v>
      </c>
      <c r="AZ261" s="123" t="s">
        <v>31</v>
      </c>
      <c r="BA261" s="123" t="s">
        <v>600</v>
      </c>
      <c r="BB261" s="123">
        <v>1.125113238E9</v>
      </c>
      <c r="BC261" s="123" t="s">
        <v>556</v>
      </c>
      <c r="BD261" s="123" t="s">
        <v>586</v>
      </c>
      <c r="BE261" s="124"/>
      <c r="BF261" s="124" t="s">
        <v>484</v>
      </c>
      <c r="BG261" s="124" t="s">
        <v>482</v>
      </c>
      <c r="BH261" s="123" t="s">
        <v>587</v>
      </c>
      <c r="BI261" s="171" t="s">
        <v>511</v>
      </c>
      <c r="BJ261" s="171" t="s">
        <v>512</v>
      </c>
      <c r="BK261" s="171" t="s">
        <v>691</v>
      </c>
      <c r="BL261" s="171">
        <v>4500.0</v>
      </c>
      <c r="BM261" s="171" t="e">
        <v>#N/A</v>
      </c>
      <c r="BN261" s="171" t="e">
        <v>#N/A</v>
      </c>
      <c r="BO261" s="171" t="s">
        <v>544</v>
      </c>
      <c r="BP261" s="171">
        <v>9177454.0</v>
      </c>
      <c r="BQ261" s="171" t="s">
        <v>481</v>
      </c>
      <c r="BR261" s="171" t="s">
        <v>544</v>
      </c>
      <c r="BS261" s="171">
        <v>6.0</v>
      </c>
    </row>
    <row r="262" ht="14.25" customHeight="1">
      <c r="A262" s="122" t="s">
        <v>493</v>
      </c>
      <c r="B262" s="123" t="s">
        <v>494</v>
      </c>
      <c r="C262" s="123">
        <v>107.0</v>
      </c>
      <c r="D262" s="123" t="s">
        <v>146</v>
      </c>
      <c r="E262" s="123" t="s">
        <v>147</v>
      </c>
      <c r="F262" s="124"/>
      <c r="G262" s="124" t="s">
        <v>149</v>
      </c>
      <c r="H262" s="123" t="s">
        <v>2</v>
      </c>
      <c r="I262" s="123" t="s">
        <v>495</v>
      </c>
      <c r="J262" s="123" t="s">
        <v>496</v>
      </c>
      <c r="K262" s="123" t="s">
        <v>497</v>
      </c>
      <c r="L262" s="123" t="s">
        <v>498</v>
      </c>
      <c r="M262" s="125">
        <v>46112.0</v>
      </c>
      <c r="N262" s="123">
        <v>5500.0</v>
      </c>
      <c r="O262" s="123">
        <v>9122840.0</v>
      </c>
      <c r="P262" s="125">
        <v>46090.0</v>
      </c>
      <c r="Q262" s="123" t="s">
        <v>500</v>
      </c>
      <c r="R262" s="123">
        <v>43683.0</v>
      </c>
      <c r="S262" s="123" t="s">
        <v>953</v>
      </c>
      <c r="T262" s="123" t="s">
        <v>713</v>
      </c>
      <c r="U262" s="124" t="s">
        <v>954</v>
      </c>
      <c r="V262" s="124" t="s">
        <v>504</v>
      </c>
      <c r="W262" s="124"/>
      <c r="X262" s="123">
        <v>300.0</v>
      </c>
      <c r="Y262" s="123">
        <v>3.0</v>
      </c>
      <c r="Z262" s="123">
        <v>900.0</v>
      </c>
      <c r="AA262" s="123" t="s">
        <v>157</v>
      </c>
      <c r="AB262" s="123">
        <v>5500.0</v>
      </c>
      <c r="AC262" s="125">
        <v>46090.0</v>
      </c>
      <c r="AD262" s="124" t="s">
        <v>505</v>
      </c>
      <c r="AE262" s="123">
        <v>8538.0</v>
      </c>
      <c r="AF262" s="123" t="s">
        <v>981</v>
      </c>
      <c r="AG262" s="124"/>
      <c r="AH262" s="124"/>
      <c r="AI262" s="123">
        <v>900.0</v>
      </c>
      <c r="AJ262" s="123" t="s">
        <v>159</v>
      </c>
      <c r="AK262" s="123">
        <v>18.0</v>
      </c>
      <c r="AL262" s="123">
        <v>81.0</v>
      </c>
      <c r="AM262" s="123">
        <v>81.0</v>
      </c>
      <c r="AN262" s="123">
        <v>0.0</v>
      </c>
      <c r="AO262" s="123">
        <v>0.0</v>
      </c>
      <c r="AP262" s="123">
        <v>0.0</v>
      </c>
      <c r="AQ262" s="123">
        <v>0.0</v>
      </c>
      <c r="AR262" s="123">
        <v>0.0</v>
      </c>
      <c r="AS262" s="123">
        <v>0.0</v>
      </c>
      <c r="AT262" s="123">
        <v>0.0</v>
      </c>
      <c r="AU262" s="124"/>
      <c r="AV262" s="124"/>
      <c r="AW262" s="123">
        <v>0.0</v>
      </c>
      <c r="AX262" s="122">
        <v>1062.0</v>
      </c>
      <c r="AY262" s="123" t="s">
        <v>31</v>
      </c>
      <c r="AZ262" s="123" t="s">
        <v>31</v>
      </c>
      <c r="BA262" s="123" t="s">
        <v>600</v>
      </c>
      <c r="BB262" s="123">
        <v>1.125113238E9</v>
      </c>
      <c r="BC262" s="123" t="s">
        <v>556</v>
      </c>
      <c r="BD262" s="123" t="s">
        <v>586</v>
      </c>
      <c r="BE262" s="124"/>
      <c r="BF262" s="124" t="s">
        <v>484</v>
      </c>
      <c r="BG262" s="124" t="s">
        <v>482</v>
      </c>
      <c r="BH262" s="123" t="s">
        <v>587</v>
      </c>
      <c r="BI262" s="171" t="s">
        <v>511</v>
      </c>
      <c r="BJ262" s="171" t="s">
        <v>512</v>
      </c>
      <c r="BK262" s="171" t="s">
        <v>743</v>
      </c>
      <c r="BL262" s="171">
        <v>1440.0</v>
      </c>
      <c r="BM262" s="171" t="e">
        <v>#N/A</v>
      </c>
      <c r="BN262" s="171" t="e">
        <v>#N/A</v>
      </c>
      <c r="BO262" s="171" t="s">
        <v>544</v>
      </c>
      <c r="BP262" s="171">
        <v>9164021.0</v>
      </c>
      <c r="BQ262" s="171" t="s">
        <v>481</v>
      </c>
      <c r="BR262" s="171" t="s">
        <v>544</v>
      </c>
      <c r="BS262" s="171">
        <v>5.0</v>
      </c>
    </row>
    <row r="263" ht="14.25" customHeight="1">
      <c r="A263" s="122" t="s">
        <v>493</v>
      </c>
      <c r="B263" s="123" t="s">
        <v>494</v>
      </c>
      <c r="C263" s="123">
        <v>107.0</v>
      </c>
      <c r="D263" s="123" t="s">
        <v>146</v>
      </c>
      <c r="E263" s="123" t="s">
        <v>147</v>
      </c>
      <c r="F263" s="124"/>
      <c r="G263" s="124" t="s">
        <v>149</v>
      </c>
      <c r="H263" s="123" t="s">
        <v>2</v>
      </c>
      <c r="I263" s="123" t="s">
        <v>495</v>
      </c>
      <c r="J263" s="123" t="s">
        <v>496</v>
      </c>
      <c r="K263" s="123" t="s">
        <v>497</v>
      </c>
      <c r="L263" s="123" t="s">
        <v>498</v>
      </c>
      <c r="M263" s="125">
        <v>46112.0</v>
      </c>
      <c r="N263" s="123">
        <v>5500.0</v>
      </c>
      <c r="O263" s="123">
        <v>9122840.0</v>
      </c>
      <c r="P263" s="125">
        <v>46090.0</v>
      </c>
      <c r="Q263" s="123" t="s">
        <v>500</v>
      </c>
      <c r="R263" s="123">
        <v>43683.0</v>
      </c>
      <c r="S263" s="123" t="s">
        <v>953</v>
      </c>
      <c r="T263" s="123" t="s">
        <v>713</v>
      </c>
      <c r="U263" s="124" t="s">
        <v>954</v>
      </c>
      <c r="V263" s="124" t="s">
        <v>504</v>
      </c>
      <c r="W263" s="124"/>
      <c r="X263" s="123">
        <v>70.0</v>
      </c>
      <c r="Y263" s="123">
        <v>2.0</v>
      </c>
      <c r="Z263" s="123">
        <v>140.0</v>
      </c>
      <c r="AA263" s="123" t="s">
        <v>157</v>
      </c>
      <c r="AB263" s="123">
        <v>5500.0</v>
      </c>
      <c r="AC263" s="125">
        <v>46090.0</v>
      </c>
      <c r="AD263" s="124" t="s">
        <v>505</v>
      </c>
      <c r="AE263" s="123">
        <v>8538.0</v>
      </c>
      <c r="AF263" s="123" t="s">
        <v>982</v>
      </c>
      <c r="AG263" s="124"/>
      <c r="AH263" s="124"/>
      <c r="AI263" s="123">
        <v>140.0</v>
      </c>
      <c r="AJ263" s="123" t="s">
        <v>159</v>
      </c>
      <c r="AK263" s="123">
        <v>18.0</v>
      </c>
      <c r="AL263" s="123">
        <v>12.6</v>
      </c>
      <c r="AM263" s="123">
        <v>12.6</v>
      </c>
      <c r="AN263" s="123">
        <v>0.0</v>
      </c>
      <c r="AO263" s="123">
        <v>0.0</v>
      </c>
      <c r="AP263" s="123">
        <v>0.0</v>
      </c>
      <c r="AQ263" s="123">
        <v>0.0</v>
      </c>
      <c r="AR263" s="123">
        <v>0.0</v>
      </c>
      <c r="AS263" s="123">
        <v>0.0</v>
      </c>
      <c r="AT263" s="123">
        <v>0.0</v>
      </c>
      <c r="AU263" s="124"/>
      <c r="AV263" s="124"/>
      <c r="AW263" s="123">
        <v>0.0</v>
      </c>
      <c r="AX263" s="122">
        <v>165.2</v>
      </c>
      <c r="AY263" s="123" t="s">
        <v>31</v>
      </c>
      <c r="AZ263" s="123" t="s">
        <v>31</v>
      </c>
      <c r="BA263" s="123" t="s">
        <v>600</v>
      </c>
      <c r="BB263" s="123">
        <v>1.125113238E9</v>
      </c>
      <c r="BC263" s="123" t="s">
        <v>556</v>
      </c>
      <c r="BD263" s="123" t="s">
        <v>586</v>
      </c>
      <c r="BE263" s="124"/>
      <c r="BF263" s="124" t="s">
        <v>484</v>
      </c>
      <c r="BG263" s="124" t="s">
        <v>482</v>
      </c>
      <c r="BH263" s="123" t="s">
        <v>587</v>
      </c>
      <c r="BI263" s="171" t="s">
        <v>511</v>
      </c>
      <c r="BJ263" s="171" t="s">
        <v>512</v>
      </c>
      <c r="BK263" s="171" t="s">
        <v>623</v>
      </c>
      <c r="BL263" s="171">
        <v>18.0</v>
      </c>
      <c r="BM263" s="171" t="e">
        <v>#N/A</v>
      </c>
      <c r="BN263" s="171" t="e">
        <v>#N/A</v>
      </c>
      <c r="BO263" s="171" t="s">
        <v>544</v>
      </c>
      <c r="BP263" s="171">
        <v>9164022.0</v>
      </c>
      <c r="BQ263" s="171" t="s">
        <v>481</v>
      </c>
      <c r="BR263" s="171" t="s">
        <v>544</v>
      </c>
      <c r="BS263" s="171">
        <v>3.0</v>
      </c>
    </row>
    <row r="264" ht="14.25" customHeight="1">
      <c r="A264" s="181" t="s">
        <v>493</v>
      </c>
      <c r="B264" s="182" t="s">
        <v>494</v>
      </c>
      <c r="C264" s="182">
        <v>107.0</v>
      </c>
      <c r="D264" s="182" t="s">
        <v>146</v>
      </c>
      <c r="E264" s="182" t="s">
        <v>147</v>
      </c>
      <c r="F264" s="183"/>
      <c r="G264" s="183" t="s">
        <v>149</v>
      </c>
      <c r="H264" s="181" t="s">
        <v>2</v>
      </c>
      <c r="I264" s="182" t="s">
        <v>495</v>
      </c>
      <c r="J264" s="182" t="s">
        <v>496</v>
      </c>
      <c r="K264" s="182" t="s">
        <v>497</v>
      </c>
      <c r="L264" s="182" t="s">
        <v>498</v>
      </c>
      <c r="M264" s="184">
        <v>46112.0</v>
      </c>
      <c r="N264" s="182">
        <v>5500.0</v>
      </c>
      <c r="O264" s="182">
        <v>9122840.0</v>
      </c>
      <c r="P264" s="184">
        <v>46090.0</v>
      </c>
      <c r="Q264" s="182" t="s">
        <v>500</v>
      </c>
      <c r="R264" s="182">
        <v>43683.0</v>
      </c>
      <c r="S264" s="182" t="s">
        <v>953</v>
      </c>
      <c r="T264" s="182" t="s">
        <v>713</v>
      </c>
      <c r="U264" s="182" t="s">
        <v>954</v>
      </c>
      <c r="V264" s="183" t="s">
        <v>504</v>
      </c>
      <c r="W264" s="183"/>
      <c r="X264" s="182">
        <v>120.0</v>
      </c>
      <c r="Y264" s="182">
        <v>3.0</v>
      </c>
      <c r="Z264" s="182">
        <v>360.0</v>
      </c>
      <c r="AA264" s="182" t="s">
        <v>157</v>
      </c>
      <c r="AB264" s="182">
        <v>5500.0</v>
      </c>
      <c r="AC264" s="184">
        <v>46090.0</v>
      </c>
      <c r="AD264" s="183" t="s">
        <v>505</v>
      </c>
      <c r="AE264" s="182">
        <v>9405.0</v>
      </c>
      <c r="AF264" s="182" t="s">
        <v>983</v>
      </c>
      <c r="AG264" s="182"/>
      <c r="AH264" s="182"/>
      <c r="AI264" s="182">
        <v>360.0</v>
      </c>
      <c r="AJ264" s="182" t="s">
        <v>159</v>
      </c>
      <c r="AK264" s="182">
        <v>18.0</v>
      </c>
      <c r="AL264" s="182">
        <v>32.4</v>
      </c>
      <c r="AM264" s="182">
        <v>32.4</v>
      </c>
      <c r="AN264" s="182">
        <v>0.0</v>
      </c>
      <c r="AO264" s="182">
        <v>0.0</v>
      </c>
      <c r="AP264" s="182">
        <v>0.0</v>
      </c>
      <c r="AQ264" s="182">
        <v>0.0</v>
      </c>
      <c r="AR264" s="182">
        <v>0.0</v>
      </c>
      <c r="AS264" s="181">
        <v>0.0</v>
      </c>
      <c r="AT264" s="182">
        <v>0.0</v>
      </c>
      <c r="AU264" s="183"/>
      <c r="AV264" s="183"/>
      <c r="AW264" s="182">
        <v>0.0</v>
      </c>
      <c r="AX264" s="182">
        <v>424.8</v>
      </c>
      <c r="AY264" s="182" t="s">
        <v>31</v>
      </c>
      <c r="AZ264" s="182" t="s">
        <v>31</v>
      </c>
      <c r="BA264" s="182" t="s">
        <v>600</v>
      </c>
      <c r="BB264" s="182">
        <v>1.125113238E9</v>
      </c>
      <c r="BC264" s="182" t="s">
        <v>556</v>
      </c>
      <c r="BD264" s="182" t="s">
        <v>586</v>
      </c>
      <c r="BE264" s="183"/>
      <c r="BF264" s="183" t="s">
        <v>484</v>
      </c>
      <c r="BG264" s="183" t="s">
        <v>482</v>
      </c>
      <c r="BH264" s="182" t="s">
        <v>587</v>
      </c>
      <c r="BI264" s="171" t="s">
        <v>511</v>
      </c>
      <c r="BJ264" s="171" t="s">
        <v>512</v>
      </c>
      <c r="BK264" s="171" t="s">
        <v>984</v>
      </c>
      <c r="BL264" s="171">
        <v>1782.0</v>
      </c>
      <c r="BM264" s="171">
        <v>7367.4</v>
      </c>
      <c r="BN264" s="171">
        <v>-5585.0</v>
      </c>
      <c r="BO264" s="171" t="s">
        <v>514</v>
      </c>
      <c r="BP264" s="171">
        <v>9122840.0</v>
      </c>
      <c r="BQ264" s="171" t="s">
        <v>484</v>
      </c>
      <c r="BR264" s="171" t="s">
        <v>479</v>
      </c>
      <c r="BS264" s="171">
        <v>17.0</v>
      </c>
    </row>
    <row r="265" ht="14.25" customHeight="1">
      <c r="A265" s="181" t="s">
        <v>493</v>
      </c>
      <c r="B265" s="182" t="s">
        <v>494</v>
      </c>
      <c r="C265" s="182">
        <v>107.0</v>
      </c>
      <c r="D265" s="182" t="s">
        <v>146</v>
      </c>
      <c r="E265" s="182" t="s">
        <v>147</v>
      </c>
      <c r="F265" s="183"/>
      <c r="G265" s="183" t="s">
        <v>149</v>
      </c>
      <c r="H265" s="181" t="s">
        <v>2</v>
      </c>
      <c r="I265" s="182" t="s">
        <v>495</v>
      </c>
      <c r="J265" s="182" t="s">
        <v>496</v>
      </c>
      <c r="K265" s="182" t="s">
        <v>497</v>
      </c>
      <c r="L265" s="182" t="s">
        <v>498</v>
      </c>
      <c r="M265" s="184">
        <v>46112.0</v>
      </c>
      <c r="N265" s="182">
        <v>5500.0</v>
      </c>
      <c r="O265" s="182">
        <v>9122840.0</v>
      </c>
      <c r="P265" s="184">
        <v>46090.0</v>
      </c>
      <c r="Q265" s="182" t="s">
        <v>500</v>
      </c>
      <c r="R265" s="182">
        <v>43683.0</v>
      </c>
      <c r="S265" s="182" t="s">
        <v>953</v>
      </c>
      <c r="T265" s="182" t="s">
        <v>713</v>
      </c>
      <c r="U265" s="182" t="s">
        <v>954</v>
      </c>
      <c r="V265" s="183" t="s">
        <v>504</v>
      </c>
      <c r="W265" s="183"/>
      <c r="X265" s="182">
        <v>120.0</v>
      </c>
      <c r="Y265" s="182">
        <v>6.0</v>
      </c>
      <c r="Z265" s="182">
        <v>720.0</v>
      </c>
      <c r="AA265" s="182" t="s">
        <v>157</v>
      </c>
      <c r="AB265" s="182">
        <v>5500.0</v>
      </c>
      <c r="AC265" s="184">
        <v>46090.0</v>
      </c>
      <c r="AD265" s="183" t="s">
        <v>505</v>
      </c>
      <c r="AE265" s="182">
        <v>8536.0</v>
      </c>
      <c r="AF265" s="182" t="s">
        <v>985</v>
      </c>
      <c r="AG265" s="182"/>
      <c r="AH265" s="182"/>
      <c r="AI265" s="182">
        <v>720.0</v>
      </c>
      <c r="AJ265" s="182" t="s">
        <v>159</v>
      </c>
      <c r="AK265" s="182">
        <v>18.0</v>
      </c>
      <c r="AL265" s="182">
        <v>64.8</v>
      </c>
      <c r="AM265" s="182">
        <v>64.8</v>
      </c>
      <c r="AN265" s="182">
        <v>0.0</v>
      </c>
      <c r="AO265" s="182">
        <v>0.0</v>
      </c>
      <c r="AP265" s="182">
        <v>0.0</v>
      </c>
      <c r="AQ265" s="182">
        <v>0.0</v>
      </c>
      <c r="AR265" s="182">
        <v>0.0</v>
      </c>
      <c r="AS265" s="181">
        <v>0.0</v>
      </c>
      <c r="AT265" s="182">
        <v>0.0</v>
      </c>
      <c r="AU265" s="183"/>
      <c r="AV265" s="183"/>
      <c r="AW265" s="182">
        <v>0.0</v>
      </c>
      <c r="AX265" s="182">
        <v>849.6</v>
      </c>
      <c r="AY265" s="182" t="s">
        <v>31</v>
      </c>
      <c r="AZ265" s="182" t="s">
        <v>31</v>
      </c>
      <c r="BA265" s="182" t="s">
        <v>600</v>
      </c>
      <c r="BB265" s="182">
        <v>1.125113238E9</v>
      </c>
      <c r="BC265" s="182" t="s">
        <v>556</v>
      </c>
      <c r="BD265" s="182" t="s">
        <v>586</v>
      </c>
      <c r="BE265" s="183"/>
      <c r="BF265" s="183" t="s">
        <v>484</v>
      </c>
      <c r="BG265" s="183" t="s">
        <v>482</v>
      </c>
      <c r="BH265" s="182" t="s">
        <v>587</v>
      </c>
      <c r="BI265" s="171" t="s">
        <v>511</v>
      </c>
      <c r="BJ265" s="171" t="s">
        <v>512</v>
      </c>
      <c r="BK265" s="171" t="s">
        <v>984</v>
      </c>
      <c r="BL265" s="171">
        <v>16.2</v>
      </c>
      <c r="BM265" s="171">
        <v>7367.4</v>
      </c>
      <c r="BN265" s="171">
        <v>-7351.0</v>
      </c>
      <c r="BO265" s="171" t="s">
        <v>514</v>
      </c>
      <c r="BP265" s="171">
        <v>9122840.0</v>
      </c>
      <c r="BQ265" s="171" t="s">
        <v>484</v>
      </c>
      <c r="BR265" s="171" t="s">
        <v>479</v>
      </c>
      <c r="BS265" s="171">
        <v>17.0</v>
      </c>
    </row>
    <row r="266" ht="14.25" customHeight="1">
      <c r="A266" s="181" t="s">
        <v>493</v>
      </c>
      <c r="B266" s="182" t="s">
        <v>494</v>
      </c>
      <c r="C266" s="182">
        <v>107.0</v>
      </c>
      <c r="D266" s="182" t="s">
        <v>146</v>
      </c>
      <c r="E266" s="182" t="s">
        <v>147</v>
      </c>
      <c r="F266" s="183"/>
      <c r="G266" s="183" t="s">
        <v>149</v>
      </c>
      <c r="H266" s="181" t="s">
        <v>2</v>
      </c>
      <c r="I266" s="182" t="s">
        <v>495</v>
      </c>
      <c r="J266" s="182" t="s">
        <v>496</v>
      </c>
      <c r="K266" s="182" t="s">
        <v>497</v>
      </c>
      <c r="L266" s="182" t="s">
        <v>498</v>
      </c>
      <c r="M266" s="184">
        <v>46112.0</v>
      </c>
      <c r="N266" s="182">
        <v>5500.0</v>
      </c>
      <c r="O266" s="182">
        <v>9122840.0</v>
      </c>
      <c r="P266" s="184">
        <v>46090.0</v>
      </c>
      <c r="Q266" s="182" t="s">
        <v>500</v>
      </c>
      <c r="R266" s="182">
        <v>43683.0</v>
      </c>
      <c r="S266" s="182" t="s">
        <v>953</v>
      </c>
      <c r="T266" s="182" t="s">
        <v>713</v>
      </c>
      <c r="U266" s="182" t="s">
        <v>954</v>
      </c>
      <c r="V266" s="183" t="s">
        <v>504</v>
      </c>
      <c r="W266" s="183"/>
      <c r="X266" s="182">
        <v>30.0</v>
      </c>
      <c r="Y266" s="182">
        <v>4.0</v>
      </c>
      <c r="Z266" s="182">
        <v>120.0</v>
      </c>
      <c r="AA266" s="182" t="s">
        <v>157</v>
      </c>
      <c r="AB266" s="182">
        <v>5500.0</v>
      </c>
      <c r="AC266" s="184">
        <v>46090.0</v>
      </c>
      <c r="AD266" s="183" t="s">
        <v>505</v>
      </c>
      <c r="AE266" s="182">
        <v>8538.0</v>
      </c>
      <c r="AF266" s="182" t="s">
        <v>986</v>
      </c>
      <c r="AG266" s="182"/>
      <c r="AH266" s="182"/>
      <c r="AI266" s="182">
        <v>120.0</v>
      </c>
      <c r="AJ266" s="182" t="s">
        <v>159</v>
      </c>
      <c r="AK266" s="182">
        <v>18.0</v>
      </c>
      <c r="AL266" s="182">
        <v>10.8</v>
      </c>
      <c r="AM266" s="182">
        <v>10.8</v>
      </c>
      <c r="AN266" s="182">
        <v>0.0</v>
      </c>
      <c r="AO266" s="182">
        <v>0.0</v>
      </c>
      <c r="AP266" s="182">
        <v>0.0</v>
      </c>
      <c r="AQ266" s="182">
        <v>0.0</v>
      </c>
      <c r="AR266" s="182">
        <v>0.0</v>
      </c>
      <c r="AS266" s="181">
        <v>0.0</v>
      </c>
      <c r="AT266" s="182">
        <v>0.0</v>
      </c>
      <c r="AU266" s="183"/>
      <c r="AV266" s="183"/>
      <c r="AW266" s="182">
        <v>0.0</v>
      </c>
      <c r="AX266" s="182">
        <v>141.6</v>
      </c>
      <c r="AY266" s="182" t="s">
        <v>31</v>
      </c>
      <c r="AZ266" s="182" t="s">
        <v>31</v>
      </c>
      <c r="BA266" s="182" t="s">
        <v>600</v>
      </c>
      <c r="BB266" s="182">
        <v>1.125113238E9</v>
      </c>
      <c r="BC266" s="182" t="s">
        <v>556</v>
      </c>
      <c r="BD266" s="182" t="s">
        <v>586</v>
      </c>
      <c r="BE266" s="183"/>
      <c r="BF266" s="183" t="s">
        <v>484</v>
      </c>
      <c r="BG266" s="183" t="s">
        <v>482</v>
      </c>
      <c r="BH266" s="182" t="s">
        <v>587</v>
      </c>
      <c r="BI266" s="171" t="s">
        <v>511</v>
      </c>
      <c r="BJ266" s="171" t="s">
        <v>512</v>
      </c>
      <c r="BK266" s="171" t="s">
        <v>987</v>
      </c>
      <c r="BL266" s="171">
        <v>40249.44</v>
      </c>
      <c r="BM266" s="171">
        <v>40249.44</v>
      </c>
      <c r="BN266" s="171">
        <v>0.0</v>
      </c>
      <c r="BO266" s="171" t="s">
        <v>514</v>
      </c>
      <c r="BP266" s="171">
        <v>9140710.0</v>
      </c>
      <c r="BQ266" s="171" t="s">
        <v>483</v>
      </c>
      <c r="BR266" s="171" t="s">
        <v>479</v>
      </c>
      <c r="BS266" s="171">
        <v>1.0</v>
      </c>
    </row>
    <row r="267" ht="14.25" customHeight="1">
      <c r="A267" s="181" t="s">
        <v>493</v>
      </c>
      <c r="B267" s="182" t="s">
        <v>494</v>
      </c>
      <c r="C267" s="182">
        <v>107.0</v>
      </c>
      <c r="D267" s="182" t="s">
        <v>146</v>
      </c>
      <c r="E267" s="182" t="s">
        <v>147</v>
      </c>
      <c r="F267" s="183"/>
      <c r="G267" s="183" t="s">
        <v>149</v>
      </c>
      <c r="H267" s="181" t="s">
        <v>2</v>
      </c>
      <c r="I267" s="182" t="s">
        <v>495</v>
      </c>
      <c r="J267" s="182" t="s">
        <v>496</v>
      </c>
      <c r="K267" s="182" t="s">
        <v>497</v>
      </c>
      <c r="L267" s="182" t="s">
        <v>498</v>
      </c>
      <c r="M267" s="184">
        <v>46112.0</v>
      </c>
      <c r="N267" s="182">
        <v>5500.0</v>
      </c>
      <c r="O267" s="182">
        <v>9122840.0</v>
      </c>
      <c r="P267" s="184">
        <v>46090.0</v>
      </c>
      <c r="Q267" s="182" t="s">
        <v>500</v>
      </c>
      <c r="R267" s="182">
        <v>43683.0</v>
      </c>
      <c r="S267" s="182" t="s">
        <v>953</v>
      </c>
      <c r="T267" s="182" t="s">
        <v>713</v>
      </c>
      <c r="U267" s="182" t="s">
        <v>954</v>
      </c>
      <c r="V267" s="183" t="s">
        <v>504</v>
      </c>
      <c r="W267" s="183"/>
      <c r="X267" s="182">
        <v>450.0</v>
      </c>
      <c r="Y267" s="182">
        <v>1.0</v>
      </c>
      <c r="Z267" s="182">
        <v>450.0</v>
      </c>
      <c r="AA267" s="182" t="s">
        <v>157</v>
      </c>
      <c r="AB267" s="182">
        <v>5500.0</v>
      </c>
      <c r="AC267" s="184">
        <v>46090.0</v>
      </c>
      <c r="AD267" s="183" t="s">
        <v>505</v>
      </c>
      <c r="AE267" s="182">
        <v>3919.0</v>
      </c>
      <c r="AF267" s="182" t="s">
        <v>988</v>
      </c>
      <c r="AG267" s="182"/>
      <c r="AH267" s="182"/>
      <c r="AI267" s="182">
        <v>450.0</v>
      </c>
      <c r="AJ267" s="182" t="s">
        <v>159</v>
      </c>
      <c r="AK267" s="182">
        <v>18.0</v>
      </c>
      <c r="AL267" s="182">
        <v>40.5</v>
      </c>
      <c r="AM267" s="182">
        <v>40.5</v>
      </c>
      <c r="AN267" s="182">
        <v>0.0</v>
      </c>
      <c r="AO267" s="182">
        <v>0.0</v>
      </c>
      <c r="AP267" s="182">
        <v>0.0</v>
      </c>
      <c r="AQ267" s="182">
        <v>0.0</v>
      </c>
      <c r="AR267" s="182">
        <v>0.0</v>
      </c>
      <c r="AS267" s="181">
        <v>0.0</v>
      </c>
      <c r="AT267" s="182">
        <v>0.0</v>
      </c>
      <c r="AU267" s="183"/>
      <c r="AV267" s="183"/>
      <c r="AW267" s="182">
        <v>0.0</v>
      </c>
      <c r="AX267" s="182">
        <v>531.0</v>
      </c>
      <c r="AY267" s="182" t="s">
        <v>31</v>
      </c>
      <c r="AZ267" s="182" t="s">
        <v>31</v>
      </c>
      <c r="BA267" s="182" t="s">
        <v>600</v>
      </c>
      <c r="BB267" s="182">
        <v>1.125113238E9</v>
      </c>
      <c r="BC267" s="182" t="s">
        <v>556</v>
      </c>
      <c r="BD267" s="182" t="s">
        <v>586</v>
      </c>
      <c r="BE267" s="183"/>
      <c r="BF267" s="183" t="s">
        <v>484</v>
      </c>
      <c r="BG267" s="183" t="s">
        <v>482</v>
      </c>
      <c r="BH267" s="182" t="s">
        <v>587</v>
      </c>
      <c r="BI267" s="171" t="s">
        <v>511</v>
      </c>
      <c r="BJ267" s="171" t="s">
        <v>512</v>
      </c>
      <c r="BK267" s="171" t="s">
        <v>989</v>
      </c>
      <c r="BL267" s="171">
        <v>14.4</v>
      </c>
      <c r="BM267" s="171">
        <v>921.6</v>
      </c>
      <c r="BN267" s="171">
        <v>-907.0</v>
      </c>
      <c r="BO267" s="171" t="s">
        <v>514</v>
      </c>
      <c r="BP267" s="171">
        <v>9122848.0</v>
      </c>
      <c r="BQ267" s="171" t="s">
        <v>484</v>
      </c>
      <c r="BR267" s="171" t="s">
        <v>479</v>
      </c>
      <c r="BS267" s="171">
        <v>7.0</v>
      </c>
    </row>
    <row r="268" ht="14.25" customHeight="1">
      <c r="A268" s="181" t="s">
        <v>493</v>
      </c>
      <c r="B268" s="182" t="s">
        <v>494</v>
      </c>
      <c r="C268" s="182">
        <v>107.0</v>
      </c>
      <c r="D268" s="182" t="s">
        <v>146</v>
      </c>
      <c r="E268" s="182" t="s">
        <v>147</v>
      </c>
      <c r="F268" s="183"/>
      <c r="G268" s="183" t="s">
        <v>149</v>
      </c>
      <c r="H268" s="181" t="s">
        <v>2</v>
      </c>
      <c r="I268" s="182" t="s">
        <v>495</v>
      </c>
      <c r="J268" s="182" t="s">
        <v>496</v>
      </c>
      <c r="K268" s="182" t="s">
        <v>497</v>
      </c>
      <c r="L268" s="182" t="s">
        <v>498</v>
      </c>
      <c r="M268" s="184">
        <v>46112.0</v>
      </c>
      <c r="N268" s="182">
        <v>5501.0</v>
      </c>
      <c r="O268" s="182">
        <v>9122848.0</v>
      </c>
      <c r="P268" s="184">
        <v>46090.0</v>
      </c>
      <c r="Q268" s="182" t="s">
        <v>500</v>
      </c>
      <c r="R268" s="182">
        <v>43683.0</v>
      </c>
      <c r="S268" s="182" t="s">
        <v>953</v>
      </c>
      <c r="T268" s="182" t="s">
        <v>713</v>
      </c>
      <c r="U268" s="182" t="s">
        <v>954</v>
      </c>
      <c r="V268" s="183" t="s">
        <v>504</v>
      </c>
      <c r="W268" s="183"/>
      <c r="X268" s="182">
        <v>120.0</v>
      </c>
      <c r="Y268" s="182">
        <v>2.0</v>
      </c>
      <c r="Z268" s="182">
        <v>240.0</v>
      </c>
      <c r="AA268" s="182" t="s">
        <v>157</v>
      </c>
      <c r="AB268" s="182">
        <v>5501.0</v>
      </c>
      <c r="AC268" s="184">
        <v>46090.0</v>
      </c>
      <c r="AD268" s="183" t="s">
        <v>505</v>
      </c>
      <c r="AE268" s="182">
        <v>8536.0</v>
      </c>
      <c r="AF268" s="182" t="s">
        <v>990</v>
      </c>
      <c r="AG268" s="182"/>
      <c r="AH268" s="182"/>
      <c r="AI268" s="182">
        <v>240.0</v>
      </c>
      <c r="AJ268" s="182" t="s">
        <v>159</v>
      </c>
      <c r="AK268" s="182">
        <v>18.0</v>
      </c>
      <c r="AL268" s="182">
        <v>21.6</v>
      </c>
      <c r="AM268" s="182">
        <v>21.6</v>
      </c>
      <c r="AN268" s="182">
        <v>0.0</v>
      </c>
      <c r="AO268" s="182">
        <v>0.0</v>
      </c>
      <c r="AP268" s="182">
        <v>0.0</v>
      </c>
      <c r="AQ268" s="182">
        <v>0.0</v>
      </c>
      <c r="AR268" s="182">
        <v>0.0</v>
      </c>
      <c r="AS268" s="181">
        <v>0.0</v>
      </c>
      <c r="AT268" s="182">
        <v>0.0</v>
      </c>
      <c r="AU268" s="183"/>
      <c r="AV268" s="183"/>
      <c r="AW268" s="182">
        <v>0.0</v>
      </c>
      <c r="AX268" s="182">
        <v>283.2</v>
      </c>
      <c r="AY268" s="182" t="s">
        <v>31</v>
      </c>
      <c r="AZ268" s="182" t="s">
        <v>31</v>
      </c>
      <c r="BA268" s="182" t="s">
        <v>600</v>
      </c>
      <c r="BB268" s="182">
        <v>1.125113239E9</v>
      </c>
      <c r="BC268" s="182" t="s">
        <v>556</v>
      </c>
      <c r="BD268" s="182" t="s">
        <v>586</v>
      </c>
      <c r="BE268" s="183"/>
      <c r="BF268" s="183" t="s">
        <v>484</v>
      </c>
      <c r="BG268" s="183" t="s">
        <v>482</v>
      </c>
      <c r="BH268" s="182" t="s">
        <v>587</v>
      </c>
      <c r="BI268" s="171" t="s">
        <v>511</v>
      </c>
      <c r="BJ268" s="171" t="s">
        <v>512</v>
      </c>
      <c r="BK268" s="171" t="s">
        <v>989</v>
      </c>
      <c r="BL268" s="171">
        <v>486.0</v>
      </c>
      <c r="BM268" s="171">
        <v>921.6</v>
      </c>
      <c r="BN268" s="171">
        <v>-436.0</v>
      </c>
      <c r="BO268" s="171" t="s">
        <v>514</v>
      </c>
      <c r="BP268" s="171">
        <v>9122848.0</v>
      </c>
      <c r="BQ268" s="171" t="s">
        <v>484</v>
      </c>
      <c r="BR268" s="171" t="s">
        <v>479</v>
      </c>
      <c r="BS268" s="171">
        <v>7.0</v>
      </c>
    </row>
    <row r="269" ht="14.25" customHeight="1">
      <c r="A269" s="181" t="s">
        <v>493</v>
      </c>
      <c r="B269" s="182" t="s">
        <v>494</v>
      </c>
      <c r="C269" s="182">
        <v>107.0</v>
      </c>
      <c r="D269" s="182" t="s">
        <v>146</v>
      </c>
      <c r="E269" s="182" t="s">
        <v>147</v>
      </c>
      <c r="F269" s="183"/>
      <c r="G269" s="183" t="s">
        <v>149</v>
      </c>
      <c r="H269" s="181" t="s">
        <v>2</v>
      </c>
      <c r="I269" s="182" t="s">
        <v>495</v>
      </c>
      <c r="J269" s="182" t="s">
        <v>496</v>
      </c>
      <c r="K269" s="182" t="s">
        <v>497</v>
      </c>
      <c r="L269" s="182" t="s">
        <v>498</v>
      </c>
      <c r="M269" s="184">
        <v>46112.0</v>
      </c>
      <c r="N269" s="182">
        <v>5501.0</v>
      </c>
      <c r="O269" s="182">
        <v>9122848.0</v>
      </c>
      <c r="P269" s="184">
        <v>46090.0</v>
      </c>
      <c r="Q269" s="182" t="s">
        <v>500</v>
      </c>
      <c r="R269" s="182">
        <v>43683.0</v>
      </c>
      <c r="S269" s="182" t="s">
        <v>953</v>
      </c>
      <c r="T269" s="182" t="s">
        <v>713</v>
      </c>
      <c r="U269" s="182" t="s">
        <v>954</v>
      </c>
      <c r="V269" s="183" t="s">
        <v>504</v>
      </c>
      <c r="W269" s="183"/>
      <c r="X269" s="182">
        <v>140.0</v>
      </c>
      <c r="Y269" s="182">
        <v>1.0</v>
      </c>
      <c r="Z269" s="182">
        <v>140.0</v>
      </c>
      <c r="AA269" s="182" t="s">
        <v>157</v>
      </c>
      <c r="AB269" s="182">
        <v>5501.0</v>
      </c>
      <c r="AC269" s="184">
        <v>46090.0</v>
      </c>
      <c r="AD269" s="183" t="s">
        <v>505</v>
      </c>
      <c r="AE269" s="182">
        <v>8536.0</v>
      </c>
      <c r="AF269" s="182" t="s">
        <v>991</v>
      </c>
      <c r="AG269" s="182"/>
      <c r="AH269" s="182"/>
      <c r="AI269" s="182">
        <v>140.0</v>
      </c>
      <c r="AJ269" s="182" t="s">
        <v>159</v>
      </c>
      <c r="AK269" s="182">
        <v>18.0</v>
      </c>
      <c r="AL269" s="182">
        <v>12.6</v>
      </c>
      <c r="AM269" s="182">
        <v>12.6</v>
      </c>
      <c r="AN269" s="182">
        <v>0.0</v>
      </c>
      <c r="AO269" s="182">
        <v>0.0</v>
      </c>
      <c r="AP269" s="182">
        <v>0.0</v>
      </c>
      <c r="AQ269" s="182">
        <v>0.0</v>
      </c>
      <c r="AR269" s="182">
        <v>0.0</v>
      </c>
      <c r="AS269" s="181">
        <v>0.0</v>
      </c>
      <c r="AT269" s="182">
        <v>0.0</v>
      </c>
      <c r="AU269" s="183"/>
      <c r="AV269" s="183"/>
      <c r="AW269" s="182">
        <v>0.0</v>
      </c>
      <c r="AX269" s="182">
        <v>165.2</v>
      </c>
      <c r="AY269" s="182" t="s">
        <v>31</v>
      </c>
      <c r="AZ269" s="182" t="s">
        <v>31</v>
      </c>
      <c r="BA269" s="182" t="s">
        <v>600</v>
      </c>
      <c r="BB269" s="182">
        <v>1.125113239E9</v>
      </c>
      <c r="BC269" s="182" t="s">
        <v>556</v>
      </c>
      <c r="BD269" s="182" t="s">
        <v>586</v>
      </c>
      <c r="BE269" s="183"/>
      <c r="BF269" s="183" t="s">
        <v>484</v>
      </c>
      <c r="BG269" s="183" t="s">
        <v>482</v>
      </c>
      <c r="BH269" s="182" t="s">
        <v>587</v>
      </c>
      <c r="BI269" s="171" t="s">
        <v>511</v>
      </c>
      <c r="BJ269" s="171" t="s">
        <v>512</v>
      </c>
      <c r="BK269" s="171" t="s">
        <v>989</v>
      </c>
      <c r="BL269" s="171">
        <v>261.0</v>
      </c>
      <c r="BM269" s="171">
        <v>921.6</v>
      </c>
      <c r="BN269" s="171">
        <v>-661.0</v>
      </c>
      <c r="BO269" s="171" t="s">
        <v>514</v>
      </c>
      <c r="BP269" s="171">
        <v>9122848.0</v>
      </c>
      <c r="BQ269" s="171" t="s">
        <v>484</v>
      </c>
      <c r="BR269" s="171" t="s">
        <v>479</v>
      </c>
      <c r="BS269" s="171">
        <v>7.0</v>
      </c>
    </row>
    <row r="270" ht="14.25" customHeight="1">
      <c r="A270" s="181" t="s">
        <v>493</v>
      </c>
      <c r="B270" s="182" t="s">
        <v>494</v>
      </c>
      <c r="C270" s="182">
        <v>107.0</v>
      </c>
      <c r="D270" s="182" t="s">
        <v>146</v>
      </c>
      <c r="E270" s="182" t="s">
        <v>147</v>
      </c>
      <c r="F270" s="183"/>
      <c r="G270" s="183" t="s">
        <v>149</v>
      </c>
      <c r="H270" s="181" t="s">
        <v>2</v>
      </c>
      <c r="I270" s="182" t="s">
        <v>495</v>
      </c>
      <c r="J270" s="182" t="s">
        <v>496</v>
      </c>
      <c r="K270" s="182" t="s">
        <v>497</v>
      </c>
      <c r="L270" s="182" t="s">
        <v>498</v>
      </c>
      <c r="M270" s="184">
        <v>46112.0</v>
      </c>
      <c r="N270" s="182">
        <v>5500.0</v>
      </c>
      <c r="O270" s="182">
        <v>9122840.0</v>
      </c>
      <c r="P270" s="184">
        <v>46090.0</v>
      </c>
      <c r="Q270" s="182" t="s">
        <v>500</v>
      </c>
      <c r="R270" s="182">
        <v>43683.0</v>
      </c>
      <c r="S270" s="182" t="s">
        <v>953</v>
      </c>
      <c r="T270" s="182" t="s">
        <v>713</v>
      </c>
      <c r="U270" s="182" t="s">
        <v>954</v>
      </c>
      <c r="V270" s="183" t="s">
        <v>992</v>
      </c>
      <c r="W270" s="183"/>
      <c r="X270" s="182">
        <v>120.0</v>
      </c>
      <c r="Y270" s="182">
        <v>21.0</v>
      </c>
      <c r="Z270" s="182">
        <v>2520.0</v>
      </c>
      <c r="AA270" s="182" t="s">
        <v>157</v>
      </c>
      <c r="AB270" s="182">
        <v>5500.0</v>
      </c>
      <c r="AC270" s="184">
        <v>46090.0</v>
      </c>
      <c r="AD270" s="183" t="s">
        <v>505</v>
      </c>
      <c r="AE270" s="182">
        <v>8414.0</v>
      </c>
      <c r="AF270" s="182" t="s">
        <v>993</v>
      </c>
      <c r="AG270" s="182"/>
      <c r="AH270" s="182"/>
      <c r="AI270" s="182">
        <v>2520.0</v>
      </c>
      <c r="AJ270" s="182" t="s">
        <v>159</v>
      </c>
      <c r="AK270" s="182">
        <v>18.0</v>
      </c>
      <c r="AL270" s="182">
        <v>226.8</v>
      </c>
      <c r="AM270" s="182">
        <v>226.8</v>
      </c>
      <c r="AN270" s="182">
        <v>0.0</v>
      </c>
      <c r="AO270" s="182">
        <v>0.0</v>
      </c>
      <c r="AP270" s="182">
        <v>0.0</v>
      </c>
      <c r="AQ270" s="182">
        <v>0.0</v>
      </c>
      <c r="AR270" s="182">
        <v>0.0</v>
      </c>
      <c r="AS270" s="181">
        <v>0.0</v>
      </c>
      <c r="AT270" s="182">
        <v>0.0</v>
      </c>
      <c r="AU270" s="183"/>
      <c r="AV270" s="183"/>
      <c r="AW270" s="182">
        <v>0.0</v>
      </c>
      <c r="AX270" s="182">
        <v>2973.6</v>
      </c>
      <c r="AY270" s="182" t="s">
        <v>31</v>
      </c>
      <c r="AZ270" s="182" t="s">
        <v>31</v>
      </c>
      <c r="BA270" s="182" t="s">
        <v>600</v>
      </c>
      <c r="BB270" s="182">
        <v>1.125113238E9</v>
      </c>
      <c r="BC270" s="182" t="s">
        <v>556</v>
      </c>
      <c r="BD270" s="182" t="s">
        <v>586</v>
      </c>
      <c r="BE270" s="183"/>
      <c r="BF270" s="183" t="s">
        <v>484</v>
      </c>
      <c r="BG270" s="183" t="s">
        <v>482</v>
      </c>
      <c r="BH270" s="182" t="s">
        <v>587</v>
      </c>
      <c r="BI270" s="171" t="s">
        <v>511</v>
      </c>
      <c r="BJ270" s="171" t="s">
        <v>512</v>
      </c>
      <c r="BK270" s="171" t="s">
        <v>989</v>
      </c>
      <c r="BL270" s="171">
        <v>23.4</v>
      </c>
      <c r="BM270" s="171">
        <v>921.6</v>
      </c>
      <c r="BN270" s="171">
        <v>-898.0</v>
      </c>
      <c r="BO270" s="171" t="s">
        <v>514</v>
      </c>
      <c r="BP270" s="171">
        <v>9122848.0</v>
      </c>
      <c r="BQ270" s="171" t="s">
        <v>484</v>
      </c>
      <c r="BR270" s="171" t="s">
        <v>479</v>
      </c>
      <c r="BS270" s="171">
        <v>7.0</v>
      </c>
    </row>
    <row r="271" ht="14.25" customHeight="1">
      <c r="A271" s="181" t="s">
        <v>493</v>
      </c>
      <c r="B271" s="182" t="s">
        <v>494</v>
      </c>
      <c r="C271" s="182">
        <v>107.0</v>
      </c>
      <c r="D271" s="182" t="s">
        <v>146</v>
      </c>
      <c r="E271" s="182" t="s">
        <v>147</v>
      </c>
      <c r="F271" s="183"/>
      <c r="G271" s="183" t="s">
        <v>149</v>
      </c>
      <c r="H271" s="181" t="s">
        <v>2</v>
      </c>
      <c r="I271" s="182" t="s">
        <v>495</v>
      </c>
      <c r="J271" s="182" t="s">
        <v>496</v>
      </c>
      <c r="K271" s="182" t="s">
        <v>497</v>
      </c>
      <c r="L271" s="182" t="s">
        <v>498</v>
      </c>
      <c r="M271" s="184">
        <v>46051.0</v>
      </c>
      <c r="N271" s="182">
        <v>1791.0</v>
      </c>
      <c r="O271" s="182">
        <v>8977074.0</v>
      </c>
      <c r="P271" s="184">
        <v>46027.0</v>
      </c>
      <c r="Q271" s="182" t="s">
        <v>500</v>
      </c>
      <c r="R271" s="182">
        <v>35605.0</v>
      </c>
      <c r="S271" s="182" t="s">
        <v>994</v>
      </c>
      <c r="T271" s="182" t="s">
        <v>995</v>
      </c>
      <c r="U271" s="182" t="s">
        <v>996</v>
      </c>
      <c r="V271" s="183" t="s">
        <v>708</v>
      </c>
      <c r="W271" s="183"/>
      <c r="X271" s="182">
        <v>6175.0</v>
      </c>
      <c r="Y271" s="182">
        <v>1.0</v>
      </c>
      <c r="Z271" s="182">
        <v>6175.0</v>
      </c>
      <c r="AA271" s="182" t="s">
        <v>157</v>
      </c>
      <c r="AB271" s="182">
        <v>1791.0</v>
      </c>
      <c r="AC271" s="184">
        <v>46027.0</v>
      </c>
      <c r="AD271" s="183" t="s">
        <v>505</v>
      </c>
      <c r="AE271" s="182">
        <v>998719.0</v>
      </c>
      <c r="AF271" s="182" t="s">
        <v>997</v>
      </c>
      <c r="AG271" s="182"/>
      <c r="AH271" s="182"/>
      <c r="AI271" s="182">
        <v>6175.0</v>
      </c>
      <c r="AJ271" s="182" t="s">
        <v>159</v>
      </c>
      <c r="AK271" s="182">
        <v>18.0</v>
      </c>
      <c r="AL271" s="182">
        <v>555.75</v>
      </c>
      <c r="AM271" s="182">
        <v>555.75</v>
      </c>
      <c r="AN271" s="182">
        <v>0.0</v>
      </c>
      <c r="AO271" s="182">
        <v>0.0</v>
      </c>
      <c r="AP271" s="182">
        <v>0.0</v>
      </c>
      <c r="AQ271" s="182">
        <v>0.0</v>
      </c>
      <c r="AR271" s="182">
        <v>0.0</v>
      </c>
      <c r="AS271" s="181">
        <v>0.0</v>
      </c>
      <c r="AT271" s="182">
        <v>0.0</v>
      </c>
      <c r="AU271" s="183"/>
      <c r="AV271" s="183"/>
      <c r="AW271" s="182">
        <v>0.0</v>
      </c>
      <c r="AX271" s="182">
        <v>46880.22</v>
      </c>
      <c r="AY271" s="182" t="s">
        <v>20</v>
      </c>
      <c r="AZ271" s="182" t="s">
        <v>31</v>
      </c>
      <c r="BA271" s="182" t="s">
        <v>998</v>
      </c>
      <c r="BB271" s="182">
        <v>1.12511043E9</v>
      </c>
      <c r="BC271" s="182" t="s">
        <v>187</v>
      </c>
      <c r="BD271" s="182" t="s">
        <v>162</v>
      </c>
      <c r="BE271" s="183"/>
      <c r="BF271" s="183" t="s">
        <v>483</v>
      </c>
      <c r="BG271" s="183" t="s">
        <v>482</v>
      </c>
      <c r="BH271" s="182" t="s">
        <v>587</v>
      </c>
      <c r="BI271" s="171" t="s">
        <v>511</v>
      </c>
      <c r="BJ271" s="171" t="s">
        <v>512</v>
      </c>
      <c r="BK271" s="171" t="s">
        <v>984</v>
      </c>
      <c r="BL271" s="171">
        <v>351.0</v>
      </c>
      <c r="BM271" s="171">
        <v>7367.4</v>
      </c>
      <c r="BN271" s="171">
        <v>-7016.0</v>
      </c>
      <c r="BO271" s="171" t="s">
        <v>514</v>
      </c>
      <c r="BP271" s="171">
        <v>9122840.0</v>
      </c>
      <c r="BQ271" s="171" t="s">
        <v>484</v>
      </c>
      <c r="BR271" s="171" t="s">
        <v>479</v>
      </c>
      <c r="BS271" s="171">
        <v>17.0</v>
      </c>
    </row>
    <row r="272" ht="14.25" customHeight="1">
      <c r="A272" s="181" t="s">
        <v>493</v>
      </c>
      <c r="B272" s="182" t="s">
        <v>494</v>
      </c>
      <c r="C272" s="182">
        <v>107.0</v>
      </c>
      <c r="D272" s="182" t="s">
        <v>146</v>
      </c>
      <c r="E272" s="182" t="s">
        <v>147</v>
      </c>
      <c r="F272" s="183"/>
      <c r="G272" s="183" t="s">
        <v>149</v>
      </c>
      <c r="H272" s="181" t="s">
        <v>2</v>
      </c>
      <c r="I272" s="182" t="s">
        <v>495</v>
      </c>
      <c r="J272" s="182" t="s">
        <v>496</v>
      </c>
      <c r="K272" s="182" t="s">
        <v>497</v>
      </c>
      <c r="L272" s="182" t="s">
        <v>498</v>
      </c>
      <c r="M272" s="184">
        <v>46051.0</v>
      </c>
      <c r="N272" s="182">
        <v>1791.0</v>
      </c>
      <c r="O272" s="182">
        <v>8977074.0</v>
      </c>
      <c r="P272" s="184">
        <v>46027.0</v>
      </c>
      <c r="Q272" s="182" t="s">
        <v>500</v>
      </c>
      <c r="R272" s="182">
        <v>35605.0</v>
      </c>
      <c r="S272" s="182" t="s">
        <v>994</v>
      </c>
      <c r="T272" s="182" t="s">
        <v>995</v>
      </c>
      <c r="U272" s="182" t="s">
        <v>996</v>
      </c>
      <c r="V272" s="183" t="s">
        <v>504</v>
      </c>
      <c r="W272" s="183"/>
      <c r="X272" s="182">
        <v>57.0</v>
      </c>
      <c r="Y272" s="182">
        <v>40.0</v>
      </c>
      <c r="Z272" s="182">
        <v>2280.0</v>
      </c>
      <c r="AA272" s="182" t="s">
        <v>157</v>
      </c>
      <c r="AB272" s="182">
        <v>1791.0</v>
      </c>
      <c r="AC272" s="184">
        <v>46027.0</v>
      </c>
      <c r="AD272" s="183" t="s">
        <v>505</v>
      </c>
      <c r="AE272" s="182">
        <v>998719.0</v>
      </c>
      <c r="AF272" s="182" t="s">
        <v>999</v>
      </c>
      <c r="AG272" s="182"/>
      <c r="AH272" s="182"/>
      <c r="AI272" s="182">
        <v>2280.0</v>
      </c>
      <c r="AJ272" s="182" t="s">
        <v>159</v>
      </c>
      <c r="AK272" s="182">
        <v>18.0</v>
      </c>
      <c r="AL272" s="182">
        <v>205.2</v>
      </c>
      <c r="AM272" s="182">
        <v>205.2</v>
      </c>
      <c r="AN272" s="182">
        <v>0.0</v>
      </c>
      <c r="AO272" s="182">
        <v>0.0</v>
      </c>
      <c r="AP272" s="182">
        <v>0.0</v>
      </c>
      <c r="AQ272" s="182">
        <v>0.0</v>
      </c>
      <c r="AR272" s="182">
        <v>0.0</v>
      </c>
      <c r="AS272" s="181">
        <v>0.0</v>
      </c>
      <c r="AT272" s="182">
        <v>0.0</v>
      </c>
      <c r="AU272" s="183"/>
      <c r="AV272" s="183"/>
      <c r="AW272" s="182">
        <v>0.0</v>
      </c>
      <c r="AX272" s="182">
        <v>46880.22</v>
      </c>
      <c r="AY272" s="182" t="s">
        <v>20</v>
      </c>
      <c r="AZ272" s="182" t="s">
        <v>31</v>
      </c>
      <c r="BA272" s="182" t="s">
        <v>998</v>
      </c>
      <c r="BB272" s="182">
        <v>1.12511043E9</v>
      </c>
      <c r="BC272" s="182" t="s">
        <v>187</v>
      </c>
      <c r="BD272" s="182" t="s">
        <v>162</v>
      </c>
      <c r="BE272" s="183"/>
      <c r="BF272" s="183" t="s">
        <v>483</v>
      </c>
      <c r="BG272" s="183" t="s">
        <v>482</v>
      </c>
      <c r="BH272" s="182" t="s">
        <v>587</v>
      </c>
      <c r="BI272" s="171" t="s">
        <v>511</v>
      </c>
      <c r="BJ272" s="171" t="s">
        <v>512</v>
      </c>
      <c r="BK272" s="171" t="s">
        <v>989</v>
      </c>
      <c r="BL272" s="171">
        <v>68.4</v>
      </c>
      <c r="BM272" s="171">
        <v>921.6</v>
      </c>
      <c r="BN272" s="171">
        <v>-853.0</v>
      </c>
      <c r="BO272" s="171" t="s">
        <v>514</v>
      </c>
      <c r="BP272" s="171">
        <v>9122848.0</v>
      </c>
      <c r="BQ272" s="171" t="s">
        <v>484</v>
      </c>
      <c r="BR272" s="171" t="s">
        <v>479</v>
      </c>
      <c r="BS272" s="171">
        <v>7.0</v>
      </c>
    </row>
    <row r="273" ht="14.25" customHeight="1">
      <c r="A273" s="181" t="s">
        <v>493</v>
      </c>
      <c r="B273" s="182" t="s">
        <v>494</v>
      </c>
      <c r="C273" s="182">
        <v>107.0</v>
      </c>
      <c r="D273" s="182" t="s">
        <v>146</v>
      </c>
      <c r="E273" s="182" t="s">
        <v>147</v>
      </c>
      <c r="F273" s="183"/>
      <c r="G273" s="183" t="s">
        <v>149</v>
      </c>
      <c r="H273" s="181" t="s">
        <v>2</v>
      </c>
      <c r="I273" s="182" t="s">
        <v>495</v>
      </c>
      <c r="J273" s="182" t="s">
        <v>496</v>
      </c>
      <c r="K273" s="182" t="s">
        <v>497</v>
      </c>
      <c r="L273" s="182" t="s">
        <v>498</v>
      </c>
      <c r="M273" s="184">
        <v>46051.0</v>
      </c>
      <c r="N273" s="182">
        <v>1791.0</v>
      </c>
      <c r="O273" s="182">
        <v>8977074.0</v>
      </c>
      <c r="P273" s="184">
        <v>46027.0</v>
      </c>
      <c r="Q273" s="182" t="s">
        <v>500</v>
      </c>
      <c r="R273" s="182">
        <v>35605.0</v>
      </c>
      <c r="S273" s="182" t="s">
        <v>994</v>
      </c>
      <c r="T273" s="182" t="s">
        <v>995</v>
      </c>
      <c r="U273" s="182" t="s">
        <v>996</v>
      </c>
      <c r="V273" s="183" t="s">
        <v>504</v>
      </c>
      <c r="W273" s="183"/>
      <c r="X273" s="182">
        <v>332.5</v>
      </c>
      <c r="Y273" s="182">
        <v>4.0</v>
      </c>
      <c r="Z273" s="182">
        <v>1330.0</v>
      </c>
      <c r="AA273" s="182" t="s">
        <v>157</v>
      </c>
      <c r="AB273" s="182">
        <v>1791.0</v>
      </c>
      <c r="AC273" s="184">
        <v>46027.0</v>
      </c>
      <c r="AD273" s="183" t="s">
        <v>505</v>
      </c>
      <c r="AE273" s="182">
        <v>998719.0</v>
      </c>
      <c r="AF273" s="182" t="s">
        <v>1000</v>
      </c>
      <c r="AG273" s="182"/>
      <c r="AH273" s="182"/>
      <c r="AI273" s="182">
        <v>1330.0</v>
      </c>
      <c r="AJ273" s="182" t="s">
        <v>159</v>
      </c>
      <c r="AK273" s="182">
        <v>18.0</v>
      </c>
      <c r="AL273" s="182">
        <v>119.7</v>
      </c>
      <c r="AM273" s="182">
        <v>119.7</v>
      </c>
      <c r="AN273" s="182">
        <v>0.0</v>
      </c>
      <c r="AO273" s="182">
        <v>0.0</v>
      </c>
      <c r="AP273" s="182">
        <v>0.0</v>
      </c>
      <c r="AQ273" s="182">
        <v>0.0</v>
      </c>
      <c r="AR273" s="182">
        <v>0.0</v>
      </c>
      <c r="AS273" s="181">
        <v>0.0</v>
      </c>
      <c r="AT273" s="182">
        <v>0.0</v>
      </c>
      <c r="AU273" s="183"/>
      <c r="AV273" s="183"/>
      <c r="AW273" s="182">
        <v>0.0</v>
      </c>
      <c r="AX273" s="182">
        <v>46880.22</v>
      </c>
      <c r="AY273" s="182" t="s">
        <v>20</v>
      </c>
      <c r="AZ273" s="182" t="s">
        <v>31</v>
      </c>
      <c r="BA273" s="182" t="s">
        <v>998</v>
      </c>
      <c r="BB273" s="182">
        <v>1.12511043E9</v>
      </c>
      <c r="BC273" s="182" t="s">
        <v>187</v>
      </c>
      <c r="BD273" s="182" t="s">
        <v>162</v>
      </c>
      <c r="BE273" s="183"/>
      <c r="BF273" s="183" t="s">
        <v>483</v>
      </c>
      <c r="BG273" s="183" t="s">
        <v>482</v>
      </c>
      <c r="BH273" s="182" t="s">
        <v>587</v>
      </c>
      <c r="BI273" s="171" t="s">
        <v>511</v>
      </c>
      <c r="BJ273" s="171" t="s">
        <v>512</v>
      </c>
      <c r="BK273" s="171" t="s">
        <v>984</v>
      </c>
      <c r="BL273" s="171">
        <v>540.0</v>
      </c>
      <c r="BM273" s="171">
        <v>7367.4</v>
      </c>
      <c r="BN273" s="171">
        <v>-6827.0</v>
      </c>
      <c r="BO273" s="171" t="s">
        <v>514</v>
      </c>
      <c r="BP273" s="171">
        <v>9122840.0</v>
      </c>
      <c r="BQ273" s="171" t="s">
        <v>484</v>
      </c>
      <c r="BR273" s="171" t="s">
        <v>479</v>
      </c>
      <c r="BS273" s="171">
        <v>17.0</v>
      </c>
    </row>
    <row r="274" ht="14.25" customHeight="1">
      <c r="A274" s="181" t="s">
        <v>493</v>
      </c>
      <c r="B274" s="182" t="s">
        <v>494</v>
      </c>
      <c r="C274" s="182">
        <v>107.0</v>
      </c>
      <c r="D274" s="182" t="s">
        <v>146</v>
      </c>
      <c r="E274" s="182" t="s">
        <v>147</v>
      </c>
      <c r="F274" s="183"/>
      <c r="G274" s="183" t="s">
        <v>149</v>
      </c>
      <c r="H274" s="181" t="s">
        <v>2</v>
      </c>
      <c r="I274" s="182" t="s">
        <v>495</v>
      </c>
      <c r="J274" s="182" t="s">
        <v>496</v>
      </c>
      <c r="K274" s="182" t="s">
        <v>497</v>
      </c>
      <c r="L274" s="182" t="s">
        <v>498</v>
      </c>
      <c r="M274" s="184">
        <v>46051.0</v>
      </c>
      <c r="N274" s="182">
        <v>1791.0</v>
      </c>
      <c r="O274" s="182">
        <v>8977074.0</v>
      </c>
      <c r="P274" s="184">
        <v>46027.0</v>
      </c>
      <c r="Q274" s="182" t="s">
        <v>500</v>
      </c>
      <c r="R274" s="182">
        <v>35605.0</v>
      </c>
      <c r="S274" s="182" t="s">
        <v>994</v>
      </c>
      <c r="T274" s="182" t="s">
        <v>995</v>
      </c>
      <c r="U274" s="182" t="s">
        <v>996</v>
      </c>
      <c r="V274" s="183" t="s">
        <v>504</v>
      </c>
      <c r="W274" s="183"/>
      <c r="X274" s="182">
        <v>522.5</v>
      </c>
      <c r="Y274" s="182">
        <v>4.0</v>
      </c>
      <c r="Z274" s="182">
        <v>2090.0</v>
      </c>
      <c r="AA274" s="182" t="s">
        <v>157</v>
      </c>
      <c r="AB274" s="182">
        <v>1791.0</v>
      </c>
      <c r="AC274" s="184">
        <v>46027.0</v>
      </c>
      <c r="AD274" s="183" t="s">
        <v>505</v>
      </c>
      <c r="AE274" s="182">
        <v>998719.0</v>
      </c>
      <c r="AF274" s="182" t="s">
        <v>1001</v>
      </c>
      <c r="AG274" s="182"/>
      <c r="AH274" s="182"/>
      <c r="AI274" s="182">
        <v>2090.0</v>
      </c>
      <c r="AJ274" s="182" t="s">
        <v>159</v>
      </c>
      <c r="AK274" s="182">
        <v>18.0</v>
      </c>
      <c r="AL274" s="182">
        <v>188.1</v>
      </c>
      <c r="AM274" s="182">
        <v>188.1</v>
      </c>
      <c r="AN274" s="182">
        <v>0.0</v>
      </c>
      <c r="AO274" s="182">
        <v>0.0</v>
      </c>
      <c r="AP274" s="182">
        <v>0.0</v>
      </c>
      <c r="AQ274" s="182">
        <v>0.0</v>
      </c>
      <c r="AR274" s="182">
        <v>0.0</v>
      </c>
      <c r="AS274" s="181">
        <v>0.0</v>
      </c>
      <c r="AT274" s="182">
        <v>0.0</v>
      </c>
      <c r="AU274" s="183"/>
      <c r="AV274" s="183"/>
      <c r="AW274" s="182">
        <v>0.0</v>
      </c>
      <c r="AX274" s="182">
        <v>46880.22</v>
      </c>
      <c r="AY274" s="182" t="s">
        <v>20</v>
      </c>
      <c r="AZ274" s="182" t="s">
        <v>31</v>
      </c>
      <c r="BA274" s="182" t="s">
        <v>998</v>
      </c>
      <c r="BB274" s="182">
        <v>1.12511043E9</v>
      </c>
      <c r="BC274" s="182" t="s">
        <v>187</v>
      </c>
      <c r="BD274" s="182" t="s">
        <v>162</v>
      </c>
      <c r="BE274" s="183"/>
      <c r="BF274" s="183" t="s">
        <v>483</v>
      </c>
      <c r="BG274" s="183" t="s">
        <v>482</v>
      </c>
      <c r="BH274" s="182" t="s">
        <v>587</v>
      </c>
      <c r="BI274" s="171" t="s">
        <v>511</v>
      </c>
      <c r="BJ274" s="171" t="s">
        <v>512</v>
      </c>
      <c r="BK274" s="171" t="s">
        <v>984</v>
      </c>
      <c r="BL274" s="171">
        <v>1170.0</v>
      </c>
      <c r="BM274" s="171">
        <v>7367.4</v>
      </c>
      <c r="BN274" s="171">
        <v>-6197.0</v>
      </c>
      <c r="BO274" s="171" t="s">
        <v>514</v>
      </c>
      <c r="BP274" s="171">
        <v>9122840.0</v>
      </c>
      <c r="BQ274" s="171" t="s">
        <v>484</v>
      </c>
      <c r="BR274" s="171" t="s">
        <v>479</v>
      </c>
      <c r="BS274" s="171">
        <v>17.0</v>
      </c>
    </row>
    <row r="275" ht="14.25" customHeight="1">
      <c r="A275" s="181" t="s">
        <v>493</v>
      </c>
      <c r="B275" s="182" t="s">
        <v>494</v>
      </c>
      <c r="C275" s="182">
        <v>107.0</v>
      </c>
      <c r="D275" s="182" t="s">
        <v>146</v>
      </c>
      <c r="E275" s="182" t="s">
        <v>147</v>
      </c>
      <c r="F275" s="183"/>
      <c r="G275" s="183" t="s">
        <v>149</v>
      </c>
      <c r="H275" s="181" t="s">
        <v>2</v>
      </c>
      <c r="I275" s="182" t="s">
        <v>495</v>
      </c>
      <c r="J275" s="182" t="s">
        <v>496</v>
      </c>
      <c r="K275" s="182" t="s">
        <v>497</v>
      </c>
      <c r="L275" s="182" t="s">
        <v>498</v>
      </c>
      <c r="M275" s="184">
        <v>46051.0</v>
      </c>
      <c r="N275" s="182">
        <v>1791.0</v>
      </c>
      <c r="O275" s="182">
        <v>8977074.0</v>
      </c>
      <c r="P275" s="184">
        <v>46027.0</v>
      </c>
      <c r="Q275" s="182" t="s">
        <v>500</v>
      </c>
      <c r="R275" s="182">
        <v>35605.0</v>
      </c>
      <c r="S275" s="182" t="s">
        <v>994</v>
      </c>
      <c r="T275" s="182" t="s">
        <v>995</v>
      </c>
      <c r="U275" s="182" t="s">
        <v>996</v>
      </c>
      <c r="V275" s="183" t="s">
        <v>504</v>
      </c>
      <c r="W275" s="183"/>
      <c r="X275" s="182">
        <v>684.0</v>
      </c>
      <c r="Y275" s="182">
        <v>2.0</v>
      </c>
      <c r="Z275" s="182">
        <v>1368.0</v>
      </c>
      <c r="AA275" s="182" t="s">
        <v>157</v>
      </c>
      <c r="AB275" s="182">
        <v>1791.0</v>
      </c>
      <c r="AC275" s="184">
        <v>46027.0</v>
      </c>
      <c r="AD275" s="183" t="s">
        <v>505</v>
      </c>
      <c r="AE275" s="182">
        <v>998719.0</v>
      </c>
      <c r="AF275" s="182" t="s">
        <v>1002</v>
      </c>
      <c r="AG275" s="182"/>
      <c r="AH275" s="182"/>
      <c r="AI275" s="182">
        <v>1368.0</v>
      </c>
      <c r="AJ275" s="182" t="s">
        <v>159</v>
      </c>
      <c r="AK275" s="182">
        <v>18.0</v>
      </c>
      <c r="AL275" s="182">
        <v>123.12</v>
      </c>
      <c r="AM275" s="182">
        <v>123.12</v>
      </c>
      <c r="AN275" s="182">
        <v>0.0</v>
      </c>
      <c r="AO275" s="182">
        <v>0.0</v>
      </c>
      <c r="AP275" s="182">
        <v>0.0</v>
      </c>
      <c r="AQ275" s="182">
        <v>0.0</v>
      </c>
      <c r="AR275" s="182">
        <v>0.0</v>
      </c>
      <c r="AS275" s="181">
        <v>0.0</v>
      </c>
      <c r="AT275" s="182">
        <v>0.0</v>
      </c>
      <c r="AU275" s="183"/>
      <c r="AV275" s="183"/>
      <c r="AW275" s="182">
        <v>0.0</v>
      </c>
      <c r="AX275" s="182">
        <v>46880.22</v>
      </c>
      <c r="AY275" s="182" t="s">
        <v>20</v>
      </c>
      <c r="AZ275" s="182" t="s">
        <v>31</v>
      </c>
      <c r="BA275" s="182" t="s">
        <v>998</v>
      </c>
      <c r="BB275" s="182">
        <v>1.12511043E9</v>
      </c>
      <c r="BC275" s="182" t="s">
        <v>187</v>
      </c>
      <c r="BD275" s="182" t="s">
        <v>162</v>
      </c>
      <c r="BE275" s="183"/>
      <c r="BF275" s="183" t="s">
        <v>483</v>
      </c>
      <c r="BG275" s="183" t="s">
        <v>482</v>
      </c>
      <c r="BH275" s="182" t="s">
        <v>587</v>
      </c>
      <c r="BI275" s="171" t="s">
        <v>511</v>
      </c>
      <c r="BJ275" s="171" t="s">
        <v>512</v>
      </c>
      <c r="BK275" s="171" t="s">
        <v>1003</v>
      </c>
      <c r="BL275" s="171">
        <v>26504.64</v>
      </c>
      <c r="BM275" s="171">
        <v>26504.64</v>
      </c>
      <c r="BN275" s="171">
        <v>0.0</v>
      </c>
      <c r="BO275" s="171" t="s">
        <v>514</v>
      </c>
      <c r="BP275" s="171">
        <v>1.06636724E8</v>
      </c>
      <c r="BQ275" s="171" t="s">
        <v>483</v>
      </c>
      <c r="BR275" s="171" t="s">
        <v>476</v>
      </c>
      <c r="BS275" s="171">
        <v>1.0</v>
      </c>
    </row>
    <row r="276" ht="14.25" customHeight="1">
      <c r="A276" s="181" t="s">
        <v>493</v>
      </c>
      <c r="B276" s="182" t="s">
        <v>494</v>
      </c>
      <c r="C276" s="182">
        <v>107.0</v>
      </c>
      <c r="D276" s="182" t="s">
        <v>146</v>
      </c>
      <c r="E276" s="182" t="s">
        <v>147</v>
      </c>
      <c r="F276" s="183"/>
      <c r="G276" s="183" t="s">
        <v>149</v>
      </c>
      <c r="H276" s="181" t="s">
        <v>2</v>
      </c>
      <c r="I276" s="182" t="s">
        <v>495</v>
      </c>
      <c r="J276" s="182" t="s">
        <v>496</v>
      </c>
      <c r="K276" s="182" t="s">
        <v>497</v>
      </c>
      <c r="L276" s="182" t="s">
        <v>498</v>
      </c>
      <c r="M276" s="184">
        <v>46051.0</v>
      </c>
      <c r="N276" s="182">
        <v>1791.0</v>
      </c>
      <c r="O276" s="182">
        <v>8977074.0</v>
      </c>
      <c r="P276" s="184">
        <v>46027.0</v>
      </c>
      <c r="Q276" s="182" t="s">
        <v>500</v>
      </c>
      <c r="R276" s="182">
        <v>35605.0</v>
      </c>
      <c r="S276" s="182" t="s">
        <v>994</v>
      </c>
      <c r="T276" s="182" t="s">
        <v>995</v>
      </c>
      <c r="U276" s="182" t="s">
        <v>996</v>
      </c>
      <c r="V276" s="183" t="s">
        <v>504</v>
      </c>
      <c r="W276" s="183"/>
      <c r="X276" s="182">
        <v>5890.0</v>
      </c>
      <c r="Y276" s="182">
        <v>4.0</v>
      </c>
      <c r="Z276" s="182">
        <v>23560.0</v>
      </c>
      <c r="AA276" s="182" t="s">
        <v>157</v>
      </c>
      <c r="AB276" s="182">
        <v>1791.0</v>
      </c>
      <c r="AC276" s="184">
        <v>46027.0</v>
      </c>
      <c r="AD276" s="183" t="s">
        <v>505</v>
      </c>
      <c r="AE276" s="182">
        <v>998719.0</v>
      </c>
      <c r="AF276" s="182" t="s">
        <v>1004</v>
      </c>
      <c r="AG276" s="182"/>
      <c r="AH276" s="182"/>
      <c r="AI276" s="182">
        <v>23560.0</v>
      </c>
      <c r="AJ276" s="182" t="s">
        <v>159</v>
      </c>
      <c r="AK276" s="182">
        <v>18.0</v>
      </c>
      <c r="AL276" s="182">
        <v>2120.4</v>
      </c>
      <c r="AM276" s="182">
        <v>2120.4</v>
      </c>
      <c r="AN276" s="182">
        <v>0.0</v>
      </c>
      <c r="AO276" s="182">
        <v>0.0</v>
      </c>
      <c r="AP276" s="182">
        <v>0.0</v>
      </c>
      <c r="AQ276" s="182">
        <v>0.0</v>
      </c>
      <c r="AR276" s="182">
        <v>0.0</v>
      </c>
      <c r="AS276" s="181">
        <v>0.0</v>
      </c>
      <c r="AT276" s="182">
        <v>0.0</v>
      </c>
      <c r="AU276" s="183"/>
      <c r="AV276" s="183"/>
      <c r="AW276" s="182">
        <v>0.0</v>
      </c>
      <c r="AX276" s="182">
        <v>46880.22</v>
      </c>
      <c r="AY276" s="182" t="s">
        <v>20</v>
      </c>
      <c r="AZ276" s="182" t="s">
        <v>31</v>
      </c>
      <c r="BA276" s="182" t="s">
        <v>998</v>
      </c>
      <c r="BB276" s="182">
        <v>1.12511043E9</v>
      </c>
      <c r="BC276" s="182" t="s">
        <v>187</v>
      </c>
      <c r="BD276" s="182" t="s">
        <v>162</v>
      </c>
      <c r="BE276" s="183"/>
      <c r="BF276" s="183" t="s">
        <v>483</v>
      </c>
      <c r="BG276" s="183" t="s">
        <v>482</v>
      </c>
      <c r="BH276" s="182" t="s">
        <v>587</v>
      </c>
      <c r="BI276" s="171" t="s">
        <v>511</v>
      </c>
      <c r="BJ276" s="171" t="s">
        <v>512</v>
      </c>
      <c r="BK276" s="171" t="s">
        <v>984</v>
      </c>
      <c r="BL276" s="171">
        <v>702.0</v>
      </c>
      <c r="BM276" s="171">
        <v>7367.4</v>
      </c>
      <c r="BN276" s="171">
        <v>-6665.0</v>
      </c>
      <c r="BO276" s="171" t="s">
        <v>514</v>
      </c>
      <c r="BP276" s="171">
        <v>9122840.0</v>
      </c>
      <c r="BQ276" s="171" t="s">
        <v>484</v>
      </c>
      <c r="BR276" s="171" t="s">
        <v>479</v>
      </c>
      <c r="BS276" s="171">
        <v>17.0</v>
      </c>
    </row>
    <row r="277" ht="14.25" customHeight="1">
      <c r="A277" s="181" t="s">
        <v>493</v>
      </c>
      <c r="B277" s="182" t="s">
        <v>494</v>
      </c>
      <c r="C277" s="182">
        <v>107.0</v>
      </c>
      <c r="D277" s="182" t="s">
        <v>146</v>
      </c>
      <c r="E277" s="182" t="s">
        <v>147</v>
      </c>
      <c r="F277" s="183"/>
      <c r="G277" s="183" t="s">
        <v>149</v>
      </c>
      <c r="H277" s="181" t="s">
        <v>2</v>
      </c>
      <c r="I277" s="182" t="s">
        <v>495</v>
      </c>
      <c r="J277" s="182" t="s">
        <v>496</v>
      </c>
      <c r="K277" s="182" t="s">
        <v>497</v>
      </c>
      <c r="L277" s="182" t="s">
        <v>498</v>
      </c>
      <c r="M277" s="184">
        <v>46051.0</v>
      </c>
      <c r="N277" s="182">
        <v>1791.0</v>
      </c>
      <c r="O277" s="182">
        <v>8977074.0</v>
      </c>
      <c r="P277" s="184">
        <v>46027.0</v>
      </c>
      <c r="Q277" s="182" t="s">
        <v>500</v>
      </c>
      <c r="R277" s="182">
        <v>35605.0</v>
      </c>
      <c r="S277" s="182" t="s">
        <v>994</v>
      </c>
      <c r="T277" s="182" t="s">
        <v>995</v>
      </c>
      <c r="U277" s="182" t="s">
        <v>996</v>
      </c>
      <c r="V277" s="183" t="s">
        <v>504</v>
      </c>
      <c r="W277" s="183"/>
      <c r="X277" s="182">
        <v>551.0</v>
      </c>
      <c r="Y277" s="182">
        <v>2.0</v>
      </c>
      <c r="Z277" s="182">
        <v>1102.0</v>
      </c>
      <c r="AA277" s="182" t="s">
        <v>157</v>
      </c>
      <c r="AB277" s="182">
        <v>1791.0</v>
      </c>
      <c r="AC277" s="184">
        <v>46027.0</v>
      </c>
      <c r="AD277" s="183" t="s">
        <v>505</v>
      </c>
      <c r="AE277" s="182">
        <v>998719.0</v>
      </c>
      <c r="AF277" s="182" t="s">
        <v>1005</v>
      </c>
      <c r="AG277" s="182"/>
      <c r="AH277" s="182"/>
      <c r="AI277" s="182">
        <v>1102.0</v>
      </c>
      <c r="AJ277" s="182" t="s">
        <v>159</v>
      </c>
      <c r="AK277" s="182">
        <v>18.0</v>
      </c>
      <c r="AL277" s="182">
        <v>99.18</v>
      </c>
      <c r="AM277" s="182">
        <v>99.18</v>
      </c>
      <c r="AN277" s="182">
        <v>0.0</v>
      </c>
      <c r="AO277" s="182">
        <v>0.0</v>
      </c>
      <c r="AP277" s="182">
        <v>0.0</v>
      </c>
      <c r="AQ277" s="182">
        <v>0.0</v>
      </c>
      <c r="AR277" s="182">
        <v>0.0</v>
      </c>
      <c r="AS277" s="181">
        <v>0.0</v>
      </c>
      <c r="AT277" s="182">
        <v>0.0</v>
      </c>
      <c r="AU277" s="183"/>
      <c r="AV277" s="183"/>
      <c r="AW277" s="182">
        <v>0.0</v>
      </c>
      <c r="AX277" s="182">
        <v>46880.22</v>
      </c>
      <c r="AY277" s="182" t="s">
        <v>20</v>
      </c>
      <c r="AZ277" s="182" t="s">
        <v>31</v>
      </c>
      <c r="BA277" s="182" t="s">
        <v>998</v>
      </c>
      <c r="BB277" s="182">
        <v>1.12511043E9</v>
      </c>
      <c r="BC277" s="182" t="s">
        <v>187</v>
      </c>
      <c r="BD277" s="182" t="s">
        <v>162</v>
      </c>
      <c r="BE277" s="183"/>
      <c r="BF277" s="183" t="s">
        <v>483</v>
      </c>
      <c r="BG277" s="183" t="s">
        <v>482</v>
      </c>
      <c r="BH277" s="182" t="s">
        <v>587</v>
      </c>
      <c r="BI277" s="171" t="s">
        <v>511</v>
      </c>
      <c r="BJ277" s="171" t="s">
        <v>512</v>
      </c>
      <c r="BK277" s="171" t="s">
        <v>984</v>
      </c>
      <c r="BL277" s="171">
        <v>1602.0</v>
      </c>
      <c r="BM277" s="171">
        <v>7367.4</v>
      </c>
      <c r="BN277" s="171">
        <v>-5765.0</v>
      </c>
      <c r="BO277" s="171" t="s">
        <v>514</v>
      </c>
      <c r="BP277" s="171">
        <v>9122840.0</v>
      </c>
      <c r="BQ277" s="171" t="s">
        <v>484</v>
      </c>
      <c r="BR277" s="171" t="s">
        <v>479</v>
      </c>
      <c r="BS277" s="171">
        <v>17.0</v>
      </c>
    </row>
    <row r="278" ht="14.25" customHeight="1">
      <c r="A278" s="181" t="s">
        <v>493</v>
      </c>
      <c r="B278" s="182" t="s">
        <v>494</v>
      </c>
      <c r="C278" s="182">
        <v>107.0</v>
      </c>
      <c r="D278" s="182" t="s">
        <v>146</v>
      </c>
      <c r="E278" s="182" t="s">
        <v>147</v>
      </c>
      <c r="F278" s="183"/>
      <c r="G278" s="183" t="s">
        <v>149</v>
      </c>
      <c r="H278" s="181" t="s">
        <v>2</v>
      </c>
      <c r="I278" s="182" t="s">
        <v>495</v>
      </c>
      <c r="J278" s="182" t="s">
        <v>496</v>
      </c>
      <c r="K278" s="182" t="s">
        <v>497</v>
      </c>
      <c r="L278" s="182" t="s">
        <v>498</v>
      </c>
      <c r="M278" s="184">
        <v>46051.0</v>
      </c>
      <c r="N278" s="182">
        <v>1791.0</v>
      </c>
      <c r="O278" s="182">
        <v>8977074.0</v>
      </c>
      <c r="P278" s="184">
        <v>46027.0</v>
      </c>
      <c r="Q278" s="182" t="s">
        <v>500</v>
      </c>
      <c r="R278" s="182">
        <v>35605.0</v>
      </c>
      <c r="S278" s="182" t="s">
        <v>994</v>
      </c>
      <c r="T278" s="182" t="s">
        <v>995</v>
      </c>
      <c r="U278" s="182" t="s">
        <v>996</v>
      </c>
      <c r="V278" s="183" t="s">
        <v>504</v>
      </c>
      <c r="W278" s="183"/>
      <c r="X278" s="182">
        <v>456.0</v>
      </c>
      <c r="Y278" s="182">
        <v>4.0</v>
      </c>
      <c r="Z278" s="182">
        <v>1824.0</v>
      </c>
      <c r="AA278" s="182" t="s">
        <v>157</v>
      </c>
      <c r="AB278" s="182">
        <v>1791.0</v>
      </c>
      <c r="AC278" s="184">
        <v>46027.0</v>
      </c>
      <c r="AD278" s="183" t="s">
        <v>505</v>
      </c>
      <c r="AE278" s="182">
        <v>998719.0</v>
      </c>
      <c r="AF278" s="182" t="s">
        <v>1006</v>
      </c>
      <c r="AG278" s="182"/>
      <c r="AH278" s="182"/>
      <c r="AI278" s="182">
        <v>1824.0</v>
      </c>
      <c r="AJ278" s="182" t="s">
        <v>159</v>
      </c>
      <c r="AK278" s="182">
        <v>18.0</v>
      </c>
      <c r="AL278" s="182">
        <v>164.16</v>
      </c>
      <c r="AM278" s="182">
        <v>164.16</v>
      </c>
      <c r="AN278" s="182">
        <v>0.0</v>
      </c>
      <c r="AO278" s="182">
        <v>0.0</v>
      </c>
      <c r="AP278" s="182">
        <v>0.0</v>
      </c>
      <c r="AQ278" s="182">
        <v>0.0</v>
      </c>
      <c r="AR278" s="182">
        <v>0.0</v>
      </c>
      <c r="AS278" s="181">
        <v>0.0</v>
      </c>
      <c r="AT278" s="182">
        <v>0.0</v>
      </c>
      <c r="AU278" s="183"/>
      <c r="AV278" s="183"/>
      <c r="AW278" s="182">
        <v>0.0</v>
      </c>
      <c r="AX278" s="182">
        <v>46880.22</v>
      </c>
      <c r="AY278" s="182" t="s">
        <v>20</v>
      </c>
      <c r="AZ278" s="182" t="s">
        <v>31</v>
      </c>
      <c r="BA278" s="182" t="s">
        <v>998</v>
      </c>
      <c r="BB278" s="182">
        <v>1.12511043E9</v>
      </c>
      <c r="BC278" s="182" t="s">
        <v>187</v>
      </c>
      <c r="BD278" s="182" t="s">
        <v>162</v>
      </c>
      <c r="BE278" s="183"/>
      <c r="BF278" s="183" t="s">
        <v>483</v>
      </c>
      <c r="BG278" s="183" t="s">
        <v>482</v>
      </c>
      <c r="BH278" s="182" t="s">
        <v>587</v>
      </c>
      <c r="BI278" s="171" t="s">
        <v>511</v>
      </c>
      <c r="BJ278" s="171" t="s">
        <v>512</v>
      </c>
      <c r="BK278" s="171" t="s">
        <v>984</v>
      </c>
      <c r="BL278" s="171">
        <v>135.0</v>
      </c>
      <c r="BM278" s="171">
        <v>7367.4</v>
      </c>
      <c r="BN278" s="171">
        <v>-7232.0</v>
      </c>
      <c r="BO278" s="171" t="s">
        <v>514</v>
      </c>
      <c r="BP278" s="171">
        <v>9122840.0</v>
      </c>
      <c r="BQ278" s="171" t="s">
        <v>484</v>
      </c>
      <c r="BR278" s="171" t="s">
        <v>479</v>
      </c>
      <c r="BS278" s="171">
        <v>17.0</v>
      </c>
    </row>
    <row r="279" ht="14.25" customHeight="1">
      <c r="A279" s="181" t="s">
        <v>493</v>
      </c>
      <c r="B279" s="182" t="s">
        <v>494</v>
      </c>
      <c r="C279" s="182">
        <v>107.0</v>
      </c>
      <c r="D279" s="182" t="s">
        <v>146</v>
      </c>
      <c r="E279" s="182" t="s">
        <v>147</v>
      </c>
      <c r="F279" s="183"/>
      <c r="G279" s="183" t="s">
        <v>149</v>
      </c>
      <c r="H279" s="181" t="s">
        <v>2</v>
      </c>
      <c r="I279" s="182" t="s">
        <v>495</v>
      </c>
      <c r="J279" s="182" t="s">
        <v>496</v>
      </c>
      <c r="K279" s="182" t="s">
        <v>497</v>
      </c>
      <c r="L279" s="182" t="s">
        <v>498</v>
      </c>
      <c r="M279" s="184">
        <v>45994.0</v>
      </c>
      <c r="N279" s="182" t="s">
        <v>1007</v>
      </c>
      <c r="O279" s="182">
        <v>8864895.0</v>
      </c>
      <c r="P279" s="184">
        <v>45937.0</v>
      </c>
      <c r="Q279" s="182" t="s">
        <v>500</v>
      </c>
      <c r="R279" s="182">
        <v>38992.0</v>
      </c>
      <c r="S279" s="182" t="s">
        <v>1008</v>
      </c>
      <c r="T279" s="182" t="s">
        <v>539</v>
      </c>
      <c r="U279" s="182" t="s">
        <v>1009</v>
      </c>
      <c r="V279" s="183" t="s">
        <v>504</v>
      </c>
      <c r="W279" s="183"/>
      <c r="X279" s="182">
        <v>4600.0</v>
      </c>
      <c r="Y279" s="182">
        <v>1.0</v>
      </c>
      <c r="Z279" s="182">
        <v>4600.0</v>
      </c>
      <c r="AA279" s="182" t="s">
        <v>157</v>
      </c>
      <c r="AB279" s="182" t="s">
        <v>1007</v>
      </c>
      <c r="AC279" s="184">
        <v>45937.0</v>
      </c>
      <c r="AD279" s="183" t="s">
        <v>505</v>
      </c>
      <c r="AE279" s="182">
        <v>3917.0</v>
      </c>
      <c r="AF279" s="182" t="s">
        <v>1010</v>
      </c>
      <c r="AG279" s="182"/>
      <c r="AH279" s="182"/>
      <c r="AI279" s="182">
        <v>4600.0</v>
      </c>
      <c r="AJ279" s="182" t="s">
        <v>159</v>
      </c>
      <c r="AK279" s="182">
        <v>18.0</v>
      </c>
      <c r="AL279" s="182">
        <v>414.0</v>
      </c>
      <c r="AM279" s="182">
        <v>414.0</v>
      </c>
      <c r="AN279" s="182">
        <v>0.0</v>
      </c>
      <c r="AO279" s="182">
        <v>0.0</v>
      </c>
      <c r="AP279" s="182">
        <v>0.0</v>
      </c>
      <c r="AQ279" s="182">
        <v>0.0</v>
      </c>
      <c r="AR279" s="182">
        <v>0.0</v>
      </c>
      <c r="AS279" s="181">
        <v>0.0</v>
      </c>
      <c r="AT279" s="182">
        <v>0.0</v>
      </c>
      <c r="AU279" s="183"/>
      <c r="AV279" s="183"/>
      <c r="AW279" s="182">
        <v>0.0</v>
      </c>
      <c r="AX279" s="182">
        <v>40238.0</v>
      </c>
      <c r="AY279" s="182" t="s">
        <v>31</v>
      </c>
      <c r="AZ279" s="182" t="s">
        <v>31</v>
      </c>
      <c r="BA279" s="182" t="s">
        <v>600</v>
      </c>
      <c r="BB279" s="182">
        <v>1.125108603E9</v>
      </c>
      <c r="BC279" s="182" t="s">
        <v>556</v>
      </c>
      <c r="BD279" s="182" t="s">
        <v>586</v>
      </c>
      <c r="BE279" s="183"/>
      <c r="BF279" s="183" t="s">
        <v>484</v>
      </c>
      <c r="BG279" s="183" t="s">
        <v>482</v>
      </c>
      <c r="BH279" s="182" t="s">
        <v>587</v>
      </c>
      <c r="BI279" s="171" t="s">
        <v>511</v>
      </c>
      <c r="BJ279" s="171" t="s">
        <v>512</v>
      </c>
      <c r="BK279" s="171" t="s">
        <v>984</v>
      </c>
      <c r="BL279" s="171">
        <v>102.6</v>
      </c>
      <c r="BM279" s="171">
        <v>7367.4</v>
      </c>
      <c r="BN279" s="171">
        <v>-7265.0</v>
      </c>
      <c r="BO279" s="171" t="s">
        <v>514</v>
      </c>
      <c r="BP279" s="171">
        <v>9122840.0</v>
      </c>
      <c r="BQ279" s="171" t="s">
        <v>484</v>
      </c>
      <c r="BR279" s="171" t="s">
        <v>479</v>
      </c>
      <c r="BS279" s="171">
        <v>17.0</v>
      </c>
    </row>
    <row r="280" ht="14.25" customHeight="1">
      <c r="A280" s="181" t="s">
        <v>493</v>
      </c>
      <c r="B280" s="182" t="s">
        <v>494</v>
      </c>
      <c r="C280" s="182">
        <v>107.0</v>
      </c>
      <c r="D280" s="182" t="s">
        <v>146</v>
      </c>
      <c r="E280" s="182" t="s">
        <v>147</v>
      </c>
      <c r="F280" s="183"/>
      <c r="G280" s="183" t="s">
        <v>149</v>
      </c>
      <c r="H280" s="181" t="s">
        <v>2</v>
      </c>
      <c r="I280" s="182" t="s">
        <v>495</v>
      </c>
      <c r="J280" s="182" t="s">
        <v>528</v>
      </c>
      <c r="K280" s="182" t="s">
        <v>529</v>
      </c>
      <c r="L280" s="182" t="s">
        <v>498</v>
      </c>
      <c r="M280" s="184">
        <v>45980.0</v>
      </c>
      <c r="N280" s="182">
        <v>76.0</v>
      </c>
      <c r="O280" s="182">
        <v>8842469.0</v>
      </c>
      <c r="P280" s="184">
        <v>45973.0</v>
      </c>
      <c r="Q280" s="182" t="s">
        <v>500</v>
      </c>
      <c r="R280" s="182">
        <v>5093.0</v>
      </c>
      <c r="S280" s="182" t="s">
        <v>617</v>
      </c>
      <c r="T280" s="182" t="s">
        <v>618</v>
      </c>
      <c r="U280" s="182" t="s">
        <v>619</v>
      </c>
      <c r="V280" s="183" t="s">
        <v>504</v>
      </c>
      <c r="W280" s="183"/>
      <c r="X280" s="182">
        <v>1.0</v>
      </c>
      <c r="Y280" s="182">
        <v>900.0</v>
      </c>
      <c r="Z280" s="182">
        <v>900.0</v>
      </c>
      <c r="AA280" s="182" t="s">
        <v>157</v>
      </c>
      <c r="AB280" s="182">
        <v>76.0</v>
      </c>
      <c r="AC280" s="184">
        <v>45973.0</v>
      </c>
      <c r="AD280" s="183" t="s">
        <v>593</v>
      </c>
      <c r="AE280" s="182">
        <v>8504.0</v>
      </c>
      <c r="AF280" s="182" t="s">
        <v>1011</v>
      </c>
      <c r="AG280" s="182"/>
      <c r="AH280" s="182"/>
      <c r="AI280" s="182">
        <v>900.0</v>
      </c>
      <c r="AJ280" s="182" t="s">
        <v>159</v>
      </c>
      <c r="AK280" s="182">
        <v>18.0</v>
      </c>
      <c r="AL280" s="182">
        <v>81.0</v>
      </c>
      <c r="AM280" s="182">
        <v>81.0</v>
      </c>
      <c r="AN280" s="182">
        <v>0.0</v>
      </c>
      <c r="AO280" s="182">
        <v>0.0</v>
      </c>
      <c r="AP280" s="182">
        <v>0.0</v>
      </c>
      <c r="AQ280" s="182">
        <v>0.0</v>
      </c>
      <c r="AR280" s="182">
        <v>0.0</v>
      </c>
      <c r="AS280" s="181">
        <v>0.0</v>
      </c>
      <c r="AT280" s="182">
        <v>0.0</v>
      </c>
      <c r="AU280" s="183"/>
      <c r="AV280" s="183"/>
      <c r="AW280" s="182">
        <v>0.0</v>
      </c>
      <c r="AX280" s="182">
        <v>1062.0</v>
      </c>
      <c r="AY280" s="182" t="s">
        <v>20</v>
      </c>
      <c r="AZ280" s="182" t="s">
        <v>31</v>
      </c>
      <c r="BA280" s="182" t="s">
        <v>595</v>
      </c>
      <c r="BB280" s="182">
        <v>1.125108046E9</v>
      </c>
      <c r="BC280" s="182" t="s">
        <v>187</v>
      </c>
      <c r="BD280" s="182" t="s">
        <v>586</v>
      </c>
      <c r="BE280" s="183"/>
      <c r="BF280" s="183" t="s">
        <v>483</v>
      </c>
      <c r="BG280" s="183" t="s">
        <v>482</v>
      </c>
      <c r="BH280" s="182" t="s">
        <v>587</v>
      </c>
      <c r="BI280" s="171" t="s">
        <v>511</v>
      </c>
      <c r="BJ280" s="171" t="s">
        <v>512</v>
      </c>
      <c r="BK280" s="171" t="s">
        <v>984</v>
      </c>
      <c r="BL280" s="171">
        <v>28.8</v>
      </c>
      <c r="BM280" s="171">
        <v>7367.4</v>
      </c>
      <c r="BN280" s="171">
        <v>-7339.0</v>
      </c>
      <c r="BO280" s="171" t="s">
        <v>514</v>
      </c>
      <c r="BP280" s="171">
        <v>9122840.0</v>
      </c>
      <c r="BQ280" s="171" t="s">
        <v>484</v>
      </c>
      <c r="BR280" s="171" t="s">
        <v>479</v>
      </c>
      <c r="BS280" s="171">
        <v>17.0</v>
      </c>
    </row>
    <row r="281" ht="14.25" customHeight="1">
      <c r="A281" s="181" t="s">
        <v>493</v>
      </c>
      <c r="B281" s="182" t="s">
        <v>494</v>
      </c>
      <c r="C281" s="182">
        <v>107.0</v>
      </c>
      <c r="D281" s="182" t="s">
        <v>146</v>
      </c>
      <c r="E281" s="182" t="s">
        <v>147</v>
      </c>
      <c r="F281" s="183"/>
      <c r="G281" s="183" t="s">
        <v>149</v>
      </c>
      <c r="H281" s="181" t="s">
        <v>2</v>
      </c>
      <c r="I281" s="182" t="s">
        <v>495</v>
      </c>
      <c r="J281" s="182" t="s">
        <v>496</v>
      </c>
      <c r="K281" s="182" t="s">
        <v>497</v>
      </c>
      <c r="L281" s="182" t="s">
        <v>498</v>
      </c>
      <c r="M281" s="184">
        <v>45986.0</v>
      </c>
      <c r="N281" s="182">
        <v>1131.0</v>
      </c>
      <c r="O281" s="182">
        <v>8854263.0</v>
      </c>
      <c r="P281" s="184">
        <v>45973.0</v>
      </c>
      <c r="Q281" s="182" t="s">
        <v>500</v>
      </c>
      <c r="R281" s="182">
        <v>38992.0</v>
      </c>
      <c r="S281" s="182" t="s">
        <v>1008</v>
      </c>
      <c r="T281" s="182" t="s">
        <v>539</v>
      </c>
      <c r="U281" s="182" t="s">
        <v>1009</v>
      </c>
      <c r="V281" s="183" t="s">
        <v>1012</v>
      </c>
      <c r="W281" s="183"/>
      <c r="X281" s="182">
        <v>13900.0</v>
      </c>
      <c r="Y281" s="182">
        <v>1.0</v>
      </c>
      <c r="Z281" s="182">
        <v>13900.0</v>
      </c>
      <c r="AA281" s="182" t="s">
        <v>157</v>
      </c>
      <c r="AB281" s="182">
        <v>1131.0</v>
      </c>
      <c r="AC281" s="184">
        <v>45973.0</v>
      </c>
      <c r="AD281" s="183" t="s">
        <v>505</v>
      </c>
      <c r="AE281" s="182">
        <v>3808.0</v>
      </c>
      <c r="AF281" s="182" t="s">
        <v>1013</v>
      </c>
      <c r="AG281" s="182"/>
      <c r="AH281" s="182"/>
      <c r="AI281" s="182">
        <v>13900.0</v>
      </c>
      <c r="AJ281" s="182" t="s">
        <v>159</v>
      </c>
      <c r="AK281" s="182">
        <v>18.0</v>
      </c>
      <c r="AL281" s="182">
        <v>1251.0</v>
      </c>
      <c r="AM281" s="182">
        <v>1251.0</v>
      </c>
      <c r="AN281" s="182">
        <v>0.0</v>
      </c>
      <c r="AO281" s="182">
        <v>0.0</v>
      </c>
      <c r="AP281" s="182">
        <v>0.0</v>
      </c>
      <c r="AQ281" s="182">
        <v>0.0</v>
      </c>
      <c r="AR281" s="182">
        <v>0.0</v>
      </c>
      <c r="AS281" s="181">
        <v>0.0</v>
      </c>
      <c r="AT281" s="182">
        <v>0.0</v>
      </c>
      <c r="AU281" s="183"/>
      <c r="AV281" s="183"/>
      <c r="AW281" s="182">
        <v>0.0</v>
      </c>
      <c r="AX281" s="182">
        <v>22852.0</v>
      </c>
      <c r="AY281" s="182" t="s">
        <v>31</v>
      </c>
      <c r="AZ281" s="182" t="s">
        <v>31</v>
      </c>
      <c r="BA281" s="182" t="s">
        <v>600</v>
      </c>
      <c r="BB281" s="182">
        <v>1.125108407E9</v>
      </c>
      <c r="BC281" s="182" t="s">
        <v>556</v>
      </c>
      <c r="BD281" s="182" t="s">
        <v>586</v>
      </c>
      <c r="BE281" s="183"/>
      <c r="BF281" s="183" t="s">
        <v>484</v>
      </c>
      <c r="BG281" s="183" t="s">
        <v>482</v>
      </c>
      <c r="BH281" s="182" t="s">
        <v>587</v>
      </c>
      <c r="BI281" s="171" t="s">
        <v>511</v>
      </c>
      <c r="BJ281" s="171" t="s">
        <v>512</v>
      </c>
      <c r="BK281" s="171" t="s">
        <v>984</v>
      </c>
      <c r="BL281" s="171">
        <v>162.0</v>
      </c>
      <c r="BM281" s="171">
        <v>7367.4</v>
      </c>
      <c r="BN281" s="171">
        <v>-7205.0</v>
      </c>
      <c r="BO281" s="171" t="s">
        <v>514</v>
      </c>
      <c r="BP281" s="171">
        <v>9122840.0</v>
      </c>
      <c r="BQ281" s="171" t="s">
        <v>484</v>
      </c>
      <c r="BR281" s="171" t="s">
        <v>479</v>
      </c>
      <c r="BS281" s="171">
        <v>17.0</v>
      </c>
    </row>
    <row r="282" ht="14.25" customHeight="1">
      <c r="A282" s="181" t="s">
        <v>493</v>
      </c>
      <c r="B282" s="182" t="s">
        <v>494</v>
      </c>
      <c r="C282" s="182">
        <v>107.0</v>
      </c>
      <c r="D282" s="182" t="s">
        <v>146</v>
      </c>
      <c r="E282" s="182" t="s">
        <v>147</v>
      </c>
      <c r="F282" s="183"/>
      <c r="G282" s="183" t="s">
        <v>149</v>
      </c>
      <c r="H282" s="181" t="s">
        <v>2</v>
      </c>
      <c r="I282" s="182" t="s">
        <v>495</v>
      </c>
      <c r="J282" s="182" t="s">
        <v>496</v>
      </c>
      <c r="K282" s="182" t="s">
        <v>497</v>
      </c>
      <c r="L282" s="182" t="s">
        <v>498</v>
      </c>
      <c r="M282" s="184">
        <v>45940.0</v>
      </c>
      <c r="N282" s="182">
        <v>76.0</v>
      </c>
      <c r="O282" s="182">
        <v>8771898.0</v>
      </c>
      <c r="P282" s="184">
        <v>45931.0</v>
      </c>
      <c r="Q282" s="182" t="s">
        <v>500</v>
      </c>
      <c r="R282" s="182">
        <v>16665.0</v>
      </c>
      <c r="S282" s="182" t="s">
        <v>1014</v>
      </c>
      <c r="T282" s="182" t="s">
        <v>618</v>
      </c>
      <c r="U282" s="182" t="s">
        <v>1015</v>
      </c>
      <c r="V282" s="183" t="s">
        <v>504</v>
      </c>
      <c r="W282" s="183"/>
      <c r="X282" s="182">
        <v>1100.0</v>
      </c>
      <c r="Y282" s="182">
        <v>2.0</v>
      </c>
      <c r="Z282" s="182">
        <v>2200.0</v>
      </c>
      <c r="AA282" s="182" t="s">
        <v>157</v>
      </c>
      <c r="AB282" s="182">
        <v>76.0</v>
      </c>
      <c r="AC282" s="184">
        <v>45931.0</v>
      </c>
      <c r="AD282" s="183" t="s">
        <v>1016</v>
      </c>
      <c r="AE282" s="182">
        <v>4.820101E7</v>
      </c>
      <c r="AF282" s="182" t="s">
        <v>1017</v>
      </c>
      <c r="AG282" s="182"/>
      <c r="AH282" s="182"/>
      <c r="AI282" s="182">
        <v>2200.0</v>
      </c>
      <c r="AJ282" s="182" t="s">
        <v>159</v>
      </c>
      <c r="AK282" s="182">
        <v>18.0</v>
      </c>
      <c r="AL282" s="182">
        <v>198.0</v>
      </c>
      <c r="AM282" s="182">
        <v>198.0</v>
      </c>
      <c r="AN282" s="182">
        <v>0.0</v>
      </c>
      <c r="AO282" s="182">
        <v>0.0</v>
      </c>
      <c r="AP282" s="182">
        <v>0.0</v>
      </c>
      <c r="AQ282" s="182">
        <v>0.0</v>
      </c>
      <c r="AR282" s="182">
        <v>0.0</v>
      </c>
      <c r="AS282" s="181">
        <v>0.0</v>
      </c>
      <c r="AT282" s="182">
        <v>0.0</v>
      </c>
      <c r="AU282" s="183"/>
      <c r="AV282" s="183"/>
      <c r="AW282" s="182">
        <v>0.0</v>
      </c>
      <c r="AX282" s="182">
        <v>2596.0</v>
      </c>
      <c r="AY282" s="182" t="s">
        <v>20</v>
      </c>
      <c r="AZ282" s="182" t="s">
        <v>31</v>
      </c>
      <c r="BA282" s="182" t="s">
        <v>1018</v>
      </c>
      <c r="BB282" s="182">
        <v>1.125106514E9</v>
      </c>
      <c r="BC282" s="182" t="s">
        <v>187</v>
      </c>
      <c r="BD282" s="182" t="s">
        <v>162</v>
      </c>
      <c r="BE282" s="183"/>
      <c r="BF282" s="183" t="s">
        <v>483</v>
      </c>
      <c r="BG282" s="183" t="s">
        <v>482</v>
      </c>
      <c r="BH282" s="182" t="s">
        <v>587</v>
      </c>
      <c r="BI282" s="171" t="s">
        <v>511</v>
      </c>
      <c r="BJ282" s="171" t="s">
        <v>512</v>
      </c>
      <c r="BK282" s="171" t="s">
        <v>984</v>
      </c>
      <c r="BL282" s="171">
        <v>25.2</v>
      </c>
      <c r="BM282" s="171">
        <v>7367.4</v>
      </c>
      <c r="BN282" s="171">
        <v>-7342.0</v>
      </c>
      <c r="BO282" s="171" t="s">
        <v>514</v>
      </c>
      <c r="BP282" s="171">
        <v>9122840.0</v>
      </c>
      <c r="BQ282" s="171" t="s">
        <v>484</v>
      </c>
      <c r="BR282" s="171" t="s">
        <v>479</v>
      </c>
      <c r="BS282" s="171">
        <v>17.0</v>
      </c>
    </row>
    <row r="283" ht="14.25" customHeight="1">
      <c r="A283" s="181" t="s">
        <v>493</v>
      </c>
      <c r="B283" s="182" t="s">
        <v>494</v>
      </c>
      <c r="C283" s="182">
        <v>107.0</v>
      </c>
      <c r="D283" s="182" t="s">
        <v>146</v>
      </c>
      <c r="E283" s="182" t="s">
        <v>147</v>
      </c>
      <c r="F283" s="183"/>
      <c r="G283" s="183" t="s">
        <v>149</v>
      </c>
      <c r="H283" s="181" t="s">
        <v>2</v>
      </c>
      <c r="I283" s="182" t="s">
        <v>495</v>
      </c>
      <c r="J283" s="182" t="s">
        <v>528</v>
      </c>
      <c r="K283" s="182" t="s">
        <v>529</v>
      </c>
      <c r="L283" s="182" t="s">
        <v>498</v>
      </c>
      <c r="M283" s="184">
        <v>46133.0</v>
      </c>
      <c r="N283" s="182" t="s">
        <v>1019</v>
      </c>
      <c r="O283" s="182">
        <v>9164641.0</v>
      </c>
      <c r="P283" s="184">
        <v>46122.0</v>
      </c>
      <c r="Q283" s="182" t="s">
        <v>500</v>
      </c>
      <c r="R283" s="182">
        <v>3539.0</v>
      </c>
      <c r="S283" s="182" t="s">
        <v>1020</v>
      </c>
      <c r="T283" s="182" t="s">
        <v>539</v>
      </c>
      <c r="U283" s="182" t="s">
        <v>1021</v>
      </c>
      <c r="V283" s="183" t="s">
        <v>504</v>
      </c>
      <c r="W283" s="183"/>
      <c r="X283" s="182">
        <v>40000.0</v>
      </c>
      <c r="Y283" s="182">
        <v>1.0</v>
      </c>
      <c r="Z283" s="182">
        <v>40000.0</v>
      </c>
      <c r="AA283" s="182" t="s">
        <v>157</v>
      </c>
      <c r="AB283" s="182" t="s">
        <v>1019</v>
      </c>
      <c r="AC283" s="184">
        <v>46122.0</v>
      </c>
      <c r="AD283" s="183" t="s">
        <v>505</v>
      </c>
      <c r="AE283" s="182">
        <v>998212.0</v>
      </c>
      <c r="AF283" s="182" t="s">
        <v>1022</v>
      </c>
      <c r="AG283" s="182"/>
      <c r="AH283" s="182"/>
      <c r="AI283" s="182">
        <v>40000.0</v>
      </c>
      <c r="AJ283" s="182" t="s">
        <v>159</v>
      </c>
      <c r="AK283" s="182">
        <v>18.0</v>
      </c>
      <c r="AL283" s="182">
        <v>3600.0</v>
      </c>
      <c r="AM283" s="182">
        <v>3600.0</v>
      </c>
      <c r="AN283" s="182">
        <v>0.0</v>
      </c>
      <c r="AO283" s="182">
        <v>0.0</v>
      </c>
      <c r="AP283" s="182">
        <v>0.0</v>
      </c>
      <c r="AQ283" s="182">
        <v>0.0</v>
      </c>
      <c r="AR283" s="182">
        <v>0.0</v>
      </c>
      <c r="AS283" s="181">
        <v>0.0</v>
      </c>
      <c r="AT283" s="182">
        <v>0.0</v>
      </c>
      <c r="AU283" s="183"/>
      <c r="AV283" s="183"/>
      <c r="AW283" s="182">
        <v>0.0</v>
      </c>
      <c r="AX283" s="182">
        <v>47200.0</v>
      </c>
      <c r="AY283" s="182" t="s">
        <v>20</v>
      </c>
      <c r="AZ283" s="182" t="s">
        <v>20</v>
      </c>
      <c r="BA283" s="182" t="s">
        <v>1023</v>
      </c>
      <c r="BB283" s="182">
        <v>1.126100302E9</v>
      </c>
      <c r="BC283" s="182" t="s">
        <v>1024</v>
      </c>
      <c r="BD283" s="182" t="s">
        <v>162</v>
      </c>
      <c r="BE283" s="183"/>
      <c r="BF283" s="183" t="s">
        <v>481</v>
      </c>
      <c r="BG283" s="183" t="s">
        <v>475</v>
      </c>
      <c r="BH283" s="182" t="s">
        <v>510</v>
      </c>
      <c r="BI283" s="171" t="s">
        <v>511</v>
      </c>
      <c r="BJ283" s="171" t="s">
        <v>512</v>
      </c>
      <c r="BK283" s="171" t="s">
        <v>984</v>
      </c>
      <c r="BL283" s="171">
        <v>64.8</v>
      </c>
      <c r="BM283" s="171">
        <v>7367.4</v>
      </c>
      <c r="BN283" s="171">
        <v>-7303.0</v>
      </c>
      <c r="BO283" s="171" t="s">
        <v>514</v>
      </c>
      <c r="BP283" s="171">
        <v>9122840.0</v>
      </c>
      <c r="BQ283" s="171" t="s">
        <v>484</v>
      </c>
      <c r="BR283" s="171" t="s">
        <v>479</v>
      </c>
      <c r="BS283" s="171">
        <v>17.0</v>
      </c>
    </row>
    <row r="284" ht="14.25" customHeight="1">
      <c r="A284" s="181" t="s">
        <v>493</v>
      </c>
      <c r="B284" s="182" t="s">
        <v>494</v>
      </c>
      <c r="C284" s="182">
        <v>107.0</v>
      </c>
      <c r="D284" s="182" t="s">
        <v>146</v>
      </c>
      <c r="E284" s="182" t="s">
        <v>147</v>
      </c>
      <c r="F284" s="183"/>
      <c r="G284" s="183" t="s">
        <v>149</v>
      </c>
      <c r="H284" s="181" t="s">
        <v>2</v>
      </c>
      <c r="I284" s="182" t="s">
        <v>495</v>
      </c>
      <c r="J284" s="182" t="s">
        <v>496</v>
      </c>
      <c r="K284" s="182" t="s">
        <v>497</v>
      </c>
      <c r="L284" s="182" t="s">
        <v>498</v>
      </c>
      <c r="M284" s="184">
        <v>46112.0</v>
      </c>
      <c r="N284" s="182">
        <v>5500.0</v>
      </c>
      <c r="O284" s="182">
        <v>9122840.0</v>
      </c>
      <c r="P284" s="184">
        <v>46090.0</v>
      </c>
      <c r="Q284" s="182" t="s">
        <v>500</v>
      </c>
      <c r="R284" s="182">
        <v>43683.0</v>
      </c>
      <c r="S284" s="182" t="s">
        <v>953</v>
      </c>
      <c r="T284" s="182" t="s">
        <v>713</v>
      </c>
      <c r="U284" s="182" t="s">
        <v>954</v>
      </c>
      <c r="V284" s="183" t="s">
        <v>504</v>
      </c>
      <c r="W284" s="183"/>
      <c r="X284" s="182">
        <v>120.0</v>
      </c>
      <c r="Y284" s="182">
        <v>6.0</v>
      </c>
      <c r="Z284" s="182">
        <v>720.0</v>
      </c>
      <c r="AA284" s="182" t="s">
        <v>157</v>
      </c>
      <c r="AB284" s="182">
        <v>5500.0</v>
      </c>
      <c r="AC284" s="184">
        <v>46090.0</v>
      </c>
      <c r="AD284" s="183" t="s">
        <v>505</v>
      </c>
      <c r="AE284" s="182">
        <v>8536.0</v>
      </c>
      <c r="AF284" s="182" t="s">
        <v>985</v>
      </c>
      <c r="AG284" s="182"/>
      <c r="AH284" s="182"/>
      <c r="AI284" s="182">
        <v>720.0</v>
      </c>
      <c r="AJ284" s="182" t="s">
        <v>159</v>
      </c>
      <c r="AK284" s="182">
        <v>18.0</v>
      </c>
      <c r="AL284" s="182">
        <v>64.8</v>
      </c>
      <c r="AM284" s="182">
        <v>64.8</v>
      </c>
      <c r="AN284" s="182">
        <v>0.0</v>
      </c>
      <c r="AO284" s="182">
        <v>0.0</v>
      </c>
      <c r="AP284" s="182">
        <v>0.0</v>
      </c>
      <c r="AQ284" s="182">
        <v>0.0</v>
      </c>
      <c r="AR284" s="182">
        <v>0.0</v>
      </c>
      <c r="AS284" s="181">
        <v>0.0</v>
      </c>
      <c r="AT284" s="182">
        <v>0.0</v>
      </c>
      <c r="AU284" s="183"/>
      <c r="AV284" s="183"/>
      <c r="AW284" s="182">
        <v>0.0</v>
      </c>
      <c r="AX284" s="182">
        <v>849.6</v>
      </c>
      <c r="AY284" s="182" t="s">
        <v>31</v>
      </c>
      <c r="AZ284" s="182" t="s">
        <v>31</v>
      </c>
      <c r="BA284" s="182" t="s">
        <v>600</v>
      </c>
      <c r="BB284" s="182">
        <v>1.125113238E9</v>
      </c>
      <c r="BC284" s="182" t="s">
        <v>556</v>
      </c>
      <c r="BD284" s="182" t="s">
        <v>586</v>
      </c>
      <c r="BE284" s="183"/>
      <c r="BF284" s="183" t="s">
        <v>484</v>
      </c>
      <c r="BG284" s="183" t="s">
        <v>482</v>
      </c>
      <c r="BH284" s="182" t="s">
        <v>587</v>
      </c>
      <c r="BI284" s="171" t="s">
        <v>511</v>
      </c>
      <c r="BJ284" s="171" t="s">
        <v>512</v>
      </c>
      <c r="BK284" s="171" t="s">
        <v>984</v>
      </c>
      <c r="BL284" s="171">
        <v>129.6</v>
      </c>
      <c r="BM284" s="171">
        <v>7367.4</v>
      </c>
      <c r="BN284" s="171">
        <v>-7238.0</v>
      </c>
      <c r="BO284" s="171" t="s">
        <v>514</v>
      </c>
      <c r="BP284" s="171">
        <v>9122840.0</v>
      </c>
      <c r="BQ284" s="171" t="s">
        <v>484</v>
      </c>
      <c r="BR284" s="171" t="s">
        <v>479</v>
      </c>
      <c r="BS284" s="171">
        <v>17.0</v>
      </c>
    </row>
    <row r="285" ht="14.25" customHeight="1">
      <c r="A285" s="181" t="s">
        <v>493</v>
      </c>
      <c r="B285" s="182" t="s">
        <v>494</v>
      </c>
      <c r="C285" s="182">
        <v>107.0</v>
      </c>
      <c r="D285" s="182" t="s">
        <v>146</v>
      </c>
      <c r="E285" s="182" t="s">
        <v>147</v>
      </c>
      <c r="F285" s="183"/>
      <c r="G285" s="183" t="s">
        <v>149</v>
      </c>
      <c r="H285" s="181" t="s">
        <v>2</v>
      </c>
      <c r="I285" s="182" t="s">
        <v>495</v>
      </c>
      <c r="J285" s="182" t="s">
        <v>496</v>
      </c>
      <c r="K285" s="182" t="s">
        <v>497</v>
      </c>
      <c r="L285" s="182" t="s">
        <v>498</v>
      </c>
      <c r="M285" s="184">
        <v>46112.0</v>
      </c>
      <c r="N285" s="182">
        <v>5500.0</v>
      </c>
      <c r="O285" s="182">
        <v>9122840.0</v>
      </c>
      <c r="P285" s="184">
        <v>46090.0</v>
      </c>
      <c r="Q285" s="182" t="s">
        <v>500</v>
      </c>
      <c r="R285" s="182">
        <v>43683.0</v>
      </c>
      <c r="S285" s="182" t="s">
        <v>953</v>
      </c>
      <c r="T285" s="182" t="s">
        <v>713</v>
      </c>
      <c r="U285" s="182" t="s">
        <v>954</v>
      </c>
      <c r="V285" s="183" t="s">
        <v>504</v>
      </c>
      <c r="W285" s="183"/>
      <c r="X285" s="182">
        <v>30.0</v>
      </c>
      <c r="Y285" s="182">
        <v>4.0</v>
      </c>
      <c r="Z285" s="182">
        <v>120.0</v>
      </c>
      <c r="AA285" s="182" t="s">
        <v>157</v>
      </c>
      <c r="AB285" s="182">
        <v>5500.0</v>
      </c>
      <c r="AC285" s="184">
        <v>46090.0</v>
      </c>
      <c r="AD285" s="183" t="s">
        <v>505</v>
      </c>
      <c r="AE285" s="182">
        <v>8538.0</v>
      </c>
      <c r="AF285" s="182" t="s">
        <v>986</v>
      </c>
      <c r="AG285" s="182"/>
      <c r="AH285" s="182"/>
      <c r="AI285" s="182">
        <v>120.0</v>
      </c>
      <c r="AJ285" s="182" t="s">
        <v>159</v>
      </c>
      <c r="AK285" s="182">
        <v>18.0</v>
      </c>
      <c r="AL285" s="182">
        <v>10.8</v>
      </c>
      <c r="AM285" s="182">
        <v>10.8</v>
      </c>
      <c r="AN285" s="182">
        <v>0.0</v>
      </c>
      <c r="AO285" s="182">
        <v>0.0</v>
      </c>
      <c r="AP285" s="182">
        <v>0.0</v>
      </c>
      <c r="AQ285" s="182">
        <v>0.0</v>
      </c>
      <c r="AR285" s="182">
        <v>0.0</v>
      </c>
      <c r="AS285" s="181">
        <v>0.0</v>
      </c>
      <c r="AT285" s="182">
        <v>0.0</v>
      </c>
      <c r="AU285" s="183"/>
      <c r="AV285" s="183"/>
      <c r="AW285" s="182">
        <v>0.0</v>
      </c>
      <c r="AX285" s="182">
        <v>141.6</v>
      </c>
      <c r="AY285" s="182" t="s">
        <v>31</v>
      </c>
      <c r="AZ285" s="182" t="s">
        <v>31</v>
      </c>
      <c r="BA285" s="182" t="s">
        <v>600</v>
      </c>
      <c r="BB285" s="182">
        <v>1.125113238E9</v>
      </c>
      <c r="BC285" s="182" t="s">
        <v>556</v>
      </c>
      <c r="BD285" s="182" t="s">
        <v>586</v>
      </c>
      <c r="BE285" s="183"/>
      <c r="BF285" s="183" t="s">
        <v>484</v>
      </c>
      <c r="BG285" s="183" t="s">
        <v>482</v>
      </c>
      <c r="BH285" s="182" t="s">
        <v>587</v>
      </c>
      <c r="BI285" s="171" t="s">
        <v>511</v>
      </c>
      <c r="BJ285" s="171" t="s">
        <v>512</v>
      </c>
      <c r="BK285" s="171" t="s">
        <v>984</v>
      </c>
      <c r="BL285" s="171">
        <v>21.6</v>
      </c>
      <c r="BM285" s="171">
        <v>7367.4</v>
      </c>
      <c r="BN285" s="171">
        <v>-7346.0</v>
      </c>
      <c r="BO285" s="171" t="s">
        <v>514</v>
      </c>
      <c r="BP285" s="171">
        <v>9122840.0</v>
      </c>
      <c r="BQ285" s="171" t="s">
        <v>484</v>
      </c>
      <c r="BR285" s="171" t="s">
        <v>479</v>
      </c>
      <c r="BS285" s="171">
        <v>17.0</v>
      </c>
    </row>
    <row r="286" ht="14.25" customHeight="1">
      <c r="A286" s="181" t="s">
        <v>238</v>
      </c>
      <c r="B286" s="182" t="s">
        <v>763</v>
      </c>
      <c r="C286" s="182">
        <v>107.0</v>
      </c>
      <c r="D286" s="182" t="s">
        <v>146</v>
      </c>
      <c r="E286" s="182" t="s">
        <v>147</v>
      </c>
      <c r="F286" s="183"/>
      <c r="G286" s="183" t="s">
        <v>149</v>
      </c>
      <c r="H286" s="181" t="s">
        <v>2</v>
      </c>
      <c r="I286" s="182" t="s">
        <v>241</v>
      </c>
      <c r="J286" s="182" t="s">
        <v>243</v>
      </c>
      <c r="K286" s="182" t="s">
        <v>244</v>
      </c>
      <c r="L286" s="182" t="s">
        <v>764</v>
      </c>
      <c r="M286" s="184">
        <v>46098.0</v>
      </c>
      <c r="N286" s="182">
        <v>1.06304313E8</v>
      </c>
      <c r="O286" s="182">
        <v>1.06304313E8</v>
      </c>
      <c r="P286" s="184">
        <v>46098.0</v>
      </c>
      <c r="Q286" s="182" t="s">
        <v>765</v>
      </c>
      <c r="R286" s="182">
        <v>7826.0</v>
      </c>
      <c r="S286" s="182" t="s">
        <v>1025</v>
      </c>
      <c r="T286" s="182" t="s">
        <v>539</v>
      </c>
      <c r="U286" s="182" t="s">
        <v>330</v>
      </c>
      <c r="V286" s="183"/>
      <c r="W286" s="183"/>
      <c r="X286" s="182">
        <v>0.0</v>
      </c>
      <c r="Y286" s="182">
        <v>0.0</v>
      </c>
      <c r="Z286" s="182">
        <v>66028.0</v>
      </c>
      <c r="AA286" s="182" t="s">
        <v>157</v>
      </c>
      <c r="AB286" s="182" t="s">
        <v>1026</v>
      </c>
      <c r="AC286" s="184">
        <v>46081.0</v>
      </c>
      <c r="AD286" s="183" t="s">
        <v>769</v>
      </c>
      <c r="AE286" s="182">
        <v>9964.0</v>
      </c>
      <c r="AF286" s="182" t="s">
        <v>1027</v>
      </c>
      <c r="AG286" s="182"/>
      <c r="AH286" s="182"/>
      <c r="AI286" s="182">
        <v>66028.0</v>
      </c>
      <c r="AJ286" s="182" t="s">
        <v>159</v>
      </c>
      <c r="AK286" s="182">
        <v>18.0</v>
      </c>
      <c r="AL286" s="182">
        <v>5942.52</v>
      </c>
      <c r="AM286" s="182">
        <v>5942.52</v>
      </c>
      <c r="AN286" s="182">
        <v>0.0</v>
      </c>
      <c r="AO286" s="182">
        <v>0.0</v>
      </c>
      <c r="AP286" s="182">
        <v>0.0</v>
      </c>
      <c r="AQ286" s="182">
        <v>0.0</v>
      </c>
      <c r="AR286" s="182">
        <v>0.0</v>
      </c>
      <c r="AS286" s="181">
        <v>0.0</v>
      </c>
      <c r="AT286" s="182">
        <v>0.0</v>
      </c>
      <c r="AU286" s="183"/>
      <c r="AV286" s="183"/>
      <c r="AW286" s="182">
        <v>0.0</v>
      </c>
      <c r="AX286" s="182">
        <v>77913.04</v>
      </c>
      <c r="AY286" s="182" t="s">
        <v>20</v>
      </c>
      <c r="AZ286" s="182" t="s">
        <v>31</v>
      </c>
      <c r="BA286" s="182" t="s">
        <v>1028</v>
      </c>
      <c r="BB286" s="182"/>
      <c r="BC286" s="182"/>
      <c r="BD286" s="182"/>
      <c r="BE286" s="183"/>
      <c r="BF286" s="183" t="s">
        <v>483</v>
      </c>
      <c r="BG286" s="183" t="s">
        <v>482</v>
      </c>
      <c r="BH286" s="182" t="s">
        <v>510</v>
      </c>
      <c r="BI286" s="171" t="s">
        <v>511</v>
      </c>
      <c r="BJ286" s="171" t="s">
        <v>512</v>
      </c>
      <c r="BK286" s="171" t="s">
        <v>1029</v>
      </c>
      <c r="BL286" s="171">
        <v>11885.04</v>
      </c>
      <c r="BM286" s="171">
        <v>11885.04</v>
      </c>
      <c r="BN286" s="171">
        <v>0.0</v>
      </c>
      <c r="BO286" s="171" t="s">
        <v>514</v>
      </c>
      <c r="BP286" s="171">
        <v>1.06304313E8</v>
      </c>
      <c r="BQ286" s="171" t="s">
        <v>483</v>
      </c>
      <c r="BR286" s="171" t="s">
        <v>476</v>
      </c>
      <c r="BS286" s="171">
        <v>1.0</v>
      </c>
    </row>
    <row r="287" ht="14.25" customHeight="1">
      <c r="A287" s="181" t="s">
        <v>493</v>
      </c>
      <c r="B287" s="182" t="s">
        <v>494</v>
      </c>
      <c r="C287" s="182">
        <v>107.0</v>
      </c>
      <c r="D287" s="182" t="s">
        <v>146</v>
      </c>
      <c r="E287" s="182" t="s">
        <v>147</v>
      </c>
      <c r="F287" s="183"/>
      <c r="G287" s="183" t="s">
        <v>149</v>
      </c>
      <c r="H287" s="181" t="s">
        <v>2</v>
      </c>
      <c r="I287" s="182" t="s">
        <v>495</v>
      </c>
      <c r="J287" s="182" t="s">
        <v>496</v>
      </c>
      <c r="K287" s="182" t="s">
        <v>497</v>
      </c>
      <c r="L287" s="182" t="s">
        <v>498</v>
      </c>
      <c r="M287" s="184">
        <v>46112.0</v>
      </c>
      <c r="N287" s="182">
        <v>5500.0</v>
      </c>
      <c r="O287" s="182">
        <v>9122840.0</v>
      </c>
      <c r="P287" s="184">
        <v>46090.0</v>
      </c>
      <c r="Q287" s="182" t="s">
        <v>500</v>
      </c>
      <c r="R287" s="182">
        <v>43683.0</v>
      </c>
      <c r="S287" s="182" t="s">
        <v>953</v>
      </c>
      <c r="T287" s="182" t="s">
        <v>713</v>
      </c>
      <c r="U287" s="182" t="s">
        <v>954</v>
      </c>
      <c r="V287" s="183" t="s">
        <v>504</v>
      </c>
      <c r="W287" s="183"/>
      <c r="X287" s="182">
        <v>450.0</v>
      </c>
      <c r="Y287" s="182">
        <v>1.0</v>
      </c>
      <c r="Z287" s="182">
        <v>450.0</v>
      </c>
      <c r="AA287" s="182" t="s">
        <v>157</v>
      </c>
      <c r="AB287" s="182">
        <v>5500.0</v>
      </c>
      <c r="AC287" s="184">
        <v>46090.0</v>
      </c>
      <c r="AD287" s="183" t="s">
        <v>505</v>
      </c>
      <c r="AE287" s="182">
        <v>3919.0</v>
      </c>
      <c r="AF287" s="182" t="s">
        <v>988</v>
      </c>
      <c r="AG287" s="182"/>
      <c r="AH287" s="182"/>
      <c r="AI287" s="182">
        <v>450.0</v>
      </c>
      <c r="AJ287" s="182" t="s">
        <v>159</v>
      </c>
      <c r="AK287" s="182">
        <v>18.0</v>
      </c>
      <c r="AL287" s="182">
        <v>40.5</v>
      </c>
      <c r="AM287" s="182">
        <v>40.5</v>
      </c>
      <c r="AN287" s="182">
        <v>0.0</v>
      </c>
      <c r="AO287" s="182">
        <v>0.0</v>
      </c>
      <c r="AP287" s="182">
        <v>0.0</v>
      </c>
      <c r="AQ287" s="182">
        <v>0.0</v>
      </c>
      <c r="AR287" s="182">
        <v>0.0</v>
      </c>
      <c r="AS287" s="181">
        <v>0.0</v>
      </c>
      <c r="AT287" s="182">
        <v>0.0</v>
      </c>
      <c r="AU287" s="183"/>
      <c r="AV287" s="183"/>
      <c r="AW287" s="182">
        <v>0.0</v>
      </c>
      <c r="AX287" s="182">
        <v>531.0</v>
      </c>
      <c r="AY287" s="182" t="s">
        <v>31</v>
      </c>
      <c r="AZ287" s="182" t="s">
        <v>31</v>
      </c>
      <c r="BA287" s="182" t="s">
        <v>600</v>
      </c>
      <c r="BB287" s="182">
        <v>1.125113238E9</v>
      </c>
      <c r="BC287" s="182" t="s">
        <v>556</v>
      </c>
      <c r="BD287" s="182" t="s">
        <v>586</v>
      </c>
      <c r="BE287" s="183"/>
      <c r="BF287" s="183" t="s">
        <v>484</v>
      </c>
      <c r="BG287" s="183" t="s">
        <v>482</v>
      </c>
      <c r="BH287" s="182" t="s">
        <v>587</v>
      </c>
      <c r="BI287" s="171" t="s">
        <v>511</v>
      </c>
      <c r="BJ287" s="171" t="s">
        <v>512</v>
      </c>
      <c r="BK287" s="171" t="s">
        <v>984</v>
      </c>
      <c r="BL287" s="171">
        <v>81.0</v>
      </c>
      <c r="BM287" s="171">
        <v>7367.4</v>
      </c>
      <c r="BN287" s="171">
        <v>-7286.0</v>
      </c>
      <c r="BO287" s="171" t="s">
        <v>514</v>
      </c>
      <c r="BP287" s="171">
        <v>9122840.0</v>
      </c>
      <c r="BQ287" s="171" t="s">
        <v>484</v>
      </c>
      <c r="BR287" s="171" t="s">
        <v>479</v>
      </c>
      <c r="BS287" s="171">
        <v>17.0</v>
      </c>
    </row>
    <row r="288" ht="14.25" customHeight="1">
      <c r="A288" s="181" t="s">
        <v>493</v>
      </c>
      <c r="B288" s="182" t="s">
        <v>494</v>
      </c>
      <c r="C288" s="182">
        <v>107.0</v>
      </c>
      <c r="D288" s="182" t="s">
        <v>146</v>
      </c>
      <c r="E288" s="182" t="s">
        <v>147</v>
      </c>
      <c r="F288" s="183"/>
      <c r="G288" s="183" t="s">
        <v>149</v>
      </c>
      <c r="H288" s="181" t="s">
        <v>2</v>
      </c>
      <c r="I288" s="182" t="s">
        <v>495</v>
      </c>
      <c r="J288" s="182" t="s">
        <v>496</v>
      </c>
      <c r="K288" s="182" t="s">
        <v>497</v>
      </c>
      <c r="L288" s="182" t="s">
        <v>498</v>
      </c>
      <c r="M288" s="184">
        <v>46112.0</v>
      </c>
      <c r="N288" s="182">
        <v>5501.0</v>
      </c>
      <c r="O288" s="182">
        <v>9122848.0</v>
      </c>
      <c r="P288" s="184">
        <v>46090.0</v>
      </c>
      <c r="Q288" s="182" t="s">
        <v>500</v>
      </c>
      <c r="R288" s="182">
        <v>43683.0</v>
      </c>
      <c r="S288" s="182" t="s">
        <v>953</v>
      </c>
      <c r="T288" s="182" t="s">
        <v>713</v>
      </c>
      <c r="U288" s="182" t="s">
        <v>954</v>
      </c>
      <c r="V288" s="183" t="s">
        <v>504</v>
      </c>
      <c r="W288" s="183"/>
      <c r="X288" s="182">
        <v>120.0</v>
      </c>
      <c r="Y288" s="182">
        <v>2.0</v>
      </c>
      <c r="Z288" s="182">
        <v>240.0</v>
      </c>
      <c r="AA288" s="182" t="s">
        <v>157</v>
      </c>
      <c r="AB288" s="182">
        <v>5501.0</v>
      </c>
      <c r="AC288" s="184">
        <v>46090.0</v>
      </c>
      <c r="AD288" s="183" t="s">
        <v>505</v>
      </c>
      <c r="AE288" s="182">
        <v>8536.0</v>
      </c>
      <c r="AF288" s="182" t="s">
        <v>990</v>
      </c>
      <c r="AG288" s="182"/>
      <c r="AH288" s="182"/>
      <c r="AI288" s="182">
        <v>240.0</v>
      </c>
      <c r="AJ288" s="182" t="s">
        <v>159</v>
      </c>
      <c r="AK288" s="182">
        <v>18.0</v>
      </c>
      <c r="AL288" s="182">
        <v>21.6</v>
      </c>
      <c r="AM288" s="182">
        <v>21.6</v>
      </c>
      <c r="AN288" s="182">
        <v>0.0</v>
      </c>
      <c r="AO288" s="182">
        <v>0.0</v>
      </c>
      <c r="AP288" s="182">
        <v>0.0</v>
      </c>
      <c r="AQ288" s="182">
        <v>0.0</v>
      </c>
      <c r="AR288" s="182">
        <v>0.0</v>
      </c>
      <c r="AS288" s="181">
        <v>0.0</v>
      </c>
      <c r="AT288" s="182">
        <v>0.0</v>
      </c>
      <c r="AU288" s="183"/>
      <c r="AV288" s="183"/>
      <c r="AW288" s="182">
        <v>0.0</v>
      </c>
      <c r="AX288" s="182">
        <v>283.2</v>
      </c>
      <c r="AY288" s="182" t="s">
        <v>31</v>
      </c>
      <c r="AZ288" s="182" t="s">
        <v>31</v>
      </c>
      <c r="BA288" s="182" t="s">
        <v>600</v>
      </c>
      <c r="BB288" s="182">
        <v>1.125113239E9</v>
      </c>
      <c r="BC288" s="182" t="s">
        <v>556</v>
      </c>
      <c r="BD288" s="182" t="s">
        <v>586</v>
      </c>
      <c r="BE288" s="183"/>
      <c r="BF288" s="183" t="s">
        <v>484</v>
      </c>
      <c r="BG288" s="183" t="s">
        <v>482</v>
      </c>
      <c r="BH288" s="182" t="s">
        <v>587</v>
      </c>
      <c r="BI288" s="171" t="s">
        <v>511</v>
      </c>
      <c r="BJ288" s="171" t="s">
        <v>512</v>
      </c>
      <c r="BK288" s="171" t="s">
        <v>989</v>
      </c>
      <c r="BL288" s="171">
        <v>43.2</v>
      </c>
      <c r="BM288" s="171">
        <v>921.6</v>
      </c>
      <c r="BN288" s="171">
        <v>-878.0</v>
      </c>
      <c r="BO288" s="171" t="s">
        <v>514</v>
      </c>
      <c r="BP288" s="171">
        <v>9122848.0</v>
      </c>
      <c r="BQ288" s="171" t="s">
        <v>484</v>
      </c>
      <c r="BR288" s="171" t="s">
        <v>479</v>
      </c>
      <c r="BS288" s="171">
        <v>7.0</v>
      </c>
    </row>
    <row r="289" ht="14.25" customHeight="1">
      <c r="A289" s="181" t="s">
        <v>493</v>
      </c>
      <c r="B289" s="182" t="s">
        <v>494</v>
      </c>
      <c r="C289" s="182">
        <v>107.0</v>
      </c>
      <c r="D289" s="182" t="s">
        <v>146</v>
      </c>
      <c r="E289" s="182" t="s">
        <v>147</v>
      </c>
      <c r="F289" s="183"/>
      <c r="G289" s="183"/>
      <c r="H289" s="181" t="s">
        <v>2</v>
      </c>
      <c r="I289" s="182" t="s">
        <v>495</v>
      </c>
      <c r="J289" s="182" t="s">
        <v>528</v>
      </c>
      <c r="K289" s="182" t="s">
        <v>529</v>
      </c>
      <c r="L289" s="182" t="s">
        <v>498</v>
      </c>
      <c r="M289" s="184">
        <v>46097.0</v>
      </c>
      <c r="N289" s="182" t="s">
        <v>1030</v>
      </c>
      <c r="O289" s="182">
        <v>9081084.0</v>
      </c>
      <c r="P289" s="184">
        <v>46083.0</v>
      </c>
      <c r="Q289" s="182" t="s">
        <v>500</v>
      </c>
      <c r="R289" s="182">
        <v>2770.0</v>
      </c>
      <c r="S289" s="182" t="s">
        <v>531</v>
      </c>
      <c r="T289" s="182" t="s">
        <v>572</v>
      </c>
      <c r="U289" s="182" t="s">
        <v>573</v>
      </c>
      <c r="V289" s="183" t="s">
        <v>504</v>
      </c>
      <c r="W289" s="183"/>
      <c r="X289" s="182">
        <v>1.0</v>
      </c>
      <c r="Y289" s="182">
        <v>4365.0</v>
      </c>
      <c r="Z289" s="182">
        <v>4365.0</v>
      </c>
      <c r="AA289" s="182" t="s">
        <v>157</v>
      </c>
      <c r="AB289" s="182" t="s">
        <v>1031</v>
      </c>
      <c r="AC289" s="184">
        <v>46083.0</v>
      </c>
      <c r="AD289" s="183" t="s">
        <v>505</v>
      </c>
      <c r="AE289" s="182">
        <v>997314.0</v>
      </c>
      <c r="AF289" s="182" t="s">
        <v>1032</v>
      </c>
      <c r="AG289" s="182"/>
      <c r="AH289" s="182"/>
      <c r="AI289" s="182">
        <v>4365.0</v>
      </c>
      <c r="AJ289" s="182" t="s">
        <v>159</v>
      </c>
      <c r="AK289" s="182">
        <v>18.0</v>
      </c>
      <c r="AL289" s="182">
        <v>0.0</v>
      </c>
      <c r="AM289" s="182">
        <v>0.0</v>
      </c>
      <c r="AN289" s="182">
        <v>785.7</v>
      </c>
      <c r="AO289" s="182">
        <v>0.0</v>
      </c>
      <c r="AP289" s="182">
        <v>0.0</v>
      </c>
      <c r="AQ289" s="182">
        <v>0.0</v>
      </c>
      <c r="AR289" s="182">
        <v>0.0</v>
      </c>
      <c r="AS289" s="181">
        <v>0.0</v>
      </c>
      <c r="AT289" s="182">
        <v>0.0</v>
      </c>
      <c r="AU289" s="183"/>
      <c r="AV289" s="183"/>
      <c r="AW289" s="182">
        <v>0.0</v>
      </c>
      <c r="AX289" s="182">
        <v>5150.7</v>
      </c>
      <c r="AY289" s="182" t="s">
        <v>20</v>
      </c>
      <c r="AZ289" s="182" t="s">
        <v>31</v>
      </c>
      <c r="BA289" s="182" t="s">
        <v>726</v>
      </c>
      <c r="BB289" s="182">
        <v>1.125111948E9</v>
      </c>
      <c r="BC289" s="182" t="s">
        <v>161</v>
      </c>
      <c r="BD289" s="182" t="s">
        <v>162</v>
      </c>
      <c r="BE289" s="183"/>
      <c r="BF289" s="183" t="s">
        <v>483</v>
      </c>
      <c r="BG289" s="183" t="s">
        <v>482</v>
      </c>
      <c r="BH289" s="182" t="s">
        <v>510</v>
      </c>
      <c r="BI289" s="171" t="s">
        <v>511</v>
      </c>
      <c r="BJ289" s="171" t="s">
        <v>512</v>
      </c>
      <c r="BK289" s="171" t="s">
        <v>1033</v>
      </c>
      <c r="BL289" s="171">
        <v>785.7</v>
      </c>
      <c r="BM289" s="171">
        <v>785.7</v>
      </c>
      <c r="BN289" s="171">
        <v>0.0</v>
      </c>
      <c r="BO289" s="171" t="s">
        <v>514</v>
      </c>
      <c r="BP289" s="171">
        <v>9081084.0</v>
      </c>
      <c r="BQ289" s="171" t="s">
        <v>483</v>
      </c>
      <c r="BR289" s="171" t="s">
        <v>476</v>
      </c>
      <c r="BS289" s="171">
        <v>1.0</v>
      </c>
    </row>
    <row r="290" ht="14.25" customHeight="1">
      <c r="A290" s="181" t="s">
        <v>493</v>
      </c>
      <c r="B290" s="182" t="s">
        <v>494</v>
      </c>
      <c r="C290" s="182">
        <v>107.0</v>
      </c>
      <c r="D290" s="182" t="s">
        <v>146</v>
      </c>
      <c r="E290" s="182" t="s">
        <v>147</v>
      </c>
      <c r="F290" s="183"/>
      <c r="G290" s="183" t="s">
        <v>149</v>
      </c>
      <c r="H290" s="181" t="s">
        <v>2</v>
      </c>
      <c r="I290" s="182" t="s">
        <v>495</v>
      </c>
      <c r="J290" s="182" t="s">
        <v>496</v>
      </c>
      <c r="K290" s="182" t="s">
        <v>497</v>
      </c>
      <c r="L290" s="182" t="s">
        <v>498</v>
      </c>
      <c r="M290" s="184">
        <v>46112.0</v>
      </c>
      <c r="N290" s="182">
        <v>5501.0</v>
      </c>
      <c r="O290" s="182">
        <v>9122848.0</v>
      </c>
      <c r="P290" s="184">
        <v>46090.0</v>
      </c>
      <c r="Q290" s="182" t="s">
        <v>500</v>
      </c>
      <c r="R290" s="182">
        <v>43683.0</v>
      </c>
      <c r="S290" s="182" t="s">
        <v>953</v>
      </c>
      <c r="T290" s="182" t="s">
        <v>713</v>
      </c>
      <c r="U290" s="182" t="s">
        <v>954</v>
      </c>
      <c r="V290" s="183" t="s">
        <v>504</v>
      </c>
      <c r="W290" s="183"/>
      <c r="X290" s="182">
        <v>140.0</v>
      </c>
      <c r="Y290" s="182">
        <v>1.0</v>
      </c>
      <c r="Z290" s="182">
        <v>140.0</v>
      </c>
      <c r="AA290" s="182" t="s">
        <v>157</v>
      </c>
      <c r="AB290" s="182">
        <v>5501.0</v>
      </c>
      <c r="AC290" s="184">
        <v>46090.0</v>
      </c>
      <c r="AD290" s="183" t="s">
        <v>505</v>
      </c>
      <c r="AE290" s="182">
        <v>8536.0</v>
      </c>
      <c r="AF290" s="182" t="s">
        <v>991</v>
      </c>
      <c r="AG290" s="182"/>
      <c r="AH290" s="182"/>
      <c r="AI290" s="182">
        <v>140.0</v>
      </c>
      <c r="AJ290" s="182" t="s">
        <v>159</v>
      </c>
      <c r="AK290" s="182">
        <v>18.0</v>
      </c>
      <c r="AL290" s="182">
        <v>12.6</v>
      </c>
      <c r="AM290" s="182">
        <v>12.6</v>
      </c>
      <c r="AN290" s="182">
        <v>0.0</v>
      </c>
      <c r="AO290" s="182">
        <v>0.0</v>
      </c>
      <c r="AP290" s="182">
        <v>0.0</v>
      </c>
      <c r="AQ290" s="182">
        <v>0.0</v>
      </c>
      <c r="AR290" s="182">
        <v>0.0</v>
      </c>
      <c r="AS290" s="181">
        <v>0.0</v>
      </c>
      <c r="AT290" s="182">
        <v>0.0</v>
      </c>
      <c r="AU290" s="183"/>
      <c r="AV290" s="183"/>
      <c r="AW290" s="182">
        <v>0.0</v>
      </c>
      <c r="AX290" s="182">
        <v>165.2</v>
      </c>
      <c r="AY290" s="182" t="s">
        <v>31</v>
      </c>
      <c r="AZ290" s="182" t="s">
        <v>31</v>
      </c>
      <c r="BA290" s="182" t="s">
        <v>600</v>
      </c>
      <c r="BB290" s="182">
        <v>1.125113239E9</v>
      </c>
      <c r="BC290" s="182" t="s">
        <v>556</v>
      </c>
      <c r="BD290" s="182" t="s">
        <v>586</v>
      </c>
      <c r="BE290" s="183"/>
      <c r="BF290" s="183" t="s">
        <v>484</v>
      </c>
      <c r="BG290" s="183" t="s">
        <v>482</v>
      </c>
      <c r="BH290" s="182" t="s">
        <v>587</v>
      </c>
      <c r="BI290" s="171" t="s">
        <v>511</v>
      </c>
      <c r="BJ290" s="171" t="s">
        <v>512</v>
      </c>
      <c r="BK290" s="171" t="s">
        <v>989</v>
      </c>
      <c r="BL290" s="171">
        <v>25.2</v>
      </c>
      <c r="BM290" s="171">
        <v>921.6</v>
      </c>
      <c r="BN290" s="171">
        <v>-896.0</v>
      </c>
      <c r="BO290" s="171" t="s">
        <v>514</v>
      </c>
      <c r="BP290" s="171">
        <v>9122848.0</v>
      </c>
      <c r="BQ290" s="171" t="s">
        <v>484</v>
      </c>
      <c r="BR290" s="171" t="s">
        <v>479</v>
      </c>
      <c r="BS290" s="171">
        <v>7.0</v>
      </c>
    </row>
    <row r="291" ht="14.25" customHeight="1">
      <c r="A291" s="181" t="s">
        <v>493</v>
      </c>
      <c r="B291" s="182" t="s">
        <v>494</v>
      </c>
      <c r="C291" s="182">
        <v>107.0</v>
      </c>
      <c r="D291" s="182" t="s">
        <v>146</v>
      </c>
      <c r="E291" s="182" t="s">
        <v>147</v>
      </c>
      <c r="F291" s="183"/>
      <c r="G291" s="183" t="s">
        <v>149</v>
      </c>
      <c r="H291" s="181" t="s">
        <v>2</v>
      </c>
      <c r="I291" s="182" t="s">
        <v>495</v>
      </c>
      <c r="J291" s="182" t="s">
        <v>496</v>
      </c>
      <c r="K291" s="182" t="s">
        <v>497</v>
      </c>
      <c r="L291" s="182" t="s">
        <v>498</v>
      </c>
      <c r="M291" s="184">
        <v>46112.0</v>
      </c>
      <c r="N291" s="182">
        <v>5500.0</v>
      </c>
      <c r="O291" s="182">
        <v>9122840.0</v>
      </c>
      <c r="P291" s="184">
        <v>46090.0</v>
      </c>
      <c r="Q291" s="182" t="s">
        <v>500</v>
      </c>
      <c r="R291" s="182">
        <v>43683.0</v>
      </c>
      <c r="S291" s="182" t="s">
        <v>953</v>
      </c>
      <c r="T291" s="182" t="s">
        <v>713</v>
      </c>
      <c r="U291" s="182" t="s">
        <v>954</v>
      </c>
      <c r="V291" s="183" t="s">
        <v>992</v>
      </c>
      <c r="W291" s="183"/>
      <c r="X291" s="182">
        <v>120.0</v>
      </c>
      <c r="Y291" s="182">
        <v>21.0</v>
      </c>
      <c r="Z291" s="182">
        <v>2520.0</v>
      </c>
      <c r="AA291" s="182" t="s">
        <v>157</v>
      </c>
      <c r="AB291" s="182">
        <v>5500.0</v>
      </c>
      <c r="AC291" s="184">
        <v>46090.0</v>
      </c>
      <c r="AD291" s="183" t="s">
        <v>505</v>
      </c>
      <c r="AE291" s="182">
        <v>8414.0</v>
      </c>
      <c r="AF291" s="182" t="s">
        <v>993</v>
      </c>
      <c r="AG291" s="182"/>
      <c r="AH291" s="182"/>
      <c r="AI291" s="182">
        <v>2520.0</v>
      </c>
      <c r="AJ291" s="182" t="s">
        <v>159</v>
      </c>
      <c r="AK291" s="182">
        <v>18.0</v>
      </c>
      <c r="AL291" s="182">
        <v>226.8</v>
      </c>
      <c r="AM291" s="182">
        <v>226.8</v>
      </c>
      <c r="AN291" s="182">
        <v>0.0</v>
      </c>
      <c r="AO291" s="182">
        <v>0.0</v>
      </c>
      <c r="AP291" s="182">
        <v>0.0</v>
      </c>
      <c r="AQ291" s="182">
        <v>0.0</v>
      </c>
      <c r="AR291" s="182">
        <v>0.0</v>
      </c>
      <c r="AS291" s="181">
        <v>0.0</v>
      </c>
      <c r="AT291" s="182">
        <v>0.0</v>
      </c>
      <c r="AU291" s="183"/>
      <c r="AV291" s="183"/>
      <c r="AW291" s="182">
        <v>0.0</v>
      </c>
      <c r="AX291" s="182">
        <v>2973.6</v>
      </c>
      <c r="AY291" s="182" t="s">
        <v>31</v>
      </c>
      <c r="AZ291" s="182" t="s">
        <v>31</v>
      </c>
      <c r="BA291" s="182" t="s">
        <v>600</v>
      </c>
      <c r="BB291" s="182">
        <v>1.125113238E9</v>
      </c>
      <c r="BC291" s="182" t="s">
        <v>556</v>
      </c>
      <c r="BD291" s="182" t="s">
        <v>586</v>
      </c>
      <c r="BE291" s="183"/>
      <c r="BF291" s="183" t="s">
        <v>484</v>
      </c>
      <c r="BG291" s="183" t="s">
        <v>482</v>
      </c>
      <c r="BH291" s="182" t="s">
        <v>587</v>
      </c>
      <c r="BI291" s="171" t="s">
        <v>511</v>
      </c>
      <c r="BJ291" s="171" t="s">
        <v>512</v>
      </c>
      <c r="BK291" s="171" t="s">
        <v>984</v>
      </c>
      <c r="BL291" s="171">
        <v>453.6</v>
      </c>
      <c r="BM291" s="171">
        <v>7367.4</v>
      </c>
      <c r="BN291" s="171">
        <v>-6914.0</v>
      </c>
      <c r="BO291" s="171" t="s">
        <v>514</v>
      </c>
      <c r="BP291" s="171">
        <v>9122840.0</v>
      </c>
      <c r="BQ291" s="171" t="s">
        <v>484</v>
      </c>
      <c r="BR291" s="171" t="s">
        <v>479</v>
      </c>
      <c r="BS291" s="171">
        <v>17.0</v>
      </c>
    </row>
    <row r="292" ht="14.25" customHeight="1">
      <c r="A292" s="181" t="s">
        <v>493</v>
      </c>
      <c r="B292" s="182" t="s">
        <v>494</v>
      </c>
      <c r="C292" s="182">
        <v>107.0</v>
      </c>
      <c r="D292" s="182" t="s">
        <v>146</v>
      </c>
      <c r="E292" s="182" t="s">
        <v>147</v>
      </c>
      <c r="F292" s="183"/>
      <c r="G292" s="183" t="s">
        <v>149</v>
      </c>
      <c r="H292" s="181" t="s">
        <v>2</v>
      </c>
      <c r="I292" s="182" t="s">
        <v>495</v>
      </c>
      <c r="J292" s="182" t="s">
        <v>496</v>
      </c>
      <c r="K292" s="182" t="s">
        <v>497</v>
      </c>
      <c r="L292" s="182" t="s">
        <v>498</v>
      </c>
      <c r="M292" s="184">
        <v>46051.0</v>
      </c>
      <c r="N292" s="182">
        <v>1791.0</v>
      </c>
      <c r="O292" s="182">
        <v>8977074.0</v>
      </c>
      <c r="P292" s="184">
        <v>46027.0</v>
      </c>
      <c r="Q292" s="182" t="s">
        <v>500</v>
      </c>
      <c r="R292" s="182">
        <v>35605.0</v>
      </c>
      <c r="S292" s="182" t="s">
        <v>994</v>
      </c>
      <c r="T292" s="182" t="s">
        <v>995</v>
      </c>
      <c r="U292" s="182" t="s">
        <v>996</v>
      </c>
      <c r="V292" s="183" t="s">
        <v>708</v>
      </c>
      <c r="W292" s="183"/>
      <c r="X292" s="182">
        <v>6175.0</v>
      </c>
      <c r="Y292" s="182">
        <v>1.0</v>
      </c>
      <c r="Z292" s="182">
        <v>6175.0</v>
      </c>
      <c r="AA292" s="182" t="s">
        <v>157</v>
      </c>
      <c r="AB292" s="182">
        <v>1791.0</v>
      </c>
      <c r="AC292" s="184">
        <v>46027.0</v>
      </c>
      <c r="AD292" s="183" t="s">
        <v>505</v>
      </c>
      <c r="AE292" s="182">
        <v>998719.0</v>
      </c>
      <c r="AF292" s="182" t="s">
        <v>997</v>
      </c>
      <c r="AG292" s="182"/>
      <c r="AH292" s="182"/>
      <c r="AI292" s="182">
        <v>6175.0</v>
      </c>
      <c r="AJ292" s="182"/>
      <c r="AK292" s="182">
        <v>18.0</v>
      </c>
      <c r="AL292" s="182">
        <v>555.75</v>
      </c>
      <c r="AM292" s="182">
        <v>555.75</v>
      </c>
      <c r="AN292" s="182">
        <v>0.0</v>
      </c>
      <c r="AO292" s="182">
        <v>0.0</v>
      </c>
      <c r="AP292" s="182">
        <v>0.0</v>
      </c>
      <c r="AQ292" s="182">
        <v>0.0</v>
      </c>
      <c r="AR292" s="182">
        <v>0.0</v>
      </c>
      <c r="AS292" s="181">
        <v>0.0</v>
      </c>
      <c r="AT292" s="182">
        <v>0.0</v>
      </c>
      <c r="AU292" s="183"/>
      <c r="AV292" s="183"/>
      <c r="AW292" s="182">
        <v>0.0</v>
      </c>
      <c r="AX292" s="182">
        <v>46880.22</v>
      </c>
      <c r="AY292" s="182" t="s">
        <v>20</v>
      </c>
      <c r="AZ292" s="182" t="s">
        <v>31</v>
      </c>
      <c r="BA292" s="182" t="s">
        <v>998</v>
      </c>
      <c r="BB292" s="182">
        <v>1.12511043E9</v>
      </c>
      <c r="BC292" s="182" t="s">
        <v>187</v>
      </c>
      <c r="BD292" s="182" t="s">
        <v>162</v>
      </c>
      <c r="BE292" s="183"/>
      <c r="BF292" s="183" t="s">
        <v>483</v>
      </c>
      <c r="BG292" s="183" t="s">
        <v>482</v>
      </c>
      <c r="BH292" s="182" t="s">
        <v>587</v>
      </c>
      <c r="BI292" s="171" t="s">
        <v>511</v>
      </c>
      <c r="BJ292" s="171" t="s">
        <v>512</v>
      </c>
      <c r="BK292" s="171" t="s">
        <v>1034</v>
      </c>
      <c r="BL292" s="171">
        <v>1111.5</v>
      </c>
      <c r="BM292" s="171">
        <v>7151.22</v>
      </c>
      <c r="BN292" s="171">
        <v>-6040.0</v>
      </c>
      <c r="BO292" s="171" t="s">
        <v>514</v>
      </c>
      <c r="BP292" s="171">
        <v>8977074.0</v>
      </c>
      <c r="BQ292" s="171" t="s">
        <v>483</v>
      </c>
      <c r="BR292" s="171" t="s">
        <v>479</v>
      </c>
      <c r="BS292" s="171">
        <v>8.0</v>
      </c>
    </row>
    <row r="293" ht="14.25" customHeight="1">
      <c r="A293" s="181" t="s">
        <v>493</v>
      </c>
      <c r="B293" s="182" t="s">
        <v>494</v>
      </c>
      <c r="C293" s="182">
        <v>107.0</v>
      </c>
      <c r="D293" s="182" t="s">
        <v>146</v>
      </c>
      <c r="E293" s="182" t="s">
        <v>147</v>
      </c>
      <c r="F293" s="183"/>
      <c r="G293" s="183" t="s">
        <v>149</v>
      </c>
      <c r="H293" s="181" t="s">
        <v>2</v>
      </c>
      <c r="I293" s="182" t="s">
        <v>495</v>
      </c>
      <c r="J293" s="182" t="s">
        <v>496</v>
      </c>
      <c r="K293" s="182" t="s">
        <v>497</v>
      </c>
      <c r="L293" s="182" t="s">
        <v>498</v>
      </c>
      <c r="M293" s="184">
        <v>46051.0</v>
      </c>
      <c r="N293" s="182">
        <v>1791.0</v>
      </c>
      <c r="O293" s="182">
        <v>8977074.0</v>
      </c>
      <c r="P293" s="184">
        <v>46027.0</v>
      </c>
      <c r="Q293" s="182" t="s">
        <v>500</v>
      </c>
      <c r="R293" s="182">
        <v>35605.0</v>
      </c>
      <c r="S293" s="182" t="s">
        <v>994</v>
      </c>
      <c r="T293" s="182" t="s">
        <v>995</v>
      </c>
      <c r="U293" s="182" t="s">
        <v>996</v>
      </c>
      <c r="V293" s="183" t="s">
        <v>504</v>
      </c>
      <c r="W293" s="183"/>
      <c r="X293" s="182">
        <v>57.0</v>
      </c>
      <c r="Y293" s="182">
        <v>40.0</v>
      </c>
      <c r="Z293" s="182">
        <v>2280.0</v>
      </c>
      <c r="AA293" s="182" t="s">
        <v>157</v>
      </c>
      <c r="AB293" s="182">
        <v>1791.0</v>
      </c>
      <c r="AC293" s="184">
        <v>46027.0</v>
      </c>
      <c r="AD293" s="183" t="s">
        <v>505</v>
      </c>
      <c r="AE293" s="182">
        <v>998719.0</v>
      </c>
      <c r="AF293" s="182" t="s">
        <v>999</v>
      </c>
      <c r="AG293" s="182"/>
      <c r="AH293" s="182"/>
      <c r="AI293" s="182">
        <v>2280.0</v>
      </c>
      <c r="AJ293" s="182"/>
      <c r="AK293" s="182">
        <v>18.0</v>
      </c>
      <c r="AL293" s="182">
        <v>205.2</v>
      </c>
      <c r="AM293" s="182">
        <v>205.2</v>
      </c>
      <c r="AN293" s="182">
        <v>0.0</v>
      </c>
      <c r="AO293" s="182">
        <v>0.0</v>
      </c>
      <c r="AP293" s="182">
        <v>0.0</v>
      </c>
      <c r="AQ293" s="182">
        <v>0.0</v>
      </c>
      <c r="AR293" s="182">
        <v>0.0</v>
      </c>
      <c r="AS293" s="181">
        <v>0.0</v>
      </c>
      <c r="AT293" s="182">
        <v>0.0</v>
      </c>
      <c r="AU293" s="183"/>
      <c r="AV293" s="183"/>
      <c r="AW293" s="182">
        <v>0.0</v>
      </c>
      <c r="AX293" s="182">
        <v>46880.22</v>
      </c>
      <c r="AY293" s="182" t="s">
        <v>20</v>
      </c>
      <c r="AZ293" s="182" t="s">
        <v>31</v>
      </c>
      <c r="BA293" s="182" t="s">
        <v>998</v>
      </c>
      <c r="BB293" s="182">
        <v>1.12511043E9</v>
      </c>
      <c r="BC293" s="182" t="s">
        <v>187</v>
      </c>
      <c r="BD293" s="182" t="s">
        <v>162</v>
      </c>
      <c r="BE293" s="183"/>
      <c r="BF293" s="183" t="s">
        <v>483</v>
      </c>
      <c r="BG293" s="183" t="s">
        <v>482</v>
      </c>
      <c r="BH293" s="182" t="s">
        <v>587</v>
      </c>
      <c r="BI293" s="171" t="s">
        <v>511</v>
      </c>
      <c r="BJ293" s="171" t="s">
        <v>512</v>
      </c>
      <c r="BK293" s="171" t="s">
        <v>1034</v>
      </c>
      <c r="BL293" s="171">
        <v>410.4</v>
      </c>
      <c r="BM293" s="171">
        <v>7151.22</v>
      </c>
      <c r="BN293" s="171">
        <v>-6741.0</v>
      </c>
      <c r="BO293" s="171" t="s">
        <v>514</v>
      </c>
      <c r="BP293" s="171">
        <v>8977074.0</v>
      </c>
      <c r="BQ293" s="171" t="s">
        <v>483</v>
      </c>
      <c r="BR293" s="171" t="s">
        <v>479</v>
      </c>
      <c r="BS293" s="171">
        <v>8.0</v>
      </c>
    </row>
    <row r="294" ht="14.25" customHeight="1">
      <c r="A294" s="181" t="s">
        <v>493</v>
      </c>
      <c r="B294" s="182" t="s">
        <v>494</v>
      </c>
      <c r="C294" s="182">
        <v>107.0</v>
      </c>
      <c r="D294" s="182" t="s">
        <v>146</v>
      </c>
      <c r="E294" s="182" t="s">
        <v>147</v>
      </c>
      <c r="F294" s="183"/>
      <c r="G294" s="183" t="s">
        <v>149</v>
      </c>
      <c r="H294" s="181" t="s">
        <v>2</v>
      </c>
      <c r="I294" s="182" t="s">
        <v>495</v>
      </c>
      <c r="J294" s="182" t="s">
        <v>496</v>
      </c>
      <c r="K294" s="182" t="s">
        <v>497</v>
      </c>
      <c r="L294" s="182" t="s">
        <v>498</v>
      </c>
      <c r="M294" s="184">
        <v>46051.0</v>
      </c>
      <c r="N294" s="182">
        <v>1791.0</v>
      </c>
      <c r="O294" s="182">
        <v>8977074.0</v>
      </c>
      <c r="P294" s="184">
        <v>46027.0</v>
      </c>
      <c r="Q294" s="182" t="s">
        <v>500</v>
      </c>
      <c r="R294" s="182">
        <v>35605.0</v>
      </c>
      <c r="S294" s="182" t="s">
        <v>994</v>
      </c>
      <c r="T294" s="182" t="s">
        <v>995</v>
      </c>
      <c r="U294" s="182" t="s">
        <v>996</v>
      </c>
      <c r="V294" s="183" t="s">
        <v>504</v>
      </c>
      <c r="W294" s="183"/>
      <c r="X294" s="182">
        <v>332.5</v>
      </c>
      <c r="Y294" s="182">
        <v>4.0</v>
      </c>
      <c r="Z294" s="182">
        <v>1330.0</v>
      </c>
      <c r="AA294" s="182" t="s">
        <v>157</v>
      </c>
      <c r="AB294" s="182">
        <v>1791.0</v>
      </c>
      <c r="AC294" s="184">
        <v>46027.0</v>
      </c>
      <c r="AD294" s="183" t="s">
        <v>505</v>
      </c>
      <c r="AE294" s="182">
        <v>998719.0</v>
      </c>
      <c r="AF294" s="182" t="s">
        <v>1000</v>
      </c>
      <c r="AG294" s="182"/>
      <c r="AH294" s="182"/>
      <c r="AI294" s="182">
        <v>1330.0</v>
      </c>
      <c r="AJ294" s="182"/>
      <c r="AK294" s="182">
        <v>18.0</v>
      </c>
      <c r="AL294" s="182">
        <v>119.7</v>
      </c>
      <c r="AM294" s="182">
        <v>119.7</v>
      </c>
      <c r="AN294" s="182">
        <v>0.0</v>
      </c>
      <c r="AO294" s="182">
        <v>0.0</v>
      </c>
      <c r="AP294" s="182">
        <v>0.0</v>
      </c>
      <c r="AQ294" s="182">
        <v>0.0</v>
      </c>
      <c r="AR294" s="182">
        <v>0.0</v>
      </c>
      <c r="AS294" s="181">
        <v>0.0</v>
      </c>
      <c r="AT294" s="182">
        <v>0.0</v>
      </c>
      <c r="AU294" s="183"/>
      <c r="AV294" s="183"/>
      <c r="AW294" s="182">
        <v>0.0</v>
      </c>
      <c r="AX294" s="182">
        <v>46880.22</v>
      </c>
      <c r="AY294" s="182" t="s">
        <v>20</v>
      </c>
      <c r="AZ294" s="182" t="s">
        <v>31</v>
      </c>
      <c r="BA294" s="182" t="s">
        <v>998</v>
      </c>
      <c r="BB294" s="182">
        <v>1.12511043E9</v>
      </c>
      <c r="BC294" s="182" t="s">
        <v>187</v>
      </c>
      <c r="BD294" s="182" t="s">
        <v>162</v>
      </c>
      <c r="BE294" s="183"/>
      <c r="BF294" s="183" t="s">
        <v>483</v>
      </c>
      <c r="BG294" s="183" t="s">
        <v>482</v>
      </c>
      <c r="BH294" s="182" t="s">
        <v>587</v>
      </c>
      <c r="BI294" s="171" t="s">
        <v>511</v>
      </c>
      <c r="BJ294" s="171" t="s">
        <v>512</v>
      </c>
      <c r="BK294" s="171" t="s">
        <v>1034</v>
      </c>
      <c r="BL294" s="171">
        <v>239.4</v>
      </c>
      <c r="BM294" s="171">
        <v>7151.22</v>
      </c>
      <c r="BN294" s="171">
        <v>-6912.0</v>
      </c>
      <c r="BO294" s="171" t="s">
        <v>514</v>
      </c>
      <c r="BP294" s="171">
        <v>8977074.0</v>
      </c>
      <c r="BQ294" s="171" t="s">
        <v>483</v>
      </c>
      <c r="BR294" s="171" t="s">
        <v>479</v>
      </c>
      <c r="BS294" s="171">
        <v>8.0</v>
      </c>
    </row>
    <row r="295" ht="14.25" customHeight="1">
      <c r="A295" s="181" t="s">
        <v>493</v>
      </c>
      <c r="B295" s="182" t="s">
        <v>494</v>
      </c>
      <c r="C295" s="182">
        <v>107.0</v>
      </c>
      <c r="D295" s="182" t="s">
        <v>146</v>
      </c>
      <c r="E295" s="182" t="s">
        <v>147</v>
      </c>
      <c r="F295" s="183"/>
      <c r="G295" s="183" t="s">
        <v>149</v>
      </c>
      <c r="H295" s="181" t="s">
        <v>2</v>
      </c>
      <c r="I295" s="182" t="s">
        <v>495</v>
      </c>
      <c r="J295" s="182" t="s">
        <v>496</v>
      </c>
      <c r="K295" s="182" t="s">
        <v>497</v>
      </c>
      <c r="L295" s="182" t="s">
        <v>498</v>
      </c>
      <c r="M295" s="184">
        <v>46051.0</v>
      </c>
      <c r="N295" s="182">
        <v>1791.0</v>
      </c>
      <c r="O295" s="182">
        <v>8977074.0</v>
      </c>
      <c r="P295" s="184">
        <v>46027.0</v>
      </c>
      <c r="Q295" s="182" t="s">
        <v>500</v>
      </c>
      <c r="R295" s="182">
        <v>35605.0</v>
      </c>
      <c r="S295" s="182" t="s">
        <v>994</v>
      </c>
      <c r="T295" s="182" t="s">
        <v>995</v>
      </c>
      <c r="U295" s="182" t="s">
        <v>996</v>
      </c>
      <c r="V295" s="183" t="s">
        <v>504</v>
      </c>
      <c r="W295" s="183"/>
      <c r="X295" s="182">
        <v>522.5</v>
      </c>
      <c r="Y295" s="182">
        <v>4.0</v>
      </c>
      <c r="Z295" s="182">
        <v>2090.0</v>
      </c>
      <c r="AA295" s="182" t="s">
        <v>157</v>
      </c>
      <c r="AB295" s="182">
        <v>1791.0</v>
      </c>
      <c r="AC295" s="184">
        <v>46027.0</v>
      </c>
      <c r="AD295" s="183" t="s">
        <v>505</v>
      </c>
      <c r="AE295" s="182">
        <v>998719.0</v>
      </c>
      <c r="AF295" s="182" t="s">
        <v>1001</v>
      </c>
      <c r="AG295" s="182"/>
      <c r="AH295" s="182"/>
      <c r="AI295" s="182">
        <v>2090.0</v>
      </c>
      <c r="AJ295" s="182"/>
      <c r="AK295" s="182">
        <v>18.0</v>
      </c>
      <c r="AL295" s="182">
        <v>188.1</v>
      </c>
      <c r="AM295" s="182">
        <v>188.1</v>
      </c>
      <c r="AN295" s="182">
        <v>0.0</v>
      </c>
      <c r="AO295" s="182">
        <v>0.0</v>
      </c>
      <c r="AP295" s="182">
        <v>0.0</v>
      </c>
      <c r="AQ295" s="182">
        <v>0.0</v>
      </c>
      <c r="AR295" s="182">
        <v>0.0</v>
      </c>
      <c r="AS295" s="181">
        <v>0.0</v>
      </c>
      <c r="AT295" s="182">
        <v>0.0</v>
      </c>
      <c r="AU295" s="183"/>
      <c r="AV295" s="183"/>
      <c r="AW295" s="182">
        <v>0.0</v>
      </c>
      <c r="AX295" s="182">
        <v>46880.22</v>
      </c>
      <c r="AY295" s="182" t="s">
        <v>20</v>
      </c>
      <c r="AZ295" s="182" t="s">
        <v>31</v>
      </c>
      <c r="BA295" s="182" t="s">
        <v>998</v>
      </c>
      <c r="BB295" s="182">
        <v>1.12511043E9</v>
      </c>
      <c r="BC295" s="182" t="s">
        <v>187</v>
      </c>
      <c r="BD295" s="182" t="s">
        <v>162</v>
      </c>
      <c r="BE295" s="183"/>
      <c r="BF295" s="183" t="s">
        <v>483</v>
      </c>
      <c r="BG295" s="183" t="s">
        <v>482</v>
      </c>
      <c r="BH295" s="182" t="s">
        <v>587</v>
      </c>
      <c r="BI295" s="171" t="s">
        <v>511</v>
      </c>
      <c r="BJ295" s="171" t="s">
        <v>512</v>
      </c>
      <c r="BK295" s="171" t="s">
        <v>1034</v>
      </c>
      <c r="BL295" s="171">
        <v>376.2</v>
      </c>
      <c r="BM295" s="171">
        <v>7151.22</v>
      </c>
      <c r="BN295" s="171">
        <v>-6775.0</v>
      </c>
      <c r="BO295" s="171" t="s">
        <v>514</v>
      </c>
      <c r="BP295" s="171">
        <v>8977074.0</v>
      </c>
      <c r="BQ295" s="171" t="s">
        <v>483</v>
      </c>
      <c r="BR295" s="171" t="s">
        <v>479</v>
      </c>
      <c r="BS295" s="171">
        <v>8.0</v>
      </c>
    </row>
    <row r="296" ht="14.25" customHeight="1">
      <c r="A296" s="181" t="s">
        <v>493</v>
      </c>
      <c r="B296" s="182" t="s">
        <v>494</v>
      </c>
      <c r="C296" s="182">
        <v>107.0</v>
      </c>
      <c r="D296" s="182" t="s">
        <v>146</v>
      </c>
      <c r="E296" s="182" t="s">
        <v>147</v>
      </c>
      <c r="F296" s="183"/>
      <c r="G296" s="183" t="s">
        <v>149</v>
      </c>
      <c r="H296" s="181" t="s">
        <v>2</v>
      </c>
      <c r="I296" s="182" t="s">
        <v>495</v>
      </c>
      <c r="J296" s="182" t="s">
        <v>496</v>
      </c>
      <c r="K296" s="182" t="s">
        <v>497</v>
      </c>
      <c r="L296" s="182" t="s">
        <v>498</v>
      </c>
      <c r="M296" s="184">
        <v>46051.0</v>
      </c>
      <c r="N296" s="182">
        <v>1791.0</v>
      </c>
      <c r="O296" s="182">
        <v>8977074.0</v>
      </c>
      <c r="P296" s="184">
        <v>46027.0</v>
      </c>
      <c r="Q296" s="182" t="s">
        <v>500</v>
      </c>
      <c r="R296" s="182">
        <v>35605.0</v>
      </c>
      <c r="S296" s="182" t="s">
        <v>994</v>
      </c>
      <c r="T296" s="182" t="s">
        <v>995</v>
      </c>
      <c r="U296" s="182" t="s">
        <v>996</v>
      </c>
      <c r="V296" s="183" t="s">
        <v>504</v>
      </c>
      <c r="W296" s="183"/>
      <c r="X296" s="182">
        <v>684.0</v>
      </c>
      <c r="Y296" s="182">
        <v>2.0</v>
      </c>
      <c r="Z296" s="182">
        <v>1368.0</v>
      </c>
      <c r="AA296" s="182" t="s">
        <v>157</v>
      </c>
      <c r="AB296" s="182">
        <v>1791.0</v>
      </c>
      <c r="AC296" s="184">
        <v>46027.0</v>
      </c>
      <c r="AD296" s="183" t="s">
        <v>505</v>
      </c>
      <c r="AE296" s="182">
        <v>998719.0</v>
      </c>
      <c r="AF296" s="182" t="s">
        <v>1002</v>
      </c>
      <c r="AG296" s="182"/>
      <c r="AH296" s="182"/>
      <c r="AI296" s="182">
        <v>1368.0</v>
      </c>
      <c r="AJ296" s="182"/>
      <c r="AK296" s="182">
        <v>18.0</v>
      </c>
      <c r="AL296" s="182">
        <v>123.12</v>
      </c>
      <c r="AM296" s="182">
        <v>123.12</v>
      </c>
      <c r="AN296" s="182">
        <v>0.0</v>
      </c>
      <c r="AO296" s="182">
        <v>0.0</v>
      </c>
      <c r="AP296" s="182">
        <v>0.0</v>
      </c>
      <c r="AQ296" s="182">
        <v>0.0</v>
      </c>
      <c r="AR296" s="182">
        <v>0.0</v>
      </c>
      <c r="AS296" s="181">
        <v>0.0</v>
      </c>
      <c r="AT296" s="182">
        <v>0.0</v>
      </c>
      <c r="AU296" s="183"/>
      <c r="AV296" s="183"/>
      <c r="AW296" s="182">
        <v>0.0</v>
      </c>
      <c r="AX296" s="182">
        <v>46880.22</v>
      </c>
      <c r="AY296" s="182" t="s">
        <v>20</v>
      </c>
      <c r="AZ296" s="182" t="s">
        <v>31</v>
      </c>
      <c r="BA296" s="182" t="s">
        <v>998</v>
      </c>
      <c r="BB296" s="182">
        <v>1.12511043E9</v>
      </c>
      <c r="BC296" s="182" t="s">
        <v>187</v>
      </c>
      <c r="BD296" s="182" t="s">
        <v>162</v>
      </c>
      <c r="BE296" s="183"/>
      <c r="BF296" s="183" t="s">
        <v>483</v>
      </c>
      <c r="BG296" s="183" t="s">
        <v>482</v>
      </c>
      <c r="BH296" s="182" t="s">
        <v>587</v>
      </c>
      <c r="BI296" s="171" t="s">
        <v>511</v>
      </c>
      <c r="BJ296" s="171" t="s">
        <v>512</v>
      </c>
      <c r="BK296" s="171" t="s">
        <v>1034</v>
      </c>
      <c r="BL296" s="171">
        <v>246.24</v>
      </c>
      <c r="BM296" s="171">
        <v>7151.22</v>
      </c>
      <c r="BN296" s="171">
        <v>-6905.0</v>
      </c>
      <c r="BO296" s="171" t="s">
        <v>514</v>
      </c>
      <c r="BP296" s="171">
        <v>8977074.0</v>
      </c>
      <c r="BQ296" s="171" t="s">
        <v>483</v>
      </c>
      <c r="BR296" s="171" t="s">
        <v>479</v>
      </c>
      <c r="BS296" s="171">
        <v>8.0</v>
      </c>
    </row>
    <row r="297" ht="14.25" customHeight="1">
      <c r="A297" s="181" t="s">
        <v>493</v>
      </c>
      <c r="B297" s="182" t="s">
        <v>494</v>
      </c>
      <c r="C297" s="182">
        <v>107.0</v>
      </c>
      <c r="D297" s="182" t="s">
        <v>146</v>
      </c>
      <c r="E297" s="182" t="s">
        <v>147</v>
      </c>
      <c r="F297" s="183"/>
      <c r="G297" s="183" t="s">
        <v>149</v>
      </c>
      <c r="H297" s="181" t="s">
        <v>2</v>
      </c>
      <c r="I297" s="182" t="s">
        <v>495</v>
      </c>
      <c r="J297" s="182" t="s">
        <v>496</v>
      </c>
      <c r="K297" s="182" t="s">
        <v>497</v>
      </c>
      <c r="L297" s="182" t="s">
        <v>498</v>
      </c>
      <c r="M297" s="184">
        <v>46051.0</v>
      </c>
      <c r="N297" s="182">
        <v>1791.0</v>
      </c>
      <c r="O297" s="182">
        <v>8977074.0</v>
      </c>
      <c r="P297" s="184">
        <v>46027.0</v>
      </c>
      <c r="Q297" s="182" t="s">
        <v>500</v>
      </c>
      <c r="R297" s="182">
        <v>35605.0</v>
      </c>
      <c r="S297" s="182" t="s">
        <v>994</v>
      </c>
      <c r="T297" s="182" t="s">
        <v>995</v>
      </c>
      <c r="U297" s="182" t="s">
        <v>996</v>
      </c>
      <c r="V297" s="183" t="s">
        <v>504</v>
      </c>
      <c r="W297" s="183"/>
      <c r="X297" s="182">
        <v>5890.0</v>
      </c>
      <c r="Y297" s="182">
        <v>4.0</v>
      </c>
      <c r="Z297" s="182">
        <v>23560.0</v>
      </c>
      <c r="AA297" s="182" t="s">
        <v>157</v>
      </c>
      <c r="AB297" s="182">
        <v>1791.0</v>
      </c>
      <c r="AC297" s="184">
        <v>46027.0</v>
      </c>
      <c r="AD297" s="183" t="s">
        <v>505</v>
      </c>
      <c r="AE297" s="182">
        <v>998719.0</v>
      </c>
      <c r="AF297" s="182" t="s">
        <v>1004</v>
      </c>
      <c r="AG297" s="182"/>
      <c r="AH297" s="182"/>
      <c r="AI297" s="182">
        <v>23560.0</v>
      </c>
      <c r="AJ297" s="182"/>
      <c r="AK297" s="182">
        <v>18.0</v>
      </c>
      <c r="AL297" s="182">
        <v>2120.4</v>
      </c>
      <c r="AM297" s="182">
        <v>2120.4</v>
      </c>
      <c r="AN297" s="182">
        <v>0.0</v>
      </c>
      <c r="AO297" s="182">
        <v>0.0</v>
      </c>
      <c r="AP297" s="182">
        <v>0.0</v>
      </c>
      <c r="AQ297" s="182">
        <v>0.0</v>
      </c>
      <c r="AR297" s="182">
        <v>0.0</v>
      </c>
      <c r="AS297" s="181">
        <v>0.0</v>
      </c>
      <c r="AT297" s="182">
        <v>0.0</v>
      </c>
      <c r="AU297" s="183"/>
      <c r="AV297" s="183"/>
      <c r="AW297" s="182">
        <v>0.0</v>
      </c>
      <c r="AX297" s="182">
        <v>46880.22</v>
      </c>
      <c r="AY297" s="182" t="s">
        <v>20</v>
      </c>
      <c r="AZ297" s="182" t="s">
        <v>31</v>
      </c>
      <c r="BA297" s="182" t="s">
        <v>998</v>
      </c>
      <c r="BB297" s="182">
        <v>1.12511043E9</v>
      </c>
      <c r="BC297" s="182" t="s">
        <v>187</v>
      </c>
      <c r="BD297" s="182" t="s">
        <v>162</v>
      </c>
      <c r="BE297" s="183"/>
      <c r="BF297" s="183" t="s">
        <v>483</v>
      </c>
      <c r="BG297" s="183" t="s">
        <v>482</v>
      </c>
      <c r="BH297" s="182" t="s">
        <v>587</v>
      </c>
      <c r="BI297" s="171" t="s">
        <v>511</v>
      </c>
      <c r="BJ297" s="171" t="s">
        <v>512</v>
      </c>
      <c r="BK297" s="171" t="s">
        <v>1034</v>
      </c>
      <c r="BL297" s="171">
        <v>4240.8</v>
      </c>
      <c r="BM297" s="171">
        <v>7151.22</v>
      </c>
      <c r="BN297" s="171">
        <v>-2910.0</v>
      </c>
      <c r="BO297" s="171" t="s">
        <v>514</v>
      </c>
      <c r="BP297" s="171">
        <v>8977074.0</v>
      </c>
      <c r="BQ297" s="171" t="s">
        <v>483</v>
      </c>
      <c r="BR297" s="171" t="s">
        <v>479</v>
      </c>
      <c r="BS297" s="171">
        <v>8.0</v>
      </c>
    </row>
    <row r="298" ht="14.25" customHeight="1">
      <c r="A298" s="181" t="s">
        <v>493</v>
      </c>
      <c r="B298" s="182" t="s">
        <v>494</v>
      </c>
      <c r="C298" s="182">
        <v>107.0</v>
      </c>
      <c r="D298" s="182" t="s">
        <v>146</v>
      </c>
      <c r="E298" s="182" t="s">
        <v>147</v>
      </c>
      <c r="F298" s="183"/>
      <c r="G298" s="183" t="s">
        <v>149</v>
      </c>
      <c r="H298" s="181" t="s">
        <v>2</v>
      </c>
      <c r="I298" s="182" t="s">
        <v>495</v>
      </c>
      <c r="J298" s="182" t="s">
        <v>496</v>
      </c>
      <c r="K298" s="182" t="s">
        <v>497</v>
      </c>
      <c r="L298" s="182" t="s">
        <v>498</v>
      </c>
      <c r="M298" s="184">
        <v>46051.0</v>
      </c>
      <c r="N298" s="182">
        <v>1791.0</v>
      </c>
      <c r="O298" s="182">
        <v>8977074.0</v>
      </c>
      <c r="P298" s="184">
        <v>46027.0</v>
      </c>
      <c r="Q298" s="182" t="s">
        <v>500</v>
      </c>
      <c r="R298" s="182">
        <v>35605.0</v>
      </c>
      <c r="S298" s="182" t="s">
        <v>994</v>
      </c>
      <c r="T298" s="182" t="s">
        <v>995</v>
      </c>
      <c r="U298" s="182" t="s">
        <v>996</v>
      </c>
      <c r="V298" s="183" t="s">
        <v>504</v>
      </c>
      <c r="W298" s="183"/>
      <c r="X298" s="182">
        <v>551.0</v>
      </c>
      <c r="Y298" s="182">
        <v>2.0</v>
      </c>
      <c r="Z298" s="182">
        <v>1102.0</v>
      </c>
      <c r="AA298" s="182" t="s">
        <v>157</v>
      </c>
      <c r="AB298" s="182">
        <v>1791.0</v>
      </c>
      <c r="AC298" s="184">
        <v>46027.0</v>
      </c>
      <c r="AD298" s="183" t="s">
        <v>505</v>
      </c>
      <c r="AE298" s="182">
        <v>998719.0</v>
      </c>
      <c r="AF298" s="182" t="s">
        <v>1005</v>
      </c>
      <c r="AG298" s="182"/>
      <c r="AH298" s="182"/>
      <c r="AI298" s="182">
        <v>1102.0</v>
      </c>
      <c r="AJ298" s="182"/>
      <c r="AK298" s="182">
        <v>18.0</v>
      </c>
      <c r="AL298" s="182">
        <v>99.18</v>
      </c>
      <c r="AM298" s="182">
        <v>99.18</v>
      </c>
      <c r="AN298" s="182">
        <v>0.0</v>
      </c>
      <c r="AO298" s="182">
        <v>0.0</v>
      </c>
      <c r="AP298" s="182">
        <v>0.0</v>
      </c>
      <c r="AQ298" s="182">
        <v>0.0</v>
      </c>
      <c r="AR298" s="182">
        <v>0.0</v>
      </c>
      <c r="AS298" s="181">
        <v>0.0</v>
      </c>
      <c r="AT298" s="182">
        <v>0.0</v>
      </c>
      <c r="AU298" s="183"/>
      <c r="AV298" s="183"/>
      <c r="AW298" s="182">
        <v>0.0</v>
      </c>
      <c r="AX298" s="182">
        <v>46880.22</v>
      </c>
      <c r="AY298" s="182" t="s">
        <v>20</v>
      </c>
      <c r="AZ298" s="182" t="s">
        <v>31</v>
      </c>
      <c r="BA298" s="182" t="s">
        <v>998</v>
      </c>
      <c r="BB298" s="182">
        <v>1.12511043E9</v>
      </c>
      <c r="BC298" s="182" t="s">
        <v>187</v>
      </c>
      <c r="BD298" s="182" t="s">
        <v>162</v>
      </c>
      <c r="BE298" s="183"/>
      <c r="BF298" s="183" t="s">
        <v>483</v>
      </c>
      <c r="BG298" s="183" t="s">
        <v>482</v>
      </c>
      <c r="BH298" s="182" t="s">
        <v>587</v>
      </c>
      <c r="BI298" s="171" t="s">
        <v>511</v>
      </c>
      <c r="BJ298" s="171" t="s">
        <v>512</v>
      </c>
      <c r="BK298" s="171" t="s">
        <v>1034</v>
      </c>
      <c r="BL298" s="171">
        <v>198.36</v>
      </c>
      <c r="BM298" s="171">
        <v>7151.22</v>
      </c>
      <c r="BN298" s="171">
        <v>-6953.0</v>
      </c>
      <c r="BO298" s="171" t="s">
        <v>514</v>
      </c>
      <c r="BP298" s="171">
        <v>8977074.0</v>
      </c>
      <c r="BQ298" s="171" t="s">
        <v>483</v>
      </c>
      <c r="BR298" s="171" t="s">
        <v>479</v>
      </c>
      <c r="BS298" s="171">
        <v>8.0</v>
      </c>
    </row>
    <row r="299" ht="14.25" customHeight="1">
      <c r="A299" s="181" t="s">
        <v>493</v>
      </c>
      <c r="B299" s="182" t="s">
        <v>494</v>
      </c>
      <c r="C299" s="182">
        <v>107.0</v>
      </c>
      <c r="D299" s="182" t="s">
        <v>146</v>
      </c>
      <c r="E299" s="182" t="s">
        <v>147</v>
      </c>
      <c r="F299" s="183"/>
      <c r="G299" s="183" t="s">
        <v>149</v>
      </c>
      <c r="H299" s="181" t="s">
        <v>2</v>
      </c>
      <c r="I299" s="182" t="s">
        <v>495</v>
      </c>
      <c r="J299" s="182" t="s">
        <v>496</v>
      </c>
      <c r="K299" s="182" t="s">
        <v>497</v>
      </c>
      <c r="L299" s="182" t="s">
        <v>498</v>
      </c>
      <c r="M299" s="184">
        <v>46051.0</v>
      </c>
      <c r="N299" s="182">
        <v>1791.0</v>
      </c>
      <c r="O299" s="182">
        <v>8977074.0</v>
      </c>
      <c r="P299" s="184">
        <v>46027.0</v>
      </c>
      <c r="Q299" s="182" t="s">
        <v>500</v>
      </c>
      <c r="R299" s="182">
        <v>35605.0</v>
      </c>
      <c r="S299" s="182" t="s">
        <v>994</v>
      </c>
      <c r="T299" s="182" t="s">
        <v>995</v>
      </c>
      <c r="U299" s="182" t="s">
        <v>996</v>
      </c>
      <c r="V299" s="183" t="s">
        <v>504</v>
      </c>
      <c r="W299" s="183"/>
      <c r="X299" s="182">
        <v>456.0</v>
      </c>
      <c r="Y299" s="182">
        <v>4.0</v>
      </c>
      <c r="Z299" s="182">
        <v>1824.0</v>
      </c>
      <c r="AA299" s="182" t="s">
        <v>157</v>
      </c>
      <c r="AB299" s="182">
        <v>1791.0</v>
      </c>
      <c r="AC299" s="184">
        <v>46027.0</v>
      </c>
      <c r="AD299" s="183" t="s">
        <v>505</v>
      </c>
      <c r="AE299" s="182">
        <v>998719.0</v>
      </c>
      <c r="AF299" s="182" t="s">
        <v>1006</v>
      </c>
      <c r="AG299" s="182"/>
      <c r="AH299" s="182"/>
      <c r="AI299" s="182">
        <v>1824.0</v>
      </c>
      <c r="AJ299" s="182"/>
      <c r="AK299" s="182">
        <v>18.0</v>
      </c>
      <c r="AL299" s="182">
        <v>164.16</v>
      </c>
      <c r="AM299" s="182">
        <v>164.16</v>
      </c>
      <c r="AN299" s="182">
        <v>0.0</v>
      </c>
      <c r="AO299" s="182">
        <v>0.0</v>
      </c>
      <c r="AP299" s="182">
        <v>0.0</v>
      </c>
      <c r="AQ299" s="182">
        <v>0.0</v>
      </c>
      <c r="AR299" s="182">
        <v>0.0</v>
      </c>
      <c r="AS299" s="181">
        <v>0.0</v>
      </c>
      <c r="AT299" s="182">
        <v>0.0</v>
      </c>
      <c r="AU299" s="183"/>
      <c r="AV299" s="183"/>
      <c r="AW299" s="182">
        <v>0.0</v>
      </c>
      <c r="AX299" s="182">
        <v>46880.22</v>
      </c>
      <c r="AY299" s="182" t="s">
        <v>20</v>
      </c>
      <c r="AZ299" s="182" t="s">
        <v>31</v>
      </c>
      <c r="BA299" s="182" t="s">
        <v>998</v>
      </c>
      <c r="BB299" s="182">
        <v>1.12511043E9</v>
      </c>
      <c r="BC299" s="182" t="s">
        <v>187</v>
      </c>
      <c r="BD299" s="182" t="s">
        <v>162</v>
      </c>
      <c r="BE299" s="183"/>
      <c r="BF299" s="183" t="s">
        <v>483</v>
      </c>
      <c r="BG299" s="183" t="s">
        <v>482</v>
      </c>
      <c r="BH299" s="182" t="s">
        <v>587</v>
      </c>
      <c r="BI299" s="171" t="s">
        <v>511</v>
      </c>
      <c r="BJ299" s="171" t="s">
        <v>512</v>
      </c>
      <c r="BK299" s="171" t="s">
        <v>1034</v>
      </c>
      <c r="BL299" s="171">
        <v>328.32</v>
      </c>
      <c r="BM299" s="171">
        <v>7151.22</v>
      </c>
      <c r="BN299" s="171">
        <v>-6823.0</v>
      </c>
      <c r="BO299" s="171" t="s">
        <v>514</v>
      </c>
      <c r="BP299" s="171">
        <v>8977074.0</v>
      </c>
      <c r="BQ299" s="171" t="s">
        <v>483</v>
      </c>
      <c r="BR299" s="171" t="s">
        <v>479</v>
      </c>
      <c r="BS299" s="171">
        <v>8.0</v>
      </c>
    </row>
    <row r="300" ht="14.25" customHeight="1">
      <c r="A300" s="181" t="s">
        <v>493</v>
      </c>
      <c r="B300" s="182" t="s">
        <v>494</v>
      </c>
      <c r="C300" s="182">
        <v>107.0</v>
      </c>
      <c r="D300" s="182" t="s">
        <v>146</v>
      </c>
      <c r="E300" s="182" t="s">
        <v>147</v>
      </c>
      <c r="F300" s="183"/>
      <c r="G300" s="183" t="s">
        <v>149</v>
      </c>
      <c r="H300" s="181" t="s">
        <v>2</v>
      </c>
      <c r="I300" s="182" t="s">
        <v>495</v>
      </c>
      <c r="J300" s="182" t="s">
        <v>496</v>
      </c>
      <c r="K300" s="182" t="s">
        <v>497</v>
      </c>
      <c r="L300" s="182" t="s">
        <v>498</v>
      </c>
      <c r="M300" s="184">
        <v>45988.0</v>
      </c>
      <c r="N300" s="182" t="s">
        <v>1035</v>
      </c>
      <c r="O300" s="182">
        <v>8855909.0</v>
      </c>
      <c r="P300" s="184">
        <v>45961.0</v>
      </c>
      <c r="Q300" s="182" t="s">
        <v>500</v>
      </c>
      <c r="R300" s="182">
        <v>44848.0</v>
      </c>
      <c r="S300" s="182" t="s">
        <v>1036</v>
      </c>
      <c r="T300" s="182" t="s">
        <v>1037</v>
      </c>
      <c r="U300" s="182" t="s">
        <v>1038</v>
      </c>
      <c r="V300" s="183" t="s">
        <v>1039</v>
      </c>
      <c r="W300" s="183"/>
      <c r="X300" s="182">
        <v>211.864</v>
      </c>
      <c r="Y300" s="182">
        <v>270.0</v>
      </c>
      <c r="Z300" s="182">
        <v>57203.28</v>
      </c>
      <c r="AA300" s="182" t="s">
        <v>157</v>
      </c>
      <c r="AB300" s="182" t="s">
        <v>1035</v>
      </c>
      <c r="AC300" s="184">
        <v>45961.0</v>
      </c>
      <c r="AD300" s="183" t="s">
        <v>505</v>
      </c>
      <c r="AE300" s="182">
        <v>4.8142E7</v>
      </c>
      <c r="AF300" s="182" t="s">
        <v>1040</v>
      </c>
      <c r="AG300" s="182"/>
      <c r="AH300" s="182"/>
      <c r="AI300" s="182">
        <v>57203.28</v>
      </c>
      <c r="AJ300" s="182"/>
      <c r="AK300" s="182">
        <v>18.0</v>
      </c>
      <c r="AL300" s="182">
        <v>0.0</v>
      </c>
      <c r="AM300" s="182">
        <v>0.0</v>
      </c>
      <c r="AN300" s="182">
        <v>10296.59</v>
      </c>
      <c r="AO300" s="182">
        <v>0.0</v>
      </c>
      <c r="AP300" s="182">
        <v>0.0</v>
      </c>
      <c r="AQ300" s="182">
        <v>0.0</v>
      </c>
      <c r="AR300" s="182">
        <v>0.0</v>
      </c>
      <c r="AS300" s="181">
        <v>0.0</v>
      </c>
      <c r="AT300" s="182">
        <v>0.0</v>
      </c>
      <c r="AU300" s="183"/>
      <c r="AV300" s="183"/>
      <c r="AW300" s="182">
        <v>0.0</v>
      </c>
      <c r="AX300" s="182">
        <v>66356.0</v>
      </c>
      <c r="AY300" s="182" t="s">
        <v>20</v>
      </c>
      <c r="AZ300" s="182" t="s">
        <v>31</v>
      </c>
      <c r="BA300" s="182" t="s">
        <v>1041</v>
      </c>
      <c r="BB300" s="182">
        <v>1.125108446E9</v>
      </c>
      <c r="BC300" s="182" t="s">
        <v>161</v>
      </c>
      <c r="BD300" s="182" t="s">
        <v>162</v>
      </c>
      <c r="BE300" s="183"/>
      <c r="BF300" s="183" t="s">
        <v>483</v>
      </c>
      <c r="BG300" s="183" t="s">
        <v>482</v>
      </c>
      <c r="BH300" s="182" t="s">
        <v>587</v>
      </c>
      <c r="BI300" s="171" t="s">
        <v>511</v>
      </c>
      <c r="BJ300" s="171" t="s">
        <v>512</v>
      </c>
      <c r="BK300" s="171" t="s">
        <v>466</v>
      </c>
      <c r="BL300" s="171">
        <v>10296.59</v>
      </c>
      <c r="BM300" s="171">
        <v>10122.11</v>
      </c>
      <c r="BN300" s="171">
        <v>174.0</v>
      </c>
      <c r="BO300" s="171" t="s">
        <v>514</v>
      </c>
      <c r="BP300" s="171">
        <v>8855909.0</v>
      </c>
      <c r="BQ300" s="171" t="s">
        <v>483</v>
      </c>
      <c r="BR300" s="171" t="s">
        <v>476</v>
      </c>
      <c r="BS300" s="171">
        <v>1.0</v>
      </c>
    </row>
    <row r="301" ht="14.25" customHeight="1">
      <c r="A301" s="181" t="s">
        <v>238</v>
      </c>
      <c r="B301" s="182" t="s">
        <v>763</v>
      </c>
      <c r="C301" s="182">
        <v>107.0</v>
      </c>
      <c r="D301" s="182" t="s">
        <v>146</v>
      </c>
      <c r="E301" s="182" t="s">
        <v>147</v>
      </c>
      <c r="F301" s="183"/>
      <c r="G301" s="183" t="s">
        <v>149</v>
      </c>
      <c r="H301" s="181" t="s">
        <v>2</v>
      </c>
      <c r="I301" s="182" t="s">
        <v>241</v>
      </c>
      <c r="J301" s="182" t="s">
        <v>243</v>
      </c>
      <c r="K301" s="182" t="s">
        <v>244</v>
      </c>
      <c r="L301" s="182" t="s">
        <v>764</v>
      </c>
      <c r="M301" s="184">
        <v>45973.0</v>
      </c>
      <c r="N301" s="182">
        <v>9.988979E7</v>
      </c>
      <c r="O301" s="182">
        <v>9.988979E7</v>
      </c>
      <c r="P301" s="184">
        <v>45973.0</v>
      </c>
      <c r="Q301" s="182" t="s">
        <v>765</v>
      </c>
      <c r="R301" s="182">
        <v>28324.0</v>
      </c>
      <c r="S301" s="182" t="s">
        <v>1042</v>
      </c>
      <c r="T301" s="182" t="s">
        <v>1043</v>
      </c>
      <c r="U301" s="182" t="s">
        <v>1044</v>
      </c>
      <c r="V301" s="183"/>
      <c r="W301" s="183"/>
      <c r="X301" s="182">
        <v>0.0</v>
      </c>
      <c r="Y301" s="182">
        <v>0.0</v>
      </c>
      <c r="Z301" s="182">
        <v>6568.0</v>
      </c>
      <c r="AA301" s="182" t="s">
        <v>157</v>
      </c>
      <c r="AB301" s="182" t="s">
        <v>1045</v>
      </c>
      <c r="AC301" s="184">
        <v>45803.0</v>
      </c>
      <c r="AD301" s="183" t="s">
        <v>1046</v>
      </c>
      <c r="AE301" s="182">
        <v>996311.0</v>
      </c>
      <c r="AF301" s="182" t="s">
        <v>1047</v>
      </c>
      <c r="AG301" s="182"/>
      <c r="AH301" s="182"/>
      <c r="AI301" s="182">
        <v>6568.0</v>
      </c>
      <c r="AJ301" s="182"/>
      <c r="AK301" s="182">
        <v>5.0</v>
      </c>
      <c r="AL301" s="182">
        <v>0.0</v>
      </c>
      <c r="AM301" s="182">
        <v>0.0</v>
      </c>
      <c r="AN301" s="182">
        <v>328.4</v>
      </c>
      <c r="AO301" s="182">
        <v>0.0</v>
      </c>
      <c r="AP301" s="182">
        <v>0.0</v>
      </c>
      <c r="AQ301" s="182">
        <v>0.0</v>
      </c>
      <c r="AR301" s="182">
        <v>0.0</v>
      </c>
      <c r="AS301" s="181">
        <v>0.0</v>
      </c>
      <c r="AT301" s="182">
        <v>0.0</v>
      </c>
      <c r="AU301" s="183"/>
      <c r="AV301" s="183"/>
      <c r="AW301" s="182">
        <v>0.0</v>
      </c>
      <c r="AX301" s="182">
        <v>6896.4</v>
      </c>
      <c r="AY301" s="182" t="s">
        <v>20</v>
      </c>
      <c r="AZ301" s="182" t="s">
        <v>31</v>
      </c>
      <c r="BA301" s="182" t="s">
        <v>1048</v>
      </c>
      <c r="BB301" s="182"/>
      <c r="BC301" s="182"/>
      <c r="BD301" s="182"/>
      <c r="BE301" s="183"/>
      <c r="BF301" s="183" t="s">
        <v>483</v>
      </c>
      <c r="BG301" s="183" t="s">
        <v>482</v>
      </c>
      <c r="BH301" s="182" t="s">
        <v>510</v>
      </c>
      <c r="BI301" s="171" t="s">
        <v>511</v>
      </c>
      <c r="BJ301" s="171" t="s">
        <v>512</v>
      </c>
      <c r="BK301" s="171" t="s">
        <v>474</v>
      </c>
      <c r="BL301" s="171">
        <v>328.4</v>
      </c>
      <c r="BM301" s="171">
        <v>289.0</v>
      </c>
      <c r="BN301" s="171">
        <v>39.0</v>
      </c>
      <c r="BO301" s="171" t="s">
        <v>514</v>
      </c>
      <c r="BP301" s="171">
        <v>9.988979E7</v>
      </c>
      <c r="BQ301" s="171" t="s">
        <v>483</v>
      </c>
      <c r="BR301" s="171" t="s">
        <v>476</v>
      </c>
      <c r="BS301" s="171">
        <v>1.0</v>
      </c>
    </row>
    <row r="302" ht="14.25" customHeight="1">
      <c r="A302" s="181" t="s">
        <v>238</v>
      </c>
      <c r="B302" s="182" t="s">
        <v>763</v>
      </c>
      <c r="C302" s="182">
        <v>107.0</v>
      </c>
      <c r="D302" s="182" t="s">
        <v>146</v>
      </c>
      <c r="E302" s="182" t="s">
        <v>147</v>
      </c>
      <c r="F302" s="183"/>
      <c r="G302" s="183" t="s">
        <v>149</v>
      </c>
      <c r="H302" s="181" t="s">
        <v>2</v>
      </c>
      <c r="I302" s="182" t="s">
        <v>241</v>
      </c>
      <c r="J302" s="182" t="s">
        <v>243</v>
      </c>
      <c r="K302" s="182" t="s">
        <v>244</v>
      </c>
      <c r="L302" s="182" t="s">
        <v>764</v>
      </c>
      <c r="M302" s="184">
        <v>45976.0</v>
      </c>
      <c r="N302" s="182">
        <v>1.00070387E8</v>
      </c>
      <c r="O302" s="182">
        <v>1.00070387E8</v>
      </c>
      <c r="P302" s="184">
        <v>45976.0</v>
      </c>
      <c r="Q302" s="182" t="s">
        <v>765</v>
      </c>
      <c r="R302" s="182">
        <v>28324.0</v>
      </c>
      <c r="S302" s="182" t="s">
        <v>1042</v>
      </c>
      <c r="T302" s="182" t="s">
        <v>618</v>
      </c>
      <c r="U302" s="182" t="s">
        <v>1049</v>
      </c>
      <c r="V302" s="183"/>
      <c r="W302" s="183"/>
      <c r="X302" s="182">
        <v>0.0</v>
      </c>
      <c r="Y302" s="182">
        <v>0.0</v>
      </c>
      <c r="Z302" s="182">
        <v>17340.0</v>
      </c>
      <c r="AA302" s="182" t="s">
        <v>157</v>
      </c>
      <c r="AB302" s="182" t="s">
        <v>1050</v>
      </c>
      <c r="AC302" s="184">
        <v>45772.0</v>
      </c>
      <c r="AD302" s="183" t="s">
        <v>1046</v>
      </c>
      <c r="AE302" s="182">
        <v>996311.0</v>
      </c>
      <c r="AF302" s="182" t="s">
        <v>1051</v>
      </c>
      <c r="AG302" s="182"/>
      <c r="AH302" s="182"/>
      <c r="AI302" s="182">
        <v>17340.0</v>
      </c>
      <c r="AJ302" s="182"/>
      <c r="AK302" s="182">
        <v>5.0</v>
      </c>
      <c r="AL302" s="182">
        <v>433.5</v>
      </c>
      <c r="AM302" s="182">
        <v>433.5</v>
      </c>
      <c r="AN302" s="182">
        <v>0.0</v>
      </c>
      <c r="AO302" s="182">
        <v>0.0</v>
      </c>
      <c r="AP302" s="182">
        <v>0.0</v>
      </c>
      <c r="AQ302" s="182">
        <v>0.0</v>
      </c>
      <c r="AR302" s="182">
        <v>0.0</v>
      </c>
      <c r="AS302" s="181">
        <v>0.0</v>
      </c>
      <c r="AT302" s="182">
        <v>0.0</v>
      </c>
      <c r="AU302" s="183"/>
      <c r="AV302" s="183"/>
      <c r="AW302" s="182">
        <v>0.0</v>
      </c>
      <c r="AX302" s="182">
        <v>35547.0</v>
      </c>
      <c r="AY302" s="182" t="s">
        <v>20</v>
      </c>
      <c r="AZ302" s="182" t="s">
        <v>31</v>
      </c>
      <c r="BA302" s="182" t="s">
        <v>1052</v>
      </c>
      <c r="BB302" s="182"/>
      <c r="BC302" s="182"/>
      <c r="BD302" s="182"/>
      <c r="BE302" s="183"/>
      <c r="BF302" s="183" t="s">
        <v>483</v>
      </c>
      <c r="BG302" s="183" t="s">
        <v>482</v>
      </c>
      <c r="BH302" s="182" t="s">
        <v>510</v>
      </c>
      <c r="BI302" s="171" t="s">
        <v>511</v>
      </c>
      <c r="BJ302" s="171" t="s">
        <v>512</v>
      </c>
      <c r="BK302" s="171" t="s">
        <v>1053</v>
      </c>
      <c r="BL302" s="171">
        <v>867.0</v>
      </c>
      <c r="BM302" s="171">
        <v>867.0</v>
      </c>
      <c r="BN302" s="171">
        <v>0.0</v>
      </c>
      <c r="BO302" s="171" t="s">
        <v>514</v>
      </c>
      <c r="BP302" s="171">
        <v>1.00070387E8</v>
      </c>
      <c r="BQ302" s="171" t="s">
        <v>483</v>
      </c>
      <c r="BR302" s="171" t="s">
        <v>476</v>
      </c>
      <c r="BS302" s="171">
        <v>1.0</v>
      </c>
    </row>
    <row r="303" ht="14.25" customHeight="1">
      <c r="A303" s="181" t="s">
        <v>493</v>
      </c>
      <c r="B303" s="182" t="s">
        <v>494</v>
      </c>
      <c r="C303" s="182">
        <v>107.0</v>
      </c>
      <c r="D303" s="182" t="s">
        <v>146</v>
      </c>
      <c r="E303" s="182" t="s">
        <v>147</v>
      </c>
      <c r="F303" s="183"/>
      <c r="G303" s="183" t="s">
        <v>149</v>
      </c>
      <c r="H303" s="181" t="s">
        <v>2</v>
      </c>
      <c r="I303" s="182" t="s">
        <v>495</v>
      </c>
      <c r="J303" s="182" t="s">
        <v>496</v>
      </c>
      <c r="K303" s="182" t="s">
        <v>497</v>
      </c>
      <c r="L303" s="182" t="s">
        <v>498</v>
      </c>
      <c r="M303" s="184">
        <v>45986.0</v>
      </c>
      <c r="N303" s="182">
        <v>1131.0</v>
      </c>
      <c r="O303" s="182">
        <v>8854263.0</v>
      </c>
      <c r="P303" s="184">
        <v>45973.0</v>
      </c>
      <c r="Q303" s="182" t="s">
        <v>500</v>
      </c>
      <c r="R303" s="182">
        <v>38992.0</v>
      </c>
      <c r="S303" s="182" t="s">
        <v>1008</v>
      </c>
      <c r="T303" s="182" t="s">
        <v>539</v>
      </c>
      <c r="U303" s="182" t="s">
        <v>1009</v>
      </c>
      <c r="V303" s="183" t="s">
        <v>1012</v>
      </c>
      <c r="W303" s="183"/>
      <c r="X303" s="182">
        <v>13900.0</v>
      </c>
      <c r="Y303" s="182">
        <v>1.0</v>
      </c>
      <c r="Z303" s="182">
        <v>13900.0</v>
      </c>
      <c r="AA303" s="182" t="s">
        <v>157</v>
      </c>
      <c r="AB303" s="182">
        <v>1131.0</v>
      </c>
      <c r="AC303" s="184">
        <v>45973.0</v>
      </c>
      <c r="AD303" s="183" t="s">
        <v>505</v>
      </c>
      <c r="AE303" s="182">
        <v>3808.0</v>
      </c>
      <c r="AF303" s="182" t="s">
        <v>1013</v>
      </c>
      <c r="AG303" s="182"/>
      <c r="AH303" s="182"/>
      <c r="AI303" s="182">
        <v>13900.0</v>
      </c>
      <c r="AJ303" s="182"/>
      <c r="AK303" s="182">
        <v>18.0</v>
      </c>
      <c r="AL303" s="182">
        <v>1251.0</v>
      </c>
      <c r="AM303" s="182">
        <v>1251.0</v>
      </c>
      <c r="AN303" s="182">
        <v>0.0</v>
      </c>
      <c r="AO303" s="182">
        <v>0.0</v>
      </c>
      <c r="AP303" s="182">
        <v>0.0</v>
      </c>
      <c r="AQ303" s="182">
        <v>0.0</v>
      </c>
      <c r="AR303" s="182">
        <v>0.0</v>
      </c>
      <c r="AS303" s="181">
        <v>0.0</v>
      </c>
      <c r="AT303" s="182">
        <v>0.0</v>
      </c>
      <c r="AU303" s="183"/>
      <c r="AV303" s="183"/>
      <c r="AW303" s="182">
        <v>0.0</v>
      </c>
      <c r="AX303" s="182">
        <v>22852.0</v>
      </c>
      <c r="AY303" s="182" t="s">
        <v>31</v>
      </c>
      <c r="AZ303" s="182" t="s">
        <v>31</v>
      </c>
      <c r="BA303" s="182" t="s">
        <v>600</v>
      </c>
      <c r="BB303" s="182">
        <v>1.125108407E9</v>
      </c>
      <c r="BC303" s="182" t="s">
        <v>556</v>
      </c>
      <c r="BD303" s="182" t="s">
        <v>586</v>
      </c>
      <c r="BE303" s="183"/>
      <c r="BF303" s="183" t="s">
        <v>484</v>
      </c>
      <c r="BG303" s="183" t="s">
        <v>482</v>
      </c>
      <c r="BH303" s="182" t="s">
        <v>587</v>
      </c>
      <c r="BI303" s="171" t="s">
        <v>511</v>
      </c>
      <c r="BJ303" s="171" t="s">
        <v>512</v>
      </c>
      <c r="BK303" s="171" t="s">
        <v>1054</v>
      </c>
      <c r="BL303" s="171">
        <v>2502.0</v>
      </c>
      <c r="BM303" s="171">
        <v>2502.0</v>
      </c>
      <c r="BN303" s="171">
        <v>0.0</v>
      </c>
      <c r="BO303" s="171" t="s">
        <v>514</v>
      </c>
      <c r="BP303" s="171">
        <v>8854263.0</v>
      </c>
      <c r="BQ303" s="171" t="s">
        <v>484</v>
      </c>
      <c r="BR303" s="171" t="s">
        <v>479</v>
      </c>
      <c r="BS303" s="171">
        <v>1.0</v>
      </c>
    </row>
    <row r="304" ht="14.25" customHeight="1">
      <c r="A304" s="181" t="s">
        <v>238</v>
      </c>
      <c r="B304" s="182" t="s">
        <v>763</v>
      </c>
      <c r="C304" s="182">
        <v>107.0</v>
      </c>
      <c r="D304" s="182" t="s">
        <v>146</v>
      </c>
      <c r="E304" s="182" t="s">
        <v>147</v>
      </c>
      <c r="F304" s="183"/>
      <c r="G304" s="183" t="s">
        <v>149</v>
      </c>
      <c r="H304" s="181" t="s">
        <v>2</v>
      </c>
      <c r="I304" s="182" t="s">
        <v>241</v>
      </c>
      <c r="J304" s="182" t="s">
        <v>243</v>
      </c>
      <c r="K304" s="182" t="s">
        <v>244</v>
      </c>
      <c r="L304" s="182" t="s">
        <v>764</v>
      </c>
      <c r="M304" s="184">
        <v>45976.0</v>
      </c>
      <c r="N304" s="182">
        <v>1.00070266E8</v>
      </c>
      <c r="O304" s="182">
        <v>1.00070266E8</v>
      </c>
      <c r="P304" s="184">
        <v>45976.0</v>
      </c>
      <c r="Q304" s="182" t="s">
        <v>765</v>
      </c>
      <c r="R304" s="182">
        <v>28324.0</v>
      </c>
      <c r="S304" s="182" t="s">
        <v>1042</v>
      </c>
      <c r="T304" s="182" t="s">
        <v>1055</v>
      </c>
      <c r="U304" s="182" t="s">
        <v>1056</v>
      </c>
      <c r="V304" s="183"/>
      <c r="W304" s="183"/>
      <c r="X304" s="182">
        <v>0.0</v>
      </c>
      <c r="Y304" s="182">
        <v>0.0</v>
      </c>
      <c r="Z304" s="182">
        <v>8000.0</v>
      </c>
      <c r="AA304" s="182" t="s">
        <v>157</v>
      </c>
      <c r="AB304" s="182" t="s">
        <v>1057</v>
      </c>
      <c r="AC304" s="184">
        <v>45808.0</v>
      </c>
      <c r="AD304" s="183" t="s">
        <v>1046</v>
      </c>
      <c r="AE304" s="182">
        <v>996311.0</v>
      </c>
      <c r="AF304" s="182" t="s">
        <v>1058</v>
      </c>
      <c r="AG304" s="182"/>
      <c r="AH304" s="182"/>
      <c r="AI304" s="182">
        <v>8000.0</v>
      </c>
      <c r="AJ304" s="182"/>
      <c r="AK304" s="182">
        <v>12.0</v>
      </c>
      <c r="AL304" s="182">
        <v>0.0</v>
      </c>
      <c r="AM304" s="182">
        <v>0.0</v>
      </c>
      <c r="AN304" s="182">
        <v>960.0</v>
      </c>
      <c r="AO304" s="182">
        <v>0.0</v>
      </c>
      <c r="AP304" s="182">
        <v>0.0</v>
      </c>
      <c r="AQ304" s="182">
        <v>0.0</v>
      </c>
      <c r="AR304" s="182">
        <v>0.0</v>
      </c>
      <c r="AS304" s="181">
        <v>0.0</v>
      </c>
      <c r="AT304" s="182">
        <v>0.0</v>
      </c>
      <c r="AU304" s="183"/>
      <c r="AV304" s="183"/>
      <c r="AW304" s="182">
        <v>0.0</v>
      </c>
      <c r="AX304" s="182">
        <v>8960.0</v>
      </c>
      <c r="AY304" s="182" t="s">
        <v>20</v>
      </c>
      <c r="AZ304" s="182" t="s">
        <v>31</v>
      </c>
      <c r="BA304" s="182" t="s">
        <v>1059</v>
      </c>
      <c r="BB304" s="182"/>
      <c r="BC304" s="182"/>
      <c r="BD304" s="182"/>
      <c r="BE304" s="183"/>
      <c r="BF304" s="183" t="s">
        <v>483</v>
      </c>
      <c r="BG304" s="183" t="s">
        <v>482</v>
      </c>
      <c r="BH304" s="182" t="s">
        <v>510</v>
      </c>
      <c r="BI304" s="171" t="s">
        <v>511</v>
      </c>
      <c r="BJ304" s="171" t="s">
        <v>512</v>
      </c>
      <c r="BK304" s="171" t="s">
        <v>1060</v>
      </c>
      <c r="BL304" s="171">
        <v>960.0</v>
      </c>
      <c r="BM304" s="171">
        <v>960.0</v>
      </c>
      <c r="BN304" s="171">
        <v>0.0</v>
      </c>
      <c r="BO304" s="171" t="s">
        <v>514</v>
      </c>
      <c r="BP304" s="171">
        <v>1.00070266E8</v>
      </c>
      <c r="BQ304" s="171" t="s">
        <v>483</v>
      </c>
      <c r="BR304" s="171" t="s">
        <v>476</v>
      </c>
      <c r="BS304" s="171">
        <v>1.0</v>
      </c>
    </row>
    <row r="305" ht="14.25" customHeight="1">
      <c r="A305" s="181" t="s">
        <v>238</v>
      </c>
      <c r="B305" s="182" t="s">
        <v>763</v>
      </c>
      <c r="C305" s="182">
        <v>107.0</v>
      </c>
      <c r="D305" s="182" t="s">
        <v>146</v>
      </c>
      <c r="E305" s="182" t="s">
        <v>147</v>
      </c>
      <c r="F305" s="183"/>
      <c r="G305" s="183" t="s">
        <v>149</v>
      </c>
      <c r="H305" s="181" t="s">
        <v>2</v>
      </c>
      <c r="I305" s="182" t="s">
        <v>241</v>
      </c>
      <c r="J305" s="182" t="s">
        <v>243</v>
      </c>
      <c r="K305" s="182" t="s">
        <v>244</v>
      </c>
      <c r="L305" s="182" t="s">
        <v>764</v>
      </c>
      <c r="M305" s="184">
        <v>45944.0</v>
      </c>
      <c r="N305" s="182">
        <v>9.8288088E7</v>
      </c>
      <c r="O305" s="182">
        <v>9.8288088E7</v>
      </c>
      <c r="P305" s="184">
        <v>45944.0</v>
      </c>
      <c r="Q305" s="182" t="s">
        <v>765</v>
      </c>
      <c r="R305" s="182">
        <v>28324.0</v>
      </c>
      <c r="S305" s="182" t="s">
        <v>1042</v>
      </c>
      <c r="T305" s="182" t="s">
        <v>618</v>
      </c>
      <c r="U305" s="182" t="s">
        <v>1049</v>
      </c>
      <c r="V305" s="183"/>
      <c r="W305" s="183"/>
      <c r="X305" s="182">
        <v>0.0</v>
      </c>
      <c r="Y305" s="182">
        <v>0.0</v>
      </c>
      <c r="Z305" s="182">
        <v>476.0</v>
      </c>
      <c r="AA305" s="182" t="s">
        <v>157</v>
      </c>
      <c r="AB305" s="182" t="s">
        <v>1061</v>
      </c>
      <c r="AC305" s="184">
        <v>45811.0</v>
      </c>
      <c r="AD305" s="183" t="s">
        <v>1046</v>
      </c>
      <c r="AE305" s="182">
        <v>996311.0</v>
      </c>
      <c r="AF305" s="182" t="s">
        <v>1062</v>
      </c>
      <c r="AG305" s="182"/>
      <c r="AH305" s="182"/>
      <c r="AI305" s="182">
        <v>476.0</v>
      </c>
      <c r="AJ305" s="182"/>
      <c r="AK305" s="182">
        <v>5.0</v>
      </c>
      <c r="AL305" s="182">
        <v>11.9</v>
      </c>
      <c r="AM305" s="182">
        <v>11.9</v>
      </c>
      <c r="AN305" s="182">
        <v>0.0</v>
      </c>
      <c r="AO305" s="182">
        <v>0.0</v>
      </c>
      <c r="AP305" s="182">
        <v>0.0</v>
      </c>
      <c r="AQ305" s="182">
        <v>0.0</v>
      </c>
      <c r="AR305" s="182">
        <v>0.0</v>
      </c>
      <c r="AS305" s="181">
        <v>0.0</v>
      </c>
      <c r="AT305" s="182">
        <v>0.0</v>
      </c>
      <c r="AU305" s="183"/>
      <c r="AV305" s="183"/>
      <c r="AW305" s="182">
        <v>0.0</v>
      </c>
      <c r="AX305" s="182">
        <v>975.8</v>
      </c>
      <c r="AY305" s="182" t="s">
        <v>20</v>
      </c>
      <c r="AZ305" s="182" t="s">
        <v>31</v>
      </c>
      <c r="BA305" s="182" t="s">
        <v>1063</v>
      </c>
      <c r="BB305" s="182"/>
      <c r="BC305" s="182"/>
      <c r="BD305" s="182"/>
      <c r="BE305" s="183"/>
      <c r="BF305" s="183" t="s">
        <v>483</v>
      </c>
      <c r="BG305" s="183" t="s">
        <v>482</v>
      </c>
      <c r="BH305" s="182" t="s">
        <v>510</v>
      </c>
      <c r="BI305" s="171" t="s">
        <v>511</v>
      </c>
      <c r="BJ305" s="171" t="s">
        <v>512</v>
      </c>
      <c r="BK305" s="171" t="s">
        <v>1064</v>
      </c>
      <c r="BL305" s="171">
        <v>23.8</v>
      </c>
      <c r="BM305" s="171">
        <v>24.0</v>
      </c>
      <c r="BN305" s="171">
        <v>0.0</v>
      </c>
      <c r="BO305" s="171" t="s">
        <v>514</v>
      </c>
      <c r="BP305" s="171">
        <v>9.8288088E7</v>
      </c>
      <c r="BQ305" s="171" t="s">
        <v>483</v>
      </c>
      <c r="BR305" s="171" t="s">
        <v>476</v>
      </c>
      <c r="BS305" s="171">
        <v>1.0</v>
      </c>
    </row>
    <row r="306" ht="14.25" customHeight="1">
      <c r="A306" s="181" t="s">
        <v>238</v>
      </c>
      <c r="B306" s="182" t="s">
        <v>763</v>
      </c>
      <c r="C306" s="182">
        <v>107.0</v>
      </c>
      <c r="D306" s="182" t="s">
        <v>146</v>
      </c>
      <c r="E306" s="182" t="s">
        <v>147</v>
      </c>
      <c r="F306" s="183"/>
      <c r="G306" s="183" t="s">
        <v>149</v>
      </c>
      <c r="H306" s="181" t="s">
        <v>2</v>
      </c>
      <c r="I306" s="182" t="s">
        <v>241</v>
      </c>
      <c r="J306" s="182" t="s">
        <v>243</v>
      </c>
      <c r="K306" s="182" t="s">
        <v>244</v>
      </c>
      <c r="L306" s="182" t="s">
        <v>764</v>
      </c>
      <c r="M306" s="184">
        <v>45944.0</v>
      </c>
      <c r="N306" s="182">
        <v>9.8288194E7</v>
      </c>
      <c r="O306" s="182">
        <v>9.8288194E7</v>
      </c>
      <c r="P306" s="184">
        <v>45944.0</v>
      </c>
      <c r="Q306" s="182" t="s">
        <v>765</v>
      </c>
      <c r="R306" s="182">
        <v>28324.0</v>
      </c>
      <c r="S306" s="182" t="s">
        <v>1042</v>
      </c>
      <c r="T306" s="182" t="s">
        <v>618</v>
      </c>
      <c r="U306" s="182" t="s">
        <v>1049</v>
      </c>
      <c r="V306" s="183"/>
      <c r="W306" s="183"/>
      <c r="X306" s="182">
        <v>0.0</v>
      </c>
      <c r="Y306" s="182">
        <v>0.0</v>
      </c>
      <c r="Z306" s="182">
        <v>8255.0</v>
      </c>
      <c r="AA306" s="182" t="s">
        <v>157</v>
      </c>
      <c r="AB306" s="182" t="s">
        <v>1065</v>
      </c>
      <c r="AC306" s="184">
        <v>45754.0</v>
      </c>
      <c r="AD306" s="183" t="s">
        <v>1046</v>
      </c>
      <c r="AE306" s="182">
        <v>996311.0</v>
      </c>
      <c r="AF306" s="182" t="s">
        <v>1066</v>
      </c>
      <c r="AG306" s="182"/>
      <c r="AH306" s="182"/>
      <c r="AI306" s="182">
        <v>8255.0</v>
      </c>
      <c r="AJ306" s="182"/>
      <c r="AK306" s="182">
        <v>5.0</v>
      </c>
      <c r="AL306" s="182">
        <v>206.38</v>
      </c>
      <c r="AM306" s="182">
        <v>206.38</v>
      </c>
      <c r="AN306" s="182">
        <v>0.0</v>
      </c>
      <c r="AO306" s="182">
        <v>0.0</v>
      </c>
      <c r="AP306" s="182">
        <v>0.0</v>
      </c>
      <c r="AQ306" s="182">
        <v>0.0</v>
      </c>
      <c r="AR306" s="182">
        <v>0.0</v>
      </c>
      <c r="AS306" s="181">
        <v>0.0</v>
      </c>
      <c r="AT306" s="182">
        <v>0.0</v>
      </c>
      <c r="AU306" s="183"/>
      <c r="AV306" s="183"/>
      <c r="AW306" s="182">
        <v>0.0</v>
      </c>
      <c r="AX306" s="182">
        <v>16922.76</v>
      </c>
      <c r="AY306" s="182" t="s">
        <v>20</v>
      </c>
      <c r="AZ306" s="182" t="s">
        <v>31</v>
      </c>
      <c r="BA306" s="182" t="s">
        <v>1067</v>
      </c>
      <c r="BB306" s="182"/>
      <c r="BC306" s="182"/>
      <c r="BD306" s="182"/>
      <c r="BE306" s="183"/>
      <c r="BF306" s="183" t="s">
        <v>483</v>
      </c>
      <c r="BG306" s="183" t="s">
        <v>482</v>
      </c>
      <c r="BH306" s="182" t="s">
        <v>510</v>
      </c>
      <c r="BI306" s="171" t="s">
        <v>511</v>
      </c>
      <c r="BJ306" s="171" t="s">
        <v>512</v>
      </c>
      <c r="BK306" s="171" t="s">
        <v>477</v>
      </c>
      <c r="BL306" s="171">
        <v>412.76</v>
      </c>
      <c r="BM306" s="171">
        <v>375.0</v>
      </c>
      <c r="BN306" s="171">
        <v>38.0</v>
      </c>
      <c r="BO306" s="171" t="s">
        <v>514</v>
      </c>
      <c r="BP306" s="171">
        <v>9.8288194E7</v>
      </c>
      <c r="BQ306" s="171" t="s">
        <v>483</v>
      </c>
      <c r="BR306" s="171" t="s">
        <v>476</v>
      </c>
      <c r="BS306" s="171">
        <v>1.0</v>
      </c>
    </row>
    <row r="307" ht="14.25" customHeight="1">
      <c r="A307" s="181" t="s">
        <v>238</v>
      </c>
      <c r="B307" s="182" t="s">
        <v>763</v>
      </c>
      <c r="C307" s="182">
        <v>107.0</v>
      </c>
      <c r="D307" s="182" t="s">
        <v>146</v>
      </c>
      <c r="E307" s="182" t="s">
        <v>147</v>
      </c>
      <c r="F307" s="183"/>
      <c r="G307" s="183" t="s">
        <v>149</v>
      </c>
      <c r="H307" s="181" t="s">
        <v>2</v>
      </c>
      <c r="I307" s="182" t="s">
        <v>241</v>
      </c>
      <c r="J307" s="182" t="s">
        <v>243</v>
      </c>
      <c r="K307" s="182" t="s">
        <v>244</v>
      </c>
      <c r="L307" s="182" t="s">
        <v>764</v>
      </c>
      <c r="M307" s="184">
        <v>45944.0</v>
      </c>
      <c r="N307" s="182">
        <v>9.8288196E7</v>
      </c>
      <c r="O307" s="182">
        <v>9.8288196E7</v>
      </c>
      <c r="P307" s="184">
        <v>45944.0</v>
      </c>
      <c r="Q307" s="182" t="s">
        <v>765</v>
      </c>
      <c r="R307" s="182">
        <v>28324.0</v>
      </c>
      <c r="S307" s="182" t="s">
        <v>1042</v>
      </c>
      <c r="T307" s="182" t="s">
        <v>1068</v>
      </c>
      <c r="U307" s="182" t="s">
        <v>1069</v>
      </c>
      <c r="V307" s="183"/>
      <c r="W307" s="183"/>
      <c r="X307" s="182">
        <v>0.0</v>
      </c>
      <c r="Y307" s="182">
        <v>0.0</v>
      </c>
      <c r="Z307" s="182">
        <v>6693.0</v>
      </c>
      <c r="AA307" s="182" t="s">
        <v>157</v>
      </c>
      <c r="AB307" s="182" t="s">
        <v>1070</v>
      </c>
      <c r="AC307" s="184">
        <v>45758.0</v>
      </c>
      <c r="AD307" s="183" t="s">
        <v>1046</v>
      </c>
      <c r="AE307" s="182">
        <v>996311.0</v>
      </c>
      <c r="AF307" s="182" t="s">
        <v>1071</v>
      </c>
      <c r="AG307" s="182"/>
      <c r="AH307" s="182"/>
      <c r="AI307" s="182">
        <v>6693.0</v>
      </c>
      <c r="AJ307" s="182"/>
      <c r="AK307" s="182">
        <v>5.0</v>
      </c>
      <c r="AL307" s="182">
        <v>0.0</v>
      </c>
      <c r="AM307" s="182">
        <v>0.0</v>
      </c>
      <c r="AN307" s="182">
        <v>334.65</v>
      </c>
      <c r="AO307" s="182">
        <v>0.0</v>
      </c>
      <c r="AP307" s="182">
        <v>0.0</v>
      </c>
      <c r="AQ307" s="182">
        <v>0.0</v>
      </c>
      <c r="AR307" s="182">
        <v>0.0</v>
      </c>
      <c r="AS307" s="181">
        <v>0.0</v>
      </c>
      <c r="AT307" s="182">
        <v>0.0</v>
      </c>
      <c r="AU307" s="183"/>
      <c r="AV307" s="183"/>
      <c r="AW307" s="182">
        <v>0.0</v>
      </c>
      <c r="AX307" s="182">
        <v>7027.65</v>
      </c>
      <c r="AY307" s="182" t="s">
        <v>20</v>
      </c>
      <c r="AZ307" s="182" t="s">
        <v>31</v>
      </c>
      <c r="BA307" s="182" t="s">
        <v>1072</v>
      </c>
      <c r="BB307" s="182"/>
      <c r="BC307" s="182"/>
      <c r="BD307" s="182"/>
      <c r="BE307" s="183"/>
      <c r="BF307" s="183" t="s">
        <v>483</v>
      </c>
      <c r="BG307" s="183" t="s">
        <v>482</v>
      </c>
      <c r="BH307" s="182" t="s">
        <v>510</v>
      </c>
      <c r="BI307" s="171" t="s">
        <v>511</v>
      </c>
      <c r="BJ307" s="171" t="s">
        <v>512</v>
      </c>
      <c r="BK307" s="171" t="s">
        <v>1073</v>
      </c>
      <c r="BL307" s="171">
        <v>334.65</v>
      </c>
      <c r="BM307" s="171">
        <v>335.0</v>
      </c>
      <c r="BN307" s="171">
        <v>0.0</v>
      </c>
      <c r="BO307" s="171" t="s">
        <v>514</v>
      </c>
      <c r="BP307" s="171">
        <v>9.8288196E7</v>
      </c>
      <c r="BQ307" s="171" t="s">
        <v>483</v>
      </c>
      <c r="BR307" s="171" t="s">
        <v>476</v>
      </c>
      <c r="BS307" s="171">
        <v>1.0</v>
      </c>
    </row>
    <row r="308" ht="14.25" customHeight="1">
      <c r="A308" s="185" t="s">
        <v>493</v>
      </c>
      <c r="B308" s="185" t="s">
        <v>494</v>
      </c>
      <c r="C308" s="186">
        <v>107.0</v>
      </c>
      <c r="D308" s="185" t="s">
        <v>146</v>
      </c>
      <c r="E308" s="186" t="s">
        <v>147</v>
      </c>
      <c r="F308" s="187"/>
      <c r="G308" s="187"/>
      <c r="H308" s="186" t="s">
        <v>2</v>
      </c>
      <c r="I308" s="186" t="s">
        <v>495</v>
      </c>
      <c r="J308" s="186" t="s">
        <v>528</v>
      </c>
      <c r="K308" s="186" t="s">
        <v>529</v>
      </c>
      <c r="L308" s="186" t="s">
        <v>498</v>
      </c>
      <c r="M308" s="188">
        <v>46112.0</v>
      </c>
      <c r="N308" s="186" t="s">
        <v>1074</v>
      </c>
      <c r="O308" s="186">
        <v>9151251.0</v>
      </c>
      <c r="P308" s="188">
        <v>46112.0</v>
      </c>
      <c r="Q308" s="186" t="s">
        <v>500</v>
      </c>
      <c r="R308" s="185">
        <v>2045.0</v>
      </c>
      <c r="S308" s="186" t="s">
        <v>1075</v>
      </c>
      <c r="T308" s="186" t="s">
        <v>539</v>
      </c>
      <c r="U308" s="186" t="s">
        <v>1076</v>
      </c>
      <c r="V308" s="185" t="s">
        <v>504</v>
      </c>
      <c r="W308" s="187"/>
      <c r="X308" s="186">
        <v>1.0</v>
      </c>
      <c r="Y308" s="186">
        <v>830.5</v>
      </c>
      <c r="Z308" s="185">
        <v>830.5</v>
      </c>
      <c r="AA308" s="185" t="s">
        <v>157</v>
      </c>
      <c r="AB308" s="186" t="s">
        <v>1074</v>
      </c>
      <c r="AC308" s="188">
        <v>46112.0</v>
      </c>
      <c r="AD308" s="185" t="s">
        <v>525</v>
      </c>
      <c r="AE308" s="186">
        <v>996812.0</v>
      </c>
      <c r="AF308" s="186" t="s">
        <v>1077</v>
      </c>
      <c r="AG308" s="187"/>
      <c r="AH308" s="187"/>
      <c r="AI308" s="186">
        <v>830.5</v>
      </c>
      <c r="AJ308" s="186" t="s">
        <v>159</v>
      </c>
      <c r="AK308" s="186">
        <v>18.0</v>
      </c>
      <c r="AL308" s="185">
        <v>74.75</v>
      </c>
      <c r="AM308" s="186">
        <v>74.75</v>
      </c>
      <c r="AN308" s="186">
        <v>0.0</v>
      </c>
      <c r="AO308" s="186">
        <v>0.0</v>
      </c>
      <c r="AP308" s="186">
        <v>0.0</v>
      </c>
      <c r="AQ308" s="185">
        <v>0.0</v>
      </c>
      <c r="AR308" s="186">
        <v>0.0</v>
      </c>
      <c r="AS308" s="186">
        <v>0.0</v>
      </c>
      <c r="AT308" s="185">
        <v>0.0</v>
      </c>
      <c r="AU308" s="187"/>
      <c r="AV308" s="187"/>
      <c r="AW308" s="186">
        <v>0.0</v>
      </c>
      <c r="AX308" s="186">
        <v>980.0</v>
      </c>
      <c r="AY308" s="186" t="s">
        <v>20</v>
      </c>
      <c r="AZ308" s="186" t="s">
        <v>31</v>
      </c>
      <c r="BA308" s="186" t="s">
        <v>1078</v>
      </c>
      <c r="BB308" s="186">
        <v>1.125113847E9</v>
      </c>
      <c r="BC308" s="186" t="s">
        <v>187</v>
      </c>
      <c r="BD308" s="186" t="s">
        <v>162</v>
      </c>
      <c r="BE308" s="187"/>
      <c r="BF308" s="187" t="s">
        <v>483</v>
      </c>
      <c r="BG308" s="187" t="s">
        <v>482</v>
      </c>
      <c r="BH308" s="186" t="s">
        <v>510</v>
      </c>
      <c r="BI308" s="171" t="s">
        <v>511</v>
      </c>
      <c r="BJ308" s="171" t="s">
        <v>512</v>
      </c>
      <c r="BK308" s="171" t="s">
        <v>1079</v>
      </c>
      <c r="BL308" s="171">
        <v>149.5</v>
      </c>
      <c r="BM308" s="171">
        <v>149.5</v>
      </c>
      <c r="BN308" s="171">
        <v>0.0</v>
      </c>
      <c r="BO308" s="171" t="s">
        <v>514</v>
      </c>
      <c r="BP308" s="171">
        <v>9151251.0</v>
      </c>
      <c r="BQ308" s="171" t="s">
        <v>483</v>
      </c>
      <c r="BR308" s="171" t="s">
        <v>476</v>
      </c>
      <c r="BS308" s="171">
        <v>1.0</v>
      </c>
    </row>
    <row r="309" ht="14.25" customHeight="1">
      <c r="A309" s="185" t="s">
        <v>493</v>
      </c>
      <c r="B309" s="185" t="s">
        <v>494</v>
      </c>
      <c r="C309" s="186">
        <v>107.0</v>
      </c>
      <c r="D309" s="185" t="s">
        <v>146</v>
      </c>
      <c r="E309" s="186" t="s">
        <v>147</v>
      </c>
      <c r="F309" s="186" t="s">
        <v>1080</v>
      </c>
      <c r="G309" s="187"/>
      <c r="H309" s="186" t="s">
        <v>2</v>
      </c>
      <c r="I309" s="186" t="s">
        <v>495</v>
      </c>
      <c r="J309" s="186" t="s">
        <v>528</v>
      </c>
      <c r="K309" s="186" t="s">
        <v>497</v>
      </c>
      <c r="L309" s="185" t="s">
        <v>1081</v>
      </c>
      <c r="M309" s="188">
        <v>46112.0</v>
      </c>
      <c r="N309" s="186" t="s">
        <v>1082</v>
      </c>
      <c r="O309" s="186">
        <v>9167810.0</v>
      </c>
      <c r="P309" s="188">
        <v>45813.0</v>
      </c>
      <c r="Q309" s="186" t="s">
        <v>500</v>
      </c>
      <c r="R309" s="186">
        <v>1581.0</v>
      </c>
      <c r="S309" s="186" t="s">
        <v>1083</v>
      </c>
      <c r="T309" s="185" t="s">
        <v>1084</v>
      </c>
      <c r="U309" s="186" t="s">
        <v>419</v>
      </c>
      <c r="V309" s="187"/>
      <c r="W309" s="187"/>
      <c r="X309" s="186">
        <v>0.0</v>
      </c>
      <c r="Y309" s="186">
        <v>0.0</v>
      </c>
      <c r="Z309" s="186">
        <v>0.0</v>
      </c>
      <c r="AA309" s="186" t="s">
        <v>157</v>
      </c>
      <c r="AB309" s="186" t="s">
        <v>1085</v>
      </c>
      <c r="AC309" s="188">
        <v>45813.0</v>
      </c>
      <c r="AD309" s="187"/>
      <c r="AE309" s="185">
        <v>998552.0</v>
      </c>
      <c r="AF309" s="186" t="s">
        <v>1086</v>
      </c>
      <c r="AG309" s="187"/>
      <c r="AH309" s="187"/>
      <c r="AI309" s="186">
        <v>0.0</v>
      </c>
      <c r="AJ309" s="186" t="s">
        <v>159</v>
      </c>
      <c r="AK309" s="185">
        <v>18.0</v>
      </c>
      <c r="AL309" s="186">
        <v>-188.9</v>
      </c>
      <c r="AM309" s="186">
        <v>-188.9</v>
      </c>
      <c r="AN309" s="186">
        <v>0.0</v>
      </c>
      <c r="AO309" s="186">
        <v>0.0</v>
      </c>
      <c r="AP309" s="186">
        <v>0.0</v>
      </c>
      <c r="AQ309" s="186">
        <v>0.0</v>
      </c>
      <c r="AR309" s="186">
        <v>0.0</v>
      </c>
      <c r="AS309" s="186">
        <v>0.0</v>
      </c>
      <c r="AT309" s="186">
        <v>0.0</v>
      </c>
      <c r="AU309" s="187"/>
      <c r="AV309" s="187"/>
      <c r="AW309" s="186">
        <v>0.0</v>
      </c>
      <c r="AX309" s="186">
        <v>-377.8</v>
      </c>
      <c r="AY309" s="186" t="s">
        <v>20</v>
      </c>
      <c r="AZ309" s="186" t="s">
        <v>31</v>
      </c>
      <c r="BA309" s="186" t="s">
        <v>1023</v>
      </c>
      <c r="BB309" s="186">
        <v>1.125113972E9</v>
      </c>
      <c r="BC309" s="186" t="s">
        <v>187</v>
      </c>
      <c r="BD309" s="186" t="s">
        <v>162</v>
      </c>
      <c r="BE309" s="187"/>
      <c r="BF309" s="187" t="s">
        <v>483</v>
      </c>
      <c r="BG309" s="187" t="s">
        <v>482</v>
      </c>
      <c r="BH309" s="186" t="s">
        <v>510</v>
      </c>
      <c r="BI309" s="171" t="s">
        <v>511</v>
      </c>
      <c r="BJ309" s="171" t="s">
        <v>512</v>
      </c>
      <c r="BK309" s="171" t="s">
        <v>1087</v>
      </c>
      <c r="BL309" s="171">
        <v>-377.8</v>
      </c>
      <c r="BM309" s="171">
        <v>-378.0</v>
      </c>
      <c r="BN309" s="171">
        <v>0.0</v>
      </c>
      <c r="BO309" s="171" t="s">
        <v>514</v>
      </c>
      <c r="BP309" s="171">
        <v>9167810.0</v>
      </c>
      <c r="BQ309" s="171" t="s">
        <v>483</v>
      </c>
      <c r="BR309" s="171" t="s">
        <v>476</v>
      </c>
      <c r="BS309" s="171">
        <v>1.0</v>
      </c>
    </row>
    <row r="310" ht="14.25" customHeight="1">
      <c r="A310" s="185" t="s">
        <v>493</v>
      </c>
      <c r="B310" s="185" t="s">
        <v>494</v>
      </c>
      <c r="C310" s="186">
        <v>107.0</v>
      </c>
      <c r="D310" s="186" t="s">
        <v>146</v>
      </c>
      <c r="E310" s="185" t="s">
        <v>147</v>
      </c>
      <c r="F310" s="187"/>
      <c r="G310" s="187"/>
      <c r="H310" s="186" t="s">
        <v>2</v>
      </c>
      <c r="I310" s="186" t="s">
        <v>495</v>
      </c>
      <c r="J310" s="186" t="s">
        <v>528</v>
      </c>
      <c r="K310" s="186" t="s">
        <v>529</v>
      </c>
      <c r="L310" s="186" t="s">
        <v>498</v>
      </c>
      <c r="M310" s="188">
        <v>46112.0</v>
      </c>
      <c r="N310" s="185" t="s">
        <v>1088</v>
      </c>
      <c r="O310" s="185">
        <v>9155601.0</v>
      </c>
      <c r="P310" s="188">
        <v>46112.0</v>
      </c>
      <c r="Q310" s="186" t="s">
        <v>500</v>
      </c>
      <c r="R310" s="186">
        <v>2045.0</v>
      </c>
      <c r="S310" s="186" t="s">
        <v>1075</v>
      </c>
      <c r="T310" s="186" t="s">
        <v>1089</v>
      </c>
      <c r="U310" s="186" t="s">
        <v>1076</v>
      </c>
      <c r="V310" s="185" t="s">
        <v>504</v>
      </c>
      <c r="W310" s="187"/>
      <c r="X310" s="186">
        <v>1.0</v>
      </c>
      <c r="Y310" s="186">
        <v>12696.31</v>
      </c>
      <c r="Z310" s="186">
        <v>12696.31</v>
      </c>
      <c r="AA310" s="186" t="s">
        <v>157</v>
      </c>
      <c r="AB310" s="186" t="s">
        <v>1088</v>
      </c>
      <c r="AC310" s="188">
        <v>46112.0</v>
      </c>
      <c r="AD310" s="186" t="s">
        <v>525</v>
      </c>
      <c r="AE310" s="186">
        <v>996812.0</v>
      </c>
      <c r="AF310" s="185" t="s">
        <v>1090</v>
      </c>
      <c r="AG310" s="187"/>
      <c r="AH310" s="187"/>
      <c r="AI310" s="186">
        <v>12696.31</v>
      </c>
      <c r="AJ310" s="186" t="s">
        <v>159</v>
      </c>
      <c r="AK310" s="186">
        <v>18.0</v>
      </c>
      <c r="AL310" s="186">
        <v>0.0</v>
      </c>
      <c r="AM310" s="186">
        <v>0.0</v>
      </c>
      <c r="AN310" s="186">
        <v>2285.34</v>
      </c>
      <c r="AO310" s="186">
        <v>0.0</v>
      </c>
      <c r="AP310" s="186">
        <v>0.0</v>
      </c>
      <c r="AQ310" s="185">
        <v>0.0</v>
      </c>
      <c r="AR310" s="186">
        <v>0.0</v>
      </c>
      <c r="AS310" s="186">
        <v>0.0</v>
      </c>
      <c r="AT310" s="186">
        <v>0.0</v>
      </c>
      <c r="AU310" s="187"/>
      <c r="AV310" s="187"/>
      <c r="AW310" s="186">
        <v>0.0</v>
      </c>
      <c r="AX310" s="185">
        <v>14981.65</v>
      </c>
      <c r="AY310" s="186" t="s">
        <v>20</v>
      </c>
      <c r="AZ310" s="186" t="s">
        <v>31</v>
      </c>
      <c r="BA310" s="186" t="s">
        <v>1078</v>
      </c>
      <c r="BB310" s="186">
        <v>1.125113858E9</v>
      </c>
      <c r="BC310" s="186" t="s">
        <v>161</v>
      </c>
      <c r="BD310" s="186" t="s">
        <v>162</v>
      </c>
      <c r="BE310" s="187"/>
      <c r="BF310" s="187" t="s">
        <v>483</v>
      </c>
      <c r="BG310" s="187" t="s">
        <v>482</v>
      </c>
      <c r="BH310" s="186" t="s">
        <v>510</v>
      </c>
      <c r="BI310" s="171" t="s">
        <v>511</v>
      </c>
      <c r="BJ310" s="171" t="s">
        <v>512</v>
      </c>
      <c r="BK310" s="171" t="s">
        <v>1091</v>
      </c>
      <c r="BL310" s="171">
        <v>2285.34</v>
      </c>
      <c r="BM310" s="171">
        <v>2285.34</v>
      </c>
      <c r="BN310" s="171">
        <v>0.0</v>
      </c>
      <c r="BO310" s="171" t="s">
        <v>514</v>
      </c>
      <c r="BP310" s="171">
        <v>9155601.0</v>
      </c>
      <c r="BQ310" s="171" t="s">
        <v>483</v>
      </c>
      <c r="BR310" s="171" t="s">
        <v>476</v>
      </c>
      <c r="BS310" s="171">
        <v>1.0</v>
      </c>
    </row>
    <row r="311" ht="14.25" customHeight="1">
      <c r="A311" s="185" t="s">
        <v>493</v>
      </c>
      <c r="B311" s="186" t="s">
        <v>494</v>
      </c>
      <c r="C311" s="186">
        <v>107.0</v>
      </c>
      <c r="D311" s="186" t="s">
        <v>146</v>
      </c>
      <c r="E311" s="186" t="s">
        <v>147</v>
      </c>
      <c r="F311" s="187"/>
      <c r="G311" s="187"/>
      <c r="H311" s="186" t="s">
        <v>2</v>
      </c>
      <c r="I311" s="186" t="s">
        <v>495</v>
      </c>
      <c r="J311" s="186" t="s">
        <v>528</v>
      </c>
      <c r="K311" s="185" t="s">
        <v>529</v>
      </c>
      <c r="L311" s="186" t="s">
        <v>498</v>
      </c>
      <c r="M311" s="188">
        <v>46112.0</v>
      </c>
      <c r="N311" s="186" t="s">
        <v>1092</v>
      </c>
      <c r="O311" s="186">
        <v>9151250.0</v>
      </c>
      <c r="P311" s="188">
        <v>46112.0</v>
      </c>
      <c r="Q311" s="186" t="s">
        <v>500</v>
      </c>
      <c r="R311" s="186">
        <v>2045.0</v>
      </c>
      <c r="S311" s="186" t="s">
        <v>1075</v>
      </c>
      <c r="T311" s="186" t="s">
        <v>539</v>
      </c>
      <c r="U311" s="186" t="s">
        <v>1076</v>
      </c>
      <c r="V311" s="186" t="s">
        <v>504</v>
      </c>
      <c r="W311" s="187"/>
      <c r="X311" s="186">
        <v>1.0</v>
      </c>
      <c r="Y311" s="186">
        <v>604.0</v>
      </c>
      <c r="Z311" s="186">
        <v>604.0</v>
      </c>
      <c r="AA311" s="186" t="s">
        <v>157</v>
      </c>
      <c r="AB311" s="186" t="s">
        <v>1092</v>
      </c>
      <c r="AC311" s="188">
        <v>46112.0</v>
      </c>
      <c r="AD311" s="186" t="s">
        <v>525</v>
      </c>
      <c r="AE311" s="186">
        <v>996812.0</v>
      </c>
      <c r="AF311" s="186" t="s">
        <v>1093</v>
      </c>
      <c r="AG311" s="187"/>
      <c r="AH311" s="187"/>
      <c r="AI311" s="186">
        <v>604.0</v>
      </c>
      <c r="AJ311" s="186" t="s">
        <v>159</v>
      </c>
      <c r="AK311" s="186">
        <v>18.0</v>
      </c>
      <c r="AL311" s="186">
        <v>54.36</v>
      </c>
      <c r="AM311" s="186">
        <v>54.36</v>
      </c>
      <c r="AN311" s="185">
        <v>0.0</v>
      </c>
      <c r="AO311" s="186">
        <v>0.0</v>
      </c>
      <c r="AP311" s="186">
        <v>0.0</v>
      </c>
      <c r="AQ311" s="186">
        <v>0.0</v>
      </c>
      <c r="AR311" s="185">
        <v>0.0</v>
      </c>
      <c r="AS311" s="186">
        <v>0.0</v>
      </c>
      <c r="AT311" s="186">
        <v>0.0</v>
      </c>
      <c r="AU311" s="187"/>
      <c r="AV311" s="187"/>
      <c r="AW311" s="186">
        <v>0.0</v>
      </c>
      <c r="AX311" s="186">
        <v>712.72</v>
      </c>
      <c r="AY311" s="186" t="s">
        <v>20</v>
      </c>
      <c r="AZ311" s="185" t="s">
        <v>31</v>
      </c>
      <c r="BA311" s="186" t="s">
        <v>1078</v>
      </c>
      <c r="BB311" s="186">
        <v>1.125113846E9</v>
      </c>
      <c r="BC311" s="186" t="s">
        <v>187</v>
      </c>
      <c r="BD311" s="186" t="s">
        <v>162</v>
      </c>
      <c r="BE311" s="187"/>
      <c r="BF311" s="187" t="s">
        <v>483</v>
      </c>
      <c r="BG311" s="187" t="s">
        <v>482</v>
      </c>
      <c r="BH311" s="186" t="s">
        <v>510</v>
      </c>
      <c r="BI311" s="171" t="s">
        <v>511</v>
      </c>
      <c r="BJ311" s="171" t="s">
        <v>512</v>
      </c>
      <c r="BK311" s="171" t="s">
        <v>1094</v>
      </c>
      <c r="BL311" s="171">
        <v>108.72</v>
      </c>
      <c r="BM311" s="171">
        <v>108.72</v>
      </c>
      <c r="BN311" s="171">
        <v>0.0</v>
      </c>
      <c r="BO311" s="171" t="s">
        <v>514</v>
      </c>
      <c r="BP311" s="171">
        <v>9151250.0</v>
      </c>
      <c r="BQ311" s="171" t="s">
        <v>483</v>
      </c>
      <c r="BR311" s="171" t="s">
        <v>476</v>
      </c>
      <c r="BS311" s="171">
        <v>1.0</v>
      </c>
    </row>
    <row r="312" ht="14.25" customHeight="1">
      <c r="A312" s="185" t="s">
        <v>493</v>
      </c>
      <c r="B312" s="186" t="s">
        <v>494</v>
      </c>
      <c r="C312" s="186">
        <v>107.0</v>
      </c>
      <c r="D312" s="186" t="s">
        <v>146</v>
      </c>
      <c r="E312" s="186" t="s">
        <v>147</v>
      </c>
      <c r="F312" s="187"/>
      <c r="G312" s="187"/>
      <c r="H312" s="186" t="s">
        <v>2</v>
      </c>
      <c r="I312" s="186" t="s">
        <v>495</v>
      </c>
      <c r="J312" s="186" t="s">
        <v>528</v>
      </c>
      <c r="K312" s="186" t="s">
        <v>529</v>
      </c>
      <c r="L312" s="186" t="s">
        <v>498</v>
      </c>
      <c r="M312" s="188">
        <v>46112.0</v>
      </c>
      <c r="N312" s="186" t="s">
        <v>1095</v>
      </c>
      <c r="O312" s="186">
        <v>9164661.0</v>
      </c>
      <c r="P312" s="188">
        <v>46112.0</v>
      </c>
      <c r="Q312" s="186" t="s">
        <v>500</v>
      </c>
      <c r="R312" s="186">
        <v>2045.0</v>
      </c>
      <c r="S312" s="186" t="s">
        <v>1075</v>
      </c>
      <c r="T312" s="186" t="s">
        <v>1096</v>
      </c>
      <c r="U312" s="186" t="s">
        <v>1097</v>
      </c>
      <c r="V312" s="186" t="s">
        <v>504</v>
      </c>
      <c r="W312" s="187"/>
      <c r="X312" s="186">
        <v>5668.54</v>
      </c>
      <c r="Y312" s="186">
        <v>5668.54</v>
      </c>
      <c r="Z312" s="186">
        <v>5668.54</v>
      </c>
      <c r="AA312" s="186" t="s">
        <v>157</v>
      </c>
      <c r="AB312" s="186" t="s">
        <v>1095</v>
      </c>
      <c r="AC312" s="188">
        <v>46112.0</v>
      </c>
      <c r="AD312" s="187"/>
      <c r="AE312" s="186">
        <v>996812.0</v>
      </c>
      <c r="AF312" s="186" t="s">
        <v>1090</v>
      </c>
      <c r="AG312" s="187"/>
      <c r="AH312" s="187"/>
      <c r="AI312" s="186">
        <v>5668.54</v>
      </c>
      <c r="AJ312" s="186" t="s">
        <v>159</v>
      </c>
      <c r="AK312" s="186">
        <v>18.0</v>
      </c>
      <c r="AL312" s="186">
        <v>0.0</v>
      </c>
      <c r="AM312" s="185">
        <v>0.0</v>
      </c>
      <c r="AN312" s="186">
        <v>1020.34</v>
      </c>
      <c r="AO312" s="186">
        <v>0.0</v>
      </c>
      <c r="AP312" s="186">
        <v>0.0</v>
      </c>
      <c r="AQ312" s="186">
        <v>0.0</v>
      </c>
      <c r="AR312" s="186">
        <v>0.0</v>
      </c>
      <c r="AS312" s="186">
        <v>0.0</v>
      </c>
      <c r="AT312" s="186">
        <v>0.0</v>
      </c>
      <c r="AU312" s="187"/>
      <c r="AV312" s="187"/>
      <c r="AW312" s="186">
        <v>0.0</v>
      </c>
      <c r="AX312" s="186">
        <v>6688.88</v>
      </c>
      <c r="AY312" s="186" t="s">
        <v>20</v>
      </c>
      <c r="AZ312" s="186" t="s">
        <v>31</v>
      </c>
      <c r="BA312" s="186" t="s">
        <v>1078</v>
      </c>
      <c r="BB312" s="186">
        <v>1.125113962E9</v>
      </c>
      <c r="BC312" s="186" t="s">
        <v>161</v>
      </c>
      <c r="BD312" s="186" t="s">
        <v>162</v>
      </c>
      <c r="BE312" s="187"/>
      <c r="BF312" s="187" t="s">
        <v>483</v>
      </c>
      <c r="BG312" s="187" t="s">
        <v>482</v>
      </c>
      <c r="BH312" s="186" t="s">
        <v>510</v>
      </c>
      <c r="BI312" s="171" t="s">
        <v>511</v>
      </c>
      <c r="BJ312" s="171" t="s">
        <v>512</v>
      </c>
      <c r="BK312" s="171" t="s">
        <v>1098</v>
      </c>
      <c r="BL312" s="171">
        <v>1020.34</v>
      </c>
      <c r="BM312" s="171">
        <v>1020.34</v>
      </c>
      <c r="BN312" s="171">
        <v>0.0</v>
      </c>
      <c r="BO312" s="171" t="s">
        <v>514</v>
      </c>
      <c r="BP312" s="171">
        <v>9164661.0</v>
      </c>
      <c r="BQ312" s="171" t="s">
        <v>483</v>
      </c>
      <c r="BR312" s="171" t="s">
        <v>476</v>
      </c>
      <c r="BS312" s="171">
        <v>1.0</v>
      </c>
    </row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5" width="9.14"/>
  </cols>
  <sheetData>
    <row r="1" ht="14.25" customHeight="1">
      <c r="A1" s="118" t="s">
        <v>64</v>
      </c>
      <c r="B1" s="118" t="s">
        <v>65</v>
      </c>
      <c r="C1" s="118" t="s">
        <v>66</v>
      </c>
      <c r="D1" s="118" t="s">
        <v>67</v>
      </c>
      <c r="E1" s="118" t="s">
        <v>68</v>
      </c>
      <c r="F1" s="118" t="s">
        <v>69</v>
      </c>
      <c r="G1" s="118" t="s">
        <v>70</v>
      </c>
      <c r="H1" s="118" t="s">
        <v>71</v>
      </c>
      <c r="I1" s="118" t="s">
        <v>72</v>
      </c>
      <c r="J1" s="118" t="s">
        <v>73</v>
      </c>
      <c r="K1" s="118" t="s">
        <v>74</v>
      </c>
      <c r="L1" s="118" t="s">
        <v>75</v>
      </c>
      <c r="M1" s="118" t="s">
        <v>76</v>
      </c>
      <c r="N1" s="118" t="s">
        <v>77</v>
      </c>
      <c r="O1" s="118" t="s">
        <v>78</v>
      </c>
      <c r="P1" s="118" t="s">
        <v>79</v>
      </c>
      <c r="Q1" s="118" t="s">
        <v>80</v>
      </c>
      <c r="R1" s="118" t="s">
        <v>81</v>
      </c>
      <c r="S1" s="118" t="s">
        <v>82</v>
      </c>
      <c r="T1" s="118" t="s">
        <v>83</v>
      </c>
      <c r="U1" s="118" t="s">
        <v>84</v>
      </c>
      <c r="V1" s="118" t="s">
        <v>85</v>
      </c>
      <c r="W1" s="118" t="s">
        <v>86</v>
      </c>
      <c r="X1" s="118" t="s">
        <v>87</v>
      </c>
      <c r="Y1" s="118" t="s">
        <v>88</v>
      </c>
      <c r="Z1" s="118" t="s">
        <v>89</v>
      </c>
      <c r="AA1" s="118" t="s">
        <v>90</v>
      </c>
      <c r="AB1" s="118" t="s">
        <v>91</v>
      </c>
      <c r="AC1" s="118" t="s">
        <v>92</v>
      </c>
      <c r="AD1" s="118" t="s">
        <v>93</v>
      </c>
      <c r="AE1" s="118" t="s">
        <v>94</v>
      </c>
      <c r="AF1" s="118" t="s">
        <v>95</v>
      </c>
      <c r="AG1" s="118" t="s">
        <v>96</v>
      </c>
      <c r="AH1" s="118" t="s">
        <v>62</v>
      </c>
      <c r="AI1" s="118" t="s">
        <v>61</v>
      </c>
      <c r="AJ1" s="118" t="s">
        <v>60</v>
      </c>
      <c r="AK1" s="118" t="s">
        <v>97</v>
      </c>
      <c r="AL1" s="118" t="s">
        <v>98</v>
      </c>
      <c r="AM1" s="118" t="s">
        <v>99</v>
      </c>
      <c r="AN1" s="118" t="s">
        <v>100</v>
      </c>
      <c r="AO1" s="118" t="s">
        <v>101</v>
      </c>
      <c r="AP1" s="118" t="s">
        <v>102</v>
      </c>
      <c r="AQ1" s="118" t="s">
        <v>103</v>
      </c>
      <c r="AR1" s="118" t="s">
        <v>104</v>
      </c>
      <c r="AS1" s="118" t="s">
        <v>105</v>
      </c>
      <c r="AT1" s="118" t="s">
        <v>106</v>
      </c>
      <c r="AU1" s="118" t="s">
        <v>107</v>
      </c>
      <c r="AV1" s="118" t="s">
        <v>108</v>
      </c>
      <c r="AW1" s="118" t="s">
        <v>109</v>
      </c>
      <c r="AX1" s="118" t="s">
        <v>110</v>
      </c>
      <c r="AY1" s="118" t="s">
        <v>111</v>
      </c>
      <c r="AZ1" s="118" t="s">
        <v>112</v>
      </c>
      <c r="BA1" s="118" t="s">
        <v>113</v>
      </c>
      <c r="BB1" s="118" t="s">
        <v>114</v>
      </c>
      <c r="BC1" s="118" t="s">
        <v>115</v>
      </c>
      <c r="BD1" s="120" t="s">
        <v>117</v>
      </c>
      <c r="BE1" s="120" t="s">
        <v>118</v>
      </c>
      <c r="BF1" s="120" t="s">
        <v>119</v>
      </c>
      <c r="BG1" s="121" t="s">
        <v>120</v>
      </c>
      <c r="BH1" s="121" t="s">
        <v>121</v>
      </c>
      <c r="BI1" s="121" t="s">
        <v>122</v>
      </c>
      <c r="BJ1" s="121" t="s">
        <v>123</v>
      </c>
      <c r="BK1" s="121" t="s">
        <v>1099</v>
      </c>
      <c r="BL1" s="121" t="s">
        <v>1100</v>
      </c>
      <c r="BM1" s="121" t="s">
        <v>1101</v>
      </c>
    </row>
    <row r="2" ht="14.25" customHeight="1">
      <c r="A2" s="122"/>
      <c r="B2" s="122"/>
      <c r="C2" s="122"/>
      <c r="D2" s="122"/>
      <c r="E2" s="122"/>
      <c r="F2" s="124"/>
      <c r="G2" s="124"/>
      <c r="H2" s="122"/>
      <c r="I2" s="122"/>
      <c r="J2" s="122"/>
      <c r="K2" s="122"/>
      <c r="L2" s="122"/>
      <c r="M2" s="179"/>
      <c r="N2" s="122"/>
      <c r="O2" s="122"/>
      <c r="P2" s="179"/>
      <c r="Q2" s="122"/>
      <c r="R2" s="122"/>
      <c r="S2" s="122"/>
      <c r="T2" s="122"/>
      <c r="U2" s="122"/>
      <c r="V2" s="124"/>
      <c r="W2" s="122"/>
      <c r="X2" s="122"/>
      <c r="Y2" s="122"/>
      <c r="Z2" s="122"/>
      <c r="AA2" s="122"/>
      <c r="AB2" s="179"/>
      <c r="AC2" s="124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4"/>
      <c r="AR2" s="124"/>
      <c r="AS2" s="122"/>
      <c r="AT2" s="122"/>
      <c r="AU2" s="122"/>
      <c r="AV2" s="122"/>
      <c r="AW2" s="122"/>
      <c r="AX2" s="122"/>
      <c r="AY2" s="122"/>
      <c r="AZ2" s="122"/>
      <c r="BA2" s="124"/>
      <c r="BB2" s="124"/>
      <c r="BC2" s="12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