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FD52487F-FFB9-49DD-BB51-8CE3183159BC}" xr6:coauthVersionLast="47" xr6:coauthVersionMax="47" xr10:uidLastSave="{00000000-0000-0000-0000-000000000000}"/>
  <bookViews>
    <workbookView xWindow="-110" yWindow="-110" windowWidth="19420" windowHeight="11500" xr2:uid="{314175F0-6996-43DB-9B05-169C8C9BE61E}"/>
  </bookViews>
  <sheets>
    <sheet name="Working" sheetId="1" r:id="rId1"/>
  </sheets>
  <definedNames>
    <definedName name="_xlnm._FilterDatabase" localSheetId="0" hidden="1">Working!$A$8:$EG$231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229" i="1" l="1"/>
  <c r="EE229" i="1"/>
  <c r="EB229" i="1"/>
  <c r="DX229" i="1"/>
  <c r="DT229" i="1"/>
  <c r="DP229" i="1"/>
  <c r="DL229" i="1"/>
  <c r="DH229" i="1"/>
  <c r="DD229" i="1"/>
  <c r="CZ229" i="1"/>
  <c r="CV229" i="1"/>
  <c r="CR229" i="1"/>
  <c r="CN229" i="1"/>
  <c r="CJ229" i="1"/>
  <c r="CF229" i="1"/>
  <c r="CB229" i="1"/>
  <c r="BX229" i="1"/>
  <c r="BT229" i="1"/>
  <c r="BP229" i="1"/>
  <c r="BL229" i="1"/>
  <c r="EC229" i="1" s="1"/>
  <c r="ED229" i="1" s="1"/>
  <c r="BG229" i="1"/>
  <c r="BF229" i="1"/>
  <c r="EF229" i="1" s="1"/>
  <c r="BE229" i="1"/>
  <c r="BH229" i="1" s="1"/>
  <c r="BD229" i="1"/>
  <c r="AZ229" i="1"/>
  <c r="AV229" i="1"/>
  <c r="AR229" i="1"/>
  <c r="AN229" i="1"/>
  <c r="AJ229" i="1"/>
  <c r="EG228" i="1"/>
  <c r="EB228" i="1"/>
  <c r="DX228" i="1"/>
  <c r="DT228" i="1"/>
  <c r="DP228" i="1"/>
  <c r="DL228" i="1"/>
  <c r="DH228" i="1"/>
  <c r="DD228" i="1"/>
  <c r="CZ228" i="1"/>
  <c r="CV228" i="1"/>
  <c r="CR228" i="1"/>
  <c r="CN228" i="1"/>
  <c r="CJ228" i="1"/>
  <c r="CF228" i="1"/>
  <c r="CB228" i="1"/>
  <c r="BX228" i="1"/>
  <c r="BT228" i="1"/>
  <c r="BP228" i="1"/>
  <c r="BL228" i="1"/>
  <c r="BG228" i="1"/>
  <c r="BF228" i="1"/>
  <c r="EF228" i="1" s="1"/>
  <c r="BE228" i="1"/>
  <c r="BD228" i="1"/>
  <c r="AZ228" i="1"/>
  <c r="AV228" i="1"/>
  <c r="AR228" i="1"/>
  <c r="AN228" i="1"/>
  <c r="AJ228" i="1"/>
  <c r="EG227" i="1"/>
  <c r="EF227" i="1"/>
  <c r="EE227" i="1"/>
  <c r="EB227" i="1"/>
  <c r="DX227" i="1"/>
  <c r="DT227" i="1"/>
  <c r="DP227" i="1"/>
  <c r="DL227" i="1"/>
  <c r="DH227" i="1"/>
  <c r="DD227" i="1"/>
  <c r="CZ227" i="1"/>
  <c r="CV227" i="1"/>
  <c r="CR227" i="1"/>
  <c r="CN227" i="1"/>
  <c r="CJ227" i="1"/>
  <c r="CF227" i="1"/>
  <c r="CB227" i="1"/>
  <c r="BX227" i="1"/>
  <c r="BT227" i="1"/>
  <c r="BP227" i="1"/>
  <c r="BL227" i="1"/>
  <c r="BG227" i="1"/>
  <c r="BF227" i="1"/>
  <c r="BE227" i="1"/>
  <c r="BH227" i="1" s="1"/>
  <c r="BD227" i="1"/>
  <c r="AZ227" i="1"/>
  <c r="AV227" i="1"/>
  <c r="AR227" i="1"/>
  <c r="AN227" i="1"/>
  <c r="EC227" i="1" s="1"/>
  <c r="ED227" i="1" s="1"/>
  <c r="AJ227" i="1"/>
  <c r="EE226" i="1"/>
  <c r="EB226" i="1"/>
  <c r="DX226" i="1"/>
  <c r="DT226" i="1"/>
  <c r="DP226" i="1"/>
  <c r="DL226" i="1"/>
  <c r="DH226" i="1"/>
  <c r="DD226" i="1"/>
  <c r="CZ226" i="1"/>
  <c r="CV226" i="1"/>
  <c r="CR226" i="1"/>
  <c r="CN226" i="1"/>
  <c r="CJ226" i="1"/>
  <c r="CF226" i="1"/>
  <c r="CB226" i="1"/>
  <c r="BX226" i="1"/>
  <c r="BT226" i="1"/>
  <c r="BP226" i="1"/>
  <c r="BL226" i="1"/>
  <c r="BG226" i="1"/>
  <c r="EG226" i="1" s="1"/>
  <c r="BF226" i="1"/>
  <c r="EF226" i="1" s="1"/>
  <c r="BE226" i="1"/>
  <c r="BH226" i="1" s="1"/>
  <c r="BD226" i="1"/>
  <c r="AZ226" i="1"/>
  <c r="AV226" i="1"/>
  <c r="AR226" i="1"/>
  <c r="AN226" i="1"/>
  <c r="AJ226" i="1"/>
  <c r="EB225" i="1"/>
  <c r="DX225" i="1"/>
  <c r="DT225" i="1"/>
  <c r="DP225" i="1"/>
  <c r="DL225" i="1"/>
  <c r="DH225" i="1"/>
  <c r="DD225" i="1"/>
  <c r="CZ225" i="1"/>
  <c r="CV225" i="1"/>
  <c r="CR225" i="1"/>
  <c r="CN225" i="1"/>
  <c r="CJ225" i="1"/>
  <c r="CF225" i="1"/>
  <c r="CB225" i="1"/>
  <c r="BX225" i="1"/>
  <c r="BT225" i="1"/>
  <c r="BP225" i="1"/>
  <c r="BL225" i="1"/>
  <c r="BG225" i="1"/>
  <c r="EG225" i="1" s="1"/>
  <c r="BF225" i="1"/>
  <c r="EF225" i="1" s="1"/>
  <c r="BE225" i="1"/>
  <c r="BH225" i="1" s="1"/>
  <c r="BD225" i="1"/>
  <c r="AZ225" i="1"/>
  <c r="AV225" i="1"/>
  <c r="AR225" i="1"/>
  <c r="EC225" i="1" s="1"/>
  <c r="ED225" i="1" s="1"/>
  <c r="AN225" i="1"/>
  <c r="AJ225" i="1"/>
  <c r="EG224" i="1"/>
  <c r="EF224" i="1"/>
  <c r="EE224" i="1"/>
  <c r="EB224" i="1"/>
  <c r="DX224" i="1"/>
  <c r="DT224" i="1"/>
  <c r="DP224" i="1"/>
  <c r="DL224" i="1"/>
  <c r="DH224" i="1"/>
  <c r="DD224" i="1"/>
  <c r="CZ224" i="1"/>
  <c r="CV224" i="1"/>
  <c r="CR224" i="1"/>
  <c r="CN224" i="1"/>
  <c r="CJ224" i="1"/>
  <c r="CF224" i="1"/>
  <c r="CB224" i="1"/>
  <c r="BX224" i="1"/>
  <c r="BT224" i="1"/>
  <c r="BP224" i="1"/>
  <c r="BL224" i="1"/>
  <c r="BH224" i="1"/>
  <c r="BD224" i="1"/>
  <c r="AZ224" i="1"/>
  <c r="AV224" i="1"/>
  <c r="AR224" i="1"/>
  <c r="AN224" i="1"/>
  <c r="AG224" i="1"/>
  <c r="AJ224" i="1" s="1"/>
  <c r="EG223" i="1"/>
  <c r="EE223" i="1"/>
  <c r="EB223" i="1"/>
  <c r="DX223" i="1"/>
  <c r="DT223" i="1"/>
  <c r="DP223" i="1"/>
  <c r="DL223" i="1"/>
  <c r="DH223" i="1"/>
  <c r="DD223" i="1"/>
  <c r="CZ223" i="1"/>
  <c r="CV223" i="1"/>
  <c r="CR223" i="1"/>
  <c r="CN223" i="1"/>
  <c r="CJ223" i="1"/>
  <c r="CF223" i="1"/>
  <c r="CB223" i="1"/>
  <c r="BX223" i="1"/>
  <c r="BT223" i="1"/>
  <c r="BP223" i="1"/>
  <c r="BL223" i="1"/>
  <c r="BG223" i="1"/>
  <c r="BF223" i="1"/>
  <c r="EF223" i="1" s="1"/>
  <c r="BE223" i="1"/>
  <c r="BD223" i="1"/>
  <c r="AZ223" i="1"/>
  <c r="AV223" i="1"/>
  <c r="AR223" i="1"/>
  <c r="AN223" i="1"/>
  <c r="AJ223" i="1"/>
  <c r="EG222" i="1"/>
  <c r="EB222" i="1"/>
  <c r="DX222" i="1"/>
  <c r="DT222" i="1"/>
  <c r="DP222" i="1"/>
  <c r="DL222" i="1"/>
  <c r="DH222" i="1"/>
  <c r="DD222" i="1"/>
  <c r="CZ222" i="1"/>
  <c r="CV222" i="1"/>
  <c r="CR222" i="1"/>
  <c r="CN222" i="1"/>
  <c r="CJ222" i="1"/>
  <c r="CF222" i="1"/>
  <c r="CB222" i="1"/>
  <c r="BX222" i="1"/>
  <c r="BT222" i="1"/>
  <c r="BP222" i="1"/>
  <c r="BL222" i="1"/>
  <c r="BG222" i="1"/>
  <c r="BF222" i="1"/>
  <c r="EF222" i="1" s="1"/>
  <c r="BE222" i="1"/>
  <c r="EE222" i="1" s="1"/>
  <c r="BD222" i="1"/>
  <c r="AZ222" i="1"/>
  <c r="AV222" i="1"/>
  <c r="AR222" i="1"/>
  <c r="AN222" i="1"/>
  <c r="AJ222" i="1"/>
  <c r="EG221" i="1"/>
  <c r="EF221" i="1"/>
  <c r="EB221" i="1"/>
  <c r="DX221" i="1"/>
  <c r="DT221" i="1"/>
  <c r="DP221" i="1"/>
  <c r="DL221" i="1"/>
  <c r="DH221" i="1"/>
  <c r="DD221" i="1"/>
  <c r="CZ221" i="1"/>
  <c r="CV221" i="1"/>
  <c r="CR221" i="1"/>
  <c r="CN221" i="1"/>
  <c r="CJ221" i="1"/>
  <c r="CF221" i="1"/>
  <c r="CB221" i="1"/>
  <c r="BX221" i="1"/>
  <c r="BT221" i="1"/>
  <c r="BP221" i="1"/>
  <c r="BL221" i="1"/>
  <c r="BG221" i="1"/>
  <c r="BF221" i="1"/>
  <c r="BE221" i="1"/>
  <c r="BD221" i="1"/>
  <c r="AZ221" i="1"/>
  <c r="AV221" i="1"/>
  <c r="AR221" i="1"/>
  <c r="AN221" i="1"/>
  <c r="AJ221" i="1"/>
  <c r="EG220" i="1"/>
  <c r="EF220" i="1"/>
  <c r="EE220" i="1"/>
  <c r="EB220" i="1"/>
  <c r="DX220" i="1"/>
  <c r="DT220" i="1"/>
  <c r="DP220" i="1"/>
  <c r="DL220" i="1"/>
  <c r="DH220" i="1"/>
  <c r="DD220" i="1"/>
  <c r="CZ220" i="1"/>
  <c r="CV220" i="1"/>
  <c r="CR220" i="1"/>
  <c r="CN220" i="1"/>
  <c r="CJ220" i="1"/>
  <c r="CF220" i="1"/>
  <c r="CB220" i="1"/>
  <c r="BX220" i="1"/>
  <c r="BT220" i="1"/>
  <c r="BP220" i="1"/>
  <c r="BL220" i="1"/>
  <c r="BH220" i="1"/>
  <c r="BD220" i="1"/>
  <c r="AZ220" i="1"/>
  <c r="AV220" i="1"/>
  <c r="AR220" i="1"/>
  <c r="AN220" i="1"/>
  <c r="AJ220" i="1"/>
  <c r="AG220" i="1"/>
  <c r="EG219" i="1"/>
  <c r="EF219" i="1"/>
  <c r="EB219" i="1"/>
  <c r="DX219" i="1"/>
  <c r="DQ219" i="1"/>
  <c r="DP219" i="1"/>
  <c r="DL219" i="1"/>
  <c r="DH219" i="1"/>
  <c r="DD219" i="1"/>
  <c r="CZ219" i="1"/>
  <c r="CV219" i="1"/>
  <c r="CR219" i="1"/>
  <c r="CN219" i="1"/>
  <c r="CJ219" i="1"/>
  <c r="CF219" i="1"/>
  <c r="CB219" i="1"/>
  <c r="BX219" i="1"/>
  <c r="BT219" i="1"/>
  <c r="BP219" i="1"/>
  <c r="BL219" i="1"/>
  <c r="BH219" i="1"/>
  <c r="BD219" i="1"/>
  <c r="AZ219" i="1"/>
  <c r="AV219" i="1"/>
  <c r="AR219" i="1"/>
  <c r="AN219" i="1"/>
  <c r="AJ219" i="1"/>
  <c r="EG218" i="1"/>
  <c r="EF218" i="1"/>
  <c r="EE218" i="1"/>
  <c r="EB218" i="1"/>
  <c r="DX218" i="1"/>
  <c r="DT218" i="1"/>
  <c r="DP218" i="1"/>
  <c r="DL218" i="1"/>
  <c r="DH218" i="1"/>
  <c r="DD218" i="1"/>
  <c r="CZ218" i="1"/>
  <c r="CW218" i="1"/>
  <c r="CV218" i="1"/>
  <c r="CR218" i="1"/>
  <c r="CN218" i="1"/>
  <c r="CJ218" i="1"/>
  <c r="CF218" i="1"/>
  <c r="CB218" i="1"/>
  <c r="BX218" i="1"/>
  <c r="BT218" i="1"/>
  <c r="BP218" i="1"/>
  <c r="BL218" i="1"/>
  <c r="BH218" i="1"/>
  <c r="BD218" i="1"/>
  <c r="AZ218" i="1"/>
  <c r="AV218" i="1"/>
  <c r="AR218" i="1"/>
  <c r="AN218" i="1"/>
  <c r="AJ218" i="1"/>
  <c r="EG217" i="1"/>
  <c r="EF217" i="1"/>
  <c r="EE217" i="1"/>
  <c r="EB217" i="1"/>
  <c r="DX217" i="1"/>
  <c r="DT217" i="1"/>
  <c r="DP217" i="1"/>
  <c r="DL217" i="1"/>
  <c r="DH217" i="1"/>
  <c r="DD217" i="1"/>
  <c r="CZ217" i="1"/>
  <c r="CV217" i="1"/>
  <c r="CR217" i="1"/>
  <c r="CN217" i="1"/>
  <c r="CJ217" i="1"/>
  <c r="CF217" i="1"/>
  <c r="CB217" i="1"/>
  <c r="BX217" i="1"/>
  <c r="BT217" i="1"/>
  <c r="BP217" i="1"/>
  <c r="BL217" i="1"/>
  <c r="BG217" i="1"/>
  <c r="BF217" i="1"/>
  <c r="BE217" i="1"/>
  <c r="BH217" i="1" s="1"/>
  <c r="BD217" i="1"/>
  <c r="AZ217" i="1"/>
  <c r="AV217" i="1"/>
  <c r="EC217" i="1" s="1"/>
  <c r="ED217" i="1" s="1"/>
  <c r="AR217" i="1"/>
  <c r="AN217" i="1"/>
  <c r="AJ217" i="1"/>
  <c r="EG216" i="1"/>
  <c r="EF216" i="1"/>
  <c r="EE216" i="1"/>
  <c r="EB216" i="1"/>
  <c r="DX216" i="1"/>
  <c r="DT216" i="1"/>
  <c r="DP216" i="1"/>
  <c r="DL216" i="1"/>
  <c r="DH216" i="1"/>
  <c r="DD216" i="1"/>
  <c r="CZ216" i="1"/>
  <c r="CV216" i="1"/>
  <c r="CS216" i="1"/>
  <c r="CR216" i="1"/>
  <c r="CN216" i="1"/>
  <c r="CJ216" i="1"/>
  <c r="CF216" i="1"/>
  <c r="CB216" i="1"/>
  <c r="BX216" i="1"/>
  <c r="BT216" i="1"/>
  <c r="BP216" i="1"/>
  <c r="BL216" i="1"/>
  <c r="BH216" i="1"/>
  <c r="BD216" i="1"/>
  <c r="AZ216" i="1"/>
  <c r="AV216" i="1"/>
  <c r="AR216" i="1"/>
  <c r="AN216" i="1"/>
  <c r="AJ216" i="1"/>
  <c r="EC216" i="1" s="1"/>
  <c r="ED216" i="1" s="1"/>
  <c r="EG215" i="1"/>
  <c r="EF215" i="1"/>
  <c r="EB215" i="1"/>
  <c r="DX215" i="1"/>
  <c r="DT215" i="1"/>
  <c r="DP215" i="1"/>
  <c r="DL215" i="1"/>
  <c r="DH215" i="1"/>
  <c r="DD215" i="1"/>
  <c r="CZ215" i="1"/>
  <c r="CS215" i="1"/>
  <c r="CR215" i="1"/>
  <c r="CN215" i="1"/>
  <c r="CJ215" i="1"/>
  <c r="CF215" i="1"/>
  <c r="CB215" i="1"/>
  <c r="BX215" i="1"/>
  <c r="BT215" i="1"/>
  <c r="BP215" i="1"/>
  <c r="BL215" i="1"/>
  <c r="BH215" i="1"/>
  <c r="BD215" i="1"/>
  <c r="AZ215" i="1"/>
  <c r="AV215" i="1"/>
  <c r="AR215" i="1"/>
  <c r="AN215" i="1"/>
  <c r="AJ215" i="1"/>
  <c r="EB214" i="1"/>
  <c r="DX214" i="1"/>
  <c r="DT214" i="1"/>
  <c r="DP214" i="1"/>
  <c r="DL214" i="1"/>
  <c r="DH214" i="1"/>
  <c r="DD214" i="1"/>
  <c r="CZ214" i="1"/>
  <c r="CV214" i="1"/>
  <c r="CR214" i="1"/>
  <c r="CN214" i="1"/>
  <c r="CJ214" i="1"/>
  <c r="CF214" i="1"/>
  <c r="CB214" i="1"/>
  <c r="BX214" i="1"/>
  <c r="BT214" i="1"/>
  <c r="BP214" i="1"/>
  <c r="BL214" i="1"/>
  <c r="BG214" i="1"/>
  <c r="EG214" i="1" s="1"/>
  <c r="BF214" i="1"/>
  <c r="EF214" i="1" s="1"/>
  <c r="BE214" i="1"/>
  <c r="BD214" i="1"/>
  <c r="AZ214" i="1"/>
  <c r="AV214" i="1"/>
  <c r="AR214" i="1"/>
  <c r="AN214" i="1"/>
  <c r="AJ214" i="1"/>
  <c r="EF213" i="1"/>
  <c r="EB213" i="1"/>
  <c r="DX213" i="1"/>
  <c r="DT213" i="1"/>
  <c r="DP213" i="1"/>
  <c r="DL213" i="1"/>
  <c r="DH213" i="1"/>
  <c r="DD213" i="1"/>
  <c r="CZ213" i="1"/>
  <c r="CV213" i="1"/>
  <c r="CR213" i="1"/>
  <c r="CN213" i="1"/>
  <c r="CJ213" i="1"/>
  <c r="CF213" i="1"/>
  <c r="CB213" i="1"/>
  <c r="BX213" i="1"/>
  <c r="BT213" i="1"/>
  <c r="BP213" i="1"/>
  <c r="BL213" i="1"/>
  <c r="BG213" i="1"/>
  <c r="EG213" i="1" s="1"/>
  <c r="BF213" i="1"/>
  <c r="BE213" i="1"/>
  <c r="BD213" i="1"/>
  <c r="AZ213" i="1"/>
  <c r="AV213" i="1"/>
  <c r="AR213" i="1"/>
  <c r="AN213" i="1"/>
  <c r="AJ213" i="1"/>
  <c r="EG212" i="1"/>
  <c r="EF212" i="1"/>
  <c r="EE212" i="1"/>
  <c r="EB212" i="1"/>
  <c r="DX212" i="1"/>
  <c r="DT212" i="1"/>
  <c r="DP212" i="1"/>
  <c r="DL212" i="1"/>
  <c r="DH212" i="1"/>
  <c r="DD212" i="1"/>
  <c r="CZ212" i="1"/>
  <c r="CV212" i="1"/>
  <c r="CR212" i="1"/>
  <c r="CN212" i="1"/>
  <c r="CJ212" i="1"/>
  <c r="CF212" i="1"/>
  <c r="CB212" i="1"/>
  <c r="BX212" i="1"/>
  <c r="BT212" i="1"/>
  <c r="BP212" i="1"/>
  <c r="BL212" i="1"/>
  <c r="BH212" i="1"/>
  <c r="BG212" i="1"/>
  <c r="BF212" i="1"/>
  <c r="BE212" i="1"/>
  <c r="BD212" i="1"/>
  <c r="AZ212" i="1"/>
  <c r="AV212" i="1"/>
  <c r="AR212" i="1"/>
  <c r="AN212" i="1"/>
  <c r="AJ212" i="1"/>
  <c r="EG211" i="1"/>
  <c r="EF211" i="1"/>
  <c r="EE211" i="1"/>
  <c r="EB211" i="1"/>
  <c r="DX211" i="1"/>
  <c r="DT211" i="1"/>
  <c r="DP211" i="1"/>
  <c r="DL211" i="1"/>
  <c r="DH211" i="1"/>
  <c r="DD211" i="1"/>
  <c r="CZ211" i="1"/>
  <c r="CV211" i="1"/>
  <c r="CR211" i="1"/>
  <c r="CN211" i="1"/>
  <c r="CJ211" i="1"/>
  <c r="CG211" i="1"/>
  <c r="CF211" i="1"/>
  <c r="CB211" i="1"/>
  <c r="BX211" i="1"/>
  <c r="BT211" i="1"/>
  <c r="BP211" i="1"/>
  <c r="BL211" i="1"/>
  <c r="BH211" i="1"/>
  <c r="BD211" i="1"/>
  <c r="AZ211" i="1"/>
  <c r="AV211" i="1"/>
  <c r="AR211" i="1"/>
  <c r="AN211" i="1"/>
  <c r="AJ211" i="1"/>
  <c r="EC211" i="1" s="1"/>
  <c r="ED211" i="1" s="1"/>
  <c r="EG210" i="1"/>
  <c r="EF210" i="1"/>
  <c r="EE210" i="1"/>
  <c r="EB210" i="1"/>
  <c r="DX210" i="1"/>
  <c r="DT210" i="1"/>
  <c r="DP210" i="1"/>
  <c r="DL210" i="1"/>
  <c r="DH210" i="1"/>
  <c r="DD210" i="1"/>
  <c r="CZ210" i="1"/>
  <c r="CV210" i="1"/>
  <c r="CR210" i="1"/>
  <c r="CN210" i="1"/>
  <c r="CJ210" i="1"/>
  <c r="CF210" i="1"/>
  <c r="CB210" i="1"/>
  <c r="BX210" i="1"/>
  <c r="BT210" i="1"/>
  <c r="BP210" i="1"/>
  <c r="BL210" i="1"/>
  <c r="BG210" i="1"/>
  <c r="BF210" i="1"/>
  <c r="BE210" i="1"/>
  <c r="BD210" i="1"/>
  <c r="AZ210" i="1"/>
  <c r="AV210" i="1"/>
  <c r="AR210" i="1"/>
  <c r="AN210" i="1"/>
  <c r="AJ210" i="1"/>
  <c r="EG209" i="1"/>
  <c r="EF209" i="1"/>
  <c r="EB209" i="1"/>
  <c r="DX209" i="1"/>
  <c r="DT209" i="1"/>
  <c r="DM209" i="1"/>
  <c r="DL209" i="1"/>
  <c r="DH209" i="1"/>
  <c r="DD209" i="1"/>
  <c r="CZ209" i="1"/>
  <c r="CV209" i="1"/>
  <c r="CR209" i="1"/>
  <c r="CN209" i="1"/>
  <c r="CJ209" i="1"/>
  <c r="CF209" i="1"/>
  <c r="CB209" i="1"/>
  <c r="BX209" i="1"/>
  <c r="BT209" i="1"/>
  <c r="BP209" i="1"/>
  <c r="BL209" i="1"/>
  <c r="BH209" i="1"/>
  <c r="BD209" i="1"/>
  <c r="AZ209" i="1"/>
  <c r="AV209" i="1"/>
  <c r="AR209" i="1"/>
  <c r="AN209" i="1"/>
  <c r="AJ209" i="1"/>
  <c r="EG208" i="1"/>
  <c r="EF208" i="1"/>
  <c r="EB208" i="1"/>
  <c r="DX208" i="1"/>
  <c r="DT208" i="1"/>
  <c r="DP208" i="1"/>
  <c r="DL208" i="1"/>
  <c r="DH208" i="1"/>
  <c r="DD208" i="1"/>
  <c r="CZ208" i="1"/>
  <c r="CS208" i="1"/>
  <c r="EE208" i="1" s="1"/>
  <c r="CR208" i="1"/>
  <c r="CN208" i="1"/>
  <c r="CJ208" i="1"/>
  <c r="CF208" i="1"/>
  <c r="CB208" i="1"/>
  <c r="BX208" i="1"/>
  <c r="BT208" i="1"/>
  <c r="BP208" i="1"/>
  <c r="BL208" i="1"/>
  <c r="BH208" i="1"/>
  <c r="BD208" i="1"/>
  <c r="AZ208" i="1"/>
  <c r="AV208" i="1"/>
  <c r="AR208" i="1"/>
  <c r="AN208" i="1"/>
  <c r="AJ208" i="1"/>
  <c r="EG207" i="1"/>
  <c r="EE207" i="1"/>
  <c r="EB207" i="1"/>
  <c r="DX207" i="1"/>
  <c r="DT207" i="1"/>
  <c r="DP207" i="1"/>
  <c r="DL207" i="1"/>
  <c r="DH207" i="1"/>
  <c r="DD207" i="1"/>
  <c r="CZ207" i="1"/>
  <c r="CV207" i="1"/>
  <c r="CR207" i="1"/>
  <c r="CN207" i="1"/>
  <c r="CJ207" i="1"/>
  <c r="CF207" i="1"/>
  <c r="CB207" i="1"/>
  <c r="BX207" i="1"/>
  <c r="BT207" i="1"/>
  <c r="BP207" i="1"/>
  <c r="BL207" i="1"/>
  <c r="BH207" i="1"/>
  <c r="BG207" i="1"/>
  <c r="BF207" i="1"/>
  <c r="EF207" i="1" s="1"/>
  <c r="BE207" i="1"/>
  <c r="BD207" i="1"/>
  <c r="AZ207" i="1"/>
  <c r="AV207" i="1"/>
  <c r="AR207" i="1"/>
  <c r="AN207" i="1"/>
  <c r="AJ207" i="1"/>
  <c r="EG206" i="1"/>
  <c r="EF206" i="1"/>
  <c r="EB206" i="1"/>
  <c r="DX206" i="1"/>
  <c r="DT206" i="1"/>
  <c r="DP206" i="1"/>
  <c r="DL206" i="1"/>
  <c r="DH206" i="1"/>
  <c r="DD206" i="1"/>
  <c r="CW206" i="1"/>
  <c r="CV206" i="1"/>
  <c r="CR206" i="1"/>
  <c r="CN206" i="1"/>
  <c r="CJ206" i="1"/>
  <c r="CF206" i="1"/>
  <c r="CB206" i="1"/>
  <c r="BX206" i="1"/>
  <c r="BT206" i="1"/>
  <c r="BP206" i="1"/>
  <c r="BL206" i="1"/>
  <c r="BH206" i="1"/>
  <c r="BD206" i="1"/>
  <c r="AZ206" i="1"/>
  <c r="AV206" i="1"/>
  <c r="AR206" i="1"/>
  <c r="AN206" i="1"/>
  <c r="AJ206" i="1"/>
  <c r="EE205" i="1"/>
  <c r="EB205" i="1"/>
  <c r="DX205" i="1"/>
  <c r="DT205" i="1"/>
  <c r="DP205" i="1"/>
  <c r="DL205" i="1"/>
  <c r="DH205" i="1"/>
  <c r="DD205" i="1"/>
  <c r="CZ205" i="1"/>
  <c r="CV205" i="1"/>
  <c r="CR205" i="1"/>
  <c r="CN205" i="1"/>
  <c r="CJ205" i="1"/>
  <c r="CF205" i="1"/>
  <c r="CB205" i="1"/>
  <c r="BX205" i="1"/>
  <c r="BT205" i="1"/>
  <c r="BP205" i="1"/>
  <c r="BL205" i="1"/>
  <c r="BH205" i="1"/>
  <c r="BG205" i="1"/>
  <c r="EG205" i="1" s="1"/>
  <c r="BF205" i="1"/>
  <c r="EF205" i="1" s="1"/>
  <c r="BE205" i="1"/>
  <c r="BD205" i="1"/>
  <c r="AZ205" i="1"/>
  <c r="AV205" i="1"/>
  <c r="AR205" i="1"/>
  <c r="AN205" i="1"/>
  <c r="AJ205" i="1"/>
  <c r="EB204" i="1"/>
  <c r="DX204" i="1"/>
  <c r="DT204" i="1"/>
  <c r="DP204" i="1"/>
  <c r="DL204" i="1"/>
  <c r="DH204" i="1"/>
  <c r="DD204" i="1"/>
  <c r="CZ204" i="1"/>
  <c r="CV204" i="1"/>
  <c r="CR204" i="1"/>
  <c r="CN204" i="1"/>
  <c r="CJ204" i="1"/>
  <c r="CF204" i="1"/>
  <c r="CB204" i="1"/>
  <c r="BX204" i="1"/>
  <c r="BT204" i="1"/>
  <c r="BP204" i="1"/>
  <c r="BL204" i="1"/>
  <c r="BH204" i="1"/>
  <c r="BG204" i="1"/>
  <c r="EG204" i="1" s="1"/>
  <c r="BF204" i="1"/>
  <c r="EF204" i="1" s="1"/>
  <c r="BE204" i="1"/>
  <c r="EE204" i="1" s="1"/>
  <c r="BD204" i="1"/>
  <c r="AZ204" i="1"/>
  <c r="AV204" i="1"/>
  <c r="AR204" i="1"/>
  <c r="AN204" i="1"/>
  <c r="AJ204" i="1"/>
  <c r="EC204" i="1" s="1"/>
  <c r="ED204" i="1" s="1"/>
  <c r="EF203" i="1"/>
  <c r="EB203" i="1"/>
  <c r="DX203" i="1"/>
  <c r="DT203" i="1"/>
  <c r="DP203" i="1"/>
  <c r="DL203" i="1"/>
  <c r="DH203" i="1"/>
  <c r="DD203" i="1"/>
  <c r="CZ203" i="1"/>
  <c r="CV203" i="1"/>
  <c r="CR203" i="1"/>
  <c r="CN203" i="1"/>
  <c r="CJ203" i="1"/>
  <c r="CF203" i="1"/>
  <c r="CB203" i="1"/>
  <c r="EC203" i="1" s="1"/>
  <c r="ED203" i="1" s="1"/>
  <c r="BX203" i="1"/>
  <c r="BT203" i="1"/>
  <c r="BP203" i="1"/>
  <c r="BL203" i="1"/>
  <c r="BG203" i="1"/>
  <c r="EG203" i="1" s="1"/>
  <c r="BF203" i="1"/>
  <c r="BE203" i="1"/>
  <c r="BH203" i="1" s="1"/>
  <c r="BD203" i="1"/>
  <c r="AZ203" i="1"/>
  <c r="AV203" i="1"/>
  <c r="AR203" i="1"/>
  <c r="AN203" i="1"/>
  <c r="AJ203" i="1"/>
  <c r="EG202" i="1"/>
  <c r="EF202" i="1"/>
  <c r="EB202" i="1"/>
  <c r="DX202" i="1"/>
  <c r="DT202" i="1"/>
  <c r="DP202" i="1"/>
  <c r="DL202" i="1"/>
  <c r="DH202" i="1"/>
  <c r="DD202" i="1"/>
  <c r="CW202" i="1"/>
  <c r="CV202" i="1"/>
  <c r="CR202" i="1"/>
  <c r="CN202" i="1"/>
  <c r="CJ202" i="1"/>
  <c r="CF202" i="1"/>
  <c r="CB202" i="1"/>
  <c r="BX202" i="1"/>
  <c r="BT202" i="1"/>
  <c r="BP202" i="1"/>
  <c r="BL202" i="1"/>
  <c r="BH202" i="1"/>
  <c r="BD202" i="1"/>
  <c r="AZ202" i="1"/>
  <c r="AV202" i="1"/>
  <c r="AR202" i="1"/>
  <c r="AN202" i="1"/>
  <c r="AJ202" i="1"/>
  <c r="EE201" i="1"/>
  <c r="EB201" i="1"/>
  <c r="DX201" i="1"/>
  <c r="DT201" i="1"/>
  <c r="DP201" i="1"/>
  <c r="DL201" i="1"/>
  <c r="DH201" i="1"/>
  <c r="DD201" i="1"/>
  <c r="CZ201" i="1"/>
  <c r="CV201" i="1"/>
  <c r="CR201" i="1"/>
  <c r="CN201" i="1"/>
  <c r="CJ201" i="1"/>
  <c r="CF201" i="1"/>
  <c r="CB201" i="1"/>
  <c r="BX201" i="1"/>
  <c r="BT201" i="1"/>
  <c r="BP201" i="1"/>
  <c r="BL201" i="1"/>
  <c r="BG201" i="1"/>
  <c r="EG201" i="1" s="1"/>
  <c r="BF201" i="1"/>
  <c r="EF201" i="1" s="1"/>
  <c r="BE201" i="1"/>
  <c r="BD201" i="1"/>
  <c r="AZ201" i="1"/>
  <c r="AV201" i="1"/>
  <c r="AR201" i="1"/>
  <c r="AN201" i="1"/>
  <c r="AJ201" i="1"/>
  <c r="EG198" i="1"/>
  <c r="EF198" i="1"/>
  <c r="EE198" i="1"/>
  <c r="EB198" i="1"/>
  <c r="DX198" i="1"/>
  <c r="DU198" i="1"/>
  <c r="DT198" i="1"/>
  <c r="DP198" i="1"/>
  <c r="DL198" i="1"/>
  <c r="DH198" i="1"/>
  <c r="DD198" i="1"/>
  <c r="CZ198" i="1"/>
  <c r="CV198" i="1"/>
  <c r="CR198" i="1"/>
  <c r="CN198" i="1"/>
  <c r="CJ198" i="1"/>
  <c r="CF198" i="1"/>
  <c r="CB198" i="1"/>
  <c r="BX198" i="1"/>
  <c r="BT198" i="1"/>
  <c r="BP198" i="1"/>
  <c r="BL198" i="1"/>
  <c r="EC198" i="1" s="1"/>
  <c r="ED198" i="1" s="1"/>
  <c r="BH198" i="1"/>
  <c r="BD198" i="1"/>
  <c r="AZ198" i="1"/>
  <c r="AV198" i="1"/>
  <c r="AR198" i="1"/>
  <c r="AN198" i="1"/>
  <c r="AJ198" i="1"/>
  <c r="EG196" i="1"/>
  <c r="EF196" i="1"/>
  <c r="EB196" i="1"/>
  <c r="DX196" i="1"/>
  <c r="DT196" i="1"/>
  <c r="DP196" i="1"/>
  <c r="DL196" i="1"/>
  <c r="DH196" i="1"/>
  <c r="DD196" i="1"/>
  <c r="CZ196" i="1"/>
  <c r="CV196" i="1"/>
  <c r="CR196" i="1"/>
  <c r="CN196" i="1"/>
  <c r="CJ196" i="1"/>
  <c r="CF196" i="1"/>
  <c r="CB196" i="1"/>
  <c r="BX196" i="1"/>
  <c r="BT196" i="1"/>
  <c r="BP196" i="1"/>
  <c r="BM196" i="1"/>
  <c r="BL196" i="1"/>
  <c r="BG196" i="1"/>
  <c r="BF196" i="1"/>
  <c r="BE196" i="1"/>
  <c r="BH196" i="1" s="1"/>
  <c r="BD196" i="1"/>
  <c r="BA196" i="1"/>
  <c r="AZ196" i="1"/>
  <c r="AV196" i="1"/>
  <c r="AO196" i="1"/>
  <c r="AR196" i="1" s="1"/>
  <c r="AN196" i="1"/>
  <c r="AJ196" i="1"/>
  <c r="EG182" i="1"/>
  <c r="EF182" i="1"/>
  <c r="EE182" i="1"/>
  <c r="EB182" i="1"/>
  <c r="DX182" i="1"/>
  <c r="DT182" i="1"/>
  <c r="DP182" i="1"/>
  <c r="DL182" i="1"/>
  <c r="DH182" i="1"/>
  <c r="DD182" i="1"/>
  <c r="CZ182" i="1"/>
  <c r="CV182" i="1"/>
  <c r="CR182" i="1"/>
  <c r="CN182" i="1"/>
  <c r="CJ182" i="1"/>
  <c r="CF182" i="1"/>
  <c r="CB182" i="1"/>
  <c r="BX182" i="1"/>
  <c r="BT182" i="1"/>
  <c r="BP182" i="1"/>
  <c r="BL182" i="1"/>
  <c r="BH182" i="1"/>
  <c r="BG182" i="1"/>
  <c r="BF182" i="1"/>
  <c r="BE182" i="1"/>
  <c r="BD182" i="1"/>
  <c r="AZ182" i="1"/>
  <c r="AV182" i="1"/>
  <c r="AR182" i="1"/>
  <c r="AN182" i="1"/>
  <c r="AJ182" i="1"/>
  <c r="EG181" i="1"/>
  <c r="EF181" i="1"/>
  <c r="EE181" i="1"/>
  <c r="EB181" i="1"/>
  <c r="DX181" i="1"/>
  <c r="DT181" i="1"/>
  <c r="DP181" i="1"/>
  <c r="DL181" i="1"/>
  <c r="DH181" i="1"/>
  <c r="DD181" i="1"/>
  <c r="CZ181" i="1"/>
  <c r="CV181" i="1"/>
  <c r="CS181" i="1"/>
  <c r="CR181" i="1"/>
  <c r="CN181" i="1"/>
  <c r="CJ181" i="1"/>
  <c r="CF181" i="1"/>
  <c r="EC181" i="1" s="1"/>
  <c r="ED181" i="1" s="1"/>
  <c r="CB181" i="1"/>
  <c r="BX181" i="1"/>
  <c r="BT181" i="1"/>
  <c r="BP181" i="1"/>
  <c r="BL181" i="1"/>
  <c r="BH181" i="1"/>
  <c r="BD181" i="1"/>
  <c r="AZ181" i="1"/>
  <c r="AV181" i="1"/>
  <c r="AR181" i="1"/>
  <c r="AN181" i="1"/>
  <c r="AJ181" i="1"/>
  <c r="EF180" i="1"/>
  <c r="EE180" i="1"/>
  <c r="EB180" i="1"/>
  <c r="DX180" i="1"/>
  <c r="DT180" i="1"/>
  <c r="DP180" i="1"/>
  <c r="DL180" i="1"/>
  <c r="DH180" i="1"/>
  <c r="DD180" i="1"/>
  <c r="CZ180" i="1"/>
  <c r="CV180" i="1"/>
  <c r="CR180" i="1"/>
  <c r="CN180" i="1"/>
  <c r="CJ180" i="1"/>
  <c r="CF180" i="1"/>
  <c r="CB180" i="1"/>
  <c r="BX180" i="1"/>
  <c r="BT180" i="1"/>
  <c r="BP180" i="1"/>
  <c r="BL180" i="1"/>
  <c r="BG180" i="1"/>
  <c r="EG180" i="1" s="1"/>
  <c r="BF180" i="1"/>
  <c r="BE180" i="1"/>
  <c r="BD180" i="1"/>
  <c r="AZ180" i="1"/>
  <c r="AV180" i="1"/>
  <c r="AR180" i="1"/>
  <c r="AN180" i="1"/>
  <c r="AJ180" i="1"/>
  <c r="EE179" i="1"/>
  <c r="EB179" i="1"/>
  <c r="DX179" i="1"/>
  <c r="DT179" i="1"/>
  <c r="DP179" i="1"/>
  <c r="DL179" i="1"/>
  <c r="DH179" i="1"/>
  <c r="DD179" i="1"/>
  <c r="CZ179" i="1"/>
  <c r="CV179" i="1"/>
  <c r="CR179" i="1"/>
  <c r="CN179" i="1"/>
  <c r="CJ179" i="1"/>
  <c r="CF179" i="1"/>
  <c r="CB179" i="1"/>
  <c r="BX179" i="1"/>
  <c r="BT179" i="1"/>
  <c r="BP179" i="1"/>
  <c r="BL179" i="1"/>
  <c r="BG179" i="1"/>
  <c r="EG179" i="1" s="1"/>
  <c r="BF179" i="1"/>
  <c r="EF179" i="1" s="1"/>
  <c r="BE179" i="1"/>
  <c r="BD179" i="1"/>
  <c r="AZ179" i="1"/>
  <c r="AV179" i="1"/>
  <c r="AR179" i="1"/>
  <c r="AN179" i="1"/>
  <c r="AJ179" i="1"/>
  <c r="EF178" i="1"/>
  <c r="EE178" i="1"/>
  <c r="EB178" i="1"/>
  <c r="DX178" i="1"/>
  <c r="DT178" i="1"/>
  <c r="DP178" i="1"/>
  <c r="DL178" i="1"/>
  <c r="DH178" i="1"/>
  <c r="DD178" i="1"/>
  <c r="CZ178" i="1"/>
  <c r="CV178" i="1"/>
  <c r="CR178" i="1"/>
  <c r="CN178" i="1"/>
  <c r="CJ178" i="1"/>
  <c r="CF178" i="1"/>
  <c r="CB178" i="1"/>
  <c r="BX178" i="1"/>
  <c r="BT178" i="1"/>
  <c r="BP178" i="1"/>
  <c r="BL178" i="1"/>
  <c r="BH178" i="1"/>
  <c r="BG178" i="1"/>
  <c r="EG178" i="1" s="1"/>
  <c r="BF178" i="1"/>
  <c r="BE178" i="1"/>
  <c r="BD178" i="1"/>
  <c r="AZ178" i="1"/>
  <c r="AV178" i="1"/>
  <c r="AR178" i="1"/>
  <c r="AN178" i="1"/>
  <c r="AJ178" i="1"/>
  <c r="EG177" i="1"/>
  <c r="EB177" i="1"/>
  <c r="DX177" i="1"/>
  <c r="DT177" i="1"/>
  <c r="DP177" i="1"/>
  <c r="DL177" i="1"/>
  <c r="DH177" i="1"/>
  <c r="DD177" i="1"/>
  <c r="CZ177" i="1"/>
  <c r="CV177" i="1"/>
  <c r="CR177" i="1"/>
  <c r="CN177" i="1"/>
  <c r="CJ177" i="1"/>
  <c r="CF177" i="1"/>
  <c r="CB177" i="1"/>
  <c r="BX177" i="1"/>
  <c r="BT177" i="1"/>
  <c r="BP177" i="1"/>
  <c r="BL177" i="1"/>
  <c r="BG177" i="1"/>
  <c r="BF177" i="1"/>
  <c r="EF177" i="1" s="1"/>
  <c r="BE177" i="1"/>
  <c r="BD177" i="1"/>
  <c r="AZ177" i="1"/>
  <c r="AV177" i="1"/>
  <c r="AR177" i="1"/>
  <c r="AN177" i="1"/>
  <c r="AJ177" i="1"/>
  <c r="EF176" i="1"/>
  <c r="EB176" i="1"/>
  <c r="DX176" i="1"/>
  <c r="DT176" i="1"/>
  <c r="DP176" i="1"/>
  <c r="DL176" i="1"/>
  <c r="DH176" i="1"/>
  <c r="DD176" i="1"/>
  <c r="CZ176" i="1"/>
  <c r="CV176" i="1"/>
  <c r="CR176" i="1"/>
  <c r="CN176" i="1"/>
  <c r="CJ176" i="1"/>
  <c r="CF176" i="1"/>
  <c r="CB176" i="1"/>
  <c r="BX176" i="1"/>
  <c r="BT176" i="1"/>
  <c r="BP176" i="1"/>
  <c r="BL176" i="1"/>
  <c r="BH176" i="1"/>
  <c r="BG176" i="1"/>
  <c r="EG176" i="1" s="1"/>
  <c r="BF176" i="1"/>
  <c r="BE176" i="1"/>
  <c r="EE176" i="1" s="1"/>
  <c r="BD176" i="1"/>
  <c r="AZ176" i="1"/>
  <c r="AV176" i="1"/>
  <c r="AR176" i="1"/>
  <c r="AN176" i="1"/>
  <c r="AJ176" i="1"/>
  <c r="EG175" i="1"/>
  <c r="EF175" i="1"/>
  <c r="EE175" i="1"/>
  <c r="EB175" i="1"/>
  <c r="DX175" i="1"/>
  <c r="DT175" i="1"/>
  <c r="DP175" i="1"/>
  <c r="DL175" i="1"/>
  <c r="DH175" i="1"/>
  <c r="DD175" i="1"/>
  <c r="CZ175" i="1"/>
  <c r="CW175" i="1"/>
  <c r="CV175" i="1"/>
  <c r="CR175" i="1"/>
  <c r="CN175" i="1"/>
  <c r="CJ175" i="1"/>
  <c r="CF175" i="1"/>
  <c r="CB175" i="1"/>
  <c r="BX175" i="1"/>
  <c r="BT175" i="1"/>
  <c r="BP175" i="1"/>
  <c r="BL175" i="1"/>
  <c r="BH175" i="1"/>
  <c r="BD175" i="1"/>
  <c r="AZ175" i="1"/>
  <c r="AV175" i="1"/>
  <c r="AR175" i="1"/>
  <c r="AN175" i="1"/>
  <c r="AJ175" i="1"/>
  <c r="EF174" i="1"/>
  <c r="EE174" i="1"/>
  <c r="EB174" i="1"/>
  <c r="DX174" i="1"/>
  <c r="DT174" i="1"/>
  <c r="DP174" i="1"/>
  <c r="DL174" i="1"/>
  <c r="DH174" i="1"/>
  <c r="DD174" i="1"/>
  <c r="CZ174" i="1"/>
  <c r="CV174" i="1"/>
  <c r="CR174" i="1"/>
  <c r="CN174" i="1"/>
  <c r="CJ174" i="1"/>
  <c r="CF174" i="1"/>
  <c r="CB174" i="1"/>
  <c r="BX174" i="1"/>
  <c r="BT174" i="1"/>
  <c r="BP174" i="1"/>
  <c r="BL174" i="1"/>
  <c r="BH174" i="1"/>
  <c r="BG174" i="1"/>
  <c r="EG174" i="1" s="1"/>
  <c r="BF174" i="1"/>
  <c r="BE174" i="1"/>
  <c r="BD174" i="1"/>
  <c r="AZ174" i="1"/>
  <c r="AV174" i="1"/>
  <c r="AR174" i="1"/>
  <c r="AN174" i="1"/>
  <c r="AJ174" i="1"/>
  <c r="EG173" i="1"/>
  <c r="EF173" i="1"/>
  <c r="EE173" i="1"/>
  <c r="EB173" i="1"/>
  <c r="DX173" i="1"/>
  <c r="DT173" i="1"/>
  <c r="DP173" i="1"/>
  <c r="DL173" i="1"/>
  <c r="DH173" i="1"/>
  <c r="DD173" i="1"/>
  <c r="CW173" i="1"/>
  <c r="CZ173" i="1" s="1"/>
  <c r="CV173" i="1"/>
  <c r="CR173" i="1"/>
  <c r="CN173" i="1"/>
  <c r="CJ173" i="1"/>
  <c r="CF173" i="1"/>
  <c r="CB173" i="1"/>
  <c r="BX173" i="1"/>
  <c r="BT173" i="1"/>
  <c r="BP173" i="1"/>
  <c r="BL173" i="1"/>
  <c r="BH173" i="1"/>
  <c r="BD173" i="1"/>
  <c r="AZ173" i="1"/>
  <c r="AV173" i="1"/>
  <c r="AR173" i="1"/>
  <c r="AN173" i="1"/>
  <c r="AJ173" i="1"/>
  <c r="EG172" i="1"/>
  <c r="EF172" i="1"/>
  <c r="EE172" i="1"/>
  <c r="EB172" i="1"/>
  <c r="DX172" i="1"/>
  <c r="DT172" i="1"/>
  <c r="DP172" i="1"/>
  <c r="DL172" i="1"/>
  <c r="DH172" i="1"/>
  <c r="DD172" i="1"/>
  <c r="CZ172" i="1"/>
  <c r="CW172" i="1"/>
  <c r="CV172" i="1"/>
  <c r="CR172" i="1"/>
  <c r="CN172" i="1"/>
  <c r="CJ172" i="1"/>
  <c r="CF172" i="1"/>
  <c r="CB172" i="1"/>
  <c r="BX172" i="1"/>
  <c r="BT172" i="1"/>
  <c r="BP172" i="1"/>
  <c r="BL172" i="1"/>
  <c r="BH172" i="1"/>
  <c r="BD172" i="1"/>
  <c r="AZ172" i="1"/>
  <c r="AV172" i="1"/>
  <c r="AR172" i="1"/>
  <c r="AN172" i="1"/>
  <c r="AJ172" i="1"/>
  <c r="EC172" i="1" s="1"/>
  <c r="ED172" i="1" s="1"/>
  <c r="EG171" i="1"/>
  <c r="EF171" i="1"/>
  <c r="EB171" i="1"/>
  <c r="DX171" i="1"/>
  <c r="DT171" i="1"/>
  <c r="DP171" i="1"/>
  <c r="DL171" i="1"/>
  <c r="DH171" i="1"/>
  <c r="DD171" i="1"/>
  <c r="CW171" i="1"/>
  <c r="CV171" i="1"/>
  <c r="CR171" i="1"/>
  <c r="CN171" i="1"/>
  <c r="CJ171" i="1"/>
  <c r="CF171" i="1"/>
  <c r="CB171" i="1"/>
  <c r="BX171" i="1"/>
  <c r="BT171" i="1"/>
  <c r="BP171" i="1"/>
  <c r="BL171" i="1"/>
  <c r="BH171" i="1"/>
  <c r="BD171" i="1"/>
  <c r="AZ171" i="1"/>
  <c r="AV171" i="1"/>
  <c r="AR171" i="1"/>
  <c r="AN171" i="1"/>
  <c r="AJ171" i="1"/>
  <c r="EB170" i="1"/>
  <c r="DX170" i="1"/>
  <c r="DT170" i="1"/>
  <c r="DP170" i="1"/>
  <c r="DL170" i="1"/>
  <c r="DH170" i="1"/>
  <c r="DD170" i="1"/>
  <c r="CZ170" i="1"/>
  <c r="CV170" i="1"/>
  <c r="CR170" i="1"/>
  <c r="CN170" i="1"/>
  <c r="CJ170" i="1"/>
  <c r="CF170" i="1"/>
  <c r="CB170" i="1"/>
  <c r="BX170" i="1"/>
  <c r="BT170" i="1"/>
  <c r="BP170" i="1"/>
  <c r="BL170" i="1"/>
  <c r="BG170" i="1"/>
  <c r="EG170" i="1" s="1"/>
  <c r="BF170" i="1"/>
  <c r="BE170" i="1"/>
  <c r="EE170" i="1" s="1"/>
  <c r="BD170" i="1"/>
  <c r="AZ170" i="1"/>
  <c r="AV170" i="1"/>
  <c r="AR170" i="1"/>
  <c r="AN170" i="1"/>
  <c r="AJ170" i="1"/>
  <c r="EG169" i="1"/>
  <c r="EF169" i="1"/>
  <c r="EB169" i="1"/>
  <c r="DX169" i="1"/>
  <c r="DT169" i="1"/>
  <c r="DP169" i="1"/>
  <c r="DL169" i="1"/>
  <c r="DH169" i="1"/>
  <c r="DD169" i="1"/>
  <c r="CZ169" i="1"/>
  <c r="CV169" i="1"/>
  <c r="CO169" i="1"/>
  <c r="CN169" i="1"/>
  <c r="CJ169" i="1"/>
  <c r="CF169" i="1"/>
  <c r="CB169" i="1"/>
  <c r="BX169" i="1"/>
  <c r="BT169" i="1"/>
  <c r="BP169" i="1"/>
  <c r="BL169" i="1"/>
  <c r="BH169" i="1"/>
  <c r="BD169" i="1"/>
  <c r="AZ169" i="1"/>
  <c r="AV169" i="1"/>
  <c r="AR169" i="1"/>
  <c r="AN169" i="1"/>
  <c r="AJ169" i="1"/>
  <c r="EG168" i="1"/>
  <c r="EF168" i="1"/>
  <c r="EB168" i="1"/>
  <c r="DX168" i="1"/>
  <c r="DT168" i="1"/>
  <c r="DP168" i="1"/>
  <c r="DL168" i="1"/>
  <c r="DH168" i="1"/>
  <c r="DD168" i="1"/>
  <c r="CZ168" i="1"/>
  <c r="CV168" i="1"/>
  <c r="CR168" i="1"/>
  <c r="CN168" i="1"/>
  <c r="CJ168" i="1"/>
  <c r="CF168" i="1"/>
  <c r="CB168" i="1"/>
  <c r="BX168" i="1"/>
  <c r="BT168" i="1"/>
  <c r="BP168" i="1"/>
  <c r="BL168" i="1"/>
  <c r="BG168" i="1"/>
  <c r="BF168" i="1"/>
  <c r="BE168" i="1"/>
  <c r="BD168" i="1"/>
  <c r="AZ168" i="1"/>
  <c r="AV168" i="1"/>
  <c r="AR168" i="1"/>
  <c r="AN168" i="1"/>
  <c r="AJ168" i="1"/>
  <c r="EG167" i="1"/>
  <c r="EF167" i="1"/>
  <c r="EB167" i="1"/>
  <c r="DX167" i="1"/>
  <c r="DT167" i="1"/>
  <c r="DQ167" i="1"/>
  <c r="EE167" i="1" s="1"/>
  <c r="DP167" i="1"/>
  <c r="DL167" i="1"/>
  <c r="DH167" i="1"/>
  <c r="DD167" i="1"/>
  <c r="CZ167" i="1"/>
  <c r="CV167" i="1"/>
  <c r="CR167" i="1"/>
  <c r="CN167" i="1"/>
  <c r="CJ167" i="1"/>
  <c r="CF167" i="1"/>
  <c r="CB167" i="1"/>
  <c r="BX167" i="1"/>
  <c r="BT167" i="1"/>
  <c r="BP167" i="1"/>
  <c r="BL167" i="1"/>
  <c r="BH167" i="1"/>
  <c r="BD167" i="1"/>
  <c r="AZ167" i="1"/>
  <c r="AV167" i="1"/>
  <c r="AR167" i="1"/>
  <c r="AN167" i="1"/>
  <c r="AJ167" i="1"/>
  <c r="EG166" i="1"/>
  <c r="EF166" i="1"/>
  <c r="EB166" i="1"/>
  <c r="DX166" i="1"/>
  <c r="DT166" i="1"/>
  <c r="DP166" i="1"/>
  <c r="DL166" i="1"/>
  <c r="DH166" i="1"/>
  <c r="DD166" i="1"/>
  <c r="CW166" i="1"/>
  <c r="CV166" i="1"/>
  <c r="CR166" i="1"/>
  <c r="CN166" i="1"/>
  <c r="CJ166" i="1"/>
  <c r="CF166" i="1"/>
  <c r="CB166" i="1"/>
  <c r="BX166" i="1"/>
  <c r="BT166" i="1"/>
  <c r="BP166" i="1"/>
  <c r="BL166" i="1"/>
  <c r="BH166" i="1"/>
  <c r="BD166" i="1"/>
  <c r="AZ166" i="1"/>
  <c r="AV166" i="1"/>
  <c r="AR166" i="1"/>
  <c r="AN166" i="1"/>
  <c r="AJ166" i="1"/>
  <c r="EG165" i="1"/>
  <c r="EF165" i="1"/>
  <c r="EE165" i="1"/>
  <c r="EB165" i="1"/>
  <c r="DX165" i="1"/>
  <c r="DT165" i="1"/>
  <c r="DP165" i="1"/>
  <c r="DL165" i="1"/>
  <c r="DH165" i="1"/>
  <c r="DD165" i="1"/>
  <c r="CZ165" i="1"/>
  <c r="CV165" i="1"/>
  <c r="CO165" i="1"/>
  <c r="CR165" i="1" s="1"/>
  <c r="CN165" i="1"/>
  <c r="CJ165" i="1"/>
  <c r="CF165" i="1"/>
  <c r="CB165" i="1"/>
  <c r="BX165" i="1"/>
  <c r="BT165" i="1"/>
  <c r="BP165" i="1"/>
  <c r="BL165" i="1"/>
  <c r="BH165" i="1"/>
  <c r="BD165" i="1"/>
  <c r="AZ165" i="1"/>
  <c r="AV165" i="1"/>
  <c r="AR165" i="1"/>
  <c r="AN165" i="1"/>
  <c r="AJ165" i="1"/>
  <c r="EG164" i="1"/>
  <c r="EF164" i="1"/>
  <c r="EE164" i="1"/>
  <c r="EB164" i="1"/>
  <c r="DX164" i="1"/>
  <c r="DT164" i="1"/>
  <c r="DP164" i="1"/>
  <c r="DL164" i="1"/>
  <c r="DH164" i="1"/>
  <c r="DD164" i="1"/>
  <c r="CZ164" i="1"/>
  <c r="CV164" i="1"/>
  <c r="CR164" i="1"/>
  <c r="CN164" i="1"/>
  <c r="CJ164" i="1"/>
  <c r="CF164" i="1"/>
  <c r="CB164" i="1"/>
  <c r="BX164" i="1"/>
  <c r="BT164" i="1"/>
  <c r="BP164" i="1"/>
  <c r="BM164" i="1"/>
  <c r="BL164" i="1"/>
  <c r="BH164" i="1"/>
  <c r="BD164" i="1"/>
  <c r="AZ164" i="1"/>
  <c r="AV164" i="1"/>
  <c r="AR164" i="1"/>
  <c r="AN164" i="1"/>
  <c r="AJ164" i="1"/>
  <c r="EG163" i="1"/>
  <c r="EF163" i="1"/>
  <c r="EB163" i="1"/>
  <c r="DX163" i="1"/>
  <c r="DT163" i="1"/>
  <c r="DP163" i="1"/>
  <c r="DL163" i="1"/>
  <c r="DH163" i="1"/>
  <c r="DD163" i="1"/>
  <c r="CW163" i="1"/>
  <c r="CV163" i="1"/>
  <c r="CR163" i="1"/>
  <c r="CN163" i="1"/>
  <c r="CJ163" i="1"/>
  <c r="CF163" i="1"/>
  <c r="CB163" i="1"/>
  <c r="BX163" i="1"/>
  <c r="BT163" i="1"/>
  <c r="BP163" i="1"/>
  <c r="BL163" i="1"/>
  <c r="BH163" i="1"/>
  <c r="BD163" i="1"/>
  <c r="AZ163" i="1"/>
  <c r="AV163" i="1"/>
  <c r="AR163" i="1"/>
  <c r="AN163" i="1"/>
  <c r="AJ163" i="1"/>
  <c r="EB162" i="1"/>
  <c r="DX162" i="1"/>
  <c r="DT162" i="1"/>
  <c r="DP162" i="1"/>
  <c r="DL162" i="1"/>
  <c r="DH162" i="1"/>
  <c r="DD162" i="1"/>
  <c r="CZ162" i="1"/>
  <c r="CV162" i="1"/>
  <c r="CR162" i="1"/>
  <c r="CN162" i="1"/>
  <c r="CJ162" i="1"/>
  <c r="CF162" i="1"/>
  <c r="CB162" i="1"/>
  <c r="BX162" i="1"/>
  <c r="BT162" i="1"/>
  <c r="BP162" i="1"/>
  <c r="BL162" i="1"/>
  <c r="BH162" i="1"/>
  <c r="BG162" i="1"/>
  <c r="EG162" i="1" s="1"/>
  <c r="BF162" i="1"/>
  <c r="EF162" i="1" s="1"/>
  <c r="BE162" i="1"/>
  <c r="EE162" i="1" s="1"/>
  <c r="BD162" i="1"/>
  <c r="AZ162" i="1"/>
  <c r="AV162" i="1"/>
  <c r="AR162" i="1"/>
  <c r="AN162" i="1"/>
  <c r="AJ162" i="1"/>
  <c r="EG161" i="1"/>
  <c r="EF161" i="1"/>
  <c r="EE161" i="1"/>
  <c r="EB161" i="1"/>
  <c r="DX161" i="1"/>
  <c r="DT161" i="1"/>
  <c r="DQ161" i="1"/>
  <c r="DP161" i="1"/>
  <c r="DL161" i="1"/>
  <c r="DH161" i="1"/>
  <c r="DD161" i="1"/>
  <c r="CZ161" i="1"/>
  <c r="CV161" i="1"/>
  <c r="CR161" i="1"/>
  <c r="CN161" i="1"/>
  <c r="CJ161" i="1"/>
  <c r="CF161" i="1"/>
  <c r="CB161" i="1"/>
  <c r="BX161" i="1"/>
  <c r="BT161" i="1"/>
  <c r="BP161" i="1"/>
  <c r="BL161" i="1"/>
  <c r="BH161" i="1"/>
  <c r="BD161" i="1"/>
  <c r="AZ161" i="1"/>
  <c r="AV161" i="1"/>
  <c r="AR161" i="1"/>
  <c r="AN161" i="1"/>
  <c r="AJ161" i="1"/>
  <c r="EG160" i="1"/>
  <c r="EF160" i="1"/>
  <c r="EE160" i="1"/>
  <c r="EB160" i="1"/>
  <c r="DX160" i="1"/>
  <c r="DT160" i="1"/>
  <c r="DP160" i="1"/>
  <c r="DL160" i="1"/>
  <c r="DH160" i="1"/>
  <c r="DD160" i="1"/>
  <c r="CZ160" i="1"/>
  <c r="CV160" i="1"/>
  <c r="CR160" i="1"/>
  <c r="CN160" i="1"/>
  <c r="CJ160" i="1"/>
  <c r="CF160" i="1"/>
  <c r="CB160" i="1"/>
  <c r="BX160" i="1"/>
  <c r="BT160" i="1"/>
  <c r="BP160" i="1"/>
  <c r="BL160" i="1"/>
  <c r="BH160" i="1"/>
  <c r="BG160" i="1"/>
  <c r="BF160" i="1"/>
  <c r="BE160" i="1"/>
  <c r="BD160" i="1"/>
  <c r="AZ160" i="1"/>
  <c r="AV160" i="1"/>
  <c r="AR160" i="1"/>
  <c r="AN160" i="1"/>
  <c r="AJ160" i="1"/>
  <c r="EE159" i="1"/>
  <c r="EB159" i="1"/>
  <c r="DX159" i="1"/>
  <c r="DT159" i="1"/>
  <c r="DP159" i="1"/>
  <c r="DL159" i="1"/>
  <c r="DH159" i="1"/>
  <c r="DD159" i="1"/>
  <c r="CZ159" i="1"/>
  <c r="CV159" i="1"/>
  <c r="CR159" i="1"/>
  <c r="CN159" i="1"/>
  <c r="CJ159" i="1"/>
  <c r="CF159" i="1"/>
  <c r="CB159" i="1"/>
  <c r="BX159" i="1"/>
  <c r="BT159" i="1"/>
  <c r="BP159" i="1"/>
  <c r="BL159" i="1"/>
  <c r="BG159" i="1"/>
  <c r="EG159" i="1" s="1"/>
  <c r="BF159" i="1"/>
  <c r="EF159" i="1" s="1"/>
  <c r="BE159" i="1"/>
  <c r="BD159" i="1"/>
  <c r="AZ159" i="1"/>
  <c r="AV159" i="1"/>
  <c r="AR159" i="1"/>
  <c r="AN159" i="1"/>
  <c r="AJ159" i="1"/>
  <c r="EG158" i="1"/>
  <c r="EB158" i="1"/>
  <c r="DX158" i="1"/>
  <c r="DT158" i="1"/>
  <c r="DP158" i="1"/>
  <c r="DL158" i="1"/>
  <c r="DH158" i="1"/>
  <c r="DD158" i="1"/>
  <c r="CZ158" i="1"/>
  <c r="CV158" i="1"/>
  <c r="CR158" i="1"/>
  <c r="CN158" i="1"/>
  <c r="CJ158" i="1"/>
  <c r="CF158" i="1"/>
  <c r="CB158" i="1"/>
  <c r="BX158" i="1"/>
  <c r="BT158" i="1"/>
  <c r="BP158" i="1"/>
  <c r="BL158" i="1"/>
  <c r="BH158" i="1"/>
  <c r="BG158" i="1"/>
  <c r="BF158" i="1"/>
  <c r="EF158" i="1" s="1"/>
  <c r="BE158" i="1"/>
  <c r="EE158" i="1" s="1"/>
  <c r="BD158" i="1"/>
  <c r="AZ158" i="1"/>
  <c r="AV158" i="1"/>
  <c r="AR158" i="1"/>
  <c r="AN158" i="1"/>
  <c r="AJ158" i="1"/>
  <c r="EG157" i="1"/>
  <c r="EF157" i="1"/>
  <c r="EE157" i="1"/>
  <c r="EB157" i="1"/>
  <c r="DX157" i="1"/>
  <c r="DT157" i="1"/>
  <c r="DP157" i="1"/>
  <c r="DL157" i="1"/>
  <c r="DH157" i="1"/>
  <c r="DD157" i="1"/>
  <c r="CZ157" i="1"/>
  <c r="CV157" i="1"/>
  <c r="CR157" i="1"/>
  <c r="CN157" i="1"/>
  <c r="CJ157" i="1"/>
  <c r="CF157" i="1"/>
  <c r="CB157" i="1"/>
  <c r="BX157" i="1"/>
  <c r="BT157" i="1"/>
  <c r="BP157" i="1"/>
  <c r="BL157" i="1"/>
  <c r="BH157" i="1"/>
  <c r="BG157" i="1"/>
  <c r="BF157" i="1"/>
  <c r="BE157" i="1"/>
  <c r="BD157" i="1"/>
  <c r="AZ157" i="1"/>
  <c r="AV157" i="1"/>
  <c r="AR157" i="1"/>
  <c r="AN157" i="1"/>
  <c r="AJ157" i="1"/>
  <c r="EC157" i="1" s="1"/>
  <c r="ED157" i="1" s="1"/>
  <c r="EB156" i="1"/>
  <c r="DX156" i="1"/>
  <c r="DT156" i="1"/>
  <c r="DP156" i="1"/>
  <c r="DL156" i="1"/>
  <c r="DH156" i="1"/>
  <c r="DD156" i="1"/>
  <c r="CZ156" i="1"/>
  <c r="CV156" i="1"/>
  <c r="CR156" i="1"/>
  <c r="CN156" i="1"/>
  <c r="CJ156" i="1"/>
  <c r="CF156" i="1"/>
  <c r="CB156" i="1"/>
  <c r="BX156" i="1"/>
  <c r="BT156" i="1"/>
  <c r="BP156" i="1"/>
  <c r="BL156" i="1"/>
  <c r="BG156" i="1"/>
  <c r="EG156" i="1" s="1"/>
  <c r="BF156" i="1"/>
  <c r="EF156" i="1" s="1"/>
  <c r="BE156" i="1"/>
  <c r="EE156" i="1" s="1"/>
  <c r="BD156" i="1"/>
  <c r="AZ156" i="1"/>
  <c r="AV156" i="1"/>
  <c r="AR156" i="1"/>
  <c r="AN156" i="1"/>
  <c r="AJ156" i="1"/>
  <c r="EG155" i="1"/>
  <c r="EF155" i="1"/>
  <c r="EB155" i="1"/>
  <c r="DX155" i="1"/>
  <c r="DT155" i="1"/>
  <c r="DP155" i="1"/>
  <c r="DL155" i="1"/>
  <c r="DH155" i="1"/>
  <c r="DD155" i="1"/>
  <c r="CW155" i="1"/>
  <c r="CV155" i="1"/>
  <c r="CR155" i="1"/>
  <c r="CN155" i="1"/>
  <c r="CJ155" i="1"/>
  <c r="CF155" i="1"/>
  <c r="CB155" i="1"/>
  <c r="BX155" i="1"/>
  <c r="BT155" i="1"/>
  <c r="BP155" i="1"/>
  <c r="BL155" i="1"/>
  <c r="BH155" i="1"/>
  <c r="BD155" i="1"/>
  <c r="AZ155" i="1"/>
  <c r="AV155" i="1"/>
  <c r="AR155" i="1"/>
  <c r="AN155" i="1"/>
  <c r="AJ155" i="1"/>
  <c r="EG154" i="1"/>
  <c r="EF154" i="1"/>
  <c r="EE154" i="1"/>
  <c r="EB154" i="1"/>
  <c r="DX154" i="1"/>
  <c r="DT154" i="1"/>
  <c r="DP154" i="1"/>
  <c r="DL154" i="1"/>
  <c r="DH154" i="1"/>
  <c r="DD154" i="1"/>
  <c r="CW154" i="1"/>
  <c r="CZ154" i="1" s="1"/>
  <c r="CV154" i="1"/>
  <c r="CR154" i="1"/>
  <c r="CN154" i="1"/>
  <c r="CJ154" i="1"/>
  <c r="CF154" i="1"/>
  <c r="CB154" i="1"/>
  <c r="EC154" i="1" s="1"/>
  <c r="ED154" i="1" s="1"/>
  <c r="BX154" i="1"/>
  <c r="BT154" i="1"/>
  <c r="BP154" i="1"/>
  <c r="BL154" i="1"/>
  <c r="BH154" i="1"/>
  <c r="BD154" i="1"/>
  <c r="AZ154" i="1"/>
  <c r="AV154" i="1"/>
  <c r="AR154" i="1"/>
  <c r="AN154" i="1"/>
  <c r="AJ154" i="1"/>
  <c r="EG153" i="1"/>
  <c r="EF153" i="1"/>
  <c r="EE153" i="1"/>
  <c r="EB153" i="1"/>
  <c r="DX153" i="1"/>
  <c r="DT153" i="1"/>
  <c r="DP153" i="1"/>
  <c r="DL153" i="1"/>
  <c r="DH153" i="1"/>
  <c r="DD153" i="1"/>
  <c r="CZ153" i="1"/>
  <c r="CV153" i="1"/>
  <c r="CR153" i="1"/>
  <c r="CN153" i="1"/>
  <c r="CJ153" i="1"/>
  <c r="CF153" i="1"/>
  <c r="CB153" i="1"/>
  <c r="BX153" i="1"/>
  <c r="BT153" i="1"/>
  <c r="BP153" i="1"/>
  <c r="BL153" i="1"/>
  <c r="BH153" i="1"/>
  <c r="BG153" i="1"/>
  <c r="BF153" i="1"/>
  <c r="BE153" i="1"/>
  <c r="BD153" i="1"/>
  <c r="AZ153" i="1"/>
  <c r="AV153" i="1"/>
  <c r="AR153" i="1"/>
  <c r="AN153" i="1"/>
  <c r="AJ153" i="1"/>
  <c r="EC153" i="1" s="1"/>
  <c r="ED153" i="1" s="1"/>
  <c r="EG152" i="1"/>
  <c r="EF152" i="1"/>
  <c r="EB152" i="1"/>
  <c r="DX152" i="1"/>
  <c r="DT152" i="1"/>
  <c r="DP152" i="1"/>
  <c r="DL152" i="1"/>
  <c r="DH152" i="1"/>
  <c r="DD152" i="1"/>
  <c r="CW152" i="1"/>
  <c r="CV152" i="1"/>
  <c r="CR152" i="1"/>
  <c r="CN152" i="1"/>
  <c r="CJ152" i="1"/>
  <c r="CF152" i="1"/>
  <c r="CB152" i="1"/>
  <c r="BX152" i="1"/>
  <c r="BT152" i="1"/>
  <c r="BP152" i="1"/>
  <c r="BL152" i="1"/>
  <c r="BH152" i="1"/>
  <c r="BD152" i="1"/>
  <c r="AZ152" i="1"/>
  <c r="AV152" i="1"/>
  <c r="AR152" i="1"/>
  <c r="AN152" i="1"/>
  <c r="AJ152" i="1"/>
  <c r="EE151" i="1"/>
  <c r="EB151" i="1"/>
  <c r="DX151" i="1"/>
  <c r="DT151" i="1"/>
  <c r="DP151" i="1"/>
  <c r="DL151" i="1"/>
  <c r="DH151" i="1"/>
  <c r="DD151" i="1"/>
  <c r="CZ151" i="1"/>
  <c r="CV151" i="1"/>
  <c r="CR151" i="1"/>
  <c r="CN151" i="1"/>
  <c r="CJ151" i="1"/>
  <c r="CF151" i="1"/>
  <c r="CB151" i="1"/>
  <c r="BX151" i="1"/>
  <c r="BT151" i="1"/>
  <c r="BP151" i="1"/>
  <c r="BL151" i="1"/>
  <c r="BG151" i="1"/>
  <c r="EG151" i="1" s="1"/>
  <c r="BF151" i="1"/>
  <c r="EF151" i="1" s="1"/>
  <c r="BE151" i="1"/>
  <c r="BD151" i="1"/>
  <c r="AZ151" i="1"/>
  <c r="AV151" i="1"/>
  <c r="AR151" i="1"/>
  <c r="AN151" i="1"/>
  <c r="AJ151" i="1"/>
  <c r="EB150" i="1"/>
  <c r="DX150" i="1"/>
  <c r="DT150" i="1"/>
  <c r="DP150" i="1"/>
  <c r="DL150" i="1"/>
  <c r="DH150" i="1"/>
  <c r="DD150" i="1"/>
  <c r="CZ150" i="1"/>
  <c r="CV150" i="1"/>
  <c r="CR150" i="1"/>
  <c r="CN150" i="1"/>
  <c r="CJ150" i="1"/>
  <c r="CF150" i="1"/>
  <c r="CB150" i="1"/>
  <c r="BX150" i="1"/>
  <c r="BT150" i="1"/>
  <c r="BP150" i="1"/>
  <c r="BL150" i="1"/>
  <c r="BG150" i="1"/>
  <c r="EG150" i="1" s="1"/>
  <c r="BF150" i="1"/>
  <c r="EF150" i="1" s="1"/>
  <c r="BE150" i="1"/>
  <c r="BD150" i="1"/>
  <c r="AZ150" i="1"/>
  <c r="AV150" i="1"/>
  <c r="AR150" i="1"/>
  <c r="AN150" i="1"/>
  <c r="AJ150" i="1"/>
  <c r="EG149" i="1"/>
  <c r="EF149" i="1"/>
  <c r="EE149" i="1"/>
  <c r="EB149" i="1"/>
  <c r="DX149" i="1"/>
  <c r="DT149" i="1"/>
  <c r="DP149" i="1"/>
  <c r="DL149" i="1"/>
  <c r="DH149" i="1"/>
  <c r="DD149" i="1"/>
  <c r="CZ149" i="1"/>
  <c r="CV149" i="1"/>
  <c r="CR149" i="1"/>
  <c r="CN149" i="1"/>
  <c r="CJ149" i="1"/>
  <c r="CF149" i="1"/>
  <c r="CB149" i="1"/>
  <c r="BX149" i="1"/>
  <c r="BT149" i="1"/>
  <c r="BP149" i="1"/>
  <c r="BL149" i="1"/>
  <c r="BG149" i="1"/>
  <c r="BF149" i="1"/>
  <c r="BE149" i="1"/>
  <c r="BH149" i="1" s="1"/>
  <c r="BD149" i="1"/>
  <c r="AZ149" i="1"/>
  <c r="AV149" i="1"/>
  <c r="AR149" i="1"/>
  <c r="AN149" i="1"/>
  <c r="AJ149" i="1"/>
  <c r="EF148" i="1"/>
  <c r="EE148" i="1"/>
  <c r="EB148" i="1"/>
  <c r="DX148" i="1"/>
  <c r="DT148" i="1"/>
  <c r="DP148" i="1"/>
  <c r="DL148" i="1"/>
  <c r="DH148" i="1"/>
  <c r="DD148" i="1"/>
  <c r="CZ148" i="1"/>
  <c r="CV148" i="1"/>
  <c r="CR148" i="1"/>
  <c r="CN148" i="1"/>
  <c r="CJ148" i="1"/>
  <c r="CF148" i="1"/>
  <c r="CB148" i="1"/>
  <c r="BX148" i="1"/>
  <c r="BT148" i="1"/>
  <c r="BP148" i="1"/>
  <c r="BL148" i="1"/>
  <c r="BG148" i="1"/>
  <c r="EG148" i="1" s="1"/>
  <c r="BF148" i="1"/>
  <c r="BE148" i="1"/>
  <c r="BD148" i="1"/>
  <c r="AZ148" i="1"/>
  <c r="AV148" i="1"/>
  <c r="AR148" i="1"/>
  <c r="AN148" i="1"/>
  <c r="AJ148" i="1"/>
  <c r="EB147" i="1"/>
  <c r="DX147" i="1"/>
  <c r="DT147" i="1"/>
  <c r="DP147" i="1"/>
  <c r="DL147" i="1"/>
  <c r="DH147" i="1"/>
  <c r="DD147" i="1"/>
  <c r="CZ147" i="1"/>
  <c r="CV147" i="1"/>
  <c r="CR147" i="1"/>
  <c r="CN147" i="1"/>
  <c r="CJ147" i="1"/>
  <c r="CF147" i="1"/>
  <c r="CB147" i="1"/>
  <c r="BX147" i="1"/>
  <c r="BT147" i="1"/>
  <c r="BP147" i="1"/>
  <c r="BL147" i="1"/>
  <c r="BG147" i="1"/>
  <c r="EG147" i="1" s="1"/>
  <c r="BF147" i="1"/>
  <c r="EF147" i="1" s="1"/>
  <c r="BE147" i="1"/>
  <c r="BD147" i="1"/>
  <c r="AZ147" i="1"/>
  <c r="AV147" i="1"/>
  <c r="AR147" i="1"/>
  <c r="AN147" i="1"/>
  <c r="AJ147" i="1"/>
  <c r="EG146" i="1"/>
  <c r="EF146" i="1"/>
  <c r="EE146" i="1"/>
  <c r="EB146" i="1"/>
  <c r="DX146" i="1"/>
  <c r="DT146" i="1"/>
  <c r="DP146" i="1"/>
  <c r="DL146" i="1"/>
  <c r="DH146" i="1"/>
  <c r="DD146" i="1"/>
  <c r="CW146" i="1"/>
  <c r="CZ146" i="1" s="1"/>
  <c r="CV146" i="1"/>
  <c r="CR146" i="1"/>
  <c r="CN146" i="1"/>
  <c r="CJ146" i="1"/>
  <c r="CF146" i="1"/>
  <c r="CB146" i="1"/>
  <c r="BX146" i="1"/>
  <c r="BT146" i="1"/>
  <c r="BP146" i="1"/>
  <c r="BL146" i="1"/>
  <c r="BH146" i="1"/>
  <c r="BD146" i="1"/>
  <c r="AZ146" i="1"/>
  <c r="AV146" i="1"/>
  <c r="AR146" i="1"/>
  <c r="AN146" i="1"/>
  <c r="AJ146" i="1"/>
  <c r="EG145" i="1"/>
  <c r="EF145" i="1"/>
  <c r="EB145" i="1"/>
  <c r="DX145" i="1"/>
  <c r="DT145" i="1"/>
  <c r="DP145" i="1"/>
  <c r="DL145" i="1"/>
  <c r="DH145" i="1"/>
  <c r="DD145" i="1"/>
  <c r="CZ145" i="1"/>
  <c r="CV145" i="1"/>
  <c r="CR145" i="1"/>
  <c r="CN145" i="1"/>
  <c r="CG145" i="1"/>
  <c r="EE145" i="1" s="1"/>
  <c r="CF145" i="1"/>
  <c r="CB145" i="1"/>
  <c r="BX145" i="1"/>
  <c r="BT145" i="1"/>
  <c r="BP145" i="1"/>
  <c r="BL145" i="1"/>
  <c r="BH145" i="1"/>
  <c r="BD145" i="1"/>
  <c r="AZ145" i="1"/>
  <c r="AV145" i="1"/>
  <c r="AR145" i="1"/>
  <c r="AN145" i="1"/>
  <c r="AJ145" i="1"/>
  <c r="EF144" i="1"/>
  <c r="EE144" i="1"/>
  <c r="EB144" i="1"/>
  <c r="DX144" i="1"/>
  <c r="DT144" i="1"/>
  <c r="DP144" i="1"/>
  <c r="DL144" i="1"/>
  <c r="DH144" i="1"/>
  <c r="DD144" i="1"/>
  <c r="CZ144" i="1"/>
  <c r="CV144" i="1"/>
  <c r="CR144" i="1"/>
  <c r="CN144" i="1"/>
  <c r="CJ144" i="1"/>
  <c r="CF144" i="1"/>
  <c r="CB144" i="1"/>
  <c r="BX144" i="1"/>
  <c r="BT144" i="1"/>
  <c r="BP144" i="1"/>
  <c r="BL144" i="1"/>
  <c r="BG144" i="1"/>
  <c r="BF144" i="1"/>
  <c r="BE144" i="1"/>
  <c r="BD144" i="1"/>
  <c r="AZ144" i="1"/>
  <c r="AV144" i="1"/>
  <c r="AR144" i="1"/>
  <c r="AN144" i="1"/>
  <c r="AJ144" i="1"/>
  <c r="EG143" i="1"/>
  <c r="EF143" i="1"/>
  <c r="EE143" i="1"/>
  <c r="EB143" i="1"/>
  <c r="DX143" i="1"/>
  <c r="DT143" i="1"/>
  <c r="DP143" i="1"/>
  <c r="DL143" i="1"/>
  <c r="DH143" i="1"/>
  <c r="DD143" i="1"/>
  <c r="CW143" i="1"/>
  <c r="CZ143" i="1" s="1"/>
  <c r="CV143" i="1"/>
  <c r="CR143" i="1"/>
  <c r="CN143" i="1"/>
  <c r="CJ143" i="1"/>
  <c r="CF143" i="1"/>
  <c r="CB143" i="1"/>
  <c r="BX143" i="1"/>
  <c r="BT143" i="1"/>
  <c r="BP143" i="1"/>
  <c r="BL143" i="1"/>
  <c r="EC143" i="1" s="1"/>
  <c r="ED143" i="1" s="1"/>
  <c r="BH143" i="1"/>
  <c r="BD143" i="1"/>
  <c r="AZ143" i="1"/>
  <c r="AV143" i="1"/>
  <c r="AR143" i="1"/>
  <c r="AN143" i="1"/>
  <c r="AJ143" i="1"/>
  <c r="EG142" i="1"/>
  <c r="EF142" i="1"/>
  <c r="EE142" i="1"/>
  <c r="EB142" i="1"/>
  <c r="DX142" i="1"/>
  <c r="DT142" i="1"/>
  <c r="DP142" i="1"/>
  <c r="DL142" i="1"/>
  <c r="DH142" i="1"/>
  <c r="DD142" i="1"/>
  <c r="CZ142" i="1"/>
  <c r="CV142" i="1"/>
  <c r="CS142" i="1"/>
  <c r="CR142" i="1"/>
  <c r="CN142" i="1"/>
  <c r="CJ142" i="1"/>
  <c r="CF142" i="1"/>
  <c r="CB142" i="1"/>
  <c r="BX142" i="1"/>
  <c r="BT142" i="1"/>
  <c r="BP142" i="1"/>
  <c r="BL142" i="1"/>
  <c r="BH142" i="1"/>
  <c r="BD142" i="1"/>
  <c r="AZ142" i="1"/>
  <c r="AV142" i="1"/>
  <c r="AR142" i="1"/>
  <c r="AN142" i="1"/>
  <c r="AJ142" i="1"/>
  <c r="EC142" i="1" s="1"/>
  <c r="ED142" i="1" s="1"/>
  <c r="EG141" i="1"/>
  <c r="EF141" i="1"/>
  <c r="EB141" i="1"/>
  <c r="DX141" i="1"/>
  <c r="DT141" i="1"/>
  <c r="DP141" i="1"/>
  <c r="DL141" i="1"/>
  <c r="DH141" i="1"/>
  <c r="DD141" i="1"/>
  <c r="CW141" i="1"/>
  <c r="CV141" i="1"/>
  <c r="CR141" i="1"/>
  <c r="CN141" i="1"/>
  <c r="CJ141" i="1"/>
  <c r="CF141" i="1"/>
  <c r="CB141" i="1"/>
  <c r="BX141" i="1"/>
  <c r="BT141" i="1"/>
  <c r="BP141" i="1"/>
  <c r="BL141" i="1"/>
  <c r="BH141" i="1"/>
  <c r="BD141" i="1"/>
  <c r="AZ141" i="1"/>
  <c r="AV141" i="1"/>
  <c r="AR141" i="1"/>
  <c r="AN141" i="1"/>
  <c r="AJ141" i="1"/>
  <c r="EG140" i="1"/>
  <c r="EF140" i="1"/>
  <c r="EB140" i="1"/>
  <c r="DX140" i="1"/>
  <c r="DT140" i="1"/>
  <c r="DP140" i="1"/>
  <c r="DL140" i="1"/>
  <c r="DH140" i="1"/>
  <c r="DD140" i="1"/>
  <c r="CZ140" i="1"/>
  <c r="CV140" i="1"/>
  <c r="CR140" i="1"/>
  <c r="CN140" i="1"/>
  <c r="CJ140" i="1"/>
  <c r="CF140" i="1"/>
  <c r="CB140" i="1"/>
  <c r="BX140" i="1"/>
  <c r="BQ140" i="1"/>
  <c r="BT140" i="1" s="1"/>
  <c r="BP140" i="1"/>
  <c r="BL140" i="1"/>
  <c r="BH140" i="1"/>
  <c r="BD140" i="1"/>
  <c r="AZ140" i="1"/>
  <c r="AV140" i="1"/>
  <c r="AR140" i="1"/>
  <c r="AN140" i="1"/>
  <c r="AJ140" i="1"/>
  <c r="EG139" i="1"/>
  <c r="EF139" i="1"/>
  <c r="EB139" i="1"/>
  <c r="DX139" i="1"/>
  <c r="DT139" i="1"/>
  <c r="DP139" i="1"/>
  <c r="DL139" i="1"/>
  <c r="DH139" i="1"/>
  <c r="DD139" i="1"/>
  <c r="CZ139" i="1"/>
  <c r="CW139" i="1"/>
  <c r="EE139" i="1" s="1"/>
  <c r="CV139" i="1"/>
  <c r="CR139" i="1"/>
  <c r="CN139" i="1"/>
  <c r="CJ139" i="1"/>
  <c r="CF139" i="1"/>
  <c r="CB139" i="1"/>
  <c r="BX139" i="1"/>
  <c r="BT139" i="1"/>
  <c r="BP139" i="1"/>
  <c r="BL139" i="1"/>
  <c r="BH139" i="1"/>
  <c r="BD139" i="1"/>
  <c r="AZ139" i="1"/>
  <c r="AV139" i="1"/>
  <c r="EC139" i="1" s="1"/>
  <c r="ED139" i="1" s="1"/>
  <c r="AR139" i="1"/>
  <c r="AN139" i="1"/>
  <c r="AJ139" i="1"/>
  <c r="EG136" i="1"/>
  <c r="EF136" i="1"/>
  <c r="EE136" i="1"/>
  <c r="EB136" i="1"/>
  <c r="DX136" i="1"/>
  <c r="DT136" i="1"/>
  <c r="DP136" i="1"/>
  <c r="DL136" i="1"/>
  <c r="DH136" i="1"/>
  <c r="DD136" i="1"/>
  <c r="CZ136" i="1"/>
  <c r="CV136" i="1"/>
  <c r="CR136" i="1"/>
  <c r="CN136" i="1"/>
  <c r="CJ136" i="1"/>
  <c r="CF136" i="1"/>
  <c r="CB136" i="1"/>
  <c r="BX136" i="1"/>
  <c r="BT136" i="1"/>
  <c r="BP136" i="1"/>
  <c r="BL136" i="1"/>
  <c r="BG136" i="1"/>
  <c r="BF136" i="1"/>
  <c r="BE136" i="1"/>
  <c r="BH136" i="1" s="1"/>
  <c r="BD136" i="1"/>
  <c r="AZ136" i="1"/>
  <c r="AV136" i="1"/>
  <c r="AR136" i="1"/>
  <c r="AN136" i="1"/>
  <c r="AJ136" i="1"/>
  <c r="EB135" i="1"/>
  <c r="DX135" i="1"/>
  <c r="DT135" i="1"/>
  <c r="DP135" i="1"/>
  <c r="DL135" i="1"/>
  <c r="DH135" i="1"/>
  <c r="DD135" i="1"/>
  <c r="CZ135" i="1"/>
  <c r="CV135" i="1"/>
  <c r="CR135" i="1"/>
  <c r="CN135" i="1"/>
  <c r="CJ135" i="1"/>
  <c r="CF135" i="1"/>
  <c r="CB135" i="1"/>
  <c r="BX135" i="1"/>
  <c r="BT135" i="1"/>
  <c r="BP135" i="1"/>
  <c r="BL135" i="1"/>
  <c r="BG135" i="1"/>
  <c r="EG135" i="1" s="1"/>
  <c r="BF135" i="1"/>
  <c r="EF135" i="1" s="1"/>
  <c r="BE135" i="1"/>
  <c r="BD135" i="1"/>
  <c r="AZ135" i="1"/>
  <c r="AV135" i="1"/>
  <c r="AR135" i="1"/>
  <c r="AN135" i="1"/>
  <c r="AJ135" i="1"/>
  <c r="EB134" i="1"/>
  <c r="DX134" i="1"/>
  <c r="DT134" i="1"/>
  <c r="DP134" i="1"/>
  <c r="DL134" i="1"/>
  <c r="DH134" i="1"/>
  <c r="DD134" i="1"/>
  <c r="CZ134" i="1"/>
  <c r="CV134" i="1"/>
  <c r="CR134" i="1"/>
  <c r="CN134" i="1"/>
  <c r="CJ134" i="1"/>
  <c r="CF134" i="1"/>
  <c r="CB134" i="1"/>
  <c r="BX134" i="1"/>
  <c r="BT134" i="1"/>
  <c r="BP134" i="1"/>
  <c r="BL134" i="1"/>
  <c r="BG134" i="1"/>
  <c r="EG134" i="1" s="1"/>
  <c r="BF134" i="1"/>
  <c r="EF134" i="1" s="1"/>
  <c r="BE134" i="1"/>
  <c r="BD134" i="1"/>
  <c r="AZ134" i="1"/>
  <c r="AV134" i="1"/>
  <c r="AR134" i="1"/>
  <c r="AN134" i="1"/>
  <c r="AJ134" i="1"/>
  <c r="EG133" i="1"/>
  <c r="EF133" i="1"/>
  <c r="EB133" i="1"/>
  <c r="DX133" i="1"/>
  <c r="DT133" i="1"/>
  <c r="DP133" i="1"/>
  <c r="DL133" i="1"/>
  <c r="DH133" i="1"/>
  <c r="DD133" i="1"/>
  <c r="CW133" i="1"/>
  <c r="CV133" i="1"/>
  <c r="CR133" i="1"/>
  <c r="CN133" i="1"/>
  <c r="CJ133" i="1"/>
  <c r="CF133" i="1"/>
  <c r="CB133" i="1"/>
  <c r="BX133" i="1"/>
  <c r="BT133" i="1"/>
  <c r="BP133" i="1"/>
  <c r="BL133" i="1"/>
  <c r="BH133" i="1"/>
  <c r="BD133" i="1"/>
  <c r="AZ133" i="1"/>
  <c r="AV133" i="1"/>
  <c r="AR133" i="1"/>
  <c r="AN133" i="1"/>
  <c r="AJ133" i="1"/>
  <c r="EF130" i="1"/>
  <c r="EE130" i="1"/>
  <c r="EB130" i="1"/>
  <c r="DX130" i="1"/>
  <c r="DT130" i="1"/>
  <c r="DP130" i="1"/>
  <c r="DL130" i="1"/>
  <c r="DH130" i="1"/>
  <c r="DD130" i="1"/>
  <c r="CZ130" i="1"/>
  <c r="CV130" i="1"/>
  <c r="CR130" i="1"/>
  <c r="CN130" i="1"/>
  <c r="CJ130" i="1"/>
  <c r="CF130" i="1"/>
  <c r="CB130" i="1"/>
  <c r="BX130" i="1"/>
  <c r="BT130" i="1"/>
  <c r="BP130" i="1"/>
  <c r="BL130" i="1"/>
  <c r="BG130" i="1"/>
  <c r="EG130" i="1" s="1"/>
  <c r="BF130" i="1"/>
  <c r="BE130" i="1"/>
  <c r="BD130" i="1"/>
  <c r="AZ130" i="1"/>
  <c r="AV130" i="1"/>
  <c r="AR130" i="1"/>
  <c r="AN130" i="1"/>
  <c r="AJ130" i="1"/>
  <c r="EG128" i="1"/>
  <c r="EF128" i="1"/>
  <c r="EE128" i="1"/>
  <c r="EB128" i="1"/>
  <c r="DX128" i="1"/>
  <c r="DT128" i="1"/>
  <c r="DP128" i="1"/>
  <c r="DL128" i="1"/>
  <c r="DH128" i="1"/>
  <c r="DD128" i="1"/>
  <c r="CZ128" i="1"/>
  <c r="CV128" i="1"/>
  <c r="CR128" i="1"/>
  <c r="CN128" i="1"/>
  <c r="CJ128" i="1"/>
  <c r="CF128" i="1"/>
  <c r="CB128" i="1"/>
  <c r="EC128" i="1" s="1"/>
  <c r="ED128" i="1" s="1"/>
  <c r="BX128" i="1"/>
  <c r="BT128" i="1"/>
  <c r="BP128" i="1"/>
  <c r="BL128" i="1"/>
  <c r="BG128" i="1"/>
  <c r="BH128" i="1" s="1"/>
  <c r="BF128" i="1"/>
  <c r="BE128" i="1"/>
  <c r="BD128" i="1"/>
  <c r="AZ128" i="1"/>
  <c r="AV128" i="1"/>
  <c r="AR128" i="1"/>
  <c r="AN128" i="1"/>
  <c r="AJ128" i="1"/>
  <c r="EG127" i="1"/>
  <c r="EB127" i="1"/>
  <c r="DX127" i="1"/>
  <c r="DT127" i="1"/>
  <c r="DP127" i="1"/>
  <c r="DL127" i="1"/>
  <c r="DH127" i="1"/>
  <c r="DD127" i="1"/>
  <c r="CZ127" i="1"/>
  <c r="CV127" i="1"/>
  <c r="CR127" i="1"/>
  <c r="CN127" i="1"/>
  <c r="CJ127" i="1"/>
  <c r="CF127" i="1"/>
  <c r="CB127" i="1"/>
  <c r="BX127" i="1"/>
  <c r="BT127" i="1"/>
  <c r="BP127" i="1"/>
  <c r="BL127" i="1"/>
  <c r="BG127" i="1"/>
  <c r="BF127" i="1"/>
  <c r="EF127" i="1" s="1"/>
  <c r="BE127" i="1"/>
  <c r="BD127" i="1"/>
  <c r="AZ127" i="1"/>
  <c r="AV127" i="1"/>
  <c r="AR127" i="1"/>
  <c r="AN127" i="1"/>
  <c r="AJ127" i="1"/>
  <c r="DU125" i="1"/>
  <c r="DX125" i="1" s="1"/>
  <c r="EG124" i="1"/>
  <c r="EB124" i="1"/>
  <c r="DX124" i="1"/>
  <c r="DT124" i="1"/>
  <c r="DP124" i="1"/>
  <c r="DL124" i="1"/>
  <c r="DH124" i="1"/>
  <c r="DD124" i="1"/>
  <c r="CZ124" i="1"/>
  <c r="CV124" i="1"/>
  <c r="CR124" i="1"/>
  <c r="CN124" i="1"/>
  <c r="CJ124" i="1"/>
  <c r="CF124" i="1"/>
  <c r="CB124" i="1"/>
  <c r="BX124" i="1"/>
  <c r="BT124" i="1"/>
  <c r="BP124" i="1"/>
  <c r="BL124" i="1"/>
  <c r="BG124" i="1"/>
  <c r="BF124" i="1"/>
  <c r="BE124" i="1"/>
  <c r="EE124" i="1" s="1"/>
  <c r="BD124" i="1"/>
  <c r="AZ124" i="1"/>
  <c r="AV124" i="1"/>
  <c r="AR124" i="1"/>
  <c r="AN124" i="1"/>
  <c r="AJ124" i="1"/>
  <c r="EG118" i="1"/>
  <c r="EF118" i="1"/>
  <c r="EE118" i="1"/>
  <c r="EB118" i="1"/>
  <c r="DX118" i="1"/>
  <c r="DT118" i="1"/>
  <c r="DP118" i="1"/>
  <c r="DL118" i="1"/>
  <c r="DH118" i="1"/>
  <c r="DD118" i="1"/>
  <c r="CZ118" i="1"/>
  <c r="CV118" i="1"/>
  <c r="CR118" i="1"/>
  <c r="CN118" i="1"/>
  <c r="CJ118" i="1"/>
  <c r="CF118" i="1"/>
  <c r="CB118" i="1"/>
  <c r="BX118" i="1"/>
  <c r="BT118" i="1"/>
  <c r="BP118" i="1"/>
  <c r="BL118" i="1"/>
  <c r="BH118" i="1"/>
  <c r="BA118" i="1"/>
  <c r="BD118" i="1" s="1"/>
  <c r="AZ118" i="1"/>
  <c r="AV118" i="1"/>
  <c r="AR118" i="1"/>
  <c r="AN118" i="1"/>
  <c r="AJ118" i="1"/>
  <c r="CG110" i="1"/>
  <c r="CJ110" i="1" s="1"/>
  <c r="BQ99" i="1"/>
  <c r="BT99" i="1" s="1"/>
  <c r="DI96" i="1"/>
  <c r="DL96" i="1" s="1"/>
  <c r="CK94" i="1"/>
  <c r="CN94" i="1" s="1"/>
  <c r="EG90" i="1"/>
  <c r="EF90" i="1"/>
  <c r="EE90" i="1"/>
  <c r="EB90" i="1"/>
  <c r="DX90" i="1"/>
  <c r="DT90" i="1"/>
  <c r="DP90" i="1"/>
  <c r="DL90" i="1"/>
  <c r="DH90" i="1"/>
  <c r="DD90" i="1"/>
  <c r="CZ90" i="1"/>
  <c r="CV90" i="1"/>
  <c r="CR90" i="1"/>
  <c r="CN90" i="1"/>
  <c r="CJ90" i="1"/>
  <c r="CF90" i="1"/>
  <c r="CB90" i="1"/>
  <c r="BX90" i="1"/>
  <c r="BT90" i="1"/>
  <c r="BP90" i="1"/>
  <c r="BL90" i="1"/>
  <c r="BG90" i="1"/>
  <c r="BF90" i="1"/>
  <c r="BH90" i="1" s="1"/>
  <c r="BE90" i="1"/>
  <c r="BD90" i="1"/>
  <c r="AZ90" i="1"/>
  <c r="AV90" i="1"/>
  <c r="AR90" i="1"/>
  <c r="AN90" i="1"/>
  <c r="AJ90" i="1"/>
  <c r="CK88" i="1"/>
  <c r="CN88" i="1" s="1"/>
  <c r="EE82" i="1"/>
  <c r="EB82" i="1"/>
  <c r="DX82" i="1"/>
  <c r="DT82" i="1"/>
  <c r="DP82" i="1"/>
  <c r="DL82" i="1"/>
  <c r="DH82" i="1"/>
  <c r="DD82" i="1"/>
  <c r="CZ82" i="1"/>
  <c r="CV82" i="1"/>
  <c r="CR82" i="1"/>
  <c r="CN82" i="1"/>
  <c r="CJ82" i="1"/>
  <c r="CF82" i="1"/>
  <c r="CB82" i="1"/>
  <c r="BX82" i="1"/>
  <c r="BT82" i="1"/>
  <c r="BP82" i="1"/>
  <c r="BL82" i="1"/>
  <c r="BH82" i="1"/>
  <c r="BG82" i="1"/>
  <c r="EG82" i="1" s="1"/>
  <c r="BF82" i="1"/>
  <c r="EF82" i="1" s="1"/>
  <c r="BE82" i="1"/>
  <c r="BD82" i="1"/>
  <c r="AZ82" i="1"/>
  <c r="AV82" i="1"/>
  <c r="AR82" i="1"/>
  <c r="AN82" i="1"/>
  <c r="AJ82" i="1"/>
  <c r="EC82" i="1" s="1"/>
  <c r="ED82" i="1" s="1"/>
  <c r="EG81" i="1"/>
  <c r="EB81" i="1"/>
  <c r="DX81" i="1"/>
  <c r="DT81" i="1"/>
  <c r="DP81" i="1"/>
  <c r="DL81" i="1"/>
  <c r="DH81" i="1"/>
  <c r="DD81" i="1"/>
  <c r="CZ81" i="1"/>
  <c r="CV81" i="1"/>
  <c r="CR81" i="1"/>
  <c r="CN81" i="1"/>
  <c r="CJ81" i="1"/>
  <c r="CF81" i="1"/>
  <c r="CB81" i="1"/>
  <c r="BX81" i="1"/>
  <c r="BT81" i="1"/>
  <c r="BP81" i="1"/>
  <c r="BL81" i="1"/>
  <c r="BG81" i="1"/>
  <c r="BF81" i="1"/>
  <c r="EF81" i="1" s="1"/>
  <c r="BE81" i="1"/>
  <c r="EE81" i="1" s="1"/>
  <c r="BD81" i="1"/>
  <c r="AZ81" i="1"/>
  <c r="AV81" i="1"/>
  <c r="AR81" i="1"/>
  <c r="AN81" i="1"/>
  <c r="AJ81" i="1"/>
  <c r="EG80" i="1"/>
  <c r="EF80" i="1"/>
  <c r="EB80" i="1"/>
  <c r="DX80" i="1"/>
  <c r="DT80" i="1"/>
  <c r="DP80" i="1"/>
  <c r="DL80" i="1"/>
  <c r="DH80" i="1"/>
  <c r="DD80" i="1"/>
  <c r="CZ80" i="1"/>
  <c r="CV80" i="1"/>
  <c r="CR80" i="1"/>
  <c r="CN80" i="1"/>
  <c r="CJ80" i="1"/>
  <c r="CF80" i="1"/>
  <c r="CB80" i="1"/>
  <c r="BX80" i="1"/>
  <c r="BT80" i="1"/>
  <c r="BP80" i="1"/>
  <c r="BL80" i="1"/>
  <c r="BG80" i="1"/>
  <c r="BF80" i="1"/>
  <c r="BE80" i="1"/>
  <c r="BH80" i="1" s="1"/>
  <c r="BD80" i="1"/>
  <c r="AZ80" i="1"/>
  <c r="AV80" i="1"/>
  <c r="AR80" i="1"/>
  <c r="AN80" i="1"/>
  <c r="AJ80" i="1"/>
  <c r="EG79" i="1"/>
  <c r="EF79" i="1"/>
  <c r="EB79" i="1"/>
  <c r="DX79" i="1"/>
  <c r="DT79" i="1"/>
  <c r="DP79" i="1"/>
  <c r="DL79" i="1"/>
  <c r="DH79" i="1"/>
  <c r="DD79" i="1"/>
  <c r="CZ79" i="1"/>
  <c r="CV79" i="1"/>
  <c r="CR79" i="1"/>
  <c r="CN79" i="1"/>
  <c r="CJ79" i="1"/>
  <c r="CF79" i="1"/>
  <c r="CB79" i="1"/>
  <c r="BX79" i="1"/>
  <c r="BT79" i="1"/>
  <c r="BP79" i="1"/>
  <c r="BL79" i="1"/>
  <c r="BH79" i="1"/>
  <c r="BA79" i="1"/>
  <c r="BD79" i="1" s="1"/>
  <c r="AZ79" i="1"/>
  <c r="AV79" i="1"/>
  <c r="AR79" i="1"/>
  <c r="AN79" i="1"/>
  <c r="AJ79" i="1"/>
  <c r="EG78" i="1"/>
  <c r="EF78" i="1"/>
  <c r="EE78" i="1"/>
  <c r="EB78" i="1"/>
  <c r="DX78" i="1"/>
  <c r="DT78" i="1"/>
  <c r="DP78" i="1"/>
  <c r="DL78" i="1"/>
  <c r="DH78" i="1"/>
  <c r="DD78" i="1"/>
  <c r="CZ78" i="1"/>
  <c r="CV78" i="1"/>
  <c r="CR78" i="1"/>
  <c r="CN78" i="1"/>
  <c r="CJ78" i="1"/>
  <c r="CF78" i="1"/>
  <c r="CB78" i="1"/>
  <c r="BX78" i="1"/>
  <c r="BT78" i="1"/>
  <c r="BP78" i="1"/>
  <c r="BL78" i="1"/>
  <c r="BH78" i="1"/>
  <c r="BD78" i="1"/>
  <c r="BA78" i="1"/>
  <c r="AZ78" i="1"/>
  <c r="AV78" i="1"/>
  <c r="AR78" i="1"/>
  <c r="AN78" i="1"/>
  <c r="EC78" i="1" s="1"/>
  <c r="ED78" i="1" s="1"/>
  <c r="AJ78" i="1"/>
  <c r="EG77" i="1"/>
  <c r="EF77" i="1"/>
  <c r="EB77" i="1"/>
  <c r="DX77" i="1"/>
  <c r="DT77" i="1"/>
  <c r="DP77" i="1"/>
  <c r="DL77" i="1"/>
  <c r="DH77" i="1"/>
  <c r="DD77" i="1"/>
  <c r="CZ77" i="1"/>
  <c r="CV77" i="1"/>
  <c r="CR77" i="1"/>
  <c r="CN77" i="1"/>
  <c r="CJ77" i="1"/>
  <c r="CF77" i="1"/>
  <c r="CB77" i="1"/>
  <c r="BX77" i="1"/>
  <c r="BT77" i="1"/>
  <c r="BP77" i="1"/>
  <c r="BL77" i="1"/>
  <c r="BH77" i="1"/>
  <c r="BD77" i="1"/>
  <c r="BA77" i="1"/>
  <c r="EE77" i="1" s="1"/>
  <c r="AZ77" i="1"/>
  <c r="EC77" i="1" s="1"/>
  <c r="ED77" i="1" s="1"/>
  <c r="AV77" i="1"/>
  <c r="AR77" i="1"/>
  <c r="AN77" i="1"/>
  <c r="AJ77" i="1"/>
  <c r="EG76" i="1"/>
  <c r="EF76" i="1"/>
  <c r="EE76" i="1"/>
  <c r="EB76" i="1"/>
  <c r="DX76" i="1"/>
  <c r="DT76" i="1"/>
  <c r="DP76" i="1"/>
  <c r="DL76" i="1"/>
  <c r="DH76" i="1"/>
  <c r="DD76" i="1"/>
  <c r="CZ76" i="1"/>
  <c r="CV76" i="1"/>
  <c r="CR76" i="1"/>
  <c r="CN76" i="1"/>
  <c r="CJ76" i="1"/>
  <c r="CF76" i="1"/>
  <c r="CB76" i="1"/>
  <c r="BX76" i="1"/>
  <c r="BT76" i="1"/>
  <c r="BP76" i="1"/>
  <c r="BL76" i="1"/>
  <c r="BH76" i="1"/>
  <c r="BA76" i="1"/>
  <c r="BD76" i="1" s="1"/>
  <c r="AZ76" i="1"/>
  <c r="AV76" i="1"/>
  <c r="AR76" i="1"/>
  <c r="AN76" i="1"/>
  <c r="AJ76" i="1"/>
  <c r="EG75" i="1"/>
  <c r="EF75" i="1"/>
  <c r="EB75" i="1"/>
  <c r="DX75" i="1"/>
  <c r="DT75" i="1"/>
  <c r="DP75" i="1"/>
  <c r="DL75" i="1"/>
  <c r="DH75" i="1"/>
  <c r="DD75" i="1"/>
  <c r="CZ75" i="1"/>
  <c r="CV75" i="1"/>
  <c r="CR75" i="1"/>
  <c r="CN75" i="1"/>
  <c r="CJ75" i="1"/>
  <c r="CF75" i="1"/>
  <c r="CB75" i="1"/>
  <c r="BX75" i="1"/>
  <c r="BT75" i="1"/>
  <c r="BP75" i="1"/>
  <c r="BL75" i="1"/>
  <c r="BH75" i="1"/>
  <c r="BA75" i="1"/>
  <c r="AZ75" i="1"/>
  <c r="AV75" i="1"/>
  <c r="AR75" i="1"/>
  <c r="AN75" i="1"/>
  <c r="AJ75" i="1"/>
  <c r="EG74" i="1"/>
  <c r="EF74" i="1"/>
  <c r="EB74" i="1"/>
  <c r="DX74" i="1"/>
  <c r="DT74" i="1"/>
  <c r="DP74" i="1"/>
  <c r="DL74" i="1"/>
  <c r="DH74" i="1"/>
  <c r="DD74" i="1"/>
  <c r="CZ74" i="1"/>
  <c r="CV74" i="1"/>
  <c r="CR74" i="1"/>
  <c r="CN74" i="1"/>
  <c r="CJ74" i="1"/>
  <c r="CF74" i="1"/>
  <c r="CB74" i="1"/>
  <c r="BX74" i="1"/>
  <c r="BT74" i="1"/>
  <c r="BP74" i="1"/>
  <c r="BL74" i="1"/>
  <c r="BH74" i="1"/>
  <c r="BA74" i="1"/>
  <c r="EE74" i="1" s="1"/>
  <c r="AZ74" i="1"/>
  <c r="AV74" i="1"/>
  <c r="AR74" i="1"/>
  <c r="AN74" i="1"/>
  <c r="AJ74" i="1"/>
  <c r="EG73" i="1"/>
  <c r="EF73" i="1"/>
  <c r="EB73" i="1"/>
  <c r="DX73" i="1"/>
  <c r="DT73" i="1"/>
  <c r="DP73" i="1"/>
  <c r="DL73" i="1"/>
  <c r="DH73" i="1"/>
  <c r="DD73" i="1"/>
  <c r="CZ73" i="1"/>
  <c r="CV73" i="1"/>
  <c r="CR73" i="1"/>
  <c r="CN73" i="1"/>
  <c r="CJ73" i="1"/>
  <c r="CF73" i="1"/>
  <c r="CB73" i="1"/>
  <c r="BX73" i="1"/>
  <c r="BT73" i="1"/>
  <c r="BP73" i="1"/>
  <c r="BL73" i="1"/>
  <c r="BH73" i="1"/>
  <c r="BA73" i="1"/>
  <c r="BD73" i="1" s="1"/>
  <c r="AZ73" i="1"/>
  <c r="AV73" i="1"/>
  <c r="AR73" i="1"/>
  <c r="AN73" i="1"/>
  <c r="AJ73" i="1"/>
  <c r="EG72" i="1"/>
  <c r="EF72" i="1"/>
  <c r="EB72" i="1"/>
  <c r="DX72" i="1"/>
  <c r="DT72" i="1"/>
  <c r="DP72" i="1"/>
  <c r="DL72" i="1"/>
  <c r="DH72" i="1"/>
  <c r="DD72" i="1"/>
  <c r="CZ72" i="1"/>
  <c r="CV72" i="1"/>
  <c r="CR72" i="1"/>
  <c r="CN72" i="1"/>
  <c r="CJ72" i="1"/>
  <c r="CF72" i="1"/>
  <c r="CB72" i="1"/>
  <c r="BX72" i="1"/>
  <c r="BT72" i="1"/>
  <c r="BP72" i="1"/>
  <c r="BL72" i="1"/>
  <c r="BH72" i="1"/>
  <c r="BA72" i="1"/>
  <c r="AZ72" i="1"/>
  <c r="AV72" i="1"/>
  <c r="AR72" i="1"/>
  <c r="AN72" i="1"/>
  <c r="AJ72" i="1"/>
  <c r="EG71" i="1"/>
  <c r="EF71" i="1"/>
  <c r="EE71" i="1"/>
  <c r="EB71" i="1"/>
  <c r="DX71" i="1"/>
  <c r="DT71" i="1"/>
  <c r="DP71" i="1"/>
  <c r="DL71" i="1"/>
  <c r="DH71" i="1"/>
  <c r="DD71" i="1"/>
  <c r="CZ71" i="1"/>
  <c r="CV71" i="1"/>
  <c r="CR71" i="1"/>
  <c r="CN71" i="1"/>
  <c r="CJ71" i="1"/>
  <c r="CF71" i="1"/>
  <c r="CB71" i="1"/>
  <c r="BX71" i="1"/>
  <c r="BT71" i="1"/>
  <c r="BP71" i="1"/>
  <c r="BL71" i="1"/>
  <c r="BH71" i="1"/>
  <c r="BA71" i="1"/>
  <c r="BD71" i="1" s="1"/>
  <c r="AZ71" i="1"/>
  <c r="AV71" i="1"/>
  <c r="AR71" i="1"/>
  <c r="AN71" i="1"/>
  <c r="AJ71" i="1"/>
  <c r="EG70" i="1"/>
  <c r="EF70" i="1"/>
  <c r="EE70" i="1"/>
  <c r="EB70" i="1"/>
  <c r="DX70" i="1"/>
  <c r="DT70" i="1"/>
  <c r="DP70" i="1"/>
  <c r="DL70" i="1"/>
  <c r="DH70" i="1"/>
  <c r="DD70" i="1"/>
  <c r="CZ70" i="1"/>
  <c r="CV70" i="1"/>
  <c r="CR70" i="1"/>
  <c r="CN70" i="1"/>
  <c r="CJ70" i="1"/>
  <c r="CF70" i="1"/>
  <c r="CB70" i="1"/>
  <c r="EC70" i="1" s="1"/>
  <c r="ED70" i="1" s="1"/>
  <c r="BX70" i="1"/>
  <c r="BT70" i="1"/>
  <c r="BP70" i="1"/>
  <c r="BL70" i="1"/>
  <c r="BH70" i="1"/>
  <c r="BD70" i="1"/>
  <c r="BA70" i="1"/>
  <c r="AZ70" i="1"/>
  <c r="AV70" i="1"/>
  <c r="AR70" i="1"/>
  <c r="AN70" i="1"/>
  <c r="AJ70" i="1"/>
  <c r="CG69" i="1"/>
  <c r="CJ69" i="1" s="1"/>
  <c r="DQ59" i="1"/>
  <c r="DT59" i="1" s="1"/>
  <c r="EF58" i="1"/>
  <c r="EE58" i="1"/>
  <c r="EB58" i="1"/>
  <c r="DX58" i="1"/>
  <c r="DT58" i="1"/>
  <c r="DP58" i="1"/>
  <c r="DL58" i="1"/>
  <c r="DH58" i="1"/>
  <c r="DD58" i="1"/>
  <c r="CZ58" i="1"/>
  <c r="CV58" i="1"/>
  <c r="CR58" i="1"/>
  <c r="CN58" i="1"/>
  <c r="CJ58" i="1"/>
  <c r="CF58" i="1"/>
  <c r="CB58" i="1"/>
  <c r="BX58" i="1"/>
  <c r="BT58" i="1"/>
  <c r="BP58" i="1"/>
  <c r="BL58" i="1"/>
  <c r="BG58" i="1"/>
  <c r="EG58" i="1" s="1"/>
  <c r="BF58" i="1"/>
  <c r="BE58" i="1"/>
  <c r="BD58" i="1"/>
  <c r="AZ58" i="1"/>
  <c r="AV58" i="1"/>
  <c r="AR58" i="1"/>
  <c r="AN58" i="1"/>
  <c r="AJ58" i="1"/>
  <c r="EG55" i="1"/>
  <c r="EE55" i="1"/>
  <c r="EB55" i="1"/>
  <c r="DX55" i="1"/>
  <c r="DT55" i="1"/>
  <c r="DP55" i="1"/>
  <c r="DL55" i="1"/>
  <c r="DH55" i="1"/>
  <c r="DD55" i="1"/>
  <c r="CZ55" i="1"/>
  <c r="CV55" i="1"/>
  <c r="CR55" i="1"/>
  <c r="CN55" i="1"/>
  <c r="CJ55" i="1"/>
  <c r="CF55" i="1"/>
  <c r="CB55" i="1"/>
  <c r="BX55" i="1"/>
  <c r="BT55" i="1"/>
  <c r="BP55" i="1"/>
  <c r="BL55" i="1"/>
  <c r="BG55" i="1"/>
  <c r="BF55" i="1"/>
  <c r="EF55" i="1" s="1"/>
  <c r="BE55" i="1"/>
  <c r="BH55" i="1" s="1"/>
  <c r="BD55" i="1"/>
  <c r="AZ55" i="1"/>
  <c r="AV55" i="1"/>
  <c r="AR55" i="1"/>
  <c r="AN55" i="1"/>
  <c r="AJ55" i="1"/>
  <c r="EG54" i="1"/>
  <c r="EF54" i="1"/>
  <c r="EB54" i="1"/>
  <c r="DX54" i="1"/>
  <c r="DT54" i="1"/>
  <c r="DP54" i="1"/>
  <c r="DL54" i="1"/>
  <c r="DH54" i="1"/>
  <c r="DD54" i="1"/>
  <c r="CW54" i="1"/>
  <c r="CV54" i="1"/>
  <c r="CR54" i="1"/>
  <c r="CN54" i="1"/>
  <c r="CJ54" i="1"/>
  <c r="CF54" i="1"/>
  <c r="CB54" i="1"/>
  <c r="BX54" i="1"/>
  <c r="BT54" i="1"/>
  <c r="BP54" i="1"/>
  <c r="BL54" i="1"/>
  <c r="BH54" i="1"/>
  <c r="BD54" i="1"/>
  <c r="AZ54" i="1"/>
  <c r="AV54" i="1"/>
  <c r="AR54" i="1"/>
  <c r="AN54" i="1"/>
  <c r="AJ54" i="1"/>
  <c r="EG53" i="1"/>
  <c r="EF53" i="1"/>
  <c r="EB53" i="1"/>
  <c r="DX53" i="1"/>
  <c r="DT53" i="1"/>
  <c r="DP53" i="1"/>
  <c r="DL53" i="1"/>
  <c r="DH53" i="1"/>
  <c r="DD53" i="1"/>
  <c r="CZ53" i="1"/>
  <c r="CV53" i="1"/>
  <c r="CR53" i="1"/>
  <c r="CN53" i="1"/>
  <c r="CJ53" i="1"/>
  <c r="CF53" i="1"/>
  <c r="CB53" i="1"/>
  <c r="BX53" i="1"/>
  <c r="BT53" i="1"/>
  <c r="BP53" i="1"/>
  <c r="BI53" i="1"/>
  <c r="BH53" i="1"/>
  <c r="BD53" i="1"/>
  <c r="AZ53" i="1"/>
  <c r="AV53" i="1"/>
  <c r="AR53" i="1"/>
  <c r="AN53" i="1"/>
  <c r="AJ53" i="1"/>
  <c r="EG49" i="1"/>
  <c r="EB49" i="1"/>
  <c r="DX49" i="1"/>
  <c r="DT49" i="1"/>
  <c r="DP49" i="1"/>
  <c r="DL49" i="1"/>
  <c r="DH49" i="1"/>
  <c r="DD49" i="1"/>
  <c r="CZ49" i="1"/>
  <c r="CV49" i="1"/>
  <c r="CR49" i="1"/>
  <c r="CN49" i="1"/>
  <c r="CJ49" i="1"/>
  <c r="CF49" i="1"/>
  <c r="CB49" i="1"/>
  <c r="BX49" i="1"/>
  <c r="BT49" i="1"/>
  <c r="BP49" i="1"/>
  <c r="BL49" i="1"/>
  <c r="BH49" i="1"/>
  <c r="BG49" i="1"/>
  <c r="BF49" i="1"/>
  <c r="EF49" i="1" s="1"/>
  <c r="BE49" i="1"/>
  <c r="EE49" i="1" s="1"/>
  <c r="BD49" i="1"/>
  <c r="AZ49" i="1"/>
  <c r="AV49" i="1"/>
  <c r="AR49" i="1"/>
  <c r="AN49" i="1"/>
  <c r="AJ49" i="1"/>
  <c r="EG48" i="1"/>
  <c r="EF48" i="1"/>
  <c r="EB48" i="1"/>
  <c r="DX48" i="1"/>
  <c r="DT48" i="1"/>
  <c r="DP48" i="1"/>
  <c r="DL48" i="1"/>
  <c r="DH48" i="1"/>
  <c r="DD48" i="1"/>
  <c r="DA48" i="1"/>
  <c r="EE48" i="1" s="1"/>
  <c r="CZ48" i="1"/>
  <c r="CV48" i="1"/>
  <c r="CR48" i="1"/>
  <c r="CN48" i="1"/>
  <c r="CJ48" i="1"/>
  <c r="CF48" i="1"/>
  <c r="CB48" i="1"/>
  <c r="BX48" i="1"/>
  <c r="BT48" i="1"/>
  <c r="BP48" i="1"/>
  <c r="BL48" i="1"/>
  <c r="BH48" i="1"/>
  <c r="EC48" i="1" s="1"/>
  <c r="ED48" i="1" s="1"/>
  <c r="BD48" i="1"/>
  <c r="AZ48" i="1"/>
  <c r="AV48" i="1"/>
  <c r="AR48" i="1"/>
  <c r="AN48" i="1"/>
  <c r="AJ48" i="1"/>
  <c r="EG47" i="1"/>
  <c r="EF47" i="1"/>
  <c r="EE47" i="1"/>
  <c r="EB47" i="1"/>
  <c r="DX47" i="1"/>
  <c r="DT47" i="1"/>
  <c r="DP47" i="1"/>
  <c r="DL47" i="1"/>
  <c r="DH47" i="1"/>
  <c r="DD47" i="1"/>
  <c r="CZ47" i="1"/>
  <c r="CV47" i="1"/>
  <c r="CR47" i="1"/>
  <c r="CN47" i="1"/>
  <c r="CJ47" i="1"/>
  <c r="CF47" i="1"/>
  <c r="CB47" i="1"/>
  <c r="BX47" i="1"/>
  <c r="BT47" i="1"/>
  <c r="BP47" i="1"/>
  <c r="BL47" i="1"/>
  <c r="BG47" i="1"/>
  <c r="BH47" i="1" s="1"/>
  <c r="BF47" i="1"/>
  <c r="BE47" i="1"/>
  <c r="BD47" i="1"/>
  <c r="AZ47" i="1"/>
  <c r="AV47" i="1"/>
  <c r="AR47" i="1"/>
  <c r="AN47" i="1"/>
  <c r="AJ47" i="1"/>
  <c r="EB46" i="1"/>
  <c r="DX46" i="1"/>
  <c r="DT46" i="1"/>
  <c r="DP46" i="1"/>
  <c r="DL46" i="1"/>
  <c r="DH46" i="1"/>
  <c r="DD46" i="1"/>
  <c r="CZ46" i="1"/>
  <c r="CV46" i="1"/>
  <c r="CR46" i="1"/>
  <c r="CN46" i="1"/>
  <c r="CJ46" i="1"/>
  <c r="CF46" i="1"/>
  <c r="CB46" i="1"/>
  <c r="BX46" i="1"/>
  <c r="BT46" i="1"/>
  <c r="BP46" i="1"/>
  <c r="BL46" i="1"/>
  <c r="BG46" i="1"/>
  <c r="EG46" i="1" s="1"/>
  <c r="BF46" i="1"/>
  <c r="EF46" i="1" s="1"/>
  <c r="BE46" i="1"/>
  <c r="BD46" i="1"/>
  <c r="AZ46" i="1"/>
  <c r="AV46" i="1"/>
  <c r="AR46" i="1"/>
  <c r="AN46" i="1"/>
  <c r="AJ46" i="1"/>
  <c r="EG45" i="1"/>
  <c r="EF45" i="1"/>
  <c r="EB45" i="1"/>
  <c r="DX45" i="1"/>
  <c r="DT45" i="1"/>
  <c r="DP45" i="1"/>
  <c r="DL45" i="1"/>
  <c r="DH45" i="1"/>
  <c r="DD45" i="1"/>
  <c r="CZ45" i="1"/>
  <c r="CS45" i="1"/>
  <c r="EE45" i="1" s="1"/>
  <c r="CR45" i="1"/>
  <c r="CN45" i="1"/>
  <c r="CJ45" i="1"/>
  <c r="CF45" i="1"/>
  <c r="CB45" i="1"/>
  <c r="BX45" i="1"/>
  <c r="BT45" i="1"/>
  <c r="BP45" i="1"/>
  <c r="BL45" i="1"/>
  <c r="BH45" i="1"/>
  <c r="BD45" i="1"/>
  <c r="AZ45" i="1"/>
  <c r="AV45" i="1"/>
  <c r="AR45" i="1"/>
  <c r="AN45" i="1"/>
  <c r="AJ45" i="1"/>
  <c r="EE44" i="1"/>
  <c r="EB44" i="1"/>
  <c r="DX44" i="1"/>
  <c r="DT44" i="1"/>
  <c r="DP44" i="1"/>
  <c r="DL44" i="1"/>
  <c r="DH44" i="1"/>
  <c r="DD44" i="1"/>
  <c r="CZ44" i="1"/>
  <c r="CV44" i="1"/>
  <c r="CR44" i="1"/>
  <c r="CN44" i="1"/>
  <c r="CJ44" i="1"/>
  <c r="CF44" i="1"/>
  <c r="CB44" i="1"/>
  <c r="BX44" i="1"/>
  <c r="BT44" i="1"/>
  <c r="BP44" i="1"/>
  <c r="BL44" i="1"/>
  <c r="BG44" i="1"/>
  <c r="EG44" i="1" s="1"/>
  <c r="BF44" i="1"/>
  <c r="BE44" i="1"/>
  <c r="BD44" i="1"/>
  <c r="AZ44" i="1"/>
  <c r="AV44" i="1"/>
  <c r="AR44" i="1"/>
  <c r="AN44" i="1"/>
  <c r="AJ44" i="1"/>
  <c r="EG43" i="1"/>
  <c r="EF43" i="1"/>
  <c r="EE43" i="1"/>
  <c r="EB43" i="1"/>
  <c r="DX43" i="1"/>
  <c r="DT43" i="1"/>
  <c r="DP43" i="1"/>
  <c r="DL43" i="1"/>
  <c r="DH43" i="1"/>
  <c r="DD43" i="1"/>
  <c r="CZ43" i="1"/>
  <c r="CW43" i="1"/>
  <c r="CV43" i="1"/>
  <c r="CR43" i="1"/>
  <c r="CN43" i="1"/>
  <c r="CJ43" i="1"/>
  <c r="CF43" i="1"/>
  <c r="CB43" i="1"/>
  <c r="BX43" i="1"/>
  <c r="BT43" i="1"/>
  <c r="BP43" i="1"/>
  <c r="BL43" i="1"/>
  <c r="BH43" i="1"/>
  <c r="BD43" i="1"/>
  <c r="AZ43" i="1"/>
  <c r="AV43" i="1"/>
  <c r="AR43" i="1"/>
  <c r="AN43" i="1"/>
  <c r="AJ43" i="1"/>
  <c r="EG42" i="1"/>
  <c r="EE42" i="1"/>
  <c r="EB42" i="1"/>
  <c r="DX42" i="1"/>
  <c r="DT42" i="1"/>
  <c r="DP42" i="1"/>
  <c r="DL42" i="1"/>
  <c r="DH42" i="1"/>
  <c r="DD42" i="1"/>
  <c r="CZ42" i="1"/>
  <c r="CV42" i="1"/>
  <c r="CR42" i="1"/>
  <c r="CN42" i="1"/>
  <c r="CJ42" i="1"/>
  <c r="CF42" i="1"/>
  <c r="CB42" i="1"/>
  <c r="BX42" i="1"/>
  <c r="BT42" i="1"/>
  <c r="BP42" i="1"/>
  <c r="BL42" i="1"/>
  <c r="BG42" i="1"/>
  <c r="BF42" i="1"/>
  <c r="BE42" i="1"/>
  <c r="BD42" i="1"/>
  <c r="AZ42" i="1"/>
  <c r="AV42" i="1"/>
  <c r="AR42" i="1"/>
  <c r="AN42" i="1"/>
  <c r="AJ42" i="1"/>
  <c r="EE41" i="1"/>
  <c r="EB41" i="1"/>
  <c r="DX41" i="1"/>
  <c r="DT41" i="1"/>
  <c r="DP41" i="1"/>
  <c r="DL41" i="1"/>
  <c r="DH41" i="1"/>
  <c r="DD41" i="1"/>
  <c r="CZ41" i="1"/>
  <c r="CV41" i="1"/>
  <c r="CR41" i="1"/>
  <c r="CN41" i="1"/>
  <c r="CJ41" i="1"/>
  <c r="CF41" i="1"/>
  <c r="CB41" i="1"/>
  <c r="BX41" i="1"/>
  <c r="BT41" i="1"/>
  <c r="BP41" i="1"/>
  <c r="BL41" i="1"/>
  <c r="BG41" i="1"/>
  <c r="EG41" i="1" s="1"/>
  <c r="BF41" i="1"/>
  <c r="EF41" i="1" s="1"/>
  <c r="BE41" i="1"/>
  <c r="BH41" i="1" s="1"/>
  <c r="BD41" i="1"/>
  <c r="AZ41" i="1"/>
  <c r="AV41" i="1"/>
  <c r="AR41" i="1"/>
  <c r="AN41" i="1"/>
  <c r="AJ41" i="1"/>
  <c r="EG40" i="1"/>
  <c r="EF40" i="1"/>
  <c r="EB40" i="1"/>
  <c r="DX40" i="1"/>
  <c r="DT40" i="1"/>
  <c r="DP40" i="1"/>
  <c r="DL40" i="1"/>
  <c r="DH40" i="1"/>
  <c r="DA40" i="1"/>
  <c r="EE40" i="1" s="1"/>
  <c r="CZ40" i="1"/>
  <c r="CV40" i="1"/>
  <c r="CR40" i="1"/>
  <c r="CN40" i="1"/>
  <c r="CJ40" i="1"/>
  <c r="CF40" i="1"/>
  <c r="CB40" i="1"/>
  <c r="BX40" i="1"/>
  <c r="BT40" i="1"/>
  <c r="BP40" i="1"/>
  <c r="BL40" i="1"/>
  <c r="BH40" i="1"/>
  <c r="BD40" i="1"/>
  <c r="AZ40" i="1"/>
  <c r="AV40" i="1"/>
  <c r="AR40" i="1"/>
  <c r="AN40" i="1"/>
  <c r="AJ40" i="1"/>
  <c r="EG39" i="1"/>
  <c r="EF39" i="1"/>
  <c r="EB39" i="1"/>
  <c r="DX39" i="1"/>
  <c r="DT39" i="1"/>
  <c r="DM39" i="1"/>
  <c r="EE39" i="1" s="1"/>
  <c r="DL39" i="1"/>
  <c r="DH39" i="1"/>
  <c r="DD39" i="1"/>
  <c r="CZ39" i="1"/>
  <c r="CV39" i="1"/>
  <c r="CR39" i="1"/>
  <c r="CN39" i="1"/>
  <c r="CJ39" i="1"/>
  <c r="CF39" i="1"/>
  <c r="CB39" i="1"/>
  <c r="BX39" i="1"/>
  <c r="BT39" i="1"/>
  <c r="BP39" i="1"/>
  <c r="BL39" i="1"/>
  <c r="BH39" i="1"/>
  <c r="BD39" i="1"/>
  <c r="AZ39" i="1"/>
  <c r="AV39" i="1"/>
  <c r="AR39" i="1"/>
  <c r="AN39" i="1"/>
  <c r="AJ39" i="1"/>
  <c r="EG38" i="1"/>
  <c r="EF38" i="1"/>
  <c r="EB38" i="1"/>
  <c r="DX38" i="1"/>
  <c r="DT38" i="1"/>
  <c r="DP38" i="1"/>
  <c r="DL38" i="1"/>
  <c r="DH38" i="1"/>
  <c r="DD38" i="1"/>
  <c r="CW38" i="1"/>
  <c r="CV38" i="1"/>
  <c r="CR38" i="1"/>
  <c r="CN38" i="1"/>
  <c r="CJ38" i="1"/>
  <c r="CF38" i="1"/>
  <c r="CB38" i="1"/>
  <c r="BX38" i="1"/>
  <c r="BT38" i="1"/>
  <c r="BP38" i="1"/>
  <c r="BL38" i="1"/>
  <c r="BH38" i="1"/>
  <c r="BD38" i="1"/>
  <c r="AZ38" i="1"/>
  <c r="AV38" i="1"/>
  <c r="AR38" i="1"/>
  <c r="AN38" i="1"/>
  <c r="AJ38" i="1"/>
  <c r="EE37" i="1"/>
  <c r="EB37" i="1"/>
  <c r="DX37" i="1"/>
  <c r="DT37" i="1"/>
  <c r="DP37" i="1"/>
  <c r="DL37" i="1"/>
  <c r="DH37" i="1"/>
  <c r="DD37" i="1"/>
  <c r="CZ37" i="1"/>
  <c r="CV37" i="1"/>
  <c r="CR37" i="1"/>
  <c r="CN37" i="1"/>
  <c r="CJ37" i="1"/>
  <c r="CF37" i="1"/>
  <c r="CB37" i="1"/>
  <c r="BX37" i="1"/>
  <c r="BT37" i="1"/>
  <c r="BP37" i="1"/>
  <c r="BL37" i="1"/>
  <c r="BH37" i="1"/>
  <c r="BG37" i="1"/>
  <c r="EG37" i="1" s="1"/>
  <c r="BF37" i="1"/>
  <c r="EF37" i="1" s="1"/>
  <c r="BE37" i="1"/>
  <c r="BD37" i="1"/>
  <c r="AZ37" i="1"/>
  <c r="AV37" i="1"/>
  <c r="AR37" i="1"/>
  <c r="AN37" i="1"/>
  <c r="AJ37" i="1"/>
  <c r="EC37" i="1" s="1"/>
  <c r="ED37" i="1" s="1"/>
  <c r="EG36" i="1"/>
  <c r="EB36" i="1"/>
  <c r="DX36" i="1"/>
  <c r="DT36" i="1"/>
  <c r="DP36" i="1"/>
  <c r="DL36" i="1"/>
  <c r="DH36" i="1"/>
  <c r="DD36" i="1"/>
  <c r="CZ36" i="1"/>
  <c r="CV36" i="1"/>
  <c r="CR36" i="1"/>
  <c r="CN36" i="1"/>
  <c r="CJ36" i="1"/>
  <c r="CF36" i="1"/>
  <c r="CB36" i="1"/>
  <c r="BX36" i="1"/>
  <c r="BT36" i="1"/>
  <c r="BP36" i="1"/>
  <c r="BL36" i="1"/>
  <c r="BG36" i="1"/>
  <c r="BF36" i="1"/>
  <c r="EF36" i="1" s="1"/>
  <c r="BE36" i="1"/>
  <c r="BD36" i="1"/>
  <c r="AZ36" i="1"/>
  <c r="AV36" i="1"/>
  <c r="AR36" i="1"/>
  <c r="AN36" i="1"/>
  <c r="AJ36" i="1"/>
  <c r="EF35" i="1"/>
  <c r="EB35" i="1"/>
  <c r="DX35" i="1"/>
  <c r="DT35" i="1"/>
  <c r="DP35" i="1"/>
  <c r="DL35" i="1"/>
  <c r="DH35" i="1"/>
  <c r="DD35" i="1"/>
  <c r="CZ35" i="1"/>
  <c r="CV35" i="1"/>
  <c r="CR35" i="1"/>
  <c r="CN35" i="1"/>
  <c r="CJ35" i="1"/>
  <c r="CF35" i="1"/>
  <c r="CB35" i="1"/>
  <c r="BX35" i="1"/>
  <c r="BT35" i="1"/>
  <c r="BP35" i="1"/>
  <c r="BL35" i="1"/>
  <c r="BG35" i="1"/>
  <c r="BH35" i="1" s="1"/>
  <c r="BF35" i="1"/>
  <c r="BE35" i="1"/>
  <c r="EE35" i="1" s="1"/>
  <c r="BD35" i="1"/>
  <c r="AZ35" i="1"/>
  <c r="AV35" i="1"/>
  <c r="AR35" i="1"/>
  <c r="AN35" i="1"/>
  <c r="AJ35" i="1"/>
  <c r="EG34" i="1"/>
  <c r="EF34" i="1"/>
  <c r="EE34" i="1"/>
  <c r="EB34" i="1"/>
  <c r="DX34" i="1"/>
  <c r="DT34" i="1"/>
  <c r="DP34" i="1"/>
  <c r="DL34" i="1"/>
  <c r="DH34" i="1"/>
  <c r="DD34" i="1"/>
  <c r="CW34" i="1"/>
  <c r="CZ34" i="1" s="1"/>
  <c r="CV34" i="1"/>
  <c r="CR34" i="1"/>
  <c r="CN34" i="1"/>
  <c r="CJ34" i="1"/>
  <c r="CF34" i="1"/>
  <c r="CB34" i="1"/>
  <c r="BX34" i="1"/>
  <c r="BT34" i="1"/>
  <c r="BP34" i="1"/>
  <c r="BL34" i="1"/>
  <c r="BH34" i="1"/>
  <c r="BD34" i="1"/>
  <c r="AZ34" i="1"/>
  <c r="AV34" i="1"/>
  <c r="AR34" i="1"/>
  <c r="AN34" i="1"/>
  <c r="AJ34" i="1"/>
  <c r="EF33" i="1"/>
  <c r="EB33" i="1"/>
  <c r="DX33" i="1"/>
  <c r="DT33" i="1"/>
  <c r="DP33" i="1"/>
  <c r="DL33" i="1"/>
  <c r="DH33" i="1"/>
  <c r="DD33" i="1"/>
  <c r="CZ33" i="1"/>
  <c r="CV33" i="1"/>
  <c r="CR33" i="1"/>
  <c r="CN33" i="1"/>
  <c r="CJ33" i="1"/>
  <c r="CF33" i="1"/>
  <c r="CB33" i="1"/>
  <c r="BX33" i="1"/>
  <c r="BT33" i="1"/>
  <c r="BP33" i="1"/>
  <c r="BL33" i="1"/>
  <c r="BG33" i="1"/>
  <c r="EG33" i="1" s="1"/>
  <c r="BF33" i="1"/>
  <c r="BE33" i="1"/>
  <c r="BD33" i="1"/>
  <c r="AZ33" i="1"/>
  <c r="AV33" i="1"/>
  <c r="AR33" i="1"/>
  <c r="AN33" i="1"/>
  <c r="AJ33" i="1"/>
  <c r="EG32" i="1"/>
  <c r="EF32" i="1"/>
  <c r="EB32" i="1"/>
  <c r="DX32" i="1"/>
  <c r="DT32" i="1"/>
  <c r="DP32" i="1"/>
  <c r="DL32" i="1"/>
  <c r="DH32" i="1"/>
  <c r="DD32" i="1"/>
  <c r="CW32" i="1"/>
  <c r="CV32" i="1"/>
  <c r="CR32" i="1"/>
  <c r="CN32" i="1"/>
  <c r="CJ32" i="1"/>
  <c r="CF32" i="1"/>
  <c r="CB32" i="1"/>
  <c r="BX32" i="1"/>
  <c r="BT32" i="1"/>
  <c r="BP32" i="1"/>
  <c r="BL32" i="1"/>
  <c r="BH32" i="1"/>
  <c r="BD32" i="1"/>
  <c r="AZ32" i="1"/>
  <c r="AV32" i="1"/>
  <c r="AR32" i="1"/>
  <c r="AN32" i="1"/>
  <c r="AJ32" i="1"/>
  <c r="EF30" i="1"/>
  <c r="EB30" i="1"/>
  <c r="DX30" i="1"/>
  <c r="DT30" i="1"/>
  <c r="DP30" i="1"/>
  <c r="DL30" i="1"/>
  <c r="DH30" i="1"/>
  <c r="DD30" i="1"/>
  <c r="CZ30" i="1"/>
  <c r="CV30" i="1"/>
  <c r="CR30" i="1"/>
  <c r="CN30" i="1"/>
  <c r="CJ30" i="1"/>
  <c r="CF30" i="1"/>
  <c r="CB30" i="1"/>
  <c r="BX30" i="1"/>
  <c r="BT30" i="1"/>
  <c r="BP30" i="1"/>
  <c r="BL30" i="1"/>
  <c r="BG30" i="1"/>
  <c r="EG30" i="1" s="1"/>
  <c r="BF30" i="1"/>
  <c r="BE30" i="1"/>
  <c r="EE30" i="1" s="1"/>
  <c r="BD30" i="1"/>
  <c r="AZ30" i="1"/>
  <c r="AV30" i="1"/>
  <c r="AR30" i="1"/>
  <c r="AN30" i="1"/>
  <c r="AJ30" i="1"/>
  <c r="EF29" i="1"/>
  <c r="EB29" i="1"/>
  <c r="DX29" i="1"/>
  <c r="DT29" i="1"/>
  <c r="DP29" i="1"/>
  <c r="DL29" i="1"/>
  <c r="DH29" i="1"/>
  <c r="DD29" i="1"/>
  <c r="CZ29" i="1"/>
  <c r="CV29" i="1"/>
  <c r="CR29" i="1"/>
  <c r="CN29" i="1"/>
  <c r="CJ29" i="1"/>
  <c r="CF29" i="1"/>
  <c r="CB29" i="1"/>
  <c r="BX29" i="1"/>
  <c r="BT29" i="1"/>
  <c r="BP29" i="1"/>
  <c r="BL29" i="1"/>
  <c r="BG29" i="1"/>
  <c r="EG29" i="1" s="1"/>
  <c r="BF29" i="1"/>
  <c r="BE29" i="1"/>
  <c r="BD29" i="1"/>
  <c r="AZ29" i="1"/>
  <c r="AV29" i="1"/>
  <c r="AR29" i="1"/>
  <c r="AN29" i="1"/>
  <c r="AJ29" i="1"/>
  <c r="EE28" i="1"/>
  <c r="EB28" i="1"/>
  <c r="DX28" i="1"/>
  <c r="DT28" i="1"/>
  <c r="DP28" i="1"/>
  <c r="DL28" i="1"/>
  <c r="DH28" i="1"/>
  <c r="DD28" i="1"/>
  <c r="CZ28" i="1"/>
  <c r="CV28" i="1"/>
  <c r="CR28" i="1"/>
  <c r="CN28" i="1"/>
  <c r="CJ28" i="1"/>
  <c r="CF28" i="1"/>
  <c r="CB28" i="1"/>
  <c r="BX28" i="1"/>
  <c r="BT28" i="1"/>
  <c r="BP28" i="1"/>
  <c r="BL28" i="1"/>
  <c r="BH28" i="1"/>
  <c r="BG28" i="1"/>
  <c r="EG28" i="1" s="1"/>
  <c r="BF28" i="1"/>
  <c r="EF28" i="1" s="1"/>
  <c r="BE28" i="1"/>
  <c r="BD28" i="1"/>
  <c r="AZ28" i="1"/>
  <c r="AV28" i="1"/>
  <c r="AR28" i="1"/>
  <c r="AN28" i="1"/>
  <c r="AJ28" i="1"/>
  <c r="EG27" i="1"/>
  <c r="EE27" i="1"/>
  <c r="EB27" i="1"/>
  <c r="DX27" i="1"/>
  <c r="DT27" i="1"/>
  <c r="DP27" i="1"/>
  <c r="DL27" i="1"/>
  <c r="DH27" i="1"/>
  <c r="DD27" i="1"/>
  <c r="CZ27" i="1"/>
  <c r="CV27" i="1"/>
  <c r="CR27" i="1"/>
  <c r="CN27" i="1"/>
  <c r="CJ27" i="1"/>
  <c r="CF27" i="1"/>
  <c r="CB27" i="1"/>
  <c r="BX27" i="1"/>
  <c r="BT27" i="1"/>
  <c r="BP27" i="1"/>
  <c r="BL27" i="1"/>
  <c r="BG27" i="1"/>
  <c r="BF27" i="1"/>
  <c r="EF27" i="1" s="1"/>
  <c r="BE27" i="1"/>
  <c r="BD27" i="1"/>
  <c r="AZ27" i="1"/>
  <c r="AV27" i="1"/>
  <c r="AR27" i="1"/>
  <c r="AN27" i="1"/>
  <c r="AJ27" i="1"/>
  <c r="EG26" i="1"/>
  <c r="EB26" i="1"/>
  <c r="DX26" i="1"/>
  <c r="DT26" i="1"/>
  <c r="DP26" i="1"/>
  <c r="DL26" i="1"/>
  <c r="DH26" i="1"/>
  <c r="DD26" i="1"/>
  <c r="CZ26" i="1"/>
  <c r="CV26" i="1"/>
  <c r="CR26" i="1"/>
  <c r="CN26" i="1"/>
  <c r="CJ26" i="1"/>
  <c r="CF26" i="1"/>
  <c r="CB26" i="1"/>
  <c r="BX26" i="1"/>
  <c r="BT26" i="1"/>
  <c r="BP26" i="1"/>
  <c r="BL26" i="1"/>
  <c r="BG26" i="1"/>
  <c r="BF26" i="1"/>
  <c r="EF26" i="1" s="1"/>
  <c r="BE26" i="1"/>
  <c r="BD26" i="1"/>
  <c r="AZ26" i="1"/>
  <c r="AV26" i="1"/>
  <c r="AR26" i="1"/>
  <c r="AN26" i="1"/>
  <c r="AJ26" i="1"/>
  <c r="EF25" i="1"/>
  <c r="EE25" i="1"/>
  <c r="EB25" i="1"/>
  <c r="DX25" i="1"/>
  <c r="DT25" i="1"/>
  <c r="DP25" i="1"/>
  <c r="DL25" i="1"/>
  <c r="DH25" i="1"/>
  <c r="DD25" i="1"/>
  <c r="CZ25" i="1"/>
  <c r="CV25" i="1"/>
  <c r="CR25" i="1"/>
  <c r="CN25" i="1"/>
  <c r="CJ25" i="1"/>
  <c r="CF25" i="1"/>
  <c r="CB25" i="1"/>
  <c r="BX25" i="1"/>
  <c r="BT25" i="1"/>
  <c r="BP25" i="1"/>
  <c r="BL25" i="1"/>
  <c r="BH25" i="1"/>
  <c r="BG25" i="1"/>
  <c r="EG25" i="1" s="1"/>
  <c r="BF25" i="1"/>
  <c r="BE25" i="1"/>
  <c r="BD25" i="1"/>
  <c r="AZ25" i="1"/>
  <c r="AV25" i="1"/>
  <c r="AR25" i="1"/>
  <c r="AN25" i="1"/>
  <c r="AJ25" i="1"/>
  <c r="EC25" i="1" s="1"/>
  <c r="ED25" i="1" s="1"/>
  <c r="EF24" i="1"/>
  <c r="EE24" i="1"/>
  <c r="EB24" i="1"/>
  <c r="DX24" i="1"/>
  <c r="DT24" i="1"/>
  <c r="DP24" i="1"/>
  <c r="DL24" i="1"/>
  <c r="DH24" i="1"/>
  <c r="DD24" i="1"/>
  <c r="CZ24" i="1"/>
  <c r="CV24" i="1"/>
  <c r="CR24" i="1"/>
  <c r="CN24" i="1"/>
  <c r="CJ24" i="1"/>
  <c r="CF24" i="1"/>
  <c r="CB24" i="1"/>
  <c r="BX24" i="1"/>
  <c r="BT24" i="1"/>
  <c r="BP24" i="1"/>
  <c r="BL24" i="1"/>
  <c r="BG24" i="1"/>
  <c r="BF24" i="1"/>
  <c r="BE24" i="1"/>
  <c r="BD24" i="1"/>
  <c r="AZ24" i="1"/>
  <c r="AV24" i="1"/>
  <c r="AR24" i="1"/>
  <c r="AN24" i="1"/>
  <c r="AJ24" i="1"/>
  <c r="EG23" i="1"/>
  <c r="EF23" i="1"/>
  <c r="EB23" i="1"/>
  <c r="DX23" i="1"/>
  <c r="DT23" i="1"/>
  <c r="DP23" i="1"/>
  <c r="DL23" i="1"/>
  <c r="DH23" i="1"/>
  <c r="DD23" i="1"/>
  <c r="CW23" i="1"/>
  <c r="CZ23" i="1" s="1"/>
  <c r="CV23" i="1"/>
  <c r="CR23" i="1"/>
  <c r="CN23" i="1"/>
  <c r="CJ23" i="1"/>
  <c r="CF23" i="1"/>
  <c r="CB23" i="1"/>
  <c r="BX23" i="1"/>
  <c r="BT23" i="1"/>
  <c r="BP23" i="1"/>
  <c r="BL23" i="1"/>
  <c r="BH23" i="1"/>
  <c r="BD23" i="1"/>
  <c r="AZ23" i="1"/>
  <c r="AV23" i="1"/>
  <c r="AR23" i="1"/>
  <c r="AN23" i="1"/>
  <c r="AJ23" i="1"/>
  <c r="EG22" i="1"/>
  <c r="EF22" i="1"/>
  <c r="EE22" i="1"/>
  <c r="EB22" i="1"/>
  <c r="DX22" i="1"/>
  <c r="DT22" i="1"/>
  <c r="DP22" i="1"/>
  <c r="DL22" i="1"/>
  <c r="DH22" i="1"/>
  <c r="DD22" i="1"/>
  <c r="CZ22" i="1"/>
  <c r="CV22" i="1"/>
  <c r="CR22" i="1"/>
  <c r="CN22" i="1"/>
  <c r="CJ22" i="1"/>
  <c r="CF22" i="1"/>
  <c r="BY22" i="1"/>
  <c r="CB22" i="1" s="1"/>
  <c r="BX22" i="1"/>
  <c r="BT22" i="1"/>
  <c r="BP22" i="1"/>
  <c r="BL22" i="1"/>
  <c r="BH22" i="1"/>
  <c r="BD22" i="1"/>
  <c r="AZ22" i="1"/>
  <c r="AV22" i="1"/>
  <c r="AR22" i="1"/>
  <c r="AN22" i="1"/>
  <c r="AJ22" i="1"/>
  <c r="EG21" i="1"/>
  <c r="EF21" i="1"/>
  <c r="EB21" i="1"/>
  <c r="DX21" i="1"/>
  <c r="DT21" i="1"/>
  <c r="DP21" i="1"/>
  <c r="DL21" i="1"/>
  <c r="DH21" i="1"/>
  <c r="DD21" i="1"/>
  <c r="CW21" i="1"/>
  <c r="CV21" i="1"/>
  <c r="CR21" i="1"/>
  <c r="CN21" i="1"/>
  <c r="CJ21" i="1"/>
  <c r="CF21" i="1"/>
  <c r="CB21" i="1"/>
  <c r="BX21" i="1"/>
  <c r="BT21" i="1"/>
  <c r="BP21" i="1"/>
  <c r="BL21" i="1"/>
  <c r="BH21" i="1"/>
  <c r="BD21" i="1"/>
  <c r="AZ21" i="1"/>
  <c r="AV21" i="1"/>
  <c r="AR21" i="1"/>
  <c r="AN21" i="1"/>
  <c r="AJ21" i="1"/>
  <c r="EE20" i="1"/>
  <c r="EB20" i="1"/>
  <c r="DX20" i="1"/>
  <c r="DT20" i="1"/>
  <c r="DP20" i="1"/>
  <c r="DL20" i="1"/>
  <c r="DH20" i="1"/>
  <c r="DD20" i="1"/>
  <c r="CZ20" i="1"/>
  <c r="CV20" i="1"/>
  <c r="CR20" i="1"/>
  <c r="CN20" i="1"/>
  <c r="CJ20" i="1"/>
  <c r="CF20" i="1"/>
  <c r="CB20" i="1"/>
  <c r="BX20" i="1"/>
  <c r="BT20" i="1"/>
  <c r="BP20" i="1"/>
  <c r="BL20" i="1"/>
  <c r="BG20" i="1"/>
  <c r="EG20" i="1" s="1"/>
  <c r="BF20" i="1"/>
  <c r="EF20" i="1" s="1"/>
  <c r="BE20" i="1"/>
  <c r="BD20" i="1"/>
  <c r="AZ20" i="1"/>
  <c r="AV20" i="1"/>
  <c r="AR20" i="1"/>
  <c r="AN20" i="1"/>
  <c r="AJ20" i="1"/>
  <c r="EG19" i="1"/>
  <c r="EF19" i="1"/>
  <c r="EE19" i="1"/>
  <c r="EB19" i="1"/>
  <c r="DX19" i="1"/>
  <c r="DT19" i="1"/>
  <c r="DP19" i="1"/>
  <c r="DL19" i="1"/>
  <c r="DH19" i="1"/>
  <c r="DD19" i="1"/>
  <c r="DA19" i="1"/>
  <c r="CZ19" i="1"/>
  <c r="CV19" i="1"/>
  <c r="CR19" i="1"/>
  <c r="CN19" i="1"/>
  <c r="CJ19" i="1"/>
  <c r="CF19" i="1"/>
  <c r="CB19" i="1"/>
  <c r="BX19" i="1"/>
  <c r="BT19" i="1"/>
  <c r="BP19" i="1"/>
  <c r="BL19" i="1"/>
  <c r="BH19" i="1"/>
  <c r="BD19" i="1"/>
  <c r="AZ19" i="1"/>
  <c r="AV19" i="1"/>
  <c r="AR19" i="1"/>
  <c r="AN19" i="1"/>
  <c r="AJ19" i="1"/>
  <c r="EG18" i="1"/>
  <c r="EF18" i="1"/>
  <c r="EB18" i="1"/>
  <c r="DX18" i="1"/>
  <c r="DT18" i="1"/>
  <c r="DP18" i="1"/>
  <c r="DL18" i="1"/>
  <c r="DH18" i="1"/>
  <c r="DD18" i="1"/>
  <c r="CW18" i="1"/>
  <c r="CZ18" i="1" s="1"/>
  <c r="CV18" i="1"/>
  <c r="CR18" i="1"/>
  <c r="CN18" i="1"/>
  <c r="CJ18" i="1"/>
  <c r="CF18" i="1"/>
  <c r="CB18" i="1"/>
  <c r="BX18" i="1"/>
  <c r="BT18" i="1"/>
  <c r="BP18" i="1"/>
  <c r="BL18" i="1"/>
  <c r="BH18" i="1"/>
  <c r="BD18" i="1"/>
  <c r="AZ18" i="1"/>
  <c r="AV18" i="1"/>
  <c r="AR18" i="1"/>
  <c r="AN18" i="1"/>
  <c r="AJ18" i="1"/>
  <c r="EG17" i="1"/>
  <c r="EF17" i="1"/>
  <c r="EB17" i="1"/>
  <c r="DX17" i="1"/>
  <c r="DT17" i="1"/>
  <c r="DP17" i="1"/>
  <c r="DL17" i="1"/>
  <c r="DH17" i="1"/>
  <c r="DD17" i="1"/>
  <c r="CW17" i="1"/>
  <c r="CV17" i="1"/>
  <c r="CR17" i="1"/>
  <c r="CN17" i="1"/>
  <c r="CJ17" i="1"/>
  <c r="CF17" i="1"/>
  <c r="CB17" i="1"/>
  <c r="BX17" i="1"/>
  <c r="BT17" i="1"/>
  <c r="BP17" i="1"/>
  <c r="BL17" i="1"/>
  <c r="BH17" i="1"/>
  <c r="BD17" i="1"/>
  <c r="AZ17" i="1"/>
  <c r="AV17" i="1"/>
  <c r="AR17" i="1"/>
  <c r="AN17" i="1"/>
  <c r="AJ17" i="1"/>
  <c r="EE16" i="1"/>
  <c r="EB16" i="1"/>
  <c r="DX16" i="1"/>
  <c r="DT16" i="1"/>
  <c r="DP16" i="1"/>
  <c r="DL16" i="1"/>
  <c r="DH16" i="1"/>
  <c r="DD16" i="1"/>
  <c r="CZ16" i="1"/>
  <c r="CV16" i="1"/>
  <c r="CR16" i="1"/>
  <c r="CN16" i="1"/>
  <c r="CJ16" i="1"/>
  <c r="CF16" i="1"/>
  <c r="CB16" i="1"/>
  <c r="BX16" i="1"/>
  <c r="BT16" i="1"/>
  <c r="BP16" i="1"/>
  <c r="BL16" i="1"/>
  <c r="BG16" i="1"/>
  <c r="EG16" i="1" s="1"/>
  <c r="BF16" i="1"/>
  <c r="EF16" i="1" s="1"/>
  <c r="BE16" i="1"/>
  <c r="BD16" i="1"/>
  <c r="AZ16" i="1"/>
  <c r="AV16" i="1"/>
  <c r="AR16" i="1"/>
  <c r="AN16" i="1"/>
  <c r="AJ16" i="1"/>
  <c r="EG15" i="1"/>
  <c r="EF15" i="1"/>
  <c r="EE15" i="1"/>
  <c r="EB15" i="1"/>
  <c r="DX15" i="1"/>
  <c r="DT15" i="1"/>
  <c r="DP15" i="1"/>
  <c r="DL15" i="1"/>
  <c r="DH15" i="1"/>
  <c r="DD15" i="1"/>
  <c r="CZ15" i="1"/>
  <c r="CV15" i="1"/>
  <c r="CS15" i="1"/>
  <c r="CR15" i="1"/>
  <c r="CN15" i="1"/>
  <c r="CJ15" i="1"/>
  <c r="CF15" i="1"/>
  <c r="CB15" i="1"/>
  <c r="BX15" i="1"/>
  <c r="BT15" i="1"/>
  <c r="BP15" i="1"/>
  <c r="BL15" i="1"/>
  <c r="BH15" i="1"/>
  <c r="BD15" i="1"/>
  <c r="AZ15" i="1"/>
  <c r="AV15" i="1"/>
  <c r="AR15" i="1"/>
  <c r="AN15" i="1"/>
  <c r="AJ15" i="1"/>
  <c r="EG14" i="1"/>
  <c r="EF14" i="1"/>
  <c r="EE14" i="1"/>
  <c r="EC14" i="1"/>
  <c r="ED14" i="1" s="1"/>
  <c r="EB14" i="1"/>
  <c r="DX14" i="1"/>
  <c r="DT14" i="1"/>
  <c r="DP14" i="1"/>
  <c r="DL14" i="1"/>
  <c r="DH14" i="1"/>
  <c r="DD14" i="1"/>
  <c r="CW14" i="1"/>
  <c r="CZ14" i="1" s="1"/>
  <c r="CV14" i="1"/>
  <c r="CR14" i="1"/>
  <c r="CN14" i="1"/>
  <c r="CJ14" i="1"/>
  <c r="CF14" i="1"/>
  <c r="CB14" i="1"/>
  <c r="BX14" i="1"/>
  <c r="BT14" i="1"/>
  <c r="BP14" i="1"/>
  <c r="BL14" i="1"/>
  <c r="BH14" i="1"/>
  <c r="BD14" i="1"/>
  <c r="AZ14" i="1"/>
  <c r="AV14" i="1"/>
  <c r="AR14" i="1"/>
  <c r="AN14" i="1"/>
  <c r="AJ14" i="1"/>
  <c r="EG13" i="1"/>
  <c r="EF13" i="1"/>
  <c r="EE13" i="1"/>
  <c r="EB13" i="1"/>
  <c r="DX13" i="1"/>
  <c r="DT13" i="1"/>
  <c r="DP13" i="1"/>
  <c r="DL13" i="1"/>
  <c r="DH13" i="1"/>
  <c r="DD13" i="1"/>
  <c r="CZ13" i="1"/>
  <c r="CV13" i="1"/>
  <c r="CR13" i="1"/>
  <c r="CN13" i="1"/>
  <c r="CJ13" i="1"/>
  <c r="CF13" i="1"/>
  <c r="CB13" i="1"/>
  <c r="BX13" i="1"/>
  <c r="BT13" i="1"/>
  <c r="BP13" i="1"/>
  <c r="BL13" i="1"/>
  <c r="BH13" i="1"/>
  <c r="BG13" i="1"/>
  <c r="BF13" i="1"/>
  <c r="BE13" i="1"/>
  <c r="BD13" i="1"/>
  <c r="AZ13" i="1"/>
  <c r="AV13" i="1"/>
  <c r="AR13" i="1"/>
  <c r="AN13" i="1"/>
  <c r="AJ13" i="1"/>
  <c r="EG12" i="1"/>
  <c r="EF12" i="1"/>
  <c r="EE12" i="1"/>
  <c r="EB12" i="1"/>
  <c r="DX12" i="1"/>
  <c r="DT12" i="1"/>
  <c r="DP12" i="1"/>
  <c r="DL12" i="1"/>
  <c r="DH12" i="1"/>
  <c r="DD12" i="1"/>
  <c r="DA12" i="1"/>
  <c r="CZ12" i="1"/>
  <c r="CV12" i="1"/>
  <c r="CR12" i="1"/>
  <c r="CN12" i="1"/>
  <c r="CJ12" i="1"/>
  <c r="CF12" i="1"/>
  <c r="CB12" i="1"/>
  <c r="BX12" i="1"/>
  <c r="BT12" i="1"/>
  <c r="BP12" i="1"/>
  <c r="BL12" i="1"/>
  <c r="BH12" i="1"/>
  <c r="BD12" i="1"/>
  <c r="AZ12" i="1"/>
  <c r="AV12" i="1"/>
  <c r="AR12" i="1"/>
  <c r="AN12" i="1"/>
  <c r="EC12" i="1" s="1"/>
  <c r="ED12" i="1" s="1"/>
  <c r="AJ12" i="1"/>
  <c r="EG11" i="1"/>
  <c r="EB11" i="1"/>
  <c r="DX11" i="1"/>
  <c r="DT11" i="1"/>
  <c r="DP11" i="1"/>
  <c r="DL11" i="1"/>
  <c r="DH11" i="1"/>
  <c r="DD11" i="1"/>
  <c r="CZ11" i="1"/>
  <c r="CV11" i="1"/>
  <c r="CR11" i="1"/>
  <c r="CN11" i="1"/>
  <c r="CJ11" i="1"/>
  <c r="CF11" i="1"/>
  <c r="CB11" i="1"/>
  <c r="BX11" i="1"/>
  <c r="BT11" i="1"/>
  <c r="BP11" i="1"/>
  <c r="BL11" i="1"/>
  <c r="BG11" i="1"/>
  <c r="BF11" i="1"/>
  <c r="EF11" i="1" s="1"/>
  <c r="BE11" i="1"/>
  <c r="BD11" i="1"/>
  <c r="AZ11" i="1"/>
  <c r="AV11" i="1"/>
  <c r="AR11" i="1"/>
  <c r="AN11" i="1"/>
  <c r="AJ11" i="1"/>
  <c r="EB10" i="1"/>
  <c r="DX10" i="1"/>
  <c r="DT10" i="1"/>
  <c r="DP10" i="1"/>
  <c r="DL10" i="1"/>
  <c r="DH10" i="1"/>
  <c r="DD10" i="1"/>
  <c r="CZ10" i="1"/>
  <c r="CV10" i="1"/>
  <c r="CR10" i="1"/>
  <c r="CN10" i="1"/>
  <c r="CJ10" i="1"/>
  <c r="CF10" i="1"/>
  <c r="CB10" i="1"/>
  <c r="BX10" i="1"/>
  <c r="BT10" i="1"/>
  <c r="BP10" i="1"/>
  <c r="BL10" i="1"/>
  <c r="BG10" i="1"/>
  <c r="EG10" i="1" s="1"/>
  <c r="BF10" i="1"/>
  <c r="EF10" i="1" s="1"/>
  <c r="BE10" i="1"/>
  <c r="BH10" i="1" s="1"/>
  <c r="BD10" i="1"/>
  <c r="AZ10" i="1"/>
  <c r="AV10" i="1"/>
  <c r="AR10" i="1"/>
  <c r="AN10" i="1"/>
  <c r="AJ10" i="1"/>
  <c r="EG9" i="1"/>
  <c r="EF9" i="1"/>
  <c r="EE9" i="1"/>
  <c r="EB9" i="1"/>
  <c r="DX9" i="1"/>
  <c r="DT9" i="1"/>
  <c r="DP9" i="1"/>
  <c r="DL9" i="1"/>
  <c r="DH9" i="1"/>
  <c r="DD9" i="1"/>
  <c r="CZ9" i="1"/>
  <c r="CW9" i="1"/>
  <c r="CV9" i="1"/>
  <c r="CR9" i="1"/>
  <c r="CN9" i="1"/>
  <c r="CJ9" i="1"/>
  <c r="CF9" i="1"/>
  <c r="CB9" i="1"/>
  <c r="BX9" i="1"/>
  <c r="BT9" i="1"/>
  <c r="BP9" i="1"/>
  <c r="BL9" i="1"/>
  <c r="BH9" i="1"/>
  <c r="BD9" i="1"/>
  <c r="AZ9" i="1"/>
  <c r="AV9" i="1"/>
  <c r="AR9" i="1"/>
  <c r="AN9" i="1"/>
  <c r="AJ9" i="1"/>
  <c r="EC9" i="1" s="1"/>
  <c r="EA7" i="1"/>
  <c r="DZ7" i="1"/>
  <c r="DW7" i="1"/>
  <c r="DV7" i="1"/>
  <c r="DS7" i="1"/>
  <c r="DR7" i="1"/>
  <c r="DO7" i="1"/>
  <c r="DN7" i="1"/>
  <c r="DK7" i="1"/>
  <c r="DJ7" i="1"/>
  <c r="DG7" i="1"/>
  <c r="DF7" i="1"/>
  <c r="DC7" i="1"/>
  <c r="DB7" i="1"/>
  <c r="CY7" i="1"/>
  <c r="CX7" i="1"/>
  <c r="CU7" i="1"/>
  <c r="CT7" i="1"/>
  <c r="CQ7" i="1"/>
  <c r="CP7" i="1"/>
  <c r="CM7" i="1"/>
  <c r="CL7" i="1"/>
  <c r="CI7" i="1"/>
  <c r="CH7" i="1"/>
  <c r="CE7" i="1"/>
  <c r="CD7" i="1"/>
  <c r="CA7" i="1"/>
  <c r="BZ7" i="1"/>
  <c r="BW7" i="1"/>
  <c r="BV7" i="1"/>
  <c r="BS7" i="1"/>
  <c r="BR7" i="1"/>
  <c r="BO7" i="1"/>
  <c r="BN7" i="1"/>
  <c r="BK7" i="1"/>
  <c r="BJ7" i="1"/>
  <c r="BC7" i="1"/>
  <c r="BB7" i="1"/>
  <c r="AY7" i="1"/>
  <c r="AX7" i="1"/>
  <c r="AU7" i="1"/>
  <c r="AT7" i="1"/>
  <c r="AQ7" i="1"/>
  <c r="AP7" i="1"/>
  <c r="AM7" i="1"/>
  <c r="AL7" i="1"/>
  <c r="AI7" i="1"/>
  <c r="AH7" i="1"/>
  <c r="AB7" i="1"/>
  <c r="N7" i="1"/>
  <c r="M7" i="1"/>
  <c r="L7" i="1"/>
  <c r="K7" i="1"/>
  <c r="J7" i="1"/>
  <c r="AF4" i="1"/>
  <c r="DA61" i="1" s="1"/>
  <c r="DD61" i="1" s="1"/>
  <c r="AK1" i="1"/>
  <c r="AN1" i="1" s="1"/>
  <c r="EC53" i="1" l="1"/>
  <c r="ED53" i="1" s="1"/>
  <c r="EC33" i="1"/>
  <c r="ED33" i="1" s="1"/>
  <c r="EC54" i="1"/>
  <c r="ED54" i="1" s="1"/>
  <c r="ED9" i="1"/>
  <c r="EC24" i="1"/>
  <c r="ED24" i="1" s="1"/>
  <c r="EC30" i="1"/>
  <c r="ED30" i="1" s="1"/>
  <c r="BY1" i="1"/>
  <c r="CB1" i="1" s="1"/>
  <c r="DY1" i="1"/>
  <c r="EB1" i="1" s="1"/>
  <c r="AO31" i="1"/>
  <c r="DI31" i="1"/>
  <c r="BH36" i="1"/>
  <c r="EC36" i="1" s="1"/>
  <c r="ED36" i="1" s="1"/>
  <c r="EE36" i="1"/>
  <c r="EC41" i="1"/>
  <c r="ED41" i="1" s="1"/>
  <c r="EE46" i="1"/>
  <c r="BH46" i="1"/>
  <c r="EC46" i="1" s="1"/>
  <c r="ED46" i="1" s="1"/>
  <c r="DA51" i="1"/>
  <c r="DD51" i="1" s="1"/>
  <c r="CG52" i="1"/>
  <c r="CJ52" i="1" s="1"/>
  <c r="BM56" i="1"/>
  <c r="BP56" i="1" s="1"/>
  <c r="AW57" i="1"/>
  <c r="AZ57" i="1" s="1"/>
  <c r="CS61" i="1"/>
  <c r="CV61" i="1" s="1"/>
  <c r="CG62" i="1"/>
  <c r="CJ62" i="1" s="1"/>
  <c r="CC63" i="1"/>
  <c r="CF63" i="1" s="1"/>
  <c r="BY64" i="1"/>
  <c r="CB64" i="1" s="1"/>
  <c r="BY67" i="1"/>
  <c r="CB67" i="1" s="1"/>
  <c r="BU68" i="1"/>
  <c r="BX68" i="1" s="1"/>
  <c r="BG87" i="1"/>
  <c r="EG87" i="1" s="1"/>
  <c r="BY88" i="1"/>
  <c r="CB88" i="1" s="1"/>
  <c r="BG92" i="1"/>
  <c r="EG92" i="1" s="1"/>
  <c r="BE94" i="1"/>
  <c r="DQ114" i="1"/>
  <c r="DT114" i="1" s="1"/>
  <c r="DM123" i="1"/>
  <c r="DP123" i="1" s="1"/>
  <c r="EE53" i="1"/>
  <c r="BL53" i="1"/>
  <c r="CG1" i="1"/>
  <c r="CJ1" i="1" s="1"/>
  <c r="DM31" i="1"/>
  <c r="CK65" i="1"/>
  <c r="CN65" i="1" s="1"/>
  <c r="BU57" i="1"/>
  <c r="BX57" i="1" s="1"/>
  <c r="AK59" i="1"/>
  <c r="AN59" i="1" s="1"/>
  <c r="DI61" i="1"/>
  <c r="DL61" i="1" s="1"/>
  <c r="DA65" i="1"/>
  <c r="DD65" i="1" s="1"/>
  <c r="CS67" i="1"/>
  <c r="CV67" i="1" s="1"/>
  <c r="CW69" i="1"/>
  <c r="CZ69" i="1" s="1"/>
  <c r="DU88" i="1"/>
  <c r="DX88" i="1" s="1"/>
  <c r="DY94" i="1"/>
  <c r="EB94" i="1" s="1"/>
  <c r="AW100" i="1"/>
  <c r="AZ100" i="1" s="1"/>
  <c r="AS107" i="1"/>
  <c r="AV107" i="1" s="1"/>
  <c r="AS111" i="1"/>
  <c r="AV111" i="1" s="1"/>
  <c r="CS116" i="1"/>
  <c r="CV116" i="1" s="1"/>
  <c r="AS1" i="1"/>
  <c r="AV1" i="1" s="1"/>
  <c r="EC27" i="1"/>
  <c r="ED27" i="1" s="1"/>
  <c r="BH30" i="1"/>
  <c r="BM31" i="1"/>
  <c r="DY31" i="1"/>
  <c r="DD40" i="1"/>
  <c r="EC40" i="1" s="1"/>
  <c r="ED40" i="1" s="1"/>
  <c r="BI50" i="1"/>
  <c r="BL50" i="1" s="1"/>
  <c r="AW51" i="1"/>
  <c r="AZ51" i="1" s="1"/>
  <c r="DI52" i="1"/>
  <c r="DL52" i="1" s="1"/>
  <c r="AO59" i="1"/>
  <c r="AR59" i="1" s="1"/>
  <c r="DI64" i="1"/>
  <c r="DL64" i="1" s="1"/>
  <c r="DI65" i="1"/>
  <c r="DL65" i="1" s="1"/>
  <c r="DI66" i="1"/>
  <c r="DL66" i="1" s="1"/>
  <c r="DE68" i="1"/>
  <c r="DH68" i="1" s="1"/>
  <c r="AO84" i="1"/>
  <c r="AR84" i="1" s="1"/>
  <c r="BU86" i="1"/>
  <c r="BX86" i="1" s="1"/>
  <c r="CO87" i="1"/>
  <c r="CR87" i="1" s="1"/>
  <c r="DQ92" i="1"/>
  <c r="DT92" i="1" s="1"/>
  <c r="BA100" i="1"/>
  <c r="BD100" i="1" s="1"/>
  <c r="AS103" i="1"/>
  <c r="AV103" i="1" s="1"/>
  <c r="BG117" i="1"/>
  <c r="EG117" i="1" s="1"/>
  <c r="DA1" i="1"/>
  <c r="DD1" i="1" s="1"/>
  <c r="EE18" i="1"/>
  <c r="EG24" i="1"/>
  <c r="BH24" i="1"/>
  <c r="BQ31" i="1"/>
  <c r="DP39" i="1"/>
  <c r="EC39" i="1" s="1"/>
  <c r="ED39" i="1" s="1"/>
  <c r="DY52" i="1"/>
  <c r="EB52" i="1" s="1"/>
  <c r="CC57" i="1"/>
  <c r="CF57" i="1" s="1"/>
  <c r="AW59" i="1"/>
  <c r="AZ59" i="1" s="1"/>
  <c r="AG61" i="1"/>
  <c r="DU61" i="1"/>
  <c r="DX61" i="1" s="1"/>
  <c r="DY62" i="1"/>
  <c r="EB62" i="1" s="1"/>
  <c r="DI63" i="1"/>
  <c r="DL63" i="1" s="1"/>
  <c r="DI68" i="1"/>
  <c r="DL68" i="1" s="1"/>
  <c r="AO83" i="1"/>
  <c r="AR83" i="1" s="1"/>
  <c r="BG84" i="1"/>
  <c r="EG84" i="1" s="1"/>
  <c r="CO86" i="1"/>
  <c r="CR86" i="1" s="1"/>
  <c r="DU92" i="1"/>
  <c r="DX92" i="1" s="1"/>
  <c r="BM95" i="1"/>
  <c r="BP95" i="1" s="1"/>
  <c r="DA100" i="1"/>
  <c r="DD100" i="1" s="1"/>
  <c r="AK112" i="1"/>
  <c r="AN112" i="1" s="1"/>
  <c r="BI119" i="1"/>
  <c r="BL119" i="1" s="1"/>
  <c r="DQ129" i="1"/>
  <c r="DT129" i="1" s="1"/>
  <c r="CK1" i="1"/>
  <c r="CN1" i="1" s="1"/>
  <c r="EC28" i="1"/>
  <c r="ED28" i="1" s="1"/>
  <c r="BI51" i="1"/>
  <c r="BL51" i="1" s="1"/>
  <c r="AK52" i="1"/>
  <c r="AN52" i="1" s="1"/>
  <c r="CG57" i="1"/>
  <c r="CJ57" i="1" s="1"/>
  <c r="BI59" i="1"/>
  <c r="BL59" i="1" s="1"/>
  <c r="AK61" i="1"/>
  <c r="AN61" i="1" s="1"/>
  <c r="DU63" i="1"/>
  <c r="DX63" i="1" s="1"/>
  <c r="DQ65" i="1"/>
  <c r="DT65" i="1" s="1"/>
  <c r="DU68" i="1"/>
  <c r="DX68" i="1" s="1"/>
  <c r="AW83" i="1"/>
  <c r="AZ83" i="1" s="1"/>
  <c r="AG89" i="1"/>
  <c r="BM91" i="1"/>
  <c r="BP91" i="1" s="1"/>
  <c r="DQ100" i="1"/>
  <c r="DT100" i="1" s="1"/>
  <c r="AO112" i="1"/>
  <c r="AR112" i="1" s="1"/>
  <c r="BE86" i="1"/>
  <c r="BU31" i="1"/>
  <c r="AK104" i="1"/>
  <c r="AN104" i="1" s="1"/>
  <c r="BG131" i="1"/>
  <c r="EG131" i="1" s="1"/>
  <c r="AW31" i="1"/>
  <c r="BI31" i="1"/>
  <c r="BA1" i="1"/>
  <c r="BD1" i="1" s="1"/>
  <c r="BF50" i="1"/>
  <c r="EF50" i="1" s="1"/>
  <c r="CS62" i="1"/>
  <c r="CV62" i="1" s="1"/>
  <c r="DM96" i="1"/>
  <c r="DP96" i="1" s="1"/>
  <c r="BG115" i="1"/>
  <c r="EG115" i="1" s="1"/>
  <c r="BH221" i="1"/>
  <c r="EE221" i="1"/>
  <c r="DE1" i="1"/>
  <c r="DH1" i="1" s="1"/>
  <c r="EG35" i="1"/>
  <c r="DM56" i="1"/>
  <c r="DP56" i="1" s="1"/>
  <c r="AW60" i="1"/>
  <c r="AZ60" i="1" s="1"/>
  <c r="BF83" i="1"/>
  <c r="EF83" i="1" s="1"/>
  <c r="DA86" i="1"/>
  <c r="DD86" i="1" s="1"/>
  <c r="DY100" i="1"/>
  <c r="EB100" i="1" s="1"/>
  <c r="BI112" i="1"/>
  <c r="BL112" i="1" s="1"/>
  <c r="EE26" i="1"/>
  <c r="BH26" i="1"/>
  <c r="EC26" i="1" s="1"/>
  <c r="ED26" i="1" s="1"/>
  <c r="BY31" i="1"/>
  <c r="EC47" i="1"/>
  <c r="ED47" i="1" s="1"/>
  <c r="BM51" i="1"/>
  <c r="BP51" i="1" s="1"/>
  <c r="DQ56" i="1"/>
  <c r="DT56" i="1" s="1"/>
  <c r="CO57" i="1"/>
  <c r="CR57" i="1" s="1"/>
  <c r="BU59" i="1"/>
  <c r="BX59" i="1" s="1"/>
  <c r="BA60" i="1"/>
  <c r="BD60" i="1" s="1"/>
  <c r="AS61" i="1"/>
  <c r="AV61" i="1" s="1"/>
  <c r="AS64" i="1"/>
  <c r="AV64" i="1" s="1"/>
  <c r="AG65" i="1"/>
  <c r="AG67" i="1"/>
  <c r="AG69" i="1"/>
  <c r="AS89" i="1"/>
  <c r="AV89" i="1" s="1"/>
  <c r="BY93" i="1"/>
  <c r="CB93" i="1" s="1"/>
  <c r="DY97" i="1"/>
  <c r="EB97" i="1" s="1"/>
  <c r="AW104" i="1"/>
  <c r="AZ104" i="1" s="1"/>
  <c r="DE119" i="1"/>
  <c r="DH119" i="1" s="1"/>
  <c r="BQ131" i="1"/>
  <c r="BT131" i="1" s="1"/>
  <c r="BG1" i="1"/>
  <c r="EG1" i="1" s="1"/>
  <c r="DI1" i="1"/>
  <c r="DL1" i="1" s="1"/>
  <c r="EC10" i="1"/>
  <c r="ED10" i="1" s="1"/>
  <c r="CC31" i="1"/>
  <c r="EF42" i="1"/>
  <c r="BH42" i="1"/>
  <c r="EC55" i="1"/>
  <c r="ED55" i="1" s="1"/>
  <c r="DE57" i="1"/>
  <c r="DH57" i="1" s="1"/>
  <c r="AK65" i="1"/>
  <c r="AN65" i="1" s="1"/>
  <c r="AK68" i="1"/>
  <c r="AN68" i="1" s="1"/>
  <c r="EE79" i="1"/>
  <c r="BH81" i="1"/>
  <c r="EC81" i="1" s="1"/>
  <c r="ED81" i="1" s="1"/>
  <c r="CC84" i="1"/>
  <c r="CF84" i="1" s="1"/>
  <c r="DE85" i="1"/>
  <c r="DH85" i="1" s="1"/>
  <c r="DM86" i="1"/>
  <c r="DP86" i="1" s="1"/>
  <c r="BM89" i="1"/>
  <c r="BP89" i="1" s="1"/>
  <c r="CW91" i="1"/>
  <c r="CZ91" i="1" s="1"/>
  <c r="BQ108" i="1"/>
  <c r="BT108" i="1" s="1"/>
  <c r="BU112" i="1"/>
  <c r="BX112" i="1" s="1"/>
  <c r="CS121" i="1"/>
  <c r="CV121" i="1" s="1"/>
  <c r="DI232" i="1"/>
  <c r="DL232" i="1" s="1"/>
  <c r="CG232" i="1"/>
  <c r="CJ232" i="1" s="1"/>
  <c r="BG232" i="1"/>
  <c r="EG232" i="1" s="1"/>
  <c r="AG232" i="1"/>
  <c r="DM230" i="1"/>
  <c r="DP230" i="1" s="1"/>
  <c r="CK230" i="1"/>
  <c r="CN230" i="1" s="1"/>
  <c r="BI230" i="1"/>
  <c r="BL230" i="1" s="1"/>
  <c r="AK230" i="1"/>
  <c r="AN230" i="1" s="1"/>
  <c r="DA232" i="1"/>
  <c r="DD232" i="1" s="1"/>
  <c r="BY232" i="1"/>
  <c r="CB232" i="1" s="1"/>
  <c r="BA232" i="1"/>
  <c r="BD232" i="1" s="1"/>
  <c r="DE230" i="1"/>
  <c r="DH230" i="1" s="1"/>
  <c r="CC230" i="1"/>
  <c r="CF230" i="1" s="1"/>
  <c r="BE230" i="1"/>
  <c r="DA200" i="1"/>
  <c r="DD200" i="1" s="1"/>
  <c r="BY200" i="1"/>
  <c r="CB200" i="1" s="1"/>
  <c r="BA200" i="1"/>
  <c r="BD200" i="1" s="1"/>
  <c r="DA195" i="1"/>
  <c r="DD195" i="1" s="1"/>
  <c r="BY195" i="1"/>
  <c r="CB195" i="1" s="1"/>
  <c r="BA195" i="1"/>
  <c r="BD195" i="1" s="1"/>
  <c r="DE193" i="1"/>
  <c r="DH193" i="1" s="1"/>
  <c r="CC193" i="1"/>
  <c r="CF193" i="1" s="1"/>
  <c r="BE193" i="1"/>
  <c r="BH193" i="1" s="1"/>
  <c r="BF192" i="1"/>
  <c r="EF192" i="1" s="1"/>
  <c r="DI191" i="1"/>
  <c r="DL191" i="1" s="1"/>
  <c r="CG191" i="1"/>
  <c r="CJ191" i="1" s="1"/>
  <c r="BG191" i="1"/>
  <c r="EG191" i="1" s="1"/>
  <c r="AG191" i="1"/>
  <c r="DM189" i="1"/>
  <c r="DP189" i="1" s="1"/>
  <c r="CK189" i="1"/>
  <c r="CN189" i="1" s="1"/>
  <c r="BI189" i="1"/>
  <c r="BL189" i="1" s="1"/>
  <c r="AK189" i="1"/>
  <c r="AN189" i="1" s="1"/>
  <c r="DQ187" i="1"/>
  <c r="DT187" i="1" s="1"/>
  <c r="CO187" i="1"/>
  <c r="CR187" i="1" s="1"/>
  <c r="BM187" i="1"/>
  <c r="BP187" i="1" s="1"/>
  <c r="AO187" i="1"/>
  <c r="AR187" i="1" s="1"/>
  <c r="DU185" i="1"/>
  <c r="DX185" i="1" s="1"/>
  <c r="CS185" i="1"/>
  <c r="CV185" i="1" s="1"/>
  <c r="BQ185" i="1"/>
  <c r="BT185" i="1" s="1"/>
  <c r="AS185" i="1"/>
  <c r="AV185" i="1" s="1"/>
  <c r="DU232" i="1"/>
  <c r="DX232" i="1" s="1"/>
  <c r="CS232" i="1"/>
  <c r="CV232" i="1" s="1"/>
  <c r="BQ232" i="1"/>
  <c r="BT232" i="1" s="1"/>
  <c r="AS232" i="1"/>
  <c r="AV232" i="1" s="1"/>
  <c r="DY230" i="1"/>
  <c r="EB230" i="1" s="1"/>
  <c r="CW230" i="1"/>
  <c r="CZ230" i="1" s="1"/>
  <c r="BU230" i="1"/>
  <c r="BX230" i="1" s="1"/>
  <c r="AW230" i="1"/>
  <c r="AZ230" i="1" s="1"/>
  <c r="DU231" i="1"/>
  <c r="DX231" i="1" s="1"/>
  <c r="CS231" i="1"/>
  <c r="CV231" i="1" s="1"/>
  <c r="BQ231" i="1"/>
  <c r="BT231" i="1" s="1"/>
  <c r="AS231" i="1"/>
  <c r="AV231" i="1" s="1"/>
  <c r="DU199" i="1"/>
  <c r="DX199" i="1" s="1"/>
  <c r="CS199" i="1"/>
  <c r="CV199" i="1" s="1"/>
  <c r="BQ199" i="1"/>
  <c r="BT199" i="1" s="1"/>
  <c r="AS199" i="1"/>
  <c r="AV199" i="1" s="1"/>
  <c r="DA197" i="1"/>
  <c r="DD197" i="1" s="1"/>
  <c r="BY197" i="1"/>
  <c r="CB197" i="1" s="1"/>
  <c r="BA197" i="1"/>
  <c r="BD197" i="1" s="1"/>
  <c r="DU194" i="1"/>
  <c r="DX194" i="1" s="1"/>
  <c r="CS194" i="1"/>
  <c r="CV194" i="1" s="1"/>
  <c r="BQ194" i="1"/>
  <c r="BT194" i="1" s="1"/>
  <c r="AS194" i="1"/>
  <c r="AV194" i="1" s="1"/>
  <c r="DY192" i="1"/>
  <c r="EB192" i="1" s="1"/>
  <c r="CW192" i="1"/>
  <c r="CZ192" i="1" s="1"/>
  <c r="BU192" i="1"/>
  <c r="BX192" i="1" s="1"/>
  <c r="AW192" i="1"/>
  <c r="AZ192" i="1" s="1"/>
  <c r="DA190" i="1"/>
  <c r="DD190" i="1" s="1"/>
  <c r="BY190" i="1"/>
  <c r="CB190" i="1" s="1"/>
  <c r="BA190" i="1"/>
  <c r="BD190" i="1" s="1"/>
  <c r="DE188" i="1"/>
  <c r="DH188" i="1" s="1"/>
  <c r="CC188" i="1"/>
  <c r="CF188" i="1" s="1"/>
  <c r="BE188" i="1"/>
  <c r="BF187" i="1"/>
  <c r="EF187" i="1" s="1"/>
  <c r="DI186" i="1"/>
  <c r="DL186" i="1" s="1"/>
  <c r="CG186" i="1"/>
  <c r="CJ186" i="1" s="1"/>
  <c r="BG186" i="1"/>
  <c r="EG186" i="1" s="1"/>
  <c r="AG186" i="1"/>
  <c r="DM184" i="1"/>
  <c r="DP184" i="1" s="1"/>
  <c r="CK184" i="1"/>
  <c r="CN184" i="1" s="1"/>
  <c r="BI184" i="1"/>
  <c r="BL184" i="1" s="1"/>
  <c r="AK184" i="1"/>
  <c r="AN184" i="1" s="1"/>
  <c r="DQ232" i="1"/>
  <c r="DT232" i="1" s="1"/>
  <c r="CO232" i="1"/>
  <c r="CR232" i="1" s="1"/>
  <c r="BM232" i="1"/>
  <c r="BP232" i="1" s="1"/>
  <c r="AO232" i="1"/>
  <c r="AR232" i="1" s="1"/>
  <c r="DU230" i="1"/>
  <c r="DX230" i="1" s="1"/>
  <c r="CS230" i="1"/>
  <c r="CV230" i="1" s="1"/>
  <c r="BQ230" i="1"/>
  <c r="BT230" i="1" s="1"/>
  <c r="AS230" i="1"/>
  <c r="AV230" i="1" s="1"/>
  <c r="DQ200" i="1"/>
  <c r="DT200" i="1" s="1"/>
  <c r="CO200" i="1"/>
  <c r="CR200" i="1" s="1"/>
  <c r="BM200" i="1"/>
  <c r="BP200" i="1" s="1"/>
  <c r="AO200" i="1"/>
  <c r="AR200" i="1" s="1"/>
  <c r="DQ195" i="1"/>
  <c r="DT195" i="1" s="1"/>
  <c r="CO195" i="1"/>
  <c r="CR195" i="1" s="1"/>
  <c r="BM195" i="1"/>
  <c r="BP195" i="1" s="1"/>
  <c r="AO195" i="1"/>
  <c r="AR195" i="1" s="1"/>
  <c r="DU193" i="1"/>
  <c r="DX193" i="1" s="1"/>
  <c r="CS193" i="1"/>
  <c r="CV193" i="1" s="1"/>
  <c r="BQ193" i="1"/>
  <c r="BT193" i="1" s="1"/>
  <c r="AS193" i="1"/>
  <c r="AV193" i="1" s="1"/>
  <c r="DY191" i="1"/>
  <c r="EB191" i="1" s="1"/>
  <c r="CW191" i="1"/>
  <c r="CZ191" i="1" s="1"/>
  <c r="BU191" i="1"/>
  <c r="BX191" i="1" s="1"/>
  <c r="AW191" i="1"/>
  <c r="AZ191" i="1" s="1"/>
  <c r="DA189" i="1"/>
  <c r="DD189" i="1" s="1"/>
  <c r="BY189" i="1"/>
  <c r="CB189" i="1" s="1"/>
  <c r="BA189" i="1"/>
  <c r="BD189" i="1" s="1"/>
  <c r="DE187" i="1"/>
  <c r="DH187" i="1" s="1"/>
  <c r="CC187" i="1"/>
  <c r="CF187" i="1" s="1"/>
  <c r="BE187" i="1"/>
  <c r="BF186" i="1"/>
  <c r="EF186" i="1" s="1"/>
  <c r="DI185" i="1"/>
  <c r="DL185" i="1" s="1"/>
  <c r="CG185" i="1"/>
  <c r="CJ185" i="1" s="1"/>
  <c r="BG185" i="1"/>
  <c r="EG185" i="1" s="1"/>
  <c r="AG185" i="1"/>
  <c r="DM232" i="1"/>
  <c r="DP232" i="1" s="1"/>
  <c r="CK232" i="1"/>
  <c r="CN232" i="1" s="1"/>
  <c r="BI232" i="1"/>
  <c r="BL232" i="1" s="1"/>
  <c r="AK232" i="1"/>
  <c r="AN232" i="1" s="1"/>
  <c r="DQ230" i="1"/>
  <c r="DT230" i="1" s="1"/>
  <c r="CO230" i="1"/>
  <c r="CR230" i="1" s="1"/>
  <c r="BM230" i="1"/>
  <c r="BP230" i="1" s="1"/>
  <c r="AO230" i="1"/>
  <c r="AR230" i="1" s="1"/>
  <c r="BE231" i="1"/>
  <c r="AK200" i="1"/>
  <c r="AN200" i="1" s="1"/>
  <c r="DI199" i="1"/>
  <c r="DL199" i="1" s="1"/>
  <c r="BY199" i="1"/>
  <c r="CB199" i="1" s="1"/>
  <c r="CO197" i="1"/>
  <c r="CR197" i="1" s="1"/>
  <c r="BG197" i="1"/>
  <c r="EG197" i="1" s="1"/>
  <c r="DI195" i="1"/>
  <c r="DL195" i="1" s="1"/>
  <c r="CG194" i="1"/>
  <c r="CJ194" i="1" s="1"/>
  <c r="BA194" i="1"/>
  <c r="BD194" i="1" s="1"/>
  <c r="DY193" i="1"/>
  <c r="EB193" i="1" s="1"/>
  <c r="CK231" i="1"/>
  <c r="CN231" i="1" s="1"/>
  <c r="CC231" i="1"/>
  <c r="CF231" i="1" s="1"/>
  <c r="AG231" i="1"/>
  <c r="BA230" i="1"/>
  <c r="BD230" i="1" s="1"/>
  <c r="CK200" i="1"/>
  <c r="CN200" i="1" s="1"/>
  <c r="BF200" i="1"/>
  <c r="EF200" i="1" s="1"/>
  <c r="BI199" i="1"/>
  <c r="BL199" i="1" s="1"/>
  <c r="DI197" i="1"/>
  <c r="DL197" i="1" s="1"/>
  <c r="AS197" i="1"/>
  <c r="AV197" i="1" s="1"/>
  <c r="BI195" i="1"/>
  <c r="BL195" i="1" s="1"/>
  <c r="DA194" i="1"/>
  <c r="DD194" i="1" s="1"/>
  <c r="AK194" i="1"/>
  <c r="AN194" i="1" s="1"/>
  <c r="DI193" i="1"/>
  <c r="DL193" i="1" s="1"/>
  <c r="BY193" i="1"/>
  <c r="CB193" i="1" s="1"/>
  <c r="CG192" i="1"/>
  <c r="CJ192" i="1" s="1"/>
  <c r="BA192" i="1"/>
  <c r="BD192" i="1" s="1"/>
  <c r="DU191" i="1"/>
  <c r="DX191" i="1" s="1"/>
  <c r="BF191" i="1"/>
  <c r="EF191" i="1" s="1"/>
  <c r="CS190" i="1"/>
  <c r="CV190" i="1" s="1"/>
  <c r="BQ189" i="1"/>
  <c r="BT189" i="1" s="1"/>
  <c r="DI188" i="1"/>
  <c r="DL188" i="1" s="1"/>
  <c r="AS188" i="1"/>
  <c r="AV188" i="1" s="1"/>
  <c r="CG187" i="1"/>
  <c r="CJ187" i="1" s="1"/>
  <c r="BE186" i="1"/>
  <c r="DA184" i="1"/>
  <c r="DD184" i="1" s="1"/>
  <c r="BU184" i="1"/>
  <c r="BX184" i="1" s="1"/>
  <c r="DE232" i="1"/>
  <c r="DH232" i="1" s="1"/>
  <c r="DY231" i="1"/>
  <c r="EB231" i="1" s="1"/>
  <c r="BY231" i="1"/>
  <c r="CB231" i="1" s="1"/>
  <c r="DU200" i="1"/>
  <c r="DX200" i="1" s="1"/>
  <c r="BE200" i="1"/>
  <c r="CO199" i="1"/>
  <c r="CR199" i="1" s="1"/>
  <c r="BU197" i="1"/>
  <c r="BX197" i="1" s="1"/>
  <c r="CS195" i="1"/>
  <c r="CV195" i="1" s="1"/>
  <c r="BM194" i="1"/>
  <c r="BP194" i="1" s="1"/>
  <c r="AO193" i="1"/>
  <c r="AR193" i="1" s="1"/>
  <c r="DM192" i="1"/>
  <c r="DP192" i="1" s="1"/>
  <c r="CC192" i="1"/>
  <c r="CF192" i="1" s="1"/>
  <c r="CK191" i="1"/>
  <c r="CN191" i="1" s="1"/>
  <c r="BE191" i="1"/>
  <c r="BH191" i="1" s="1"/>
  <c r="DY190" i="1"/>
  <c r="EB190" i="1" s="1"/>
  <c r="BI190" i="1"/>
  <c r="BL190" i="1" s="1"/>
  <c r="CW189" i="1"/>
  <c r="CZ189" i="1" s="1"/>
  <c r="BU188" i="1"/>
  <c r="BX188" i="1" s="1"/>
  <c r="DM187" i="1"/>
  <c r="DP187" i="1" s="1"/>
  <c r="AW187" i="1"/>
  <c r="AZ187" i="1" s="1"/>
  <c r="DU186" i="1"/>
  <c r="DX186" i="1" s="1"/>
  <c r="CK186" i="1"/>
  <c r="CN186" i="1" s="1"/>
  <c r="BI185" i="1"/>
  <c r="BL185" i="1" s="1"/>
  <c r="BF232" i="1"/>
  <c r="EF232" i="1" s="1"/>
  <c r="DQ231" i="1"/>
  <c r="DT231" i="1" s="1"/>
  <c r="BE232" i="1"/>
  <c r="BH232" i="1" s="1"/>
  <c r="DM231" i="1"/>
  <c r="DP231" i="1" s="1"/>
  <c r="BU231" i="1"/>
  <c r="BX231" i="1" s="1"/>
  <c r="CG230" i="1"/>
  <c r="CJ230" i="1" s="1"/>
  <c r="DM200" i="1"/>
  <c r="DP200" i="1" s="1"/>
  <c r="CK199" i="1"/>
  <c r="CN199" i="1" s="1"/>
  <c r="BF199" i="1"/>
  <c r="EF199" i="1" s="1"/>
  <c r="BQ197" i="1"/>
  <c r="BT197" i="1" s="1"/>
  <c r="CK195" i="1"/>
  <c r="CN195" i="1" s="1"/>
  <c r="BF195" i="1"/>
  <c r="EF195" i="1" s="1"/>
  <c r="BI194" i="1"/>
  <c r="BL194" i="1" s="1"/>
  <c r="DA193" i="1"/>
  <c r="DD193" i="1" s="1"/>
  <c r="AK193" i="1"/>
  <c r="AN193" i="1" s="1"/>
  <c r="DI192" i="1"/>
  <c r="DL192" i="1" s="1"/>
  <c r="BY192" i="1"/>
  <c r="CB192" i="1" s="1"/>
  <c r="BA191" i="1"/>
  <c r="BD191" i="1" s="1"/>
  <c r="DU190" i="1"/>
  <c r="DX190" i="1" s="1"/>
  <c r="BF190" i="1"/>
  <c r="EF190" i="1" s="1"/>
  <c r="CS189" i="1"/>
  <c r="CV189" i="1" s="1"/>
  <c r="BQ188" i="1"/>
  <c r="BT188" i="1" s="1"/>
  <c r="AK188" i="1"/>
  <c r="AN188" i="1" s="1"/>
  <c r="DI187" i="1"/>
  <c r="DL187" i="1" s="1"/>
  <c r="AS187" i="1"/>
  <c r="AV187" i="1" s="1"/>
  <c r="CC186" i="1"/>
  <c r="CF186" i="1" s="1"/>
  <c r="BE185" i="1"/>
  <c r="BH185" i="1" s="1"/>
  <c r="CS184" i="1"/>
  <c r="CV184" i="1" s="1"/>
  <c r="BM184" i="1"/>
  <c r="BP184" i="1" s="1"/>
  <c r="DM183" i="1"/>
  <c r="DP183" i="1" s="1"/>
  <c r="CK183" i="1"/>
  <c r="CN183" i="1" s="1"/>
  <c r="BI183" i="1"/>
  <c r="BL183" i="1" s="1"/>
  <c r="AK183" i="1"/>
  <c r="AN183" i="1" s="1"/>
  <c r="CG231" i="1"/>
  <c r="CJ231" i="1" s="1"/>
  <c r="BU200" i="1"/>
  <c r="BX200" i="1" s="1"/>
  <c r="CG199" i="1"/>
  <c r="CJ199" i="1" s="1"/>
  <c r="DM197" i="1"/>
  <c r="DP197" i="1" s="1"/>
  <c r="CG195" i="1"/>
  <c r="CJ195" i="1" s="1"/>
  <c r="CW194" i="1"/>
  <c r="CZ194" i="1" s="1"/>
  <c r="BE194" i="1"/>
  <c r="DM193" i="1"/>
  <c r="DP193" i="1" s="1"/>
  <c r="AS192" i="1"/>
  <c r="AV192" i="1" s="1"/>
  <c r="CK190" i="1"/>
  <c r="CN190" i="1" s="1"/>
  <c r="CO188" i="1"/>
  <c r="CR188" i="1" s="1"/>
  <c r="BQ187" i="1"/>
  <c r="BT187" i="1" s="1"/>
  <c r="CS186" i="1"/>
  <c r="CV186" i="1" s="1"/>
  <c r="AW186" i="1"/>
  <c r="AZ186" i="1" s="1"/>
  <c r="DM185" i="1"/>
  <c r="DP185" i="1" s="1"/>
  <c r="BU185" i="1"/>
  <c r="BX185" i="1" s="1"/>
  <c r="CO184" i="1"/>
  <c r="CR184" i="1" s="1"/>
  <c r="BF184" i="1"/>
  <c r="EF184" i="1" s="1"/>
  <c r="CW183" i="1"/>
  <c r="CZ183" i="1" s="1"/>
  <c r="BQ183" i="1"/>
  <c r="BT183" i="1" s="1"/>
  <c r="DM138" i="1"/>
  <c r="DP138" i="1" s="1"/>
  <c r="CK138" i="1"/>
  <c r="CN138" i="1" s="1"/>
  <c r="BI138" i="1"/>
  <c r="BL138" i="1" s="1"/>
  <c r="AK138" i="1"/>
  <c r="AN138" i="1" s="1"/>
  <c r="DY132" i="1"/>
  <c r="EB132" i="1" s="1"/>
  <c r="CW132" i="1"/>
  <c r="CZ132" i="1" s="1"/>
  <c r="BU132" i="1"/>
  <c r="BX132" i="1" s="1"/>
  <c r="AW132" i="1"/>
  <c r="AZ132" i="1" s="1"/>
  <c r="DI230" i="1"/>
  <c r="DL230" i="1" s="1"/>
  <c r="BQ200" i="1"/>
  <c r="BT200" i="1" s="1"/>
  <c r="AK199" i="1"/>
  <c r="AN199" i="1" s="1"/>
  <c r="DE197" i="1"/>
  <c r="DH197" i="1" s="1"/>
  <c r="BI197" i="1"/>
  <c r="BL197" i="1" s="1"/>
  <c r="AK195" i="1"/>
  <c r="AN195" i="1" s="1"/>
  <c r="CO194" i="1"/>
  <c r="CR194" i="1" s="1"/>
  <c r="BI193" i="1"/>
  <c r="BL193" i="1" s="1"/>
  <c r="CK192" i="1"/>
  <c r="CN192" i="1" s="1"/>
  <c r="AO192" i="1"/>
  <c r="AR192" i="1" s="1"/>
  <c r="DE191" i="1"/>
  <c r="DH191" i="1" s="1"/>
  <c r="BM191" i="1"/>
  <c r="BP191" i="1" s="1"/>
  <c r="CG190" i="1"/>
  <c r="CJ190" i="1" s="1"/>
  <c r="AS190" i="1"/>
  <c r="AV190" i="1" s="1"/>
  <c r="DI189" i="1"/>
  <c r="DL189" i="1" s="1"/>
  <c r="BM189" i="1"/>
  <c r="BP189" i="1" s="1"/>
  <c r="CK188" i="1"/>
  <c r="CN188" i="1" s="1"/>
  <c r="AW188" i="1"/>
  <c r="AZ188" i="1" s="1"/>
  <c r="CO186" i="1"/>
  <c r="CR186" i="1" s="1"/>
  <c r="BE184" i="1"/>
  <c r="BM183" i="1"/>
  <c r="BP183" i="1" s="1"/>
  <c r="DM137" i="1"/>
  <c r="DP137" i="1" s="1"/>
  <c r="CK137" i="1"/>
  <c r="CN137" i="1" s="1"/>
  <c r="BI137" i="1"/>
  <c r="BL137" i="1" s="1"/>
  <c r="AK137" i="1"/>
  <c r="AN137" i="1" s="1"/>
  <c r="DY131" i="1"/>
  <c r="EB131" i="1" s="1"/>
  <c r="CW131" i="1"/>
  <c r="CZ131" i="1" s="1"/>
  <c r="BU131" i="1"/>
  <c r="BX131" i="1" s="1"/>
  <c r="AW131" i="1"/>
  <c r="AZ131" i="1" s="1"/>
  <c r="DI129" i="1"/>
  <c r="DL129" i="1" s="1"/>
  <c r="CG129" i="1"/>
  <c r="CJ129" i="1" s="1"/>
  <c r="BG129" i="1"/>
  <c r="EG129" i="1" s="1"/>
  <c r="AG129" i="1"/>
  <c r="AW232" i="1"/>
  <c r="AZ232" i="1" s="1"/>
  <c r="BM231" i="1"/>
  <c r="BP231" i="1" s="1"/>
  <c r="AG230" i="1"/>
  <c r="DI200" i="1"/>
  <c r="DL200" i="1" s="1"/>
  <c r="DY199" i="1"/>
  <c r="EB199" i="1" s="1"/>
  <c r="CC199" i="1"/>
  <c r="CF199" i="1" s="1"/>
  <c r="CW197" i="1"/>
  <c r="CZ197" i="1" s="1"/>
  <c r="BF197" i="1"/>
  <c r="EF197" i="1" s="1"/>
  <c r="DY195" i="1"/>
  <c r="EB195" i="1" s="1"/>
  <c r="CC195" i="1"/>
  <c r="CF195" i="1" s="1"/>
  <c r="AW194" i="1"/>
  <c r="AZ194" i="1" s="1"/>
  <c r="DY188" i="1"/>
  <c r="EB188" i="1" s="1"/>
  <c r="DA187" i="1"/>
  <c r="DD187" i="1" s="1"/>
  <c r="AS186" i="1"/>
  <c r="AV186" i="1" s="1"/>
  <c r="DE185" i="1"/>
  <c r="DH185" i="1" s="1"/>
  <c r="DY183" i="1"/>
  <c r="EB183" i="1" s="1"/>
  <c r="CS183" i="1"/>
  <c r="CV183" i="1" s="1"/>
  <c r="AG183" i="1"/>
  <c r="DI138" i="1"/>
  <c r="DL138" i="1" s="1"/>
  <c r="CG138" i="1"/>
  <c r="CJ138" i="1" s="1"/>
  <c r="BG138" i="1"/>
  <c r="EG138" i="1" s="1"/>
  <c r="AG138" i="1"/>
  <c r="DY232" i="1"/>
  <c r="EB232" i="1" s="1"/>
  <c r="BI231" i="1"/>
  <c r="BL231" i="1" s="1"/>
  <c r="BI200" i="1"/>
  <c r="BL200" i="1" s="1"/>
  <c r="DQ199" i="1"/>
  <c r="DT199" i="1" s="1"/>
  <c r="AG199" i="1"/>
  <c r="BE197" i="1"/>
  <c r="DU195" i="1"/>
  <c r="DX195" i="1" s="1"/>
  <c r="AG195" i="1"/>
  <c r="CK194" i="1"/>
  <c r="CN194" i="1" s="1"/>
  <c r="BG193" i="1"/>
  <c r="EG193" i="1" s="1"/>
  <c r="DU192" i="1"/>
  <c r="DX192" i="1" s="1"/>
  <c r="AK192" i="1"/>
  <c r="AN192" i="1" s="1"/>
  <c r="DA191" i="1"/>
  <c r="DD191" i="1" s="1"/>
  <c r="BI191" i="1"/>
  <c r="BL191" i="1" s="1"/>
  <c r="CC190" i="1"/>
  <c r="CF190" i="1" s="1"/>
  <c r="AO190" i="1"/>
  <c r="AR190" i="1" s="1"/>
  <c r="DE189" i="1"/>
  <c r="DH189" i="1" s="1"/>
  <c r="BG189" i="1"/>
  <c r="EG189" i="1" s="1"/>
  <c r="CG188" i="1"/>
  <c r="CJ188" i="1" s="1"/>
  <c r="AO188" i="1"/>
  <c r="AR188" i="1" s="1"/>
  <c r="BI187" i="1"/>
  <c r="BL187" i="1" s="1"/>
  <c r="AO186" i="1"/>
  <c r="AR186" i="1" s="1"/>
  <c r="BM185" i="1"/>
  <c r="BP185" i="1" s="1"/>
  <c r="DY184" i="1"/>
  <c r="EB184" i="1" s="1"/>
  <c r="CG184" i="1"/>
  <c r="CJ184" i="1" s="1"/>
  <c r="BA184" i="1"/>
  <c r="BD184" i="1" s="1"/>
  <c r="CO183" i="1"/>
  <c r="CR183" i="1" s="1"/>
  <c r="BG231" i="1"/>
  <c r="EG231" i="1" s="1"/>
  <c r="DA230" i="1"/>
  <c r="DD230" i="1" s="1"/>
  <c r="BF231" i="1"/>
  <c r="EF231" i="1" s="1"/>
  <c r="BG200" i="1"/>
  <c r="EG200" i="1" s="1"/>
  <c r="DM199" i="1"/>
  <c r="DP199" i="1" s="1"/>
  <c r="AW197" i="1"/>
  <c r="AZ197" i="1" s="1"/>
  <c r="DM195" i="1"/>
  <c r="DP195" i="1" s="1"/>
  <c r="DQ192" i="1"/>
  <c r="DT192" i="1" s="1"/>
  <c r="BQ192" i="1"/>
  <c r="BT192" i="1" s="1"/>
  <c r="AG192" i="1"/>
  <c r="CS191" i="1"/>
  <c r="CV191" i="1" s="1"/>
  <c r="BU190" i="1"/>
  <c r="BX190" i="1" s="1"/>
  <c r="AK190" i="1"/>
  <c r="AN190" i="1" s="1"/>
  <c r="BE189" i="1"/>
  <c r="BY188" i="1"/>
  <c r="CB188" i="1" s="1"/>
  <c r="AG188" i="1"/>
  <c r="BG187" i="1"/>
  <c r="EG187" i="1" s="1"/>
  <c r="DQ186" i="1"/>
  <c r="DT186" i="1" s="1"/>
  <c r="AK186" i="1"/>
  <c r="AN186" i="1" s="1"/>
  <c r="CC184" i="1"/>
  <c r="CF184" i="1" s="1"/>
  <c r="AW184" i="1"/>
  <c r="AZ184" i="1" s="1"/>
  <c r="DQ183" i="1"/>
  <c r="DT183" i="1" s="1"/>
  <c r="BF183" i="1"/>
  <c r="EF183" i="1" s="1"/>
  <c r="DI231" i="1"/>
  <c r="DL231" i="1" s="1"/>
  <c r="AW231" i="1"/>
  <c r="AZ231" i="1" s="1"/>
  <c r="BY230" i="1"/>
  <c r="CB230" i="1" s="1"/>
  <c r="CS200" i="1"/>
  <c r="CV200" i="1" s="1"/>
  <c r="DE199" i="1"/>
  <c r="DH199" i="1" s="1"/>
  <c r="BG199" i="1"/>
  <c r="EG199" i="1" s="1"/>
  <c r="CG197" i="1"/>
  <c r="CJ197" i="1" s="1"/>
  <c r="AK197" i="1"/>
  <c r="AN197" i="1" s="1"/>
  <c r="DE195" i="1"/>
  <c r="DH195" i="1" s="1"/>
  <c r="BG195" i="1"/>
  <c r="EG195" i="1" s="1"/>
  <c r="DQ194" i="1"/>
  <c r="DT194" i="1" s="1"/>
  <c r="AW193" i="1"/>
  <c r="AZ193" i="1" s="1"/>
  <c r="DY189" i="1"/>
  <c r="EB189" i="1" s="1"/>
  <c r="BM188" i="1"/>
  <c r="BP188" i="1" s="1"/>
  <c r="DE186" i="1"/>
  <c r="DH186" i="1" s="1"/>
  <c r="BQ186" i="1"/>
  <c r="BT186" i="1" s="1"/>
  <c r="CK185" i="1"/>
  <c r="CN185" i="1" s="1"/>
  <c r="AW185" i="1"/>
  <c r="AZ185" i="1" s="1"/>
  <c r="DI184" i="1"/>
  <c r="DL184" i="1" s="1"/>
  <c r="DI183" i="1"/>
  <c r="DL183" i="1" s="1"/>
  <c r="CC183" i="1"/>
  <c r="CF183" i="1" s="1"/>
  <c r="BA183" i="1"/>
  <c r="BD183" i="1" s="1"/>
  <c r="DY138" i="1"/>
  <c r="EB138" i="1" s="1"/>
  <c r="CW138" i="1"/>
  <c r="CZ138" i="1" s="1"/>
  <c r="BU138" i="1"/>
  <c r="BX138" i="1" s="1"/>
  <c r="AW138" i="1"/>
  <c r="AZ138" i="1" s="1"/>
  <c r="DI132" i="1"/>
  <c r="DL132" i="1" s="1"/>
  <c r="CG132" i="1"/>
  <c r="CJ132" i="1" s="1"/>
  <c r="BG132" i="1"/>
  <c r="EG132" i="1" s="1"/>
  <c r="AG132" i="1"/>
  <c r="CO231" i="1"/>
  <c r="CR231" i="1" s="1"/>
  <c r="BF230" i="1"/>
  <c r="EF230" i="1" s="1"/>
  <c r="DY200" i="1"/>
  <c r="EB200" i="1" s="1"/>
  <c r="AO199" i="1"/>
  <c r="AR199" i="1" s="1"/>
  <c r="BM197" i="1"/>
  <c r="BP197" i="1" s="1"/>
  <c r="AS195" i="1"/>
  <c r="AV195" i="1" s="1"/>
  <c r="DE194" i="1"/>
  <c r="DH194" i="1" s="1"/>
  <c r="BF194" i="1"/>
  <c r="EF194" i="1" s="1"/>
  <c r="BM193" i="1"/>
  <c r="BP193" i="1" s="1"/>
  <c r="CO192" i="1"/>
  <c r="CR192" i="1" s="1"/>
  <c r="BQ191" i="1"/>
  <c r="BT191" i="1" s="1"/>
  <c r="CO190" i="1"/>
  <c r="CR190" i="1" s="1"/>
  <c r="AW190" i="1"/>
  <c r="AZ190" i="1" s="1"/>
  <c r="BU189" i="1"/>
  <c r="BX189" i="1" s="1"/>
  <c r="BA188" i="1"/>
  <c r="BD188" i="1" s="1"/>
  <c r="AG187" i="1"/>
  <c r="BA186" i="1"/>
  <c r="BD186" i="1" s="1"/>
  <c r="AK185" i="1"/>
  <c r="AN185" i="1" s="1"/>
  <c r="BG184" i="1"/>
  <c r="EG184" i="1" s="1"/>
  <c r="AO183" i="1"/>
  <c r="AR183" i="1" s="1"/>
  <c r="DQ137" i="1"/>
  <c r="DT137" i="1" s="1"/>
  <c r="CO137" i="1"/>
  <c r="CR137" i="1" s="1"/>
  <c r="BM137" i="1"/>
  <c r="BP137" i="1" s="1"/>
  <c r="AO137" i="1"/>
  <c r="AR137" i="1" s="1"/>
  <c r="DA131" i="1"/>
  <c r="DD131" i="1" s="1"/>
  <c r="BY131" i="1"/>
  <c r="CB131" i="1" s="1"/>
  <c r="BA131" i="1"/>
  <c r="BD131" i="1" s="1"/>
  <c r="DM129" i="1"/>
  <c r="DP129" i="1" s="1"/>
  <c r="CK129" i="1"/>
  <c r="CN129" i="1" s="1"/>
  <c r="BI129" i="1"/>
  <c r="BL129" i="1" s="1"/>
  <c r="AK129" i="1"/>
  <c r="AN129" i="1" s="1"/>
  <c r="CW232" i="1"/>
  <c r="CZ232" i="1" s="1"/>
  <c r="CC200" i="1"/>
  <c r="CF200" i="1" s="1"/>
  <c r="CW199" i="1"/>
  <c r="CZ199" i="1" s="1"/>
  <c r="DU197" i="1"/>
  <c r="DX197" i="1" s="1"/>
  <c r="BG190" i="1"/>
  <c r="EG190" i="1" s="1"/>
  <c r="CW188" i="1"/>
  <c r="CZ188" i="1" s="1"/>
  <c r="DY187" i="1"/>
  <c r="EB187" i="1" s="1"/>
  <c r="CC185" i="1"/>
  <c r="CF185" i="1" s="1"/>
  <c r="DE184" i="1"/>
  <c r="DH184" i="1" s="1"/>
  <c r="BY183" i="1"/>
  <c r="CB183" i="1" s="1"/>
  <c r="DU138" i="1"/>
  <c r="DX138" i="1" s="1"/>
  <c r="DQ132" i="1"/>
  <c r="DT132" i="1" s="1"/>
  <c r="AS132" i="1"/>
  <c r="AV132" i="1" s="1"/>
  <c r="CC131" i="1"/>
  <c r="CF131" i="1" s="1"/>
  <c r="DU129" i="1"/>
  <c r="DX129" i="1" s="1"/>
  <c r="DE126" i="1"/>
  <c r="DH126" i="1" s="1"/>
  <c r="CS192" i="1"/>
  <c r="CV192" i="1" s="1"/>
  <c r="DQ191" i="1"/>
  <c r="DT191" i="1" s="1"/>
  <c r="AK191" i="1"/>
  <c r="AN191" i="1" s="1"/>
  <c r="BE190" i="1"/>
  <c r="CC189" i="1"/>
  <c r="CF189" i="1" s="1"/>
  <c r="AK187" i="1"/>
  <c r="AN187" i="1" s="1"/>
  <c r="BI186" i="1"/>
  <c r="BL186" i="1" s="1"/>
  <c r="BY138" i="1"/>
  <c r="CB138" i="1" s="1"/>
  <c r="AO138" i="1"/>
  <c r="AR138" i="1" s="1"/>
  <c r="DA137" i="1"/>
  <c r="DD137" i="1" s="1"/>
  <c r="BG137" i="1"/>
  <c r="EG137" i="1" s="1"/>
  <c r="CC132" i="1"/>
  <c r="CF132" i="1" s="1"/>
  <c r="DM131" i="1"/>
  <c r="DP131" i="1" s="1"/>
  <c r="AO131" i="1"/>
  <c r="AR131" i="1" s="1"/>
  <c r="CC129" i="1"/>
  <c r="CF129" i="1" s="1"/>
  <c r="AW129" i="1"/>
  <c r="AZ129" i="1" s="1"/>
  <c r="DA126" i="1"/>
  <c r="DD126" i="1" s="1"/>
  <c r="BY126" i="1"/>
  <c r="CB126" i="1" s="1"/>
  <c r="BA126" i="1"/>
  <c r="BD126" i="1" s="1"/>
  <c r="DQ122" i="1"/>
  <c r="DT122" i="1" s="1"/>
  <c r="CO122" i="1"/>
  <c r="CR122" i="1" s="1"/>
  <c r="BM122" i="1"/>
  <c r="BP122" i="1" s="1"/>
  <c r="AO122" i="1"/>
  <c r="AR122" i="1" s="1"/>
  <c r="DU120" i="1"/>
  <c r="DX120" i="1" s="1"/>
  <c r="CS120" i="1"/>
  <c r="CV120" i="1" s="1"/>
  <c r="BQ120" i="1"/>
  <c r="BT120" i="1" s="1"/>
  <c r="AS120" i="1"/>
  <c r="AV120" i="1" s="1"/>
  <c r="DE116" i="1"/>
  <c r="DH116" i="1" s="1"/>
  <c r="CC116" i="1"/>
  <c r="CF116" i="1" s="1"/>
  <c r="CC232" i="1"/>
  <c r="CF232" i="1" s="1"/>
  <c r="CW231" i="1"/>
  <c r="CZ231" i="1" s="1"/>
  <c r="DE200" i="1"/>
  <c r="DH200" i="1" s="1"/>
  <c r="DQ193" i="1"/>
  <c r="DT193" i="1" s="1"/>
  <c r="BE192" i="1"/>
  <c r="DQ189" i="1"/>
  <c r="DT189" i="1" s="1"/>
  <c r="AG189" i="1"/>
  <c r="BF188" i="1"/>
  <c r="EF188" i="1" s="1"/>
  <c r="BU187" i="1"/>
  <c r="BX187" i="1" s="1"/>
  <c r="CW186" i="1"/>
  <c r="CZ186" i="1" s="1"/>
  <c r="DQ185" i="1"/>
  <c r="DT185" i="1" s="1"/>
  <c r="DA183" i="1"/>
  <c r="DD183" i="1" s="1"/>
  <c r="AS183" i="1"/>
  <c r="AV183" i="1" s="1"/>
  <c r="BU232" i="1"/>
  <c r="BX232" i="1" s="1"/>
  <c r="AS200" i="1"/>
  <c r="AV200" i="1" s="1"/>
  <c r="AW199" i="1"/>
  <c r="AZ199" i="1" s="1"/>
  <c r="AO194" i="1"/>
  <c r="AR194" i="1" s="1"/>
  <c r="AO191" i="1"/>
  <c r="AR191" i="1" s="1"/>
  <c r="AG190" i="1"/>
  <c r="AO185" i="1"/>
  <c r="AR185" i="1" s="1"/>
  <c r="AO184" i="1"/>
  <c r="AR184" i="1" s="1"/>
  <c r="BG183" i="1"/>
  <c r="EG183" i="1" s="1"/>
  <c r="AO197" i="1"/>
  <c r="AR197" i="1" s="1"/>
  <c r="BE195" i="1"/>
  <c r="BH195" i="1" s="1"/>
  <c r="AG194" i="1"/>
  <c r="AO189" i="1"/>
  <c r="AR189" i="1" s="1"/>
  <c r="DY186" i="1"/>
  <c r="EB186" i="1" s="1"/>
  <c r="DU184" i="1"/>
  <c r="DX184" i="1" s="1"/>
  <c r="AG184" i="1"/>
  <c r="BE183" i="1"/>
  <c r="AG197" i="1"/>
  <c r="AW195" i="1"/>
  <c r="AZ195" i="1" s="1"/>
  <c r="AG193" i="1"/>
  <c r="DQ190" i="1"/>
  <c r="DT190" i="1" s="1"/>
  <c r="DU188" i="1"/>
  <c r="DX188" i="1" s="1"/>
  <c r="DM186" i="1"/>
  <c r="DP186" i="1" s="1"/>
  <c r="DY185" i="1"/>
  <c r="EB185" i="1" s="1"/>
  <c r="DQ184" i="1"/>
  <c r="DT184" i="1" s="1"/>
  <c r="DA138" i="1"/>
  <c r="DD138" i="1" s="1"/>
  <c r="BE138" i="1"/>
  <c r="DE132" i="1"/>
  <c r="DH132" i="1" s="1"/>
  <c r="DE231" i="1"/>
  <c r="DH231" i="1" s="1"/>
  <c r="DA231" i="1"/>
  <c r="DD231" i="1" s="1"/>
  <c r="DY194" i="1"/>
  <c r="EB194" i="1" s="1"/>
  <c r="DM191" i="1"/>
  <c r="DP191" i="1" s="1"/>
  <c r="DI190" i="1"/>
  <c r="DL190" i="1" s="1"/>
  <c r="DM188" i="1"/>
  <c r="DP188" i="1" s="1"/>
  <c r="CW187" i="1"/>
  <c r="CZ187" i="1" s="1"/>
  <c r="DA185" i="1"/>
  <c r="DD185" i="1" s="1"/>
  <c r="AW183" i="1"/>
  <c r="AZ183" i="1" s="1"/>
  <c r="BA138" i="1"/>
  <c r="BD138" i="1" s="1"/>
  <c r="BF137" i="1"/>
  <c r="EF137" i="1" s="1"/>
  <c r="DA132" i="1"/>
  <c r="DD132" i="1" s="1"/>
  <c r="DU131" i="1"/>
  <c r="DX131" i="1" s="1"/>
  <c r="AK131" i="1"/>
  <c r="AN131" i="1" s="1"/>
  <c r="DE129" i="1"/>
  <c r="DH129" i="1" s="1"/>
  <c r="DI126" i="1"/>
  <c r="DL126" i="1" s="1"/>
  <c r="AW126" i="1"/>
  <c r="AZ126" i="1" s="1"/>
  <c r="DY125" i="1"/>
  <c r="EB125" i="1" s="1"/>
  <c r="BQ125" i="1"/>
  <c r="BT125" i="1" s="1"/>
  <c r="BU123" i="1"/>
  <c r="BX123" i="1" s="1"/>
  <c r="CS122" i="1"/>
  <c r="CV122" i="1" s="1"/>
  <c r="CK121" i="1"/>
  <c r="CN121" i="1" s="1"/>
  <c r="AG121" i="1"/>
  <c r="DI120" i="1"/>
  <c r="DL120" i="1" s="1"/>
  <c r="BE120" i="1"/>
  <c r="BY119" i="1"/>
  <c r="CB119" i="1" s="1"/>
  <c r="DA117" i="1"/>
  <c r="DD117" i="1" s="1"/>
  <c r="AW117" i="1"/>
  <c r="AZ117" i="1" s="1"/>
  <c r="BA231" i="1"/>
  <c r="BD231" i="1" s="1"/>
  <c r="AO231" i="1"/>
  <c r="AR231" i="1" s="1"/>
  <c r="DA199" i="1"/>
  <c r="DD199" i="1" s="1"/>
  <c r="DQ197" i="1"/>
  <c r="DT197" i="1" s="1"/>
  <c r="DM194" i="1"/>
  <c r="DP194" i="1" s="1"/>
  <c r="CW193" i="1"/>
  <c r="CZ193" i="1" s="1"/>
  <c r="DA192" i="1"/>
  <c r="DD192" i="1" s="1"/>
  <c r="CO189" i="1"/>
  <c r="CR189" i="1" s="1"/>
  <c r="CS188" i="1"/>
  <c r="CV188" i="1" s="1"/>
  <c r="CO185" i="1"/>
  <c r="CR185" i="1" s="1"/>
  <c r="AK231" i="1"/>
  <c r="AN231" i="1" s="1"/>
  <c r="CW200" i="1"/>
  <c r="CZ200" i="1" s="1"/>
  <c r="CS197" i="1"/>
  <c r="CV197" i="1" s="1"/>
  <c r="CO193" i="1"/>
  <c r="CR193" i="1" s="1"/>
  <c r="CO191" i="1"/>
  <c r="CR191" i="1" s="1"/>
  <c r="CW190" i="1"/>
  <c r="CZ190" i="1" s="1"/>
  <c r="CK187" i="1"/>
  <c r="CN187" i="1" s="1"/>
  <c r="BY186" i="1"/>
  <c r="CB186" i="1" s="1"/>
  <c r="DE183" i="1"/>
  <c r="DH183" i="1" s="1"/>
  <c r="CO138" i="1"/>
  <c r="CR138" i="1" s="1"/>
  <c r="AS138" i="1"/>
  <c r="AV138" i="1" s="1"/>
  <c r="BA137" i="1"/>
  <c r="BD137" i="1" s="1"/>
  <c r="CO132" i="1"/>
  <c r="CR132" i="1" s="1"/>
  <c r="DI131" i="1"/>
  <c r="DL131" i="1" s="1"/>
  <c r="BF129" i="1"/>
  <c r="EF129" i="1" s="1"/>
  <c r="CW126" i="1"/>
  <c r="CZ126" i="1" s="1"/>
  <c r="BQ126" i="1"/>
  <c r="BT126" i="1" s="1"/>
  <c r="CO125" i="1"/>
  <c r="CR125" i="1" s="1"/>
  <c r="AK125" i="1"/>
  <c r="AN125" i="1" s="1"/>
  <c r="CS123" i="1"/>
  <c r="CV123" i="1" s="1"/>
  <c r="AO123" i="1"/>
  <c r="AR123" i="1" s="1"/>
  <c r="CK122" i="1"/>
  <c r="CN122" i="1" s="1"/>
  <c r="AG122" i="1"/>
  <c r="DI121" i="1"/>
  <c r="DL121" i="1" s="1"/>
  <c r="BE121" i="1"/>
  <c r="BH121" i="1" s="1"/>
  <c r="BY120" i="1"/>
  <c r="CB120" i="1" s="1"/>
  <c r="CW119" i="1"/>
  <c r="CZ119" i="1" s="1"/>
  <c r="BQ119" i="1"/>
  <c r="BT119" i="1" s="1"/>
  <c r="DY117" i="1"/>
  <c r="EB117" i="1" s="1"/>
  <c r="BQ117" i="1"/>
  <c r="BT117" i="1" s="1"/>
  <c r="CO116" i="1"/>
  <c r="CR116" i="1" s="1"/>
  <c r="DQ115" i="1"/>
  <c r="DT115" i="1" s="1"/>
  <c r="CO115" i="1"/>
  <c r="CR115" i="1" s="1"/>
  <c r="BM115" i="1"/>
  <c r="BP115" i="1" s="1"/>
  <c r="AO115" i="1"/>
  <c r="AR115" i="1" s="1"/>
  <c r="DU113" i="1"/>
  <c r="DX113" i="1" s="1"/>
  <c r="BU199" i="1"/>
  <c r="BX199" i="1" s="1"/>
  <c r="DI194" i="1"/>
  <c r="DL194" i="1" s="1"/>
  <c r="CK193" i="1"/>
  <c r="CN193" i="1" s="1"/>
  <c r="CC191" i="1"/>
  <c r="CF191" i="1" s="1"/>
  <c r="CG189" i="1"/>
  <c r="CJ189" i="1" s="1"/>
  <c r="BU186" i="1"/>
  <c r="BX186" i="1" s="1"/>
  <c r="BY185" i="1"/>
  <c r="CB185" i="1" s="1"/>
  <c r="BY184" i="1"/>
  <c r="CB184" i="1" s="1"/>
  <c r="CS137" i="1"/>
  <c r="CV137" i="1" s="1"/>
  <c r="AW137" i="1"/>
  <c r="AZ137" i="1" s="1"/>
  <c r="BA132" i="1"/>
  <c r="BD132" i="1" s="1"/>
  <c r="BM131" i="1"/>
  <c r="BP131" i="1" s="1"/>
  <c r="CW129" i="1"/>
  <c r="CZ129" i="1" s="1"/>
  <c r="BE129" i="1"/>
  <c r="AO126" i="1"/>
  <c r="AR126" i="1" s="1"/>
  <c r="DQ125" i="1"/>
  <c r="DT125" i="1" s="1"/>
  <c r="BI125" i="1"/>
  <c r="BL125" i="1" s="1"/>
  <c r="DU123" i="1"/>
  <c r="DX123" i="1" s="1"/>
  <c r="BM123" i="1"/>
  <c r="BP123" i="1" s="1"/>
  <c r="AK123" i="1"/>
  <c r="AN123" i="1" s="1"/>
  <c r="DM122" i="1"/>
  <c r="DP122" i="1" s="1"/>
  <c r="BG122" i="1"/>
  <c r="EG122" i="1" s="1"/>
  <c r="CC121" i="1"/>
  <c r="CF121" i="1" s="1"/>
  <c r="DA120" i="1"/>
  <c r="DD120" i="1" s="1"/>
  <c r="AW120" i="1"/>
  <c r="AZ120" i="1" s="1"/>
  <c r="DY119" i="1"/>
  <c r="EB119" i="1" s="1"/>
  <c r="CS119" i="1"/>
  <c r="CV119" i="1" s="1"/>
  <c r="AO119" i="1"/>
  <c r="AR119" i="1" s="1"/>
  <c r="CS117" i="1"/>
  <c r="CV117" i="1" s="1"/>
  <c r="AO117" i="1"/>
  <c r="AR117" i="1" s="1"/>
  <c r="DQ116" i="1"/>
  <c r="DT116" i="1" s="1"/>
  <c r="BI116" i="1"/>
  <c r="BL116" i="1" s="1"/>
  <c r="AK116" i="1"/>
  <c r="AN116" i="1" s="1"/>
  <c r="BM199" i="1"/>
  <c r="BP199" i="1" s="1"/>
  <c r="CK197" i="1"/>
  <c r="CN197" i="1" s="1"/>
  <c r="CG193" i="1"/>
  <c r="CJ193" i="1" s="1"/>
  <c r="BY187" i="1"/>
  <c r="CB187" i="1" s="1"/>
  <c r="BF185" i="1"/>
  <c r="EF185" i="1" s="1"/>
  <c r="BQ184" i="1"/>
  <c r="BT184" i="1" s="1"/>
  <c r="CC138" i="1"/>
  <c r="CF138" i="1" s="1"/>
  <c r="CK132" i="1"/>
  <c r="CN132" i="1" s="1"/>
  <c r="AO132" i="1"/>
  <c r="AR132" i="1" s="1"/>
  <c r="DE131" i="1"/>
  <c r="DH131" i="1" s="1"/>
  <c r="CS129" i="1"/>
  <c r="CV129" i="1" s="1"/>
  <c r="CS126" i="1"/>
  <c r="CV126" i="1" s="1"/>
  <c r="BM126" i="1"/>
  <c r="BP126" i="1" s="1"/>
  <c r="CK125" i="1"/>
  <c r="CN125" i="1" s="1"/>
  <c r="AG125" i="1"/>
  <c r="CO123" i="1"/>
  <c r="CR123" i="1" s="1"/>
  <c r="BI123" i="1"/>
  <c r="BL123" i="1" s="1"/>
  <c r="CG122" i="1"/>
  <c r="CJ122" i="1" s="1"/>
  <c r="BF122" i="1"/>
  <c r="EF122" i="1" s="1"/>
  <c r="DE121" i="1"/>
  <c r="DH121" i="1" s="1"/>
  <c r="BA121" i="1"/>
  <c r="BD121" i="1" s="1"/>
  <c r="BU120" i="1"/>
  <c r="BX120" i="1" s="1"/>
  <c r="DU119" i="1"/>
  <c r="DX119" i="1" s="1"/>
  <c r="BM119" i="1"/>
  <c r="BP119" i="1" s="1"/>
  <c r="DU117" i="1"/>
  <c r="DX117" i="1" s="1"/>
  <c r="BM117" i="1"/>
  <c r="BP117" i="1" s="1"/>
  <c r="CK116" i="1"/>
  <c r="CN116" i="1" s="1"/>
  <c r="DM115" i="1"/>
  <c r="DP115" i="1" s="1"/>
  <c r="CK115" i="1"/>
  <c r="CN115" i="1" s="1"/>
  <c r="BI115" i="1"/>
  <c r="BL115" i="1" s="1"/>
  <c r="AK115" i="1"/>
  <c r="AN115" i="1" s="1"/>
  <c r="BG230" i="1"/>
  <c r="EG230" i="1" s="1"/>
  <c r="BM192" i="1"/>
  <c r="BP192" i="1" s="1"/>
  <c r="DU187" i="1"/>
  <c r="DX187" i="1" s="1"/>
  <c r="BA185" i="1"/>
  <c r="BD185" i="1" s="1"/>
  <c r="BM138" i="1"/>
  <c r="BP138" i="1" s="1"/>
  <c r="CG137" i="1"/>
  <c r="CJ137" i="1" s="1"/>
  <c r="DU132" i="1"/>
  <c r="DX132" i="1" s="1"/>
  <c r="BI132" i="1"/>
  <c r="BL132" i="1" s="1"/>
  <c r="AS129" i="1"/>
  <c r="AV129" i="1" s="1"/>
  <c r="CW125" i="1"/>
  <c r="CZ125" i="1" s="1"/>
  <c r="BF125" i="1"/>
  <c r="EF125" i="1" s="1"/>
  <c r="CK123" i="1"/>
  <c r="CN123" i="1" s="1"/>
  <c r="DU122" i="1"/>
  <c r="DX122" i="1" s="1"/>
  <c r="AS122" i="1"/>
  <c r="AV122" i="1" s="1"/>
  <c r="BQ121" i="1"/>
  <c r="BT121" i="1" s="1"/>
  <c r="BG120" i="1"/>
  <c r="EG120" i="1" s="1"/>
  <c r="CG119" i="1"/>
  <c r="CJ119" i="1" s="1"/>
  <c r="AW119" i="1"/>
  <c r="AZ119" i="1" s="1"/>
  <c r="DM117" i="1"/>
  <c r="DP117" i="1" s="1"/>
  <c r="BY117" i="1"/>
  <c r="CB117" i="1" s="1"/>
  <c r="AO116" i="1"/>
  <c r="AR116" i="1" s="1"/>
  <c r="BY115" i="1"/>
  <c r="CB115" i="1" s="1"/>
  <c r="AW115" i="1"/>
  <c r="AZ115" i="1" s="1"/>
  <c r="CO114" i="1"/>
  <c r="CR114" i="1" s="1"/>
  <c r="BF113" i="1"/>
  <c r="EF113" i="1" s="1"/>
  <c r="DI112" i="1"/>
  <c r="DL112" i="1" s="1"/>
  <c r="CG112" i="1"/>
  <c r="CJ112" i="1" s="1"/>
  <c r="BG112" i="1"/>
  <c r="EG112" i="1" s="1"/>
  <c r="AG112" i="1"/>
  <c r="DM110" i="1"/>
  <c r="DP110" i="1" s="1"/>
  <c r="CK110" i="1"/>
  <c r="CN110" i="1" s="1"/>
  <c r="BI110" i="1"/>
  <c r="BL110" i="1" s="1"/>
  <c r="AK110" i="1"/>
  <c r="AN110" i="1" s="1"/>
  <c r="DQ108" i="1"/>
  <c r="DT108" i="1" s="1"/>
  <c r="CO108" i="1"/>
  <c r="CR108" i="1" s="1"/>
  <c r="BM108" i="1"/>
  <c r="BP108" i="1" s="1"/>
  <c r="AO108" i="1"/>
  <c r="AR108" i="1" s="1"/>
  <c r="DU106" i="1"/>
  <c r="DX106" i="1" s="1"/>
  <c r="CS106" i="1"/>
  <c r="CV106" i="1" s="1"/>
  <c r="BQ106" i="1"/>
  <c r="BT106" i="1" s="1"/>
  <c r="AS106" i="1"/>
  <c r="AV106" i="1" s="1"/>
  <c r="BI192" i="1"/>
  <c r="BL192" i="1" s="1"/>
  <c r="CS187" i="1"/>
  <c r="CV187" i="1" s="1"/>
  <c r="BU183" i="1"/>
  <c r="BX183" i="1" s="1"/>
  <c r="BF193" i="1"/>
  <c r="EF193" i="1" s="1"/>
  <c r="AS191" i="1"/>
  <c r="AV191" i="1" s="1"/>
  <c r="DA188" i="1"/>
  <c r="DD188" i="1" s="1"/>
  <c r="AS184" i="1"/>
  <c r="AV184" i="1" s="1"/>
  <c r="DE190" i="1"/>
  <c r="DH190" i="1" s="1"/>
  <c r="CW184" i="1"/>
  <c r="CZ184" i="1" s="1"/>
  <c r="DU137" i="1"/>
  <c r="DX137" i="1" s="1"/>
  <c r="AG137" i="1"/>
  <c r="BF132" i="1"/>
  <c r="EF132" i="1" s="1"/>
  <c r="AG131" i="1"/>
  <c r="CO129" i="1"/>
  <c r="CR129" i="1" s="1"/>
  <c r="CO126" i="1"/>
  <c r="CR126" i="1" s="1"/>
  <c r="BU125" i="1"/>
  <c r="BX125" i="1" s="1"/>
  <c r="DA123" i="1"/>
  <c r="DD123" i="1" s="1"/>
  <c r="BF123" i="1"/>
  <c r="EF123" i="1" s="1"/>
  <c r="DY122" i="1"/>
  <c r="EB122" i="1" s="1"/>
  <c r="BY122" i="1"/>
  <c r="CB122" i="1" s="1"/>
  <c r="AK122" i="1"/>
  <c r="AN122" i="1" s="1"/>
  <c r="CW121" i="1"/>
  <c r="CZ121" i="1" s="1"/>
  <c r="BG121" i="1"/>
  <c r="EG121" i="1" s="1"/>
  <c r="CC120" i="1"/>
  <c r="CF120" i="1" s="1"/>
  <c r="AK120" i="1"/>
  <c r="AN120" i="1" s="1"/>
  <c r="DA119" i="1"/>
  <c r="DD119" i="1" s="1"/>
  <c r="BG119" i="1"/>
  <c r="EG119" i="1" s="1"/>
  <c r="CG117" i="1"/>
  <c r="CJ117" i="1" s="1"/>
  <c r="AS117" i="1"/>
  <c r="AV117" i="1" s="1"/>
  <c r="BQ116" i="1"/>
  <c r="BT116" i="1" s="1"/>
  <c r="DA115" i="1"/>
  <c r="DD115" i="1" s="1"/>
  <c r="BQ115" i="1"/>
  <c r="BT115" i="1" s="1"/>
  <c r="BY114" i="1"/>
  <c r="CB114" i="1" s="1"/>
  <c r="DQ113" i="1"/>
  <c r="DT113" i="1" s="1"/>
  <c r="BI113" i="1"/>
  <c r="BL113" i="1" s="1"/>
  <c r="BE112" i="1"/>
  <c r="BY111" i="1"/>
  <c r="CB111" i="1" s="1"/>
  <c r="CW110" i="1"/>
  <c r="CZ110" i="1" s="1"/>
  <c r="AS110" i="1"/>
  <c r="AV110" i="1" s="1"/>
  <c r="DU109" i="1"/>
  <c r="DX109" i="1" s="1"/>
  <c r="BM109" i="1"/>
  <c r="BP109" i="1" s="1"/>
  <c r="AK109" i="1"/>
  <c r="AN109" i="1" s="1"/>
  <c r="DM108" i="1"/>
  <c r="DP108" i="1" s="1"/>
  <c r="BG108" i="1"/>
  <c r="EG108" i="1" s="1"/>
  <c r="CC107" i="1"/>
  <c r="CF107" i="1" s="1"/>
  <c r="DA106" i="1"/>
  <c r="DD106" i="1" s="1"/>
  <c r="AW106" i="1"/>
  <c r="AZ106" i="1" s="1"/>
  <c r="DY105" i="1"/>
  <c r="EB105" i="1" s="1"/>
  <c r="CS105" i="1"/>
  <c r="CV105" i="1" s="1"/>
  <c r="BQ105" i="1"/>
  <c r="BT105" i="1" s="1"/>
  <c r="AS105" i="1"/>
  <c r="AV105" i="1" s="1"/>
  <c r="DY103" i="1"/>
  <c r="EB103" i="1" s="1"/>
  <c r="CW103" i="1"/>
  <c r="CZ103" i="1" s="1"/>
  <c r="BU103" i="1"/>
  <c r="BX103" i="1" s="1"/>
  <c r="AW103" i="1"/>
  <c r="AZ103" i="1" s="1"/>
  <c r="DA101" i="1"/>
  <c r="DD101" i="1" s="1"/>
  <c r="BY101" i="1"/>
  <c r="CB101" i="1" s="1"/>
  <c r="BA101" i="1"/>
  <c r="BD101" i="1" s="1"/>
  <c r="DE99" i="1"/>
  <c r="DH99" i="1" s="1"/>
  <c r="CC99" i="1"/>
  <c r="CF99" i="1" s="1"/>
  <c r="BE99" i="1"/>
  <c r="BH99" i="1" s="1"/>
  <c r="BF98" i="1"/>
  <c r="EF98" i="1" s="1"/>
  <c r="DI97" i="1"/>
  <c r="DL97" i="1" s="1"/>
  <c r="CG97" i="1"/>
  <c r="CJ97" i="1" s="1"/>
  <c r="BG97" i="1"/>
  <c r="EG97" i="1" s="1"/>
  <c r="AG97" i="1"/>
  <c r="DM95" i="1"/>
  <c r="DP95" i="1" s="1"/>
  <c r="CK95" i="1"/>
  <c r="CN95" i="1" s="1"/>
  <c r="BI95" i="1"/>
  <c r="BL95" i="1" s="1"/>
  <c r="AK95" i="1"/>
  <c r="AN95" i="1" s="1"/>
  <c r="DQ93" i="1"/>
  <c r="DT93" i="1" s="1"/>
  <c r="CO93" i="1"/>
  <c r="CR93" i="1" s="1"/>
  <c r="BM93" i="1"/>
  <c r="BP93" i="1" s="1"/>
  <c r="AO93" i="1"/>
  <c r="AR93" i="1" s="1"/>
  <c r="DU91" i="1"/>
  <c r="DX91" i="1" s="1"/>
  <c r="CS91" i="1"/>
  <c r="CV91" i="1" s="1"/>
  <c r="BQ91" i="1"/>
  <c r="BT91" i="1" s="1"/>
  <c r="AS91" i="1"/>
  <c r="AV91" i="1" s="1"/>
  <c r="DE89" i="1"/>
  <c r="DH89" i="1" s="1"/>
  <c r="CC89" i="1"/>
  <c r="CF89" i="1" s="1"/>
  <c r="BE89" i="1"/>
  <c r="CG200" i="1"/>
  <c r="CJ200" i="1" s="1"/>
  <c r="BU193" i="1"/>
  <c r="BX193" i="1" s="1"/>
  <c r="BQ190" i="1"/>
  <c r="BT190" i="1" s="1"/>
  <c r="DI137" i="1"/>
  <c r="DL137" i="1" s="1"/>
  <c r="BE132" i="1"/>
  <c r="CO131" i="1"/>
  <c r="CR131" i="1" s="1"/>
  <c r="DI125" i="1"/>
  <c r="DL125" i="1" s="1"/>
  <c r="CW123" i="1"/>
  <c r="CZ123" i="1" s="1"/>
  <c r="BE123" i="1"/>
  <c r="BF121" i="1"/>
  <c r="EF121" i="1" s="1"/>
  <c r="DQ120" i="1"/>
  <c r="DT120" i="1" s="1"/>
  <c r="BF119" i="1"/>
  <c r="EF119" i="1" s="1"/>
  <c r="AK117" i="1"/>
  <c r="AN117" i="1" s="1"/>
  <c r="DA116" i="1"/>
  <c r="DD116" i="1" s="1"/>
  <c r="AG115" i="1"/>
  <c r="DE114" i="1"/>
  <c r="DH114" i="1" s="1"/>
  <c r="AS114" i="1"/>
  <c r="AV114" i="1" s="1"/>
  <c r="CK113" i="1"/>
  <c r="CN113" i="1" s="1"/>
  <c r="AG113" i="1"/>
  <c r="CC112" i="1"/>
  <c r="CF112" i="1" s="1"/>
  <c r="DA111" i="1"/>
  <c r="DD111" i="1" s="1"/>
  <c r="AW111" i="1"/>
  <c r="AZ111" i="1" s="1"/>
  <c r="DY110" i="1"/>
  <c r="EB110" i="1" s="1"/>
  <c r="BQ110" i="1"/>
  <c r="BT110" i="1" s="1"/>
  <c r="CO109" i="1"/>
  <c r="CR109" i="1" s="1"/>
  <c r="BI109" i="1"/>
  <c r="BL109" i="1" s="1"/>
  <c r="CG108" i="1"/>
  <c r="CJ108" i="1" s="1"/>
  <c r="BF108" i="1"/>
  <c r="EF108" i="1" s="1"/>
  <c r="DE107" i="1"/>
  <c r="DH107" i="1" s="1"/>
  <c r="BA107" i="1"/>
  <c r="BD107" i="1" s="1"/>
  <c r="BU106" i="1"/>
  <c r="BX106" i="1" s="1"/>
  <c r="DU105" i="1"/>
  <c r="DX105" i="1" s="1"/>
  <c r="DU104" i="1"/>
  <c r="DX104" i="1" s="1"/>
  <c r="CS104" i="1"/>
  <c r="CV104" i="1" s="1"/>
  <c r="BQ104" i="1"/>
  <c r="BT104" i="1" s="1"/>
  <c r="AS104" i="1"/>
  <c r="AV104" i="1" s="1"/>
  <c r="BE199" i="1"/>
  <c r="BH199" i="1" s="1"/>
  <c r="BU195" i="1"/>
  <c r="BX195" i="1" s="1"/>
  <c r="BG192" i="1"/>
  <c r="EG192" i="1" s="1"/>
  <c r="AW189" i="1"/>
  <c r="AZ189" i="1" s="1"/>
  <c r="BY137" i="1"/>
  <c r="CB137" i="1" s="1"/>
  <c r="BI131" i="1"/>
  <c r="BL131" i="1" s="1"/>
  <c r="BM129" i="1"/>
  <c r="BP129" i="1" s="1"/>
  <c r="BU126" i="1"/>
  <c r="BX126" i="1" s="1"/>
  <c r="DQ123" i="1"/>
  <c r="DT123" i="1" s="1"/>
  <c r="AG123" i="1"/>
  <c r="BE122" i="1"/>
  <c r="BY121" i="1"/>
  <c r="CB121" i="1" s="1"/>
  <c r="CW120" i="1"/>
  <c r="CZ120" i="1" s="1"/>
  <c r="DQ119" i="1"/>
  <c r="DT119" i="1" s="1"/>
  <c r="CC119" i="1"/>
  <c r="CF119" i="1" s="1"/>
  <c r="DE117" i="1"/>
  <c r="DH117" i="1" s="1"/>
  <c r="BA116" i="1"/>
  <c r="BD116" i="1" s="1"/>
  <c r="CG115" i="1"/>
  <c r="CJ115" i="1" s="1"/>
  <c r="CS114" i="1"/>
  <c r="CV114" i="1" s="1"/>
  <c r="BG114" i="1"/>
  <c r="EG114" i="1" s="1"/>
  <c r="DA113" i="1"/>
  <c r="DD113" i="1" s="1"/>
  <c r="AW113" i="1"/>
  <c r="AZ113" i="1" s="1"/>
  <c r="DY112" i="1"/>
  <c r="EB112" i="1" s="1"/>
  <c r="BG188" i="1"/>
  <c r="EG188" i="1" s="1"/>
  <c r="DY137" i="1"/>
  <c r="EB137" i="1" s="1"/>
  <c r="CC126" i="1"/>
  <c r="CF126" i="1" s="1"/>
  <c r="BY123" i="1"/>
  <c r="CB123" i="1" s="1"/>
  <c r="BU122" i="1"/>
  <c r="BX122" i="1" s="1"/>
  <c r="BU121" i="1"/>
  <c r="BX121" i="1" s="1"/>
  <c r="DY120" i="1"/>
  <c r="EB120" i="1" s="1"/>
  <c r="BU119" i="1"/>
  <c r="BX119" i="1" s="1"/>
  <c r="DY116" i="1"/>
  <c r="EB116" i="1" s="1"/>
  <c r="BY116" i="1"/>
  <c r="CB116" i="1" s="1"/>
  <c r="BM112" i="1"/>
  <c r="BP112" i="1" s="1"/>
  <c r="DE111" i="1"/>
  <c r="DH111" i="1" s="1"/>
  <c r="AO111" i="1"/>
  <c r="AR111" i="1" s="1"/>
  <c r="CC110" i="1"/>
  <c r="CF110" i="1" s="1"/>
  <c r="BE109" i="1"/>
  <c r="AG108" i="1"/>
  <c r="DA107" i="1"/>
  <c r="DD107" i="1" s="1"/>
  <c r="CC106" i="1"/>
  <c r="CF106" i="1" s="1"/>
  <c r="DQ105" i="1"/>
  <c r="DT105" i="1" s="1"/>
  <c r="BF105" i="1"/>
  <c r="EF105" i="1" s="1"/>
  <c r="DA104" i="1"/>
  <c r="DD104" i="1" s="1"/>
  <c r="BU104" i="1"/>
  <c r="BX104" i="1" s="1"/>
  <c r="AO104" i="1"/>
  <c r="AR104" i="1" s="1"/>
  <c r="BF103" i="1"/>
  <c r="EF103" i="1" s="1"/>
  <c r="DE102" i="1"/>
  <c r="DH102" i="1" s="1"/>
  <c r="BA102" i="1"/>
  <c r="BD102" i="1" s="1"/>
  <c r="CW101" i="1"/>
  <c r="CZ101" i="1" s="1"/>
  <c r="AS101" i="1"/>
  <c r="AV101" i="1" s="1"/>
  <c r="DU100" i="1"/>
  <c r="DX100" i="1" s="1"/>
  <c r="BM100" i="1"/>
  <c r="BP100" i="1" s="1"/>
  <c r="CK99" i="1"/>
  <c r="CN99" i="1" s="1"/>
  <c r="CW195" i="1"/>
  <c r="CZ195" i="1" s="1"/>
  <c r="BY191" i="1"/>
  <c r="CB191" i="1" s="1"/>
  <c r="DU183" i="1"/>
  <c r="DX183" i="1" s="1"/>
  <c r="DE138" i="1"/>
  <c r="DH138" i="1" s="1"/>
  <c r="AS131" i="1"/>
  <c r="AV131" i="1" s="1"/>
  <c r="BY129" i="1"/>
  <c r="CB129" i="1" s="1"/>
  <c r="DY126" i="1"/>
  <c r="EB126" i="1" s="1"/>
  <c r="DY121" i="1"/>
  <c r="EB121" i="1" s="1"/>
  <c r="BM120" i="1"/>
  <c r="BP120" i="1" s="1"/>
  <c r="DQ117" i="1"/>
  <c r="DT117" i="1" s="1"/>
  <c r="DI114" i="1"/>
  <c r="DL114" i="1" s="1"/>
  <c r="BQ114" i="1"/>
  <c r="BT114" i="1" s="1"/>
  <c r="CS113" i="1"/>
  <c r="CV113" i="1" s="1"/>
  <c r="BG113" i="1"/>
  <c r="EG113" i="1" s="1"/>
  <c r="CS112" i="1"/>
  <c r="CV112" i="1" s="1"/>
  <c r="BQ111" i="1"/>
  <c r="BT111" i="1" s="1"/>
  <c r="DI110" i="1"/>
  <c r="DL110" i="1" s="1"/>
  <c r="AW110" i="1"/>
  <c r="AZ110" i="1" s="1"/>
  <c r="DQ109" i="1"/>
  <c r="DT109" i="1" s="1"/>
  <c r="CG109" i="1"/>
  <c r="CJ109" i="1" s="1"/>
  <c r="CS108" i="1"/>
  <c r="CV108" i="1" s="1"/>
  <c r="BI108" i="1"/>
  <c r="BL108" i="1" s="1"/>
  <c r="BQ107" i="1"/>
  <c r="BT107" i="1" s="1"/>
  <c r="AK107" i="1"/>
  <c r="AN107" i="1" s="1"/>
  <c r="DI106" i="1"/>
  <c r="DL106" i="1" s="1"/>
  <c r="CG105" i="1"/>
  <c r="CJ105" i="1" s="1"/>
  <c r="BE105" i="1"/>
  <c r="DM103" i="1"/>
  <c r="DP103" i="1" s="1"/>
  <c r="CG103" i="1"/>
  <c r="CJ103" i="1" s="1"/>
  <c r="BE103" i="1"/>
  <c r="BY102" i="1"/>
  <c r="CB102" i="1" s="1"/>
  <c r="AW102" i="1"/>
  <c r="AZ102" i="1" s="1"/>
  <c r="DY101" i="1"/>
  <c r="EB101" i="1" s="1"/>
  <c r="BQ101" i="1"/>
  <c r="BT101" i="1" s="1"/>
  <c r="CO100" i="1"/>
  <c r="CR100" i="1" s="1"/>
  <c r="AK100" i="1"/>
  <c r="AN100" i="1" s="1"/>
  <c r="DM99" i="1"/>
  <c r="DP99" i="1" s="1"/>
  <c r="BG99" i="1"/>
  <c r="EG99" i="1" s="1"/>
  <c r="DE98" i="1"/>
  <c r="DH98" i="1" s="1"/>
  <c r="BA98" i="1"/>
  <c r="BD98" i="1" s="1"/>
  <c r="BU97" i="1"/>
  <c r="BX97" i="1" s="1"/>
  <c r="AW200" i="1"/>
  <c r="AZ200" i="1" s="1"/>
  <c r="BQ195" i="1"/>
  <c r="BT195" i="1" s="1"/>
  <c r="BA187" i="1"/>
  <c r="BD187" i="1" s="1"/>
  <c r="DE137" i="1"/>
  <c r="DH137" i="1" s="1"/>
  <c r="AG200" i="1"/>
  <c r="CC194" i="1"/>
  <c r="CF194" i="1" s="1"/>
  <c r="CG183" i="1"/>
  <c r="CJ183" i="1" s="1"/>
  <c r="BY194" i="1"/>
  <c r="CB194" i="1" s="1"/>
  <c r="DM190" i="1"/>
  <c r="DP190" i="1" s="1"/>
  <c r="CS138" i="1"/>
  <c r="CV138" i="1" s="1"/>
  <c r="BQ129" i="1"/>
  <c r="BT129" i="1" s="1"/>
  <c r="DQ126" i="1"/>
  <c r="DT126" i="1" s="1"/>
  <c r="BG126" i="1"/>
  <c r="EG126" i="1" s="1"/>
  <c r="BE125" i="1"/>
  <c r="BI122" i="1"/>
  <c r="BL122" i="1" s="1"/>
  <c r="DM121" i="1"/>
  <c r="DP121" i="1" s="1"/>
  <c r="BI121" i="1"/>
  <c r="BL121" i="1" s="1"/>
  <c r="BF120" i="1"/>
  <c r="EF120" i="1" s="1"/>
  <c r="DI119" i="1"/>
  <c r="DL119" i="1" s="1"/>
  <c r="BE119" i="1"/>
  <c r="DI117" i="1"/>
  <c r="DL117" i="1" s="1"/>
  <c r="BF117" i="1"/>
  <c r="EF117" i="1" s="1"/>
  <c r="BG116" i="1"/>
  <c r="EG116" i="1" s="1"/>
  <c r="DY115" i="1"/>
  <c r="EB115" i="1" s="1"/>
  <c r="BF114" i="1"/>
  <c r="EF114" i="1" s="1"/>
  <c r="DY113" i="1"/>
  <c r="EB113" i="1" s="1"/>
  <c r="BA113" i="1"/>
  <c r="BD113" i="1" s="1"/>
  <c r="DU112" i="1"/>
  <c r="DX112" i="1" s="1"/>
  <c r="BF112" i="1"/>
  <c r="EF112" i="1" s="1"/>
  <c r="CS111" i="1"/>
  <c r="CV111" i="1" s="1"/>
  <c r="BU110" i="1"/>
  <c r="BX110" i="1" s="1"/>
  <c r="DI109" i="1"/>
  <c r="DL109" i="1" s="1"/>
  <c r="AW109" i="1"/>
  <c r="AZ109" i="1" s="1"/>
  <c r="DU108" i="1"/>
  <c r="DX108" i="1" s="1"/>
  <c r="CK108" i="1"/>
  <c r="CN108" i="1" s="1"/>
  <c r="CS107" i="1"/>
  <c r="CV107" i="1" s="1"/>
  <c r="BI107" i="1"/>
  <c r="BL107" i="1" s="1"/>
  <c r="AK106" i="1"/>
  <c r="AN106" i="1" s="1"/>
  <c r="DI105" i="1"/>
  <c r="DL105" i="1" s="1"/>
  <c r="DY104" i="1"/>
  <c r="EB104" i="1" s="1"/>
  <c r="CO104" i="1"/>
  <c r="CR104" i="1" s="1"/>
  <c r="BI104" i="1"/>
  <c r="BL104" i="1" s="1"/>
  <c r="AG104" i="1"/>
  <c r="DY102" i="1"/>
  <c r="EB102" i="1" s="1"/>
  <c r="BQ102" i="1"/>
  <c r="BT102" i="1" s="1"/>
  <c r="CO101" i="1"/>
  <c r="CR101" i="1" s="1"/>
  <c r="AK101" i="1"/>
  <c r="AN101" i="1" s="1"/>
  <c r="DM100" i="1"/>
  <c r="DP100" i="1" s="1"/>
  <c r="BG100" i="1"/>
  <c r="EG100" i="1" s="1"/>
  <c r="BA99" i="1"/>
  <c r="BD99" i="1" s="1"/>
  <c r="BA199" i="1"/>
  <c r="BD199" i="1" s="1"/>
  <c r="BU194" i="1"/>
  <c r="BX194" i="1" s="1"/>
  <c r="BM190" i="1"/>
  <c r="BP190" i="1" s="1"/>
  <c r="DA186" i="1"/>
  <c r="DD186" i="1" s="1"/>
  <c r="CC137" i="1"/>
  <c r="CF137" i="1" s="1"/>
  <c r="BY132" i="1"/>
  <c r="CB132" i="1" s="1"/>
  <c r="CS131" i="1"/>
  <c r="CV131" i="1" s="1"/>
  <c r="DM126" i="1"/>
  <c r="DP126" i="1" s="1"/>
  <c r="BF126" i="1"/>
  <c r="EF126" i="1" s="1"/>
  <c r="DE125" i="1"/>
  <c r="DH125" i="1" s="1"/>
  <c r="BA125" i="1"/>
  <c r="BD125" i="1" s="1"/>
  <c r="DI123" i="1"/>
  <c r="DL123" i="1" s="1"/>
  <c r="BG123" i="1"/>
  <c r="EG123" i="1" s="1"/>
  <c r="DE122" i="1"/>
  <c r="DH122" i="1" s="1"/>
  <c r="BE117" i="1"/>
  <c r="BH117" i="1" s="1"/>
  <c r="DI116" i="1"/>
  <c r="DL116" i="1" s="1"/>
  <c r="BF116" i="1"/>
  <c r="EF116" i="1" s="1"/>
  <c r="DU115" i="1"/>
  <c r="DX115" i="1" s="1"/>
  <c r="CW114" i="1"/>
  <c r="CZ114" i="1" s="1"/>
  <c r="BE114" i="1"/>
  <c r="CW137" i="1"/>
  <c r="CZ137" i="1" s="1"/>
  <c r="BE131" i="1"/>
  <c r="BA129" i="1"/>
  <c r="BD129" i="1" s="1"/>
  <c r="DM125" i="1"/>
  <c r="DP125" i="1" s="1"/>
  <c r="AO125" i="1"/>
  <c r="AR125" i="1" s="1"/>
  <c r="CC123" i="1"/>
  <c r="CF123" i="1" s="1"/>
  <c r="DA122" i="1"/>
  <c r="DD122" i="1" s="1"/>
  <c r="AS119" i="1"/>
  <c r="AV119" i="1" s="1"/>
  <c r="CC117" i="1"/>
  <c r="CF117" i="1" s="1"/>
  <c r="BU113" i="1"/>
  <c r="BX113" i="1" s="1"/>
  <c r="CO112" i="1"/>
  <c r="CR112" i="1" s="1"/>
  <c r="AW112" i="1"/>
  <c r="AZ112" i="1" s="1"/>
  <c r="BU111" i="1"/>
  <c r="BX111" i="1" s="1"/>
  <c r="BE110" i="1"/>
  <c r="DM109" i="1"/>
  <c r="DP109" i="1" s="1"/>
  <c r="AG109" i="1"/>
  <c r="BE108" i="1"/>
  <c r="BH108" i="1" s="1"/>
  <c r="DU107" i="1"/>
  <c r="DX107" i="1" s="1"/>
  <c r="AO107" i="1"/>
  <c r="AR107" i="1" s="1"/>
  <c r="CW106" i="1"/>
  <c r="CZ106" i="1" s="1"/>
  <c r="BY104" i="1"/>
  <c r="CB104" i="1" s="1"/>
  <c r="DA103" i="1"/>
  <c r="DD103" i="1" s="1"/>
  <c r="CS102" i="1"/>
  <c r="CV102" i="1" s="1"/>
  <c r="BI102" i="1"/>
  <c r="BL102" i="1" s="1"/>
  <c r="CS101" i="1"/>
  <c r="CV101" i="1" s="1"/>
  <c r="CS99" i="1"/>
  <c r="CV99" i="1" s="1"/>
  <c r="BI99" i="1"/>
  <c r="BL99" i="1" s="1"/>
  <c r="DQ97" i="1"/>
  <c r="DT97" i="1" s="1"/>
  <c r="CK97" i="1"/>
  <c r="CN97" i="1" s="1"/>
  <c r="BF97" i="1"/>
  <c r="EF97" i="1" s="1"/>
  <c r="DE96" i="1"/>
  <c r="DH96" i="1" s="1"/>
  <c r="BA96" i="1"/>
  <c r="BD96" i="1" s="1"/>
  <c r="BU95" i="1"/>
  <c r="BX95" i="1" s="1"/>
  <c r="CS94" i="1"/>
  <c r="CV94" i="1" s="1"/>
  <c r="AO94" i="1"/>
  <c r="AR94" i="1" s="1"/>
  <c r="CK93" i="1"/>
  <c r="CN93" i="1" s="1"/>
  <c r="AG93" i="1"/>
  <c r="AK132" i="1"/>
  <c r="AN132" i="1" s="1"/>
  <c r="CG126" i="1"/>
  <c r="CJ126" i="1" s="1"/>
  <c r="DA125" i="1"/>
  <c r="DD125" i="1" s="1"/>
  <c r="CW122" i="1"/>
  <c r="CZ122" i="1" s="1"/>
  <c r="AW121" i="1"/>
  <c r="AZ121" i="1" s="1"/>
  <c r="CK120" i="1"/>
  <c r="CN120" i="1" s="1"/>
  <c r="DM119" i="1"/>
  <c r="DP119" i="1" s="1"/>
  <c r="AK119" i="1"/>
  <c r="AN119" i="1" s="1"/>
  <c r="BU117" i="1"/>
  <c r="BX117" i="1" s="1"/>
  <c r="CW116" i="1"/>
  <c r="CZ116" i="1" s="1"/>
  <c r="AS116" i="1"/>
  <c r="AV116" i="1" s="1"/>
  <c r="CC115" i="1"/>
  <c r="CF115" i="1" s="1"/>
  <c r="BU114" i="1"/>
  <c r="BX114" i="1" s="1"/>
  <c r="DM113" i="1"/>
  <c r="DP113" i="1" s="1"/>
  <c r="CK112" i="1"/>
  <c r="CN112" i="1" s="1"/>
  <c r="DM111" i="1"/>
  <c r="DP111" i="1" s="1"/>
  <c r="CO110" i="1"/>
  <c r="CR110" i="1" s="1"/>
  <c r="BU109" i="1"/>
  <c r="BX109" i="1" s="1"/>
  <c r="CW108" i="1"/>
  <c r="CZ108" i="1" s="1"/>
  <c r="BA108" i="1"/>
  <c r="BD108" i="1" s="1"/>
  <c r="DQ107" i="1"/>
  <c r="DT107" i="1" s="1"/>
  <c r="BY107" i="1"/>
  <c r="CB107" i="1" s="1"/>
  <c r="BG106" i="1"/>
  <c r="EG106" i="1" s="1"/>
  <c r="CC105" i="1"/>
  <c r="CF105" i="1" s="1"/>
  <c r="AO105" i="1"/>
  <c r="AR105" i="1" s="1"/>
  <c r="DI104" i="1"/>
  <c r="DL104" i="1" s="1"/>
  <c r="BI103" i="1"/>
  <c r="BL103" i="1" s="1"/>
  <c r="BG101" i="1"/>
  <c r="EG101" i="1" s="1"/>
  <c r="CS100" i="1"/>
  <c r="CV100" i="1" s="1"/>
  <c r="BF100" i="1"/>
  <c r="EF100" i="1" s="1"/>
  <c r="BF99" i="1"/>
  <c r="EF99" i="1" s="1"/>
  <c r="CW98" i="1"/>
  <c r="CZ98" i="1" s="1"/>
  <c r="BQ98" i="1"/>
  <c r="BT98" i="1" s="1"/>
  <c r="AO98" i="1"/>
  <c r="AR98" i="1" s="1"/>
  <c r="BE97" i="1"/>
  <c r="BH97" i="1" s="1"/>
  <c r="BY96" i="1"/>
  <c r="CB96" i="1" s="1"/>
  <c r="CW95" i="1"/>
  <c r="CZ95" i="1" s="1"/>
  <c r="AS95" i="1"/>
  <c r="AV95" i="1" s="1"/>
  <c r="DU94" i="1"/>
  <c r="DX94" i="1" s="1"/>
  <c r="BM94" i="1"/>
  <c r="BP94" i="1" s="1"/>
  <c r="AK94" i="1"/>
  <c r="AN94" i="1" s="1"/>
  <c r="DM93" i="1"/>
  <c r="DP93" i="1" s="1"/>
  <c r="BG93" i="1"/>
  <c r="EG93" i="1" s="1"/>
  <c r="CC92" i="1"/>
  <c r="CF92" i="1" s="1"/>
  <c r="DA91" i="1"/>
  <c r="DD91" i="1" s="1"/>
  <c r="AW91" i="1"/>
  <c r="AZ91" i="1" s="1"/>
  <c r="DY197" i="1"/>
  <c r="EB197" i="1" s="1"/>
  <c r="DU189" i="1"/>
  <c r="DX189" i="1" s="1"/>
  <c r="BU137" i="1"/>
  <c r="BX137" i="1" s="1"/>
  <c r="AO129" i="1"/>
  <c r="AR129" i="1" s="1"/>
  <c r="BQ123" i="1"/>
  <c r="BT123" i="1" s="1"/>
  <c r="AG119" i="1"/>
  <c r="BI117" i="1"/>
  <c r="BL117" i="1" s="1"/>
  <c r="BU115" i="1"/>
  <c r="BX115" i="1" s="1"/>
  <c r="DY114" i="1"/>
  <c r="EB114" i="1" s="1"/>
  <c r="BM114" i="1"/>
  <c r="BP114" i="1" s="1"/>
  <c r="BQ113" i="1"/>
  <c r="BT113" i="1" s="1"/>
  <c r="AS112" i="1"/>
  <c r="AV112" i="1" s="1"/>
  <c r="DI111" i="1"/>
  <c r="DL111" i="1" s="1"/>
  <c r="BM111" i="1"/>
  <c r="BP111" i="1" s="1"/>
  <c r="BA110" i="1"/>
  <c r="BD110" i="1" s="1"/>
  <c r="AG107" i="1"/>
  <c r="BF106" i="1"/>
  <c r="EF106" i="1" s="1"/>
  <c r="BY105" i="1"/>
  <c r="CB105" i="1" s="1"/>
  <c r="BM104" i="1"/>
  <c r="BP104" i="1" s="1"/>
  <c r="CS103" i="1"/>
  <c r="CV103" i="1" s="1"/>
  <c r="CO102" i="1"/>
  <c r="CR102" i="1" s="1"/>
  <c r="BG102" i="1"/>
  <c r="EG102" i="1" s="1"/>
  <c r="BF101" i="1"/>
  <c r="EF101" i="1" s="1"/>
  <c r="BE100" i="1"/>
  <c r="BH100" i="1" s="1"/>
  <c r="DY99" i="1"/>
  <c r="EB99" i="1" s="1"/>
  <c r="CO99" i="1"/>
  <c r="CR99" i="1" s="1"/>
  <c r="DM97" i="1"/>
  <c r="DP97" i="1" s="1"/>
  <c r="DA96" i="1"/>
  <c r="DD96" i="1" s="1"/>
  <c r="AW96" i="1"/>
  <c r="AZ96" i="1" s="1"/>
  <c r="DY95" i="1"/>
  <c r="EB95" i="1" s="1"/>
  <c r="BQ95" i="1"/>
  <c r="BT95" i="1" s="1"/>
  <c r="CO94" i="1"/>
  <c r="CR94" i="1" s="1"/>
  <c r="BI94" i="1"/>
  <c r="BL94" i="1" s="1"/>
  <c r="CG93" i="1"/>
  <c r="CJ93" i="1" s="1"/>
  <c r="BF93" i="1"/>
  <c r="EF93" i="1" s="1"/>
  <c r="DE92" i="1"/>
  <c r="DH92" i="1" s="1"/>
  <c r="BA92" i="1"/>
  <c r="BD92" i="1" s="1"/>
  <c r="BU91" i="1"/>
  <c r="BX91" i="1" s="1"/>
  <c r="DA89" i="1"/>
  <c r="DD89" i="1" s="1"/>
  <c r="AW89" i="1"/>
  <c r="AZ89" i="1" s="1"/>
  <c r="DY88" i="1"/>
  <c r="EB88" i="1" s="1"/>
  <c r="DY87" i="1"/>
  <c r="EB87" i="1" s="1"/>
  <c r="CW87" i="1"/>
  <c r="CZ87" i="1" s="1"/>
  <c r="BU87" i="1"/>
  <c r="BX87" i="1" s="1"/>
  <c r="AW87" i="1"/>
  <c r="AZ87" i="1" s="1"/>
  <c r="DA85" i="1"/>
  <c r="DD85" i="1" s="1"/>
  <c r="BY85" i="1"/>
  <c r="CB85" i="1" s="1"/>
  <c r="BA85" i="1"/>
  <c r="BD85" i="1" s="1"/>
  <c r="DE83" i="1"/>
  <c r="DH83" i="1" s="1"/>
  <c r="CC83" i="1"/>
  <c r="CF83" i="1" s="1"/>
  <c r="BE83" i="1"/>
  <c r="DM69" i="1"/>
  <c r="DP69" i="1" s="1"/>
  <c r="CK69" i="1"/>
  <c r="CN69" i="1" s="1"/>
  <c r="BI69" i="1"/>
  <c r="BL69" i="1" s="1"/>
  <c r="AK69" i="1"/>
  <c r="AN69" i="1" s="1"/>
  <c r="DQ67" i="1"/>
  <c r="DT67" i="1" s="1"/>
  <c r="CO67" i="1"/>
  <c r="CR67" i="1" s="1"/>
  <c r="BM67" i="1"/>
  <c r="BP67" i="1" s="1"/>
  <c r="AO67" i="1"/>
  <c r="AR67" i="1" s="1"/>
  <c r="DU65" i="1"/>
  <c r="DX65" i="1" s="1"/>
  <c r="CS65" i="1"/>
  <c r="CV65" i="1" s="1"/>
  <c r="BQ65" i="1"/>
  <c r="BT65" i="1" s="1"/>
  <c r="AS65" i="1"/>
  <c r="AV65" i="1" s="1"/>
  <c r="DY63" i="1"/>
  <c r="EB63" i="1" s="1"/>
  <c r="CW63" i="1"/>
  <c r="CZ63" i="1" s="1"/>
  <c r="BU63" i="1"/>
  <c r="BX63" i="1" s="1"/>
  <c r="AW63" i="1"/>
  <c r="AZ63" i="1" s="1"/>
  <c r="BG194" i="1"/>
  <c r="EG194" i="1" s="1"/>
  <c r="BI188" i="1"/>
  <c r="BL188" i="1" s="1"/>
  <c r="BF138" i="1"/>
  <c r="EF138" i="1" s="1"/>
  <c r="CK131" i="1"/>
  <c r="CN131" i="1" s="1"/>
  <c r="DU126" i="1"/>
  <c r="DX126" i="1" s="1"/>
  <c r="AK126" i="1"/>
  <c r="AN126" i="1" s="1"/>
  <c r="BY125" i="1"/>
  <c r="CB125" i="1" s="1"/>
  <c r="DE123" i="1"/>
  <c r="DH123" i="1" s="1"/>
  <c r="CO121" i="1"/>
  <c r="CR121" i="1" s="1"/>
  <c r="BU116" i="1"/>
  <c r="BX116" i="1" s="1"/>
  <c r="DI115" i="1"/>
  <c r="DL115" i="1" s="1"/>
  <c r="BE115" i="1"/>
  <c r="AO114" i="1"/>
  <c r="AR114" i="1" s="1"/>
  <c r="DE112" i="1"/>
  <c r="DH112" i="1" s="1"/>
  <c r="BQ112" i="1"/>
  <c r="BT112" i="1" s="1"/>
  <c r="BA111" i="1"/>
  <c r="BD111" i="1" s="1"/>
  <c r="BA109" i="1"/>
  <c r="BD109" i="1" s="1"/>
  <c r="AK108" i="1"/>
  <c r="AN108" i="1" s="1"/>
  <c r="BF107" i="1"/>
  <c r="EF107" i="1" s="1"/>
  <c r="DA105" i="1"/>
  <c r="DD105" i="1" s="1"/>
  <c r="BI105" i="1"/>
  <c r="BL105" i="1" s="1"/>
  <c r="CK104" i="1"/>
  <c r="CN104" i="1" s="1"/>
  <c r="CC103" i="1"/>
  <c r="CF103" i="1" s="1"/>
  <c r="DM102" i="1"/>
  <c r="DP102" i="1" s="1"/>
  <c r="CC102" i="1"/>
  <c r="CF102" i="1" s="1"/>
  <c r="AO102" i="1"/>
  <c r="AR102" i="1" s="1"/>
  <c r="AO101" i="1"/>
  <c r="AR101" i="1" s="1"/>
  <c r="DI100" i="1"/>
  <c r="DL100" i="1" s="1"/>
  <c r="DI99" i="1"/>
  <c r="DL99" i="1" s="1"/>
  <c r="BU99" i="1"/>
  <c r="BX99" i="1" s="1"/>
  <c r="AO99" i="1"/>
  <c r="AR99" i="1" s="1"/>
  <c r="BE98" i="1"/>
  <c r="CW97" i="1"/>
  <c r="CZ97" i="1" s="1"/>
  <c r="BQ97" i="1"/>
  <c r="BT97" i="1" s="1"/>
  <c r="CO96" i="1"/>
  <c r="CR96" i="1" s="1"/>
  <c r="AK96" i="1"/>
  <c r="AN96" i="1" s="1"/>
  <c r="CG95" i="1"/>
  <c r="CJ95" i="1" s="1"/>
  <c r="BF95" i="1"/>
  <c r="EF95" i="1" s="1"/>
  <c r="DE94" i="1"/>
  <c r="DH94" i="1" s="1"/>
  <c r="BA94" i="1"/>
  <c r="BD94" i="1" s="1"/>
  <c r="BU93" i="1"/>
  <c r="BX93" i="1" s="1"/>
  <c r="CS92" i="1"/>
  <c r="CV92" i="1" s="1"/>
  <c r="BM92" i="1"/>
  <c r="BP92" i="1" s="1"/>
  <c r="CK91" i="1"/>
  <c r="CN91" i="1" s="1"/>
  <c r="AG91" i="1"/>
  <c r="CO89" i="1"/>
  <c r="CR89" i="1" s="1"/>
  <c r="AK89" i="1"/>
  <c r="AN89" i="1" s="1"/>
  <c r="DM88" i="1"/>
  <c r="DP88" i="1" s="1"/>
  <c r="DM87" i="1"/>
  <c r="DP87" i="1" s="1"/>
  <c r="CK87" i="1"/>
  <c r="CN87" i="1" s="1"/>
  <c r="BI87" i="1"/>
  <c r="BL87" i="1" s="1"/>
  <c r="AK87" i="1"/>
  <c r="AN87" i="1" s="1"/>
  <c r="DQ85" i="1"/>
  <c r="DT85" i="1" s="1"/>
  <c r="CO85" i="1"/>
  <c r="CR85" i="1" s="1"/>
  <c r="BM85" i="1"/>
  <c r="BP85" i="1" s="1"/>
  <c r="AO85" i="1"/>
  <c r="AR85" i="1" s="1"/>
  <c r="DU83" i="1"/>
  <c r="DX83" i="1" s="1"/>
  <c r="CS83" i="1"/>
  <c r="CV83" i="1" s="1"/>
  <c r="BQ83" i="1"/>
  <c r="BT83" i="1" s="1"/>
  <c r="AS83" i="1"/>
  <c r="AV83" i="1" s="1"/>
  <c r="CS132" i="1"/>
  <c r="CV132" i="1" s="1"/>
  <c r="CG131" i="1"/>
  <c r="CJ131" i="1" s="1"/>
  <c r="BM125" i="1"/>
  <c r="BP125" i="1" s="1"/>
  <c r="BA122" i="1"/>
  <c r="BD122" i="1" s="1"/>
  <c r="AO120" i="1"/>
  <c r="AR120" i="1" s="1"/>
  <c r="CW117" i="1"/>
  <c r="CZ117" i="1" s="1"/>
  <c r="BM116" i="1"/>
  <c r="BP116" i="1" s="1"/>
  <c r="DE115" i="1"/>
  <c r="DH115" i="1" s="1"/>
  <c r="BA115" i="1"/>
  <c r="BD115" i="1" s="1"/>
  <c r="CK114" i="1"/>
  <c r="CN114" i="1" s="1"/>
  <c r="AK114" i="1"/>
  <c r="AN114" i="1" s="1"/>
  <c r="CO113" i="1"/>
  <c r="CR113" i="1" s="1"/>
  <c r="AS113" i="1"/>
  <c r="AV113" i="1" s="1"/>
  <c r="DY111" i="1"/>
  <c r="EB111" i="1" s="1"/>
  <c r="CK111" i="1"/>
  <c r="CN111" i="1" s="1"/>
  <c r="BM110" i="1"/>
  <c r="BP110" i="1" s="1"/>
  <c r="CS109" i="1"/>
  <c r="CV109" i="1" s="1"/>
  <c r="DI108" i="1"/>
  <c r="DL108" i="1" s="1"/>
  <c r="BU108" i="1"/>
  <c r="BX108" i="1" s="1"/>
  <c r="CO107" i="1"/>
  <c r="CR107" i="1" s="1"/>
  <c r="BE107" i="1"/>
  <c r="DQ106" i="1"/>
  <c r="DT106" i="1" s="1"/>
  <c r="BY106" i="1"/>
  <c r="CB106" i="1" s="1"/>
  <c r="AG106" i="1"/>
  <c r="BA104" i="1"/>
  <c r="BD104" i="1" s="1"/>
  <c r="DQ103" i="1"/>
  <c r="DT103" i="1" s="1"/>
  <c r="BY103" i="1"/>
  <c r="CB103" i="1" s="1"/>
  <c r="AO103" i="1"/>
  <c r="AR103" i="1" s="1"/>
  <c r="BU102" i="1"/>
  <c r="BX102" i="1" s="1"/>
  <c r="DI101" i="1"/>
  <c r="DL101" i="1" s="1"/>
  <c r="BU100" i="1"/>
  <c r="BX100" i="1" s="1"/>
  <c r="AO100" i="1"/>
  <c r="AR100" i="1" s="1"/>
  <c r="DM98" i="1"/>
  <c r="DP98" i="1" s="1"/>
  <c r="CG98" i="1"/>
  <c r="CJ98" i="1" s="1"/>
  <c r="AO97" i="1"/>
  <c r="AR97" i="1" s="1"/>
  <c r="DQ96" i="1"/>
  <c r="DT96" i="1" s="1"/>
  <c r="BI96" i="1"/>
  <c r="BL96" i="1" s="1"/>
  <c r="AG96" i="1"/>
  <c r="DI95" i="1"/>
  <c r="DL95" i="1" s="1"/>
  <c r="BE95" i="1"/>
  <c r="BH95" i="1" s="1"/>
  <c r="BY94" i="1"/>
  <c r="CB94" i="1" s="1"/>
  <c r="CW93" i="1"/>
  <c r="CZ93" i="1" s="1"/>
  <c r="AS93" i="1"/>
  <c r="AV93" i="1" s="1"/>
  <c r="DQ188" i="1"/>
  <c r="DT188" i="1" s="1"/>
  <c r="DM132" i="1"/>
  <c r="DP132" i="1" s="1"/>
  <c r="CG121" i="1"/>
  <c r="CJ121" i="1" s="1"/>
  <c r="AW116" i="1"/>
  <c r="AZ116" i="1" s="1"/>
  <c r="BF115" i="1"/>
  <c r="EF115" i="1" s="1"/>
  <c r="BI114" i="1"/>
  <c r="BL114" i="1" s="1"/>
  <c r="CG113" i="1"/>
  <c r="CJ113" i="1" s="1"/>
  <c r="AK111" i="1"/>
  <c r="AN111" i="1" s="1"/>
  <c r="BY110" i="1"/>
  <c r="CB110" i="1" s="1"/>
  <c r="DY109" i="1"/>
  <c r="EB109" i="1" s="1"/>
  <c r="BF109" i="1"/>
  <c r="EF109" i="1" s="1"/>
  <c r="BM107" i="1"/>
  <c r="BP107" i="1" s="1"/>
  <c r="DM106" i="1"/>
  <c r="DP106" i="1" s="1"/>
  <c r="BA106" i="1"/>
  <c r="BD106" i="1" s="1"/>
  <c r="DU103" i="1"/>
  <c r="DX103" i="1" s="1"/>
  <c r="BG103" i="1"/>
  <c r="EG103" i="1" s="1"/>
  <c r="DI102" i="1"/>
  <c r="DL102" i="1" s="1"/>
  <c r="BE102" i="1"/>
  <c r="DE101" i="1"/>
  <c r="DH101" i="1" s="1"/>
  <c r="CS98" i="1"/>
  <c r="CV98" i="1" s="1"/>
  <c r="DY96" i="1"/>
  <c r="EB96" i="1" s="1"/>
  <c r="AO96" i="1"/>
  <c r="AR96" i="1" s="1"/>
  <c r="DA95" i="1"/>
  <c r="DD95" i="1" s="1"/>
  <c r="BG95" i="1"/>
  <c r="EG95" i="1" s="1"/>
  <c r="DQ94" i="1"/>
  <c r="DT94" i="1" s="1"/>
  <c r="CS93" i="1"/>
  <c r="CV93" i="1" s="1"/>
  <c r="BA93" i="1"/>
  <c r="BD93" i="1" s="1"/>
  <c r="DM91" i="1"/>
  <c r="DP91" i="1" s="1"/>
  <c r="CC91" i="1"/>
  <c r="CF91" i="1" s="1"/>
  <c r="DY89" i="1"/>
  <c r="EB89" i="1" s="1"/>
  <c r="BQ88" i="1"/>
  <c r="BT88" i="1" s="1"/>
  <c r="AO88" i="1"/>
  <c r="AR88" i="1" s="1"/>
  <c r="CG87" i="1"/>
  <c r="CJ87" i="1" s="1"/>
  <c r="BE87" i="1"/>
  <c r="CW86" i="1"/>
  <c r="CZ86" i="1" s="1"/>
  <c r="BQ86" i="1"/>
  <c r="BT86" i="1" s="1"/>
  <c r="AO86" i="1"/>
  <c r="AR86" i="1" s="1"/>
  <c r="DM85" i="1"/>
  <c r="DP85" i="1" s="1"/>
  <c r="CG85" i="1"/>
  <c r="CJ85" i="1" s="1"/>
  <c r="BE85" i="1"/>
  <c r="CW84" i="1"/>
  <c r="CZ84" i="1" s="1"/>
  <c r="BQ84" i="1"/>
  <c r="BT84" i="1" s="1"/>
  <c r="DM83" i="1"/>
  <c r="DP83" i="1" s="1"/>
  <c r="CG83" i="1"/>
  <c r="CJ83" i="1" s="1"/>
  <c r="DY69" i="1"/>
  <c r="EB69" i="1" s="1"/>
  <c r="BQ69" i="1"/>
  <c r="BT69" i="1" s="1"/>
  <c r="CO68" i="1"/>
  <c r="CR68" i="1" s="1"/>
  <c r="BI68" i="1"/>
  <c r="BL68" i="1" s="1"/>
  <c r="CG67" i="1"/>
  <c r="CJ67" i="1" s="1"/>
  <c r="BF67" i="1"/>
  <c r="EF67" i="1" s="1"/>
  <c r="DE66" i="1"/>
  <c r="DH66" i="1" s="1"/>
  <c r="BA66" i="1"/>
  <c r="BD66" i="1" s="1"/>
  <c r="BU65" i="1"/>
  <c r="BX65" i="1" s="1"/>
  <c r="DU64" i="1"/>
  <c r="DX64" i="1" s="1"/>
  <c r="BM64" i="1"/>
  <c r="BP64" i="1" s="1"/>
  <c r="CK63" i="1"/>
  <c r="CN63" i="1" s="1"/>
  <c r="AG63" i="1"/>
  <c r="DI62" i="1"/>
  <c r="DL62" i="1" s="1"/>
  <c r="BE62" i="1"/>
  <c r="BF61" i="1"/>
  <c r="EF61" i="1" s="1"/>
  <c r="DI60" i="1"/>
  <c r="DL60" i="1" s="1"/>
  <c r="CG60" i="1"/>
  <c r="CJ60" i="1" s="1"/>
  <c r="BG60" i="1"/>
  <c r="EG60" i="1" s="1"/>
  <c r="AG60" i="1"/>
  <c r="DY56" i="1"/>
  <c r="EB56" i="1" s="1"/>
  <c r="CW56" i="1"/>
  <c r="CZ56" i="1" s="1"/>
  <c r="BU56" i="1"/>
  <c r="BX56" i="1" s="1"/>
  <c r="AW56" i="1"/>
  <c r="AZ56" i="1" s="1"/>
  <c r="DU52" i="1"/>
  <c r="DX52" i="1" s="1"/>
  <c r="CS52" i="1"/>
  <c r="CV52" i="1" s="1"/>
  <c r="BQ52" i="1"/>
  <c r="BT52" i="1" s="1"/>
  <c r="AS52" i="1"/>
  <c r="AV52" i="1" s="1"/>
  <c r="DY50" i="1"/>
  <c r="EB50" i="1" s="1"/>
  <c r="CW50" i="1"/>
  <c r="CZ50" i="1" s="1"/>
  <c r="BU50" i="1"/>
  <c r="BX50" i="1" s="1"/>
  <c r="AW50" i="1"/>
  <c r="AZ50" i="1" s="1"/>
  <c r="BF31" i="1"/>
  <c r="EF31" i="1" s="1"/>
  <c r="EF7" i="1" s="1"/>
  <c r="BM186" i="1"/>
  <c r="BP186" i="1" s="1"/>
  <c r="CG125" i="1"/>
  <c r="CJ125" i="1" s="1"/>
  <c r="BI120" i="1"/>
  <c r="BL120" i="1" s="1"/>
  <c r="BA119" i="1"/>
  <c r="BD119" i="1" s="1"/>
  <c r="AG117" i="1"/>
  <c r="AG116" i="1"/>
  <c r="AS115" i="1"/>
  <c r="AV115" i="1" s="1"/>
  <c r="CC113" i="1"/>
  <c r="CF113" i="1" s="1"/>
  <c r="DQ112" i="1"/>
  <c r="DT112" i="1" s="1"/>
  <c r="BA112" i="1"/>
  <c r="BD112" i="1" s="1"/>
  <c r="AG111" i="1"/>
  <c r="DE109" i="1"/>
  <c r="DH109" i="1" s="1"/>
  <c r="AO106" i="1"/>
  <c r="AR106" i="1" s="1"/>
  <c r="CK105" i="1"/>
  <c r="CN105" i="1" s="1"/>
  <c r="AW101" i="1"/>
  <c r="AZ101" i="1" s="1"/>
  <c r="CW100" i="1"/>
  <c r="CZ100" i="1" s="1"/>
  <c r="AS100" i="1"/>
  <c r="AV100" i="1" s="1"/>
  <c r="AK99" i="1"/>
  <c r="AN99" i="1" s="1"/>
  <c r="AW98" i="1"/>
  <c r="AZ98" i="1" s="1"/>
  <c r="DE97" i="1"/>
  <c r="DH97" i="1" s="1"/>
  <c r="BI97" i="1"/>
  <c r="BL97" i="1" s="1"/>
  <c r="CC96" i="1"/>
  <c r="CF96" i="1" s="1"/>
  <c r="CS95" i="1"/>
  <c r="CV95" i="1" s="1"/>
  <c r="DM94" i="1"/>
  <c r="DP94" i="1" s="1"/>
  <c r="BU94" i="1"/>
  <c r="BX94" i="1" s="1"/>
  <c r="DM92" i="1"/>
  <c r="DP92" i="1" s="1"/>
  <c r="BY92" i="1"/>
  <c r="CB92" i="1" s="1"/>
  <c r="AS92" i="1"/>
  <c r="AV92" i="1" s="1"/>
  <c r="AO91" i="1"/>
  <c r="AR91" i="1" s="1"/>
  <c r="BG89" i="1"/>
  <c r="EG89" i="1" s="1"/>
  <c r="CW88" i="1"/>
  <c r="CZ88" i="1" s="1"/>
  <c r="AK86" i="1"/>
  <c r="AN86" i="1" s="1"/>
  <c r="BM84" i="1"/>
  <c r="BP84" i="1" s="1"/>
  <c r="AK84" i="1"/>
  <c r="AN84" i="1" s="1"/>
  <c r="BA83" i="1"/>
  <c r="BD83" i="1" s="1"/>
  <c r="CS69" i="1"/>
  <c r="CV69" i="1" s="1"/>
  <c r="AO69" i="1"/>
  <c r="AR69" i="1" s="1"/>
  <c r="DQ68" i="1"/>
  <c r="DT68" i="1" s="1"/>
  <c r="CK68" i="1"/>
  <c r="CN68" i="1" s="1"/>
  <c r="AG68" i="1"/>
  <c r="DI67" i="1"/>
  <c r="DL67" i="1" s="1"/>
  <c r="BE67" i="1"/>
  <c r="BY66" i="1"/>
  <c r="CB66" i="1" s="1"/>
  <c r="CW65" i="1"/>
  <c r="CZ65" i="1" s="1"/>
  <c r="CO64" i="1"/>
  <c r="CR64" i="1" s="1"/>
  <c r="AK64" i="1"/>
  <c r="AN64" i="1" s="1"/>
  <c r="DM63" i="1"/>
  <c r="DP63" i="1" s="1"/>
  <c r="BG63" i="1"/>
  <c r="EG63" i="1" s="1"/>
  <c r="CC62" i="1"/>
  <c r="CF62" i="1" s="1"/>
  <c r="DE61" i="1"/>
  <c r="DH61" i="1" s="1"/>
  <c r="CC61" i="1"/>
  <c r="CF61" i="1" s="1"/>
  <c r="BE61" i="1"/>
  <c r="BH61" i="1" s="1"/>
  <c r="BF60" i="1"/>
  <c r="EF60" i="1" s="1"/>
  <c r="DI59" i="1"/>
  <c r="DL59" i="1" s="1"/>
  <c r="CG59" i="1"/>
  <c r="CJ59" i="1" s="1"/>
  <c r="BG59" i="1"/>
  <c r="EG59" i="1" s="1"/>
  <c r="AG59" i="1"/>
  <c r="DU57" i="1"/>
  <c r="DX57" i="1" s="1"/>
  <c r="CS57" i="1"/>
  <c r="CV57" i="1" s="1"/>
  <c r="BQ57" i="1"/>
  <c r="BT57" i="1" s="1"/>
  <c r="AS57" i="1"/>
  <c r="AV57" i="1" s="1"/>
  <c r="DU51" i="1"/>
  <c r="DX51" i="1" s="1"/>
  <c r="CS51" i="1"/>
  <c r="CV51" i="1" s="1"/>
  <c r="BQ51" i="1"/>
  <c r="BT51" i="1" s="1"/>
  <c r="AS51" i="1"/>
  <c r="AV51" i="1" s="1"/>
  <c r="CC197" i="1"/>
  <c r="CF197" i="1" s="1"/>
  <c r="DQ138" i="1"/>
  <c r="DT138" i="1" s="1"/>
  <c r="BQ132" i="1"/>
  <c r="BT132" i="1" s="1"/>
  <c r="CG123" i="1"/>
  <c r="CJ123" i="1" s="1"/>
  <c r="CC122" i="1"/>
  <c r="CF122" i="1" s="1"/>
  <c r="BM121" i="1"/>
  <c r="BP121" i="1" s="1"/>
  <c r="BA120" i="1"/>
  <c r="BD120" i="1" s="1"/>
  <c r="BA114" i="1"/>
  <c r="BD114" i="1" s="1"/>
  <c r="CO111" i="1"/>
  <c r="CR111" i="1" s="1"/>
  <c r="AS109" i="1"/>
  <c r="AV109" i="1" s="1"/>
  <c r="CC108" i="1"/>
  <c r="CF108" i="1" s="1"/>
  <c r="DY107" i="1"/>
  <c r="EB107" i="1" s="1"/>
  <c r="DE106" i="1"/>
  <c r="DH106" i="1" s="1"/>
  <c r="DI103" i="1"/>
  <c r="DL103" i="1" s="1"/>
  <c r="BA103" i="1"/>
  <c r="BD103" i="1" s="1"/>
  <c r="DA102" i="1"/>
  <c r="DD102" i="1" s="1"/>
  <c r="CK100" i="1"/>
  <c r="CN100" i="1" s="1"/>
  <c r="CG99" i="1"/>
  <c r="CJ99" i="1" s="1"/>
  <c r="CO98" i="1"/>
  <c r="CR98" i="1" s="1"/>
  <c r="DU96" i="1"/>
  <c r="DX96" i="1" s="1"/>
  <c r="BU96" i="1"/>
  <c r="BX96" i="1" s="1"/>
  <c r="BA95" i="1"/>
  <c r="BD95" i="1" s="1"/>
  <c r="AW93" i="1"/>
  <c r="AZ93" i="1" s="1"/>
  <c r="AO92" i="1"/>
  <c r="AR92" i="1" s="1"/>
  <c r="DI91" i="1"/>
  <c r="DL91" i="1" s="1"/>
  <c r="BY91" i="1"/>
  <c r="CB91" i="1" s="1"/>
  <c r="DU89" i="1"/>
  <c r="DX89" i="1" s="1"/>
  <c r="CK89" i="1"/>
  <c r="CN89" i="1" s="1"/>
  <c r="BF89" i="1"/>
  <c r="EF89" i="1" s="1"/>
  <c r="CS88" i="1"/>
  <c r="CV88" i="1" s="1"/>
  <c r="BM88" i="1"/>
  <c r="BP88" i="1" s="1"/>
  <c r="AK88" i="1"/>
  <c r="AN88" i="1" s="1"/>
  <c r="DI87" i="1"/>
  <c r="DL87" i="1" s="1"/>
  <c r="CC87" i="1"/>
  <c r="CF87" i="1" s="1"/>
  <c r="BA87" i="1"/>
  <c r="BD87" i="1" s="1"/>
  <c r="DY86" i="1"/>
  <c r="EB86" i="1" s="1"/>
  <c r="CS86" i="1"/>
  <c r="CV86" i="1" s="1"/>
  <c r="BM86" i="1"/>
  <c r="BP86" i="1" s="1"/>
  <c r="DI85" i="1"/>
  <c r="DL85" i="1" s="1"/>
  <c r="CC85" i="1"/>
  <c r="CF85" i="1" s="1"/>
  <c r="DY84" i="1"/>
  <c r="EB84" i="1" s="1"/>
  <c r="CS84" i="1"/>
  <c r="CV84" i="1" s="1"/>
  <c r="DI83" i="1"/>
  <c r="DL83" i="1" s="1"/>
  <c r="DU69" i="1"/>
  <c r="DX69" i="1" s="1"/>
  <c r="BM69" i="1"/>
  <c r="BP69" i="1" s="1"/>
  <c r="DM68" i="1"/>
  <c r="DP68" i="1" s="1"/>
  <c r="BG68" i="1"/>
  <c r="EG68" i="1" s="1"/>
  <c r="CC67" i="1"/>
  <c r="CF67" i="1" s="1"/>
  <c r="DA66" i="1"/>
  <c r="DD66" i="1" s="1"/>
  <c r="AW66" i="1"/>
  <c r="AZ66" i="1" s="1"/>
  <c r="DY65" i="1"/>
  <c r="EB65" i="1" s="1"/>
  <c r="AO65" i="1"/>
  <c r="AR65" i="1" s="1"/>
  <c r="DQ64" i="1"/>
  <c r="DT64" i="1" s="1"/>
  <c r="BI64" i="1"/>
  <c r="BL64" i="1" s="1"/>
  <c r="CG63" i="1"/>
  <c r="CJ63" i="1" s="1"/>
  <c r="BF63" i="1"/>
  <c r="EF63" i="1" s="1"/>
  <c r="DE62" i="1"/>
  <c r="DH62" i="1" s="1"/>
  <c r="BA62" i="1"/>
  <c r="BD62" i="1" s="1"/>
  <c r="DE60" i="1"/>
  <c r="DH60" i="1" s="1"/>
  <c r="CC60" i="1"/>
  <c r="CF60" i="1" s="1"/>
  <c r="BE60" i="1"/>
  <c r="BH60" i="1" s="1"/>
  <c r="BF59" i="1"/>
  <c r="EF59" i="1" s="1"/>
  <c r="DU56" i="1"/>
  <c r="DX56" i="1" s="1"/>
  <c r="CS56" i="1"/>
  <c r="CV56" i="1" s="1"/>
  <c r="BQ56" i="1"/>
  <c r="BT56" i="1" s="1"/>
  <c r="AS56" i="1"/>
  <c r="AV56" i="1" s="1"/>
  <c r="DQ52" i="1"/>
  <c r="DT52" i="1" s="1"/>
  <c r="CO52" i="1"/>
  <c r="CR52" i="1" s="1"/>
  <c r="BM52" i="1"/>
  <c r="BP52" i="1" s="1"/>
  <c r="AO52" i="1"/>
  <c r="AR52" i="1" s="1"/>
  <c r="DU50" i="1"/>
  <c r="DX50" i="1" s="1"/>
  <c r="CS50" i="1"/>
  <c r="CV50" i="1" s="1"/>
  <c r="BQ50" i="1"/>
  <c r="BT50" i="1" s="1"/>
  <c r="AS50" i="1"/>
  <c r="AV50" i="1" s="1"/>
  <c r="DY129" i="1"/>
  <c r="EB129" i="1" s="1"/>
  <c r="CK126" i="1"/>
  <c r="CN126" i="1" s="1"/>
  <c r="CC125" i="1"/>
  <c r="CF125" i="1" s="1"/>
  <c r="BQ122" i="1"/>
  <c r="BT122" i="1" s="1"/>
  <c r="AS121" i="1"/>
  <c r="AV121" i="1" s="1"/>
  <c r="BY113" i="1"/>
  <c r="CB113" i="1" s="1"/>
  <c r="DM112" i="1"/>
  <c r="DP112" i="1" s="1"/>
  <c r="CG111" i="1"/>
  <c r="CJ111" i="1" s="1"/>
  <c r="DA109" i="1"/>
  <c r="DD109" i="1" s="1"/>
  <c r="BG107" i="1"/>
  <c r="EG107" i="1" s="1"/>
  <c r="CO106" i="1"/>
  <c r="CR106" i="1" s="1"/>
  <c r="BU105" i="1"/>
  <c r="BX105" i="1" s="1"/>
  <c r="DQ104" i="1"/>
  <c r="DT104" i="1" s="1"/>
  <c r="BG104" i="1"/>
  <c r="EG104" i="1" s="1"/>
  <c r="DE103" i="1"/>
  <c r="DH103" i="1" s="1"/>
  <c r="CW102" i="1"/>
  <c r="CZ102" i="1" s="1"/>
  <c r="AS102" i="1"/>
  <c r="AV102" i="1" s="1"/>
  <c r="CK101" i="1"/>
  <c r="CN101" i="1" s="1"/>
  <c r="CG100" i="1"/>
  <c r="CJ100" i="1" s="1"/>
  <c r="AG100" i="1"/>
  <c r="AG99" i="1"/>
  <c r="AS98" i="1"/>
  <c r="AV98" i="1" s="1"/>
  <c r="DA97" i="1"/>
  <c r="DD97" i="1" s="1"/>
  <c r="BA97" i="1"/>
  <c r="BD97" i="1" s="1"/>
  <c r="CO95" i="1"/>
  <c r="CR95" i="1" s="1"/>
  <c r="DI94" i="1"/>
  <c r="DL94" i="1" s="1"/>
  <c r="BQ94" i="1"/>
  <c r="BT94" i="1" s="1"/>
  <c r="DI92" i="1"/>
  <c r="DL92" i="1" s="1"/>
  <c r="BU92" i="1"/>
  <c r="BX92" i="1" s="1"/>
  <c r="AK92" i="1"/>
  <c r="AN92" i="1" s="1"/>
  <c r="AK91" i="1"/>
  <c r="AN91" i="1" s="1"/>
  <c r="DQ89" i="1"/>
  <c r="DT89" i="1" s="1"/>
  <c r="BA193" i="1"/>
  <c r="BD193" i="1" s="1"/>
  <c r="DQ131" i="1"/>
  <c r="DT131" i="1" s="1"/>
  <c r="BU129" i="1"/>
  <c r="BX129" i="1" s="1"/>
  <c r="AS126" i="1"/>
  <c r="AV126" i="1" s="1"/>
  <c r="DU121" i="1"/>
  <c r="DX121" i="1" s="1"/>
  <c r="DM120" i="1"/>
  <c r="DP120" i="1" s="1"/>
  <c r="CO119" i="1"/>
  <c r="CR119" i="1" s="1"/>
  <c r="CG116" i="1"/>
  <c r="CJ116" i="1" s="1"/>
  <c r="BG111" i="1"/>
  <c r="EG111" i="1" s="1"/>
  <c r="DA110" i="1"/>
  <c r="DD110" i="1" s="1"/>
  <c r="CC109" i="1"/>
  <c r="CF109" i="1" s="1"/>
  <c r="CW107" i="1"/>
  <c r="CZ107" i="1" s="1"/>
  <c r="CW104" i="1"/>
  <c r="CZ104" i="1" s="1"/>
  <c r="CK103" i="1"/>
  <c r="CN103" i="1" s="1"/>
  <c r="AG103" i="1"/>
  <c r="BU101" i="1"/>
  <c r="BX101" i="1" s="1"/>
  <c r="BQ100" i="1"/>
  <c r="BT100" i="1" s="1"/>
  <c r="BM99" i="1"/>
  <c r="BP99" i="1" s="1"/>
  <c r="BU98" i="1"/>
  <c r="BX98" i="1" s="1"/>
  <c r="CC97" i="1"/>
  <c r="CF97" i="1" s="1"/>
  <c r="CW96" i="1"/>
  <c r="CZ96" i="1" s="1"/>
  <c r="BF96" i="1"/>
  <c r="EF96" i="1" s="1"/>
  <c r="BY95" i="1"/>
  <c r="CB95" i="1" s="1"/>
  <c r="AG95" i="1"/>
  <c r="DI93" i="1"/>
  <c r="DL93" i="1" s="1"/>
  <c r="BQ93" i="1"/>
  <c r="BT93" i="1" s="1"/>
  <c r="BG91" i="1"/>
  <c r="EG91" i="1" s="1"/>
  <c r="BU89" i="1"/>
  <c r="BX89" i="1" s="1"/>
  <c r="AK85" i="1"/>
  <c r="AN85" i="1" s="1"/>
  <c r="BA84" i="1"/>
  <c r="BD84" i="1" s="1"/>
  <c r="BM83" i="1"/>
  <c r="BP83" i="1" s="1"/>
  <c r="AK83" i="1"/>
  <c r="AN83" i="1" s="1"/>
  <c r="CC69" i="1"/>
  <c r="CF69" i="1" s="1"/>
  <c r="DA68" i="1"/>
  <c r="DD68" i="1" s="1"/>
  <c r="AW68" i="1"/>
  <c r="AZ68" i="1" s="1"/>
  <c r="DY67" i="1"/>
  <c r="EB67" i="1" s="1"/>
  <c r="BQ67" i="1"/>
  <c r="BT67" i="1" s="1"/>
  <c r="DQ66" i="1"/>
  <c r="DT66" i="1" s="1"/>
  <c r="BI66" i="1"/>
  <c r="BL66" i="1" s="1"/>
  <c r="CG65" i="1"/>
  <c r="CJ65" i="1" s="1"/>
  <c r="BF65" i="1"/>
  <c r="EF65" i="1" s="1"/>
  <c r="DE64" i="1"/>
  <c r="DH64" i="1" s="1"/>
  <c r="BA64" i="1"/>
  <c r="BD64" i="1" s="1"/>
  <c r="AS63" i="1"/>
  <c r="AV63" i="1" s="1"/>
  <c r="DU62" i="1"/>
  <c r="DX62" i="1" s="1"/>
  <c r="BM62" i="1"/>
  <c r="BP62" i="1" s="1"/>
  <c r="AO62" i="1"/>
  <c r="AR62" i="1" s="1"/>
  <c r="DU60" i="1"/>
  <c r="DX60" i="1" s="1"/>
  <c r="CS60" i="1"/>
  <c r="CV60" i="1" s="1"/>
  <c r="BQ60" i="1"/>
  <c r="BT60" i="1" s="1"/>
  <c r="AS60" i="1"/>
  <c r="AV60" i="1" s="1"/>
  <c r="BF57" i="1"/>
  <c r="EF57" i="1" s="1"/>
  <c r="DI56" i="1"/>
  <c r="DL56" i="1" s="1"/>
  <c r="CG56" i="1"/>
  <c r="CJ56" i="1" s="1"/>
  <c r="BG56" i="1"/>
  <c r="EG56" i="1" s="1"/>
  <c r="AG56" i="1"/>
  <c r="DE52" i="1"/>
  <c r="DH52" i="1" s="1"/>
  <c r="CC52" i="1"/>
  <c r="CF52" i="1" s="1"/>
  <c r="BE52" i="1"/>
  <c r="BF51" i="1"/>
  <c r="EF51" i="1" s="1"/>
  <c r="DI50" i="1"/>
  <c r="DL50" i="1" s="1"/>
  <c r="CG50" i="1"/>
  <c r="CJ50" i="1" s="1"/>
  <c r="BG50" i="1"/>
  <c r="EG50" i="1" s="1"/>
  <c r="AG50" i="1"/>
  <c r="DE192" i="1"/>
  <c r="DH192" i="1" s="1"/>
  <c r="AG126" i="1"/>
  <c r="DQ121" i="1"/>
  <c r="DT121" i="1" s="1"/>
  <c r="DE120" i="1"/>
  <c r="DH120" i="1" s="1"/>
  <c r="CK117" i="1"/>
  <c r="CN117" i="1" s="1"/>
  <c r="CS115" i="1"/>
  <c r="CV115" i="1" s="1"/>
  <c r="DA114" i="1"/>
  <c r="DD114" i="1" s="1"/>
  <c r="DI113" i="1"/>
  <c r="DL113" i="1" s="1"/>
  <c r="BY112" i="1"/>
  <c r="CB112" i="1" s="1"/>
  <c r="DU111" i="1"/>
  <c r="DX111" i="1" s="1"/>
  <c r="BF111" i="1"/>
  <c r="EF111" i="1" s="1"/>
  <c r="AG110" i="1"/>
  <c r="BY109" i="1"/>
  <c r="CB109" i="1" s="1"/>
  <c r="AW108" i="1"/>
  <c r="AZ108" i="1" s="1"/>
  <c r="BM106" i="1"/>
  <c r="BP106" i="1" s="1"/>
  <c r="BQ137" i="1"/>
  <c r="BT137" i="1" s="1"/>
  <c r="DA121" i="1"/>
  <c r="DD121" i="1" s="1"/>
  <c r="CK119" i="1"/>
  <c r="CN119" i="1" s="1"/>
  <c r="DE113" i="1"/>
  <c r="DH113" i="1" s="1"/>
  <c r="AO113" i="1"/>
  <c r="AR113" i="1" s="1"/>
  <c r="BE111" i="1"/>
  <c r="CS110" i="1"/>
  <c r="CV110" i="1" s="1"/>
  <c r="BQ109" i="1"/>
  <c r="BT109" i="1" s="1"/>
  <c r="CK107" i="1"/>
  <c r="CN107" i="1" s="1"/>
  <c r="DE105" i="1"/>
  <c r="DH105" i="1" s="1"/>
  <c r="AW105" i="1"/>
  <c r="AZ105" i="1" s="1"/>
  <c r="DU102" i="1"/>
  <c r="DX102" i="1" s="1"/>
  <c r="DQ101" i="1"/>
  <c r="DT101" i="1" s="1"/>
  <c r="BM101" i="1"/>
  <c r="BP101" i="1" s="1"/>
  <c r="BI100" i="1"/>
  <c r="BL100" i="1" s="1"/>
  <c r="BY97" i="1"/>
  <c r="CB97" i="1" s="1"/>
  <c r="CS96" i="1"/>
  <c r="CV96" i="1" s="1"/>
  <c r="DE93" i="1"/>
  <c r="DH93" i="1" s="1"/>
  <c r="BF92" i="1"/>
  <c r="EF92" i="1" s="1"/>
  <c r="DY91" i="1"/>
  <c r="EB91" i="1" s="1"/>
  <c r="BE91" i="1"/>
  <c r="BQ89" i="1"/>
  <c r="BT89" i="1" s="1"/>
  <c r="DI88" i="1"/>
  <c r="DL88" i="1" s="1"/>
  <c r="AG87" i="1"/>
  <c r="AW86" i="1"/>
  <c r="AZ86" i="1" s="1"/>
  <c r="BI85" i="1"/>
  <c r="BL85" i="1" s="1"/>
  <c r="AG85" i="1"/>
  <c r="BY84" i="1"/>
  <c r="CB84" i="1" s="1"/>
  <c r="AW84" i="1"/>
  <c r="AZ84" i="1" s="1"/>
  <c r="CO83" i="1"/>
  <c r="CR83" i="1" s="1"/>
  <c r="BI83" i="1"/>
  <c r="BL83" i="1" s="1"/>
  <c r="AG83" i="1"/>
  <c r="BY69" i="1"/>
  <c r="CB69" i="1" s="1"/>
  <c r="CW68" i="1"/>
  <c r="CZ68" i="1" s="1"/>
  <c r="AS68" i="1"/>
  <c r="AV68" i="1" s="1"/>
  <c r="DU67" i="1"/>
  <c r="DX67" i="1" s="1"/>
  <c r="AK67" i="1"/>
  <c r="AN67" i="1" s="1"/>
  <c r="DM66" i="1"/>
  <c r="DP66" i="1" s="1"/>
  <c r="BG66" i="1"/>
  <c r="EG66" i="1" s="1"/>
  <c r="CC65" i="1"/>
  <c r="CF65" i="1" s="1"/>
  <c r="DA64" i="1"/>
  <c r="DD64" i="1" s="1"/>
  <c r="AW64" i="1"/>
  <c r="AZ64" i="1" s="1"/>
  <c r="CS63" i="1"/>
  <c r="CV63" i="1" s="1"/>
  <c r="AO63" i="1"/>
  <c r="AR63" i="1" s="1"/>
  <c r="DQ62" i="1"/>
  <c r="DT62" i="1" s="1"/>
  <c r="BI62" i="1"/>
  <c r="BL62" i="1" s="1"/>
  <c r="AK62" i="1"/>
  <c r="AN62" i="1" s="1"/>
  <c r="DQ60" i="1"/>
  <c r="DT60" i="1" s="1"/>
  <c r="CO60" i="1"/>
  <c r="CR60" i="1" s="1"/>
  <c r="BM60" i="1"/>
  <c r="BP60" i="1" s="1"/>
  <c r="AO60" i="1"/>
  <c r="AR60" i="1" s="1"/>
  <c r="DE56" i="1"/>
  <c r="DH56" i="1" s="1"/>
  <c r="CC56" i="1"/>
  <c r="CF56" i="1" s="1"/>
  <c r="BE56" i="1"/>
  <c r="DA52" i="1"/>
  <c r="DD52" i="1" s="1"/>
  <c r="BY52" i="1"/>
  <c r="CB52" i="1" s="1"/>
  <c r="BA52" i="1"/>
  <c r="BD52" i="1" s="1"/>
  <c r="DE50" i="1"/>
  <c r="DH50" i="1" s="1"/>
  <c r="CC50" i="1"/>
  <c r="CF50" i="1" s="1"/>
  <c r="BE50" i="1"/>
  <c r="BH50" i="1" s="1"/>
  <c r="AS189" i="1"/>
  <c r="AV189" i="1" s="1"/>
  <c r="AS137" i="1"/>
  <c r="AV137" i="1" s="1"/>
  <c r="BF131" i="1"/>
  <c r="EF131" i="1" s="1"/>
  <c r="BI126" i="1"/>
  <c r="BL126" i="1" s="1"/>
  <c r="BA123" i="1"/>
  <c r="BD123" i="1" s="1"/>
  <c r="AO121" i="1"/>
  <c r="AR121" i="1" s="1"/>
  <c r="CC114" i="1"/>
  <c r="CF114" i="1" s="1"/>
  <c r="CW111" i="1"/>
  <c r="CZ111" i="1" s="1"/>
  <c r="BG109" i="1"/>
  <c r="EG109" i="1" s="1"/>
  <c r="CO105" i="1"/>
  <c r="CR105" i="1" s="1"/>
  <c r="CG104" i="1"/>
  <c r="CJ104" i="1" s="1"/>
  <c r="CK102" i="1"/>
  <c r="CN102" i="1" s="1"/>
  <c r="DU99" i="1"/>
  <c r="DX99" i="1" s="1"/>
  <c r="DY98" i="1"/>
  <c r="EB98" i="1" s="1"/>
  <c r="BG98" i="1"/>
  <c r="EG98" i="1" s="1"/>
  <c r="CG94" i="1"/>
  <c r="CJ94" i="1" s="1"/>
  <c r="AK93" i="1"/>
  <c r="AN93" i="1" s="1"/>
  <c r="CG92" i="1"/>
  <c r="CJ92" i="1" s="1"/>
  <c r="BI91" i="1"/>
  <c r="BL91" i="1" s="1"/>
  <c r="BI89" i="1"/>
  <c r="BL89" i="1" s="1"/>
  <c r="DQ88" i="1"/>
  <c r="DT88" i="1" s="1"/>
  <c r="BY87" i="1"/>
  <c r="CB87" i="1" s="1"/>
  <c r="CK86" i="1"/>
  <c r="CN86" i="1" s="1"/>
  <c r="AS86" i="1"/>
  <c r="AV86" i="1" s="1"/>
  <c r="BF85" i="1"/>
  <c r="EF85" i="1" s="1"/>
  <c r="DM84" i="1"/>
  <c r="DP84" i="1" s="1"/>
  <c r="BI84" i="1"/>
  <c r="BL84" i="1" s="1"/>
  <c r="DY83" i="1"/>
  <c r="EB83" i="1" s="1"/>
  <c r="DQ69" i="1"/>
  <c r="DT69" i="1" s="1"/>
  <c r="CS68" i="1"/>
  <c r="CV68" i="1" s="1"/>
  <c r="BA68" i="1"/>
  <c r="BD68" i="1" s="1"/>
  <c r="DM67" i="1"/>
  <c r="DP67" i="1" s="1"/>
  <c r="CK66" i="1"/>
  <c r="CN66" i="1" s="1"/>
  <c r="AS66" i="1"/>
  <c r="AV66" i="1" s="1"/>
  <c r="DE65" i="1"/>
  <c r="DH65" i="1" s="1"/>
  <c r="BI65" i="1"/>
  <c r="BL65" i="1" s="1"/>
  <c r="AO64" i="1"/>
  <c r="AR64" i="1" s="1"/>
  <c r="DA63" i="1"/>
  <c r="DD63" i="1" s="1"/>
  <c r="BE63" i="1"/>
  <c r="BU62" i="1"/>
  <c r="BX62" i="1" s="1"/>
  <c r="CW61" i="1"/>
  <c r="CZ61" i="1" s="1"/>
  <c r="DY60" i="1"/>
  <c r="EB60" i="1" s="1"/>
  <c r="DE59" i="1"/>
  <c r="DH59" i="1" s="1"/>
  <c r="BQ59" i="1"/>
  <c r="BT59" i="1" s="1"/>
  <c r="DA57" i="1"/>
  <c r="DD57" i="1" s="1"/>
  <c r="BI57" i="1"/>
  <c r="BL57" i="1" s="1"/>
  <c r="CK56" i="1"/>
  <c r="CN56" i="1" s="1"/>
  <c r="CW52" i="1"/>
  <c r="CZ52" i="1" s="1"/>
  <c r="BG52" i="1"/>
  <c r="EG52" i="1" s="1"/>
  <c r="DY51" i="1"/>
  <c r="EB51" i="1" s="1"/>
  <c r="CG51" i="1"/>
  <c r="CJ51" i="1" s="1"/>
  <c r="AO51" i="1"/>
  <c r="AR51" i="1" s="1"/>
  <c r="BM50" i="1"/>
  <c r="BP50" i="1" s="1"/>
  <c r="DQ31" i="1"/>
  <c r="BA31" i="1"/>
  <c r="DQ1" i="1"/>
  <c r="DT1" i="1" s="1"/>
  <c r="CO1" i="1"/>
  <c r="CR1" i="1" s="1"/>
  <c r="BM1" i="1"/>
  <c r="BP1" i="1" s="1"/>
  <c r="AO1" i="1"/>
  <c r="AR1" i="1" s="1"/>
  <c r="BF189" i="1"/>
  <c r="EF189" i="1" s="1"/>
  <c r="BM132" i="1"/>
  <c r="BP132" i="1" s="1"/>
  <c r="BE126" i="1"/>
  <c r="AW123" i="1"/>
  <c r="AZ123" i="1" s="1"/>
  <c r="CC111" i="1"/>
  <c r="CF111" i="1" s="1"/>
  <c r="BF110" i="1"/>
  <c r="EF110" i="1" s="1"/>
  <c r="CK106" i="1"/>
  <c r="CN106" i="1" s="1"/>
  <c r="BM105" i="1"/>
  <c r="BP105" i="1" s="1"/>
  <c r="CC104" i="1"/>
  <c r="CF104" i="1" s="1"/>
  <c r="BQ103" i="1"/>
  <c r="BT103" i="1" s="1"/>
  <c r="CG102" i="1"/>
  <c r="CJ102" i="1" s="1"/>
  <c r="CG101" i="1"/>
  <c r="CJ101" i="1" s="1"/>
  <c r="DA99" i="1"/>
  <c r="DD99" i="1" s="1"/>
  <c r="DU98" i="1"/>
  <c r="DX98" i="1" s="1"/>
  <c r="BM97" i="1"/>
  <c r="BP97" i="1" s="1"/>
  <c r="DU95" i="1"/>
  <c r="DX95" i="1" s="1"/>
  <c r="AO95" i="1"/>
  <c r="AR95" i="1" s="1"/>
  <c r="CC94" i="1"/>
  <c r="CF94" i="1" s="1"/>
  <c r="BQ92" i="1"/>
  <c r="BT92" i="1" s="1"/>
  <c r="DQ91" i="1"/>
  <c r="DT91" i="1" s="1"/>
  <c r="BA89" i="1"/>
  <c r="BD89" i="1" s="1"/>
  <c r="DE88" i="1"/>
  <c r="DH88" i="1" s="1"/>
  <c r="BG88" i="1"/>
  <c r="EG88" i="1" s="1"/>
  <c r="CG86" i="1"/>
  <c r="CJ86" i="1" s="1"/>
  <c r="AG86" i="1"/>
  <c r="CS85" i="1"/>
  <c r="CV85" i="1" s="1"/>
  <c r="BE137" i="1"/>
  <c r="BH137" i="1" s="1"/>
  <c r="AK121" i="1"/>
  <c r="AN121" i="1" s="1"/>
  <c r="AW114" i="1"/>
  <c r="AZ114" i="1" s="1"/>
  <c r="DA112" i="1"/>
  <c r="DD112" i="1" s="1"/>
  <c r="BG110" i="1"/>
  <c r="EG110" i="1" s="1"/>
  <c r="AO109" i="1"/>
  <c r="AR109" i="1" s="1"/>
  <c r="DM107" i="1"/>
  <c r="DP107" i="1" s="1"/>
  <c r="DE100" i="1"/>
  <c r="DH100" i="1" s="1"/>
  <c r="DQ99" i="1"/>
  <c r="DT99" i="1" s="1"/>
  <c r="AK98" i="1"/>
  <c r="AN98" i="1" s="1"/>
  <c r="AW95" i="1"/>
  <c r="AZ95" i="1" s="1"/>
  <c r="BF91" i="1"/>
  <c r="EF91" i="1" s="1"/>
  <c r="DI89" i="1"/>
  <c r="DL89" i="1" s="1"/>
  <c r="BI88" i="1"/>
  <c r="BL88" i="1" s="1"/>
  <c r="DU87" i="1"/>
  <c r="DX87" i="1" s="1"/>
  <c r="CW85" i="1"/>
  <c r="CZ85" i="1" s="1"/>
  <c r="AW85" i="1"/>
  <c r="AZ85" i="1" s="1"/>
  <c r="DI84" i="1"/>
  <c r="DL84" i="1" s="1"/>
  <c r="BU83" i="1"/>
  <c r="BX83" i="1" s="1"/>
  <c r="BU69" i="1"/>
  <c r="BX69" i="1" s="1"/>
  <c r="DE67" i="1"/>
  <c r="DH67" i="1" s="1"/>
  <c r="CG66" i="1"/>
  <c r="CJ66" i="1" s="1"/>
  <c r="AO66" i="1"/>
  <c r="AR66" i="1" s="1"/>
  <c r="DY64" i="1"/>
  <c r="EB64" i="1" s="1"/>
  <c r="CC64" i="1"/>
  <c r="CF64" i="1" s="1"/>
  <c r="AG64" i="1"/>
  <c r="AG62" i="1"/>
  <c r="BG61" i="1"/>
  <c r="EG61" i="1" s="1"/>
  <c r="BM59" i="1"/>
  <c r="BP59" i="1" s="1"/>
  <c r="BF52" i="1"/>
  <c r="EF52" i="1" s="1"/>
  <c r="DQ51" i="1"/>
  <c r="DT51" i="1" s="1"/>
  <c r="CC51" i="1"/>
  <c r="CF51" i="1" s="1"/>
  <c r="CG31" i="1"/>
  <c r="AS123" i="1"/>
  <c r="AV123" i="1" s="1"/>
  <c r="AG114" i="1"/>
  <c r="CW112" i="1"/>
  <c r="CZ112" i="1" s="1"/>
  <c r="DI107" i="1"/>
  <c r="DL107" i="1" s="1"/>
  <c r="BF104" i="1"/>
  <c r="EF104" i="1" s="1"/>
  <c r="DQ98" i="1"/>
  <c r="DT98" i="1" s="1"/>
  <c r="AG98" i="1"/>
  <c r="CK96" i="1"/>
  <c r="CN96" i="1" s="1"/>
  <c r="DQ95" i="1"/>
  <c r="DT95" i="1" s="1"/>
  <c r="DA93" i="1"/>
  <c r="DD93" i="1" s="1"/>
  <c r="DE91" i="1"/>
  <c r="DH91" i="1" s="1"/>
  <c r="BA91" i="1"/>
  <c r="BD91" i="1" s="1"/>
  <c r="CW89" i="1"/>
  <c r="CZ89" i="1" s="1"/>
  <c r="BF88" i="1"/>
  <c r="EF88" i="1" s="1"/>
  <c r="DQ87" i="1"/>
  <c r="DT87" i="1" s="1"/>
  <c r="BQ87" i="1"/>
  <c r="BT87" i="1" s="1"/>
  <c r="CC86" i="1"/>
  <c r="CF86" i="1" s="1"/>
  <c r="AS85" i="1"/>
  <c r="AV85" i="1" s="1"/>
  <c r="DA84" i="1"/>
  <c r="DD84" i="1" s="1"/>
  <c r="BF84" i="1"/>
  <c r="EF84" i="1" s="1"/>
  <c r="DI69" i="1"/>
  <c r="DL69" i="1" s="1"/>
  <c r="DA67" i="1"/>
  <c r="DD67" i="1" s="1"/>
  <c r="CC66" i="1"/>
  <c r="CF66" i="1" s="1"/>
  <c r="AK66" i="1"/>
  <c r="AN66" i="1" s="1"/>
  <c r="BE65" i="1"/>
  <c r="DM64" i="1"/>
  <c r="DP64" i="1" s="1"/>
  <c r="BU64" i="1"/>
  <c r="BX64" i="1" s="1"/>
  <c r="CO63" i="1"/>
  <c r="CR63" i="1" s="1"/>
  <c r="CO61" i="1"/>
  <c r="CR61" i="1" s="1"/>
  <c r="AK60" i="1"/>
  <c r="AN60" i="1" s="1"/>
  <c r="CW185" i="1"/>
  <c r="CZ185" i="1" s="1"/>
  <c r="DI122" i="1"/>
  <c r="DL122" i="1" s="1"/>
  <c r="CO120" i="1"/>
  <c r="CR120" i="1" s="1"/>
  <c r="CO117" i="1"/>
  <c r="CR117" i="1" s="1"/>
  <c r="CW115" i="1"/>
  <c r="CZ115" i="1" s="1"/>
  <c r="BI111" i="1"/>
  <c r="BL111" i="1" s="1"/>
  <c r="AO110" i="1"/>
  <c r="AR110" i="1" s="1"/>
  <c r="DY108" i="1"/>
  <c r="EB108" i="1" s="1"/>
  <c r="CG106" i="1"/>
  <c r="CJ106" i="1" s="1"/>
  <c r="BG105" i="1"/>
  <c r="EG105" i="1" s="1"/>
  <c r="BE104" i="1"/>
  <c r="BH104" i="1" s="1"/>
  <c r="BM103" i="1"/>
  <c r="BP103" i="1" s="1"/>
  <c r="BM102" i="1"/>
  <c r="BP102" i="1" s="1"/>
  <c r="CC101" i="1"/>
  <c r="CF101" i="1" s="1"/>
  <c r="CC100" i="1"/>
  <c r="CF100" i="1" s="1"/>
  <c r="CW99" i="1"/>
  <c r="CZ99" i="1" s="1"/>
  <c r="DI98" i="1"/>
  <c r="DL98" i="1" s="1"/>
  <c r="AW97" i="1"/>
  <c r="AZ97" i="1" s="1"/>
  <c r="CG96" i="1"/>
  <c r="CJ96" i="1" s="1"/>
  <c r="BG94" i="1"/>
  <c r="EG94" i="1" s="1"/>
  <c r="DY92" i="1"/>
  <c r="EB92" i="1" s="1"/>
  <c r="BI92" i="1"/>
  <c r="BL92" i="1" s="1"/>
  <c r="DA88" i="1"/>
  <c r="DD88" i="1" s="1"/>
  <c r="BE88" i="1"/>
  <c r="BM87" i="1"/>
  <c r="BP87" i="1" s="1"/>
  <c r="DU86" i="1"/>
  <c r="DX86" i="1" s="1"/>
  <c r="BY86" i="1"/>
  <c r="CB86" i="1" s="1"/>
  <c r="CK85" i="1"/>
  <c r="CN85" i="1" s="1"/>
  <c r="BE84" i="1"/>
  <c r="DE69" i="1"/>
  <c r="DH69" i="1" s="1"/>
  <c r="DY68" i="1"/>
  <c r="EB68" i="1" s="1"/>
  <c r="CC68" i="1"/>
  <c r="CF68" i="1" s="1"/>
  <c r="AO68" i="1"/>
  <c r="AR68" i="1" s="1"/>
  <c r="BG67" i="1"/>
  <c r="EG67" i="1" s="1"/>
  <c r="DU66" i="1"/>
  <c r="DX66" i="1" s="1"/>
  <c r="BU66" i="1"/>
  <c r="BX66" i="1" s="1"/>
  <c r="AG66" i="1"/>
  <c r="CO65" i="1"/>
  <c r="CR65" i="1" s="1"/>
  <c r="BA65" i="1"/>
  <c r="BD65" i="1" s="1"/>
  <c r="BQ64" i="1"/>
  <c r="BT64" i="1" s="1"/>
  <c r="CK61" i="1"/>
  <c r="CN61" i="1" s="1"/>
  <c r="AW61" i="1"/>
  <c r="AZ61" i="1" s="1"/>
  <c r="DM60" i="1"/>
  <c r="DP60" i="1" s="1"/>
  <c r="BU60" i="1"/>
  <c r="BX60" i="1" s="1"/>
  <c r="CW59" i="1"/>
  <c r="CZ59" i="1" s="1"/>
  <c r="BE59" i="1"/>
  <c r="BA57" i="1"/>
  <c r="BD57" i="1" s="1"/>
  <c r="BY56" i="1"/>
  <c r="CB56" i="1" s="1"/>
  <c r="AK56" i="1"/>
  <c r="AN56" i="1" s="1"/>
  <c r="AW52" i="1"/>
  <c r="AZ52" i="1" s="1"/>
  <c r="BU51" i="1"/>
  <c r="BX51" i="1" s="1"/>
  <c r="AG51" i="1"/>
  <c r="DA129" i="1"/>
  <c r="DD129" i="1" s="1"/>
  <c r="DM116" i="1"/>
  <c r="DP116" i="1" s="1"/>
  <c r="DU114" i="1"/>
  <c r="DX114" i="1" s="1"/>
  <c r="BM113" i="1"/>
  <c r="BP113" i="1" s="1"/>
  <c r="CW109" i="1"/>
  <c r="CZ109" i="1" s="1"/>
  <c r="AW107" i="1"/>
  <c r="AZ107" i="1" s="1"/>
  <c r="AG102" i="1"/>
  <c r="AG101" i="1"/>
  <c r="BY98" i="1"/>
  <c r="CB98" i="1" s="1"/>
  <c r="CS97" i="1"/>
  <c r="CV97" i="1" s="1"/>
  <c r="BE96" i="1"/>
  <c r="CC95" i="1"/>
  <c r="CF95" i="1" s="1"/>
  <c r="CG91" i="1"/>
  <c r="CJ91" i="1" s="1"/>
  <c r="CG88" i="1"/>
  <c r="CJ88" i="1" s="1"/>
  <c r="AG88" i="1"/>
  <c r="CS87" i="1"/>
  <c r="CV87" i="1" s="1"/>
  <c r="DE86" i="1"/>
  <c r="DH86" i="1" s="1"/>
  <c r="BG86" i="1"/>
  <c r="EG86" i="1" s="1"/>
  <c r="CG84" i="1"/>
  <c r="CJ84" i="1" s="1"/>
  <c r="AG84" i="1"/>
  <c r="AW69" i="1"/>
  <c r="AZ69" i="1" s="1"/>
  <c r="AS67" i="1"/>
  <c r="AV67" i="1" s="1"/>
  <c r="CW64" i="1"/>
  <c r="CZ64" i="1" s="1"/>
  <c r="BE64" i="1"/>
  <c r="BH64" i="1" s="1"/>
  <c r="DQ63" i="1"/>
  <c r="DT63" i="1" s="1"/>
  <c r="CO62" i="1"/>
  <c r="CR62" i="1" s="1"/>
  <c r="AW62" i="1"/>
  <c r="AZ62" i="1" s="1"/>
  <c r="DM61" i="1"/>
  <c r="DP61" i="1" s="1"/>
  <c r="BU61" i="1"/>
  <c r="BX61" i="1" s="1"/>
  <c r="CW60" i="1"/>
  <c r="CZ60" i="1" s="1"/>
  <c r="DY59" i="1"/>
  <c r="EB59" i="1" s="1"/>
  <c r="CC59" i="1"/>
  <c r="CF59" i="1" s="1"/>
  <c r="AS59" i="1"/>
  <c r="AV59" i="1" s="1"/>
  <c r="BY57" i="1"/>
  <c r="CB57" i="1" s="1"/>
  <c r="AK57" i="1"/>
  <c r="AN57" i="1" s="1"/>
  <c r="DA56" i="1"/>
  <c r="DD56" i="1" s="1"/>
  <c r="BI56" i="1"/>
  <c r="BL56" i="1" s="1"/>
  <c r="BU52" i="1"/>
  <c r="BX52" i="1" s="1"/>
  <c r="AG52" i="1"/>
  <c r="CW51" i="1"/>
  <c r="CZ51" i="1" s="1"/>
  <c r="BG51" i="1"/>
  <c r="EG51" i="1" s="1"/>
  <c r="AO50" i="1"/>
  <c r="AR50" i="1" s="1"/>
  <c r="AG31" i="1"/>
  <c r="AW122" i="1"/>
  <c r="AZ122" i="1" s="1"/>
  <c r="BA117" i="1"/>
  <c r="BD117" i="1" s="1"/>
  <c r="CG107" i="1"/>
  <c r="CJ107" i="1" s="1"/>
  <c r="CW105" i="1"/>
  <c r="CZ105" i="1" s="1"/>
  <c r="BY100" i="1"/>
  <c r="CB100" i="1" s="1"/>
  <c r="AS99" i="1"/>
  <c r="AV99" i="1" s="1"/>
  <c r="BM96" i="1"/>
  <c r="BP96" i="1" s="1"/>
  <c r="CW92" i="1"/>
  <c r="CZ92" i="1" s="1"/>
  <c r="CO91" i="1"/>
  <c r="CR91" i="1" s="1"/>
  <c r="CK83" i="1"/>
  <c r="CN83" i="1" s="1"/>
  <c r="BA69" i="1"/>
  <c r="BD69" i="1" s="1"/>
  <c r="CG68" i="1"/>
  <c r="CJ68" i="1" s="1"/>
  <c r="BA67" i="1"/>
  <c r="BD67" i="1" s="1"/>
  <c r="BM65" i="1"/>
  <c r="BP65" i="1" s="1"/>
  <c r="BY63" i="1"/>
  <c r="CB63" i="1" s="1"/>
  <c r="DM62" i="1"/>
  <c r="DP62" i="1" s="1"/>
  <c r="DQ57" i="1"/>
  <c r="DT57" i="1" s="1"/>
  <c r="BF56" i="1"/>
  <c r="EF56" i="1" s="1"/>
  <c r="DM51" i="1"/>
  <c r="DP51" i="1" s="1"/>
  <c r="CW1" i="1"/>
  <c r="CZ1" i="1" s="1"/>
  <c r="AG1" i="1"/>
  <c r="DQ111" i="1"/>
  <c r="DT111" i="1" s="1"/>
  <c r="CK109" i="1"/>
  <c r="CN109" i="1" s="1"/>
  <c r="BU107" i="1"/>
  <c r="BX107" i="1" s="1"/>
  <c r="BA105" i="1"/>
  <c r="BD105" i="1" s="1"/>
  <c r="CO97" i="1"/>
  <c r="CR97" i="1" s="1"/>
  <c r="BG96" i="1"/>
  <c r="EG96" i="1" s="1"/>
  <c r="DU93" i="1"/>
  <c r="DX93" i="1" s="1"/>
  <c r="CO92" i="1"/>
  <c r="CR92" i="1" s="1"/>
  <c r="CG89" i="1"/>
  <c r="CJ89" i="1" s="1"/>
  <c r="AS87" i="1"/>
  <c r="AV87" i="1" s="1"/>
  <c r="BI86" i="1"/>
  <c r="BL86" i="1" s="1"/>
  <c r="DU84" i="1"/>
  <c r="DX84" i="1" s="1"/>
  <c r="CS66" i="1"/>
  <c r="CV66" i="1" s="1"/>
  <c r="BQ63" i="1"/>
  <c r="BT63" i="1" s="1"/>
  <c r="DA62" i="1"/>
  <c r="DD62" i="1" s="1"/>
  <c r="AS62" i="1"/>
  <c r="AV62" i="1" s="1"/>
  <c r="CG61" i="1"/>
  <c r="CJ61" i="1" s="1"/>
  <c r="DM59" i="1"/>
  <c r="DP59" i="1" s="1"/>
  <c r="BA59" i="1"/>
  <c r="BD59" i="1" s="1"/>
  <c r="DM57" i="1"/>
  <c r="DP57" i="1" s="1"/>
  <c r="BG57" i="1"/>
  <c r="EG57" i="1" s="1"/>
  <c r="BI52" i="1"/>
  <c r="BL52" i="1" s="1"/>
  <c r="DI51" i="1"/>
  <c r="DL51" i="1" s="1"/>
  <c r="BE51" i="1"/>
  <c r="BH51" i="1" s="1"/>
  <c r="DA50" i="1"/>
  <c r="DD50" i="1" s="1"/>
  <c r="BA50" i="1"/>
  <c r="BD50" i="1" s="1"/>
  <c r="CW31" i="1"/>
  <c r="CZ31" i="1" s="1"/>
  <c r="BG31" i="1"/>
  <c r="BI1" i="1"/>
  <c r="BL1" i="1" s="1"/>
  <c r="CS1" i="1"/>
  <c r="CV1" i="1" s="1"/>
  <c r="DU116" i="1"/>
  <c r="DX116" i="1" s="1"/>
  <c r="AK105" i="1"/>
  <c r="AN105" i="1" s="1"/>
  <c r="CO103" i="1"/>
  <c r="CR103" i="1" s="1"/>
  <c r="DU101" i="1"/>
  <c r="DX101" i="1" s="1"/>
  <c r="CC93" i="1"/>
  <c r="CF93" i="1" s="1"/>
  <c r="CK92" i="1"/>
  <c r="CN92" i="1" s="1"/>
  <c r="CO88" i="1"/>
  <c r="CR88" i="1" s="1"/>
  <c r="DQ84" i="1"/>
  <c r="DT84" i="1" s="1"/>
  <c r="AS84" i="1"/>
  <c r="AV84" i="1" s="1"/>
  <c r="BY83" i="1"/>
  <c r="CB83" i="1" s="1"/>
  <c r="DA69" i="1"/>
  <c r="DD69" i="1" s="1"/>
  <c r="AS69" i="1"/>
  <c r="AV69" i="1" s="1"/>
  <c r="BY68" i="1"/>
  <c r="CB68" i="1" s="1"/>
  <c r="AW67" i="1"/>
  <c r="AZ67" i="1" s="1"/>
  <c r="CO66" i="1"/>
  <c r="CR66" i="1" s="1"/>
  <c r="BG65" i="1"/>
  <c r="EG65" i="1" s="1"/>
  <c r="CS64" i="1"/>
  <c r="CV64" i="1" s="1"/>
  <c r="BM63" i="1"/>
  <c r="BP63" i="1" s="1"/>
  <c r="CW62" i="1"/>
  <c r="CZ62" i="1" s="1"/>
  <c r="BY61" i="1"/>
  <c r="CB61" i="1" s="1"/>
  <c r="BI60" i="1"/>
  <c r="BL60" i="1" s="1"/>
  <c r="DA59" i="1"/>
  <c r="DD59" i="1" s="1"/>
  <c r="BE57" i="1"/>
  <c r="BA56" i="1"/>
  <c r="BD56" i="1" s="1"/>
  <c r="DM52" i="1"/>
  <c r="DP52" i="1" s="1"/>
  <c r="DE51" i="1"/>
  <c r="DH51" i="1" s="1"/>
  <c r="BA51" i="1"/>
  <c r="BD51" i="1" s="1"/>
  <c r="CS31" i="1"/>
  <c r="BE31" i="1"/>
  <c r="CS125" i="1"/>
  <c r="CV125" i="1" s="1"/>
  <c r="BG125" i="1"/>
  <c r="EG125" i="1" s="1"/>
  <c r="CG120" i="1"/>
  <c r="CJ120" i="1" s="1"/>
  <c r="BE116" i="1"/>
  <c r="BE113" i="1"/>
  <c r="DE108" i="1"/>
  <c r="DH108" i="1" s="1"/>
  <c r="DY106" i="1"/>
  <c r="EB106" i="1" s="1"/>
  <c r="DM104" i="1"/>
  <c r="DP104" i="1" s="1"/>
  <c r="AK103" i="1"/>
  <c r="AN103" i="1" s="1"/>
  <c r="CC98" i="1"/>
  <c r="CF98" i="1" s="1"/>
  <c r="AS97" i="1"/>
  <c r="AV97" i="1" s="1"/>
  <c r="BE92" i="1"/>
  <c r="BH92" i="1" s="1"/>
  <c r="CC88" i="1"/>
  <c r="CF88" i="1" s="1"/>
  <c r="DA87" i="1"/>
  <c r="DD87" i="1" s="1"/>
  <c r="BA86" i="1"/>
  <c r="BD86" i="1" s="1"/>
  <c r="BQ85" i="1"/>
  <c r="BT85" i="1" s="1"/>
  <c r="CO84" i="1"/>
  <c r="CR84" i="1" s="1"/>
  <c r="BG83" i="1"/>
  <c r="EG83" i="1" s="1"/>
  <c r="CO69" i="1"/>
  <c r="CR69" i="1" s="1"/>
  <c r="BM68" i="1"/>
  <c r="BP68" i="1" s="1"/>
  <c r="CW67" i="1"/>
  <c r="CZ67" i="1" s="1"/>
  <c r="BQ66" i="1"/>
  <c r="BT66" i="1" s="1"/>
  <c r="DM65" i="1"/>
  <c r="DP65" i="1" s="1"/>
  <c r="CG64" i="1"/>
  <c r="CJ64" i="1" s="1"/>
  <c r="BA63" i="1"/>
  <c r="BD63" i="1" s="1"/>
  <c r="CK62" i="1"/>
  <c r="CN62" i="1" s="1"/>
  <c r="DY61" i="1"/>
  <c r="EB61" i="1" s="1"/>
  <c r="BQ61" i="1"/>
  <c r="BT61" i="1" s="1"/>
  <c r="CO59" i="1"/>
  <c r="CR59" i="1" s="1"/>
  <c r="CW57" i="1"/>
  <c r="CZ57" i="1" s="1"/>
  <c r="AO57" i="1"/>
  <c r="AR57" i="1" s="1"/>
  <c r="CO56" i="1"/>
  <c r="CR56" i="1" s="1"/>
  <c r="CO51" i="1"/>
  <c r="CR51" i="1" s="1"/>
  <c r="AK51" i="1"/>
  <c r="AN51" i="1" s="1"/>
  <c r="CK50" i="1"/>
  <c r="CN50" i="1" s="1"/>
  <c r="AK50" i="1"/>
  <c r="AN50" i="1" s="1"/>
  <c r="CK31" i="1"/>
  <c r="AS31" i="1"/>
  <c r="DU1" i="1"/>
  <c r="DX1" i="1" s="1"/>
  <c r="BE1" i="1"/>
  <c r="AW125" i="1"/>
  <c r="AZ125" i="1" s="1"/>
  <c r="DU110" i="1"/>
  <c r="DX110" i="1" s="1"/>
  <c r="DE104" i="1"/>
  <c r="DH104" i="1" s="1"/>
  <c r="BI101" i="1"/>
  <c r="BL101" i="1" s="1"/>
  <c r="AK97" i="1"/>
  <c r="AN97" i="1" s="1"/>
  <c r="DE95" i="1"/>
  <c r="DH95" i="1" s="1"/>
  <c r="CW94" i="1"/>
  <c r="CZ94" i="1" s="1"/>
  <c r="BI93" i="1"/>
  <c r="BL93" i="1" s="1"/>
  <c r="AS125" i="1"/>
  <c r="AV125" i="1" s="1"/>
  <c r="AG120" i="1"/>
  <c r="DQ110" i="1"/>
  <c r="DT110" i="1" s="1"/>
  <c r="DA108" i="1"/>
  <c r="DD108" i="1" s="1"/>
  <c r="BI106" i="1"/>
  <c r="BL106" i="1" s="1"/>
  <c r="BE101" i="1"/>
  <c r="BH101" i="1" s="1"/>
  <c r="BM98" i="1"/>
  <c r="BP98" i="1" s="1"/>
  <c r="BQ138" i="1"/>
  <c r="BT138" i="1" s="1"/>
  <c r="DY123" i="1"/>
  <c r="EB123" i="1" s="1"/>
  <c r="AK113" i="1"/>
  <c r="AN113" i="1" s="1"/>
  <c r="DE110" i="1"/>
  <c r="DH110" i="1" s="1"/>
  <c r="BY108" i="1"/>
  <c r="CB108" i="1" s="1"/>
  <c r="BE106" i="1"/>
  <c r="BH106" i="1" s="1"/>
  <c r="DQ102" i="1"/>
  <c r="DT102" i="1" s="1"/>
  <c r="BY99" i="1"/>
  <c r="CB99" i="1" s="1"/>
  <c r="BI98" i="1"/>
  <c r="BL98" i="1" s="1"/>
  <c r="BF94" i="1"/>
  <c r="EF94" i="1" s="1"/>
  <c r="AG92" i="1"/>
  <c r="AO89" i="1"/>
  <c r="AR89" i="1" s="1"/>
  <c r="BU88" i="1"/>
  <c r="BX88" i="1" s="1"/>
  <c r="DI86" i="1"/>
  <c r="DL86" i="1" s="1"/>
  <c r="BG85" i="1"/>
  <c r="EG85" i="1" s="1"/>
  <c r="DQ83" i="1"/>
  <c r="DT83" i="1" s="1"/>
  <c r="CK67" i="1"/>
  <c r="CN67" i="1" s="1"/>
  <c r="DY66" i="1"/>
  <c r="EB66" i="1" s="1"/>
  <c r="BF66" i="1"/>
  <c r="EF66" i="1" s="1"/>
  <c r="DE63" i="1"/>
  <c r="DH63" i="1" s="1"/>
  <c r="AK63" i="1"/>
  <c r="AN63" i="1" s="1"/>
  <c r="BY62" i="1"/>
  <c r="CB62" i="1" s="1"/>
  <c r="DQ61" i="1"/>
  <c r="DT61" i="1" s="1"/>
  <c r="BA61" i="1"/>
  <c r="BD61" i="1" s="1"/>
  <c r="AG57" i="1"/>
  <c r="CK52" i="1"/>
  <c r="CN52" i="1" s="1"/>
  <c r="BY50" i="1"/>
  <c r="CB50" i="1" s="1"/>
  <c r="DU31" i="1"/>
  <c r="AK31" i="1"/>
  <c r="CC1" i="1"/>
  <c r="CF1" i="1" s="1"/>
  <c r="AW1" i="1"/>
  <c r="AZ1" i="1" s="1"/>
  <c r="BM57" i="1"/>
  <c r="BP57" i="1" s="1"/>
  <c r="DU59" i="1"/>
  <c r="DX59" i="1" s="1"/>
  <c r="CK64" i="1"/>
  <c r="CN64" i="1" s="1"/>
  <c r="CW66" i="1"/>
  <c r="CZ66" i="1" s="1"/>
  <c r="DA94" i="1"/>
  <c r="DD94" i="1" s="1"/>
  <c r="BF86" i="1"/>
  <c r="EF86" i="1" s="1"/>
  <c r="EC18" i="1"/>
  <c r="ED18" i="1" s="1"/>
  <c r="CK57" i="1"/>
  <c r="CN57" i="1" s="1"/>
  <c r="AO61" i="1"/>
  <c r="AR61" i="1" s="1"/>
  <c r="BU84" i="1"/>
  <c r="BX84" i="1" s="1"/>
  <c r="BU85" i="1"/>
  <c r="BX85" i="1" s="1"/>
  <c r="DE87" i="1"/>
  <c r="DH87" i="1" s="1"/>
  <c r="BE93" i="1"/>
  <c r="DU97" i="1"/>
  <c r="DX97" i="1" s="1"/>
  <c r="AS108" i="1"/>
  <c r="AV108" i="1" s="1"/>
  <c r="BF1" i="1"/>
  <c r="EF1" i="1" s="1"/>
  <c r="EC17" i="1"/>
  <c r="ED17" i="1" s="1"/>
  <c r="EC19" i="1"/>
  <c r="ED19" i="1" s="1"/>
  <c r="EE23" i="1"/>
  <c r="BQ1" i="1"/>
  <c r="BT1" i="1" s="1"/>
  <c r="DM1" i="1"/>
  <c r="DP1" i="1" s="1"/>
  <c r="EC22" i="1"/>
  <c r="ED22" i="1" s="1"/>
  <c r="EC23" i="1"/>
  <c r="ED23" i="1" s="1"/>
  <c r="CZ32" i="1"/>
  <c r="EC32" i="1" s="1"/>
  <c r="ED32" i="1" s="1"/>
  <c r="EE32" i="1"/>
  <c r="CO50" i="1"/>
  <c r="CR50" i="1" s="1"/>
  <c r="BY51" i="1"/>
  <c r="CB51" i="1" s="1"/>
  <c r="DI57" i="1"/>
  <c r="DL57" i="1" s="1"/>
  <c r="BY59" i="1"/>
  <c r="CB59" i="1" s="1"/>
  <c r="BI61" i="1"/>
  <c r="BL61" i="1" s="1"/>
  <c r="BF62" i="1"/>
  <c r="EF62" i="1" s="1"/>
  <c r="AW65" i="1"/>
  <c r="AZ65" i="1" s="1"/>
  <c r="BE69" i="1"/>
  <c r="CK84" i="1"/>
  <c r="CN84" i="1" s="1"/>
  <c r="AS88" i="1"/>
  <c r="AV88" i="1" s="1"/>
  <c r="DY93" i="1"/>
  <c r="EB93" i="1" s="1"/>
  <c r="CK98" i="1"/>
  <c r="CN98" i="1" s="1"/>
  <c r="DM101" i="1"/>
  <c r="DP101" i="1" s="1"/>
  <c r="AG105" i="1"/>
  <c r="CZ17" i="1"/>
  <c r="EE17" i="1"/>
  <c r="CO31" i="1"/>
  <c r="DM50" i="1"/>
  <c r="DP50" i="1" s="1"/>
  <c r="CK51" i="1"/>
  <c r="CN51" i="1" s="1"/>
  <c r="EE54" i="1"/>
  <c r="CZ54" i="1"/>
  <c r="AO56" i="1"/>
  <c r="AR56" i="1" s="1"/>
  <c r="DY57" i="1"/>
  <c r="EB57" i="1" s="1"/>
  <c r="CK59" i="1"/>
  <c r="CN59" i="1" s="1"/>
  <c r="BY60" i="1"/>
  <c r="CB60" i="1" s="1"/>
  <c r="BM61" i="1"/>
  <c r="BP61" i="1" s="1"/>
  <c r="BG62" i="1"/>
  <c r="EG62" i="1" s="1"/>
  <c r="BI63" i="1"/>
  <c r="BL63" i="1" s="1"/>
  <c r="BF64" i="1"/>
  <c r="EF64" i="1" s="1"/>
  <c r="BE66" i="1"/>
  <c r="BI67" i="1"/>
  <c r="BL67" i="1" s="1"/>
  <c r="BE68" i="1"/>
  <c r="BH68" i="1" s="1"/>
  <c r="BF69" i="1"/>
  <c r="EF69" i="1" s="1"/>
  <c r="EC79" i="1"/>
  <c r="ED79" i="1" s="1"/>
  <c r="EE80" i="1"/>
  <c r="CW83" i="1"/>
  <c r="CZ83" i="1" s="1"/>
  <c r="AW88" i="1"/>
  <c r="AZ88" i="1" s="1"/>
  <c r="BY89" i="1"/>
  <c r="CB89" i="1" s="1"/>
  <c r="AG94" i="1"/>
  <c r="AS96" i="1"/>
  <c r="AV96" i="1" s="1"/>
  <c r="DA98" i="1"/>
  <c r="DD98" i="1" s="1"/>
  <c r="CW113" i="1"/>
  <c r="CZ113" i="1" s="1"/>
  <c r="EC42" i="1"/>
  <c r="ED42" i="1" s="1"/>
  <c r="DA60" i="1"/>
  <c r="DD60" i="1" s="1"/>
  <c r="DA92" i="1"/>
  <c r="DD92" i="1" s="1"/>
  <c r="EC34" i="1"/>
  <c r="ED34" i="1" s="1"/>
  <c r="EE10" i="1"/>
  <c r="EC20" i="1"/>
  <c r="ED20" i="1" s="1"/>
  <c r="DQ86" i="1"/>
  <c r="DT86" i="1" s="1"/>
  <c r="BU1" i="1"/>
  <c r="BX1" i="1" s="1"/>
  <c r="DA31" i="1"/>
  <c r="BH33" i="1"/>
  <c r="EE33" i="1"/>
  <c r="EC49" i="1"/>
  <c r="ED49" i="1" s="1"/>
  <c r="CK60" i="1"/>
  <c r="CN60" i="1" s="1"/>
  <c r="BG64" i="1"/>
  <c r="EG64" i="1" s="1"/>
  <c r="BU67" i="1"/>
  <c r="BX67" i="1" s="1"/>
  <c r="BF68" i="1"/>
  <c r="EF68" i="1" s="1"/>
  <c r="BG69" i="1"/>
  <c r="EG69" i="1" s="1"/>
  <c r="EC80" i="1"/>
  <c r="ED80" i="1" s="1"/>
  <c r="DE84" i="1"/>
  <c r="DH84" i="1" s="1"/>
  <c r="DU85" i="1"/>
  <c r="DX85" i="1" s="1"/>
  <c r="AO87" i="1"/>
  <c r="AR87" i="1" s="1"/>
  <c r="BA88" i="1"/>
  <c r="BD88" i="1" s="1"/>
  <c r="CS89" i="1"/>
  <c r="CV89" i="1" s="1"/>
  <c r="AS94" i="1"/>
  <c r="AV94" i="1" s="1"/>
  <c r="AK102" i="1"/>
  <c r="AN102" i="1" s="1"/>
  <c r="CG114" i="1"/>
  <c r="CJ114" i="1" s="1"/>
  <c r="EE177" i="1"/>
  <c r="BH177" i="1"/>
  <c r="DE31" i="1"/>
  <c r="EF44" i="1"/>
  <c r="BH44" i="1"/>
  <c r="EC44" i="1" s="1"/>
  <c r="ED44" i="1" s="1"/>
  <c r="DQ50" i="1"/>
  <c r="DT50" i="1" s="1"/>
  <c r="CS59" i="1"/>
  <c r="CV59" i="1" s="1"/>
  <c r="BQ62" i="1"/>
  <c r="BT62" i="1" s="1"/>
  <c r="BY65" i="1"/>
  <c r="CB65" i="1" s="1"/>
  <c r="BM66" i="1"/>
  <c r="BP66" i="1" s="1"/>
  <c r="BQ68" i="1"/>
  <c r="BT68" i="1" s="1"/>
  <c r="DA83" i="1"/>
  <c r="DD83" i="1" s="1"/>
  <c r="DY85" i="1"/>
  <c r="EB85" i="1" s="1"/>
  <c r="BF87" i="1"/>
  <c r="EF87" i="1" s="1"/>
  <c r="DM89" i="1"/>
  <c r="DP89" i="1" s="1"/>
  <c r="AW92" i="1"/>
  <c r="AZ92" i="1" s="1"/>
  <c r="AW94" i="1"/>
  <c r="AZ94" i="1" s="1"/>
  <c r="BQ96" i="1"/>
  <c r="BT96" i="1" s="1"/>
  <c r="AW99" i="1"/>
  <c r="AZ99" i="1" s="1"/>
  <c r="BF102" i="1"/>
  <c r="EF102" i="1" s="1"/>
  <c r="DM105" i="1"/>
  <c r="DP105" i="1" s="1"/>
  <c r="DM114" i="1"/>
  <c r="DP114" i="1" s="1"/>
  <c r="BH11" i="1"/>
  <c r="EC11" i="1" s="1"/>
  <c r="ED11" i="1" s="1"/>
  <c r="EC13" i="1"/>
  <c r="ED13" i="1" s="1"/>
  <c r="BH16" i="1"/>
  <c r="EC16" i="1" s="1"/>
  <c r="ED16" i="1" s="1"/>
  <c r="EC43" i="1"/>
  <c r="ED43" i="1" s="1"/>
  <c r="EC71" i="1"/>
  <c r="ED71" i="1" s="1"/>
  <c r="EC90" i="1"/>
  <c r="ED90" i="1" s="1"/>
  <c r="EC177" i="1"/>
  <c r="ED177" i="1" s="1"/>
  <c r="EC15" i="1"/>
  <c r="ED15" i="1" s="1"/>
  <c r="EE21" i="1"/>
  <c r="CZ21" i="1"/>
  <c r="CZ7" i="1" s="1"/>
  <c r="EE72" i="1"/>
  <c r="BD72" i="1"/>
  <c r="EC72" i="1" s="1"/>
  <c r="ED72" i="1" s="1"/>
  <c r="BH20" i="1"/>
  <c r="CV45" i="1"/>
  <c r="EC45" i="1" s="1"/>
  <c r="ED45" i="1" s="1"/>
  <c r="BD74" i="1"/>
  <c r="EC74" i="1" s="1"/>
  <c r="ED74" i="1" s="1"/>
  <c r="EE11" i="1"/>
  <c r="BH27" i="1"/>
  <c r="EE38" i="1"/>
  <c r="CZ38" i="1"/>
  <c r="EC38" i="1" s="1"/>
  <c r="ED38" i="1" s="1"/>
  <c r="BH58" i="1"/>
  <c r="EC58" i="1" s="1"/>
  <c r="ED58" i="1" s="1"/>
  <c r="EE75" i="1"/>
  <c r="BD75" i="1"/>
  <c r="BH29" i="1"/>
  <c r="EC29" i="1" s="1"/>
  <c r="ED29" i="1" s="1"/>
  <c r="EC73" i="1"/>
  <c r="ED73" i="1" s="1"/>
  <c r="EC76" i="1"/>
  <c r="ED76" i="1" s="1"/>
  <c r="EE29" i="1"/>
  <c r="EC35" i="1"/>
  <c r="ED35" i="1" s="1"/>
  <c r="EC75" i="1"/>
  <c r="ED75" i="1" s="1"/>
  <c r="CZ133" i="1"/>
  <c r="EC133" i="1" s="1"/>
  <c r="ED133" i="1" s="1"/>
  <c r="EE133" i="1"/>
  <c r="EC160" i="1"/>
  <c r="ED160" i="1" s="1"/>
  <c r="EC118" i="1"/>
  <c r="ED118" i="1" s="1"/>
  <c r="EC148" i="1"/>
  <c r="ED148" i="1" s="1"/>
  <c r="EE73" i="1"/>
  <c r="BH130" i="1"/>
  <c r="EF170" i="1"/>
  <c r="BH170" i="1"/>
  <c r="EC170" i="1" s="1"/>
  <c r="ED170" i="1" s="1"/>
  <c r="BH135" i="1"/>
  <c r="EE135" i="1"/>
  <c r="EC146" i="1"/>
  <c r="ED146" i="1" s="1"/>
  <c r="EC162" i="1"/>
  <c r="ED162" i="1" s="1"/>
  <c r="EE134" i="1"/>
  <c r="BH134" i="1"/>
  <c r="EC134" i="1" s="1"/>
  <c r="ED134" i="1" s="1"/>
  <c r="EE127" i="1"/>
  <c r="BH127" i="1"/>
  <c r="EC141" i="1"/>
  <c r="ED141" i="1" s="1"/>
  <c r="CZ141" i="1"/>
  <c r="EE141" i="1"/>
  <c r="EC152" i="1"/>
  <c r="ED152" i="1" s="1"/>
  <c r="EC165" i="1"/>
  <c r="ED165" i="1" s="1"/>
  <c r="EC173" i="1"/>
  <c r="ED173" i="1" s="1"/>
  <c r="BH124" i="1"/>
  <c r="EC124" i="1" s="1"/>
  <c r="ED124" i="1" s="1"/>
  <c r="EF124" i="1"/>
  <c r="CZ152" i="1"/>
  <c r="EE152" i="1"/>
  <c r="EC163" i="1"/>
  <c r="ED163" i="1" s="1"/>
  <c r="CR169" i="1"/>
  <c r="EC169" i="1" s="1"/>
  <c r="ED169" i="1" s="1"/>
  <c r="EE169" i="1"/>
  <c r="BH144" i="1"/>
  <c r="EC144" i="1" s="1"/>
  <c r="ED144" i="1" s="1"/>
  <c r="EG144" i="1"/>
  <c r="EC161" i="1"/>
  <c r="ED161" i="1" s="1"/>
  <c r="EC166" i="1"/>
  <c r="ED166" i="1" s="1"/>
  <c r="CZ166" i="1"/>
  <c r="EE166" i="1"/>
  <c r="BH148" i="1"/>
  <c r="EC136" i="1"/>
  <c r="ED136" i="1" s="1"/>
  <c r="BH168" i="1"/>
  <c r="EC168" i="1" s="1"/>
  <c r="ED168" i="1" s="1"/>
  <c r="EE168" i="1"/>
  <c r="EC206" i="1"/>
  <c r="ED206" i="1" s="1"/>
  <c r="EE206" i="1"/>
  <c r="CZ206" i="1"/>
  <c r="EC180" i="1"/>
  <c r="ED180" i="1" s="1"/>
  <c r="EC196" i="1"/>
  <c r="ED196" i="1" s="1"/>
  <c r="EC156" i="1"/>
  <c r="ED156" i="1" s="1"/>
  <c r="EC221" i="1"/>
  <c r="ED221" i="1" s="1"/>
  <c r="EE150" i="1"/>
  <c r="BH150" i="1"/>
  <c r="EE171" i="1"/>
  <c r="CZ171" i="1"/>
  <c r="EC171" i="1" s="1"/>
  <c r="ED171" i="1" s="1"/>
  <c r="EC174" i="1"/>
  <c r="ED174" i="1" s="1"/>
  <c r="EC182" i="1"/>
  <c r="ED182" i="1" s="1"/>
  <c r="DT219" i="1"/>
  <c r="EC219" i="1" s="1"/>
  <c r="ED219" i="1" s="1"/>
  <c r="EE219" i="1"/>
  <c r="EC130" i="1"/>
  <c r="ED130" i="1" s="1"/>
  <c r="CJ145" i="1"/>
  <c r="EC145" i="1" s="1"/>
  <c r="ED145" i="1" s="1"/>
  <c r="BH159" i="1"/>
  <c r="EC159" i="1" s="1"/>
  <c r="ED159" i="1" s="1"/>
  <c r="EC127" i="1"/>
  <c r="ED127" i="1" s="1"/>
  <c r="EE140" i="1"/>
  <c r="BH151" i="1"/>
  <c r="EC151" i="1" s="1"/>
  <c r="ED151" i="1" s="1"/>
  <c r="BH179" i="1"/>
  <c r="BH180" i="1"/>
  <c r="EC215" i="1"/>
  <c r="ED215" i="1" s="1"/>
  <c r="EC176" i="1"/>
  <c r="ED176" i="1" s="1"/>
  <c r="EE215" i="1"/>
  <c r="CV215" i="1"/>
  <c r="EC140" i="1"/>
  <c r="ED140" i="1" s="1"/>
  <c r="EE155" i="1"/>
  <c r="CZ155" i="1"/>
  <c r="EC155" i="1" s="1"/>
  <c r="ED155" i="1" s="1"/>
  <c r="EC164" i="1"/>
  <c r="ED164" i="1" s="1"/>
  <c r="EC213" i="1"/>
  <c r="ED213" i="1" s="1"/>
  <c r="EC135" i="1"/>
  <c r="ED135" i="1" s="1"/>
  <c r="BH156" i="1"/>
  <c r="EC167" i="1"/>
  <c r="ED167" i="1" s="1"/>
  <c r="EC175" i="1"/>
  <c r="ED175" i="1" s="1"/>
  <c r="EC178" i="1"/>
  <c r="ED178" i="1" s="1"/>
  <c r="EC223" i="1"/>
  <c r="ED223" i="1" s="1"/>
  <c r="EC149" i="1"/>
  <c r="ED149" i="1" s="1"/>
  <c r="EC158" i="1"/>
  <c r="ED158" i="1" s="1"/>
  <c r="CZ163" i="1"/>
  <c r="EE163" i="1"/>
  <c r="EC202" i="1"/>
  <c r="ED202" i="1" s="1"/>
  <c r="BH213" i="1"/>
  <c r="EE213" i="1"/>
  <c r="EE214" i="1"/>
  <c r="BH214" i="1"/>
  <c r="EC214" i="1" s="1"/>
  <c r="ED214" i="1" s="1"/>
  <c r="EC224" i="1"/>
  <c r="ED224" i="1" s="1"/>
  <c r="EC207" i="1"/>
  <c r="ED207" i="1" s="1"/>
  <c r="EE147" i="1"/>
  <c r="BH147" i="1"/>
  <c r="EC147" i="1" s="1"/>
  <c r="ED147" i="1" s="1"/>
  <c r="EC179" i="1"/>
  <c r="ED179" i="1" s="1"/>
  <c r="CZ202" i="1"/>
  <c r="EE202" i="1"/>
  <c r="EE228" i="1"/>
  <c r="BH228" i="1"/>
  <c r="EE203" i="1"/>
  <c r="EE225" i="1"/>
  <c r="EC205" i="1"/>
  <c r="ED205" i="1" s="1"/>
  <c r="EC218" i="1"/>
  <c r="ED218" i="1" s="1"/>
  <c r="BH222" i="1"/>
  <c r="EC228" i="1"/>
  <c r="ED228" i="1" s="1"/>
  <c r="EC150" i="1"/>
  <c r="ED150" i="1" s="1"/>
  <c r="EC220" i="1"/>
  <c r="ED220" i="1" s="1"/>
  <c r="DP209" i="1"/>
  <c r="EC209" i="1" s="1"/>
  <c r="ED209" i="1" s="1"/>
  <c r="EE209" i="1"/>
  <c r="EC222" i="1"/>
  <c r="ED222" i="1" s="1"/>
  <c r="BH223" i="1"/>
  <c r="EC226" i="1"/>
  <c r="ED226" i="1" s="1"/>
  <c r="BH201" i="1"/>
  <c r="EC201" i="1" s="1"/>
  <c r="ED201" i="1" s="1"/>
  <c r="CV208" i="1"/>
  <c r="EC208" i="1" s="1"/>
  <c r="ED208" i="1" s="1"/>
  <c r="EC210" i="1"/>
  <c r="ED210" i="1" s="1"/>
  <c r="EE196" i="1"/>
  <c r="BH210" i="1"/>
  <c r="EC212" i="1"/>
  <c r="ED212" i="1" s="1"/>
  <c r="EC21" i="1" l="1"/>
  <c r="ED21" i="1" s="1"/>
  <c r="AJ114" i="1"/>
  <c r="EE114" i="1"/>
  <c r="BH56" i="1"/>
  <c r="BH62" i="1"/>
  <c r="BH123" i="1"/>
  <c r="BH183" i="1"/>
  <c r="AZ31" i="1"/>
  <c r="AZ7" i="1" s="1"/>
  <c r="AW7" i="1"/>
  <c r="EE110" i="1"/>
  <c r="AJ110" i="1"/>
  <c r="EC110" i="1" s="1"/>
  <c r="ED110" i="1" s="1"/>
  <c r="CJ31" i="1"/>
  <c r="CJ7" i="1" s="1"/>
  <c r="CG7" i="1"/>
  <c r="EE87" i="1"/>
  <c r="AJ87" i="1"/>
  <c r="AJ109" i="1"/>
  <c r="EE109" i="1"/>
  <c r="BH116" i="1"/>
  <c r="AJ31" i="1"/>
  <c r="AG7" i="1"/>
  <c r="EE31" i="1"/>
  <c r="EE7" i="1" s="1"/>
  <c r="AJ88" i="1"/>
  <c r="EE88" i="1"/>
  <c r="EE107" i="1"/>
  <c r="AJ107" i="1"/>
  <c r="EE104" i="1"/>
  <c r="AJ104" i="1"/>
  <c r="EC104" i="1" s="1"/>
  <c r="ED104" i="1" s="1"/>
  <c r="EE188" i="1"/>
  <c r="AJ188" i="1"/>
  <c r="BX31" i="1"/>
  <c r="BX7" i="1" s="1"/>
  <c r="BU7" i="1"/>
  <c r="BH94" i="1"/>
  <c r="EE186" i="1"/>
  <c r="AJ186" i="1"/>
  <c r="BH93" i="1"/>
  <c r="AJ51" i="1"/>
  <c r="EC51" i="1" s="1"/>
  <c r="ED51" i="1" s="1"/>
  <c r="EE51" i="1"/>
  <c r="BH88" i="1"/>
  <c r="BH52" i="1"/>
  <c r="EE99" i="1"/>
  <c r="AJ99" i="1"/>
  <c r="EC99" i="1" s="1"/>
  <c r="ED99" i="1" s="1"/>
  <c r="EE116" i="1"/>
  <c r="AJ116" i="1"/>
  <c r="BH98" i="1"/>
  <c r="BH110" i="1"/>
  <c r="BH114" i="1"/>
  <c r="BH125" i="1"/>
  <c r="BH105" i="1"/>
  <c r="AJ108" i="1"/>
  <c r="EC108" i="1" s="1"/>
  <c r="ED108" i="1" s="1"/>
  <c r="EE108" i="1"/>
  <c r="BH122" i="1"/>
  <c r="AJ113" i="1"/>
  <c r="EC113" i="1" s="1"/>
  <c r="ED113" i="1" s="1"/>
  <c r="EE113" i="1"/>
  <c r="BH132" i="1"/>
  <c r="AJ112" i="1"/>
  <c r="EC112" i="1" s="1"/>
  <c r="ED112" i="1" s="1"/>
  <c r="EE112" i="1"/>
  <c r="BH138" i="1"/>
  <c r="AJ138" i="1"/>
  <c r="EC138" i="1" s="1"/>
  <c r="ED138" i="1" s="1"/>
  <c r="EE138" i="1"/>
  <c r="EE105" i="1"/>
  <c r="AJ105" i="1"/>
  <c r="EC105" i="1" s="1"/>
  <c r="ED105" i="1" s="1"/>
  <c r="EE66" i="1"/>
  <c r="AJ66" i="1"/>
  <c r="BH65" i="1"/>
  <c r="BH91" i="1"/>
  <c r="EE100" i="1"/>
  <c r="AJ100" i="1"/>
  <c r="EC100" i="1" s="1"/>
  <c r="ED100" i="1" s="1"/>
  <c r="EE117" i="1"/>
  <c r="AJ117" i="1"/>
  <c r="EC117" i="1" s="1"/>
  <c r="ED117" i="1" s="1"/>
  <c r="BH85" i="1"/>
  <c r="EE91" i="1"/>
  <c r="AJ91" i="1"/>
  <c r="BH109" i="1"/>
  <c r="AJ123" i="1"/>
  <c r="EC123" i="1" s="1"/>
  <c r="ED123" i="1" s="1"/>
  <c r="EE123" i="1"/>
  <c r="AJ194" i="1"/>
  <c r="EE194" i="1"/>
  <c r="BH189" i="1"/>
  <c r="BH186" i="1"/>
  <c r="AJ185" i="1"/>
  <c r="EC185" i="1" s="1"/>
  <c r="ED185" i="1" s="1"/>
  <c r="EE185" i="1"/>
  <c r="BH86" i="1"/>
  <c r="DY7" i="1"/>
  <c r="EB31" i="1"/>
  <c r="EB7" i="1" s="1"/>
  <c r="EE184" i="1"/>
  <c r="AJ184" i="1"/>
  <c r="BH126" i="1"/>
  <c r="BH111" i="1"/>
  <c r="EE103" i="1"/>
  <c r="AJ103" i="1"/>
  <c r="BH120" i="1"/>
  <c r="EE187" i="1"/>
  <c r="AJ187" i="1"/>
  <c r="EE232" i="1"/>
  <c r="AJ232" i="1"/>
  <c r="EC232" i="1" s="1"/>
  <c r="ED232" i="1" s="1"/>
  <c r="EE61" i="1"/>
  <c r="AJ61" i="1"/>
  <c r="EC61" i="1" s="1"/>
  <c r="ED61" i="1" s="1"/>
  <c r="BP31" i="1"/>
  <c r="BP7" i="1" s="1"/>
  <c r="BM7" i="1"/>
  <c r="CR31" i="1"/>
  <c r="CR7" i="1" s="1"/>
  <c r="CO7" i="1"/>
  <c r="BH103" i="1"/>
  <c r="BH66" i="1"/>
  <c r="BH113" i="1"/>
  <c r="EE63" i="1"/>
  <c r="AJ63" i="1"/>
  <c r="BH131" i="1"/>
  <c r="DD31" i="1"/>
  <c r="DD7" i="1" s="1"/>
  <c r="DA7" i="1"/>
  <c r="AJ94" i="1"/>
  <c r="EC94" i="1" s="1"/>
  <c r="ED94" i="1" s="1"/>
  <c r="EE94" i="1"/>
  <c r="AK7" i="1"/>
  <c r="AN31" i="1"/>
  <c r="AN7" i="1" s="1"/>
  <c r="BH31" i="1"/>
  <c r="EE52" i="1"/>
  <c r="AJ52" i="1"/>
  <c r="EC52" i="1" s="1"/>
  <c r="ED52" i="1" s="1"/>
  <c r="BH96" i="1"/>
  <c r="EE56" i="1"/>
  <c r="AJ56" i="1"/>
  <c r="EC56" i="1" s="1"/>
  <c r="ED56" i="1" s="1"/>
  <c r="AJ131" i="1"/>
  <c r="EC131" i="1" s="1"/>
  <c r="ED131" i="1" s="1"/>
  <c r="EE131" i="1"/>
  <c r="AJ125" i="1"/>
  <c r="EC125" i="1" s="1"/>
  <c r="ED125" i="1" s="1"/>
  <c r="EE125" i="1"/>
  <c r="BH188" i="1"/>
  <c r="CB31" i="1"/>
  <c r="CB7" i="1" s="1"/>
  <c r="BY7" i="1"/>
  <c r="DU7" i="1"/>
  <c r="DX31" i="1"/>
  <c r="DX7" i="1" s="1"/>
  <c r="AJ62" i="1"/>
  <c r="EE62" i="1"/>
  <c r="AJ96" i="1"/>
  <c r="EC96" i="1" s="1"/>
  <c r="ED96" i="1" s="1"/>
  <c r="EE96" i="1"/>
  <c r="AJ115" i="1"/>
  <c r="EC115" i="1" s="1"/>
  <c r="ED115" i="1" s="1"/>
  <c r="EE115" i="1"/>
  <c r="AJ183" i="1"/>
  <c r="EE183" i="1"/>
  <c r="AJ59" i="1"/>
  <c r="EE59" i="1"/>
  <c r="EE192" i="1"/>
  <c r="AJ192" i="1"/>
  <c r="EE230" i="1"/>
  <c r="AJ230" i="1"/>
  <c r="DI7" i="1"/>
  <c r="DL31" i="1"/>
  <c r="DL7" i="1" s="1"/>
  <c r="BG7" i="1"/>
  <c r="EG31" i="1"/>
  <c r="EG7" i="1" s="1"/>
  <c r="EE101" i="1"/>
  <c r="AJ101" i="1"/>
  <c r="EC101" i="1" s="1"/>
  <c r="ED101" i="1" s="1"/>
  <c r="BH59" i="1"/>
  <c r="DT31" i="1"/>
  <c r="DT7" i="1" s="1"/>
  <c r="DQ7" i="1"/>
  <c r="BH67" i="1"/>
  <c r="BH115" i="1"/>
  <c r="BH83" i="1"/>
  <c r="EE97" i="1"/>
  <c r="AJ97" i="1"/>
  <c r="EC97" i="1" s="1"/>
  <c r="ED97" i="1" s="1"/>
  <c r="EE195" i="1"/>
  <c r="AJ195" i="1"/>
  <c r="EC195" i="1" s="1"/>
  <c r="ED195" i="1" s="1"/>
  <c r="BH194" i="1"/>
  <c r="BH231" i="1"/>
  <c r="BH187" i="1"/>
  <c r="AJ191" i="1"/>
  <c r="EC191" i="1" s="1"/>
  <c r="ED191" i="1" s="1"/>
  <c r="EE191" i="1"/>
  <c r="BH230" i="1"/>
  <c r="BE7" i="1"/>
  <c r="EE69" i="1"/>
  <c r="AJ69" i="1"/>
  <c r="CW7" i="1"/>
  <c r="AR31" i="1"/>
  <c r="AR7" i="1" s="1"/>
  <c r="AO7" i="1"/>
  <c r="EE83" i="1"/>
  <c r="AJ83" i="1"/>
  <c r="EC83" i="1" s="1"/>
  <c r="ED83" i="1" s="1"/>
  <c r="AJ64" i="1"/>
  <c r="EC64" i="1" s="1"/>
  <c r="ED64" i="1" s="1"/>
  <c r="EE64" i="1"/>
  <c r="BD31" i="1"/>
  <c r="BD7" i="1" s="1"/>
  <c r="BA7" i="1"/>
  <c r="BH89" i="1"/>
  <c r="AJ137" i="1"/>
  <c r="EC137" i="1" s="1"/>
  <c r="ED137" i="1" s="1"/>
  <c r="EE137" i="1"/>
  <c r="EE89" i="1"/>
  <c r="AJ89" i="1"/>
  <c r="BH69" i="1"/>
  <c r="EE57" i="1"/>
  <c r="AJ57" i="1"/>
  <c r="EE92" i="1"/>
  <c r="AJ92" i="1"/>
  <c r="EC92" i="1" s="1"/>
  <c r="ED92" i="1" s="1"/>
  <c r="AV31" i="1"/>
  <c r="AV7" i="1" s="1"/>
  <c r="AS7" i="1"/>
  <c r="EE102" i="1"/>
  <c r="AJ102" i="1"/>
  <c r="BH63" i="1"/>
  <c r="EE126" i="1"/>
  <c r="AJ126" i="1"/>
  <c r="EC126" i="1" s="1"/>
  <c r="ED126" i="1" s="1"/>
  <c r="AJ95" i="1"/>
  <c r="EC95" i="1" s="1"/>
  <c r="ED95" i="1" s="1"/>
  <c r="EE95" i="1"/>
  <c r="BH87" i="1"/>
  <c r="BH107" i="1"/>
  <c r="EE193" i="1"/>
  <c r="AJ193" i="1"/>
  <c r="EC193" i="1" s="1"/>
  <c r="ED193" i="1" s="1"/>
  <c r="AJ190" i="1"/>
  <c r="EE190" i="1"/>
  <c r="BH192" i="1"/>
  <c r="BH184" i="1"/>
  <c r="AJ67" i="1"/>
  <c r="EE67" i="1"/>
  <c r="BQ7" i="1"/>
  <c r="BT31" i="1"/>
  <c r="BT7" i="1" s="1"/>
  <c r="DP31" i="1"/>
  <c r="DP7" i="1" s="1"/>
  <c r="DM7" i="1"/>
  <c r="BF7" i="1"/>
  <c r="CV31" i="1"/>
  <c r="CV7" i="1" s="1"/>
  <c r="CS7" i="1"/>
  <c r="AJ86" i="1"/>
  <c r="EE86" i="1"/>
  <c r="AJ106" i="1"/>
  <c r="EC106" i="1" s="1"/>
  <c r="ED106" i="1" s="1"/>
  <c r="EE106" i="1"/>
  <c r="EE121" i="1"/>
  <c r="AJ121" i="1"/>
  <c r="EC121" i="1" s="1"/>
  <c r="ED121" i="1" s="1"/>
  <c r="BH1" i="1"/>
  <c r="AJ189" i="1"/>
  <c r="EC189" i="1" s="1"/>
  <c r="ED189" i="1" s="1"/>
  <c r="EE189" i="1"/>
  <c r="EE1" i="1"/>
  <c r="AJ1" i="1"/>
  <c r="CK7" i="1"/>
  <c r="CN31" i="1"/>
  <c r="CN7" i="1" s="1"/>
  <c r="AJ84" i="1"/>
  <c r="EC84" i="1" s="1"/>
  <c r="ED84" i="1" s="1"/>
  <c r="EE84" i="1"/>
  <c r="AJ68" i="1"/>
  <c r="EC68" i="1" s="1"/>
  <c r="ED68" i="1" s="1"/>
  <c r="EE68" i="1"/>
  <c r="BH119" i="1"/>
  <c r="BH112" i="1"/>
  <c r="AJ122" i="1"/>
  <c r="EC122" i="1" s="1"/>
  <c r="ED122" i="1" s="1"/>
  <c r="EE122" i="1"/>
  <c r="BH197" i="1"/>
  <c r="AJ129" i="1"/>
  <c r="EC129" i="1" s="1"/>
  <c r="ED129" i="1" s="1"/>
  <c r="EE129" i="1"/>
  <c r="BH200" i="1"/>
  <c r="AJ231" i="1"/>
  <c r="EE231" i="1"/>
  <c r="AJ65" i="1"/>
  <c r="EC65" i="1" s="1"/>
  <c r="ED65" i="1" s="1"/>
  <c r="EE65" i="1"/>
  <c r="EE132" i="1"/>
  <c r="AJ132" i="1"/>
  <c r="AJ98" i="1"/>
  <c r="EC98" i="1" s="1"/>
  <c r="ED98" i="1" s="1"/>
  <c r="EE98" i="1"/>
  <c r="EE60" i="1"/>
  <c r="AJ60" i="1"/>
  <c r="EC60" i="1" s="1"/>
  <c r="ED60" i="1" s="1"/>
  <c r="EE93" i="1"/>
  <c r="AJ93" i="1"/>
  <c r="DH31" i="1"/>
  <c r="DH7" i="1" s="1"/>
  <c r="DE7" i="1"/>
  <c r="EE120" i="1"/>
  <c r="AJ120" i="1"/>
  <c r="BH57" i="1"/>
  <c r="BH7" i="1" s="1"/>
  <c r="BH84" i="1"/>
  <c r="AJ85" i="1"/>
  <c r="EC85" i="1" s="1"/>
  <c r="ED85" i="1" s="1"/>
  <c r="EE85" i="1"/>
  <c r="EE50" i="1"/>
  <c r="AJ50" i="1"/>
  <c r="EC50" i="1" s="1"/>
  <c r="ED50" i="1" s="1"/>
  <c r="AJ111" i="1"/>
  <c r="EC111" i="1" s="1"/>
  <c r="ED111" i="1" s="1"/>
  <c r="EE111" i="1"/>
  <c r="BH102" i="1"/>
  <c r="EE119" i="1"/>
  <c r="AJ119" i="1"/>
  <c r="EC119" i="1" s="1"/>
  <c r="ED119" i="1" s="1"/>
  <c r="AJ200" i="1"/>
  <c r="EC200" i="1" s="1"/>
  <c r="ED200" i="1" s="1"/>
  <c r="EE200" i="1"/>
  <c r="BH129" i="1"/>
  <c r="AJ197" i="1"/>
  <c r="EE197" i="1"/>
  <c r="BH190" i="1"/>
  <c r="EE199" i="1"/>
  <c r="AJ199" i="1"/>
  <c r="EC199" i="1" s="1"/>
  <c r="ED199" i="1" s="1"/>
  <c r="CF31" i="1"/>
  <c r="CF7" i="1" s="1"/>
  <c r="CC7" i="1"/>
  <c r="BL31" i="1"/>
  <c r="BL7" i="1" s="1"/>
  <c r="BI7" i="1"/>
  <c r="EC59" i="1" l="1"/>
  <c r="ED59" i="1" s="1"/>
  <c r="EC107" i="1"/>
  <c r="ED107" i="1" s="1"/>
  <c r="EC67" i="1"/>
  <c r="ED67" i="1" s="1"/>
  <c r="EC102" i="1"/>
  <c r="ED102" i="1" s="1"/>
  <c r="EC183" i="1"/>
  <c r="ED183" i="1" s="1"/>
  <c r="EC187" i="1"/>
  <c r="ED187" i="1" s="1"/>
  <c r="EC132" i="1"/>
  <c r="ED132" i="1" s="1"/>
  <c r="EC63" i="1"/>
  <c r="ED63" i="1" s="1"/>
  <c r="EC88" i="1"/>
  <c r="ED88" i="1" s="1"/>
  <c r="EC66" i="1"/>
  <c r="ED66" i="1" s="1"/>
  <c r="EC103" i="1"/>
  <c r="ED103" i="1" s="1"/>
  <c r="EC194" i="1"/>
  <c r="ED194" i="1" s="1"/>
  <c r="EC186" i="1"/>
  <c r="ED186" i="1" s="1"/>
  <c r="EC120" i="1"/>
  <c r="ED120" i="1" s="1"/>
  <c r="EC197" i="1"/>
  <c r="ED197" i="1" s="1"/>
  <c r="EC57" i="1"/>
  <c r="ED57" i="1" s="1"/>
  <c r="EC62" i="1"/>
  <c r="ED62" i="1" s="1"/>
  <c r="EC31" i="1"/>
  <c r="AJ7" i="1"/>
  <c r="EC231" i="1"/>
  <c r="ED231" i="1" s="1"/>
  <c r="EC230" i="1"/>
  <c r="ED230" i="1" s="1"/>
  <c r="EC184" i="1"/>
  <c r="ED184" i="1" s="1"/>
  <c r="EC91" i="1"/>
  <c r="ED91" i="1" s="1"/>
  <c r="EC109" i="1"/>
  <c r="ED109" i="1" s="1"/>
  <c r="EC114" i="1"/>
  <c r="ED114" i="1" s="1"/>
  <c r="EC86" i="1"/>
  <c r="ED86" i="1" s="1"/>
  <c r="EC1" i="1"/>
  <c r="ED1" i="1" s="1"/>
  <c r="EC116" i="1"/>
  <c r="ED116" i="1" s="1"/>
  <c r="EC188" i="1"/>
  <c r="ED188" i="1" s="1"/>
  <c r="EC87" i="1"/>
  <c r="ED87" i="1" s="1"/>
  <c r="EC190" i="1"/>
  <c r="ED190" i="1" s="1"/>
  <c r="EC93" i="1"/>
  <c r="ED93" i="1" s="1"/>
  <c r="EC89" i="1"/>
  <c r="ED89" i="1" s="1"/>
  <c r="EC69" i="1"/>
  <c r="ED69" i="1" s="1"/>
  <c r="EC192" i="1"/>
  <c r="ED192" i="1" s="1"/>
  <c r="ED31" i="1" l="1"/>
  <c r="ED7" i="1" s="1"/>
  <c r="EC7" i="1"/>
</calcChain>
</file>

<file path=xl/sharedStrings.xml><?xml version="1.0" encoding="utf-8"?>
<sst xmlns="http://schemas.openxmlformats.org/spreadsheetml/2006/main" count="3706" uniqueCount="855">
  <si>
    <t>XXGP: ISD Invoices Report</t>
  </si>
  <si>
    <t>From Date:</t>
  </si>
  <si>
    <t>To Date:</t>
  </si>
  <si>
    <t>Turnover</t>
  </si>
  <si>
    <t>01AABCG4768K1ZL</t>
  </si>
  <si>
    <t>02AABCG4768K1ZJ</t>
  </si>
  <si>
    <t>03AABCG4768K1ZH</t>
  </si>
  <si>
    <t>04AABCG4768K1ZF</t>
  </si>
  <si>
    <t>05AABCG4768K1ZD</t>
  </si>
  <si>
    <t>06AABCG4768K1ZB</t>
  </si>
  <si>
    <t>07AABCG4768K1Z9</t>
  </si>
  <si>
    <t>08AABCG4768K1Z7</t>
  </si>
  <si>
    <t>09AABCG4768K1Z5</t>
  </si>
  <si>
    <t>10AABCG4768K1ZM</t>
  </si>
  <si>
    <t>18AABCG4768K1Z6</t>
  </si>
  <si>
    <t>19AABCG4768K1Z4</t>
  </si>
  <si>
    <t>20AABCG4768K1ZL</t>
  </si>
  <si>
    <t>21AABCG4768K1ZJ</t>
  </si>
  <si>
    <t>22AABCG4768K1ZH</t>
  </si>
  <si>
    <t>23AABCG4768K1ZF</t>
  </si>
  <si>
    <t>24AABCG4768K1ZD</t>
  </si>
  <si>
    <t>27AABCG4768K1Z7</t>
  </si>
  <si>
    <t>29AABCG4768K2Z2</t>
  </si>
  <si>
    <t>30AABCG4768K1ZK</t>
  </si>
  <si>
    <t>32AABCG4768K1ZG</t>
  </si>
  <si>
    <t>33AABCG4768K1ZE</t>
  </si>
  <si>
    <t>36AABCG4768K1Z8</t>
  </si>
  <si>
    <t>37AABCG4768K1Z6</t>
  </si>
  <si>
    <t>38AABCG4768K1Z4</t>
  </si>
  <si>
    <t>CHECKING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</si>
  <si>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</si>
  <si>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</si>
  <si>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</si>
  <si>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</si>
  <si>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</si>
  <si>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</si>
  <si>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</si>
  <si>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</si>
  <si>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</si>
  <si>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</si>
  <si>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Assam</t>
  </si>
  <si>
    <t>West Bengal</t>
  </si>
  <si>
    <t>Jharkhand</t>
  </si>
  <si>
    <t>Odisha</t>
  </si>
  <si>
    <t>Chattisgarh</t>
  </si>
  <si>
    <t>Madhya Pradesh</t>
  </si>
  <si>
    <t>Gujarat</t>
  </si>
  <si>
    <t>Maharashtra</t>
  </si>
  <si>
    <t>Karnataka</t>
  </si>
  <si>
    <t>Goa</t>
  </si>
  <si>
    <t>Kerala</t>
  </si>
  <si>
    <t>Tamil Nadu</t>
  </si>
  <si>
    <t>Telangana</t>
  </si>
  <si>
    <t>Andhra Pradesh</t>
  </si>
  <si>
    <t>Ladhakh</t>
  </si>
  <si>
    <t>Total distributed</t>
  </si>
  <si>
    <t>Diff.</t>
  </si>
  <si>
    <t>o</t>
  </si>
  <si>
    <t>Party Name</t>
  </si>
  <si>
    <t>Party Code</t>
  </si>
  <si>
    <t>Party GST No</t>
  </si>
  <si>
    <t>GL Name</t>
  </si>
  <si>
    <t>GL Code</t>
  </si>
  <si>
    <t>Supplier Invoice No</t>
  </si>
  <si>
    <t>Supplier Invoice Date</t>
  </si>
  <si>
    <t>Accounting Date</t>
  </si>
  <si>
    <t>GST Rate</t>
  </si>
  <si>
    <t>Basic Amount</t>
  </si>
  <si>
    <t>IGST</t>
  </si>
  <si>
    <t>CGST</t>
  </si>
  <si>
    <t>SGST</t>
  </si>
  <si>
    <t>Total GST</t>
  </si>
  <si>
    <t>Total Value</t>
  </si>
  <si>
    <t>Recoverable</t>
  </si>
  <si>
    <t>PAN India/ State</t>
  </si>
  <si>
    <t>Cost Center</t>
  </si>
  <si>
    <t>Document Type</t>
  </si>
  <si>
    <t>Trx Category</t>
  </si>
  <si>
    <t>Item Code</t>
  </si>
  <si>
    <t>HSN/SAC Code</t>
  </si>
  <si>
    <t>Item Description</t>
  </si>
  <si>
    <t>Rec OU</t>
  </si>
  <si>
    <t>Org Id</t>
  </si>
  <si>
    <t>IO Name</t>
  </si>
  <si>
    <t>GSTIN+INV</t>
  </si>
  <si>
    <t>Total Tax</t>
  </si>
  <si>
    <t>GSTR6A</t>
  </si>
  <si>
    <t>Diffrence</t>
  </si>
  <si>
    <t>Remark</t>
  </si>
  <si>
    <t>ITC Type</t>
  </si>
  <si>
    <t>Total</t>
  </si>
  <si>
    <t>INTER GLOBE AVIATION LIMITED</t>
  </si>
  <si>
    <t>07AABCI2726B1Z4</t>
  </si>
  <si>
    <t>Inland Travel Expenses - Ticket cost/Car Exps.</t>
  </si>
  <si>
    <t>DL1252602DY76176</t>
  </si>
  <si>
    <t>Y</t>
  </si>
  <si>
    <t>Marketing &amp;  Administration- Cigarette</t>
  </si>
  <si>
    <t>Manual Regime Entry</t>
  </si>
  <si>
    <t>RCM Transfer to ISD</t>
  </si>
  <si>
    <t>AIRGST996425</t>
  </si>
  <si>
    <t>IYHHKD;;DEL NMI;D2503545</t>
  </si>
  <si>
    <t>Godfrey_Phillips_India_Limited_HO</t>
  </si>
  <si>
    <t>GPIL_HO_New_Delhi(Services)</t>
  </si>
  <si>
    <t>07AABCI2726B1Z4DL1252602DY76176</t>
  </si>
  <si>
    <t>Matched</t>
  </si>
  <si>
    <t>27AABCI2726B1Z2</t>
  </si>
  <si>
    <t>MH1252607BN18822</t>
  </si>
  <si>
    <t>LYIWSX;;IXU DEL;D2501075</t>
  </si>
  <si>
    <t>27AABCI2726B1Z2MH1252607BN18822</t>
  </si>
  <si>
    <t>19AABCI2726B1ZZ</t>
  </si>
  <si>
    <t>Final Recoverable IGST- ISD</t>
  </si>
  <si>
    <t>WB2252612AF26117</t>
  </si>
  <si>
    <t>Default Cost Center</t>
  </si>
  <si>
    <t>YC6MVN;;CCU DEL;D2502389</t>
  </si>
  <si>
    <t>19AABCI2726B1ZZWB2252612AF26117</t>
  </si>
  <si>
    <t>AIR INDIA LIMITED</t>
  </si>
  <si>
    <t>07AACCN6194P2ZQ</t>
  </si>
  <si>
    <t>072622BP02ACZ247</t>
  </si>
  <si>
    <t>9SEH4O;MALHOTRA ATUL MR;DELBLRAI;D2503488</t>
  </si>
  <si>
    <t>07AACCN6194P2ZQ072622BP02ACZ247</t>
  </si>
  <si>
    <t>27AACCN6194P1ZP</t>
  </si>
  <si>
    <t>272622BP03AAI919</t>
  </si>
  <si>
    <t>Purchase</t>
  </si>
  <si>
    <t>9DR2S6;SHARMA SACHIN MR;BOMDELAI;D2503570</t>
  </si>
  <si>
    <t>27AACCN6194P1ZP272622BP03AAI919</t>
  </si>
  <si>
    <t>DL1252603DZ80431</t>
  </si>
  <si>
    <t>Sales and Promotion</t>
  </si>
  <si>
    <t>W98GMJ;;DEL BOM;D2503601</t>
  </si>
  <si>
    <t>07AABCI2726B1Z4DL1252603DZ80431</t>
  </si>
  <si>
    <t>DL1252603EA49153</t>
  </si>
  <si>
    <t>I5P42P;;DEL AMD;D2503627</t>
  </si>
  <si>
    <t>07AABCI2726B1Z4DL1252603EA49153</t>
  </si>
  <si>
    <t>WB1252603BX78714</t>
  </si>
  <si>
    <t>WYWBSG;;CCU DEL;D2503618</t>
  </si>
  <si>
    <t>19AABCI2726B1ZZWB1252603BX78714</t>
  </si>
  <si>
    <t>DL1252603EA02285</t>
  </si>
  <si>
    <t>P5RJXV;;DEL NMI;D2503615</t>
  </si>
  <si>
    <t>07AABCI2726B1Z4DL1252603EA02285</t>
  </si>
  <si>
    <t>DL1252602DU66607</t>
  </si>
  <si>
    <t>IT</t>
  </si>
  <si>
    <t>Z6D6MS;;DEL NMI;D2503365</t>
  </si>
  <si>
    <t>07AABCI2726B1Z4DL1252602DU66607</t>
  </si>
  <si>
    <t>072612BP02AGW073</t>
  </si>
  <si>
    <t>07AACCN6194P2ZQ072612BP02AGW073</t>
  </si>
  <si>
    <t>29AACCN6194P2ZK</t>
  </si>
  <si>
    <t>292622BP02AAX187</t>
  </si>
  <si>
    <t>9SLGUN;MALHOTRA ATUL MR;BLRDELAI;D2503489</t>
  </si>
  <si>
    <t>29AACCN6194P2ZK292622BP02AAX187</t>
  </si>
  <si>
    <t>SNV AVIATION PRIVATE LIMITED</t>
  </si>
  <si>
    <t>07ABECS9580P1ZE</t>
  </si>
  <si>
    <t>071A1VJRL0226001</t>
  </si>
  <si>
    <t>A1VJRL;;DEL;D2503380</t>
  </si>
  <si>
    <t>07ABECS9580P1ZE071A1VJRL0226001</t>
  </si>
  <si>
    <t>072622BP03AAG918</t>
  </si>
  <si>
    <t>9QLZPB;THAMPI B ARUN MR;DELCCUAI;D2503577</t>
  </si>
  <si>
    <t>07AACCN6194P2ZQ072622BP03AAG918</t>
  </si>
  <si>
    <t>DL1252603DZ73951</t>
  </si>
  <si>
    <t>Q4VQHV;;DEL BOM;D2503597</t>
  </si>
  <si>
    <t>07AABCI2726B1Z4DL1252603DZ73951</t>
  </si>
  <si>
    <t>292622BP03AAS972</t>
  </si>
  <si>
    <t>29AACCN6194P2ZK292622BP03AAS972</t>
  </si>
  <si>
    <t>Legal Expenses</t>
  </si>
  <si>
    <t>MH1252608BY34871</t>
  </si>
  <si>
    <t>Legal</t>
  </si>
  <si>
    <t>DYPDPX;;NAG DEL;D2501365</t>
  </si>
  <si>
    <t>27AABCI2726B1Z2MH1252608BY34871</t>
  </si>
  <si>
    <t>MH1252603EZ15571</t>
  </si>
  <si>
    <t>Q5WPMF;;BOM DEL;D2503633</t>
  </si>
  <si>
    <t>27AABCI2726B1Z2MH1252603EZ15571</t>
  </si>
  <si>
    <t>33AABCI2726B1Z9</t>
  </si>
  <si>
    <t>TN1252603CO39093</t>
  </si>
  <si>
    <t>D9GISG;;MAA DEL;D2503622</t>
  </si>
  <si>
    <t>33AABCI2726B1Z9TN1252603CO39093</t>
  </si>
  <si>
    <t>292622BP03AAS261</t>
  </si>
  <si>
    <t>29AACCN6194P2ZK292622BP03AAS261</t>
  </si>
  <si>
    <t>272612BP12AFC629</t>
  </si>
  <si>
    <t>Export</t>
  </si>
  <si>
    <t>7VN9JI;THAPLIYAL ANUPAM MR;BOMDELAI;D2502799</t>
  </si>
  <si>
    <t>27AACCN6194P1ZP272612BP12AFC629</t>
  </si>
  <si>
    <t>272632BP03AAD182</t>
  </si>
  <si>
    <t>27AACCN6194P1ZP272632BP03AAD182</t>
  </si>
  <si>
    <t>HITACHI SYSTEMS INDIA PRIVATE LIMITED</t>
  </si>
  <si>
    <t>07AAACM6396E2ZC</t>
  </si>
  <si>
    <t>Accrued Expenses - Others</t>
  </si>
  <si>
    <t>H07T10202600062</t>
  </si>
  <si>
    <t>PAN India</t>
  </si>
  <si>
    <t>AIRGST9964</t>
  </si>
  <si>
    <t>Support team local expenses for Mar-26</t>
  </si>
  <si>
    <t>07AAACM6396E2ZCH07T10202600062</t>
  </si>
  <si>
    <t>DL1252603EA81216</t>
  </si>
  <si>
    <t>Corporate Management</t>
  </si>
  <si>
    <t>CYHH5A;;DEL BOM;D2503641</t>
  </si>
  <si>
    <t>07AABCI2726B1Z4DL1252603EA81216</t>
  </si>
  <si>
    <t>MH2252607AF31710</t>
  </si>
  <si>
    <t>27AABCI2726B1Z2MH2252607AF31710</t>
  </si>
  <si>
    <t>MH1252601EC56392</t>
  </si>
  <si>
    <t>Innovation Centre</t>
  </si>
  <si>
    <t>W11RVE;;NAG NMI;D2503083</t>
  </si>
  <si>
    <t>27AABCI2726B1Z2MH1252601EC56392</t>
  </si>
  <si>
    <t>292612BP02ACA520</t>
  </si>
  <si>
    <t>29AACCN6194P2ZK292612BP02ACA520</t>
  </si>
  <si>
    <t>272612BP03AAN053</t>
  </si>
  <si>
    <t>27AACCN6194P1ZP272612BP03AAN053</t>
  </si>
  <si>
    <t>24AACCN6194P1ZV</t>
  </si>
  <si>
    <t>242612BP03AAF092</t>
  </si>
  <si>
    <t>7RT6RH;KEDARI NIKHILESH MR;AMDDELAI;D2503581</t>
  </si>
  <si>
    <t>24AACCN6194P1ZV242612BP03AAF092</t>
  </si>
  <si>
    <t>DL1252603DZ75036</t>
  </si>
  <si>
    <t>R5WWGF;;DEL NAG;D2503598</t>
  </si>
  <si>
    <t>07AABCI2726B1Z4DL1252603DZ75036</t>
  </si>
  <si>
    <t>36AABCI2726B1Z3</t>
  </si>
  <si>
    <t>TS1252603CE02501</t>
  </si>
  <si>
    <t>A61JSP;;HYD MAA;D2503619</t>
  </si>
  <si>
    <t>36AABCI2726B1Z3TS1252603CE02501</t>
  </si>
  <si>
    <t>072622BP03ACM830</t>
  </si>
  <si>
    <t>07AACCN6194P2ZQ072622BP03ACM830</t>
  </si>
  <si>
    <t>MH1252607BO05140</t>
  </si>
  <si>
    <t>27AABCI2726B1Z2MH1252607BO05140</t>
  </si>
  <si>
    <t>272632BP12ABB442</t>
  </si>
  <si>
    <t>27AACCN6194P1ZP272632BP12ABB442</t>
  </si>
  <si>
    <t>DL1252602DX44860</t>
  </si>
  <si>
    <t>Market Research</t>
  </si>
  <si>
    <t>F7HSYM;;DEL BOM;D2503504</t>
  </si>
  <si>
    <t>07AABCI2726B1Z4DL1252602DX44860</t>
  </si>
  <si>
    <t>272622BP03AAF446</t>
  </si>
  <si>
    <t>27AACCN6194P1ZP272622BP03AAF446</t>
  </si>
  <si>
    <t>072612BP03AAX823</t>
  </si>
  <si>
    <t>7RNLRA;KEDARI NIKHILESH MR;DELAMDAI;D2503580</t>
  </si>
  <si>
    <t>07AACCN6194P2ZQ072612BP03AAX823</t>
  </si>
  <si>
    <t>MH1252603EY08758</t>
  </si>
  <si>
    <t>VFRGJE;;NAG DEL;D2503600</t>
  </si>
  <si>
    <t>27AABCI2726B1Z2MH1252603EY08758</t>
  </si>
  <si>
    <t>01AABCI2726B1ZG</t>
  </si>
  <si>
    <t>JK1252603AK93479</t>
  </si>
  <si>
    <t>C9H89D;;IXJ DEL;D2503620</t>
  </si>
  <si>
    <t>01AABCI2726B1ZGJK1252603AK93479</t>
  </si>
  <si>
    <t>072622BP03ACK513</t>
  </si>
  <si>
    <t>07AACCN6194P2ZQ072622BP03ACK513</t>
  </si>
  <si>
    <t>272622BP12ACE613</t>
  </si>
  <si>
    <t>27AACCN6194P1ZP272622BP12ACE613</t>
  </si>
  <si>
    <t>Godfrey Phillips India Limited, Ho</t>
  </si>
  <si>
    <t>Contra Account - ISD</t>
  </si>
  <si>
    <t>GPI-HOC260300066</t>
  </si>
  <si>
    <t>Services_ISD</t>
  </si>
  <si>
    <t>Receiving of Common Itc credit pertaining to common input services to ISD registration Mar-26</t>
  </si>
  <si>
    <t>07AABCG4768K1Z9GPI-HOC260300066</t>
  </si>
  <si>
    <t>GPI-HOC260300070</t>
  </si>
  <si>
    <t>Receiving of RCM credit pertaining to common input services to ISD registration Mar-26</t>
  </si>
  <si>
    <t>07AABCG4768K1Z9GPI-HOC260300070</t>
  </si>
  <si>
    <t>BANSI S MEHTA AND CO</t>
  </si>
  <si>
    <t>07AAAFB6405G1ZW</t>
  </si>
  <si>
    <t>D1/ABA</t>
  </si>
  <si>
    <t>Payable Invoice</t>
  </si>
  <si>
    <t>Invoice Type</t>
  </si>
  <si>
    <t>Retainership fees for the months from January 1  2026 to March 31  2026</t>
  </si>
  <si>
    <t>07AAAFB6405G1ZWD1/ABA</t>
  </si>
  <si>
    <t>CAREER MATRIX CONSULTANTS</t>
  </si>
  <si>
    <t>07ALEPK9976A1ZX</t>
  </si>
  <si>
    <t>Recruitment Exps - Others</t>
  </si>
  <si>
    <t>CMC/26-27/04</t>
  </si>
  <si>
    <t>HRD</t>
  </si>
  <si>
    <t>MISCELLENS</t>
  </si>
  <si>
    <t>RECRUITMET EXPENSES OF Mr. Abhishek Jha</t>
  </si>
  <si>
    <t>07ALEPK9976A1ZXCMC/26-27/04</t>
  </si>
  <si>
    <t>Recruitment Exps - Placement Fee</t>
  </si>
  <si>
    <t>CMC/26-27/02</t>
  </si>
  <si>
    <t>RECRUITMENT EXPENSES OF Mr. Rushikesh Vyankati Torne</t>
  </si>
  <si>
    <t>07ALEPK9976A1ZXCMC/26-27/02</t>
  </si>
  <si>
    <t>CAREER POINT</t>
  </si>
  <si>
    <t>19AACFC9019R1ZT</t>
  </si>
  <si>
    <t>CP/011/2026-2027</t>
  </si>
  <si>
    <t>BUDMINTIND</t>
  </si>
  <si>
    <t>Placement Charges for Arjun S</t>
  </si>
  <si>
    <t>19AACFC9019R1ZTCP/011/2026-2027</t>
  </si>
  <si>
    <t>MTALKZ MOBILITY SERVICES PRIVATE LIMITED</t>
  </si>
  <si>
    <t>09AALCM4489M1ZJ</t>
  </si>
  <si>
    <t>EDP Charges Network - SMS Charges</t>
  </si>
  <si>
    <t>TI/26-27/00197</t>
  </si>
  <si>
    <t>BUDITMINTIND</t>
  </si>
  <si>
    <t>Transactional SMS GodFreyTrans SMS Services For Feb -26  138573 SMS Services For Mar -26  138546 SAC 998319</t>
  </si>
  <si>
    <t>09AALCM4489M1ZJTI/26-27/00197</t>
  </si>
  <si>
    <t>MUFG INTIME INDIA PRIVATE LIMITED</t>
  </si>
  <si>
    <t>27AAACI4998N1ZS</t>
  </si>
  <si>
    <t>Professional Fees &amp; Exps - Others</t>
  </si>
  <si>
    <t>DGS11268372</t>
  </si>
  <si>
    <t>Secretarial &amp; Corporate Finance</t>
  </si>
  <si>
    <t>Share Of Insurance Premium</t>
  </si>
  <si>
    <t>27AAACI4998N1ZSDGS11268372</t>
  </si>
  <si>
    <t>SYSFOL ENTERPRISES</t>
  </si>
  <si>
    <t>07ADGPV3549L1ZX</t>
  </si>
  <si>
    <t>01/26-27</t>
  </si>
  <si>
    <t>RECRUITMENT EXPENSES OF Manish Lahre</t>
  </si>
  <si>
    <t>07ADGPV3549L1ZX01/26-27</t>
  </si>
  <si>
    <t>AHAAN CONSULTING</t>
  </si>
  <si>
    <t>27AAUFA6675M1ZI</t>
  </si>
  <si>
    <t>2026-27/2</t>
  </si>
  <si>
    <t>2 DAY TRAINING FEES ON 25.02.2026 &amp; 26.02.2026</t>
  </si>
  <si>
    <t>27AAUFA6675M1ZI2026-27/2</t>
  </si>
  <si>
    <t>PINE LABS LIMITED</t>
  </si>
  <si>
    <t>29AACCP7457K2ZS</t>
  </si>
  <si>
    <t>PL12012927001133</t>
  </si>
  <si>
    <t>Program Management Charges</t>
  </si>
  <si>
    <t>29AACCP7457K2ZSPL12012927001133</t>
  </si>
  <si>
    <t>Contra - IPM</t>
  </si>
  <si>
    <t>PL12012927001076</t>
  </si>
  <si>
    <t>IPM Handling Charges Courier Charges</t>
  </si>
  <si>
    <t>29AACCP7457K2ZSPL12012927001076</t>
  </si>
  <si>
    <t>THE MARKET RESEARCH SOCIETY OF INDIA</t>
  </si>
  <si>
    <t>27AAATT3876F1Z8</t>
  </si>
  <si>
    <t>Prepaid Expenses - Others</t>
  </si>
  <si>
    <t>CRNT26-27/025</t>
  </si>
  <si>
    <t>CORPORATE MEMBERSHIP FEES APRIL 2026 TO MARCH 27</t>
  </si>
  <si>
    <t>27AAATT3876F1Z8CRNT26-27/025</t>
  </si>
  <si>
    <t>PL12012926013468</t>
  </si>
  <si>
    <t>Program Management Charges IPM Point upload charges</t>
  </si>
  <si>
    <t>29AACCP7457K2ZSPL12012926013468</t>
  </si>
  <si>
    <t>CANDOR SOFTWARE SOLUTIONS</t>
  </si>
  <si>
    <t>36AAHFC2188C1ZN</t>
  </si>
  <si>
    <t>25-26/5-12</t>
  </si>
  <si>
    <t>Agile PLM support services for the month of March -2026</t>
  </si>
  <si>
    <t>36AAHFC2188C1ZN25-26/5-12</t>
  </si>
  <si>
    <t>LODHA AND CO LLP</t>
  </si>
  <si>
    <t>36AABFL1894Q1ZO</t>
  </si>
  <si>
    <t>Accrued Expense - Internal Audit fee &amp; Exp.</t>
  </si>
  <si>
    <t>LCOLLPH/01/26-27</t>
  </si>
  <si>
    <t>Professional Services Rendered in and About the Matter of Phase -I Internal Audit - FY 2025-26</t>
  </si>
  <si>
    <t>36AABFL1894Q1ZOLCOLLPH/01/26-27</t>
  </si>
  <si>
    <t>VODAFONE IDEA LTD</t>
  </si>
  <si>
    <t>07AAACB2100P1ZZ</t>
  </si>
  <si>
    <t>Telephone Charges - Cellular</t>
  </si>
  <si>
    <t>DLSO030426589959</t>
  </si>
  <si>
    <t>Administration</t>
  </si>
  <si>
    <t>Payment towards payment of Vodafone Idea bills for FY 2024-25</t>
  </si>
  <si>
    <t>07AAACB2100P1ZZDLSO030426589959</t>
  </si>
  <si>
    <t>Payment towards payment of Vodafone Idea bills for FY 2026-27</t>
  </si>
  <si>
    <t>FEDERATION OF INDIAN EXPORT ORGANISATIONS</t>
  </si>
  <si>
    <t>07AAAAF0408Q1ZQ</t>
  </si>
  <si>
    <t>Subscription - Others</t>
  </si>
  <si>
    <t>DEL/MEM/25/26</t>
  </si>
  <si>
    <t>MEMBERSHIP SUBSCRIPTION 2026-27</t>
  </si>
  <si>
    <t>07AAAAF0408Q1ZQDEL/MEM/25/26</t>
  </si>
  <si>
    <t>EMBEE SOFTWARE PRIVATE LIMITED</t>
  </si>
  <si>
    <t>07AAACE6958L1Z6</t>
  </si>
  <si>
    <t>DGSI2627/60035</t>
  </si>
  <si>
    <t>UBUDITMNTIND</t>
  </si>
  <si>
    <t>One time development and deployment of Managing Guest House Booking application</t>
  </si>
  <si>
    <t>07AAACE6958L1Z6DGSI2627/60035</t>
  </si>
  <si>
    <t>ORACLE INDIA PVT LTD</t>
  </si>
  <si>
    <t>06AAACO0158L1ZI</t>
  </si>
  <si>
    <t>EDP Charges Software Development - HR</t>
  </si>
  <si>
    <t>Oracle Fusion Talent Management Cloud Service - Hosted Named User (Qty 350) 2026-04-01  2026-06-30</t>
  </si>
  <si>
    <t>06AAACO0158L1ZI1205550</t>
  </si>
  <si>
    <t>Oracle Fusion Workforce Compensation Cloud Service -99831 Hosted Compensated Individual (Qty 350)  2026-04-01  2026-06-30</t>
  </si>
  <si>
    <t>Oracle Fusion Recruiting Cloud Service - Hosted Employee (Qty 300)  2026-04-01  2026-06-30</t>
  </si>
  <si>
    <t>Oracle Fusion Learning Cloud Service Hosted Named User (Qty 300) 2026-04-01  2026-06-30</t>
  </si>
  <si>
    <t>Oracle Fusion Human Capital Management Base Cloud Service - Hosted Employee (Qty 300) 2026-04-01  2026-06-30</t>
  </si>
  <si>
    <t>Oracle Fusion Talent Management Cloud Service - Hosted Named User (Qty 300) 2026-04-01  2026-06-30</t>
  </si>
  <si>
    <t>Oracle Fusion Learning Cloud Service Hosted Named User (Qty 350) 2026-04-01 2026-06-30</t>
  </si>
  <si>
    <t>Oracle Fusion Recruiting Cloud Service - Hosted Employee (Qty 350) 2026-04-01  2026-06-30</t>
  </si>
  <si>
    <t>Oracle Fusion Human Capital Management Base Cloud Service - Hosted Employee (Qty 350) 2026-04-01  2026-06-30</t>
  </si>
  <si>
    <t>Oracle Fusion Workforce Compensation Cloud Service - Hosted Compensated Individual (Qty 300)  2026-04-01  2026-06-30</t>
  </si>
  <si>
    <t>Prepaid Expenses - IT</t>
  </si>
  <si>
    <t>DGSI2526/62559</t>
  </si>
  <si>
    <t>Diaster Recovery as a service 2026 to 3312027</t>
  </si>
  <si>
    <t>07AAACE6958L1Z6DGSI2526/62559</t>
  </si>
  <si>
    <t>Druva Phoenix Enterprise License (Annual) 1st April 2026 to 3312027</t>
  </si>
  <si>
    <t>DGSI2526/62560</t>
  </si>
  <si>
    <t>Druva Phoenix Enterprise License (Annual) 1 April 2026 to 31 March 2027</t>
  </si>
  <si>
    <t>07AAACE6958L1Z6DGSI2526/62560</t>
  </si>
  <si>
    <t>INSTA VAT INFO PRIVATE LIMITED</t>
  </si>
  <si>
    <t>27AAACI9371H1ZC</t>
  </si>
  <si>
    <t>GST-228/25-26</t>
  </si>
  <si>
    <t>Instavat Single user version Annual Update Charges April 2026 to March 2027</t>
  </si>
  <si>
    <t>27AAACI9371H1ZCGST-228/25-26</t>
  </si>
  <si>
    <t>NATIONAL STOCK EXCHANGE OF INDIA LIMITED</t>
  </si>
  <si>
    <t>27AAACN1797L1Z0</t>
  </si>
  <si>
    <t>2026-27/1455</t>
  </si>
  <si>
    <t>Listing Annual fees</t>
  </si>
  <si>
    <t>27AAACN1797L1Z02026-27/1455</t>
  </si>
  <si>
    <t>Listing Fees for 2026-2027 Market Capitalisation (Annexure)</t>
  </si>
  <si>
    <t>BOMBAY STOCK EXCHANGE LIMITED</t>
  </si>
  <si>
    <t>27AACCB6672L1ZA</t>
  </si>
  <si>
    <t>EQUITY SHARE  CONVERTIBLE INSTRUMENT(S) CAPITAL</t>
  </si>
  <si>
    <t>27AACCB6672L1ZA27270500001289</t>
  </si>
  <si>
    <t>ANNUAL LISTING FEES BASED ON MARKET CAPITALISATION</t>
  </si>
  <si>
    <t>Provision for Advertising</t>
  </si>
  <si>
    <t>DLSO030426592361</t>
  </si>
  <si>
    <t>MERCVISITM</t>
  </si>
  <si>
    <t>Monthly Charges Mar-26</t>
  </si>
  <si>
    <t>07AAACB2100P1ZZDLSO030426592361</t>
  </si>
  <si>
    <t>BHARTI AIRTEL LIMITED</t>
  </si>
  <si>
    <t>07AAACB2894G1ZP</t>
  </si>
  <si>
    <t>MF2707I000063749</t>
  </si>
  <si>
    <t>Monthly rentals Mar-26</t>
  </si>
  <si>
    <t>07AAACB2894G1ZPMF2707I000063749</t>
  </si>
  <si>
    <t>COLLABIT SYSTEMS PRIVATE LIMITED</t>
  </si>
  <si>
    <t>07AAICC0541K1ZR</t>
  </si>
  <si>
    <t>CSPL/25-26/061</t>
  </si>
  <si>
    <t>One Year OEM Warranty  Support 01-04-2026 to 31-03-2027 RedVVhite Stellar Four Square</t>
  </si>
  <si>
    <t>07AAICC0541K1ZRCSPL/25-26/061</t>
  </si>
  <si>
    <t>TUV SUD SOUTH ASIA PVT. LTD.</t>
  </si>
  <si>
    <t>06AABCT0716G1ZR</t>
  </si>
  <si>
    <t>GG0600419701</t>
  </si>
  <si>
    <t>Onsite Embedded Resource  For the month of March 2026 HSN Code 998349 INR</t>
  </si>
  <si>
    <t>06AABCT0716G1ZRGG0600419701</t>
  </si>
  <si>
    <t>THE TOBACCO INSTITUTE OF INDIA</t>
  </si>
  <si>
    <t>07AAATT1353R1Z1</t>
  </si>
  <si>
    <t>TII/MEM/26-27/02</t>
  </si>
  <si>
    <t>MEMBERSHIP SUBSCRIPTION</t>
  </si>
  <si>
    <t>07AAATT1353R1Z1TII/MEM/26-27/02</t>
  </si>
  <si>
    <t>LEGISTIFY SERVICES PRIVATE LIMITED</t>
  </si>
  <si>
    <t>06AACCL9828Q1ZQ</t>
  </si>
  <si>
    <t>LNH2276</t>
  </si>
  <si>
    <t>Usage fees for module(s) CMT Charges for this duration (from 1 -April -2026 to 30 -June -2026)</t>
  </si>
  <si>
    <t>06AACCL9828Q1ZQLNH2276</t>
  </si>
  <si>
    <t>Software Updates 01 -APR -2026 31 -MAR -2027</t>
  </si>
  <si>
    <t>06AAACO0158L1ZI1204848</t>
  </si>
  <si>
    <t>Product Support 01 -APR -2026 31 -MAR -2027</t>
  </si>
  <si>
    <t>06AAACO0158L1ZI1204539</t>
  </si>
  <si>
    <t>Product Support 01 -APR 31 -MAR -2027</t>
  </si>
  <si>
    <t>06AAACO0158L1ZI1204845</t>
  </si>
  <si>
    <t>S00040 Product Support - L10021 Oracle Internet Developer Suite Named User Plus Perpetual 2026-04-01  2027-03-31</t>
  </si>
  <si>
    <t>06AAACO0158L1ZI1204844</t>
  </si>
  <si>
    <t>S00040 Product Support - L10024 Oracle Programmer - Named User Plus Perpetual 2026-04-01  2027-03-31</t>
  </si>
  <si>
    <t>S00036 Software Updates - L10021 Oracle Internet Developer Suite Named User Plus Perpetual 2026-04-01  2027-03-31</t>
  </si>
  <si>
    <t>S00036 Software Updates - Oracle Programmer - Named Plus Perpetual 2026-04-01 2027-03-31</t>
  </si>
  <si>
    <t>Software Updates - Custom Application Suite 1 01 -APR -2026 31 -MAR -2027</t>
  </si>
  <si>
    <t>06AAACO0158L1ZI1204540</t>
  </si>
  <si>
    <t>Product Support - Custom Application Suite 1 01 -APR -2026 - -MAR -2027</t>
  </si>
  <si>
    <t>S00040 Product Support - L39451 Oracle Enterprise Asset Management Application User Perpetual 2026-04-01  2027-03-31</t>
  </si>
  <si>
    <t>06AAACO0158L1ZI1204541</t>
  </si>
  <si>
    <t>S00040 Product Support - L30507 Oracle Advanced Pricing for Oracle Order Management - Application Perpetual 2026-04-01  2027-03-31</t>
  </si>
  <si>
    <t>S00040 Product Support - L10184 Oracle E -Business Suite 2003 Professional User - Professional 2003 Perpetual 2026-04-01  2027-03-31</t>
  </si>
  <si>
    <t>EDP Charges Licensing Fee - Data Centre</t>
  </si>
  <si>
    <t>S00036 Software Updates - L39451 Oracle Enterprise Asset Management Application User Perpetual 2026-04-01  2027-03-31</t>
  </si>
  <si>
    <t>S00036 Software Updates - L30507 Oracle Advanced Pricing for Oracle Order Management - Application Perpetual 2026-04-01  2027-03-31</t>
  </si>
  <si>
    <t>S00036 Software Updates - L10184 Oracle E -Business Suite 2003 Professional User - Professional 2003 Perpetual 2026-04-01  2027-03-31</t>
  </si>
  <si>
    <t>Software Updates 01 -APR -2026 -MAR -2027</t>
  </si>
  <si>
    <t>06AAACO0158L1ZI1204847</t>
  </si>
  <si>
    <t>Product Support 01 -APR -MAR -2027</t>
  </si>
  <si>
    <t>06AAACO0158L1ZI1204846</t>
  </si>
  <si>
    <t>TATA TELESERVICES  LIMITED</t>
  </si>
  <si>
    <t>07AAACT2438A1ZV</t>
  </si>
  <si>
    <t>EDP Charges Network - Lease line</t>
  </si>
  <si>
    <t>ARC charges for Jasoal TTSL 30 Mb ILL link  Circuit Id 0001105955075 from 30-Apr-26 to 30-Jul-26</t>
  </si>
  <si>
    <t>07AAACT2438A1ZV3473445509</t>
  </si>
  <si>
    <t>PL12012927001075</t>
  </si>
  <si>
    <t>Courier Charges GPI Handling Charges</t>
  </si>
  <si>
    <t>29AACCP7457K2ZSPL12012927001075</t>
  </si>
  <si>
    <t>KPMG ASSURANCE AND CONSULTING SERVICES LLP</t>
  </si>
  <si>
    <t>06AAAFK1415H1ZV</t>
  </si>
  <si>
    <t>Maint of Data Processing Equip. - Others</t>
  </si>
  <si>
    <t>KPMG-HR/A100100</t>
  </si>
  <si>
    <t>Saviynt and Okta Operations support - Quarterly advance payment Q1 26-27 (April 2026- June 2026). PO No. 112502082</t>
  </si>
  <si>
    <t>06AAAFK1415H1ZVKPMG-HR/A100100</t>
  </si>
  <si>
    <t>GODB TECH PVT LTD</t>
  </si>
  <si>
    <t>33AABCC3835F1Z3</t>
  </si>
  <si>
    <t>EDP Charges - Sales Force Automation</t>
  </si>
  <si>
    <t>GB/0014/26-27</t>
  </si>
  <si>
    <t>Software Development Charges -Domestic</t>
  </si>
  <si>
    <t>33AABCC3835F1Z3GB/0014/26-27</t>
  </si>
  <si>
    <t>ICICI LOMBARD GENERAL INSURANCE COMPANY LTD.</t>
  </si>
  <si>
    <t>07AAACI7904G1ZP</t>
  </si>
  <si>
    <t>100426299316866</t>
  </si>
  <si>
    <t>GPS Vehicle Tracking Sevice Project for Marlboro filter Black Various CNF stock moments</t>
  </si>
  <si>
    <t>07AAACI7904G1ZP100426299316866</t>
  </si>
  <si>
    <t>DGSI2627/60046</t>
  </si>
  <si>
    <t>Azure Overage 01 3 2026 To 31-3-2026 -</t>
  </si>
  <si>
    <t>07AAACE6958L1Z6DGSI2627/60046</t>
  </si>
  <si>
    <t>DUN AND BRADSTREET INFORMATION SERVICES INDIA PRIVATE LIMITED</t>
  </si>
  <si>
    <t>27AAACD3958P1Z3</t>
  </si>
  <si>
    <t>CI-00360065</t>
  </si>
  <si>
    <t>Partnership in D &amp; B Top 500 Value Creators 2025 - Publication</t>
  </si>
  <si>
    <t>27AAACD3958P1Z3CI-00360065</t>
  </si>
  <si>
    <t>RELIANCE JIO INFOCOMM LIMITED</t>
  </si>
  <si>
    <t>07AABCI6363G1ZL</t>
  </si>
  <si>
    <t>C07E262700006715</t>
  </si>
  <si>
    <t>Periodic Charges Mar-26</t>
  </si>
  <si>
    <t>07AABCI6363G1ZLC07E262700006715</t>
  </si>
  <si>
    <t>TECHJOCKEY INFOTECH PVT. LTD.</t>
  </si>
  <si>
    <t>07AAFCT6332G1ZD</t>
  </si>
  <si>
    <t>TJ/26-27/04/0438</t>
  </si>
  <si>
    <t>Compliance Support Manager Resource service at GPI HO (Information Security Professional) (Akanksha Mathur) Start Date- 01-03-2026 End Date- 31-03-2026</t>
  </si>
  <si>
    <t>07AAFCT6332G1ZDTJ/26-27/04/0438</t>
  </si>
  <si>
    <t>H07T10202600081</t>
  </si>
  <si>
    <t>AWS Usages for Lakshya  Digital Project for Mar26</t>
  </si>
  <si>
    <t>07AAACM6396E2ZCH07T10202600081</t>
  </si>
  <si>
    <t>H07T10202600104</t>
  </si>
  <si>
    <t>HP Aruba B2B AMC for Data Center Switches 6 nos- HPE Foundation Care 24x7 SVC for 01-04-26- 31-03-27</t>
  </si>
  <si>
    <t>07AAACM6396E2ZCH07T10202600104</t>
  </si>
  <si>
    <t>EDP Charges - Others</t>
  </si>
  <si>
    <t>H07T10202600105</t>
  </si>
  <si>
    <t>FMS DLP  Websense Proxy Engineerat Jasola Office Apr26</t>
  </si>
  <si>
    <t>07AAACM6396E2ZCH07T10202600105</t>
  </si>
  <si>
    <t>ESCONET TECHNOLOGIES LIMITED</t>
  </si>
  <si>
    <t>07AACCE9997K1ZT</t>
  </si>
  <si>
    <t>Esconet IT consulting and support services (Technical Resource for Managing the Network at Jasola Office for the Month of April 2026) Part No(s)  ESCO-SUPP-SVC</t>
  </si>
  <si>
    <t>07AACCE9997K1ZT20260027</t>
  </si>
  <si>
    <t>SUMMIT IT SOLUTIONS PRIVATE LIMITED</t>
  </si>
  <si>
    <t>29AAMCS0967K1ZN</t>
  </si>
  <si>
    <t>INV105200740</t>
  </si>
  <si>
    <t>Summit AI IT Service Management Professional Edition - Named Users Perpetual License Maintenance</t>
  </si>
  <si>
    <t>29AAMCS0967K1ZNINV105200740</t>
  </si>
  <si>
    <t>DGSI2526/62537</t>
  </si>
  <si>
    <t>Managed Service (M365) - Microsoft Defender for 0365  MDI  MDCA and server support -Feb  March  April -26</t>
  </si>
  <si>
    <t>07AAACE6958L1Z6DGSI2526/62537</t>
  </si>
  <si>
    <t>DIGIVERIFI PRIVATE LIMITED</t>
  </si>
  <si>
    <t>09AAGCD3119A1Z5</t>
  </si>
  <si>
    <t>DV/26-27/00013</t>
  </si>
  <si>
    <t>BGV charges of 16 nos. new joined employees</t>
  </si>
  <si>
    <t>09AAGCD3119A1Z5DV/26-27/00013</t>
  </si>
  <si>
    <t>DGSI2526/61160</t>
  </si>
  <si>
    <t>SHAREPOINT IMPLEMENTATION  DEVELOPMENT SERVICE - One time development and deployment of Managing House Booking application</t>
  </si>
  <si>
    <t>07AAACE6958L1Z6DGSI2526/61160</t>
  </si>
  <si>
    <t>EXPENSEANYWHERE TECHNOLOGIES PRIVATE LIMIITED</t>
  </si>
  <si>
    <t>27AAECE0129M1ZN</t>
  </si>
  <si>
    <t>EAI-2026-27-001</t>
  </si>
  <si>
    <t>Renewal of Qpay Expense Anywhere Travel Expense Management Automation system. Support Period - 01042026 to 31032027</t>
  </si>
  <si>
    <t>27AAECE0129M1ZNEAI-2026-27-001</t>
  </si>
  <si>
    <t>SAVI VISION PVT LTD</t>
  </si>
  <si>
    <t>07AAECS5163M1ZZ</t>
  </si>
  <si>
    <t>SVPL/26-27/S0007</t>
  </si>
  <si>
    <t>AMC CHARGES (Invoice SVPL26-27S0007  PO -  112502014   Renewal of Comprehencive AMC for the Audio Visual devices  Video Conferencing Equipment at GPI Jasola Office. Tenure - 01st April 2026 To 31st March 2027.</t>
  </si>
  <si>
    <t>07AAECS5163M1ZZSVPL/26-27/S0007</t>
  </si>
  <si>
    <t>SVPL/26-27/S0008</t>
  </si>
  <si>
    <t>AMC CHARGES (REG) 01.04.2026 TO 31.03.2027</t>
  </si>
  <si>
    <t>07AAECS5163M1ZZSVPL/26-27/S0008</t>
  </si>
  <si>
    <t>PROCOL TECH PRIVATE LIMITED</t>
  </si>
  <si>
    <t>06AAKCP1272G1ZH</t>
  </si>
  <si>
    <t>EDP Charges Licensing Fee - Users</t>
  </si>
  <si>
    <t>PH/26-27/4</t>
  </si>
  <si>
    <t>Procurement Platform Usage Premium Period -1st April 2026 to 30th April 2026</t>
  </si>
  <si>
    <t>06AAKCP1272G1ZHPH/26-27/4</t>
  </si>
  <si>
    <t>Maint of Data Processing Equip  - AMC Data Centre</t>
  </si>
  <si>
    <t>H07T10202600021</t>
  </si>
  <si>
    <t>Support at Application OS Layer for the Servers installed multiple locations of GPIL 01-04-26 - 30-04-26</t>
  </si>
  <si>
    <t>07AAACM6396E2ZCH07T10202600021</t>
  </si>
  <si>
    <t>Final Recoverable CGST- ISD</t>
  </si>
  <si>
    <t>072632BP12AAO846</t>
  </si>
  <si>
    <t>9VQ4Q6;DHARIWAL VISHAL MR;DELBOMAI;D2502732</t>
  </si>
  <si>
    <t>07AACCN6194P2ZQ072632BP12AAO846</t>
  </si>
  <si>
    <t>AIR INDIA EXPRESS LIMITED</t>
  </si>
  <si>
    <t>07AABCA0522B1ZM</t>
  </si>
  <si>
    <t>Final Recoverable SGST- ISD</t>
  </si>
  <si>
    <t>CDEL260100011023</t>
  </si>
  <si>
    <t>K8SP6N;Amlendu Kumar Mishra;DEL PAT;D2503186</t>
  </si>
  <si>
    <t>07AABCA0522B1ZMCDEL260100011023</t>
  </si>
  <si>
    <t>072632BP01AAZ368</t>
  </si>
  <si>
    <t>855YAN;MODI BINA MRS;DELBOMAI;D2503245</t>
  </si>
  <si>
    <t>07AACCN6194P2ZQ072632BP01AAZ368</t>
  </si>
  <si>
    <t>072632BP01AAZ343</t>
  </si>
  <si>
    <t>84ARQW;SHARMA SACHIN MR;DELHSRAI;D2503242</t>
  </si>
  <si>
    <t>07AACCN6194P2ZQ072632BP01AAZ343</t>
  </si>
  <si>
    <t>36AACCN6194P2ZP</t>
  </si>
  <si>
    <t>362632BP01AAD685</t>
  </si>
  <si>
    <t>75CVR2;GUPTA ANKIT KUMAR MR;HYDBOMAI;D2503266</t>
  </si>
  <si>
    <t>36AACCN6194P2ZP362632BP01AAD685</t>
  </si>
  <si>
    <t>242632BP01AAF637</t>
  </si>
  <si>
    <t>7L47XG;BHASIN LALIT MR;AMDDELAI;D2503274</t>
  </si>
  <si>
    <t>24AACCN6194P1ZV242632BP01AAF637</t>
  </si>
  <si>
    <t>WB2252612AF48401</t>
  </si>
  <si>
    <t>N3PGWV;;CCU BBI;D2502505</t>
  </si>
  <si>
    <t>19AABCI2726B1ZZWB2252612AF48401</t>
  </si>
  <si>
    <t>072632BP01AAH134</t>
  </si>
  <si>
    <t>7QT3CO;WADHWA MANAN MR;DELBOMAI;D2502748</t>
  </si>
  <si>
    <t>07AACCN6194P2ZQ072632BP01AAH134</t>
  </si>
  <si>
    <t>09AABCA0522B1ZI</t>
  </si>
  <si>
    <t>CLKO251100000557</t>
  </si>
  <si>
    <t>YC8R4H;Nidhi gupta;LKO DEL;D2502099</t>
  </si>
  <si>
    <t>09AABCA0522B1ZICLKO251100000557</t>
  </si>
  <si>
    <t>37AACCN6194P2ZN</t>
  </si>
  <si>
    <t>372632BP01AAA438</t>
  </si>
  <si>
    <t>9ZD8YK;ANAND SAKSHI MS;VGADELAI;D2503132</t>
  </si>
  <si>
    <t>37AACCN6194P2ZN372632BP01AAA438</t>
  </si>
  <si>
    <t>08AACCN6194P1ZP</t>
  </si>
  <si>
    <t>082632BP02AAC472</t>
  </si>
  <si>
    <t>7627JC;MODI CHARU MS;UDRDELAI;D2503270</t>
  </si>
  <si>
    <t>08AACCN6194P1ZP082632BP02AAC472</t>
  </si>
  <si>
    <t>MH2252610AK06995</t>
  </si>
  <si>
    <t>V8ZGUJ;;BOM DEL;D2502059</t>
  </si>
  <si>
    <t>27AABCI2726B1Z2MH2252610AK06995</t>
  </si>
  <si>
    <t>272632BP12AAW433</t>
  </si>
  <si>
    <t>9FM48Y;MODI BINA MRS;BOMDELAI;D2502780</t>
  </si>
  <si>
    <t>27AACCN6194P1ZP272632BP12AAW433</t>
  </si>
  <si>
    <t>072632BP12AAP830</t>
  </si>
  <si>
    <t>9VIU5J;WADHWA MANAN MR;DELBOMAI;D2502734</t>
  </si>
  <si>
    <t>07AACCN6194P2ZQ072632BP12AAP830</t>
  </si>
  <si>
    <t>272632BP12AAQ156</t>
  </si>
  <si>
    <t>9VLHZN;WADHWA MANAN MR;BOMDELAI;D2502737</t>
  </si>
  <si>
    <t>27AACCN6194P1ZP272632BP12AAQ156</t>
  </si>
  <si>
    <t>072632BP12AAP088</t>
  </si>
  <si>
    <t>9VIU5J;VERMA VIPUL MR;DELBOMAI;D2502734</t>
  </si>
  <si>
    <t>07AACCN6194P2ZQ072632BP12AAP088</t>
  </si>
  <si>
    <t>072632BP12AAV051</t>
  </si>
  <si>
    <t>7QNZQA;DHARIWAL VISHAL MR;DELBOMAI;D2502746</t>
  </si>
  <si>
    <t>07AACCN6194P2ZQ072632BP12AAV051</t>
  </si>
  <si>
    <t>21AABCI2726B1ZE</t>
  </si>
  <si>
    <t>OR2252612AB23179</t>
  </si>
  <si>
    <t>L9QBRD;;BBI DEL;D2502615</t>
  </si>
  <si>
    <t>21AABCI2726B1ZEOR2252612AB23179</t>
  </si>
  <si>
    <t>JK1252602AK76780</t>
  </si>
  <si>
    <t>P4RJUV;;IXJ DEL;D2503520</t>
  </si>
  <si>
    <t>01AABCI2726B1ZGJK1252602AK76780</t>
  </si>
  <si>
    <t>272632BP03AAK516</t>
  </si>
  <si>
    <t>75BVWM;GUPTA ANKIT KUMAR MR;BOMDELAI;D2503267</t>
  </si>
  <si>
    <t>27AACCN6194P1ZP272632BP03AAK516</t>
  </si>
  <si>
    <t>272632BP02AAH377</t>
  </si>
  <si>
    <t>8MPN37;KHEMKA MAMTA MS;BOMDELAI;D2503353</t>
  </si>
  <si>
    <t>27AACCN6194P1ZP272632BP02AAH377</t>
  </si>
  <si>
    <t>292612BP02ABC766</t>
  </si>
  <si>
    <t>9QSEYP;KAMAL SIKANDER MR;BLRDELAI;D2503397</t>
  </si>
  <si>
    <t>29AACCN6194P2ZK292612BP02ABC766</t>
  </si>
  <si>
    <t>072632BP01ABB517</t>
  </si>
  <si>
    <t>759OIP;GUPTA ANKIT KUMAR MR;DELHYDAI;D2503265</t>
  </si>
  <si>
    <t>07AACCN6194P2ZQ072632BP01ABB517</t>
  </si>
  <si>
    <t>23AACCN6194P1ZX</t>
  </si>
  <si>
    <t>232632BP01AAA363</t>
  </si>
  <si>
    <t>8HJY3X;SINGH LOKESH KUMAR MR;IDRDELAI;D2502998</t>
  </si>
  <si>
    <t>23AACCN6194P1ZX232632BP01AAA363</t>
  </si>
  <si>
    <t>072632BP12AAF225</t>
  </si>
  <si>
    <t>97Q76H;MODI BINA MRS;DELBOMAI;D2502414</t>
  </si>
  <si>
    <t>07AACCN6194P2ZQ072632BP12AAF225</t>
  </si>
  <si>
    <t>DL2252612AM69964</t>
  </si>
  <si>
    <t>Z83PXM;;DEL LKO;D2502709</t>
  </si>
  <si>
    <t>07AABCI2726B1Z4DL2252612AM69964</t>
  </si>
  <si>
    <t>DL2252601AO47994</t>
  </si>
  <si>
    <t>F3QNHF;;DEL IDR;D2503073</t>
  </si>
  <si>
    <t>07AABCI2726B1Z4DL2252601AO47994</t>
  </si>
  <si>
    <t>TN2252601AH24326</t>
  </si>
  <si>
    <t>T1QYVB;;CJB BOM;D2503173</t>
  </si>
  <si>
    <t>33AABCI2726B1Z9TN2252601AH24326</t>
  </si>
  <si>
    <t>072632BP02ABB068</t>
  </si>
  <si>
    <t>7NQJUX;SAHNI ROHIT MR;DELHYDAI;D2503444</t>
  </si>
  <si>
    <t>07AACCN6194P2ZQ072632BP02ABB068</t>
  </si>
  <si>
    <t>272632BP12AAR234</t>
  </si>
  <si>
    <t>9VLHZN;VERMA VIPUL MR;BOMDELAI;D2502737</t>
  </si>
  <si>
    <t>27AACCN6194P1ZP272632BP12AAR234</t>
  </si>
  <si>
    <t>072612BP12AAL338</t>
  </si>
  <si>
    <t>8O9FUB;KATHURIA AJAY MR;DELIDRAI;D2502410</t>
  </si>
  <si>
    <t>07AACCN6194P2ZQ072612BP12AAL338</t>
  </si>
  <si>
    <t>MH2252601AP63279</t>
  </si>
  <si>
    <t>XEZUYK;;BOM DEL;D2503232</t>
  </si>
  <si>
    <t>27AABCI2726B1Z2MH2252601AP63279</t>
  </si>
  <si>
    <t>072632BP02AAH520</t>
  </si>
  <si>
    <t>8MKDON;KHEMKA MAMTA MS;DELBOMAI;D2503352</t>
  </si>
  <si>
    <t>07AACCN6194P2ZQ072632BP02AAH520</t>
  </si>
  <si>
    <t>DL2252602AP65735</t>
  </si>
  <si>
    <t>B4ZY6S;;DEL BOM;D2503368</t>
  </si>
  <si>
    <t>07AABCI2726B1Z4DL2252602AP65735</t>
  </si>
  <si>
    <t>072632BP02AAB466</t>
  </si>
  <si>
    <t>8OJAIF;MODI BINA MRS;DELBOMAI;D2503299</t>
  </si>
  <si>
    <t>07AACCN6194P2ZQ072632BP02AAB466</t>
  </si>
  <si>
    <t>082632BP02AAC938</t>
  </si>
  <si>
    <t>75T7OW;MODI CHARU MS;UDRDELAI;D2503269</t>
  </si>
  <si>
    <t>08AACCN6194P1ZP082632BP02AAC938</t>
  </si>
  <si>
    <t>AIRGST996335</t>
  </si>
  <si>
    <t>27ABECS9580P1ZC</t>
  </si>
  <si>
    <t>271LC4NYN0226001</t>
  </si>
  <si>
    <t>LC4NYN;;BOM;D2503465</t>
  </si>
  <si>
    <t>27ABECS9580P1ZC271LC4NYN0226001</t>
  </si>
  <si>
    <t>272632BP12AAQ851</t>
  </si>
  <si>
    <t>9VIRS9;DHARIWAL VISHAL MR;BOMDELAI;D2502735</t>
  </si>
  <si>
    <t>27AACCN6194P1ZP272632BP12AAQ851</t>
  </si>
  <si>
    <t>19AABCA0522B1ZH</t>
  </si>
  <si>
    <t>CIXB260100001241</t>
  </si>
  <si>
    <t>G9VI6K;snehil kohli;IXB DEL;D2503016</t>
  </si>
  <si>
    <t>19AABCA0522B1ZHCIXB260100001241</t>
  </si>
  <si>
    <t>372632BP01AAA426</t>
  </si>
  <si>
    <t>9ZE5RE;DHARIWAL VISHAL MR;VGADELAI;D2503134</t>
  </si>
  <si>
    <t>37AACCN6194P2ZN372632BP01AAA426</t>
  </si>
  <si>
    <t>272632BP01ABD326</t>
  </si>
  <si>
    <t>27AACCN6194P1ZP272632BP01ABD326</t>
  </si>
  <si>
    <t>072632BP01ABE379</t>
  </si>
  <si>
    <t>7KZIZJ;BHASIN LALIT MR;DELAMDAI;D2503273</t>
  </si>
  <si>
    <t>07AACCN6194P2ZQ072632BP01ABE379</t>
  </si>
  <si>
    <t>272632BP02AAC255</t>
  </si>
  <si>
    <t>8KR2SM;MODI BINA MRS;BOMDELAI;D2503296</t>
  </si>
  <si>
    <t>27AACCN6194P1ZP272632BP02AAC255</t>
  </si>
  <si>
    <t>Employee Sales Incentive</t>
  </si>
  <si>
    <t>PL12012926012114</t>
  </si>
  <si>
    <t>29AACCP7457K2ZSPL12012926012114</t>
  </si>
  <si>
    <t>PL12012926012270</t>
  </si>
  <si>
    <t>TrailBlazers Handling charges Courier Charges</t>
  </si>
  <si>
    <t>29AACCP7457K2ZSPL12012926012270</t>
  </si>
  <si>
    <t>PL12012926012271</t>
  </si>
  <si>
    <t>Believe Handling Charges Courier Charges</t>
  </si>
  <si>
    <t>29AACCP7457K2ZSPL12012926012271</t>
  </si>
  <si>
    <t>IFFCO TOKIO GENERAL INSURANCE COMPANY LIMITED</t>
  </si>
  <si>
    <t>27AAACI7573H1ZC</t>
  </si>
  <si>
    <t>Insurance- Marine etc. (GST Allowed)</t>
  </si>
  <si>
    <t>Insurance</t>
  </si>
  <si>
    <t>Burglary  CNF Zone 3 sum insured increase by Rs 65Cr w.e.f 11th Dec 25 to 10th Jan 26</t>
  </si>
  <si>
    <t>27AAACI7573H1ZC4449299600006</t>
  </si>
  <si>
    <t>Burglary  CNF Zone 4 sum insured increase by Rs 50Cr w.e.f 11th Dec 25 to 10th Jan 26</t>
  </si>
  <si>
    <t>27AAACI7573H1ZC4449299500005</t>
  </si>
  <si>
    <t>Burglary  Cigratte factory stock Policy sum insured increase by Rs 20Cr w.e.f  11th Dec 25 to 10th Jan 26</t>
  </si>
  <si>
    <t>27AAACI7573H1ZC4449299400005</t>
  </si>
  <si>
    <t>Burglary  CNF Zone 1 sum insured increase by Rs 30Cr w.e.f 11th Dec 25 to 10th Jan 26</t>
  </si>
  <si>
    <t>27AAACI7573H1ZC4449299800005</t>
  </si>
  <si>
    <t>Burglary  CNF Zone 2 sum insured increase by Rs 190Cr w.e.f 11th Dec 25 to 10th Jan 26</t>
  </si>
  <si>
    <t>27AAACI7573H1ZC4449299700006</t>
  </si>
  <si>
    <t>KALYANI CREATIVE UNIT</t>
  </si>
  <si>
    <t>07ABSPC4718L1ZB</t>
  </si>
  <si>
    <t>Advtg - Payments to Agency</t>
  </si>
  <si>
    <t>Corporate Affairs</t>
  </si>
  <si>
    <t>CORPDEVITM</t>
  </si>
  <si>
    <t>Towards The Cost of Translation  Typesetting In Hindi Language</t>
  </si>
  <si>
    <t>07ABSPC4718L1ZB318</t>
  </si>
  <si>
    <t>PL12012926013368</t>
  </si>
  <si>
    <t>GPI handling Charges Courier Charges</t>
  </si>
  <si>
    <t>29AACCP7457K2ZSPL12012926013368</t>
  </si>
  <si>
    <t>BIGHAT EVENTS AND COMMUNICATIONS PRIVATE LIMITED</t>
  </si>
  <si>
    <t>07AAGCB4204J1ZW</t>
  </si>
  <si>
    <t>Advtg - Art Work / Agency Art Work Cost Etc.</t>
  </si>
  <si>
    <t>BH/DL/25-26/048</t>
  </si>
  <si>
    <t>Red &amp; White Premium</t>
  </si>
  <si>
    <t>MKTATLRWFT</t>
  </si>
  <si>
    <t>Towards development of Mint Button Communication</t>
  </si>
  <si>
    <t>07AAGCB4204J1ZWBH/DL/25-26/048</t>
  </si>
  <si>
    <t>GUIDONA SOFTPEDIA PRIVATE LIMITED</t>
  </si>
  <si>
    <t>09AAHCG2066N1Z6</t>
  </si>
  <si>
    <t>CR - H.O.</t>
  </si>
  <si>
    <t>GSPL-071/25-26</t>
  </si>
  <si>
    <t>Stellar Shift Duos</t>
  </si>
  <si>
    <t>MKTDIGITEM</t>
  </si>
  <si>
    <t>VARIABLE COST - CRD- STELLAR SHIFT DOUS CR CAMPAIGN IN DELHI METRO TOWNS FROM W4 APR-25 TO W4 MAY-25</t>
  </si>
  <si>
    <t>09AAHCG2066N1Z6GSPL-071/25-26</t>
  </si>
  <si>
    <t>GSPL-070/25-26</t>
  </si>
  <si>
    <t>09AAHCG2066N1Z6GSPL-070/25-26</t>
  </si>
  <si>
    <t>Advtg - Brand Development / Packaging design</t>
  </si>
  <si>
    <t>BH/DL/25-26/047</t>
  </si>
  <si>
    <t>Delhi,Haryana,Punjab,Uttar Pradesh</t>
  </si>
  <si>
    <t>Red &amp; White Mint Button</t>
  </si>
  <si>
    <t>Towards development of RW Striker Communication</t>
  </si>
  <si>
    <t>07AAGCB4204J1ZWBH/DL/25-26/047</t>
  </si>
  <si>
    <t>OUTREACH CONSULTING</t>
  </si>
  <si>
    <t>36ASUPR3811N1ZY</t>
  </si>
  <si>
    <t>OC/GPI/2026/02</t>
  </si>
  <si>
    <t>Professional Fees for recruiting the following candidate Candidate Name Mr. Karangi Anand Role Offered Assistant Manager - Sales Date of Joining 05-03-2026 - -</t>
  </si>
  <si>
    <t>36ASUPR3811N1ZYOC/GPI/2026/02</t>
  </si>
  <si>
    <t>SAATHIRE SOCIAL IMPACT SOLUTIONS PRIVATE LIMITED</t>
  </si>
  <si>
    <t>29AAYCS9135K1Z9</t>
  </si>
  <si>
    <t>Give/25-26/0297</t>
  </si>
  <si>
    <t>CSR (Corporate Social Responsibility</t>
  </si>
  <si>
    <t>Impact Assessment of CSR Projects of Godfrey Philip India Ltd. 25 Upon finalising the program stakeholders and scheduling interactions</t>
  </si>
  <si>
    <t>29AAYCS9135K1Z9Give/25-26/0297</t>
  </si>
  <si>
    <t>PANDQ GLOBAL PRIVATE LIMITED</t>
  </si>
  <si>
    <t>06AANCP5189M1ZL</t>
  </si>
  <si>
    <t>Print Monitoring Print Monitoring for Client Competition Industry January 2026</t>
  </si>
  <si>
    <t>06AANCP5189M1ZL2025260317</t>
  </si>
  <si>
    <t>21/25-26</t>
  </si>
  <si>
    <t>Md. Kashan AM Sales DOJ 091125 CTC -</t>
  </si>
  <si>
    <t>07ADGPV3549L1ZX21/25-26</t>
  </si>
  <si>
    <t>24AABCI2726B1Z8</t>
  </si>
  <si>
    <t>GJ2252609AC42160</t>
  </si>
  <si>
    <t>UC282H;;AMD DEL;D2501836</t>
  </si>
  <si>
    <t>24AABCI2726B1Z8GJ2252609AC42160</t>
  </si>
  <si>
    <t>072632BP07AAM150</t>
  </si>
  <si>
    <t>77AOXW;BHASIN LALIT MR;DELBOMAI;D2501006</t>
  </si>
  <si>
    <t>07AACCN6194P2ZQ072632BP07AAM150</t>
  </si>
  <si>
    <t>23AABCI2726B1ZA</t>
  </si>
  <si>
    <t>MP2252608AA86499</t>
  </si>
  <si>
    <t>Z5PRQM;;IDR DEL;D2501207</t>
  </si>
  <si>
    <t>23AABCI2726B1ZAMP2252608AA86499</t>
  </si>
  <si>
    <t>TN2252610AE28852</t>
  </si>
  <si>
    <t>WE4MPE;;MAA DEL;D2501920</t>
  </si>
  <si>
    <t>33AABCI2726B1Z9TN2252610AE28852</t>
  </si>
  <si>
    <t>MH2252608AG37907</t>
  </si>
  <si>
    <t>DZFSSY;;BOM DEL;D2501197</t>
  </si>
  <si>
    <t>27AABCI2726B1Z2MH2252608AG37907</t>
  </si>
  <si>
    <t>072632BP08AAM678</t>
  </si>
  <si>
    <t>7J5MU7;MODI BINA MRS;DELBOMAI;D2501295</t>
  </si>
  <si>
    <t>07AACCN6194P2ZQ072632BP08AAM678</t>
  </si>
  <si>
    <t>Non Employees Travel Expenses - Ticket cost/Car Exps</t>
  </si>
  <si>
    <t>MH2252608AG99820</t>
  </si>
  <si>
    <t>I34YNC;;BOM DEL;D2501478</t>
  </si>
  <si>
    <t>27AABCI2726B1Z2MH2252608AG99820</t>
  </si>
  <si>
    <t>072632BP09AAU291</t>
  </si>
  <si>
    <t>75H9B4;SHUKLA SAMARJEET MR;DELAMDAI;D2501874</t>
  </si>
  <si>
    <t>07AACCN6194P2ZQ072632BP09AAU291</t>
  </si>
  <si>
    <t>DL2252610AI99341</t>
  </si>
  <si>
    <t>OCLU7E;;DEL MAA;D2501917</t>
  </si>
  <si>
    <t>07AABCI2726B1Z4DL2252610AI99341</t>
  </si>
  <si>
    <t>WB2252607AC11869</t>
  </si>
  <si>
    <t>M5NM4G;;CCU DEL;D2501036</t>
  </si>
  <si>
    <t>19AABCI2726B1ZZWB2252607AC11869</t>
  </si>
  <si>
    <t>CHDO250800001573</t>
  </si>
  <si>
    <t>NBF32U;Piyush Kumar;HDO BBI;D2501216</t>
  </si>
  <si>
    <t>09AABCA0522B1ZICHDO250800001573</t>
  </si>
  <si>
    <t>WB2252607AC12591</t>
  </si>
  <si>
    <t>Y39L9C;;CCU DEL;D2501045</t>
  </si>
  <si>
    <t>19AABCI2726B1ZZWB2252607AC12591</t>
  </si>
  <si>
    <t>WB2252607AC12235</t>
  </si>
  <si>
    <t>S5HZQZ;;CCU DEL;D2501039</t>
  </si>
  <si>
    <t>19AABCI2726B1ZZWB2252607AC12235</t>
  </si>
  <si>
    <t>MH2252609AI01525</t>
  </si>
  <si>
    <t>D37UKC;;BOM DEL;D2501767</t>
  </si>
  <si>
    <t>27AABCI2726B1Z2MH2252609AI01525</t>
  </si>
  <si>
    <t>DL2252610AI85008</t>
  </si>
  <si>
    <t>HBHVPH;;DEL AMD;D2501828</t>
  </si>
  <si>
    <t>07AABCI2726B1Z4DL2252610AI85008</t>
  </si>
  <si>
    <t>DL2252609AI31853</t>
  </si>
  <si>
    <t>07AABCI2726B1Z4DL2252609AI31853</t>
  </si>
  <si>
    <t>TN2252608AD00430</t>
  </si>
  <si>
    <t>D22Y9C;;IXM DEL;D2501244</t>
  </si>
  <si>
    <t>33AABCI2726B1Z9TN2252608AD00430</t>
  </si>
  <si>
    <t>DL2252609AI20318</t>
  </si>
  <si>
    <t>SCP8UH;;DEL BOM;D2501781</t>
  </si>
  <si>
    <t>07AABCI2726B1Z4DL2252609AI20318</t>
  </si>
  <si>
    <t>072632BP10AAA050</t>
  </si>
  <si>
    <t>7JU6FV;MODI CHARU MS;DELHYDAI;D2501583</t>
  </si>
  <si>
    <t>07AACCN6194P2ZQ072632BP10AAA050</t>
  </si>
  <si>
    <t>DL2252611AK36846</t>
  </si>
  <si>
    <t>Jammu &amp; Kashmir</t>
  </si>
  <si>
    <t>E5R2KZ;;DEL SXR;D2502028</t>
  </si>
  <si>
    <t>07AABCI2726B1Z4DL2252611AK36846</t>
  </si>
  <si>
    <t>37AABCI2726B1Z1</t>
  </si>
  <si>
    <t>AD2252610AB20166</t>
  </si>
  <si>
    <t>Z43Z9F;;VGA DEL;D2502047</t>
  </si>
  <si>
    <t>37AABCI2726B1Z1AD2252610AB20166</t>
  </si>
  <si>
    <t>10AABCI2726B1ZH</t>
  </si>
  <si>
    <t>BR2252608AA60164</t>
  </si>
  <si>
    <t>AZ5FQY;;PAT DEL;D2501208</t>
  </si>
  <si>
    <t>10AABCI2726B1ZHBR2252608AA60164</t>
  </si>
  <si>
    <t>AD2252610AB18305</t>
  </si>
  <si>
    <t>O76R4G;;VGA DEL;D2502033</t>
  </si>
  <si>
    <t>37AABCI2726B1Z1AD2252610AB18305</t>
  </si>
  <si>
    <t>DL1252610CF27864</t>
  </si>
  <si>
    <t>H2ERHV;;DEL SXR;D2501923</t>
  </si>
  <si>
    <t>07AABCI2726B1Z4DL1252610CF27864</t>
  </si>
  <si>
    <t>JK2252611AB49052</t>
  </si>
  <si>
    <t>N6KZWM;;SXR DEL;D2502031</t>
  </si>
  <si>
    <t>01AABCI2726B1ZGJK2252611AB49052</t>
  </si>
  <si>
    <t>272632BP08AAN482</t>
  </si>
  <si>
    <t>7J7Q62;MODI BINA MRS;BOMDELAI;D2501296</t>
  </si>
  <si>
    <t>27AACCN6194P1ZP272632BP08AAN482</t>
  </si>
  <si>
    <t>MH2252608AG98883</t>
  </si>
  <si>
    <t>CBNGGE;;BOM DEL;D2501473</t>
  </si>
  <si>
    <t>27AABCI2726B1Z2MH2252608AG98883</t>
  </si>
  <si>
    <t>TN2252609AD98980</t>
  </si>
  <si>
    <t>Q6C6GZ;;MAA DEL;D2501862</t>
  </si>
  <si>
    <t>33AABCI2726B1Z9TN2252609AD98980</t>
  </si>
  <si>
    <t>MH2252609AH35688</t>
  </si>
  <si>
    <t>W5DS3Z;;BOM DEL;D2501580</t>
  </si>
  <si>
    <t>27AABCI2726B1Z2MH2252609AH35688</t>
  </si>
  <si>
    <t>JM FINANCIAL SERVICES LTD</t>
  </si>
  <si>
    <t>27AAACJ5977A1ZL</t>
  </si>
  <si>
    <t>DNI2725262122</t>
  </si>
  <si>
    <t>Corporate Accounts</t>
  </si>
  <si>
    <t>NSDL AMC Charge</t>
  </si>
  <si>
    <t>27AAACJ5977A1ZLDNI2725262122</t>
  </si>
  <si>
    <t>DNI2725262188</t>
  </si>
  <si>
    <t>27AAACJ5977A1ZLDNI2725262188</t>
  </si>
  <si>
    <t>DNI2725262958</t>
  </si>
  <si>
    <t>27AAACJ5977A1ZLDNI2725262958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</si>
</sst>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000000"/>
      <name val="Aptos"/>
      <family val="2"/>
    </font>
    <font>
      <b/>
      <sz val="9"/>
      <color rgb="FF000000"/>
      <name val="Times New Roman"/>
      <family val="1"/>
    </font>
    <font>
      <b/>
      <sz val="9"/>
      <name val="Times New Roman"/>
      <family val="1"/>
    </font>
    <font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9F7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left" indent="1"/>
    </xf>
    <xf numFmtId="164" fontId="0" fillId="0" borderId="0" xfId="1" applyNumberFormat="1" applyFont="1"/>
    <xf numFmtId="165" fontId="0" fillId="0" borderId="1" xfId="1" applyNumberFormat="1" applyFont="1" applyBorder="1"/>
    <xf numFmtId="43" fontId="4" fillId="0" borderId="1" xfId="1" applyFont="1" applyBorder="1"/>
    <xf numFmtId="43" fontId="5" fillId="0" borderId="1" xfId="1" applyFont="1" applyBorder="1"/>
    <xf numFmtId="164" fontId="5" fillId="0" borderId="1" xfId="0" applyNumberFormat="1" applyFont="1" applyBorder="1"/>
    <xf numFmtId="0" fontId="3" fillId="2" borderId="2" xfId="0" applyFont="1" applyFill="1" applyBorder="1" applyAlignment="1">
      <alignment vertical="top" wrapText="1"/>
    </xf>
    <xf numFmtId="15" fontId="6" fillId="2" borderId="2" xfId="0" applyNumberFormat="1" applyFont="1" applyFill="1" applyBorder="1" applyAlignment="1">
      <alignment horizontal="left" vertical="top" wrapText="1" indent="1"/>
    </xf>
    <xf numFmtId="0" fontId="2" fillId="0" borderId="0" xfId="0" applyFont="1"/>
    <xf numFmtId="0" fontId="3" fillId="2" borderId="0" xfId="0" applyFont="1" applyFill="1" applyAlignment="1">
      <alignment vertical="top" wrapText="1"/>
    </xf>
    <xf numFmtId="15" fontId="6" fillId="2" borderId="0" xfId="0" applyNumberFormat="1" applyFont="1" applyFill="1" applyAlignment="1">
      <alignment horizontal="left" vertical="top" wrapText="1" indent="1"/>
    </xf>
    <xf numFmtId="43" fontId="2" fillId="0" borderId="0" xfId="0" applyNumberFormat="1" applyFont="1"/>
    <xf numFmtId="43" fontId="4" fillId="0" borderId="0" xfId="0" applyNumberFormat="1" applyFont="1"/>
    <xf numFmtId="0" fontId="4" fillId="0" borderId="0" xfId="0" applyFont="1"/>
    <xf numFmtId="43" fontId="4" fillId="3" borderId="0" xfId="0" applyNumberFormat="1" applyFont="1" applyFill="1"/>
    <xf numFmtId="43" fontId="5" fillId="0" borderId="0" xfId="1" applyFont="1"/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43" fontId="4" fillId="4" borderId="1" xfId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43" fontId="4" fillId="4" borderId="1" xfId="1" applyFont="1" applyFill="1" applyBorder="1" applyAlignment="1"/>
    <xf numFmtId="43" fontId="4" fillId="4" borderId="1" xfId="1" applyFont="1" applyFill="1" applyBorder="1"/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4" fontId="4" fillId="0" borderId="6" xfId="1" applyNumberFormat="1" applyFont="1" applyBorder="1"/>
    <xf numFmtId="0" fontId="9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horizontal="left" vertical="top" wrapText="1" indent="1"/>
    </xf>
    <xf numFmtId="0" fontId="9" fillId="5" borderId="7" xfId="0" applyFont="1" applyFill="1" applyBorder="1" applyAlignment="1">
      <alignment vertical="top" wrapText="1"/>
    </xf>
    <xf numFmtId="0" fontId="8" fillId="3" borderId="1" xfId="0" applyFont="1" applyFill="1" applyBorder="1"/>
    <xf numFmtId="0" fontId="4" fillId="0" borderId="1" xfId="0" applyFont="1" applyBorder="1"/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right" vertical="top" wrapText="1" indent="1"/>
    </xf>
    <xf numFmtId="0" fontId="0" fillId="2" borderId="2" xfId="0" applyFill="1" applyBorder="1" applyAlignment="1">
      <alignment vertical="top" wrapText="1"/>
    </xf>
    <xf numFmtId="43" fontId="0" fillId="0" borderId="0" xfId="1" applyFont="1" applyAlignment="1"/>
    <xf numFmtId="0" fontId="6" fillId="2" borderId="8" xfId="0" applyFont="1" applyFill="1" applyBorder="1" applyAlignment="1">
      <alignment vertical="top" wrapText="1"/>
    </xf>
    <xf numFmtId="15" fontId="6" fillId="2" borderId="8" xfId="0" applyNumberFormat="1" applyFont="1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6" fillId="2" borderId="8" xfId="0" applyFont="1" applyFill="1" applyBorder="1" applyAlignment="1">
      <alignment horizontal="left" vertical="top" wrapText="1" indent="1"/>
    </xf>
    <xf numFmtId="0" fontId="6" fillId="6" borderId="2" xfId="0" applyFont="1" applyFill="1" applyBorder="1" applyAlignment="1">
      <alignment vertical="top"/>
    </xf>
    <xf numFmtId="15" fontId="6" fillId="6" borderId="2" xfId="0" applyNumberFormat="1" applyFont="1" applyFill="1" applyBorder="1" applyAlignment="1">
      <alignment vertical="top"/>
    </xf>
    <xf numFmtId="0" fontId="6" fillId="6" borderId="2" xfId="0" applyFont="1" applyFill="1" applyBorder="1" applyAlignment="1">
      <alignment horizontal="right" vertical="top"/>
    </xf>
    <xf numFmtId="0" fontId="0" fillId="6" borderId="2" xfId="0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3C7B-F90D-4BD1-B2D4-7A33B2B11B98}">
  <dimension ref="A1:EG232"/>
  <sheetViews>
    <sheetView showGridLines="0" tabSelected="1" topLeftCell="J1" zoomScale="90" zoomScaleNormal="90" workbookViewId="0">
      <pane ySplit="8" topLeftCell="A54" activePane="bottomLeft" state="frozen"/>
      <selection activeCell="H27" sqref="H27"/>
      <selection pane="bottomLeft" activeCell="Q66" sqref="Q66"/>
    </sheetView>
  </sheetViews>
  <sheetFormatPr defaultRowHeight="14.5" x14ac:dyDescent="0.35"/>
  <cols>
    <col min="1" max="1" width="34.90625" bestFit="1" customWidth="1"/>
    <col min="2" max="2" width="12.54296875" bestFit="1" customWidth="1"/>
    <col min="3" max="3" width="18.7265625" bestFit="1" customWidth="1"/>
    <col min="4" max="4" width="34.90625" bestFit="1" customWidth="1"/>
    <col min="5" max="5" width="9.1796875" bestFit="1" customWidth="1"/>
    <col min="6" max="6" width="20.54296875" bestFit="1" customWidth="1"/>
    <col min="7" max="7" width="22.453125" bestFit="1" customWidth="1"/>
    <col min="8" max="8" width="18" bestFit="1" customWidth="1"/>
    <col min="9" max="9" width="10.81640625" bestFit="1" customWidth="1"/>
    <col min="10" max="10" width="15.36328125" style="2" bestFit="1" customWidth="1"/>
    <col min="11" max="11" width="12.26953125" style="2" bestFit="1" customWidth="1"/>
    <col min="12" max="13" width="13.54296875" style="2" bestFit="1" customWidth="1"/>
    <col min="14" max="14" width="13.90625" bestFit="1" customWidth="1"/>
    <col min="15" max="15" width="13" bestFit="1" customWidth="1"/>
    <col min="16" max="16" width="14.08984375" bestFit="1" customWidth="1"/>
    <col min="17" max="17" width="32.81640625" customWidth="1"/>
    <col min="18" max="18" width="34.1796875" customWidth="1"/>
    <col min="19" max="19" width="18.7265625" customWidth="1"/>
    <col min="20" max="20" width="17.90625" customWidth="1"/>
    <col min="21" max="21" width="15.6328125" customWidth="1"/>
    <col min="22" max="22" width="15.81640625" customWidth="1"/>
    <col min="23" max="23" width="34.90625" customWidth="1"/>
    <col min="24" max="24" width="29" customWidth="1"/>
    <col min="25" max="25" width="7.7265625" customWidth="1"/>
    <col min="26" max="26" width="26.6328125" customWidth="1"/>
    <col min="27" max="27" width="8.7265625" customWidth="1"/>
    <col min="28" max="29" width="10.81640625" customWidth="1"/>
    <col min="30" max="30" width="8.7265625" customWidth="1"/>
    <col min="31" max="31" width="11.1796875" customWidth="1"/>
    <col min="32" max="32" width="19" customWidth="1"/>
    <col min="33" max="33" width="13.90625" customWidth="1"/>
    <col min="34" max="35" width="8.7265625" customWidth="1"/>
    <col min="36" max="36" width="9.1796875" customWidth="1"/>
    <col min="37" max="37" width="11.7265625" bestFit="1" customWidth="1"/>
    <col min="41" max="41" width="13.90625" bestFit="1" customWidth="1"/>
    <col min="44" max="44" width="9.1796875" bestFit="1" customWidth="1"/>
    <col min="45" max="45" width="13.90625" bestFit="1" customWidth="1"/>
    <col min="48" max="48" width="9.1796875" bestFit="1" customWidth="1"/>
    <col min="49" max="49" width="12.54296875" bestFit="1" customWidth="1"/>
    <col min="53" max="53" width="14.36328125" bestFit="1" customWidth="1"/>
    <col min="56" max="56" width="9.1796875" bestFit="1" customWidth="1"/>
    <col min="57" max="57" width="13.90625" bestFit="1" customWidth="1"/>
    <col min="58" max="60" width="9.1796875" bestFit="1" customWidth="1"/>
    <col min="61" max="61" width="13.90625" bestFit="1" customWidth="1"/>
    <col min="64" max="64" width="9.1796875" bestFit="1" customWidth="1"/>
    <col min="65" max="65" width="14.7265625" bestFit="1" customWidth="1"/>
    <col min="68" max="68" width="9.1796875" bestFit="1" customWidth="1"/>
    <col min="69" max="69" width="13.90625" bestFit="1" customWidth="1"/>
    <col min="73" max="73" width="12.54296875" bestFit="1" customWidth="1"/>
    <col min="77" max="77" width="13.90625" bestFit="1" customWidth="1"/>
    <col min="81" max="81" width="12.54296875" bestFit="1" customWidth="1"/>
    <col min="85" max="85" width="13.90625" bestFit="1" customWidth="1"/>
    <col min="89" max="89" width="13.90625" bestFit="1" customWidth="1"/>
    <col min="93" max="93" width="13.90625" bestFit="1" customWidth="1"/>
    <col min="97" max="97" width="13.90625" bestFit="1" customWidth="1"/>
    <col min="101" max="101" width="14.7265625" bestFit="1" customWidth="1"/>
    <col min="105" max="105" width="13.90625" bestFit="1" customWidth="1"/>
    <col min="109" max="109" width="12.54296875" bestFit="1" customWidth="1"/>
    <col min="113" max="113" width="13.90625" bestFit="1" customWidth="1"/>
    <col min="116" max="116" width="9.1796875" bestFit="1" customWidth="1"/>
    <col min="117" max="117" width="13.90625" bestFit="1" customWidth="1"/>
    <col min="120" max="120" width="9.1796875" bestFit="1" customWidth="1"/>
    <col min="121" max="121" width="13.90625" bestFit="1" customWidth="1"/>
    <col min="124" max="124" width="9.1796875" bestFit="1" customWidth="1"/>
    <col min="125" max="125" width="14.7265625" bestFit="1" customWidth="1"/>
    <col min="128" max="128" width="10.1796875" bestFit="1" customWidth="1"/>
    <col min="129" max="129" width="11.7265625" bestFit="1" customWidth="1"/>
    <col min="133" max="133" width="11.7265625" bestFit="1" customWidth="1"/>
    <col min="135" max="135" width="9.6328125" bestFit="1" customWidth="1"/>
  </cols>
  <sheetData>
    <row r="1" spans="1:137" ht="16" x14ac:dyDescent="0.4">
      <c r="A1" s="1" t="s">
        <v>0</v>
      </c>
      <c r="AG1" s="3">
        <f>SUM($K1:$M1)*AG$4/$AF$4</f>
        <v>0</v>
      </c>
      <c r="AH1" s="3">
        <v>0</v>
      </c>
      <c r="AI1" s="3">
        <v>0</v>
      </c>
      <c r="AJ1" s="3">
        <f>SUBTOTAL(9,AG1:AI1)</f>
        <v>0</v>
      </c>
      <c r="AK1" s="3">
        <f>SUM($K1:$M1)*AK$4/$AF$4</f>
        <v>0</v>
      </c>
      <c r="AL1" s="3">
        <v>0</v>
      </c>
      <c r="AM1" s="3">
        <v>0</v>
      </c>
      <c r="AN1" s="3">
        <f>SUBTOTAL(9,AK1:AM1)</f>
        <v>0</v>
      </c>
      <c r="AO1" s="3">
        <f>SUM($K1:$M1)*AO$4/$AF$4</f>
        <v>0</v>
      </c>
      <c r="AP1" s="3">
        <v>0</v>
      </c>
      <c r="AQ1" s="3">
        <v>0</v>
      </c>
      <c r="AR1" s="3">
        <f>SUBTOTAL(9,AO1:AQ1)</f>
        <v>0</v>
      </c>
      <c r="AS1" s="3">
        <f>SUM($K1:$M1)*AS$4/$AF$4</f>
        <v>0</v>
      </c>
      <c r="AT1" s="3">
        <v>0</v>
      </c>
      <c r="AU1" s="3">
        <v>0</v>
      </c>
      <c r="AV1" s="3">
        <f>SUBTOTAL(9,AS1:AU1)</f>
        <v>0</v>
      </c>
      <c r="AW1" s="3">
        <f>SUM($K1:$M1)*AW$4/$AF$4</f>
        <v>0</v>
      </c>
      <c r="AX1" s="3">
        <v>0</v>
      </c>
      <c r="AY1" s="3">
        <v>0</v>
      </c>
      <c r="AZ1" s="3">
        <f>SUBTOTAL(9,AW1:AY1)</f>
        <v>0</v>
      </c>
      <c r="BA1" s="3">
        <f>SUM($K1:$M1)*BA$4/$AF$4</f>
        <v>0</v>
      </c>
      <c r="BB1" s="3">
        <v>0</v>
      </c>
      <c r="BC1" s="3">
        <v>0</v>
      </c>
      <c r="BD1" s="3">
        <f>SUBTOTAL(9,BA1:BC1)</f>
        <v>0</v>
      </c>
      <c r="BE1" s="3">
        <f>$K1*BE$4/$AF$4</f>
        <v>0</v>
      </c>
      <c r="BF1" s="3">
        <f>$L1*BE$4/$AF$4</f>
        <v>0</v>
      </c>
      <c r="BG1" s="3">
        <f>$M1*BE$4/$AF$4</f>
        <v>0</v>
      </c>
      <c r="BH1" s="3">
        <f>SUBTOTAL(9,BE1:BG1)</f>
        <v>0</v>
      </c>
      <c r="BI1" s="3">
        <f>SUM($K1:$M1)*BI$4/$AF$4</f>
        <v>0</v>
      </c>
      <c r="BJ1" s="3">
        <v>0</v>
      </c>
      <c r="BK1" s="3">
        <v>0</v>
      </c>
      <c r="BL1" s="3">
        <f>SUBTOTAL(9,BI1:BK1)</f>
        <v>0</v>
      </c>
      <c r="BM1" s="3">
        <f>SUM($K1:$M1)*BM$4/$AF$4</f>
        <v>0</v>
      </c>
      <c r="BN1" s="3">
        <v>0</v>
      </c>
      <c r="BO1" s="3">
        <v>0</v>
      </c>
      <c r="BP1" s="3">
        <f>SUBTOTAL(9,BM1:BO1)</f>
        <v>0</v>
      </c>
      <c r="BQ1" s="3">
        <f>SUM($K1:$M1)*BQ$4/$AF$4</f>
        <v>0</v>
      </c>
      <c r="BR1" s="3">
        <v>0</v>
      </c>
      <c r="BS1" s="3">
        <v>0</v>
      </c>
      <c r="BT1" s="3">
        <f>SUBTOTAL(9,BQ1:BS1)</f>
        <v>0</v>
      </c>
      <c r="BU1" s="3">
        <f>SUM($K1:$M1)*BU$4/$AF$4</f>
        <v>0</v>
      </c>
      <c r="BV1" s="3">
        <v>0</v>
      </c>
      <c r="BW1" s="3">
        <v>0</v>
      </c>
      <c r="BX1" s="3">
        <f>SUBTOTAL(9,BU1:BW1)</f>
        <v>0</v>
      </c>
      <c r="BY1" s="3">
        <f>SUM($K1:$M1)*BY$4/$AF$4</f>
        <v>0</v>
      </c>
      <c r="BZ1" s="3">
        <v>0</v>
      </c>
      <c r="CA1" s="3">
        <v>0</v>
      </c>
      <c r="CB1" s="3">
        <f>SUBTOTAL(9,BY1:CA1)</f>
        <v>0</v>
      </c>
      <c r="CC1" s="3">
        <f>SUM($K1:$M1)*CC$4/$AF$4</f>
        <v>0</v>
      </c>
      <c r="CD1" s="3">
        <v>0</v>
      </c>
      <c r="CE1" s="3">
        <v>0</v>
      </c>
      <c r="CF1" s="3">
        <f>SUBTOTAL(9,CC1:CE1)</f>
        <v>0</v>
      </c>
      <c r="CG1" s="3">
        <f>SUM($K1:$M1)*CG$4/$AF$4</f>
        <v>0</v>
      </c>
      <c r="CH1" s="3">
        <v>0</v>
      </c>
      <c r="CI1" s="3">
        <v>0</v>
      </c>
      <c r="CJ1" s="3">
        <f>SUBTOTAL(9,CG1:CI1)</f>
        <v>0</v>
      </c>
      <c r="CK1" s="3">
        <f>SUM($K1:$M1)*CK$4/$AF$4</f>
        <v>0</v>
      </c>
      <c r="CL1" s="3">
        <v>0</v>
      </c>
      <c r="CM1" s="3">
        <v>0</v>
      </c>
      <c r="CN1" s="3">
        <f>SUBTOTAL(9,CK1:CM1)</f>
        <v>0</v>
      </c>
      <c r="CO1" s="3">
        <f>SUM($K1:$M1)*CO$4/$AF$4</f>
        <v>0</v>
      </c>
      <c r="CP1" s="3">
        <v>0</v>
      </c>
      <c r="CQ1" s="3">
        <v>0</v>
      </c>
      <c r="CR1" s="3">
        <f>SUBTOTAL(9,CO1:CQ1)</f>
        <v>0</v>
      </c>
      <c r="CS1" s="3">
        <f>SUM($K1:$M1)*CS$4/$AF$4</f>
        <v>0</v>
      </c>
      <c r="CT1" s="3">
        <v>0</v>
      </c>
      <c r="CU1" s="3">
        <v>0</v>
      </c>
      <c r="CV1" s="3">
        <f>SUBTOTAL(9,CS1:CU1)</f>
        <v>0</v>
      </c>
      <c r="CW1" s="3">
        <f>SUM($K1:$M1)*CW$4/$AF$4</f>
        <v>0</v>
      </c>
      <c r="CX1" s="3">
        <v>0</v>
      </c>
      <c r="CY1" s="3">
        <v>0</v>
      </c>
      <c r="CZ1" s="3">
        <f>SUBTOTAL(9,CW1:CY1)</f>
        <v>0</v>
      </c>
      <c r="DA1" s="3">
        <f>SUM($K1:$M1)*DA$4/$AF$4</f>
        <v>0</v>
      </c>
      <c r="DB1" s="3">
        <v>0</v>
      </c>
      <c r="DC1" s="3">
        <v>0</v>
      </c>
      <c r="DD1" s="3">
        <f>SUBTOTAL(9,DA1:DC1)</f>
        <v>0</v>
      </c>
      <c r="DE1" s="3">
        <f>SUM($K1:$M1)*DE$4/$AF$4</f>
        <v>0</v>
      </c>
      <c r="DF1" s="3">
        <v>0</v>
      </c>
      <c r="DG1" s="3">
        <v>0</v>
      </c>
      <c r="DH1" s="3">
        <f>SUBTOTAL(9,DE1:DG1)</f>
        <v>0</v>
      </c>
      <c r="DI1" s="3">
        <f>SUM($K1:$M1)*DI$4/$AF$4</f>
        <v>0</v>
      </c>
      <c r="DJ1" s="3">
        <v>0</v>
      </c>
      <c r="DK1" s="3">
        <v>0</v>
      </c>
      <c r="DL1" s="3">
        <f>SUBTOTAL(9,DI1:DK1)</f>
        <v>0</v>
      </c>
      <c r="DM1" s="3">
        <f>SUM($K1:$M1)*DM$4/$AF$4</f>
        <v>0</v>
      </c>
      <c r="DN1" s="3">
        <v>0</v>
      </c>
      <c r="DO1" s="3">
        <v>0</v>
      </c>
      <c r="DP1" s="3">
        <f>SUBTOTAL(9,DM1:DO1)</f>
        <v>0</v>
      </c>
      <c r="DQ1" s="3">
        <f>SUM($K1:$M1)*DQ$4/$AF$4</f>
        <v>0</v>
      </c>
      <c r="DR1" s="3">
        <v>0</v>
      </c>
      <c r="DS1" s="3">
        <v>0</v>
      </c>
      <c r="DT1" s="3">
        <f>SUBTOTAL(9,DQ1:DS1)</f>
        <v>0</v>
      </c>
      <c r="DU1" s="3">
        <f>SUM($K1:$M1)*DU$4/$AF$4</f>
        <v>0</v>
      </c>
      <c r="DV1" s="3">
        <v>0</v>
      </c>
      <c r="DW1" s="3">
        <v>0</v>
      </c>
      <c r="DX1" s="3">
        <f>SUBTOTAL(9,DU1:DW1)</f>
        <v>0</v>
      </c>
      <c r="DY1" s="3">
        <f>SUM($K1:$M1)*DY$4/$AF$4</f>
        <v>0</v>
      </c>
      <c r="DZ1" s="3">
        <v>0</v>
      </c>
      <c r="EA1" s="3">
        <v>0</v>
      </c>
      <c r="EB1" s="3">
        <f>SUBTOTAL(9,DY1:EA1)</f>
        <v>0</v>
      </c>
      <c r="EC1" s="4">
        <f>AJ1+AN1+AR1+AV1+AZ1+BD1+BH1+BL1+BP1+BT1+BX1+CB1+CF1+CJ1+CN1+CR1+CV1+CZ1+DD1+DH1+DP1+DT1+DX1+EB1</f>
        <v>0</v>
      </c>
      <c r="ED1" s="5">
        <f>EC1-SUM(K1:M1)</f>
        <v>0</v>
      </c>
      <c r="EE1" s="6">
        <f>AG1+AK1+AO1+AS1+AW1+BA1+BE1+BI1+BM1+BQ1+BU1+BY1+CC1+CG1+CK1+CO1+CS1+CW1+DA1+DE1+DM1+DQ1+DU1+DY1</f>
        <v>0</v>
      </c>
      <c r="EF1" s="6">
        <f>AH1+AL1+AP1+AT1+AX1+BB1+BF1+BJ1+BN1+BR1+BV1+BZ1+CD1+CH1+CL1+CP1+CT1+CX1+DB1+DF1+DN1+DR1+DV1+DZ1</f>
        <v>0</v>
      </c>
      <c r="EG1" s="6">
        <f>AI1+AM1+AQ1+AU1+AY1+BC1+BG1+BK1+BO1+BS1+BW1+CA1+CE1+CI1+CM1+CQ1+CU1+CY1+DC1+DG1+DO1+DS1+DW1+EA1</f>
        <v>0</v>
      </c>
    </row>
    <row r="2" spans="1:137" ht="14.4" customHeight="1" x14ac:dyDescent="0.35">
      <c r="A2" s="7" t="s">
        <v>1</v>
      </c>
      <c r="B2" s="8">
        <v>46113</v>
      </c>
    </row>
    <row r="3" spans="1:137" ht="14.4" customHeight="1" x14ac:dyDescent="0.35">
      <c r="A3" s="7" t="s">
        <v>2</v>
      </c>
      <c r="B3" s="8">
        <v>46142</v>
      </c>
      <c r="AF3" s="9" t="s">
        <v>3</v>
      </c>
    </row>
    <row r="4" spans="1:137" ht="14.4" customHeight="1" x14ac:dyDescent="0.35">
      <c r="A4" s="10"/>
      <c r="B4" s="11"/>
      <c r="AF4" s="12">
        <f>SUM(AG4:DY4)</f>
        <v>168336894054.71005</v>
      </c>
      <c r="AG4" s="13">
        <v>6232605066.7099991</v>
      </c>
      <c r="AH4" s="14"/>
      <c r="AI4" s="14"/>
      <c r="AJ4" s="14"/>
      <c r="AK4" s="13">
        <v>51863345.480000004</v>
      </c>
      <c r="AL4" s="14"/>
      <c r="AM4" s="14"/>
      <c r="AN4" s="14"/>
      <c r="AO4" s="13">
        <v>2568955181.3600001</v>
      </c>
      <c r="AP4" s="14"/>
      <c r="AQ4" s="14"/>
      <c r="AR4" s="14"/>
      <c r="AS4" s="13">
        <v>2249398592.8800001</v>
      </c>
      <c r="AT4" s="14"/>
      <c r="AU4" s="14"/>
      <c r="AV4" s="14"/>
      <c r="AW4" s="13">
        <v>263853539.41000003</v>
      </c>
      <c r="AX4" s="14"/>
      <c r="AY4" s="14"/>
      <c r="AZ4" s="14"/>
      <c r="BA4" s="13">
        <v>2817439368.1400003</v>
      </c>
      <c r="BB4" s="14"/>
      <c r="BC4" s="14"/>
      <c r="BD4" s="14"/>
      <c r="BE4" s="13">
        <v>12220596305.580002</v>
      </c>
      <c r="BF4" s="14"/>
      <c r="BG4" s="14"/>
      <c r="BH4" s="14"/>
      <c r="BI4" s="13">
        <v>7088057070.6499996</v>
      </c>
      <c r="BJ4" s="14"/>
      <c r="BK4" s="14"/>
      <c r="BL4" s="14"/>
      <c r="BM4" s="13">
        <v>32546979441.050003</v>
      </c>
      <c r="BN4" s="14"/>
      <c r="BO4" s="14"/>
      <c r="BP4" s="14"/>
      <c r="BQ4" s="13">
        <v>2917423085.2200003</v>
      </c>
      <c r="BR4" s="14"/>
      <c r="BS4" s="14"/>
      <c r="BT4" s="14"/>
      <c r="BU4" s="13">
        <v>462945707.90999991</v>
      </c>
      <c r="BV4" s="14"/>
      <c r="BW4" s="14"/>
      <c r="BX4" s="14"/>
      <c r="BY4" s="13">
        <v>1115928720.52</v>
      </c>
      <c r="BZ4" s="14"/>
      <c r="CA4" s="14"/>
      <c r="CB4" s="14"/>
      <c r="CC4" s="13">
        <v>923886334.17999995</v>
      </c>
      <c r="CD4" s="14"/>
      <c r="CE4" s="14"/>
      <c r="CF4" s="14"/>
      <c r="CG4" s="13">
        <v>1058467455.3200001</v>
      </c>
      <c r="CH4" s="14"/>
      <c r="CI4" s="14"/>
      <c r="CJ4" s="14"/>
      <c r="CK4" s="13">
        <v>2177879473.0999999</v>
      </c>
      <c r="CL4" s="14"/>
      <c r="CM4" s="14"/>
      <c r="CN4" s="14"/>
      <c r="CO4" s="13">
        <v>4247809668.6999993</v>
      </c>
      <c r="CP4" s="14"/>
      <c r="CQ4" s="14"/>
      <c r="CR4" s="14"/>
      <c r="CS4" s="13">
        <v>12486297494.300001</v>
      </c>
      <c r="CT4" s="14"/>
      <c r="CU4" s="14"/>
      <c r="CV4" s="14"/>
      <c r="CW4" s="13">
        <v>41459197480.879997</v>
      </c>
      <c r="CX4" s="14"/>
      <c r="CY4" s="14"/>
      <c r="CZ4" s="14"/>
      <c r="DA4" s="13">
        <v>2825335435.6900001</v>
      </c>
      <c r="DB4" s="14"/>
      <c r="DC4" s="14"/>
      <c r="DD4" s="14"/>
      <c r="DE4" s="13">
        <v>476286800.34000003</v>
      </c>
      <c r="DF4" s="14"/>
      <c r="DG4" s="14"/>
      <c r="DH4" s="14"/>
      <c r="DI4" s="15">
        <v>0</v>
      </c>
      <c r="DJ4" s="14"/>
      <c r="DK4" s="14"/>
      <c r="DL4" s="14"/>
      <c r="DM4" s="13">
        <v>2354515492.6700001</v>
      </c>
      <c r="DN4" s="14"/>
      <c r="DO4" s="14"/>
      <c r="DP4" s="14"/>
      <c r="DQ4" s="13">
        <v>4969551219.9500008</v>
      </c>
      <c r="DR4" s="14"/>
      <c r="DS4" s="14"/>
      <c r="DT4" s="14"/>
      <c r="DU4" s="13">
        <v>24736875974.879997</v>
      </c>
      <c r="DV4" s="14"/>
      <c r="DW4" s="14"/>
      <c r="DX4" s="14"/>
      <c r="DY4" s="13">
        <v>84745799.790000007</v>
      </c>
      <c r="DZ4" s="14"/>
      <c r="EA4" s="14"/>
      <c r="EB4" s="14"/>
      <c r="EC4" s="16"/>
      <c r="ED4" s="16"/>
      <c r="EE4" s="17"/>
      <c r="EF4" s="17"/>
      <c r="EG4" s="17"/>
    </row>
    <row r="5" spans="1:137" ht="14.4" customHeight="1" x14ac:dyDescent="0.35">
      <c r="A5" s="10"/>
      <c r="B5" s="11"/>
      <c r="AG5" s="18" t="s">
        <v>4</v>
      </c>
      <c r="AH5" s="18"/>
      <c r="AI5" s="18"/>
      <c r="AJ5" s="18"/>
      <c r="AK5" s="18" t="s">
        <v>5</v>
      </c>
      <c r="AL5" s="18"/>
      <c r="AM5" s="18"/>
      <c r="AN5" s="18"/>
      <c r="AO5" s="18" t="s">
        <v>6</v>
      </c>
      <c r="AP5" s="18"/>
      <c r="AQ5" s="18"/>
      <c r="AR5" s="18"/>
      <c r="AS5" s="18" t="s">
        <v>7</v>
      </c>
      <c r="AT5" s="18"/>
      <c r="AU5" s="18"/>
      <c r="AV5" s="18"/>
      <c r="AW5" s="18" t="s">
        <v>8</v>
      </c>
      <c r="AX5" s="18"/>
      <c r="AY5" s="18"/>
      <c r="AZ5" s="18"/>
      <c r="BA5" s="18" t="s">
        <v>9</v>
      </c>
      <c r="BB5" s="18"/>
      <c r="BC5" s="18"/>
      <c r="BD5" s="18"/>
      <c r="BE5" s="18" t="s">
        <v>10</v>
      </c>
      <c r="BF5" s="18"/>
      <c r="BG5" s="18"/>
      <c r="BH5" s="18"/>
      <c r="BI5" s="18" t="s">
        <v>11</v>
      </c>
      <c r="BJ5" s="18"/>
      <c r="BK5" s="18"/>
      <c r="BL5" s="18"/>
      <c r="BM5" s="18" t="s">
        <v>12</v>
      </c>
      <c r="BN5" s="18"/>
      <c r="BO5" s="18"/>
      <c r="BP5" s="18"/>
      <c r="BQ5" s="18" t="s">
        <v>13</v>
      </c>
      <c r="BR5" s="18"/>
      <c r="BS5" s="18"/>
      <c r="BT5" s="18"/>
      <c r="BU5" s="18" t="s">
        <v>14</v>
      </c>
      <c r="BV5" s="18"/>
      <c r="BW5" s="18"/>
      <c r="BX5" s="18"/>
      <c r="BY5" s="18" t="s">
        <v>15</v>
      </c>
      <c r="BZ5" s="18"/>
      <c r="CA5" s="18"/>
      <c r="CB5" s="18"/>
      <c r="CC5" s="18" t="s">
        <v>16</v>
      </c>
      <c r="CD5" s="18"/>
      <c r="CE5" s="18"/>
      <c r="CF5" s="18"/>
      <c r="CG5" s="18" t="s">
        <v>17</v>
      </c>
      <c r="CH5" s="18"/>
      <c r="CI5" s="18"/>
      <c r="CJ5" s="18"/>
      <c r="CK5" s="18" t="s">
        <v>18</v>
      </c>
      <c r="CL5" s="18"/>
      <c r="CM5" s="18"/>
      <c r="CN5" s="18"/>
      <c r="CO5" s="18" t="s">
        <v>19</v>
      </c>
      <c r="CP5" s="18"/>
      <c r="CQ5" s="18"/>
      <c r="CR5" s="18"/>
      <c r="CS5" s="18" t="s">
        <v>20</v>
      </c>
      <c r="CT5" s="18"/>
      <c r="CU5" s="18"/>
      <c r="CV5" s="18"/>
      <c r="CW5" s="18" t="s">
        <v>21</v>
      </c>
      <c r="CX5" s="18"/>
      <c r="CY5" s="18"/>
      <c r="CZ5" s="18"/>
      <c r="DA5" s="18" t="s">
        <v>22</v>
      </c>
      <c r="DB5" s="18"/>
      <c r="DC5" s="18"/>
      <c r="DD5" s="18"/>
      <c r="DE5" s="18" t="s">
        <v>23</v>
      </c>
      <c r="DF5" s="18"/>
      <c r="DG5" s="18"/>
      <c r="DH5" s="18"/>
      <c r="DI5" s="18" t="s">
        <v>24</v>
      </c>
      <c r="DJ5" s="18"/>
      <c r="DK5" s="18"/>
      <c r="DL5" s="18"/>
      <c r="DM5" s="18" t="s">
        <v>25</v>
      </c>
      <c r="DN5" s="18"/>
      <c r="DO5" s="18"/>
      <c r="DP5" s="18"/>
      <c r="DQ5" s="18" t="s">
        <v>26</v>
      </c>
      <c r="DR5" s="18"/>
      <c r="DS5" s="18"/>
      <c r="DT5" s="18"/>
      <c r="DU5" s="18" t="s">
        <v>27</v>
      </c>
      <c r="DV5" s="18"/>
      <c r="DW5" s="18"/>
      <c r="DX5" s="18"/>
      <c r="DY5" s="18" t="s">
        <v>28</v>
      </c>
      <c r="DZ5" s="18"/>
      <c r="EA5" s="18"/>
      <c r="EB5" s="18"/>
      <c r="EC5" s="19" t="s">
        <v>29</v>
      </c>
      <c r="ED5" s="19"/>
      <c r="EE5" s="19"/>
      <c r="EF5" s="19"/>
      <c r="EG5" s="19"/>
    </row>
    <row r="6" spans="1:137" ht="14.4" customHeight="1" x14ac:dyDescent="0.35">
      <c r="A6" s="10"/>
      <c r="B6" s="11"/>
      <c r="AG6" s="20" t="s">
        <v>30</v>
      </c>
      <c r="AH6" s="21"/>
      <c r="AI6" s="21"/>
      <c r="AJ6" s="22"/>
      <c r="AK6" s="20" t="s">
        <v>31</v>
      </c>
      <c r="AL6" s="21"/>
      <c r="AM6" s="21"/>
      <c r="AN6" s="22"/>
      <c r="AO6" s="20" t="s">
        <v>32</v>
      </c>
      <c r="AP6" s="21"/>
      <c r="AQ6" s="21"/>
      <c r="AR6" s="22"/>
      <c r="AS6" s="20" t="s">
        <v>33</v>
      </c>
      <c r="AT6" s="21"/>
      <c r="AU6" s="21"/>
      <c r="AV6" s="22"/>
      <c r="AW6" s="20" t="s">
        <v>34</v>
      </c>
      <c r="AX6" s="21"/>
      <c r="AY6" s="21"/>
      <c r="AZ6" s="22"/>
      <c r="BA6" s="20" t="s">
        <v>35</v>
      </c>
      <c r="BB6" s="21"/>
      <c r="BC6" s="21"/>
      <c r="BD6" s="22"/>
      <c r="BE6" s="20" t="s">
        <v>36</v>
      </c>
      <c r="BF6" s="21"/>
      <c r="BG6" s="21"/>
      <c r="BH6" s="22"/>
      <c r="BI6" s="20" t="s">
        <v>37</v>
      </c>
      <c r="BJ6" s="21"/>
      <c r="BK6" s="21"/>
      <c r="BL6" s="22"/>
      <c r="BM6" s="20" t="s">
        <v>38</v>
      </c>
      <c r="BN6" s="21"/>
      <c r="BO6" s="21"/>
      <c r="BP6" s="22"/>
      <c r="BQ6" s="20" t="s">
        <v>39</v>
      </c>
      <c r="BR6" s="21"/>
      <c r="BS6" s="21"/>
      <c r="BT6" s="22"/>
      <c r="BU6" s="20" t="s">
        <v>40</v>
      </c>
      <c r="BV6" s="21"/>
      <c r="BW6" s="21"/>
      <c r="BX6" s="22"/>
      <c r="BY6" s="20" t="s">
        <v>41</v>
      </c>
      <c r="BZ6" s="21"/>
      <c r="CA6" s="21"/>
      <c r="CB6" s="22"/>
      <c r="CC6" s="20" t="s">
        <v>42</v>
      </c>
      <c r="CD6" s="21"/>
      <c r="CE6" s="21"/>
      <c r="CF6" s="22"/>
      <c r="CG6" s="20" t="s">
        <v>43</v>
      </c>
      <c r="CH6" s="21"/>
      <c r="CI6" s="21"/>
      <c r="CJ6" s="22"/>
      <c r="CK6" s="20" t="s">
        <v>44</v>
      </c>
      <c r="CL6" s="21"/>
      <c r="CM6" s="21"/>
      <c r="CN6" s="22"/>
      <c r="CO6" s="20" t="s">
        <v>45</v>
      </c>
      <c r="CP6" s="21"/>
      <c r="CQ6" s="21"/>
      <c r="CR6" s="22"/>
      <c r="CS6" s="20" t="s">
        <v>46</v>
      </c>
      <c r="CT6" s="21"/>
      <c r="CU6" s="21"/>
      <c r="CV6" s="22"/>
      <c r="CW6" s="20" t="s">
        <v>47</v>
      </c>
      <c r="CX6" s="21"/>
      <c r="CY6" s="21"/>
      <c r="CZ6" s="22"/>
      <c r="DA6" s="20" t="s">
        <v>48</v>
      </c>
      <c r="DB6" s="21"/>
      <c r="DC6" s="21"/>
      <c r="DD6" s="22"/>
      <c r="DE6" s="20" t="s">
        <v>49</v>
      </c>
      <c r="DF6" s="21"/>
      <c r="DG6" s="21"/>
      <c r="DH6" s="22"/>
      <c r="DI6" s="20" t="s">
        <v>50</v>
      </c>
      <c r="DJ6" s="21"/>
      <c r="DK6" s="21"/>
      <c r="DL6" s="22"/>
      <c r="DM6" s="20" t="s">
        <v>51</v>
      </c>
      <c r="DN6" s="21"/>
      <c r="DO6" s="21"/>
      <c r="DP6" s="22"/>
      <c r="DQ6" s="20" t="s">
        <v>52</v>
      </c>
      <c r="DR6" s="21"/>
      <c r="DS6" s="21"/>
      <c r="DT6" s="22"/>
      <c r="DU6" s="20" t="s">
        <v>53</v>
      </c>
      <c r="DV6" s="21"/>
      <c r="DW6" s="21"/>
      <c r="DX6" s="22"/>
      <c r="DY6" s="20" t="s">
        <v>54</v>
      </c>
      <c r="DZ6" s="21"/>
      <c r="EA6" s="21"/>
      <c r="EB6" s="22"/>
      <c r="EC6" s="23" t="s">
        <v>55</v>
      </c>
      <c r="ED6" s="24" t="s">
        <v>56</v>
      </c>
      <c r="EE6" s="25" t="s">
        <v>55</v>
      </c>
      <c r="EF6" s="26"/>
      <c r="EG6" s="27"/>
    </row>
    <row r="7" spans="1:137" x14ac:dyDescent="0.35">
      <c r="J7" s="2">
        <f>SUBTOTAL(9,J9:J232)</f>
        <v>64916988.400000006</v>
      </c>
      <c r="K7" s="2">
        <f>SUBTOTAL(9,K9:K232)</f>
        <v>3139112.1360999993</v>
      </c>
      <c r="L7" s="2">
        <f>SUBTOTAL(9,L9:L232)</f>
        <v>4255213.5799999991</v>
      </c>
      <c r="M7" s="2">
        <f>SUBTOTAL(9,M9:M232)</f>
        <v>4255213.5799999991</v>
      </c>
      <c r="N7" s="2">
        <f>SUBTOTAL(9,N9:N232)</f>
        <v>11670354.4561</v>
      </c>
      <c r="Q7" t="s">
        <v>57</v>
      </c>
      <c r="AB7">
        <f>SUBTOTAL(9,AB9:AB232)</f>
        <v>11649539.296100004</v>
      </c>
      <c r="AG7" s="28">
        <f t="shared" ref="AG7:CR7" si="0">SUBTOTAL(109,AG9:AG232)</f>
        <v>349936.2020120293</v>
      </c>
      <c r="AH7" s="28">
        <f t="shared" si="0"/>
        <v>0</v>
      </c>
      <c r="AI7" s="28">
        <f t="shared" si="0"/>
        <v>0</v>
      </c>
      <c r="AJ7" s="28">
        <f t="shared" si="0"/>
        <v>0</v>
      </c>
      <c r="AK7" s="28">
        <f t="shared" si="0"/>
        <v>2909.7496836867899</v>
      </c>
      <c r="AL7" s="28">
        <f t="shared" si="0"/>
        <v>0</v>
      </c>
      <c r="AM7" s="28">
        <f t="shared" si="0"/>
        <v>0</v>
      </c>
      <c r="AN7" s="28">
        <f t="shared" si="0"/>
        <v>0</v>
      </c>
      <c r="AO7" s="28">
        <f t="shared" si="0"/>
        <v>146434.0466982316</v>
      </c>
      <c r="AP7" s="28">
        <f t="shared" si="0"/>
        <v>0</v>
      </c>
      <c r="AQ7" s="28">
        <f t="shared" si="0"/>
        <v>0</v>
      </c>
      <c r="AR7" s="28">
        <f t="shared" si="0"/>
        <v>0</v>
      </c>
      <c r="AS7" s="28">
        <f t="shared" si="0"/>
        <v>126200.62943378981</v>
      </c>
      <c r="AT7" s="28">
        <f t="shared" si="0"/>
        <v>0</v>
      </c>
      <c r="AU7" s="28">
        <f t="shared" si="0"/>
        <v>0</v>
      </c>
      <c r="AV7" s="28">
        <f t="shared" si="0"/>
        <v>0</v>
      </c>
      <c r="AW7" s="28">
        <f t="shared" si="0"/>
        <v>14803.282467266859</v>
      </c>
      <c r="AX7" s="28">
        <f t="shared" si="0"/>
        <v>0</v>
      </c>
      <c r="AY7" s="28">
        <f t="shared" si="0"/>
        <v>0</v>
      </c>
      <c r="AZ7" s="28">
        <f t="shared" si="0"/>
        <v>0</v>
      </c>
      <c r="BA7" s="28">
        <f t="shared" si="0"/>
        <v>504271.51668910583</v>
      </c>
      <c r="BB7" s="28">
        <f t="shared" si="0"/>
        <v>0</v>
      </c>
      <c r="BC7" s="28">
        <f t="shared" si="0"/>
        <v>0</v>
      </c>
      <c r="BD7" s="28">
        <f t="shared" si="0"/>
        <v>0</v>
      </c>
      <c r="BE7" s="28">
        <f t="shared" si="0"/>
        <v>134666.39373502534</v>
      </c>
      <c r="BF7" s="28">
        <f t="shared" si="0"/>
        <v>928535.11563159723</v>
      </c>
      <c r="BG7" s="28">
        <f t="shared" si="0"/>
        <v>928535.11563159723</v>
      </c>
      <c r="BH7" s="28">
        <f t="shared" si="0"/>
        <v>0</v>
      </c>
      <c r="BI7" s="28">
        <f t="shared" si="0"/>
        <v>410130.74224921869</v>
      </c>
      <c r="BJ7" s="28">
        <f t="shared" si="0"/>
        <v>0</v>
      </c>
      <c r="BK7" s="28">
        <f t="shared" si="0"/>
        <v>0</v>
      </c>
      <c r="BL7" s="28">
        <f t="shared" si="0"/>
        <v>0</v>
      </c>
      <c r="BM7" s="28">
        <f t="shared" si="0"/>
        <v>1854855.8550211182</v>
      </c>
      <c r="BN7" s="28">
        <f t="shared" si="0"/>
        <v>0</v>
      </c>
      <c r="BO7" s="28">
        <f t="shared" si="0"/>
        <v>0</v>
      </c>
      <c r="BP7" s="28">
        <f t="shared" si="0"/>
        <v>0</v>
      </c>
      <c r="BQ7" s="28">
        <f t="shared" si="0"/>
        <v>163677.20466562253</v>
      </c>
      <c r="BR7" s="28">
        <f t="shared" si="0"/>
        <v>0</v>
      </c>
      <c r="BS7" s="28">
        <f t="shared" si="0"/>
        <v>0</v>
      </c>
      <c r="BT7" s="28">
        <f t="shared" si="0"/>
        <v>0</v>
      </c>
      <c r="BU7" s="28">
        <f t="shared" si="0"/>
        <v>25973.182306080584</v>
      </c>
      <c r="BV7" s="28">
        <f t="shared" si="0"/>
        <v>0</v>
      </c>
      <c r="BW7" s="28">
        <f t="shared" si="0"/>
        <v>0</v>
      </c>
      <c r="BX7" s="28">
        <f t="shared" si="0"/>
        <v>0</v>
      </c>
      <c r="BY7" s="28">
        <f t="shared" si="0"/>
        <v>62624.898879784312</v>
      </c>
      <c r="BZ7" s="28">
        <f t="shared" si="0"/>
        <v>0</v>
      </c>
      <c r="CA7" s="28">
        <f t="shared" si="0"/>
        <v>0</v>
      </c>
      <c r="CB7" s="28">
        <f t="shared" si="0"/>
        <v>0</v>
      </c>
      <c r="CC7" s="28">
        <f t="shared" si="0"/>
        <v>51833.871181323681</v>
      </c>
      <c r="CD7" s="28">
        <f t="shared" si="0"/>
        <v>0</v>
      </c>
      <c r="CE7" s="28">
        <f t="shared" si="0"/>
        <v>0</v>
      </c>
      <c r="CF7" s="28">
        <f t="shared" si="0"/>
        <v>0</v>
      </c>
      <c r="CG7" s="28">
        <f t="shared" si="0"/>
        <v>59092.766085395473</v>
      </c>
      <c r="CH7" s="28">
        <f t="shared" si="0"/>
        <v>0</v>
      </c>
      <c r="CI7" s="28">
        <f t="shared" si="0"/>
        <v>0</v>
      </c>
      <c r="CJ7" s="28">
        <f t="shared" si="0"/>
        <v>0</v>
      </c>
      <c r="CK7" s="28">
        <f t="shared" si="0"/>
        <v>122188.10894882296</v>
      </c>
      <c r="CL7" s="28">
        <f t="shared" si="0"/>
        <v>0</v>
      </c>
      <c r="CM7" s="28">
        <f t="shared" si="0"/>
        <v>0</v>
      </c>
      <c r="CN7" s="28">
        <f t="shared" si="0"/>
        <v>0</v>
      </c>
      <c r="CO7" s="28">
        <f t="shared" si="0"/>
        <v>238469.86383900355</v>
      </c>
      <c r="CP7" s="28">
        <f t="shared" si="0"/>
        <v>0</v>
      </c>
      <c r="CQ7" s="28">
        <f t="shared" si="0"/>
        <v>0</v>
      </c>
      <c r="CR7" s="28">
        <f t="shared" si="0"/>
        <v>0</v>
      </c>
      <c r="CS7" s="28">
        <f t="shared" ref="CS7:EG7" si="1">SUBTOTAL(109,CS9:CS232)</f>
        <v>697164.29279479885</v>
      </c>
      <c r="CT7" s="28">
        <f t="shared" si="1"/>
        <v>0</v>
      </c>
      <c r="CU7" s="28">
        <f t="shared" si="1"/>
        <v>0</v>
      </c>
      <c r="CV7" s="28">
        <f t="shared" si="1"/>
        <v>0</v>
      </c>
      <c r="CW7" s="28">
        <f t="shared" si="1"/>
        <v>2794604.089379977</v>
      </c>
      <c r="CX7" s="28">
        <f t="shared" si="1"/>
        <v>0</v>
      </c>
      <c r="CY7" s="28">
        <f t="shared" si="1"/>
        <v>0</v>
      </c>
      <c r="CZ7" s="28">
        <f t="shared" si="1"/>
        <v>0</v>
      </c>
      <c r="DA7" s="28">
        <f t="shared" si="1"/>
        <v>158894.58499715515</v>
      </c>
      <c r="DB7" s="28">
        <f t="shared" si="1"/>
        <v>0</v>
      </c>
      <c r="DC7" s="28">
        <f t="shared" si="1"/>
        <v>0</v>
      </c>
      <c r="DD7" s="28">
        <f t="shared" si="1"/>
        <v>0</v>
      </c>
      <c r="DE7" s="28">
        <f t="shared" si="1"/>
        <v>26721.673154847747</v>
      </c>
      <c r="DF7" s="28">
        <f t="shared" si="1"/>
        <v>0</v>
      </c>
      <c r="DG7" s="28">
        <f t="shared" si="1"/>
        <v>0</v>
      </c>
      <c r="DH7" s="28">
        <f t="shared" si="1"/>
        <v>0</v>
      </c>
      <c r="DI7" s="28">
        <f t="shared" si="1"/>
        <v>0</v>
      </c>
      <c r="DJ7" s="28">
        <f t="shared" si="1"/>
        <v>0</v>
      </c>
      <c r="DK7" s="28">
        <f t="shared" si="1"/>
        <v>0</v>
      </c>
      <c r="DL7" s="28">
        <f t="shared" si="1"/>
        <v>0</v>
      </c>
      <c r="DM7" s="28">
        <f t="shared" si="1"/>
        <v>131974.92530651629</v>
      </c>
      <c r="DN7" s="28">
        <f t="shared" si="1"/>
        <v>0</v>
      </c>
      <c r="DO7" s="28">
        <f t="shared" si="1"/>
        <v>0</v>
      </c>
      <c r="DP7" s="28">
        <f t="shared" si="1"/>
        <v>0</v>
      </c>
      <c r="DQ7" s="28">
        <f t="shared" si="1"/>
        <v>274692.40079835604</v>
      </c>
      <c r="DR7" s="28">
        <f t="shared" si="1"/>
        <v>0</v>
      </c>
      <c r="DS7" s="28">
        <f t="shared" si="1"/>
        <v>0</v>
      </c>
      <c r="DT7" s="28">
        <f t="shared" si="1"/>
        <v>0</v>
      </c>
      <c r="DU7" s="28">
        <f t="shared" si="1"/>
        <v>1435594.1921891854</v>
      </c>
      <c r="DV7" s="28">
        <f t="shared" si="1"/>
        <v>0</v>
      </c>
      <c r="DW7" s="28">
        <f t="shared" si="1"/>
        <v>0</v>
      </c>
      <c r="DX7" s="28">
        <f t="shared" si="1"/>
        <v>0</v>
      </c>
      <c r="DY7" s="28">
        <f t="shared" si="1"/>
        <v>4754.5923204631781</v>
      </c>
      <c r="DZ7" s="28">
        <f t="shared" si="1"/>
        <v>0</v>
      </c>
      <c r="EA7" s="28">
        <f t="shared" si="1"/>
        <v>0</v>
      </c>
      <c r="EB7" s="28">
        <f t="shared" si="1"/>
        <v>0</v>
      </c>
      <c r="EC7" s="28">
        <f t="shared" si="1"/>
        <v>11649539.296100002</v>
      </c>
      <c r="ED7" s="28">
        <f t="shared" si="1"/>
        <v>0</v>
      </c>
      <c r="EE7" s="28">
        <f t="shared" si="1"/>
        <v>9792469.0648368038</v>
      </c>
      <c r="EF7" s="28">
        <f t="shared" si="1"/>
        <v>928535.11563159723</v>
      </c>
      <c r="EG7" s="28">
        <f t="shared" si="1"/>
        <v>928535.11563159723</v>
      </c>
    </row>
    <row r="8" spans="1:137" ht="14.4" customHeight="1" x14ac:dyDescent="0.35">
      <c r="A8" s="29" t="s">
        <v>58</v>
      </c>
      <c r="B8" s="30" t="s">
        <v>59</v>
      </c>
      <c r="C8" s="30" t="s">
        <v>60</v>
      </c>
      <c r="D8" s="30" t="s">
        <v>61</v>
      </c>
      <c r="E8" s="29" t="s">
        <v>62</v>
      </c>
      <c r="F8" s="30" t="s">
        <v>63</v>
      </c>
      <c r="G8" s="30" t="s">
        <v>64</v>
      </c>
      <c r="H8" s="30" t="s">
        <v>65</v>
      </c>
      <c r="I8" s="30" t="s">
        <v>66</v>
      </c>
      <c r="J8" s="30" t="s">
        <v>67</v>
      </c>
      <c r="K8" s="30" t="s">
        <v>68</v>
      </c>
      <c r="L8" s="30" t="s">
        <v>69</v>
      </c>
      <c r="M8" s="30" t="s">
        <v>70</v>
      </c>
      <c r="N8" s="30" t="s">
        <v>71</v>
      </c>
      <c r="O8" s="30" t="s">
        <v>72</v>
      </c>
      <c r="P8" s="30" t="s">
        <v>73</v>
      </c>
      <c r="Q8" s="29" t="s">
        <v>74</v>
      </c>
      <c r="R8" s="30" t="s">
        <v>75</v>
      </c>
      <c r="S8" s="30" t="s">
        <v>76</v>
      </c>
      <c r="T8" s="30" t="s">
        <v>77</v>
      </c>
      <c r="U8" s="30" t="s">
        <v>78</v>
      </c>
      <c r="V8" s="29" t="s">
        <v>79</v>
      </c>
      <c r="W8" s="30" t="s">
        <v>80</v>
      </c>
      <c r="X8" s="29" t="s">
        <v>81</v>
      </c>
      <c r="Y8" s="30" t="s">
        <v>82</v>
      </c>
      <c r="Z8" s="30" t="s">
        <v>83</v>
      </c>
      <c r="AA8" s="31" t="s">
        <v>84</v>
      </c>
      <c r="AB8" s="31" t="s">
        <v>85</v>
      </c>
      <c r="AC8" s="31" t="s">
        <v>86</v>
      </c>
      <c r="AD8" s="31" t="s">
        <v>87</v>
      </c>
      <c r="AE8" s="31" t="s">
        <v>88</v>
      </c>
      <c r="AF8" s="31" t="s">
        <v>89</v>
      </c>
      <c r="AG8" s="32" t="s">
        <v>68</v>
      </c>
      <c r="AH8" s="32" t="s">
        <v>69</v>
      </c>
      <c r="AI8" s="32" t="s">
        <v>70</v>
      </c>
      <c r="AJ8" s="32" t="s">
        <v>90</v>
      </c>
      <c r="AK8" s="32" t="s">
        <v>68</v>
      </c>
      <c r="AL8" s="32" t="s">
        <v>69</v>
      </c>
      <c r="AM8" s="32" t="s">
        <v>70</v>
      </c>
      <c r="AN8" s="32" t="s">
        <v>90</v>
      </c>
      <c r="AO8" s="32" t="s">
        <v>68</v>
      </c>
      <c r="AP8" s="32" t="s">
        <v>69</v>
      </c>
      <c r="AQ8" s="32" t="s">
        <v>70</v>
      </c>
      <c r="AR8" s="32" t="s">
        <v>90</v>
      </c>
      <c r="AS8" s="32" t="s">
        <v>68</v>
      </c>
      <c r="AT8" s="32" t="s">
        <v>69</v>
      </c>
      <c r="AU8" s="32" t="s">
        <v>70</v>
      </c>
      <c r="AV8" s="32" t="s">
        <v>90</v>
      </c>
      <c r="AW8" s="32" t="s">
        <v>68</v>
      </c>
      <c r="AX8" s="32" t="s">
        <v>69</v>
      </c>
      <c r="AY8" s="32" t="s">
        <v>70</v>
      </c>
      <c r="AZ8" s="32" t="s">
        <v>90</v>
      </c>
      <c r="BA8" s="32" t="s">
        <v>68</v>
      </c>
      <c r="BB8" s="32" t="s">
        <v>69</v>
      </c>
      <c r="BC8" s="32" t="s">
        <v>70</v>
      </c>
      <c r="BD8" s="32" t="s">
        <v>90</v>
      </c>
      <c r="BE8" s="32" t="s">
        <v>68</v>
      </c>
      <c r="BF8" s="32" t="s">
        <v>69</v>
      </c>
      <c r="BG8" s="32" t="s">
        <v>70</v>
      </c>
      <c r="BH8" s="32" t="s">
        <v>90</v>
      </c>
      <c r="BI8" s="32" t="s">
        <v>68</v>
      </c>
      <c r="BJ8" s="32" t="s">
        <v>69</v>
      </c>
      <c r="BK8" s="32" t="s">
        <v>70</v>
      </c>
      <c r="BL8" s="32" t="s">
        <v>90</v>
      </c>
      <c r="BM8" s="32" t="s">
        <v>68</v>
      </c>
      <c r="BN8" s="32" t="s">
        <v>69</v>
      </c>
      <c r="BO8" s="32" t="s">
        <v>70</v>
      </c>
      <c r="BP8" s="32" t="s">
        <v>90</v>
      </c>
      <c r="BQ8" s="32" t="s">
        <v>68</v>
      </c>
      <c r="BR8" s="32" t="s">
        <v>69</v>
      </c>
      <c r="BS8" s="32" t="s">
        <v>70</v>
      </c>
      <c r="BT8" s="32" t="s">
        <v>90</v>
      </c>
      <c r="BU8" s="32" t="s">
        <v>68</v>
      </c>
      <c r="BV8" s="32" t="s">
        <v>69</v>
      </c>
      <c r="BW8" s="32" t="s">
        <v>70</v>
      </c>
      <c r="BX8" s="32" t="s">
        <v>90</v>
      </c>
      <c r="BY8" s="32" t="s">
        <v>68</v>
      </c>
      <c r="BZ8" s="32" t="s">
        <v>69</v>
      </c>
      <c r="CA8" s="32" t="s">
        <v>70</v>
      </c>
      <c r="CB8" s="32" t="s">
        <v>90</v>
      </c>
      <c r="CC8" s="32" t="s">
        <v>68</v>
      </c>
      <c r="CD8" s="32" t="s">
        <v>69</v>
      </c>
      <c r="CE8" s="32" t="s">
        <v>70</v>
      </c>
      <c r="CF8" s="32" t="s">
        <v>90</v>
      </c>
      <c r="CG8" s="32" t="s">
        <v>68</v>
      </c>
      <c r="CH8" s="32" t="s">
        <v>69</v>
      </c>
      <c r="CI8" s="32" t="s">
        <v>70</v>
      </c>
      <c r="CJ8" s="32" t="s">
        <v>90</v>
      </c>
      <c r="CK8" s="32" t="s">
        <v>68</v>
      </c>
      <c r="CL8" s="32" t="s">
        <v>69</v>
      </c>
      <c r="CM8" s="32" t="s">
        <v>70</v>
      </c>
      <c r="CN8" s="32" t="s">
        <v>90</v>
      </c>
      <c r="CO8" s="32" t="s">
        <v>68</v>
      </c>
      <c r="CP8" s="32" t="s">
        <v>69</v>
      </c>
      <c r="CQ8" s="32" t="s">
        <v>70</v>
      </c>
      <c r="CR8" s="32" t="s">
        <v>90</v>
      </c>
      <c r="CS8" s="32" t="s">
        <v>68</v>
      </c>
      <c r="CT8" s="32" t="s">
        <v>69</v>
      </c>
      <c r="CU8" s="32" t="s">
        <v>70</v>
      </c>
      <c r="CV8" s="32" t="s">
        <v>90</v>
      </c>
      <c r="CW8" s="32" t="s">
        <v>68</v>
      </c>
      <c r="CX8" s="32" t="s">
        <v>69</v>
      </c>
      <c r="CY8" s="32" t="s">
        <v>70</v>
      </c>
      <c r="CZ8" s="32" t="s">
        <v>90</v>
      </c>
      <c r="DA8" s="32" t="s">
        <v>68</v>
      </c>
      <c r="DB8" s="32" t="s">
        <v>69</v>
      </c>
      <c r="DC8" s="32" t="s">
        <v>70</v>
      </c>
      <c r="DD8" s="32" t="s">
        <v>90</v>
      </c>
      <c r="DE8" s="32" t="s">
        <v>68</v>
      </c>
      <c r="DF8" s="32" t="s">
        <v>69</v>
      </c>
      <c r="DG8" s="32" t="s">
        <v>70</v>
      </c>
      <c r="DH8" s="32" t="s">
        <v>90</v>
      </c>
      <c r="DI8" s="32" t="s">
        <v>68</v>
      </c>
      <c r="DJ8" s="32" t="s">
        <v>69</v>
      </c>
      <c r="DK8" s="32" t="s">
        <v>70</v>
      </c>
      <c r="DL8" s="32" t="s">
        <v>90</v>
      </c>
      <c r="DM8" s="32" t="s">
        <v>68</v>
      </c>
      <c r="DN8" s="32" t="s">
        <v>69</v>
      </c>
      <c r="DO8" s="32" t="s">
        <v>70</v>
      </c>
      <c r="DP8" s="32" t="s">
        <v>90</v>
      </c>
      <c r="DQ8" s="32" t="s">
        <v>68</v>
      </c>
      <c r="DR8" s="32" t="s">
        <v>69</v>
      </c>
      <c r="DS8" s="32" t="s">
        <v>70</v>
      </c>
      <c r="DT8" s="32" t="s">
        <v>90</v>
      </c>
      <c r="DU8" s="32" t="s">
        <v>68</v>
      </c>
      <c r="DV8" s="32" t="s">
        <v>69</v>
      </c>
      <c r="DW8" s="32" t="s">
        <v>70</v>
      </c>
      <c r="DX8" s="32" t="s">
        <v>90</v>
      </c>
      <c r="DY8" s="32" t="s">
        <v>68</v>
      </c>
      <c r="DZ8" s="32" t="s">
        <v>69</v>
      </c>
      <c r="EA8" s="32" t="s">
        <v>70</v>
      </c>
      <c r="EB8" s="32" t="s">
        <v>90</v>
      </c>
      <c r="EC8" s="5"/>
      <c r="ED8" s="5"/>
      <c r="EE8" s="33" t="s">
        <v>68</v>
      </c>
      <c r="EF8" s="33" t="s">
        <v>69</v>
      </c>
      <c r="EG8" s="33" t="s">
        <v>70</v>
      </c>
    </row>
    <row r="9" spans="1:137" ht="12" customHeight="1" x14ac:dyDescent="0.35">
      <c r="A9" s="34" t="s">
        <v>91</v>
      </c>
      <c r="B9" s="35">
        <v>30450</v>
      </c>
      <c r="C9" s="35" t="s">
        <v>92</v>
      </c>
      <c r="D9" s="35" t="s">
        <v>93</v>
      </c>
      <c r="E9" s="34">
        <v>418801</v>
      </c>
      <c r="F9" s="35" t="s">
        <v>94</v>
      </c>
      <c r="G9" s="8">
        <v>46080</v>
      </c>
      <c r="H9" s="8">
        <v>46126</v>
      </c>
      <c r="I9" s="36">
        <v>5</v>
      </c>
      <c r="J9" s="36">
        <v>4389</v>
      </c>
      <c r="K9" s="37"/>
      <c r="L9" s="36">
        <v>109.72499999999999</v>
      </c>
      <c r="M9" s="36">
        <v>109.72499999999999</v>
      </c>
      <c r="N9" s="36">
        <v>219.45</v>
      </c>
      <c r="O9" s="36">
        <v>4608.46</v>
      </c>
      <c r="P9" s="35" t="s">
        <v>95</v>
      </c>
      <c r="Q9" s="34" t="s">
        <v>47</v>
      </c>
      <c r="R9" s="35" t="s">
        <v>96</v>
      </c>
      <c r="S9" s="35" t="s">
        <v>97</v>
      </c>
      <c r="T9" s="35" t="s">
        <v>98</v>
      </c>
      <c r="U9" s="35" t="s">
        <v>99</v>
      </c>
      <c r="V9" s="34">
        <v>996311</v>
      </c>
      <c r="W9" s="35" t="s">
        <v>100</v>
      </c>
      <c r="X9" s="34" t="s">
        <v>101</v>
      </c>
      <c r="Y9" s="35">
        <v>107</v>
      </c>
      <c r="Z9" s="35" t="s">
        <v>102</v>
      </c>
      <c r="AA9" t="s">
        <v>103</v>
      </c>
      <c r="AB9">
        <v>219.45</v>
      </c>
      <c r="AC9">
        <v>219</v>
      </c>
      <c r="AD9" s="38">
        <v>0</v>
      </c>
      <c r="AE9" t="s">
        <v>104</v>
      </c>
      <c r="AF9" t="s">
        <v>73</v>
      </c>
      <c r="AG9" s="3"/>
      <c r="AH9" s="3"/>
      <c r="AI9" s="3"/>
      <c r="AJ9" s="3">
        <f>SUBTOTAL(9,AG9:AI9)</f>
        <v>0</v>
      </c>
      <c r="AK9" s="3"/>
      <c r="AL9" s="3"/>
      <c r="AM9" s="3"/>
      <c r="AN9" s="3">
        <f>SUBTOTAL(9,AK9:AM9)</f>
        <v>0</v>
      </c>
      <c r="AO9" s="3"/>
      <c r="AP9" s="3"/>
      <c r="AQ9" s="3"/>
      <c r="AR9" s="3">
        <f>SUBTOTAL(9,AO9:AQ9)</f>
        <v>0</v>
      </c>
      <c r="AS9" s="3"/>
      <c r="AT9" s="3"/>
      <c r="AU9" s="3"/>
      <c r="AV9" s="3">
        <f>SUBTOTAL(9,AS9:AU9)</f>
        <v>0</v>
      </c>
      <c r="AW9" s="3"/>
      <c r="AX9" s="3"/>
      <c r="AY9" s="3"/>
      <c r="AZ9" s="3">
        <f>SUBTOTAL(9,AW9:AY9)</f>
        <v>0</v>
      </c>
      <c r="BA9" s="3"/>
      <c r="BB9" s="3"/>
      <c r="BC9" s="3"/>
      <c r="BD9" s="3">
        <f>SUBTOTAL(9,BA9:BC9)</f>
        <v>0</v>
      </c>
      <c r="BE9" s="3"/>
      <c r="BF9" s="3"/>
      <c r="BG9" s="3"/>
      <c r="BH9" s="3">
        <f>SUBTOTAL(9,BE9:BG9)</f>
        <v>0</v>
      </c>
      <c r="BI9" s="3"/>
      <c r="BJ9" s="3"/>
      <c r="BK9" s="3"/>
      <c r="BL9" s="3">
        <f>SUBTOTAL(9,BI9:BK9)</f>
        <v>0</v>
      </c>
      <c r="BM9" s="3"/>
      <c r="BN9" s="3"/>
      <c r="BO9" s="3"/>
      <c r="BP9" s="3">
        <f>SUBTOTAL(9,BM9:BO9)</f>
        <v>0</v>
      </c>
      <c r="BQ9" s="3"/>
      <c r="BR9" s="3"/>
      <c r="BS9" s="3"/>
      <c r="BT9" s="3">
        <f>SUBTOTAL(9,BQ9:BS9)</f>
        <v>0</v>
      </c>
      <c r="BU9" s="3"/>
      <c r="BV9" s="3"/>
      <c r="BW9" s="3"/>
      <c r="BX9" s="3">
        <f>SUBTOTAL(9,BU9:BW9)</f>
        <v>0</v>
      </c>
      <c r="BY9" s="3"/>
      <c r="BZ9" s="3"/>
      <c r="CA9" s="3"/>
      <c r="CB9" s="3">
        <f>SUBTOTAL(9,BY9:CA9)</f>
        <v>0</v>
      </c>
      <c r="CC9" s="3"/>
      <c r="CD9" s="3"/>
      <c r="CE9" s="3"/>
      <c r="CF9" s="3">
        <f>SUBTOTAL(9,CC9:CE9)</f>
        <v>0</v>
      </c>
      <c r="CG9" s="3"/>
      <c r="CH9" s="3"/>
      <c r="CI9" s="3"/>
      <c r="CJ9" s="3">
        <f>SUBTOTAL(9,CG9:CI9)</f>
        <v>0</v>
      </c>
      <c r="CK9" s="3"/>
      <c r="CL9" s="3"/>
      <c r="CM9" s="3"/>
      <c r="CN9" s="3">
        <f>SUBTOTAL(9,CK9:CM9)</f>
        <v>0</v>
      </c>
      <c r="CO9" s="3"/>
      <c r="CP9" s="3"/>
      <c r="CQ9" s="3"/>
      <c r="CR9" s="3">
        <f>SUBTOTAL(9,CO9:CQ9)</f>
        <v>0</v>
      </c>
      <c r="CS9" s="3"/>
      <c r="CT9" s="3"/>
      <c r="CU9" s="3"/>
      <c r="CV9" s="3">
        <f>SUBTOTAL(9,CS9:CU9)</f>
        <v>0</v>
      </c>
      <c r="CW9" s="3">
        <f>SUM($K9:$M9)*CW$4/$CW$4</f>
        <v>219.45</v>
      </c>
      <c r="CX9" s="3">
        <v>0</v>
      </c>
      <c r="CY9" s="3">
        <v>0</v>
      </c>
      <c r="CZ9" s="3">
        <f>SUBTOTAL(9,CW9:CY9)</f>
        <v>219.45</v>
      </c>
      <c r="DA9" s="3"/>
      <c r="DB9" s="3"/>
      <c r="DC9" s="3"/>
      <c r="DD9" s="3">
        <f>SUBTOTAL(9,DA9:DC9)</f>
        <v>0</v>
      </c>
      <c r="DE9" s="3"/>
      <c r="DF9" s="3"/>
      <c r="DG9" s="3"/>
      <c r="DH9" s="3">
        <f>SUBTOTAL(9,DE9:DG9)</f>
        <v>0</v>
      </c>
      <c r="DI9" s="3"/>
      <c r="DJ9" s="3"/>
      <c r="DK9" s="3"/>
      <c r="DL9" s="3">
        <f t="shared" ref="DL9:DL72" si="2">SUBTOTAL(9,DI9:DK9)</f>
        <v>0</v>
      </c>
      <c r="DM9" s="3"/>
      <c r="DN9" s="3"/>
      <c r="DO9" s="3"/>
      <c r="DP9" s="3">
        <f>SUBTOTAL(9,DM9:DO9)</f>
        <v>0</v>
      </c>
      <c r="DQ9" s="3"/>
      <c r="DR9" s="3"/>
      <c r="DS9" s="3"/>
      <c r="DT9" s="3">
        <f>SUBTOTAL(9,DQ9:DS9)</f>
        <v>0</v>
      </c>
      <c r="DU9" s="3"/>
      <c r="DV9" s="3"/>
      <c r="DW9" s="3"/>
      <c r="DX9" s="3">
        <f>SUBTOTAL(9,DU9:DW9)</f>
        <v>0</v>
      </c>
      <c r="DY9" s="3"/>
      <c r="DZ9" s="3"/>
      <c r="EA9" s="3"/>
      <c r="EB9" s="3">
        <f>SUBTOTAL(9,DY9:EA9)</f>
        <v>0</v>
      </c>
      <c r="EC9" s="4">
        <f>AJ9+AN9+AR9+AV9+AZ9+BD9+BH9+BL9+BP9+BT9+BX9+CB9+CF9+CJ9+CN9+CR9+CV9+CZ9+DD9+DH9+DL9+DP9+DT9+DX9+EB9</f>
        <v>219.45</v>
      </c>
      <c r="ED9" s="5">
        <f>EC9-SUM(K9:M9)</f>
        <v>0</v>
      </c>
      <c r="EE9" s="6">
        <f t="shared" ref="EE9:EG24" si="3">AG9+AK9+AO9+AS9+AW9+BA9+BE9+BI9+BM9+BQ9+BU9+BY9+CC9+CG9+CK9+CO9+CS9+CW9+DA9+DE9+DM9+DQ9+DU9+DY9</f>
        <v>219.45</v>
      </c>
      <c r="EF9" s="6">
        <f t="shared" si="3"/>
        <v>0</v>
      </c>
      <c r="EG9" s="6">
        <f t="shared" si="3"/>
        <v>0</v>
      </c>
    </row>
    <row r="10" spans="1:137" ht="12" customHeight="1" x14ac:dyDescent="0.35">
      <c r="A10" s="34" t="s">
        <v>91</v>
      </c>
      <c r="B10" s="35">
        <v>30450</v>
      </c>
      <c r="C10" s="35" t="s">
        <v>105</v>
      </c>
      <c r="D10" s="35" t="s">
        <v>93</v>
      </c>
      <c r="E10" s="34">
        <v>418801</v>
      </c>
      <c r="F10" s="35" t="s">
        <v>106</v>
      </c>
      <c r="G10" s="8">
        <v>45853</v>
      </c>
      <c r="H10" s="8">
        <v>46126</v>
      </c>
      <c r="I10" s="36">
        <v>5</v>
      </c>
      <c r="J10" s="36">
        <v>5342</v>
      </c>
      <c r="K10" s="36">
        <v>267.10000000000002</v>
      </c>
      <c r="L10" s="37"/>
      <c r="M10" s="37"/>
      <c r="N10" s="36">
        <v>267.10000000000002</v>
      </c>
      <c r="O10" s="36">
        <v>5609.1</v>
      </c>
      <c r="P10" s="35" t="s">
        <v>95</v>
      </c>
      <c r="Q10" s="34" t="s">
        <v>36</v>
      </c>
      <c r="R10" s="35" t="s">
        <v>96</v>
      </c>
      <c r="S10" s="35" t="s">
        <v>97</v>
      </c>
      <c r="T10" s="35" t="s">
        <v>98</v>
      </c>
      <c r="U10" s="35" t="s">
        <v>99</v>
      </c>
      <c r="V10" s="34">
        <v>996311</v>
      </c>
      <c r="W10" s="35" t="s">
        <v>107</v>
      </c>
      <c r="X10" s="34" t="s">
        <v>101</v>
      </c>
      <c r="Y10" s="35">
        <v>107</v>
      </c>
      <c r="Z10" s="35" t="s">
        <v>102</v>
      </c>
      <c r="AA10" t="s">
        <v>108</v>
      </c>
      <c r="AB10">
        <v>267.10000000000002</v>
      </c>
      <c r="AC10">
        <v>267</v>
      </c>
      <c r="AD10" s="38">
        <v>0</v>
      </c>
      <c r="AE10" t="s">
        <v>104</v>
      </c>
      <c r="AF10" t="s">
        <v>73</v>
      </c>
      <c r="AG10" s="3"/>
      <c r="AH10" s="3"/>
      <c r="AI10" s="3"/>
      <c r="AJ10" s="3">
        <f>SUBTOTAL(9,AG10:AI10)</f>
        <v>0</v>
      </c>
      <c r="AK10" s="3"/>
      <c r="AL10" s="3"/>
      <c r="AM10" s="3"/>
      <c r="AN10" s="3">
        <f>SUBTOTAL(9,AK10:AM10)</f>
        <v>0</v>
      </c>
      <c r="AO10" s="3"/>
      <c r="AP10" s="3"/>
      <c r="AQ10" s="3"/>
      <c r="AR10" s="3">
        <f>SUBTOTAL(9,AO10:AQ10)</f>
        <v>0</v>
      </c>
      <c r="AS10" s="3"/>
      <c r="AT10" s="3"/>
      <c r="AU10" s="3"/>
      <c r="AV10" s="3">
        <f>SUBTOTAL(9,AS10:AU10)</f>
        <v>0</v>
      </c>
      <c r="AW10" s="3"/>
      <c r="AX10" s="3"/>
      <c r="AY10" s="3"/>
      <c r="AZ10" s="3">
        <f>SUBTOTAL(9,AW10:AY10)</f>
        <v>0</v>
      </c>
      <c r="BA10" s="3"/>
      <c r="BB10" s="3"/>
      <c r="BC10" s="3"/>
      <c r="BD10" s="3">
        <f>SUBTOTAL(9,BA10:BC10)</f>
        <v>0</v>
      </c>
      <c r="BE10" s="3">
        <f>$K10*BE$4/$BE$4</f>
        <v>267.10000000000002</v>
      </c>
      <c r="BF10" s="3">
        <f>$L10*BE$4/$BE$4</f>
        <v>0</v>
      </c>
      <c r="BG10" s="3">
        <f>$M10*BE$4/$BE$4</f>
        <v>0</v>
      </c>
      <c r="BH10" s="3">
        <f t="shared" ref="BH10:BH73" si="4">SUBTOTAL(9,BE10:BG10)</f>
        <v>267.10000000000002</v>
      </c>
      <c r="BI10" s="3"/>
      <c r="BJ10" s="3"/>
      <c r="BK10" s="3"/>
      <c r="BL10" s="3">
        <f t="shared" ref="BL10:BL73" si="5">SUBTOTAL(9,BI10:BK10)</f>
        <v>0</v>
      </c>
      <c r="BM10" s="3"/>
      <c r="BN10" s="3"/>
      <c r="BO10" s="3"/>
      <c r="BP10" s="3">
        <f>SUBTOTAL(9,BM10:BO10)</f>
        <v>0</v>
      </c>
      <c r="BQ10" s="3"/>
      <c r="BR10" s="3"/>
      <c r="BS10" s="3"/>
      <c r="BT10" s="3">
        <f>SUBTOTAL(9,BQ10:BS10)</f>
        <v>0</v>
      </c>
      <c r="BU10" s="3"/>
      <c r="BV10" s="3"/>
      <c r="BW10" s="3"/>
      <c r="BX10" s="3">
        <f>SUBTOTAL(9,BU10:BW10)</f>
        <v>0</v>
      </c>
      <c r="BY10" s="3"/>
      <c r="BZ10" s="3"/>
      <c r="CA10" s="3"/>
      <c r="CB10" s="3">
        <f>SUBTOTAL(9,BY10:CA10)</f>
        <v>0</v>
      </c>
      <c r="CC10" s="3"/>
      <c r="CD10" s="3"/>
      <c r="CE10" s="3"/>
      <c r="CF10" s="3">
        <f>SUBTOTAL(9,CC10:CE10)</f>
        <v>0</v>
      </c>
      <c r="CG10" s="3"/>
      <c r="CH10" s="3"/>
      <c r="CI10" s="3"/>
      <c r="CJ10" s="3">
        <f>SUBTOTAL(9,CG10:CI10)</f>
        <v>0</v>
      </c>
      <c r="CK10" s="3"/>
      <c r="CL10" s="3"/>
      <c r="CM10" s="3"/>
      <c r="CN10" s="3">
        <f>SUBTOTAL(9,CK10:CM10)</f>
        <v>0</v>
      </c>
      <c r="CO10" s="3"/>
      <c r="CP10" s="3"/>
      <c r="CQ10" s="3"/>
      <c r="CR10" s="3">
        <f>SUBTOTAL(9,CO10:CQ10)</f>
        <v>0</v>
      </c>
      <c r="CS10" s="3"/>
      <c r="CT10" s="3"/>
      <c r="CU10" s="3"/>
      <c r="CV10" s="3">
        <f>SUBTOTAL(9,CS10:CU10)</f>
        <v>0</v>
      </c>
      <c r="CW10" s="3"/>
      <c r="CX10" s="3"/>
      <c r="CY10" s="3"/>
      <c r="CZ10" s="3">
        <f>SUBTOTAL(9,CW10:CY10)</f>
        <v>0</v>
      </c>
      <c r="DA10" s="3"/>
      <c r="DB10" s="3"/>
      <c r="DC10" s="3"/>
      <c r="DD10" s="3">
        <f>SUBTOTAL(9,DA10:DC10)</f>
        <v>0</v>
      </c>
      <c r="DE10" s="3"/>
      <c r="DF10" s="3"/>
      <c r="DG10" s="3"/>
      <c r="DH10" s="3">
        <f>SUBTOTAL(9,DE10:DG10)</f>
        <v>0</v>
      </c>
      <c r="DI10" s="3"/>
      <c r="DJ10" s="3"/>
      <c r="DK10" s="3"/>
      <c r="DL10" s="3">
        <f t="shared" si="2"/>
        <v>0</v>
      </c>
      <c r="DM10" s="3"/>
      <c r="DN10" s="3"/>
      <c r="DO10" s="3"/>
      <c r="DP10" s="3">
        <f>SUBTOTAL(9,DM10:DO10)</f>
        <v>0</v>
      </c>
      <c r="DQ10" s="3"/>
      <c r="DR10" s="3"/>
      <c r="DS10" s="3"/>
      <c r="DT10" s="3">
        <f>SUBTOTAL(9,DQ10:DS10)</f>
        <v>0</v>
      </c>
      <c r="DU10" s="3"/>
      <c r="DV10" s="3"/>
      <c r="DW10" s="3"/>
      <c r="DX10" s="3">
        <f>SUBTOTAL(9,DU10:DW10)</f>
        <v>0</v>
      </c>
      <c r="DY10" s="3"/>
      <c r="DZ10" s="3"/>
      <c r="EA10" s="3"/>
      <c r="EB10" s="3">
        <f>SUBTOTAL(9,DY10:EA10)</f>
        <v>0</v>
      </c>
      <c r="EC10" s="4">
        <f t="shared" ref="EC10:EC73" si="6">AJ10+AN10+AR10+AV10+AZ10+BD10+BH10+BL10+BP10+BT10+BX10+CB10+CF10+CJ10+CN10+CR10+CV10+CZ10+DD10+DH10+DL10+DP10+DT10+DX10+EB10</f>
        <v>267.10000000000002</v>
      </c>
      <c r="ED10" s="5">
        <f>EC10-SUM(K10:M10)</f>
        <v>0</v>
      </c>
      <c r="EE10" s="6">
        <f t="shared" si="3"/>
        <v>267.10000000000002</v>
      </c>
      <c r="EF10" s="6">
        <f t="shared" si="3"/>
        <v>0</v>
      </c>
      <c r="EG10" s="6">
        <f t="shared" si="3"/>
        <v>0</v>
      </c>
    </row>
    <row r="11" spans="1:137" ht="12" customHeight="1" x14ac:dyDescent="0.35">
      <c r="A11" s="34" t="s">
        <v>91</v>
      </c>
      <c r="B11" s="35">
        <v>30450</v>
      </c>
      <c r="C11" s="35" t="s">
        <v>109</v>
      </c>
      <c r="D11" s="35" t="s">
        <v>110</v>
      </c>
      <c r="E11" s="34">
        <v>150781</v>
      </c>
      <c r="F11" s="35" t="s">
        <v>111</v>
      </c>
      <c r="G11" s="8">
        <v>45998</v>
      </c>
      <c r="H11" s="8">
        <v>46126</v>
      </c>
      <c r="I11" s="36">
        <v>5</v>
      </c>
      <c r="J11" s="36">
        <v>-4221</v>
      </c>
      <c r="K11" s="36">
        <v>-211.05</v>
      </c>
      <c r="L11" s="37"/>
      <c r="M11" s="37"/>
      <c r="N11" s="36">
        <v>-211.05</v>
      </c>
      <c r="O11" s="36">
        <v>-4432.05</v>
      </c>
      <c r="P11" s="35" t="s">
        <v>95</v>
      </c>
      <c r="Q11" s="34" t="s">
        <v>36</v>
      </c>
      <c r="R11" s="35" t="s">
        <v>112</v>
      </c>
      <c r="S11" s="35" t="s">
        <v>97</v>
      </c>
      <c r="T11" s="35" t="s">
        <v>98</v>
      </c>
      <c r="U11" s="35" t="s">
        <v>99</v>
      </c>
      <c r="V11" s="34">
        <v>996311</v>
      </c>
      <c r="W11" s="35" t="s">
        <v>113</v>
      </c>
      <c r="X11" s="34" t="s">
        <v>101</v>
      </c>
      <c r="Y11" s="35">
        <v>107</v>
      </c>
      <c r="Z11" s="35" t="s">
        <v>102</v>
      </c>
      <c r="AA11" t="s">
        <v>114</v>
      </c>
      <c r="AB11">
        <v>-211.05</v>
      </c>
      <c r="AC11">
        <v>-211</v>
      </c>
      <c r="AD11" s="38">
        <v>0</v>
      </c>
      <c r="AE11" t="s">
        <v>104</v>
      </c>
      <c r="AF11" t="s">
        <v>73</v>
      </c>
      <c r="AG11" s="3"/>
      <c r="AH11" s="3"/>
      <c r="AI11" s="3"/>
      <c r="AJ11" s="3">
        <f>SUBTOTAL(9,AG11:AI11)</f>
        <v>0</v>
      </c>
      <c r="AK11" s="3"/>
      <c r="AL11" s="3"/>
      <c r="AM11" s="3"/>
      <c r="AN11" s="3">
        <f>SUBTOTAL(9,AK11:AM11)</f>
        <v>0</v>
      </c>
      <c r="AO11" s="3"/>
      <c r="AP11" s="3"/>
      <c r="AQ11" s="3"/>
      <c r="AR11" s="3">
        <f>SUBTOTAL(9,AO11:AQ11)</f>
        <v>0</v>
      </c>
      <c r="AS11" s="3"/>
      <c r="AT11" s="3"/>
      <c r="AU11" s="3"/>
      <c r="AV11" s="3">
        <f>SUBTOTAL(9,AS11:AU11)</f>
        <v>0</v>
      </c>
      <c r="AW11" s="3"/>
      <c r="AX11" s="3"/>
      <c r="AY11" s="3"/>
      <c r="AZ11" s="3">
        <f>SUBTOTAL(9,AW11:AY11)</f>
        <v>0</v>
      </c>
      <c r="BA11" s="3"/>
      <c r="BB11" s="3"/>
      <c r="BC11" s="3"/>
      <c r="BD11" s="3">
        <f>SUBTOTAL(9,BA11:BC11)</f>
        <v>0</v>
      </c>
      <c r="BE11" s="3">
        <f>$K11*BE$4/$BE$4</f>
        <v>-211.05</v>
      </c>
      <c r="BF11" s="3">
        <f>$L11*BE$4/$BE$4</f>
        <v>0</v>
      </c>
      <c r="BG11" s="3">
        <f>$M11*BE$4/$BE$4</f>
        <v>0</v>
      </c>
      <c r="BH11" s="3">
        <f t="shared" si="4"/>
        <v>-211.05</v>
      </c>
      <c r="BI11" s="3"/>
      <c r="BJ11" s="3"/>
      <c r="BK11" s="3"/>
      <c r="BL11" s="3">
        <f t="shared" si="5"/>
        <v>0</v>
      </c>
      <c r="BM11" s="3"/>
      <c r="BN11" s="3"/>
      <c r="BO11" s="3"/>
      <c r="BP11" s="3">
        <f>SUBTOTAL(9,BM11:BO11)</f>
        <v>0</v>
      </c>
      <c r="BQ11" s="3"/>
      <c r="BR11" s="3"/>
      <c r="BS11" s="3"/>
      <c r="BT11" s="3">
        <f>SUBTOTAL(9,BQ11:BS11)</f>
        <v>0</v>
      </c>
      <c r="BU11" s="3"/>
      <c r="BV11" s="3"/>
      <c r="BW11" s="3"/>
      <c r="BX11" s="3">
        <f>SUBTOTAL(9,BU11:BW11)</f>
        <v>0</v>
      </c>
      <c r="BY11" s="3"/>
      <c r="BZ11" s="3"/>
      <c r="CA11" s="3"/>
      <c r="CB11" s="3">
        <f>SUBTOTAL(9,BY11:CA11)</f>
        <v>0</v>
      </c>
      <c r="CC11" s="3"/>
      <c r="CD11" s="3"/>
      <c r="CE11" s="3"/>
      <c r="CF11" s="3">
        <f>SUBTOTAL(9,CC11:CE11)</f>
        <v>0</v>
      </c>
      <c r="CG11" s="3"/>
      <c r="CH11" s="3"/>
      <c r="CI11" s="3"/>
      <c r="CJ11" s="3">
        <f>SUBTOTAL(9,CG11:CI11)</f>
        <v>0</v>
      </c>
      <c r="CK11" s="3"/>
      <c r="CL11" s="3"/>
      <c r="CM11" s="3"/>
      <c r="CN11" s="3">
        <f>SUBTOTAL(9,CK11:CM11)</f>
        <v>0</v>
      </c>
      <c r="CO11" s="3"/>
      <c r="CP11" s="3"/>
      <c r="CQ11" s="3"/>
      <c r="CR11" s="3">
        <f>SUBTOTAL(9,CO11:CQ11)</f>
        <v>0</v>
      </c>
      <c r="CS11" s="3"/>
      <c r="CT11" s="3"/>
      <c r="CU11" s="3"/>
      <c r="CV11" s="3">
        <f>SUBTOTAL(9,CS11:CU11)</f>
        <v>0</v>
      </c>
      <c r="CW11" s="3"/>
      <c r="CX11" s="3"/>
      <c r="CY11" s="3"/>
      <c r="CZ11" s="3">
        <f>SUBTOTAL(9,CW11:CY11)</f>
        <v>0</v>
      </c>
      <c r="DA11" s="3"/>
      <c r="DB11" s="3"/>
      <c r="DC11" s="3"/>
      <c r="DD11" s="3">
        <f>SUBTOTAL(9,DA11:DC11)</f>
        <v>0</v>
      </c>
      <c r="DE11" s="3"/>
      <c r="DF11" s="3"/>
      <c r="DG11" s="3"/>
      <c r="DH11" s="3">
        <f>SUBTOTAL(9,DE11:DG11)</f>
        <v>0</v>
      </c>
      <c r="DI11" s="3"/>
      <c r="DJ11" s="3"/>
      <c r="DK11" s="3"/>
      <c r="DL11" s="3">
        <f t="shared" si="2"/>
        <v>0</v>
      </c>
      <c r="DM11" s="3"/>
      <c r="DN11" s="3"/>
      <c r="DO11" s="3"/>
      <c r="DP11" s="3">
        <f>SUBTOTAL(9,DM11:DO11)</f>
        <v>0</v>
      </c>
      <c r="DQ11" s="3"/>
      <c r="DR11" s="3"/>
      <c r="DS11" s="3"/>
      <c r="DT11" s="3">
        <f>SUBTOTAL(9,DQ11:DS11)</f>
        <v>0</v>
      </c>
      <c r="DU11" s="3"/>
      <c r="DV11" s="3"/>
      <c r="DW11" s="3"/>
      <c r="DX11" s="3">
        <f>SUBTOTAL(9,DU11:DW11)</f>
        <v>0</v>
      </c>
      <c r="DY11" s="3"/>
      <c r="DZ11" s="3"/>
      <c r="EA11" s="3"/>
      <c r="EB11" s="3">
        <f>SUBTOTAL(9,DY11:EA11)</f>
        <v>0</v>
      </c>
      <c r="EC11" s="4">
        <f t="shared" si="6"/>
        <v>-211.05</v>
      </c>
      <c r="ED11" s="5">
        <f>EC11-SUM(K11:M11)</f>
        <v>0</v>
      </c>
      <c r="EE11" s="6">
        <f t="shared" si="3"/>
        <v>-211.05</v>
      </c>
      <c r="EF11" s="6">
        <f t="shared" si="3"/>
        <v>0</v>
      </c>
      <c r="EG11" s="6">
        <f t="shared" si="3"/>
        <v>0</v>
      </c>
    </row>
    <row r="12" spans="1:137" ht="12" customHeight="1" x14ac:dyDescent="0.35">
      <c r="A12" s="34" t="s">
        <v>115</v>
      </c>
      <c r="B12" s="35">
        <v>28324</v>
      </c>
      <c r="C12" s="35" t="s">
        <v>116</v>
      </c>
      <c r="D12" s="35" t="s">
        <v>93</v>
      </c>
      <c r="E12" s="34">
        <v>418801</v>
      </c>
      <c r="F12" s="35" t="s">
        <v>117</v>
      </c>
      <c r="G12" s="8">
        <v>46078</v>
      </c>
      <c r="H12" s="8">
        <v>46126</v>
      </c>
      <c r="I12" s="36">
        <v>5</v>
      </c>
      <c r="J12" s="36">
        <v>333</v>
      </c>
      <c r="K12" s="37"/>
      <c r="L12" s="36">
        <v>8.3249999999999993</v>
      </c>
      <c r="M12" s="36">
        <v>8.3249999999999993</v>
      </c>
      <c r="N12" s="36">
        <v>16.649999999999999</v>
      </c>
      <c r="O12" s="36">
        <v>349.66</v>
      </c>
      <c r="P12" s="35" t="s">
        <v>95</v>
      </c>
      <c r="Q12" s="34" t="s">
        <v>48</v>
      </c>
      <c r="R12" s="35" t="s">
        <v>96</v>
      </c>
      <c r="S12" s="35" t="s">
        <v>97</v>
      </c>
      <c r="T12" s="35" t="s">
        <v>98</v>
      </c>
      <c r="U12" s="35" t="s">
        <v>99</v>
      </c>
      <c r="V12" s="34">
        <v>996311</v>
      </c>
      <c r="W12" s="35" t="s">
        <v>118</v>
      </c>
      <c r="X12" s="34" t="s">
        <v>101</v>
      </c>
      <c r="Y12" s="35">
        <v>107</v>
      </c>
      <c r="Z12" s="35" t="s">
        <v>102</v>
      </c>
      <c r="AA12" t="s">
        <v>119</v>
      </c>
      <c r="AB12">
        <v>16.649999999999999</v>
      </c>
      <c r="AC12">
        <v>17</v>
      </c>
      <c r="AD12" s="38">
        <v>0</v>
      </c>
      <c r="AE12" t="s">
        <v>104</v>
      </c>
      <c r="AF12" t="s">
        <v>73</v>
      </c>
      <c r="AG12" s="3"/>
      <c r="AH12" s="3"/>
      <c r="AI12" s="3"/>
      <c r="AJ12" s="3">
        <f>SUBTOTAL(9,AG12:AI12)</f>
        <v>0</v>
      </c>
      <c r="AK12" s="3"/>
      <c r="AL12" s="3"/>
      <c r="AM12" s="3"/>
      <c r="AN12" s="3">
        <f>SUBTOTAL(9,AK12:AM12)</f>
        <v>0</v>
      </c>
      <c r="AO12" s="3"/>
      <c r="AP12" s="3"/>
      <c r="AQ12" s="3"/>
      <c r="AR12" s="3">
        <f>SUBTOTAL(9,AO12:AQ12)</f>
        <v>0</v>
      </c>
      <c r="AS12" s="3"/>
      <c r="AT12" s="3"/>
      <c r="AU12" s="3"/>
      <c r="AV12" s="3">
        <f>SUBTOTAL(9,AS12:AU12)</f>
        <v>0</v>
      </c>
      <c r="AW12" s="3"/>
      <c r="AX12" s="3"/>
      <c r="AY12" s="3"/>
      <c r="AZ12" s="3">
        <f>SUBTOTAL(9,AW12:AY12)</f>
        <v>0</v>
      </c>
      <c r="BA12" s="3"/>
      <c r="BB12" s="3"/>
      <c r="BC12" s="3"/>
      <c r="BD12" s="3">
        <f>SUBTOTAL(9,BA12:BC12)</f>
        <v>0</v>
      </c>
      <c r="BE12" s="3"/>
      <c r="BF12" s="3"/>
      <c r="BG12" s="3"/>
      <c r="BH12" s="3">
        <f t="shared" si="4"/>
        <v>0</v>
      </c>
      <c r="BI12" s="3"/>
      <c r="BJ12" s="3"/>
      <c r="BK12" s="3"/>
      <c r="BL12" s="3">
        <f t="shared" si="5"/>
        <v>0</v>
      </c>
      <c r="BM12" s="3"/>
      <c r="BN12" s="3"/>
      <c r="BO12" s="3"/>
      <c r="BP12" s="3">
        <f>SUBTOTAL(9,BM12:BO12)</f>
        <v>0</v>
      </c>
      <c r="BQ12" s="3"/>
      <c r="BR12" s="3"/>
      <c r="BS12" s="3"/>
      <c r="BT12" s="3">
        <f>SUBTOTAL(9,BQ12:BS12)</f>
        <v>0</v>
      </c>
      <c r="BU12" s="3"/>
      <c r="BV12" s="3"/>
      <c r="BW12" s="3"/>
      <c r="BX12" s="3">
        <f>SUBTOTAL(9,BU12:BW12)</f>
        <v>0</v>
      </c>
      <c r="BY12" s="3"/>
      <c r="BZ12" s="3"/>
      <c r="CA12" s="3"/>
      <c r="CB12" s="3">
        <f>SUBTOTAL(9,BY12:CA12)</f>
        <v>0</v>
      </c>
      <c r="CC12" s="3"/>
      <c r="CD12" s="3"/>
      <c r="CE12" s="3"/>
      <c r="CF12" s="3">
        <f>SUBTOTAL(9,CC12:CE12)</f>
        <v>0</v>
      </c>
      <c r="CG12" s="3"/>
      <c r="CH12" s="3"/>
      <c r="CI12" s="3"/>
      <c r="CJ12" s="3">
        <f>SUBTOTAL(9,CG12:CI12)</f>
        <v>0</v>
      </c>
      <c r="CK12" s="3"/>
      <c r="CL12" s="3"/>
      <c r="CM12" s="3"/>
      <c r="CN12" s="3">
        <f>SUBTOTAL(9,CK12:CM12)</f>
        <v>0</v>
      </c>
      <c r="CO12" s="3"/>
      <c r="CP12" s="3"/>
      <c r="CQ12" s="3"/>
      <c r="CR12" s="3">
        <f>SUBTOTAL(9,CO12:CQ12)</f>
        <v>0</v>
      </c>
      <c r="CS12" s="3"/>
      <c r="CT12" s="3"/>
      <c r="CU12" s="3"/>
      <c r="CV12" s="3">
        <f>SUBTOTAL(9,CS12:CU12)</f>
        <v>0</v>
      </c>
      <c r="CW12" s="3"/>
      <c r="CX12" s="3"/>
      <c r="CY12" s="3"/>
      <c r="CZ12" s="3">
        <f>SUBTOTAL(9,CW12:CY12)</f>
        <v>0</v>
      </c>
      <c r="DA12" s="3">
        <f>SUM($K12:$M12)*DA$4/$DA$4</f>
        <v>16.649999999999999</v>
      </c>
      <c r="DB12" s="3">
        <v>0</v>
      </c>
      <c r="DC12" s="3">
        <v>0</v>
      </c>
      <c r="DD12" s="3">
        <f>SUBTOTAL(9,DA12:DC12)</f>
        <v>16.649999999999999</v>
      </c>
      <c r="DE12" s="3"/>
      <c r="DF12" s="3"/>
      <c r="DG12" s="3"/>
      <c r="DH12" s="3">
        <f>SUBTOTAL(9,DE12:DG12)</f>
        <v>0</v>
      </c>
      <c r="DI12" s="3"/>
      <c r="DJ12" s="3"/>
      <c r="DK12" s="3"/>
      <c r="DL12" s="3">
        <f t="shared" si="2"/>
        <v>0</v>
      </c>
      <c r="DM12" s="3"/>
      <c r="DN12" s="3"/>
      <c r="DO12" s="3"/>
      <c r="DP12" s="3">
        <f>SUBTOTAL(9,DM12:DO12)</f>
        <v>0</v>
      </c>
      <c r="DQ12" s="3"/>
      <c r="DR12" s="3"/>
      <c r="DS12" s="3"/>
      <c r="DT12" s="3">
        <f>SUBTOTAL(9,DQ12:DS12)</f>
        <v>0</v>
      </c>
      <c r="DU12" s="3"/>
      <c r="DV12" s="3"/>
      <c r="DW12" s="3"/>
      <c r="DX12" s="3">
        <f>SUBTOTAL(9,DU12:DW12)</f>
        <v>0</v>
      </c>
      <c r="DY12" s="3"/>
      <c r="DZ12" s="3"/>
      <c r="EA12" s="3"/>
      <c r="EB12" s="3">
        <f>SUBTOTAL(9,DY12:EA12)</f>
        <v>0</v>
      </c>
      <c r="EC12" s="4">
        <f t="shared" si="6"/>
        <v>16.649999999999999</v>
      </c>
      <c r="ED12" s="5">
        <f>EC12-SUM(K12:M12)</f>
        <v>0</v>
      </c>
      <c r="EE12" s="6">
        <f t="shared" si="3"/>
        <v>16.649999999999999</v>
      </c>
      <c r="EF12" s="6">
        <f t="shared" si="3"/>
        <v>0</v>
      </c>
      <c r="EG12" s="6">
        <f t="shared" si="3"/>
        <v>0</v>
      </c>
    </row>
    <row r="13" spans="1:137" ht="12" customHeight="1" x14ac:dyDescent="0.35">
      <c r="A13" s="34" t="s">
        <v>115</v>
      </c>
      <c r="B13" s="35">
        <v>28324</v>
      </c>
      <c r="C13" s="35" t="s">
        <v>120</v>
      </c>
      <c r="D13" s="35" t="s">
        <v>93</v>
      </c>
      <c r="E13" s="34">
        <v>418801</v>
      </c>
      <c r="F13" s="35" t="s">
        <v>121</v>
      </c>
      <c r="G13" s="8">
        <v>46087</v>
      </c>
      <c r="H13" s="8">
        <v>46126</v>
      </c>
      <c r="I13" s="36">
        <v>5</v>
      </c>
      <c r="J13" s="36">
        <v>2000</v>
      </c>
      <c r="K13" s="36">
        <v>100</v>
      </c>
      <c r="L13" s="37"/>
      <c r="M13" s="37"/>
      <c r="N13" s="36">
        <v>100</v>
      </c>
      <c r="O13" s="36">
        <v>2100</v>
      </c>
      <c r="P13" s="35" t="s">
        <v>95</v>
      </c>
      <c r="Q13" s="34" t="s">
        <v>36</v>
      </c>
      <c r="R13" s="35" t="s">
        <v>122</v>
      </c>
      <c r="S13" s="35" t="s">
        <v>97</v>
      </c>
      <c r="T13" s="35" t="s">
        <v>98</v>
      </c>
      <c r="U13" s="35" t="s">
        <v>99</v>
      </c>
      <c r="V13" s="34">
        <v>996311</v>
      </c>
      <c r="W13" s="35" t="s">
        <v>123</v>
      </c>
      <c r="X13" s="34" t="s">
        <v>101</v>
      </c>
      <c r="Y13" s="35">
        <v>107</v>
      </c>
      <c r="Z13" s="35" t="s">
        <v>102</v>
      </c>
      <c r="AA13" t="s">
        <v>124</v>
      </c>
      <c r="AB13">
        <v>100</v>
      </c>
      <c r="AC13">
        <v>100</v>
      </c>
      <c r="AD13" s="38">
        <v>0</v>
      </c>
      <c r="AE13" t="s">
        <v>104</v>
      </c>
      <c r="AF13" t="s">
        <v>73</v>
      </c>
      <c r="AG13" s="3"/>
      <c r="AH13" s="3"/>
      <c r="AI13" s="3"/>
      <c r="AJ13" s="3">
        <f t="shared" ref="AJ13:AJ76" si="7">SUBTOTAL(9,AG13:AI13)</f>
        <v>0</v>
      </c>
      <c r="AK13" s="3"/>
      <c r="AL13" s="3"/>
      <c r="AM13" s="3"/>
      <c r="AN13" s="3">
        <f t="shared" ref="AN13:AN76" si="8">SUBTOTAL(9,AK13:AM13)</f>
        <v>0</v>
      </c>
      <c r="AO13" s="3"/>
      <c r="AP13" s="3"/>
      <c r="AQ13" s="3"/>
      <c r="AR13" s="3">
        <f t="shared" ref="AR13:AR76" si="9">SUBTOTAL(9,AO13:AQ13)</f>
        <v>0</v>
      </c>
      <c r="AS13" s="3"/>
      <c r="AT13" s="3"/>
      <c r="AU13" s="3"/>
      <c r="AV13" s="3">
        <f t="shared" ref="AV13:AV76" si="10">SUBTOTAL(9,AS13:AU13)</f>
        <v>0</v>
      </c>
      <c r="AW13" s="3"/>
      <c r="AX13" s="3"/>
      <c r="AY13" s="3"/>
      <c r="AZ13" s="3">
        <f t="shared" ref="AZ13:AZ76" si="11">SUBTOTAL(9,AW13:AY13)</f>
        <v>0</v>
      </c>
      <c r="BA13" s="3"/>
      <c r="BB13" s="3"/>
      <c r="BC13" s="3"/>
      <c r="BD13" s="3">
        <f t="shared" ref="BD13:BD76" si="12">SUBTOTAL(9,BA13:BC13)</f>
        <v>0</v>
      </c>
      <c r="BE13" s="3">
        <f>$K13*BE$4/$BE$4</f>
        <v>100</v>
      </c>
      <c r="BF13" s="3">
        <f>$L13*BE$4/$BE$4</f>
        <v>0</v>
      </c>
      <c r="BG13" s="3">
        <f>$M13*BE$4/$BE$4</f>
        <v>0</v>
      </c>
      <c r="BH13" s="3">
        <f t="shared" si="4"/>
        <v>100</v>
      </c>
      <c r="BI13" s="3"/>
      <c r="BJ13" s="3"/>
      <c r="BK13" s="3"/>
      <c r="BL13" s="3">
        <f t="shared" si="5"/>
        <v>0</v>
      </c>
      <c r="BM13" s="3"/>
      <c r="BN13" s="3"/>
      <c r="BO13" s="3"/>
      <c r="BP13" s="3">
        <f t="shared" ref="BP13:BP76" si="13">SUBTOTAL(9,BM13:BO13)</f>
        <v>0</v>
      </c>
      <c r="BQ13" s="3"/>
      <c r="BR13" s="3"/>
      <c r="BS13" s="3"/>
      <c r="BT13" s="3">
        <f t="shared" ref="BT13:BT76" si="14">SUBTOTAL(9,BQ13:BS13)</f>
        <v>0</v>
      </c>
      <c r="BU13" s="3"/>
      <c r="BV13" s="3"/>
      <c r="BW13" s="3"/>
      <c r="BX13" s="3">
        <f t="shared" ref="BX13:BX76" si="15">SUBTOTAL(9,BU13:BW13)</f>
        <v>0</v>
      </c>
      <c r="BY13" s="3"/>
      <c r="BZ13" s="3"/>
      <c r="CA13" s="3"/>
      <c r="CB13" s="3">
        <f t="shared" ref="CB13:CB76" si="16">SUBTOTAL(9,BY13:CA13)</f>
        <v>0</v>
      </c>
      <c r="CC13" s="3"/>
      <c r="CD13" s="3"/>
      <c r="CE13" s="3"/>
      <c r="CF13" s="3">
        <f t="shared" ref="CF13:CF76" si="17">SUBTOTAL(9,CC13:CE13)</f>
        <v>0</v>
      </c>
      <c r="CG13" s="3"/>
      <c r="CH13" s="3"/>
      <c r="CI13" s="3"/>
      <c r="CJ13" s="3">
        <f t="shared" ref="CJ13:CJ76" si="18">SUBTOTAL(9,CG13:CI13)</f>
        <v>0</v>
      </c>
      <c r="CK13" s="3"/>
      <c r="CL13" s="3"/>
      <c r="CM13" s="3"/>
      <c r="CN13" s="3">
        <f t="shared" ref="CN13:CN76" si="19">SUBTOTAL(9,CK13:CM13)</f>
        <v>0</v>
      </c>
      <c r="CO13" s="3"/>
      <c r="CP13" s="3"/>
      <c r="CQ13" s="3"/>
      <c r="CR13" s="3">
        <f t="shared" ref="CR13:CR76" si="20">SUBTOTAL(9,CO13:CQ13)</f>
        <v>0</v>
      </c>
      <c r="CS13" s="3"/>
      <c r="CT13" s="3"/>
      <c r="CU13" s="3"/>
      <c r="CV13" s="3">
        <f t="shared" ref="CV13:CV76" si="21">SUBTOTAL(9,CS13:CU13)</f>
        <v>0</v>
      </c>
      <c r="CW13" s="3"/>
      <c r="CX13" s="3"/>
      <c r="CY13" s="3"/>
      <c r="CZ13" s="3">
        <f t="shared" ref="CZ13:CZ76" si="22">SUBTOTAL(9,CW13:CY13)</f>
        <v>0</v>
      </c>
      <c r="DA13" s="3"/>
      <c r="DB13" s="3"/>
      <c r="DC13" s="3"/>
      <c r="DD13" s="3">
        <f t="shared" ref="DD13:DD76" si="23">SUBTOTAL(9,DA13:DC13)</f>
        <v>0</v>
      </c>
      <c r="DE13" s="3"/>
      <c r="DF13" s="3"/>
      <c r="DG13" s="3"/>
      <c r="DH13" s="3">
        <f t="shared" ref="DH13:DH76" si="24">SUBTOTAL(9,DE13:DG13)</f>
        <v>0</v>
      </c>
      <c r="DI13" s="3"/>
      <c r="DJ13" s="3"/>
      <c r="DK13" s="3"/>
      <c r="DL13" s="3">
        <f t="shared" si="2"/>
        <v>0</v>
      </c>
      <c r="DM13" s="3"/>
      <c r="DN13" s="3"/>
      <c r="DO13" s="3"/>
      <c r="DP13" s="3">
        <f t="shared" ref="DP13:DP76" si="25">SUBTOTAL(9,DM13:DO13)</f>
        <v>0</v>
      </c>
      <c r="DQ13" s="3"/>
      <c r="DR13" s="3"/>
      <c r="DS13" s="3"/>
      <c r="DT13" s="3">
        <f t="shared" ref="DT13:DT76" si="26">SUBTOTAL(9,DQ13:DS13)</f>
        <v>0</v>
      </c>
      <c r="DU13" s="3"/>
      <c r="DV13" s="3"/>
      <c r="DW13" s="3"/>
      <c r="DX13" s="3">
        <f t="shared" ref="DX13:DX76" si="27">SUBTOTAL(9,DU13:DW13)</f>
        <v>0</v>
      </c>
      <c r="DY13" s="3"/>
      <c r="DZ13" s="3"/>
      <c r="EA13" s="3"/>
      <c r="EB13" s="3">
        <f t="shared" ref="EB13:EB76" si="28">SUBTOTAL(9,DY13:EA13)</f>
        <v>0</v>
      </c>
      <c r="EC13" s="4">
        <f t="shared" si="6"/>
        <v>100</v>
      </c>
      <c r="ED13" s="5">
        <f t="shared" ref="ED13:ED76" si="29">EC13-SUM(K13:M13)</f>
        <v>0</v>
      </c>
      <c r="EE13" s="6">
        <f t="shared" si="3"/>
        <v>100</v>
      </c>
      <c r="EF13" s="6">
        <f t="shared" si="3"/>
        <v>0</v>
      </c>
      <c r="EG13" s="6">
        <f t="shared" si="3"/>
        <v>0</v>
      </c>
    </row>
    <row r="14" spans="1:137" ht="12" customHeight="1" x14ac:dyDescent="0.35">
      <c r="A14" s="34" t="s">
        <v>91</v>
      </c>
      <c r="B14" s="35">
        <v>30450</v>
      </c>
      <c r="C14" s="35" t="s">
        <v>92</v>
      </c>
      <c r="D14" s="35" t="s">
        <v>93</v>
      </c>
      <c r="E14" s="34">
        <v>418801</v>
      </c>
      <c r="F14" s="35" t="s">
        <v>125</v>
      </c>
      <c r="G14" s="8">
        <v>46083</v>
      </c>
      <c r="H14" s="8">
        <v>46126</v>
      </c>
      <c r="I14" s="36">
        <v>5</v>
      </c>
      <c r="J14" s="36">
        <v>5570</v>
      </c>
      <c r="K14" s="37"/>
      <c r="L14" s="36">
        <v>139.25</v>
      </c>
      <c r="M14" s="36">
        <v>139.25</v>
      </c>
      <c r="N14" s="36">
        <v>278.5</v>
      </c>
      <c r="O14" s="36">
        <v>5848.5</v>
      </c>
      <c r="P14" s="35" t="s">
        <v>95</v>
      </c>
      <c r="Q14" s="34" t="s">
        <v>47</v>
      </c>
      <c r="R14" s="35" t="s">
        <v>126</v>
      </c>
      <c r="S14" s="35" t="s">
        <v>97</v>
      </c>
      <c r="T14" s="35" t="s">
        <v>98</v>
      </c>
      <c r="U14" s="35" t="s">
        <v>99</v>
      </c>
      <c r="V14" s="34">
        <v>996311</v>
      </c>
      <c r="W14" s="35" t="s">
        <v>127</v>
      </c>
      <c r="X14" s="34" t="s">
        <v>101</v>
      </c>
      <c r="Y14" s="35">
        <v>107</v>
      </c>
      <c r="Z14" s="35" t="s">
        <v>102</v>
      </c>
      <c r="AA14" t="s">
        <v>128</v>
      </c>
      <c r="AB14">
        <v>278.5</v>
      </c>
      <c r="AC14">
        <v>279</v>
      </c>
      <c r="AD14" s="38">
        <v>-1</v>
      </c>
      <c r="AE14" t="s">
        <v>104</v>
      </c>
      <c r="AF14" t="s">
        <v>73</v>
      </c>
      <c r="AG14" s="3"/>
      <c r="AH14" s="3"/>
      <c r="AI14" s="3"/>
      <c r="AJ14" s="3">
        <f t="shared" si="7"/>
        <v>0</v>
      </c>
      <c r="AK14" s="3"/>
      <c r="AL14" s="3"/>
      <c r="AM14" s="3"/>
      <c r="AN14" s="3">
        <f t="shared" si="8"/>
        <v>0</v>
      </c>
      <c r="AO14" s="3"/>
      <c r="AP14" s="3"/>
      <c r="AQ14" s="3"/>
      <c r="AR14" s="3">
        <f t="shared" si="9"/>
        <v>0</v>
      </c>
      <c r="AS14" s="3"/>
      <c r="AT14" s="3"/>
      <c r="AU14" s="3"/>
      <c r="AV14" s="3">
        <f t="shared" si="10"/>
        <v>0</v>
      </c>
      <c r="AW14" s="3"/>
      <c r="AX14" s="3"/>
      <c r="AY14" s="3"/>
      <c r="AZ14" s="3">
        <f t="shared" si="11"/>
        <v>0</v>
      </c>
      <c r="BA14" s="3"/>
      <c r="BB14" s="3"/>
      <c r="BC14" s="3"/>
      <c r="BD14" s="3">
        <f t="shared" si="12"/>
        <v>0</v>
      </c>
      <c r="BE14" s="3"/>
      <c r="BF14" s="3"/>
      <c r="BG14" s="3"/>
      <c r="BH14" s="3">
        <f t="shared" si="4"/>
        <v>0</v>
      </c>
      <c r="BI14" s="3"/>
      <c r="BJ14" s="3"/>
      <c r="BK14" s="3"/>
      <c r="BL14" s="3">
        <f t="shared" si="5"/>
        <v>0</v>
      </c>
      <c r="BM14" s="3"/>
      <c r="BN14" s="3"/>
      <c r="BO14" s="3"/>
      <c r="BP14" s="3">
        <f t="shared" si="13"/>
        <v>0</v>
      </c>
      <c r="BQ14" s="3"/>
      <c r="BR14" s="3"/>
      <c r="BS14" s="3"/>
      <c r="BT14" s="3">
        <f t="shared" si="14"/>
        <v>0</v>
      </c>
      <c r="BU14" s="3"/>
      <c r="BV14" s="3"/>
      <c r="BW14" s="3"/>
      <c r="BX14" s="3">
        <f t="shared" si="15"/>
        <v>0</v>
      </c>
      <c r="BY14" s="3"/>
      <c r="BZ14" s="3"/>
      <c r="CA14" s="3"/>
      <c r="CB14" s="3">
        <f t="shared" si="16"/>
        <v>0</v>
      </c>
      <c r="CC14" s="3"/>
      <c r="CD14" s="3"/>
      <c r="CE14" s="3"/>
      <c r="CF14" s="3">
        <f t="shared" si="17"/>
        <v>0</v>
      </c>
      <c r="CG14" s="3"/>
      <c r="CH14" s="3"/>
      <c r="CI14" s="3"/>
      <c r="CJ14" s="3">
        <f t="shared" si="18"/>
        <v>0</v>
      </c>
      <c r="CK14" s="3"/>
      <c r="CL14" s="3"/>
      <c r="CM14" s="3"/>
      <c r="CN14" s="3">
        <f t="shared" si="19"/>
        <v>0</v>
      </c>
      <c r="CO14" s="3"/>
      <c r="CP14" s="3"/>
      <c r="CQ14" s="3"/>
      <c r="CR14" s="3">
        <f t="shared" si="20"/>
        <v>0</v>
      </c>
      <c r="CS14" s="3"/>
      <c r="CT14" s="3"/>
      <c r="CU14" s="3"/>
      <c r="CV14" s="3">
        <f t="shared" si="21"/>
        <v>0</v>
      </c>
      <c r="CW14" s="3">
        <f>SUM($K14:$M14)*CW$4/$CW$4</f>
        <v>278.5</v>
      </c>
      <c r="CX14" s="3">
        <v>0</v>
      </c>
      <c r="CY14" s="3">
        <v>0</v>
      </c>
      <c r="CZ14" s="3">
        <f t="shared" si="22"/>
        <v>278.5</v>
      </c>
      <c r="DA14" s="3"/>
      <c r="DB14" s="3"/>
      <c r="DC14" s="3"/>
      <c r="DD14" s="3">
        <f t="shared" si="23"/>
        <v>0</v>
      </c>
      <c r="DE14" s="3"/>
      <c r="DF14" s="3"/>
      <c r="DG14" s="3"/>
      <c r="DH14" s="3">
        <f t="shared" si="24"/>
        <v>0</v>
      </c>
      <c r="DI14" s="3"/>
      <c r="DJ14" s="3"/>
      <c r="DK14" s="3"/>
      <c r="DL14" s="3">
        <f t="shared" si="2"/>
        <v>0</v>
      </c>
      <c r="DM14" s="3"/>
      <c r="DN14" s="3"/>
      <c r="DO14" s="3"/>
      <c r="DP14" s="3">
        <f t="shared" si="25"/>
        <v>0</v>
      </c>
      <c r="DQ14" s="3"/>
      <c r="DR14" s="3"/>
      <c r="DS14" s="3"/>
      <c r="DT14" s="3">
        <f t="shared" si="26"/>
        <v>0</v>
      </c>
      <c r="DU14" s="3"/>
      <c r="DV14" s="3"/>
      <c r="DW14" s="3"/>
      <c r="DX14" s="3">
        <f t="shared" si="27"/>
        <v>0</v>
      </c>
      <c r="DY14" s="3"/>
      <c r="DZ14" s="3"/>
      <c r="EA14" s="3"/>
      <c r="EB14" s="3">
        <f t="shared" si="28"/>
        <v>0</v>
      </c>
      <c r="EC14" s="4">
        <f t="shared" si="6"/>
        <v>278.5</v>
      </c>
      <c r="ED14" s="5">
        <f t="shared" si="29"/>
        <v>0</v>
      </c>
      <c r="EE14" s="6">
        <f t="shared" si="3"/>
        <v>278.5</v>
      </c>
      <c r="EF14" s="6">
        <f t="shared" si="3"/>
        <v>0</v>
      </c>
      <c r="EG14" s="6">
        <f t="shared" si="3"/>
        <v>0</v>
      </c>
    </row>
    <row r="15" spans="1:137" ht="12" customHeight="1" x14ac:dyDescent="0.35">
      <c r="A15" s="34" t="s">
        <v>91</v>
      </c>
      <c r="B15" s="35">
        <v>30450</v>
      </c>
      <c r="C15" s="35" t="s">
        <v>92</v>
      </c>
      <c r="D15" s="35" t="s">
        <v>93</v>
      </c>
      <c r="E15" s="34">
        <v>418801</v>
      </c>
      <c r="F15" s="35" t="s">
        <v>129</v>
      </c>
      <c r="G15" s="8">
        <v>46086</v>
      </c>
      <c r="H15" s="8">
        <v>46126</v>
      </c>
      <c r="I15" s="36">
        <v>5</v>
      </c>
      <c r="J15" s="36">
        <v>3834</v>
      </c>
      <c r="K15" s="37"/>
      <c r="L15" s="36">
        <v>95.85</v>
      </c>
      <c r="M15" s="36">
        <v>95.85</v>
      </c>
      <c r="N15" s="36">
        <v>191.7</v>
      </c>
      <c r="O15" s="36">
        <v>4025.7</v>
      </c>
      <c r="P15" s="35" t="s">
        <v>95</v>
      </c>
      <c r="Q15" s="34" t="s">
        <v>46</v>
      </c>
      <c r="R15" s="35" t="s">
        <v>122</v>
      </c>
      <c r="S15" s="35" t="s">
        <v>97</v>
      </c>
      <c r="T15" s="35" t="s">
        <v>98</v>
      </c>
      <c r="U15" s="35" t="s">
        <v>99</v>
      </c>
      <c r="V15" s="34">
        <v>996311</v>
      </c>
      <c r="W15" s="35" t="s">
        <v>130</v>
      </c>
      <c r="X15" s="34" t="s">
        <v>101</v>
      </c>
      <c r="Y15" s="35">
        <v>107</v>
      </c>
      <c r="Z15" s="35" t="s">
        <v>102</v>
      </c>
      <c r="AA15" t="s">
        <v>131</v>
      </c>
      <c r="AB15">
        <v>191.7</v>
      </c>
      <c r="AC15">
        <v>192</v>
      </c>
      <c r="AD15" s="38">
        <v>0</v>
      </c>
      <c r="AE15" t="s">
        <v>104</v>
      </c>
      <c r="AF15" t="s">
        <v>73</v>
      </c>
      <c r="AG15" s="3"/>
      <c r="AH15" s="3"/>
      <c r="AI15" s="3"/>
      <c r="AJ15" s="3">
        <f t="shared" si="7"/>
        <v>0</v>
      </c>
      <c r="AK15" s="3"/>
      <c r="AL15" s="3"/>
      <c r="AM15" s="3"/>
      <c r="AN15" s="3">
        <f t="shared" si="8"/>
        <v>0</v>
      </c>
      <c r="AO15" s="3"/>
      <c r="AP15" s="3"/>
      <c r="AQ15" s="3"/>
      <c r="AR15" s="3">
        <f t="shared" si="9"/>
        <v>0</v>
      </c>
      <c r="AS15" s="3"/>
      <c r="AT15" s="3"/>
      <c r="AU15" s="3"/>
      <c r="AV15" s="3">
        <f t="shared" si="10"/>
        <v>0</v>
      </c>
      <c r="AW15" s="3"/>
      <c r="AX15" s="3"/>
      <c r="AY15" s="3"/>
      <c r="AZ15" s="3">
        <f t="shared" si="11"/>
        <v>0</v>
      </c>
      <c r="BA15" s="3"/>
      <c r="BB15" s="3"/>
      <c r="BC15" s="3"/>
      <c r="BD15" s="3">
        <f t="shared" si="12"/>
        <v>0</v>
      </c>
      <c r="BE15" s="3"/>
      <c r="BF15" s="3"/>
      <c r="BG15" s="3"/>
      <c r="BH15" s="3">
        <f t="shared" si="4"/>
        <v>0</v>
      </c>
      <c r="BI15" s="3"/>
      <c r="BJ15" s="3"/>
      <c r="BK15" s="3"/>
      <c r="BL15" s="3">
        <f t="shared" si="5"/>
        <v>0</v>
      </c>
      <c r="BM15" s="3"/>
      <c r="BN15" s="3"/>
      <c r="BO15" s="3"/>
      <c r="BP15" s="3">
        <f t="shared" si="13"/>
        <v>0</v>
      </c>
      <c r="BQ15" s="3"/>
      <c r="BR15" s="3"/>
      <c r="BS15" s="3"/>
      <c r="BT15" s="3">
        <f t="shared" si="14"/>
        <v>0</v>
      </c>
      <c r="BU15" s="3"/>
      <c r="BV15" s="3"/>
      <c r="BW15" s="3"/>
      <c r="BX15" s="3">
        <f t="shared" si="15"/>
        <v>0</v>
      </c>
      <c r="BY15" s="3"/>
      <c r="BZ15" s="3"/>
      <c r="CA15" s="3"/>
      <c r="CB15" s="3">
        <f t="shared" si="16"/>
        <v>0</v>
      </c>
      <c r="CC15" s="3"/>
      <c r="CD15" s="3"/>
      <c r="CE15" s="3"/>
      <c r="CF15" s="3">
        <f t="shared" si="17"/>
        <v>0</v>
      </c>
      <c r="CG15" s="3"/>
      <c r="CH15" s="3"/>
      <c r="CI15" s="3"/>
      <c r="CJ15" s="3">
        <f t="shared" si="18"/>
        <v>0</v>
      </c>
      <c r="CK15" s="3"/>
      <c r="CL15" s="3"/>
      <c r="CM15" s="3"/>
      <c r="CN15" s="3">
        <f t="shared" si="19"/>
        <v>0</v>
      </c>
      <c r="CO15" s="3"/>
      <c r="CP15" s="3"/>
      <c r="CQ15" s="3"/>
      <c r="CR15" s="3">
        <f t="shared" si="20"/>
        <v>0</v>
      </c>
      <c r="CS15" s="3">
        <f>SUM($K15:$M15)*CS$4/$CS$4</f>
        <v>191.7</v>
      </c>
      <c r="CT15" s="3">
        <v>0</v>
      </c>
      <c r="CU15" s="3">
        <v>0</v>
      </c>
      <c r="CV15" s="3">
        <f t="shared" si="21"/>
        <v>191.7</v>
      </c>
      <c r="CW15" s="3"/>
      <c r="CX15" s="3"/>
      <c r="CY15" s="3"/>
      <c r="CZ15" s="3">
        <f t="shared" si="22"/>
        <v>0</v>
      </c>
      <c r="DA15" s="3"/>
      <c r="DB15" s="3"/>
      <c r="DC15" s="3"/>
      <c r="DD15" s="3">
        <f t="shared" si="23"/>
        <v>0</v>
      </c>
      <c r="DE15" s="3"/>
      <c r="DF15" s="3"/>
      <c r="DG15" s="3"/>
      <c r="DH15" s="3">
        <f t="shared" si="24"/>
        <v>0</v>
      </c>
      <c r="DI15" s="3"/>
      <c r="DJ15" s="3"/>
      <c r="DK15" s="3"/>
      <c r="DL15" s="3">
        <f t="shared" si="2"/>
        <v>0</v>
      </c>
      <c r="DM15" s="3"/>
      <c r="DN15" s="3"/>
      <c r="DO15" s="3"/>
      <c r="DP15" s="3">
        <f t="shared" si="25"/>
        <v>0</v>
      </c>
      <c r="DQ15" s="3"/>
      <c r="DR15" s="3"/>
      <c r="DS15" s="3"/>
      <c r="DT15" s="3">
        <f t="shared" si="26"/>
        <v>0</v>
      </c>
      <c r="DU15" s="3"/>
      <c r="DV15" s="3"/>
      <c r="DW15" s="3"/>
      <c r="DX15" s="3">
        <f t="shared" si="27"/>
        <v>0</v>
      </c>
      <c r="DY15" s="3"/>
      <c r="DZ15" s="3"/>
      <c r="EA15" s="3"/>
      <c r="EB15" s="3">
        <f t="shared" si="28"/>
        <v>0</v>
      </c>
      <c r="EC15" s="4">
        <f t="shared" si="6"/>
        <v>191.7</v>
      </c>
      <c r="ED15" s="5">
        <f t="shared" si="29"/>
        <v>0</v>
      </c>
      <c r="EE15" s="6">
        <f t="shared" si="3"/>
        <v>191.7</v>
      </c>
      <c r="EF15" s="6">
        <f t="shared" si="3"/>
        <v>0</v>
      </c>
      <c r="EG15" s="6">
        <f t="shared" si="3"/>
        <v>0</v>
      </c>
    </row>
    <row r="16" spans="1:137" ht="12" customHeight="1" x14ac:dyDescent="0.35">
      <c r="A16" s="34" t="s">
        <v>91</v>
      </c>
      <c r="B16" s="35">
        <v>30450</v>
      </c>
      <c r="C16" s="35" t="s">
        <v>109</v>
      </c>
      <c r="D16" s="35" t="s">
        <v>93</v>
      </c>
      <c r="E16" s="34">
        <v>418801</v>
      </c>
      <c r="F16" s="35" t="s">
        <v>132</v>
      </c>
      <c r="G16" s="8">
        <v>46084</v>
      </c>
      <c r="H16" s="8">
        <v>46126</v>
      </c>
      <c r="I16" s="36">
        <v>5</v>
      </c>
      <c r="J16" s="36">
        <v>4846</v>
      </c>
      <c r="K16" s="36">
        <v>242.3</v>
      </c>
      <c r="L16" s="37"/>
      <c r="M16" s="37"/>
      <c r="N16" s="36">
        <v>242.3</v>
      </c>
      <c r="O16" s="36">
        <v>5088.3</v>
      </c>
      <c r="P16" s="35" t="s">
        <v>95</v>
      </c>
      <c r="Q16" s="34" t="s">
        <v>36</v>
      </c>
      <c r="R16" s="35" t="s">
        <v>126</v>
      </c>
      <c r="S16" s="35" t="s">
        <v>97</v>
      </c>
      <c r="T16" s="35" t="s">
        <v>98</v>
      </c>
      <c r="U16" s="35" t="s">
        <v>99</v>
      </c>
      <c r="V16" s="34">
        <v>996311</v>
      </c>
      <c r="W16" s="35" t="s">
        <v>133</v>
      </c>
      <c r="X16" s="34" t="s">
        <v>101</v>
      </c>
      <c r="Y16" s="35">
        <v>107</v>
      </c>
      <c r="Z16" s="35" t="s">
        <v>102</v>
      </c>
      <c r="AA16" t="s">
        <v>134</v>
      </c>
      <c r="AB16">
        <v>242.3</v>
      </c>
      <c r="AC16">
        <v>242</v>
      </c>
      <c r="AD16" s="38">
        <v>0</v>
      </c>
      <c r="AE16" t="s">
        <v>104</v>
      </c>
      <c r="AF16" t="s">
        <v>73</v>
      </c>
      <c r="AG16" s="3"/>
      <c r="AH16" s="3"/>
      <c r="AI16" s="3"/>
      <c r="AJ16" s="3">
        <f t="shared" si="7"/>
        <v>0</v>
      </c>
      <c r="AK16" s="3"/>
      <c r="AL16" s="3"/>
      <c r="AM16" s="3"/>
      <c r="AN16" s="3">
        <f t="shared" si="8"/>
        <v>0</v>
      </c>
      <c r="AO16" s="3"/>
      <c r="AP16" s="3"/>
      <c r="AQ16" s="3"/>
      <c r="AR16" s="3">
        <f t="shared" si="9"/>
        <v>0</v>
      </c>
      <c r="AS16" s="3"/>
      <c r="AT16" s="3"/>
      <c r="AU16" s="3"/>
      <c r="AV16" s="3">
        <f t="shared" si="10"/>
        <v>0</v>
      </c>
      <c r="AW16" s="3"/>
      <c r="AX16" s="3"/>
      <c r="AY16" s="3"/>
      <c r="AZ16" s="3">
        <f t="shared" si="11"/>
        <v>0</v>
      </c>
      <c r="BA16" s="3"/>
      <c r="BB16" s="3"/>
      <c r="BC16" s="3"/>
      <c r="BD16" s="3">
        <f t="shared" si="12"/>
        <v>0</v>
      </c>
      <c r="BE16" s="3">
        <f>$K16*BE$4/$BE$4</f>
        <v>242.3</v>
      </c>
      <c r="BF16" s="3">
        <f>$L16*BE$4/$BE$4</f>
        <v>0</v>
      </c>
      <c r="BG16" s="3">
        <f>$M16*BE$4/$BE$4</f>
        <v>0</v>
      </c>
      <c r="BH16" s="3">
        <f t="shared" si="4"/>
        <v>242.3</v>
      </c>
      <c r="BI16" s="3"/>
      <c r="BJ16" s="3"/>
      <c r="BK16" s="3"/>
      <c r="BL16" s="3">
        <f t="shared" si="5"/>
        <v>0</v>
      </c>
      <c r="BM16" s="3"/>
      <c r="BN16" s="3"/>
      <c r="BO16" s="3"/>
      <c r="BP16" s="3">
        <f t="shared" si="13"/>
        <v>0</v>
      </c>
      <c r="BQ16" s="3"/>
      <c r="BR16" s="3"/>
      <c r="BS16" s="3"/>
      <c r="BT16" s="3">
        <f t="shared" si="14"/>
        <v>0</v>
      </c>
      <c r="BU16" s="3"/>
      <c r="BV16" s="3"/>
      <c r="BW16" s="3"/>
      <c r="BX16" s="3">
        <f t="shared" si="15"/>
        <v>0</v>
      </c>
      <c r="BY16" s="3"/>
      <c r="BZ16" s="3"/>
      <c r="CA16" s="3"/>
      <c r="CB16" s="3">
        <f t="shared" si="16"/>
        <v>0</v>
      </c>
      <c r="CC16" s="3"/>
      <c r="CD16" s="3"/>
      <c r="CE16" s="3"/>
      <c r="CF16" s="3">
        <f t="shared" si="17"/>
        <v>0</v>
      </c>
      <c r="CG16" s="3"/>
      <c r="CH16" s="3"/>
      <c r="CI16" s="3"/>
      <c r="CJ16" s="3">
        <f t="shared" si="18"/>
        <v>0</v>
      </c>
      <c r="CK16" s="3"/>
      <c r="CL16" s="3"/>
      <c r="CM16" s="3"/>
      <c r="CN16" s="3">
        <f t="shared" si="19"/>
        <v>0</v>
      </c>
      <c r="CO16" s="3"/>
      <c r="CP16" s="3"/>
      <c r="CQ16" s="3"/>
      <c r="CR16" s="3">
        <f t="shared" si="20"/>
        <v>0</v>
      </c>
      <c r="CS16" s="3"/>
      <c r="CT16" s="3"/>
      <c r="CU16" s="3"/>
      <c r="CV16" s="3">
        <f t="shared" si="21"/>
        <v>0</v>
      </c>
      <c r="CW16" s="3"/>
      <c r="CX16" s="3"/>
      <c r="CY16" s="3"/>
      <c r="CZ16" s="3">
        <f t="shared" si="22"/>
        <v>0</v>
      </c>
      <c r="DA16" s="3"/>
      <c r="DB16" s="3"/>
      <c r="DC16" s="3"/>
      <c r="DD16" s="3">
        <f t="shared" si="23"/>
        <v>0</v>
      </c>
      <c r="DE16" s="3"/>
      <c r="DF16" s="3"/>
      <c r="DG16" s="3"/>
      <c r="DH16" s="3">
        <f t="shared" si="24"/>
        <v>0</v>
      </c>
      <c r="DI16" s="3"/>
      <c r="DJ16" s="3"/>
      <c r="DK16" s="3"/>
      <c r="DL16" s="3">
        <f t="shared" si="2"/>
        <v>0</v>
      </c>
      <c r="DM16" s="3"/>
      <c r="DN16" s="3"/>
      <c r="DO16" s="3"/>
      <c r="DP16" s="3">
        <f t="shared" si="25"/>
        <v>0</v>
      </c>
      <c r="DQ16" s="3"/>
      <c r="DR16" s="3"/>
      <c r="DS16" s="3"/>
      <c r="DT16" s="3">
        <f t="shared" si="26"/>
        <v>0</v>
      </c>
      <c r="DU16" s="3"/>
      <c r="DV16" s="3"/>
      <c r="DW16" s="3"/>
      <c r="DX16" s="3">
        <f t="shared" si="27"/>
        <v>0</v>
      </c>
      <c r="DY16" s="3"/>
      <c r="DZ16" s="3"/>
      <c r="EA16" s="3"/>
      <c r="EB16" s="3">
        <f t="shared" si="28"/>
        <v>0</v>
      </c>
      <c r="EC16" s="4">
        <f t="shared" si="6"/>
        <v>242.3</v>
      </c>
      <c r="ED16" s="5">
        <f t="shared" si="29"/>
        <v>0</v>
      </c>
      <c r="EE16" s="6">
        <f t="shared" si="3"/>
        <v>242.3</v>
      </c>
      <c r="EF16" s="6">
        <f t="shared" si="3"/>
        <v>0</v>
      </c>
      <c r="EG16" s="6">
        <f t="shared" si="3"/>
        <v>0</v>
      </c>
    </row>
    <row r="17" spans="1:137" ht="12" customHeight="1" x14ac:dyDescent="0.35">
      <c r="A17" s="34" t="s">
        <v>91</v>
      </c>
      <c r="B17" s="35">
        <v>30450</v>
      </c>
      <c r="C17" s="35" t="s">
        <v>92</v>
      </c>
      <c r="D17" s="35" t="s">
        <v>93</v>
      </c>
      <c r="E17" s="34">
        <v>418801</v>
      </c>
      <c r="F17" s="35" t="s">
        <v>135</v>
      </c>
      <c r="G17" s="8">
        <v>46084</v>
      </c>
      <c r="H17" s="8">
        <v>46126</v>
      </c>
      <c r="I17" s="36">
        <v>5</v>
      </c>
      <c r="J17" s="36">
        <v>5887</v>
      </c>
      <c r="K17" s="37"/>
      <c r="L17" s="36">
        <v>147.17500000000001</v>
      </c>
      <c r="M17" s="36">
        <v>147.17500000000001</v>
      </c>
      <c r="N17" s="36">
        <v>294.35000000000002</v>
      </c>
      <c r="O17" s="36">
        <v>6181.36</v>
      </c>
      <c r="P17" s="35" t="s">
        <v>95</v>
      </c>
      <c r="Q17" s="34" t="s">
        <v>47</v>
      </c>
      <c r="R17" s="35" t="s">
        <v>122</v>
      </c>
      <c r="S17" s="35" t="s">
        <v>97</v>
      </c>
      <c r="T17" s="35" t="s">
        <v>98</v>
      </c>
      <c r="U17" s="35" t="s">
        <v>99</v>
      </c>
      <c r="V17" s="34">
        <v>996311</v>
      </c>
      <c r="W17" s="35" t="s">
        <v>136</v>
      </c>
      <c r="X17" s="34" t="s">
        <v>101</v>
      </c>
      <c r="Y17" s="35">
        <v>107</v>
      </c>
      <c r="Z17" s="35" t="s">
        <v>102</v>
      </c>
      <c r="AA17" t="s">
        <v>137</v>
      </c>
      <c r="AB17">
        <v>294.35000000000002</v>
      </c>
      <c r="AC17">
        <v>294</v>
      </c>
      <c r="AD17" s="38">
        <v>0</v>
      </c>
      <c r="AE17" t="s">
        <v>104</v>
      </c>
      <c r="AF17" t="s">
        <v>73</v>
      </c>
      <c r="AG17" s="3"/>
      <c r="AH17" s="3"/>
      <c r="AI17" s="3"/>
      <c r="AJ17" s="3">
        <f t="shared" si="7"/>
        <v>0</v>
      </c>
      <c r="AK17" s="3"/>
      <c r="AL17" s="3"/>
      <c r="AM17" s="3"/>
      <c r="AN17" s="3">
        <f t="shared" si="8"/>
        <v>0</v>
      </c>
      <c r="AO17" s="3"/>
      <c r="AP17" s="3"/>
      <c r="AQ17" s="3"/>
      <c r="AR17" s="3">
        <f t="shared" si="9"/>
        <v>0</v>
      </c>
      <c r="AS17" s="3"/>
      <c r="AT17" s="3"/>
      <c r="AU17" s="3"/>
      <c r="AV17" s="3">
        <f t="shared" si="10"/>
        <v>0</v>
      </c>
      <c r="AW17" s="3"/>
      <c r="AX17" s="3"/>
      <c r="AY17" s="3"/>
      <c r="AZ17" s="3">
        <f t="shared" si="11"/>
        <v>0</v>
      </c>
      <c r="BA17" s="3"/>
      <c r="BB17" s="3"/>
      <c r="BC17" s="3"/>
      <c r="BD17" s="3">
        <f t="shared" si="12"/>
        <v>0</v>
      </c>
      <c r="BE17" s="3"/>
      <c r="BF17" s="3"/>
      <c r="BG17" s="3"/>
      <c r="BH17" s="3">
        <f t="shared" si="4"/>
        <v>0</v>
      </c>
      <c r="BI17" s="3"/>
      <c r="BJ17" s="3"/>
      <c r="BK17" s="3"/>
      <c r="BL17" s="3">
        <f t="shared" si="5"/>
        <v>0</v>
      </c>
      <c r="BM17" s="3"/>
      <c r="BN17" s="3"/>
      <c r="BO17" s="3"/>
      <c r="BP17" s="3">
        <f t="shared" si="13"/>
        <v>0</v>
      </c>
      <c r="BQ17" s="3"/>
      <c r="BR17" s="3"/>
      <c r="BS17" s="3"/>
      <c r="BT17" s="3">
        <f t="shared" si="14"/>
        <v>0</v>
      </c>
      <c r="BU17" s="3"/>
      <c r="BV17" s="3"/>
      <c r="BW17" s="3"/>
      <c r="BX17" s="3">
        <f t="shared" si="15"/>
        <v>0</v>
      </c>
      <c r="BY17" s="3"/>
      <c r="BZ17" s="3"/>
      <c r="CA17" s="3"/>
      <c r="CB17" s="3">
        <f t="shared" si="16"/>
        <v>0</v>
      </c>
      <c r="CC17" s="3"/>
      <c r="CD17" s="3"/>
      <c r="CE17" s="3"/>
      <c r="CF17" s="3">
        <f t="shared" si="17"/>
        <v>0</v>
      </c>
      <c r="CG17" s="3"/>
      <c r="CH17" s="3"/>
      <c r="CI17" s="3"/>
      <c r="CJ17" s="3">
        <f t="shared" si="18"/>
        <v>0</v>
      </c>
      <c r="CK17" s="3"/>
      <c r="CL17" s="3"/>
      <c r="CM17" s="3"/>
      <c r="CN17" s="3">
        <f t="shared" si="19"/>
        <v>0</v>
      </c>
      <c r="CO17" s="3"/>
      <c r="CP17" s="3"/>
      <c r="CQ17" s="3"/>
      <c r="CR17" s="3">
        <f t="shared" si="20"/>
        <v>0</v>
      </c>
      <c r="CS17" s="3"/>
      <c r="CT17" s="3"/>
      <c r="CU17" s="3"/>
      <c r="CV17" s="3">
        <f t="shared" si="21"/>
        <v>0</v>
      </c>
      <c r="CW17" s="3">
        <f>SUM($K17:$M17)*CW$4/$CW$4</f>
        <v>294.35000000000002</v>
      </c>
      <c r="CX17" s="3">
        <v>0</v>
      </c>
      <c r="CY17" s="3">
        <v>0</v>
      </c>
      <c r="CZ17" s="3">
        <f t="shared" si="22"/>
        <v>294.35000000000002</v>
      </c>
      <c r="DA17" s="3"/>
      <c r="DB17" s="3"/>
      <c r="DC17" s="3"/>
      <c r="DD17" s="3">
        <f t="shared" si="23"/>
        <v>0</v>
      </c>
      <c r="DE17" s="3"/>
      <c r="DF17" s="3"/>
      <c r="DG17" s="3"/>
      <c r="DH17" s="3">
        <f t="shared" si="24"/>
        <v>0</v>
      </c>
      <c r="DI17" s="3"/>
      <c r="DJ17" s="3"/>
      <c r="DK17" s="3"/>
      <c r="DL17" s="3">
        <f t="shared" si="2"/>
        <v>0</v>
      </c>
      <c r="DM17" s="3"/>
      <c r="DN17" s="3"/>
      <c r="DO17" s="3"/>
      <c r="DP17" s="3">
        <f t="shared" si="25"/>
        <v>0</v>
      </c>
      <c r="DQ17" s="3"/>
      <c r="DR17" s="3"/>
      <c r="DS17" s="3"/>
      <c r="DT17" s="3">
        <f t="shared" si="26"/>
        <v>0</v>
      </c>
      <c r="DU17" s="3"/>
      <c r="DV17" s="3"/>
      <c r="DW17" s="3"/>
      <c r="DX17" s="3">
        <f t="shared" si="27"/>
        <v>0</v>
      </c>
      <c r="DY17" s="3"/>
      <c r="DZ17" s="3"/>
      <c r="EA17" s="3"/>
      <c r="EB17" s="3">
        <f t="shared" si="28"/>
        <v>0</v>
      </c>
      <c r="EC17" s="4">
        <f t="shared" si="6"/>
        <v>294.35000000000002</v>
      </c>
      <c r="ED17" s="5">
        <f t="shared" si="29"/>
        <v>0</v>
      </c>
      <c r="EE17" s="6">
        <f t="shared" si="3"/>
        <v>294.35000000000002</v>
      </c>
      <c r="EF17" s="6">
        <f t="shared" si="3"/>
        <v>0</v>
      </c>
      <c r="EG17" s="6">
        <f t="shared" si="3"/>
        <v>0</v>
      </c>
    </row>
    <row r="18" spans="1:137" ht="12" customHeight="1" x14ac:dyDescent="0.35">
      <c r="A18" s="34" t="s">
        <v>91</v>
      </c>
      <c r="B18" s="35">
        <v>30450</v>
      </c>
      <c r="C18" s="35" t="s">
        <v>92</v>
      </c>
      <c r="D18" s="35" t="s">
        <v>93</v>
      </c>
      <c r="E18" s="34">
        <v>418801</v>
      </c>
      <c r="F18" s="35" t="s">
        <v>138</v>
      </c>
      <c r="G18" s="8">
        <v>46067</v>
      </c>
      <c r="H18" s="8">
        <v>46126</v>
      </c>
      <c r="I18" s="36">
        <v>5</v>
      </c>
      <c r="J18" s="36">
        <v>5453</v>
      </c>
      <c r="K18" s="37"/>
      <c r="L18" s="36">
        <v>136.32499999999999</v>
      </c>
      <c r="M18" s="36">
        <v>136.32499999999999</v>
      </c>
      <c r="N18" s="36">
        <v>272.64999999999998</v>
      </c>
      <c r="O18" s="36">
        <v>5725.66</v>
      </c>
      <c r="P18" s="35" t="s">
        <v>95</v>
      </c>
      <c r="Q18" s="34" t="s">
        <v>47</v>
      </c>
      <c r="R18" s="35" t="s">
        <v>139</v>
      </c>
      <c r="S18" s="35" t="s">
        <v>97</v>
      </c>
      <c r="T18" s="35" t="s">
        <v>98</v>
      </c>
      <c r="U18" s="35" t="s">
        <v>99</v>
      </c>
      <c r="V18" s="34">
        <v>996311</v>
      </c>
      <c r="W18" s="35" t="s">
        <v>140</v>
      </c>
      <c r="X18" s="34" t="s">
        <v>101</v>
      </c>
      <c r="Y18" s="35">
        <v>107</v>
      </c>
      <c r="Z18" s="35" t="s">
        <v>102</v>
      </c>
      <c r="AA18" t="s">
        <v>141</v>
      </c>
      <c r="AB18">
        <v>272.64999999999998</v>
      </c>
      <c r="AC18">
        <v>273</v>
      </c>
      <c r="AD18" s="38">
        <v>0</v>
      </c>
      <c r="AE18" t="s">
        <v>104</v>
      </c>
      <c r="AF18" t="s">
        <v>73</v>
      </c>
      <c r="AG18" s="3"/>
      <c r="AH18" s="3"/>
      <c r="AI18" s="3"/>
      <c r="AJ18" s="3">
        <f t="shared" si="7"/>
        <v>0</v>
      </c>
      <c r="AK18" s="3"/>
      <c r="AL18" s="3"/>
      <c r="AM18" s="3"/>
      <c r="AN18" s="3">
        <f t="shared" si="8"/>
        <v>0</v>
      </c>
      <c r="AO18" s="3"/>
      <c r="AP18" s="3"/>
      <c r="AQ18" s="3"/>
      <c r="AR18" s="3">
        <f t="shared" si="9"/>
        <v>0</v>
      </c>
      <c r="AS18" s="3"/>
      <c r="AT18" s="3"/>
      <c r="AU18" s="3"/>
      <c r="AV18" s="3">
        <f t="shared" si="10"/>
        <v>0</v>
      </c>
      <c r="AW18" s="3"/>
      <c r="AX18" s="3"/>
      <c r="AY18" s="3"/>
      <c r="AZ18" s="3">
        <f t="shared" si="11"/>
        <v>0</v>
      </c>
      <c r="BA18" s="3"/>
      <c r="BB18" s="3"/>
      <c r="BC18" s="3"/>
      <c r="BD18" s="3">
        <f t="shared" si="12"/>
        <v>0</v>
      </c>
      <c r="BE18" s="3"/>
      <c r="BF18" s="3"/>
      <c r="BG18" s="3"/>
      <c r="BH18" s="3">
        <f t="shared" si="4"/>
        <v>0</v>
      </c>
      <c r="BI18" s="3"/>
      <c r="BJ18" s="3"/>
      <c r="BK18" s="3"/>
      <c r="BL18" s="3">
        <f t="shared" si="5"/>
        <v>0</v>
      </c>
      <c r="BM18" s="3"/>
      <c r="BN18" s="3"/>
      <c r="BO18" s="3"/>
      <c r="BP18" s="3">
        <f t="shared" si="13"/>
        <v>0</v>
      </c>
      <c r="BQ18" s="3"/>
      <c r="BR18" s="3"/>
      <c r="BS18" s="3"/>
      <c r="BT18" s="3">
        <f t="shared" si="14"/>
        <v>0</v>
      </c>
      <c r="BU18" s="3"/>
      <c r="BV18" s="3"/>
      <c r="BW18" s="3"/>
      <c r="BX18" s="3">
        <f t="shared" si="15"/>
        <v>0</v>
      </c>
      <c r="BY18" s="3"/>
      <c r="BZ18" s="3"/>
      <c r="CA18" s="3"/>
      <c r="CB18" s="3">
        <f t="shared" si="16"/>
        <v>0</v>
      </c>
      <c r="CC18" s="3"/>
      <c r="CD18" s="3"/>
      <c r="CE18" s="3"/>
      <c r="CF18" s="3">
        <f t="shared" si="17"/>
        <v>0</v>
      </c>
      <c r="CG18" s="3"/>
      <c r="CH18" s="3"/>
      <c r="CI18" s="3"/>
      <c r="CJ18" s="3">
        <f t="shared" si="18"/>
        <v>0</v>
      </c>
      <c r="CK18" s="3"/>
      <c r="CL18" s="3"/>
      <c r="CM18" s="3"/>
      <c r="CN18" s="3">
        <f t="shared" si="19"/>
        <v>0</v>
      </c>
      <c r="CO18" s="3"/>
      <c r="CP18" s="3"/>
      <c r="CQ18" s="3"/>
      <c r="CR18" s="3">
        <f>SUBTOTAL(9,CO18:CQ18)</f>
        <v>0</v>
      </c>
      <c r="CS18" s="3"/>
      <c r="CT18" s="3"/>
      <c r="CU18" s="3"/>
      <c r="CV18" s="3">
        <f t="shared" si="21"/>
        <v>0</v>
      </c>
      <c r="CW18" s="3">
        <f>SUM($K18:$M18)*CW$4/$CW$4</f>
        <v>272.64999999999998</v>
      </c>
      <c r="CX18" s="3">
        <v>0</v>
      </c>
      <c r="CY18" s="3">
        <v>0</v>
      </c>
      <c r="CZ18" s="3">
        <f t="shared" si="22"/>
        <v>272.64999999999998</v>
      </c>
      <c r="DA18" s="3"/>
      <c r="DB18" s="3"/>
      <c r="DC18" s="3"/>
      <c r="DD18" s="3">
        <f t="shared" si="23"/>
        <v>0</v>
      </c>
      <c r="DE18" s="3"/>
      <c r="DF18" s="3"/>
      <c r="DG18" s="3"/>
      <c r="DH18" s="3">
        <f t="shared" si="24"/>
        <v>0</v>
      </c>
      <c r="DI18" s="3"/>
      <c r="DJ18" s="3"/>
      <c r="DK18" s="3"/>
      <c r="DL18" s="3">
        <f t="shared" si="2"/>
        <v>0</v>
      </c>
      <c r="DM18" s="3"/>
      <c r="DN18" s="3"/>
      <c r="DO18" s="3"/>
      <c r="DP18" s="3">
        <f t="shared" si="25"/>
        <v>0</v>
      </c>
      <c r="DQ18" s="3"/>
      <c r="DR18" s="3"/>
      <c r="DS18" s="3"/>
      <c r="DT18" s="3">
        <f t="shared" si="26"/>
        <v>0</v>
      </c>
      <c r="DU18" s="3"/>
      <c r="DV18" s="3"/>
      <c r="DW18" s="3"/>
      <c r="DX18" s="3">
        <f t="shared" si="27"/>
        <v>0</v>
      </c>
      <c r="DY18" s="3"/>
      <c r="DZ18" s="3"/>
      <c r="EA18" s="3"/>
      <c r="EB18" s="3">
        <f t="shared" si="28"/>
        <v>0</v>
      </c>
      <c r="EC18" s="4">
        <f t="shared" si="6"/>
        <v>272.64999999999998</v>
      </c>
      <c r="ED18" s="5">
        <f t="shared" si="29"/>
        <v>0</v>
      </c>
      <c r="EE18" s="6">
        <f t="shared" si="3"/>
        <v>272.64999999999998</v>
      </c>
      <c r="EF18" s="6">
        <f t="shared" si="3"/>
        <v>0</v>
      </c>
      <c r="EG18" s="6">
        <f t="shared" si="3"/>
        <v>0</v>
      </c>
    </row>
    <row r="19" spans="1:137" ht="12" customHeight="1" x14ac:dyDescent="0.35">
      <c r="A19" s="34" t="s">
        <v>115</v>
      </c>
      <c r="B19" s="35">
        <v>28324</v>
      </c>
      <c r="C19" s="35" t="s">
        <v>116</v>
      </c>
      <c r="D19" s="35" t="s">
        <v>93</v>
      </c>
      <c r="E19" s="34">
        <v>418801</v>
      </c>
      <c r="F19" s="35" t="s">
        <v>142</v>
      </c>
      <c r="G19" s="8">
        <v>46078</v>
      </c>
      <c r="H19" s="8">
        <v>46126</v>
      </c>
      <c r="I19" s="36">
        <v>5</v>
      </c>
      <c r="J19" s="36">
        <v>6507</v>
      </c>
      <c r="K19" s="37"/>
      <c r="L19" s="36">
        <v>162.67500000000001</v>
      </c>
      <c r="M19" s="36">
        <v>162.67500000000001</v>
      </c>
      <c r="N19" s="36">
        <v>325.35000000000002</v>
      </c>
      <c r="O19" s="36">
        <v>6832.36</v>
      </c>
      <c r="P19" s="35" t="s">
        <v>95</v>
      </c>
      <c r="Q19" s="34" t="s">
        <v>48</v>
      </c>
      <c r="R19" s="35" t="s">
        <v>96</v>
      </c>
      <c r="S19" s="35" t="s">
        <v>97</v>
      </c>
      <c r="T19" s="35" t="s">
        <v>98</v>
      </c>
      <c r="U19" s="35" t="s">
        <v>99</v>
      </c>
      <c r="V19" s="34">
        <v>996311</v>
      </c>
      <c r="W19" s="35" t="s">
        <v>118</v>
      </c>
      <c r="X19" s="34" t="s">
        <v>101</v>
      </c>
      <c r="Y19" s="35">
        <v>107</v>
      </c>
      <c r="Z19" s="35" t="s">
        <v>102</v>
      </c>
      <c r="AA19" t="s">
        <v>143</v>
      </c>
      <c r="AB19">
        <v>325.35000000000002</v>
      </c>
      <c r="AC19">
        <v>326</v>
      </c>
      <c r="AD19" s="38">
        <v>-1</v>
      </c>
      <c r="AE19" t="s">
        <v>104</v>
      </c>
      <c r="AF19" t="s">
        <v>73</v>
      </c>
      <c r="AG19" s="3"/>
      <c r="AH19" s="3"/>
      <c r="AI19" s="3"/>
      <c r="AJ19" s="3">
        <f t="shared" si="7"/>
        <v>0</v>
      </c>
      <c r="AK19" s="3"/>
      <c r="AL19" s="3"/>
      <c r="AM19" s="3"/>
      <c r="AN19" s="3">
        <f t="shared" si="8"/>
        <v>0</v>
      </c>
      <c r="AO19" s="3"/>
      <c r="AP19" s="3"/>
      <c r="AQ19" s="3"/>
      <c r="AR19" s="3">
        <f t="shared" si="9"/>
        <v>0</v>
      </c>
      <c r="AS19" s="3"/>
      <c r="AT19" s="3"/>
      <c r="AU19" s="3"/>
      <c r="AV19" s="3">
        <f t="shared" si="10"/>
        <v>0</v>
      </c>
      <c r="AW19" s="3"/>
      <c r="AX19" s="3"/>
      <c r="AY19" s="3"/>
      <c r="AZ19" s="3">
        <f t="shared" si="11"/>
        <v>0</v>
      </c>
      <c r="BA19" s="3"/>
      <c r="BB19" s="3"/>
      <c r="BC19" s="3"/>
      <c r="BD19" s="3">
        <f t="shared" si="12"/>
        <v>0</v>
      </c>
      <c r="BE19" s="3"/>
      <c r="BF19" s="3"/>
      <c r="BG19" s="3"/>
      <c r="BH19" s="3">
        <f t="shared" si="4"/>
        <v>0</v>
      </c>
      <c r="BI19" s="3"/>
      <c r="BJ19" s="3"/>
      <c r="BK19" s="3"/>
      <c r="BL19" s="3">
        <f t="shared" si="5"/>
        <v>0</v>
      </c>
      <c r="BM19" s="3"/>
      <c r="BN19" s="3"/>
      <c r="BO19" s="3"/>
      <c r="BP19" s="3">
        <f t="shared" si="13"/>
        <v>0</v>
      </c>
      <c r="BQ19" s="3"/>
      <c r="BR19" s="3"/>
      <c r="BS19" s="3"/>
      <c r="BT19" s="3">
        <f t="shared" si="14"/>
        <v>0</v>
      </c>
      <c r="BU19" s="3"/>
      <c r="BV19" s="3"/>
      <c r="BW19" s="3"/>
      <c r="BX19" s="3">
        <f t="shared" si="15"/>
        <v>0</v>
      </c>
      <c r="BY19" s="3"/>
      <c r="BZ19" s="3"/>
      <c r="CA19" s="3"/>
      <c r="CB19" s="3">
        <f t="shared" si="16"/>
        <v>0</v>
      </c>
      <c r="CC19" s="3"/>
      <c r="CD19" s="3"/>
      <c r="CE19" s="3"/>
      <c r="CF19" s="3">
        <f t="shared" si="17"/>
        <v>0</v>
      </c>
      <c r="CG19" s="3"/>
      <c r="CH19" s="3"/>
      <c r="CI19" s="3"/>
      <c r="CJ19" s="3">
        <f t="shared" si="18"/>
        <v>0</v>
      </c>
      <c r="CK19" s="3"/>
      <c r="CL19" s="3"/>
      <c r="CM19" s="3"/>
      <c r="CN19" s="3">
        <f t="shared" si="19"/>
        <v>0</v>
      </c>
      <c r="CO19" s="3"/>
      <c r="CP19" s="3"/>
      <c r="CQ19" s="3"/>
      <c r="CR19" s="3">
        <f t="shared" si="20"/>
        <v>0</v>
      </c>
      <c r="CS19" s="3"/>
      <c r="CT19" s="3"/>
      <c r="CU19" s="3"/>
      <c r="CV19" s="3">
        <f t="shared" si="21"/>
        <v>0</v>
      </c>
      <c r="CW19" s="3"/>
      <c r="CX19" s="3"/>
      <c r="CY19" s="3"/>
      <c r="CZ19" s="3">
        <f t="shared" si="22"/>
        <v>0</v>
      </c>
      <c r="DA19" s="3">
        <f>SUM($K19:$M19)*DA$4/$DA$4</f>
        <v>325.35000000000002</v>
      </c>
      <c r="DB19" s="3">
        <v>0</v>
      </c>
      <c r="DC19" s="3">
        <v>0</v>
      </c>
      <c r="DD19" s="3">
        <f t="shared" si="23"/>
        <v>325.35000000000002</v>
      </c>
      <c r="DE19" s="3"/>
      <c r="DF19" s="3"/>
      <c r="DG19" s="3"/>
      <c r="DH19" s="3">
        <f t="shared" si="24"/>
        <v>0</v>
      </c>
      <c r="DI19" s="3"/>
      <c r="DJ19" s="3"/>
      <c r="DK19" s="3"/>
      <c r="DL19" s="3">
        <f t="shared" si="2"/>
        <v>0</v>
      </c>
      <c r="DM19" s="3"/>
      <c r="DN19" s="3"/>
      <c r="DO19" s="3"/>
      <c r="DP19" s="3">
        <f t="shared" si="25"/>
        <v>0</v>
      </c>
      <c r="DQ19" s="3"/>
      <c r="DR19" s="3"/>
      <c r="DS19" s="3"/>
      <c r="DT19" s="3">
        <f t="shared" si="26"/>
        <v>0</v>
      </c>
      <c r="DU19" s="3"/>
      <c r="DV19" s="3"/>
      <c r="DW19" s="3"/>
      <c r="DX19" s="3">
        <f t="shared" si="27"/>
        <v>0</v>
      </c>
      <c r="DY19" s="3"/>
      <c r="DZ19" s="3"/>
      <c r="EA19" s="3"/>
      <c r="EB19" s="3">
        <f t="shared" si="28"/>
        <v>0</v>
      </c>
      <c r="EC19" s="4">
        <f t="shared" si="6"/>
        <v>325.35000000000002</v>
      </c>
      <c r="ED19" s="5">
        <f t="shared" si="29"/>
        <v>0</v>
      </c>
      <c r="EE19" s="6">
        <f t="shared" si="3"/>
        <v>325.35000000000002</v>
      </c>
      <c r="EF19" s="6">
        <f t="shared" si="3"/>
        <v>0</v>
      </c>
      <c r="EG19" s="6">
        <f t="shared" si="3"/>
        <v>0</v>
      </c>
    </row>
    <row r="20" spans="1:137" ht="12" customHeight="1" x14ac:dyDescent="0.35">
      <c r="A20" s="34" t="s">
        <v>115</v>
      </c>
      <c r="B20" s="35">
        <v>28324</v>
      </c>
      <c r="C20" s="35" t="s">
        <v>144</v>
      </c>
      <c r="D20" s="35" t="s">
        <v>93</v>
      </c>
      <c r="E20" s="34">
        <v>418801</v>
      </c>
      <c r="F20" s="35" t="s">
        <v>145</v>
      </c>
      <c r="G20" s="8">
        <v>46078</v>
      </c>
      <c r="H20" s="8">
        <v>46126</v>
      </c>
      <c r="I20" s="36">
        <v>5</v>
      </c>
      <c r="J20" s="36">
        <v>333</v>
      </c>
      <c r="K20" s="36">
        <v>16.649999999999999</v>
      </c>
      <c r="L20" s="37"/>
      <c r="M20" s="37"/>
      <c r="N20" s="36">
        <v>16.649999999999999</v>
      </c>
      <c r="O20" s="36">
        <v>349.65</v>
      </c>
      <c r="P20" s="35" t="s">
        <v>95</v>
      </c>
      <c r="Q20" s="34" t="s">
        <v>36</v>
      </c>
      <c r="R20" s="35" t="s">
        <v>96</v>
      </c>
      <c r="S20" s="35" t="s">
        <v>97</v>
      </c>
      <c r="T20" s="35" t="s">
        <v>98</v>
      </c>
      <c r="U20" s="35" t="s">
        <v>99</v>
      </c>
      <c r="V20" s="34">
        <v>996311</v>
      </c>
      <c r="W20" s="35" t="s">
        <v>146</v>
      </c>
      <c r="X20" s="34" t="s">
        <v>101</v>
      </c>
      <c r="Y20" s="35">
        <v>107</v>
      </c>
      <c r="Z20" s="35" t="s">
        <v>102</v>
      </c>
      <c r="AA20" t="s">
        <v>147</v>
      </c>
      <c r="AB20">
        <v>16.649999999999999</v>
      </c>
      <c r="AC20">
        <v>17</v>
      </c>
      <c r="AD20" s="38">
        <v>0</v>
      </c>
      <c r="AE20" t="s">
        <v>104</v>
      </c>
      <c r="AF20" t="s">
        <v>73</v>
      </c>
      <c r="AG20" s="3"/>
      <c r="AH20" s="3"/>
      <c r="AI20" s="3"/>
      <c r="AJ20" s="3">
        <f t="shared" si="7"/>
        <v>0</v>
      </c>
      <c r="AK20" s="3"/>
      <c r="AL20" s="3"/>
      <c r="AM20" s="3"/>
      <c r="AN20" s="3">
        <f t="shared" si="8"/>
        <v>0</v>
      </c>
      <c r="AO20" s="3"/>
      <c r="AP20" s="3"/>
      <c r="AQ20" s="3"/>
      <c r="AR20" s="3">
        <f t="shared" si="9"/>
        <v>0</v>
      </c>
      <c r="AS20" s="3"/>
      <c r="AT20" s="3"/>
      <c r="AU20" s="3"/>
      <c r="AV20" s="3">
        <f t="shared" si="10"/>
        <v>0</v>
      </c>
      <c r="AW20" s="3"/>
      <c r="AX20" s="3"/>
      <c r="AY20" s="3"/>
      <c r="AZ20" s="3">
        <f t="shared" si="11"/>
        <v>0</v>
      </c>
      <c r="BA20" s="3"/>
      <c r="BB20" s="3"/>
      <c r="BC20" s="3"/>
      <c r="BD20" s="3">
        <f t="shared" si="12"/>
        <v>0</v>
      </c>
      <c r="BE20" s="3">
        <f>$K20*BE$4/$BE$4</f>
        <v>16.649999999999999</v>
      </c>
      <c r="BF20" s="3">
        <f>$L20*BE$4/$BE$4</f>
        <v>0</v>
      </c>
      <c r="BG20" s="3">
        <f>$M20*BE$4/$BE$4</f>
        <v>0</v>
      </c>
      <c r="BH20" s="3">
        <f t="shared" si="4"/>
        <v>16.649999999999999</v>
      </c>
      <c r="BI20" s="3"/>
      <c r="BJ20" s="3"/>
      <c r="BK20" s="3"/>
      <c r="BL20" s="3">
        <f t="shared" si="5"/>
        <v>0</v>
      </c>
      <c r="BM20" s="3"/>
      <c r="BN20" s="3"/>
      <c r="BO20" s="3"/>
      <c r="BP20" s="3">
        <f t="shared" si="13"/>
        <v>0</v>
      </c>
      <c r="BQ20" s="3"/>
      <c r="BR20" s="3"/>
      <c r="BS20" s="3"/>
      <c r="BT20" s="3">
        <f t="shared" si="14"/>
        <v>0</v>
      </c>
      <c r="BU20" s="3"/>
      <c r="BV20" s="3"/>
      <c r="BW20" s="3"/>
      <c r="BX20" s="3">
        <f t="shared" si="15"/>
        <v>0</v>
      </c>
      <c r="BY20" s="3"/>
      <c r="BZ20" s="3"/>
      <c r="CA20" s="3"/>
      <c r="CB20" s="3">
        <f t="shared" si="16"/>
        <v>0</v>
      </c>
      <c r="CC20" s="3"/>
      <c r="CD20" s="3"/>
      <c r="CE20" s="3"/>
      <c r="CF20" s="3">
        <f t="shared" si="17"/>
        <v>0</v>
      </c>
      <c r="CG20" s="3"/>
      <c r="CH20" s="3"/>
      <c r="CI20" s="3"/>
      <c r="CJ20" s="3">
        <f t="shared" si="18"/>
        <v>0</v>
      </c>
      <c r="CK20" s="3"/>
      <c r="CL20" s="3"/>
      <c r="CM20" s="3"/>
      <c r="CN20" s="3">
        <f t="shared" si="19"/>
        <v>0</v>
      </c>
      <c r="CO20" s="3"/>
      <c r="CP20" s="3"/>
      <c r="CQ20" s="3"/>
      <c r="CR20" s="3">
        <f t="shared" si="20"/>
        <v>0</v>
      </c>
      <c r="CS20" s="3"/>
      <c r="CT20" s="3"/>
      <c r="CU20" s="3"/>
      <c r="CV20" s="3">
        <f t="shared" si="21"/>
        <v>0</v>
      </c>
      <c r="CW20" s="3"/>
      <c r="CX20" s="3"/>
      <c r="CY20" s="3"/>
      <c r="CZ20" s="3">
        <f t="shared" si="22"/>
        <v>0</v>
      </c>
      <c r="DA20" s="3"/>
      <c r="DB20" s="3"/>
      <c r="DC20" s="3"/>
      <c r="DD20" s="3">
        <f t="shared" si="23"/>
        <v>0</v>
      </c>
      <c r="DE20" s="3"/>
      <c r="DF20" s="3"/>
      <c r="DG20" s="3"/>
      <c r="DH20" s="3">
        <f t="shared" si="24"/>
        <v>0</v>
      </c>
      <c r="DI20" s="3"/>
      <c r="DJ20" s="3"/>
      <c r="DK20" s="3"/>
      <c r="DL20" s="3">
        <f t="shared" si="2"/>
        <v>0</v>
      </c>
      <c r="DM20" s="3"/>
      <c r="DN20" s="3"/>
      <c r="DO20" s="3"/>
      <c r="DP20" s="3">
        <f t="shared" si="25"/>
        <v>0</v>
      </c>
      <c r="DQ20" s="3"/>
      <c r="DR20" s="3"/>
      <c r="DS20" s="3"/>
      <c r="DT20" s="3">
        <f t="shared" si="26"/>
        <v>0</v>
      </c>
      <c r="DU20" s="3"/>
      <c r="DV20" s="3"/>
      <c r="DW20" s="3"/>
      <c r="DX20" s="3">
        <f t="shared" si="27"/>
        <v>0</v>
      </c>
      <c r="DY20" s="3"/>
      <c r="DZ20" s="3"/>
      <c r="EA20" s="3"/>
      <c r="EB20" s="3">
        <f t="shared" si="28"/>
        <v>0</v>
      </c>
      <c r="EC20" s="4">
        <f t="shared" si="6"/>
        <v>16.649999999999999</v>
      </c>
      <c r="ED20" s="5">
        <f t="shared" si="29"/>
        <v>0</v>
      </c>
      <c r="EE20" s="6">
        <f t="shared" si="3"/>
        <v>16.649999999999999</v>
      </c>
      <c r="EF20" s="6">
        <f t="shared" si="3"/>
        <v>0</v>
      </c>
      <c r="EG20" s="6">
        <f t="shared" si="3"/>
        <v>0</v>
      </c>
    </row>
    <row r="21" spans="1:137" ht="12" customHeight="1" x14ac:dyDescent="0.35">
      <c r="A21" s="34" t="s">
        <v>148</v>
      </c>
      <c r="B21" s="35">
        <v>44781</v>
      </c>
      <c r="C21" s="35" t="s">
        <v>149</v>
      </c>
      <c r="D21" s="35" t="s">
        <v>93</v>
      </c>
      <c r="E21" s="34">
        <v>418801</v>
      </c>
      <c r="F21" s="35" t="s">
        <v>150</v>
      </c>
      <c r="G21" s="8">
        <v>46058</v>
      </c>
      <c r="H21" s="8">
        <v>46126</v>
      </c>
      <c r="I21" s="36">
        <v>5</v>
      </c>
      <c r="J21" s="36">
        <v>17474</v>
      </c>
      <c r="K21" s="37"/>
      <c r="L21" s="36">
        <v>436.85</v>
      </c>
      <c r="M21" s="36">
        <v>436.85</v>
      </c>
      <c r="N21" s="36">
        <v>873.7</v>
      </c>
      <c r="O21" s="36">
        <v>18347.7</v>
      </c>
      <c r="P21" s="35" t="s">
        <v>95</v>
      </c>
      <c r="Q21" s="34" t="s">
        <v>47</v>
      </c>
      <c r="R21" s="35" t="s">
        <v>126</v>
      </c>
      <c r="S21" s="35" t="s">
        <v>97</v>
      </c>
      <c r="T21" s="35" t="s">
        <v>98</v>
      </c>
      <c r="U21" s="35" t="s">
        <v>99</v>
      </c>
      <c r="V21" s="34">
        <v>996311</v>
      </c>
      <c r="W21" s="35" t="s">
        <v>151</v>
      </c>
      <c r="X21" s="34" t="s">
        <v>101</v>
      </c>
      <c r="Y21" s="35">
        <v>107</v>
      </c>
      <c r="Z21" s="35" t="s">
        <v>102</v>
      </c>
      <c r="AA21" t="s">
        <v>152</v>
      </c>
      <c r="AB21">
        <v>873.7</v>
      </c>
      <c r="AC21">
        <v>873.7</v>
      </c>
      <c r="AD21" s="38">
        <v>0</v>
      </c>
      <c r="AE21" t="s">
        <v>104</v>
      </c>
      <c r="AF21" t="s">
        <v>73</v>
      </c>
      <c r="AG21" s="3"/>
      <c r="AH21" s="3"/>
      <c r="AI21" s="3"/>
      <c r="AJ21" s="3">
        <f t="shared" si="7"/>
        <v>0</v>
      </c>
      <c r="AK21" s="3"/>
      <c r="AL21" s="3"/>
      <c r="AM21" s="3"/>
      <c r="AN21" s="3">
        <f t="shared" si="8"/>
        <v>0</v>
      </c>
      <c r="AO21" s="3"/>
      <c r="AP21" s="3"/>
      <c r="AQ21" s="3"/>
      <c r="AR21" s="3">
        <f t="shared" si="9"/>
        <v>0</v>
      </c>
      <c r="AS21" s="3"/>
      <c r="AT21" s="3"/>
      <c r="AU21" s="3"/>
      <c r="AV21" s="3">
        <f t="shared" si="10"/>
        <v>0</v>
      </c>
      <c r="AW21" s="3"/>
      <c r="AX21" s="3"/>
      <c r="AY21" s="3"/>
      <c r="AZ21" s="3">
        <f t="shared" si="11"/>
        <v>0</v>
      </c>
      <c r="BA21" s="3"/>
      <c r="BB21" s="3"/>
      <c r="BC21" s="3"/>
      <c r="BD21" s="3">
        <f t="shared" si="12"/>
        <v>0</v>
      </c>
      <c r="BE21" s="3"/>
      <c r="BF21" s="3"/>
      <c r="BG21" s="3"/>
      <c r="BH21" s="3">
        <f t="shared" si="4"/>
        <v>0</v>
      </c>
      <c r="BI21" s="3"/>
      <c r="BJ21" s="3"/>
      <c r="BK21" s="3"/>
      <c r="BL21" s="3">
        <f t="shared" si="5"/>
        <v>0</v>
      </c>
      <c r="BM21" s="3"/>
      <c r="BN21" s="3"/>
      <c r="BO21" s="3"/>
      <c r="BP21" s="3">
        <f t="shared" si="13"/>
        <v>0</v>
      </c>
      <c r="BQ21" s="3"/>
      <c r="BR21" s="3"/>
      <c r="BS21" s="3"/>
      <c r="BT21" s="3">
        <f t="shared" si="14"/>
        <v>0</v>
      </c>
      <c r="BU21" s="3"/>
      <c r="BV21" s="3"/>
      <c r="BW21" s="3"/>
      <c r="BX21" s="3">
        <f t="shared" si="15"/>
        <v>0</v>
      </c>
      <c r="BY21" s="3"/>
      <c r="BZ21" s="3"/>
      <c r="CA21" s="3"/>
      <c r="CB21" s="3">
        <f t="shared" si="16"/>
        <v>0</v>
      </c>
      <c r="CC21" s="3"/>
      <c r="CD21" s="3"/>
      <c r="CE21" s="3"/>
      <c r="CF21" s="3">
        <f t="shared" si="17"/>
        <v>0</v>
      </c>
      <c r="CG21" s="3"/>
      <c r="CH21" s="3"/>
      <c r="CI21" s="3"/>
      <c r="CJ21" s="3">
        <f t="shared" si="18"/>
        <v>0</v>
      </c>
      <c r="CK21" s="3"/>
      <c r="CL21" s="3"/>
      <c r="CM21" s="3"/>
      <c r="CN21" s="3">
        <f t="shared" si="19"/>
        <v>0</v>
      </c>
      <c r="CO21" s="3"/>
      <c r="CP21" s="3"/>
      <c r="CQ21" s="3"/>
      <c r="CR21" s="3">
        <f t="shared" si="20"/>
        <v>0</v>
      </c>
      <c r="CS21" s="3"/>
      <c r="CT21" s="3"/>
      <c r="CU21" s="3"/>
      <c r="CV21" s="3">
        <f t="shared" si="21"/>
        <v>0</v>
      </c>
      <c r="CW21" s="3">
        <f>SUM($K21:$M21)*CW$4/$CW$4</f>
        <v>873.70000000000016</v>
      </c>
      <c r="CX21" s="3">
        <v>0</v>
      </c>
      <c r="CY21" s="3">
        <v>0</v>
      </c>
      <c r="CZ21" s="3">
        <f t="shared" si="22"/>
        <v>873.70000000000016</v>
      </c>
      <c r="DA21" s="3"/>
      <c r="DB21" s="3"/>
      <c r="DC21" s="3"/>
      <c r="DD21" s="3">
        <f t="shared" si="23"/>
        <v>0</v>
      </c>
      <c r="DE21" s="3"/>
      <c r="DF21" s="3"/>
      <c r="DG21" s="3"/>
      <c r="DH21" s="3">
        <f t="shared" si="24"/>
        <v>0</v>
      </c>
      <c r="DI21" s="3"/>
      <c r="DJ21" s="3"/>
      <c r="DK21" s="3"/>
      <c r="DL21" s="3">
        <f t="shared" si="2"/>
        <v>0</v>
      </c>
      <c r="DM21" s="3"/>
      <c r="DN21" s="3"/>
      <c r="DO21" s="3"/>
      <c r="DP21" s="3">
        <f t="shared" si="25"/>
        <v>0</v>
      </c>
      <c r="DQ21" s="3"/>
      <c r="DR21" s="3"/>
      <c r="DS21" s="3"/>
      <c r="DT21" s="3">
        <f t="shared" si="26"/>
        <v>0</v>
      </c>
      <c r="DU21" s="3"/>
      <c r="DV21" s="3"/>
      <c r="DW21" s="3"/>
      <c r="DX21" s="3">
        <f t="shared" si="27"/>
        <v>0</v>
      </c>
      <c r="DY21" s="3"/>
      <c r="DZ21" s="3"/>
      <c r="EA21" s="3"/>
      <c r="EB21" s="3">
        <f t="shared" si="28"/>
        <v>0</v>
      </c>
      <c r="EC21" s="4">
        <f t="shared" si="6"/>
        <v>873.70000000000016</v>
      </c>
      <c r="ED21" s="5">
        <f t="shared" si="29"/>
        <v>0</v>
      </c>
      <c r="EE21" s="6">
        <f t="shared" si="3"/>
        <v>873.70000000000016</v>
      </c>
      <c r="EF21" s="6">
        <f t="shared" si="3"/>
        <v>0</v>
      </c>
      <c r="EG21" s="6">
        <f t="shared" si="3"/>
        <v>0</v>
      </c>
    </row>
    <row r="22" spans="1:137" ht="12" customHeight="1" x14ac:dyDescent="0.35">
      <c r="A22" s="34" t="s">
        <v>115</v>
      </c>
      <c r="B22" s="35">
        <v>28324</v>
      </c>
      <c r="C22" s="35" t="s">
        <v>116</v>
      </c>
      <c r="D22" s="35" t="s">
        <v>93</v>
      </c>
      <c r="E22" s="34">
        <v>418801</v>
      </c>
      <c r="F22" s="35" t="s">
        <v>153</v>
      </c>
      <c r="G22" s="8">
        <v>46084</v>
      </c>
      <c r="H22" s="8">
        <v>46126</v>
      </c>
      <c r="I22" s="36">
        <v>5</v>
      </c>
      <c r="J22" s="36">
        <v>333</v>
      </c>
      <c r="K22" s="37"/>
      <c r="L22" s="36">
        <v>8.3249999999999993</v>
      </c>
      <c r="M22" s="36">
        <v>8.3249999999999993</v>
      </c>
      <c r="N22" s="36">
        <v>16.649999999999999</v>
      </c>
      <c r="O22" s="36">
        <v>349.66</v>
      </c>
      <c r="P22" s="35" t="s">
        <v>95</v>
      </c>
      <c r="Q22" s="34" t="s">
        <v>41</v>
      </c>
      <c r="R22" s="35" t="s">
        <v>126</v>
      </c>
      <c r="S22" s="35" t="s">
        <v>97</v>
      </c>
      <c r="T22" s="35" t="s">
        <v>98</v>
      </c>
      <c r="U22" s="35" t="s">
        <v>99</v>
      </c>
      <c r="V22" s="34">
        <v>996311</v>
      </c>
      <c r="W22" s="35" t="s">
        <v>154</v>
      </c>
      <c r="X22" s="34" t="s">
        <v>101</v>
      </c>
      <c r="Y22" s="35">
        <v>107</v>
      </c>
      <c r="Z22" s="35" t="s">
        <v>102</v>
      </c>
      <c r="AA22" t="s">
        <v>155</v>
      </c>
      <c r="AB22">
        <v>16.649999999999999</v>
      </c>
      <c r="AC22">
        <v>17</v>
      </c>
      <c r="AD22" s="38">
        <v>0</v>
      </c>
      <c r="AE22" t="s">
        <v>104</v>
      </c>
      <c r="AF22" t="s">
        <v>73</v>
      </c>
      <c r="AG22" s="3"/>
      <c r="AH22" s="3"/>
      <c r="AI22" s="3"/>
      <c r="AJ22" s="3">
        <f t="shared" si="7"/>
        <v>0</v>
      </c>
      <c r="AK22" s="3"/>
      <c r="AL22" s="3"/>
      <c r="AM22" s="3"/>
      <c r="AN22" s="3">
        <f t="shared" si="8"/>
        <v>0</v>
      </c>
      <c r="AO22" s="3"/>
      <c r="AP22" s="3"/>
      <c r="AQ22" s="3"/>
      <c r="AR22" s="3">
        <f t="shared" si="9"/>
        <v>0</v>
      </c>
      <c r="AS22" s="3"/>
      <c r="AT22" s="3"/>
      <c r="AU22" s="3"/>
      <c r="AV22" s="3">
        <f t="shared" si="10"/>
        <v>0</v>
      </c>
      <c r="AW22" s="3"/>
      <c r="AX22" s="3"/>
      <c r="AY22" s="3"/>
      <c r="AZ22" s="3">
        <f t="shared" si="11"/>
        <v>0</v>
      </c>
      <c r="BA22" s="3"/>
      <c r="BB22" s="3"/>
      <c r="BC22" s="3"/>
      <c r="BD22" s="3">
        <f t="shared" si="12"/>
        <v>0</v>
      </c>
      <c r="BE22" s="3"/>
      <c r="BF22" s="3"/>
      <c r="BG22" s="3"/>
      <c r="BH22" s="3">
        <f t="shared" si="4"/>
        <v>0</v>
      </c>
      <c r="BI22" s="3"/>
      <c r="BJ22" s="3"/>
      <c r="BK22" s="3"/>
      <c r="BL22" s="3">
        <f t="shared" si="5"/>
        <v>0</v>
      </c>
      <c r="BM22" s="3"/>
      <c r="BN22" s="3"/>
      <c r="BO22" s="3"/>
      <c r="BP22" s="3">
        <f t="shared" si="13"/>
        <v>0</v>
      </c>
      <c r="BQ22" s="3"/>
      <c r="BR22" s="3"/>
      <c r="BS22" s="3"/>
      <c r="BT22" s="3">
        <f t="shared" si="14"/>
        <v>0</v>
      </c>
      <c r="BU22" s="3"/>
      <c r="BV22" s="3"/>
      <c r="BW22" s="3"/>
      <c r="BX22" s="3">
        <f t="shared" si="15"/>
        <v>0</v>
      </c>
      <c r="BY22" s="3">
        <f>SUM($K22:$M22)*BY$4/$BY$4</f>
        <v>16.649999999999999</v>
      </c>
      <c r="BZ22" s="3">
        <v>0</v>
      </c>
      <c r="CA22" s="3">
        <v>0</v>
      </c>
      <c r="CB22" s="3">
        <f t="shared" si="16"/>
        <v>16.649999999999999</v>
      </c>
      <c r="CC22" s="3"/>
      <c r="CD22" s="3"/>
      <c r="CE22" s="3"/>
      <c r="CF22" s="3">
        <f t="shared" si="17"/>
        <v>0</v>
      </c>
      <c r="CG22" s="3"/>
      <c r="CH22" s="3"/>
      <c r="CI22" s="3"/>
      <c r="CJ22" s="3">
        <f t="shared" si="18"/>
        <v>0</v>
      </c>
      <c r="CK22" s="3"/>
      <c r="CL22" s="3"/>
      <c r="CM22" s="3"/>
      <c r="CN22" s="3">
        <f t="shared" si="19"/>
        <v>0</v>
      </c>
      <c r="CO22" s="3"/>
      <c r="CP22" s="3"/>
      <c r="CQ22" s="3"/>
      <c r="CR22" s="3">
        <f t="shared" si="20"/>
        <v>0</v>
      </c>
      <c r="CS22" s="3"/>
      <c r="CT22" s="3"/>
      <c r="CU22" s="3"/>
      <c r="CV22" s="3">
        <f t="shared" si="21"/>
        <v>0</v>
      </c>
      <c r="CW22" s="3"/>
      <c r="CX22" s="3"/>
      <c r="CY22" s="3"/>
      <c r="CZ22" s="3">
        <f t="shared" si="22"/>
        <v>0</v>
      </c>
      <c r="DA22" s="3"/>
      <c r="DB22" s="3"/>
      <c r="DC22" s="3"/>
      <c r="DD22" s="3">
        <f t="shared" si="23"/>
        <v>0</v>
      </c>
      <c r="DE22" s="3"/>
      <c r="DF22" s="3"/>
      <c r="DG22" s="3"/>
      <c r="DH22" s="3">
        <f t="shared" si="24"/>
        <v>0</v>
      </c>
      <c r="DI22" s="3"/>
      <c r="DJ22" s="3"/>
      <c r="DK22" s="3"/>
      <c r="DL22" s="3">
        <f t="shared" si="2"/>
        <v>0</v>
      </c>
      <c r="DM22" s="3"/>
      <c r="DN22" s="3"/>
      <c r="DO22" s="3"/>
      <c r="DP22" s="3">
        <f t="shared" si="25"/>
        <v>0</v>
      </c>
      <c r="DQ22" s="3"/>
      <c r="DR22" s="3"/>
      <c r="DS22" s="3"/>
      <c r="DT22" s="3">
        <f t="shared" si="26"/>
        <v>0</v>
      </c>
      <c r="DU22" s="3"/>
      <c r="DV22" s="3"/>
      <c r="DW22" s="3"/>
      <c r="DX22" s="3">
        <f t="shared" si="27"/>
        <v>0</v>
      </c>
      <c r="DY22" s="3"/>
      <c r="DZ22" s="3"/>
      <c r="EA22" s="3"/>
      <c r="EB22" s="3">
        <f t="shared" si="28"/>
        <v>0</v>
      </c>
      <c r="EC22" s="4">
        <f t="shared" si="6"/>
        <v>16.649999999999999</v>
      </c>
      <c r="ED22" s="5">
        <f t="shared" si="29"/>
        <v>0</v>
      </c>
      <c r="EE22" s="6">
        <f t="shared" si="3"/>
        <v>16.649999999999999</v>
      </c>
      <c r="EF22" s="6">
        <f t="shared" si="3"/>
        <v>0</v>
      </c>
      <c r="EG22" s="6">
        <f t="shared" si="3"/>
        <v>0</v>
      </c>
    </row>
    <row r="23" spans="1:137" ht="12" customHeight="1" x14ac:dyDescent="0.35">
      <c r="A23" s="34" t="s">
        <v>91</v>
      </c>
      <c r="B23" s="35">
        <v>30450</v>
      </c>
      <c r="C23" s="35" t="s">
        <v>92</v>
      </c>
      <c r="D23" s="35" t="s">
        <v>93</v>
      </c>
      <c r="E23" s="34">
        <v>418801</v>
      </c>
      <c r="F23" s="35" t="s">
        <v>156</v>
      </c>
      <c r="G23" s="8">
        <v>46083</v>
      </c>
      <c r="H23" s="8">
        <v>46126</v>
      </c>
      <c r="I23" s="36">
        <v>5</v>
      </c>
      <c r="J23" s="36">
        <v>7870</v>
      </c>
      <c r="K23" s="37"/>
      <c r="L23" s="36">
        <v>196.75</v>
      </c>
      <c r="M23" s="36">
        <v>196.75</v>
      </c>
      <c r="N23" s="36">
        <v>393.5</v>
      </c>
      <c r="O23" s="36">
        <v>8263.5</v>
      </c>
      <c r="P23" s="35" t="s">
        <v>95</v>
      </c>
      <c r="Q23" s="34" t="s">
        <v>47</v>
      </c>
      <c r="R23" s="35" t="s">
        <v>122</v>
      </c>
      <c r="S23" s="35" t="s">
        <v>97</v>
      </c>
      <c r="T23" s="35" t="s">
        <v>98</v>
      </c>
      <c r="U23" s="35" t="s">
        <v>99</v>
      </c>
      <c r="V23" s="34">
        <v>996311</v>
      </c>
      <c r="W23" s="35" t="s">
        <v>157</v>
      </c>
      <c r="X23" s="34" t="s">
        <v>101</v>
      </c>
      <c r="Y23" s="35">
        <v>107</v>
      </c>
      <c r="Z23" s="35" t="s">
        <v>102</v>
      </c>
      <c r="AA23" t="s">
        <v>158</v>
      </c>
      <c r="AB23">
        <v>393.5</v>
      </c>
      <c r="AC23">
        <v>394</v>
      </c>
      <c r="AD23" s="38">
        <v>-1</v>
      </c>
      <c r="AE23" t="s">
        <v>104</v>
      </c>
      <c r="AF23" t="s">
        <v>73</v>
      </c>
      <c r="AG23" s="3"/>
      <c r="AH23" s="3"/>
      <c r="AI23" s="3"/>
      <c r="AJ23" s="3">
        <f t="shared" si="7"/>
        <v>0</v>
      </c>
      <c r="AK23" s="3"/>
      <c r="AL23" s="3"/>
      <c r="AM23" s="3"/>
      <c r="AN23" s="3">
        <f t="shared" si="8"/>
        <v>0</v>
      </c>
      <c r="AO23" s="3"/>
      <c r="AP23" s="3"/>
      <c r="AQ23" s="3"/>
      <c r="AR23" s="3">
        <f t="shared" si="9"/>
        <v>0</v>
      </c>
      <c r="AS23" s="3"/>
      <c r="AT23" s="3"/>
      <c r="AU23" s="3"/>
      <c r="AV23" s="3">
        <f t="shared" si="10"/>
        <v>0</v>
      </c>
      <c r="AW23" s="3"/>
      <c r="AX23" s="3"/>
      <c r="AY23" s="3"/>
      <c r="AZ23" s="3">
        <f t="shared" si="11"/>
        <v>0</v>
      </c>
      <c r="BA23" s="3"/>
      <c r="BB23" s="3"/>
      <c r="BC23" s="3"/>
      <c r="BD23" s="3">
        <f t="shared" si="12"/>
        <v>0</v>
      </c>
      <c r="BE23" s="3"/>
      <c r="BF23" s="3"/>
      <c r="BG23" s="3"/>
      <c r="BH23" s="3">
        <f t="shared" si="4"/>
        <v>0</v>
      </c>
      <c r="BI23" s="3"/>
      <c r="BJ23" s="3"/>
      <c r="BK23" s="3"/>
      <c r="BL23" s="3">
        <f t="shared" si="5"/>
        <v>0</v>
      </c>
      <c r="BM23" s="3"/>
      <c r="BN23" s="3"/>
      <c r="BO23" s="3"/>
      <c r="BP23" s="3">
        <f t="shared" si="13"/>
        <v>0</v>
      </c>
      <c r="BQ23" s="3"/>
      <c r="BR23" s="3"/>
      <c r="BS23" s="3"/>
      <c r="BT23" s="3">
        <f t="shared" si="14"/>
        <v>0</v>
      </c>
      <c r="BU23" s="3"/>
      <c r="BV23" s="3"/>
      <c r="BW23" s="3"/>
      <c r="BX23" s="3">
        <f t="shared" si="15"/>
        <v>0</v>
      </c>
      <c r="BY23" s="3"/>
      <c r="BZ23" s="3"/>
      <c r="CA23" s="3"/>
      <c r="CB23" s="3">
        <f t="shared" si="16"/>
        <v>0</v>
      </c>
      <c r="CC23" s="3"/>
      <c r="CD23" s="3"/>
      <c r="CE23" s="3"/>
      <c r="CF23" s="3">
        <f t="shared" si="17"/>
        <v>0</v>
      </c>
      <c r="CG23" s="3"/>
      <c r="CH23" s="3"/>
      <c r="CI23" s="3"/>
      <c r="CJ23" s="3">
        <f t="shared" si="18"/>
        <v>0</v>
      </c>
      <c r="CK23" s="3"/>
      <c r="CL23" s="3"/>
      <c r="CM23" s="3"/>
      <c r="CN23" s="3">
        <f t="shared" si="19"/>
        <v>0</v>
      </c>
      <c r="CO23" s="3"/>
      <c r="CP23" s="3"/>
      <c r="CQ23" s="3"/>
      <c r="CR23" s="3">
        <f t="shared" si="20"/>
        <v>0</v>
      </c>
      <c r="CS23" s="3"/>
      <c r="CT23" s="3"/>
      <c r="CU23" s="3"/>
      <c r="CV23" s="3">
        <f t="shared" si="21"/>
        <v>0</v>
      </c>
      <c r="CW23" s="3">
        <f>SUM($K23:$M23)*CW$4/$CW$4</f>
        <v>393.5</v>
      </c>
      <c r="CX23" s="3">
        <v>0</v>
      </c>
      <c r="CY23" s="3">
        <v>0</v>
      </c>
      <c r="CZ23" s="3">
        <f t="shared" si="22"/>
        <v>393.5</v>
      </c>
      <c r="DA23" s="3"/>
      <c r="DB23" s="3"/>
      <c r="DC23" s="3"/>
      <c r="DD23" s="3">
        <f t="shared" si="23"/>
        <v>0</v>
      </c>
      <c r="DE23" s="3"/>
      <c r="DF23" s="3"/>
      <c r="DG23" s="3"/>
      <c r="DH23" s="3">
        <f t="shared" si="24"/>
        <v>0</v>
      </c>
      <c r="DI23" s="3"/>
      <c r="DJ23" s="3"/>
      <c r="DK23" s="3"/>
      <c r="DL23" s="3">
        <f t="shared" si="2"/>
        <v>0</v>
      </c>
      <c r="DM23" s="3"/>
      <c r="DN23" s="3"/>
      <c r="DO23" s="3"/>
      <c r="DP23" s="3">
        <f t="shared" si="25"/>
        <v>0</v>
      </c>
      <c r="DQ23" s="3"/>
      <c r="DR23" s="3"/>
      <c r="DS23" s="3"/>
      <c r="DT23" s="3">
        <f t="shared" si="26"/>
        <v>0</v>
      </c>
      <c r="DU23" s="3"/>
      <c r="DV23" s="3"/>
      <c r="DW23" s="3"/>
      <c r="DX23" s="3">
        <f t="shared" si="27"/>
        <v>0</v>
      </c>
      <c r="DY23" s="3"/>
      <c r="DZ23" s="3"/>
      <c r="EA23" s="3"/>
      <c r="EB23" s="3">
        <f t="shared" si="28"/>
        <v>0</v>
      </c>
      <c r="EC23" s="4">
        <f t="shared" si="6"/>
        <v>393.5</v>
      </c>
      <c r="ED23" s="5">
        <f t="shared" si="29"/>
        <v>0</v>
      </c>
      <c r="EE23" s="6">
        <f t="shared" si="3"/>
        <v>393.5</v>
      </c>
      <c r="EF23" s="6">
        <f t="shared" si="3"/>
        <v>0</v>
      </c>
      <c r="EG23" s="6">
        <f t="shared" si="3"/>
        <v>0</v>
      </c>
    </row>
    <row r="24" spans="1:137" ht="12" customHeight="1" x14ac:dyDescent="0.35">
      <c r="A24" s="34" t="s">
        <v>115</v>
      </c>
      <c r="B24" s="35">
        <v>28324</v>
      </c>
      <c r="C24" s="35" t="s">
        <v>144</v>
      </c>
      <c r="D24" s="35" t="s">
        <v>93</v>
      </c>
      <c r="E24" s="34">
        <v>418801</v>
      </c>
      <c r="F24" s="35" t="s">
        <v>159</v>
      </c>
      <c r="G24" s="8">
        <v>46091</v>
      </c>
      <c r="H24" s="8">
        <v>46126</v>
      </c>
      <c r="I24" s="36">
        <v>5</v>
      </c>
      <c r="J24" s="36">
        <v>333</v>
      </c>
      <c r="K24" s="36">
        <v>16.649999999999999</v>
      </c>
      <c r="L24" s="37"/>
      <c r="M24" s="37"/>
      <c r="N24" s="36">
        <v>16.649999999999999</v>
      </c>
      <c r="O24" s="36">
        <v>349.65</v>
      </c>
      <c r="P24" s="35" t="s">
        <v>95</v>
      </c>
      <c r="Q24" s="34" t="s">
        <v>36</v>
      </c>
      <c r="R24" s="35" t="s">
        <v>96</v>
      </c>
      <c r="S24" s="35" t="s">
        <v>97</v>
      </c>
      <c r="T24" s="35" t="s">
        <v>98</v>
      </c>
      <c r="U24" s="35" t="s">
        <v>99</v>
      </c>
      <c r="V24" s="34">
        <v>996311</v>
      </c>
      <c r="W24" s="35" t="s">
        <v>146</v>
      </c>
      <c r="X24" s="34" t="s">
        <v>101</v>
      </c>
      <c r="Y24" s="35">
        <v>107</v>
      </c>
      <c r="Z24" s="35" t="s">
        <v>102</v>
      </c>
      <c r="AA24" t="s">
        <v>160</v>
      </c>
      <c r="AB24">
        <v>16.649999999999999</v>
      </c>
      <c r="AC24">
        <v>17</v>
      </c>
      <c r="AD24" s="38">
        <v>0</v>
      </c>
      <c r="AE24" t="s">
        <v>104</v>
      </c>
      <c r="AF24" t="s">
        <v>73</v>
      </c>
      <c r="AG24" s="3"/>
      <c r="AH24" s="3"/>
      <c r="AI24" s="3"/>
      <c r="AJ24" s="3">
        <f t="shared" si="7"/>
        <v>0</v>
      </c>
      <c r="AK24" s="3"/>
      <c r="AL24" s="3"/>
      <c r="AM24" s="3"/>
      <c r="AN24" s="3">
        <f t="shared" si="8"/>
        <v>0</v>
      </c>
      <c r="AO24" s="3"/>
      <c r="AP24" s="3"/>
      <c r="AQ24" s="3"/>
      <c r="AR24" s="3">
        <f t="shared" si="9"/>
        <v>0</v>
      </c>
      <c r="AS24" s="3"/>
      <c r="AT24" s="3"/>
      <c r="AU24" s="3"/>
      <c r="AV24" s="3">
        <f t="shared" si="10"/>
        <v>0</v>
      </c>
      <c r="AW24" s="3"/>
      <c r="AX24" s="3"/>
      <c r="AY24" s="3"/>
      <c r="AZ24" s="3">
        <f t="shared" si="11"/>
        <v>0</v>
      </c>
      <c r="BA24" s="3"/>
      <c r="BB24" s="3"/>
      <c r="BC24" s="3"/>
      <c r="BD24" s="3">
        <f t="shared" si="12"/>
        <v>0</v>
      </c>
      <c r="BE24" s="3">
        <f t="shared" ref="BE24:BE30" si="30">$K24*BE$4/$BE$4</f>
        <v>16.649999999999999</v>
      </c>
      <c r="BF24" s="3">
        <f t="shared" ref="BF24:BF30" si="31">$L24*BE$4/$BE$4</f>
        <v>0</v>
      </c>
      <c r="BG24" s="3">
        <f t="shared" ref="BG24:BG30" si="32">$M24*BE$4/$BE$4</f>
        <v>0</v>
      </c>
      <c r="BH24" s="3">
        <f t="shared" si="4"/>
        <v>16.649999999999999</v>
      </c>
      <c r="BI24" s="3"/>
      <c r="BJ24" s="3"/>
      <c r="BK24" s="3"/>
      <c r="BL24" s="3">
        <f t="shared" si="5"/>
        <v>0</v>
      </c>
      <c r="BM24" s="3"/>
      <c r="BN24" s="3"/>
      <c r="BO24" s="3"/>
      <c r="BP24" s="3">
        <f t="shared" si="13"/>
        <v>0</v>
      </c>
      <c r="BQ24" s="3"/>
      <c r="BR24" s="3"/>
      <c r="BS24" s="3"/>
      <c r="BT24" s="3">
        <f t="shared" si="14"/>
        <v>0</v>
      </c>
      <c r="BU24" s="3"/>
      <c r="BV24" s="3"/>
      <c r="BW24" s="3"/>
      <c r="BX24" s="3">
        <f t="shared" si="15"/>
        <v>0</v>
      </c>
      <c r="BY24" s="3"/>
      <c r="BZ24" s="3"/>
      <c r="CA24" s="3"/>
      <c r="CB24" s="3">
        <f t="shared" si="16"/>
        <v>0</v>
      </c>
      <c r="CC24" s="3"/>
      <c r="CD24" s="3"/>
      <c r="CE24" s="3"/>
      <c r="CF24" s="3">
        <f t="shared" si="17"/>
        <v>0</v>
      </c>
      <c r="CG24" s="3"/>
      <c r="CH24" s="3"/>
      <c r="CI24" s="3"/>
      <c r="CJ24" s="3">
        <f t="shared" si="18"/>
        <v>0</v>
      </c>
      <c r="CK24" s="3"/>
      <c r="CL24" s="3"/>
      <c r="CM24" s="3"/>
      <c r="CN24" s="3">
        <f t="shared" si="19"/>
        <v>0</v>
      </c>
      <c r="CO24" s="3"/>
      <c r="CP24" s="3"/>
      <c r="CQ24" s="3"/>
      <c r="CR24" s="3">
        <f t="shared" si="20"/>
        <v>0</v>
      </c>
      <c r="CS24" s="3"/>
      <c r="CT24" s="3"/>
      <c r="CU24" s="3"/>
      <c r="CV24" s="3">
        <f t="shared" si="21"/>
        <v>0</v>
      </c>
      <c r="CW24" s="3"/>
      <c r="CX24" s="3"/>
      <c r="CY24" s="3"/>
      <c r="CZ24" s="3">
        <f t="shared" si="22"/>
        <v>0</v>
      </c>
      <c r="DA24" s="3"/>
      <c r="DB24" s="3"/>
      <c r="DC24" s="3"/>
      <c r="DD24" s="3">
        <f t="shared" si="23"/>
        <v>0</v>
      </c>
      <c r="DE24" s="3"/>
      <c r="DF24" s="3"/>
      <c r="DG24" s="3"/>
      <c r="DH24" s="3">
        <f t="shared" si="24"/>
        <v>0</v>
      </c>
      <c r="DI24" s="3"/>
      <c r="DJ24" s="3"/>
      <c r="DK24" s="3"/>
      <c r="DL24" s="3">
        <f t="shared" si="2"/>
        <v>0</v>
      </c>
      <c r="DM24" s="3"/>
      <c r="DN24" s="3"/>
      <c r="DO24" s="3"/>
      <c r="DP24" s="3">
        <f t="shared" si="25"/>
        <v>0</v>
      </c>
      <c r="DQ24" s="3"/>
      <c r="DR24" s="3"/>
      <c r="DS24" s="3"/>
      <c r="DT24" s="3">
        <f t="shared" si="26"/>
        <v>0</v>
      </c>
      <c r="DU24" s="3"/>
      <c r="DV24" s="3"/>
      <c r="DW24" s="3"/>
      <c r="DX24" s="3">
        <f t="shared" si="27"/>
        <v>0</v>
      </c>
      <c r="DY24" s="3"/>
      <c r="DZ24" s="3"/>
      <c r="EA24" s="3"/>
      <c r="EB24" s="3">
        <f t="shared" si="28"/>
        <v>0</v>
      </c>
      <c r="EC24" s="4">
        <f t="shared" si="6"/>
        <v>16.649999999999999</v>
      </c>
      <c r="ED24" s="5">
        <f t="shared" si="29"/>
        <v>0</v>
      </c>
      <c r="EE24" s="6">
        <f t="shared" si="3"/>
        <v>16.649999999999999</v>
      </c>
      <c r="EF24" s="6">
        <f t="shared" si="3"/>
        <v>0</v>
      </c>
      <c r="EG24" s="6">
        <f t="shared" si="3"/>
        <v>0</v>
      </c>
    </row>
    <row r="25" spans="1:137" ht="12" customHeight="1" x14ac:dyDescent="0.35">
      <c r="A25" s="34" t="s">
        <v>91</v>
      </c>
      <c r="B25" s="35">
        <v>30450</v>
      </c>
      <c r="C25" s="35" t="s">
        <v>105</v>
      </c>
      <c r="D25" s="35" t="s">
        <v>161</v>
      </c>
      <c r="E25" s="34">
        <v>416001</v>
      </c>
      <c r="F25" s="35" t="s">
        <v>162</v>
      </c>
      <c r="G25" s="8">
        <v>45882</v>
      </c>
      <c r="H25" s="8">
        <v>46126</v>
      </c>
      <c r="I25" s="36">
        <v>5</v>
      </c>
      <c r="J25" s="36">
        <v>5786</v>
      </c>
      <c r="K25" s="36">
        <v>289.3</v>
      </c>
      <c r="L25" s="37"/>
      <c r="M25" s="37"/>
      <c r="N25" s="36">
        <v>289.3</v>
      </c>
      <c r="O25" s="36">
        <v>6075.3</v>
      </c>
      <c r="P25" s="35" t="s">
        <v>95</v>
      </c>
      <c r="Q25" s="34" t="s">
        <v>36</v>
      </c>
      <c r="R25" s="35" t="s">
        <v>163</v>
      </c>
      <c r="S25" s="35" t="s">
        <v>97</v>
      </c>
      <c r="T25" s="35" t="s">
        <v>98</v>
      </c>
      <c r="U25" s="35" t="s">
        <v>99</v>
      </c>
      <c r="V25" s="34">
        <v>996311</v>
      </c>
      <c r="W25" s="35" t="s">
        <v>164</v>
      </c>
      <c r="X25" s="34" t="s">
        <v>101</v>
      </c>
      <c r="Y25" s="35">
        <v>107</v>
      </c>
      <c r="Z25" s="35" t="s">
        <v>102</v>
      </c>
      <c r="AA25" t="s">
        <v>165</v>
      </c>
      <c r="AB25">
        <v>289.3</v>
      </c>
      <c r="AC25">
        <v>289</v>
      </c>
      <c r="AD25" s="38">
        <v>0</v>
      </c>
      <c r="AE25" t="s">
        <v>104</v>
      </c>
      <c r="AF25" t="s">
        <v>73</v>
      </c>
      <c r="AG25" s="3"/>
      <c r="AH25" s="3"/>
      <c r="AI25" s="3"/>
      <c r="AJ25" s="3">
        <f t="shared" si="7"/>
        <v>0</v>
      </c>
      <c r="AK25" s="3"/>
      <c r="AL25" s="3"/>
      <c r="AM25" s="3"/>
      <c r="AN25" s="3">
        <f t="shared" si="8"/>
        <v>0</v>
      </c>
      <c r="AO25" s="3"/>
      <c r="AP25" s="3"/>
      <c r="AQ25" s="3"/>
      <c r="AR25" s="3">
        <f t="shared" si="9"/>
        <v>0</v>
      </c>
      <c r="AS25" s="3"/>
      <c r="AT25" s="3"/>
      <c r="AU25" s="3"/>
      <c r="AV25" s="3">
        <f t="shared" si="10"/>
        <v>0</v>
      </c>
      <c r="AW25" s="3"/>
      <c r="AX25" s="3"/>
      <c r="AY25" s="3"/>
      <c r="AZ25" s="3">
        <f t="shared" si="11"/>
        <v>0</v>
      </c>
      <c r="BA25" s="3"/>
      <c r="BB25" s="3"/>
      <c r="BC25" s="3"/>
      <c r="BD25" s="3">
        <f t="shared" si="12"/>
        <v>0</v>
      </c>
      <c r="BE25" s="3">
        <f t="shared" si="30"/>
        <v>289.3</v>
      </c>
      <c r="BF25" s="3">
        <f t="shared" si="31"/>
        <v>0</v>
      </c>
      <c r="BG25" s="3">
        <f t="shared" si="32"/>
        <v>0</v>
      </c>
      <c r="BH25" s="3">
        <f t="shared" si="4"/>
        <v>289.3</v>
      </c>
      <c r="BI25" s="3"/>
      <c r="BJ25" s="3"/>
      <c r="BK25" s="3"/>
      <c r="BL25" s="3">
        <f t="shared" si="5"/>
        <v>0</v>
      </c>
      <c r="BM25" s="3"/>
      <c r="BN25" s="3"/>
      <c r="BO25" s="3"/>
      <c r="BP25" s="3">
        <f t="shared" si="13"/>
        <v>0</v>
      </c>
      <c r="BQ25" s="3"/>
      <c r="BR25" s="3"/>
      <c r="BS25" s="3"/>
      <c r="BT25" s="3">
        <f t="shared" si="14"/>
        <v>0</v>
      </c>
      <c r="BU25" s="3"/>
      <c r="BV25" s="3"/>
      <c r="BW25" s="3"/>
      <c r="BX25" s="3">
        <f t="shared" si="15"/>
        <v>0</v>
      </c>
      <c r="BY25" s="3"/>
      <c r="BZ25" s="3"/>
      <c r="CA25" s="3"/>
      <c r="CB25" s="3">
        <f t="shared" si="16"/>
        <v>0</v>
      </c>
      <c r="CC25" s="3"/>
      <c r="CD25" s="3"/>
      <c r="CE25" s="3"/>
      <c r="CF25" s="3">
        <f t="shared" si="17"/>
        <v>0</v>
      </c>
      <c r="CG25" s="3"/>
      <c r="CH25" s="3"/>
      <c r="CI25" s="3"/>
      <c r="CJ25" s="3">
        <f t="shared" si="18"/>
        <v>0</v>
      </c>
      <c r="CK25" s="3"/>
      <c r="CL25" s="3"/>
      <c r="CM25" s="3"/>
      <c r="CN25" s="3">
        <f t="shared" si="19"/>
        <v>0</v>
      </c>
      <c r="CO25" s="3"/>
      <c r="CP25" s="3"/>
      <c r="CQ25" s="3"/>
      <c r="CR25" s="3">
        <f t="shared" si="20"/>
        <v>0</v>
      </c>
      <c r="CS25" s="3"/>
      <c r="CT25" s="3"/>
      <c r="CU25" s="3"/>
      <c r="CV25" s="3">
        <f t="shared" si="21"/>
        <v>0</v>
      </c>
      <c r="CW25" s="3"/>
      <c r="CX25" s="3"/>
      <c r="CY25" s="3"/>
      <c r="CZ25" s="3">
        <f t="shared" si="22"/>
        <v>0</v>
      </c>
      <c r="DA25" s="3"/>
      <c r="DB25" s="3"/>
      <c r="DC25" s="3"/>
      <c r="DD25" s="3">
        <f t="shared" si="23"/>
        <v>0</v>
      </c>
      <c r="DE25" s="3"/>
      <c r="DF25" s="3"/>
      <c r="DG25" s="3"/>
      <c r="DH25" s="3">
        <f t="shared" si="24"/>
        <v>0</v>
      </c>
      <c r="DI25" s="3"/>
      <c r="DJ25" s="3"/>
      <c r="DK25" s="3"/>
      <c r="DL25" s="3">
        <f t="shared" si="2"/>
        <v>0</v>
      </c>
      <c r="DM25" s="3"/>
      <c r="DN25" s="3"/>
      <c r="DO25" s="3"/>
      <c r="DP25" s="3">
        <f t="shared" si="25"/>
        <v>0</v>
      </c>
      <c r="DQ25" s="3"/>
      <c r="DR25" s="3"/>
      <c r="DS25" s="3"/>
      <c r="DT25" s="3">
        <f t="shared" si="26"/>
        <v>0</v>
      </c>
      <c r="DU25" s="3"/>
      <c r="DV25" s="3"/>
      <c r="DW25" s="3"/>
      <c r="DX25" s="3">
        <f t="shared" si="27"/>
        <v>0</v>
      </c>
      <c r="DY25" s="3"/>
      <c r="DZ25" s="3"/>
      <c r="EA25" s="3"/>
      <c r="EB25" s="3">
        <f t="shared" si="28"/>
        <v>0</v>
      </c>
      <c r="EC25" s="4">
        <f t="shared" si="6"/>
        <v>289.3</v>
      </c>
      <c r="ED25" s="5">
        <f t="shared" si="29"/>
        <v>0</v>
      </c>
      <c r="EE25" s="6">
        <f t="shared" ref="EE25:EG88" si="33">AG25+AK25+AO25+AS25+AW25+BA25+BE25+BI25+BM25+BQ25+BU25+BY25+CC25+CG25+CK25+CO25+CS25+CW25+DA25+DE25+DM25+DQ25+DU25+DY25</f>
        <v>289.3</v>
      </c>
      <c r="EF25" s="6">
        <f t="shared" si="33"/>
        <v>0</v>
      </c>
      <c r="EG25" s="6">
        <f t="shared" si="33"/>
        <v>0</v>
      </c>
    </row>
    <row r="26" spans="1:137" ht="12" customHeight="1" x14ac:dyDescent="0.35">
      <c r="A26" s="34" t="s">
        <v>91</v>
      </c>
      <c r="B26" s="35">
        <v>30450</v>
      </c>
      <c r="C26" s="35" t="s">
        <v>105</v>
      </c>
      <c r="D26" s="35" t="s">
        <v>93</v>
      </c>
      <c r="E26" s="34">
        <v>418801</v>
      </c>
      <c r="F26" s="35" t="s">
        <v>166</v>
      </c>
      <c r="G26" s="8">
        <v>46086</v>
      </c>
      <c r="H26" s="8">
        <v>46126</v>
      </c>
      <c r="I26" s="36">
        <v>5</v>
      </c>
      <c r="J26" s="36">
        <v>8339</v>
      </c>
      <c r="K26" s="36">
        <v>416.95</v>
      </c>
      <c r="L26" s="37"/>
      <c r="M26" s="37"/>
      <c r="N26" s="36">
        <v>416.95</v>
      </c>
      <c r="O26" s="36">
        <v>8755.9500000000007</v>
      </c>
      <c r="P26" s="35" t="s">
        <v>95</v>
      </c>
      <c r="Q26" s="34" t="s">
        <v>36</v>
      </c>
      <c r="R26" s="35" t="s">
        <v>122</v>
      </c>
      <c r="S26" s="35" t="s">
        <v>97</v>
      </c>
      <c r="T26" s="35" t="s">
        <v>98</v>
      </c>
      <c r="U26" s="35" t="s">
        <v>99</v>
      </c>
      <c r="V26" s="34">
        <v>996311</v>
      </c>
      <c r="W26" s="35" t="s">
        <v>167</v>
      </c>
      <c r="X26" s="34" t="s">
        <v>101</v>
      </c>
      <c r="Y26" s="35">
        <v>107</v>
      </c>
      <c r="Z26" s="35" t="s">
        <v>102</v>
      </c>
      <c r="AA26" t="s">
        <v>168</v>
      </c>
      <c r="AB26">
        <v>416.95</v>
      </c>
      <c r="AC26">
        <v>417</v>
      </c>
      <c r="AD26" s="38">
        <v>0</v>
      </c>
      <c r="AE26" t="s">
        <v>104</v>
      </c>
      <c r="AF26" t="s">
        <v>73</v>
      </c>
      <c r="AG26" s="3"/>
      <c r="AH26" s="3"/>
      <c r="AI26" s="3"/>
      <c r="AJ26" s="3">
        <f t="shared" si="7"/>
        <v>0</v>
      </c>
      <c r="AK26" s="3"/>
      <c r="AL26" s="3"/>
      <c r="AM26" s="3"/>
      <c r="AN26" s="3">
        <f t="shared" si="8"/>
        <v>0</v>
      </c>
      <c r="AO26" s="3"/>
      <c r="AP26" s="3"/>
      <c r="AQ26" s="3"/>
      <c r="AR26" s="3">
        <f t="shared" si="9"/>
        <v>0</v>
      </c>
      <c r="AS26" s="3"/>
      <c r="AT26" s="3"/>
      <c r="AU26" s="3"/>
      <c r="AV26" s="3">
        <f t="shared" si="10"/>
        <v>0</v>
      </c>
      <c r="AW26" s="3"/>
      <c r="AX26" s="3"/>
      <c r="AY26" s="3"/>
      <c r="AZ26" s="3">
        <f t="shared" si="11"/>
        <v>0</v>
      </c>
      <c r="BA26" s="3"/>
      <c r="BB26" s="3"/>
      <c r="BC26" s="3"/>
      <c r="BD26" s="3">
        <f t="shared" si="12"/>
        <v>0</v>
      </c>
      <c r="BE26" s="3">
        <f t="shared" si="30"/>
        <v>416.95000000000005</v>
      </c>
      <c r="BF26" s="3">
        <f t="shared" si="31"/>
        <v>0</v>
      </c>
      <c r="BG26" s="3">
        <f t="shared" si="32"/>
        <v>0</v>
      </c>
      <c r="BH26" s="3">
        <f t="shared" si="4"/>
        <v>416.95000000000005</v>
      </c>
      <c r="BI26" s="3"/>
      <c r="BJ26" s="3"/>
      <c r="BK26" s="3"/>
      <c r="BL26" s="3">
        <f t="shared" si="5"/>
        <v>0</v>
      </c>
      <c r="BM26" s="3"/>
      <c r="BN26" s="3"/>
      <c r="BO26" s="3"/>
      <c r="BP26" s="3">
        <f t="shared" si="13"/>
        <v>0</v>
      </c>
      <c r="BQ26" s="3"/>
      <c r="BR26" s="3"/>
      <c r="BS26" s="3"/>
      <c r="BT26" s="3">
        <f t="shared" si="14"/>
        <v>0</v>
      </c>
      <c r="BU26" s="3"/>
      <c r="BV26" s="3"/>
      <c r="BW26" s="3"/>
      <c r="BX26" s="3">
        <f t="shared" si="15"/>
        <v>0</v>
      </c>
      <c r="BY26" s="3"/>
      <c r="BZ26" s="3"/>
      <c r="CA26" s="3"/>
      <c r="CB26" s="3">
        <f t="shared" si="16"/>
        <v>0</v>
      </c>
      <c r="CC26" s="3"/>
      <c r="CD26" s="3"/>
      <c r="CE26" s="3"/>
      <c r="CF26" s="3">
        <f t="shared" si="17"/>
        <v>0</v>
      </c>
      <c r="CG26" s="3"/>
      <c r="CH26" s="3"/>
      <c r="CI26" s="3"/>
      <c r="CJ26" s="3">
        <f t="shared" si="18"/>
        <v>0</v>
      </c>
      <c r="CK26" s="3"/>
      <c r="CL26" s="3"/>
      <c r="CM26" s="3"/>
      <c r="CN26" s="3">
        <f t="shared" si="19"/>
        <v>0</v>
      </c>
      <c r="CO26" s="3"/>
      <c r="CP26" s="3"/>
      <c r="CQ26" s="3"/>
      <c r="CR26" s="3">
        <f t="shared" si="20"/>
        <v>0</v>
      </c>
      <c r="CS26" s="3"/>
      <c r="CT26" s="3"/>
      <c r="CU26" s="3"/>
      <c r="CV26" s="3">
        <f t="shared" si="21"/>
        <v>0</v>
      </c>
      <c r="CW26" s="3"/>
      <c r="CX26" s="3"/>
      <c r="CY26" s="3"/>
      <c r="CZ26" s="3">
        <f t="shared" si="22"/>
        <v>0</v>
      </c>
      <c r="DA26" s="3"/>
      <c r="DB26" s="3"/>
      <c r="DC26" s="3"/>
      <c r="DD26" s="3">
        <f t="shared" si="23"/>
        <v>0</v>
      </c>
      <c r="DE26" s="3"/>
      <c r="DF26" s="3"/>
      <c r="DG26" s="3"/>
      <c r="DH26" s="3">
        <f t="shared" si="24"/>
        <v>0</v>
      </c>
      <c r="DI26" s="3"/>
      <c r="DJ26" s="3"/>
      <c r="DK26" s="3"/>
      <c r="DL26" s="3">
        <f t="shared" si="2"/>
        <v>0</v>
      </c>
      <c r="DM26" s="3"/>
      <c r="DN26" s="3"/>
      <c r="DO26" s="3"/>
      <c r="DP26" s="3">
        <f t="shared" si="25"/>
        <v>0</v>
      </c>
      <c r="DQ26" s="3"/>
      <c r="DR26" s="3"/>
      <c r="DS26" s="3"/>
      <c r="DT26" s="3">
        <f t="shared" si="26"/>
        <v>0</v>
      </c>
      <c r="DU26" s="3"/>
      <c r="DV26" s="3"/>
      <c r="DW26" s="3"/>
      <c r="DX26" s="3">
        <f t="shared" si="27"/>
        <v>0</v>
      </c>
      <c r="DY26" s="3"/>
      <c r="DZ26" s="3"/>
      <c r="EA26" s="3"/>
      <c r="EB26" s="3">
        <f t="shared" si="28"/>
        <v>0</v>
      </c>
      <c r="EC26" s="4">
        <f t="shared" si="6"/>
        <v>416.95000000000005</v>
      </c>
      <c r="ED26" s="5">
        <f t="shared" si="29"/>
        <v>0</v>
      </c>
      <c r="EE26" s="6">
        <f t="shared" si="33"/>
        <v>416.95000000000005</v>
      </c>
      <c r="EF26" s="6">
        <f t="shared" si="33"/>
        <v>0</v>
      </c>
      <c r="EG26" s="6">
        <f t="shared" si="33"/>
        <v>0</v>
      </c>
    </row>
    <row r="27" spans="1:137" ht="12" customHeight="1" x14ac:dyDescent="0.35">
      <c r="A27" s="34" t="s">
        <v>91</v>
      </c>
      <c r="B27" s="35">
        <v>30450</v>
      </c>
      <c r="C27" s="35" t="s">
        <v>169</v>
      </c>
      <c r="D27" s="35" t="s">
        <v>93</v>
      </c>
      <c r="E27" s="34">
        <v>418801</v>
      </c>
      <c r="F27" s="35" t="s">
        <v>170</v>
      </c>
      <c r="G27" s="8">
        <v>46086</v>
      </c>
      <c r="H27" s="8">
        <v>46126</v>
      </c>
      <c r="I27" s="36">
        <v>5</v>
      </c>
      <c r="J27" s="36">
        <v>8217</v>
      </c>
      <c r="K27" s="36">
        <v>410.85</v>
      </c>
      <c r="L27" s="37"/>
      <c r="M27" s="37"/>
      <c r="N27" s="36">
        <v>410.85</v>
      </c>
      <c r="O27" s="36">
        <v>8627.85</v>
      </c>
      <c r="P27" s="35" t="s">
        <v>95</v>
      </c>
      <c r="Q27" s="34" t="s">
        <v>36</v>
      </c>
      <c r="R27" s="35" t="s">
        <v>96</v>
      </c>
      <c r="S27" s="35" t="s">
        <v>97</v>
      </c>
      <c r="T27" s="35" t="s">
        <v>98</v>
      </c>
      <c r="U27" s="35" t="s">
        <v>99</v>
      </c>
      <c r="V27" s="34">
        <v>996311</v>
      </c>
      <c r="W27" s="35" t="s">
        <v>171</v>
      </c>
      <c r="X27" s="34" t="s">
        <v>101</v>
      </c>
      <c r="Y27" s="35">
        <v>107</v>
      </c>
      <c r="Z27" s="35" t="s">
        <v>102</v>
      </c>
      <c r="AA27" t="s">
        <v>172</v>
      </c>
      <c r="AB27">
        <v>410.85</v>
      </c>
      <c r="AC27">
        <v>411</v>
      </c>
      <c r="AD27" s="38">
        <v>0</v>
      </c>
      <c r="AE27" t="s">
        <v>104</v>
      </c>
      <c r="AF27" t="s">
        <v>73</v>
      </c>
      <c r="AG27" s="3"/>
      <c r="AH27" s="3"/>
      <c r="AI27" s="3"/>
      <c r="AJ27" s="3">
        <f t="shared" si="7"/>
        <v>0</v>
      </c>
      <c r="AK27" s="3"/>
      <c r="AL27" s="3"/>
      <c r="AM27" s="3"/>
      <c r="AN27" s="3">
        <f t="shared" si="8"/>
        <v>0</v>
      </c>
      <c r="AO27" s="3"/>
      <c r="AP27" s="3"/>
      <c r="AQ27" s="3"/>
      <c r="AR27" s="3">
        <f t="shared" si="9"/>
        <v>0</v>
      </c>
      <c r="AS27" s="3"/>
      <c r="AT27" s="3"/>
      <c r="AU27" s="3"/>
      <c r="AV27" s="3">
        <f t="shared" si="10"/>
        <v>0</v>
      </c>
      <c r="AW27" s="3"/>
      <c r="AX27" s="3"/>
      <c r="AY27" s="3"/>
      <c r="AZ27" s="3">
        <f t="shared" si="11"/>
        <v>0</v>
      </c>
      <c r="BA27" s="3"/>
      <c r="BB27" s="3"/>
      <c r="BC27" s="3"/>
      <c r="BD27" s="3">
        <f t="shared" si="12"/>
        <v>0</v>
      </c>
      <c r="BE27" s="3">
        <f t="shared" si="30"/>
        <v>410.85</v>
      </c>
      <c r="BF27" s="3">
        <f t="shared" si="31"/>
        <v>0</v>
      </c>
      <c r="BG27" s="3">
        <f t="shared" si="32"/>
        <v>0</v>
      </c>
      <c r="BH27" s="3">
        <f t="shared" si="4"/>
        <v>410.85</v>
      </c>
      <c r="BI27" s="3"/>
      <c r="BJ27" s="3"/>
      <c r="BK27" s="3"/>
      <c r="BL27" s="3">
        <f t="shared" si="5"/>
        <v>0</v>
      </c>
      <c r="BM27" s="3"/>
      <c r="BN27" s="3"/>
      <c r="BO27" s="3"/>
      <c r="BP27" s="3">
        <f t="shared" si="13"/>
        <v>0</v>
      </c>
      <c r="BQ27" s="3"/>
      <c r="BR27" s="3"/>
      <c r="BS27" s="3"/>
      <c r="BT27" s="3">
        <f t="shared" si="14"/>
        <v>0</v>
      </c>
      <c r="BU27" s="3"/>
      <c r="BV27" s="3"/>
      <c r="BW27" s="3"/>
      <c r="BX27" s="3">
        <f t="shared" si="15"/>
        <v>0</v>
      </c>
      <c r="BY27" s="3"/>
      <c r="BZ27" s="3"/>
      <c r="CA27" s="3"/>
      <c r="CB27" s="3">
        <f t="shared" si="16"/>
        <v>0</v>
      </c>
      <c r="CC27" s="3"/>
      <c r="CD27" s="3"/>
      <c r="CE27" s="3"/>
      <c r="CF27" s="3">
        <f t="shared" si="17"/>
        <v>0</v>
      </c>
      <c r="CG27" s="3"/>
      <c r="CH27" s="3"/>
      <c r="CI27" s="3"/>
      <c r="CJ27" s="3">
        <f t="shared" si="18"/>
        <v>0</v>
      </c>
      <c r="CK27" s="3"/>
      <c r="CL27" s="3"/>
      <c r="CM27" s="3"/>
      <c r="CN27" s="3">
        <f t="shared" si="19"/>
        <v>0</v>
      </c>
      <c r="CO27" s="3"/>
      <c r="CP27" s="3"/>
      <c r="CQ27" s="3"/>
      <c r="CR27" s="3">
        <f t="shared" si="20"/>
        <v>0</v>
      </c>
      <c r="CS27" s="3"/>
      <c r="CT27" s="3"/>
      <c r="CU27" s="3"/>
      <c r="CV27" s="3">
        <f>SUBTOTAL(9,CS27:CU27)</f>
        <v>0</v>
      </c>
      <c r="CW27" s="3"/>
      <c r="CX27" s="3"/>
      <c r="CY27" s="3"/>
      <c r="CZ27" s="3">
        <f t="shared" si="22"/>
        <v>0</v>
      </c>
      <c r="DA27" s="3"/>
      <c r="DB27" s="3"/>
      <c r="DC27" s="3"/>
      <c r="DD27" s="3">
        <f t="shared" si="23"/>
        <v>0</v>
      </c>
      <c r="DE27" s="3"/>
      <c r="DF27" s="3"/>
      <c r="DG27" s="3"/>
      <c r="DH27" s="3">
        <f t="shared" si="24"/>
        <v>0</v>
      </c>
      <c r="DI27" s="3"/>
      <c r="DJ27" s="3"/>
      <c r="DK27" s="3"/>
      <c r="DL27" s="3">
        <f t="shared" si="2"/>
        <v>0</v>
      </c>
      <c r="DM27" s="3"/>
      <c r="DN27" s="3"/>
      <c r="DO27" s="3"/>
      <c r="DP27" s="3">
        <f t="shared" si="25"/>
        <v>0</v>
      </c>
      <c r="DQ27" s="3"/>
      <c r="DR27" s="3"/>
      <c r="DS27" s="3"/>
      <c r="DT27" s="3">
        <f t="shared" si="26"/>
        <v>0</v>
      </c>
      <c r="DU27" s="3"/>
      <c r="DV27" s="3"/>
      <c r="DW27" s="3"/>
      <c r="DX27" s="3">
        <f t="shared" si="27"/>
        <v>0</v>
      </c>
      <c r="DY27" s="3"/>
      <c r="DZ27" s="3"/>
      <c r="EA27" s="3"/>
      <c r="EB27" s="3">
        <f t="shared" si="28"/>
        <v>0</v>
      </c>
      <c r="EC27" s="4">
        <f t="shared" si="6"/>
        <v>410.85</v>
      </c>
      <c r="ED27" s="5">
        <f t="shared" si="29"/>
        <v>0</v>
      </c>
      <c r="EE27" s="6">
        <f t="shared" si="33"/>
        <v>410.85</v>
      </c>
      <c r="EF27" s="6">
        <f t="shared" si="33"/>
        <v>0</v>
      </c>
      <c r="EG27" s="6">
        <f t="shared" si="33"/>
        <v>0</v>
      </c>
    </row>
    <row r="28" spans="1:137" ht="12" customHeight="1" x14ac:dyDescent="0.35">
      <c r="A28" s="34" t="s">
        <v>115</v>
      </c>
      <c r="B28" s="35">
        <v>28324</v>
      </c>
      <c r="C28" s="35" t="s">
        <v>144</v>
      </c>
      <c r="D28" s="35" t="s">
        <v>93</v>
      </c>
      <c r="E28" s="34">
        <v>418801</v>
      </c>
      <c r="F28" s="35" t="s">
        <v>173</v>
      </c>
      <c r="G28" s="8">
        <v>46083</v>
      </c>
      <c r="H28" s="8">
        <v>46126</v>
      </c>
      <c r="I28" s="36">
        <v>5</v>
      </c>
      <c r="J28" s="36">
        <v>395</v>
      </c>
      <c r="K28" s="36">
        <v>19.75</v>
      </c>
      <c r="L28" s="37"/>
      <c r="M28" s="37"/>
      <c r="N28" s="36">
        <v>19.75</v>
      </c>
      <c r="O28" s="36">
        <v>414.75</v>
      </c>
      <c r="P28" s="35" t="s">
        <v>95</v>
      </c>
      <c r="Q28" s="34" t="s">
        <v>36</v>
      </c>
      <c r="R28" s="35" t="s">
        <v>96</v>
      </c>
      <c r="S28" s="35" t="s">
        <v>97</v>
      </c>
      <c r="T28" s="35" t="s">
        <v>98</v>
      </c>
      <c r="U28" s="35" t="s">
        <v>99</v>
      </c>
      <c r="V28" s="34">
        <v>996311</v>
      </c>
      <c r="W28" s="35" t="s">
        <v>146</v>
      </c>
      <c r="X28" s="34" t="s">
        <v>101</v>
      </c>
      <c r="Y28" s="35">
        <v>107</v>
      </c>
      <c r="Z28" s="35" t="s">
        <v>102</v>
      </c>
      <c r="AA28" t="s">
        <v>174</v>
      </c>
      <c r="AB28">
        <v>19.75</v>
      </c>
      <c r="AC28">
        <v>20</v>
      </c>
      <c r="AD28" s="38">
        <v>0</v>
      </c>
      <c r="AE28" t="s">
        <v>104</v>
      </c>
      <c r="AF28" t="s">
        <v>73</v>
      </c>
      <c r="AG28" s="3"/>
      <c r="AH28" s="3"/>
      <c r="AI28" s="3"/>
      <c r="AJ28" s="3">
        <f t="shared" si="7"/>
        <v>0</v>
      </c>
      <c r="AK28" s="3"/>
      <c r="AL28" s="3"/>
      <c r="AM28" s="3"/>
      <c r="AN28" s="3">
        <f t="shared" si="8"/>
        <v>0</v>
      </c>
      <c r="AO28" s="3"/>
      <c r="AP28" s="3"/>
      <c r="AQ28" s="3"/>
      <c r="AR28" s="3">
        <f t="shared" si="9"/>
        <v>0</v>
      </c>
      <c r="AS28" s="3"/>
      <c r="AT28" s="3"/>
      <c r="AU28" s="3"/>
      <c r="AV28" s="3">
        <f t="shared" si="10"/>
        <v>0</v>
      </c>
      <c r="AW28" s="3"/>
      <c r="AX28" s="3"/>
      <c r="AY28" s="3"/>
      <c r="AZ28" s="3">
        <f t="shared" si="11"/>
        <v>0</v>
      </c>
      <c r="BA28" s="3"/>
      <c r="BB28" s="3"/>
      <c r="BC28" s="3"/>
      <c r="BD28" s="3">
        <f t="shared" si="12"/>
        <v>0</v>
      </c>
      <c r="BE28" s="3">
        <f t="shared" si="30"/>
        <v>19.75</v>
      </c>
      <c r="BF28" s="3">
        <f t="shared" si="31"/>
        <v>0</v>
      </c>
      <c r="BG28" s="3">
        <f t="shared" si="32"/>
        <v>0</v>
      </c>
      <c r="BH28" s="3">
        <f t="shared" si="4"/>
        <v>19.75</v>
      </c>
      <c r="BI28" s="3"/>
      <c r="BJ28" s="3"/>
      <c r="BK28" s="3"/>
      <c r="BL28" s="3">
        <f t="shared" si="5"/>
        <v>0</v>
      </c>
      <c r="BM28" s="3"/>
      <c r="BN28" s="3"/>
      <c r="BO28" s="3"/>
      <c r="BP28" s="3">
        <f t="shared" si="13"/>
        <v>0</v>
      </c>
      <c r="BQ28" s="3"/>
      <c r="BR28" s="3"/>
      <c r="BS28" s="3"/>
      <c r="BT28" s="3">
        <f t="shared" si="14"/>
        <v>0</v>
      </c>
      <c r="BU28" s="3"/>
      <c r="BV28" s="3"/>
      <c r="BW28" s="3"/>
      <c r="BX28" s="3">
        <f t="shared" si="15"/>
        <v>0</v>
      </c>
      <c r="BY28" s="3"/>
      <c r="BZ28" s="3"/>
      <c r="CA28" s="3"/>
      <c r="CB28" s="3">
        <f t="shared" si="16"/>
        <v>0</v>
      </c>
      <c r="CC28" s="3"/>
      <c r="CD28" s="3"/>
      <c r="CE28" s="3"/>
      <c r="CF28" s="3">
        <f t="shared" si="17"/>
        <v>0</v>
      </c>
      <c r="CG28" s="3"/>
      <c r="CH28" s="3"/>
      <c r="CI28" s="3"/>
      <c r="CJ28" s="3">
        <f t="shared" si="18"/>
        <v>0</v>
      </c>
      <c r="CK28" s="3"/>
      <c r="CL28" s="3"/>
      <c r="CM28" s="3"/>
      <c r="CN28" s="3">
        <f t="shared" si="19"/>
        <v>0</v>
      </c>
      <c r="CO28" s="3"/>
      <c r="CP28" s="3"/>
      <c r="CQ28" s="3"/>
      <c r="CR28" s="3">
        <f t="shared" si="20"/>
        <v>0</v>
      </c>
      <c r="CS28" s="3"/>
      <c r="CT28" s="3"/>
      <c r="CU28" s="3"/>
      <c r="CV28" s="3">
        <f t="shared" si="21"/>
        <v>0</v>
      </c>
      <c r="CW28" s="3"/>
      <c r="CX28" s="3"/>
      <c r="CY28" s="3"/>
      <c r="CZ28" s="3">
        <f t="shared" si="22"/>
        <v>0</v>
      </c>
      <c r="DA28" s="3"/>
      <c r="DB28" s="3"/>
      <c r="DC28" s="3"/>
      <c r="DD28" s="3">
        <f t="shared" si="23"/>
        <v>0</v>
      </c>
      <c r="DE28" s="3"/>
      <c r="DF28" s="3"/>
      <c r="DG28" s="3"/>
      <c r="DH28" s="3">
        <f t="shared" si="24"/>
        <v>0</v>
      </c>
      <c r="DI28" s="3"/>
      <c r="DJ28" s="3"/>
      <c r="DK28" s="3"/>
      <c r="DL28" s="3">
        <f t="shared" si="2"/>
        <v>0</v>
      </c>
      <c r="DM28" s="3"/>
      <c r="DN28" s="3"/>
      <c r="DO28" s="3"/>
      <c r="DP28" s="3">
        <f t="shared" si="25"/>
        <v>0</v>
      </c>
      <c r="DQ28" s="3"/>
      <c r="DR28" s="3"/>
      <c r="DS28" s="3"/>
      <c r="DT28" s="3">
        <f t="shared" si="26"/>
        <v>0</v>
      </c>
      <c r="DU28" s="3"/>
      <c r="DV28" s="3"/>
      <c r="DW28" s="3"/>
      <c r="DX28" s="3">
        <f t="shared" si="27"/>
        <v>0</v>
      </c>
      <c r="DY28" s="3"/>
      <c r="DZ28" s="3"/>
      <c r="EA28" s="3"/>
      <c r="EB28" s="3">
        <f t="shared" si="28"/>
        <v>0</v>
      </c>
      <c r="EC28" s="4">
        <f t="shared" si="6"/>
        <v>19.75</v>
      </c>
      <c r="ED28" s="5">
        <f t="shared" si="29"/>
        <v>0</v>
      </c>
      <c r="EE28" s="6">
        <f t="shared" si="33"/>
        <v>19.75</v>
      </c>
      <c r="EF28" s="6">
        <f t="shared" si="33"/>
        <v>0</v>
      </c>
      <c r="EG28" s="6">
        <f t="shared" si="33"/>
        <v>0</v>
      </c>
    </row>
    <row r="29" spans="1:137" ht="12" customHeight="1" x14ac:dyDescent="0.35">
      <c r="A29" s="34" t="s">
        <v>115</v>
      </c>
      <c r="B29" s="35">
        <v>28324</v>
      </c>
      <c r="C29" s="35" t="s">
        <v>120</v>
      </c>
      <c r="D29" s="35" t="s">
        <v>93</v>
      </c>
      <c r="E29" s="34">
        <v>418801</v>
      </c>
      <c r="F29" s="35" t="s">
        <v>175</v>
      </c>
      <c r="G29" s="8">
        <v>46009</v>
      </c>
      <c r="H29" s="8">
        <v>46126</v>
      </c>
      <c r="I29" s="36">
        <v>5</v>
      </c>
      <c r="J29" s="36">
        <v>5600</v>
      </c>
      <c r="K29" s="36">
        <v>280</v>
      </c>
      <c r="L29" s="37"/>
      <c r="M29" s="37"/>
      <c r="N29" s="36">
        <v>280</v>
      </c>
      <c r="O29" s="36">
        <v>5880</v>
      </c>
      <c r="P29" s="35" t="s">
        <v>95</v>
      </c>
      <c r="Q29" s="34" t="s">
        <v>36</v>
      </c>
      <c r="R29" s="35" t="s">
        <v>176</v>
      </c>
      <c r="S29" s="35" t="s">
        <v>97</v>
      </c>
      <c r="T29" s="35" t="s">
        <v>98</v>
      </c>
      <c r="U29" s="35" t="s">
        <v>99</v>
      </c>
      <c r="V29" s="34">
        <v>996311</v>
      </c>
      <c r="W29" s="35" t="s">
        <v>177</v>
      </c>
      <c r="X29" s="34" t="s">
        <v>101</v>
      </c>
      <c r="Y29" s="35">
        <v>107</v>
      </c>
      <c r="Z29" s="35" t="s">
        <v>102</v>
      </c>
      <c r="AA29" t="s">
        <v>178</v>
      </c>
      <c r="AB29">
        <v>280</v>
      </c>
      <c r="AC29">
        <v>280</v>
      </c>
      <c r="AD29" s="38">
        <v>0</v>
      </c>
      <c r="AE29" t="s">
        <v>104</v>
      </c>
      <c r="AF29" t="s">
        <v>73</v>
      </c>
      <c r="AG29" s="3"/>
      <c r="AH29" s="3"/>
      <c r="AI29" s="3"/>
      <c r="AJ29" s="3">
        <f t="shared" si="7"/>
        <v>0</v>
      </c>
      <c r="AK29" s="3"/>
      <c r="AL29" s="3"/>
      <c r="AM29" s="3"/>
      <c r="AN29" s="3">
        <f t="shared" si="8"/>
        <v>0</v>
      </c>
      <c r="AO29" s="3"/>
      <c r="AP29" s="3"/>
      <c r="AQ29" s="3"/>
      <c r="AR29" s="3">
        <f t="shared" si="9"/>
        <v>0</v>
      </c>
      <c r="AS29" s="3"/>
      <c r="AT29" s="3"/>
      <c r="AU29" s="3"/>
      <c r="AV29" s="3">
        <f t="shared" si="10"/>
        <v>0</v>
      </c>
      <c r="AW29" s="3"/>
      <c r="AX29" s="3"/>
      <c r="AY29" s="3"/>
      <c r="AZ29" s="3">
        <f t="shared" si="11"/>
        <v>0</v>
      </c>
      <c r="BA29" s="3"/>
      <c r="BB29" s="3"/>
      <c r="BC29" s="3"/>
      <c r="BD29" s="3">
        <f t="shared" si="12"/>
        <v>0</v>
      </c>
      <c r="BE29" s="3">
        <f t="shared" si="30"/>
        <v>280</v>
      </c>
      <c r="BF29" s="3">
        <f t="shared" si="31"/>
        <v>0</v>
      </c>
      <c r="BG29" s="3">
        <f t="shared" si="32"/>
        <v>0</v>
      </c>
      <c r="BH29" s="3">
        <f t="shared" si="4"/>
        <v>280</v>
      </c>
      <c r="BI29" s="3"/>
      <c r="BJ29" s="3"/>
      <c r="BK29" s="3"/>
      <c r="BL29" s="3">
        <f t="shared" si="5"/>
        <v>0</v>
      </c>
      <c r="BM29" s="3"/>
      <c r="BN29" s="3"/>
      <c r="BO29" s="3"/>
      <c r="BP29" s="3">
        <f t="shared" si="13"/>
        <v>0</v>
      </c>
      <c r="BQ29" s="3"/>
      <c r="BR29" s="3"/>
      <c r="BS29" s="3"/>
      <c r="BT29" s="3">
        <f t="shared" si="14"/>
        <v>0</v>
      </c>
      <c r="BU29" s="3"/>
      <c r="BV29" s="3"/>
      <c r="BW29" s="3"/>
      <c r="BX29" s="3">
        <f t="shared" si="15"/>
        <v>0</v>
      </c>
      <c r="BY29" s="3"/>
      <c r="BZ29" s="3"/>
      <c r="CA29" s="3"/>
      <c r="CB29" s="3">
        <f t="shared" si="16"/>
        <v>0</v>
      </c>
      <c r="CC29" s="3"/>
      <c r="CD29" s="3"/>
      <c r="CE29" s="3"/>
      <c r="CF29" s="3">
        <f t="shared" si="17"/>
        <v>0</v>
      </c>
      <c r="CG29" s="3"/>
      <c r="CH29" s="3"/>
      <c r="CI29" s="3"/>
      <c r="CJ29" s="3">
        <f t="shared" si="18"/>
        <v>0</v>
      </c>
      <c r="CK29" s="3"/>
      <c r="CL29" s="3"/>
      <c r="CM29" s="3"/>
      <c r="CN29" s="3">
        <f t="shared" si="19"/>
        <v>0</v>
      </c>
      <c r="CO29" s="3"/>
      <c r="CP29" s="3"/>
      <c r="CQ29" s="3"/>
      <c r="CR29" s="3">
        <f t="shared" si="20"/>
        <v>0</v>
      </c>
      <c r="CS29" s="3"/>
      <c r="CT29" s="3"/>
      <c r="CU29" s="3"/>
      <c r="CV29" s="3">
        <f t="shared" si="21"/>
        <v>0</v>
      </c>
      <c r="CW29" s="3"/>
      <c r="CX29" s="3"/>
      <c r="CY29" s="3"/>
      <c r="CZ29" s="3">
        <f t="shared" si="22"/>
        <v>0</v>
      </c>
      <c r="DA29" s="3"/>
      <c r="DB29" s="3"/>
      <c r="DC29" s="3"/>
      <c r="DD29" s="3">
        <f t="shared" si="23"/>
        <v>0</v>
      </c>
      <c r="DE29" s="3"/>
      <c r="DF29" s="3"/>
      <c r="DG29" s="3"/>
      <c r="DH29" s="3">
        <f t="shared" si="24"/>
        <v>0</v>
      </c>
      <c r="DI29" s="3"/>
      <c r="DJ29" s="3"/>
      <c r="DK29" s="3"/>
      <c r="DL29" s="3">
        <f t="shared" si="2"/>
        <v>0</v>
      </c>
      <c r="DM29" s="3"/>
      <c r="DN29" s="3"/>
      <c r="DO29" s="3"/>
      <c r="DP29" s="3">
        <f t="shared" si="25"/>
        <v>0</v>
      </c>
      <c r="DQ29" s="3"/>
      <c r="DR29" s="3"/>
      <c r="DS29" s="3"/>
      <c r="DT29" s="3">
        <f t="shared" si="26"/>
        <v>0</v>
      </c>
      <c r="DU29" s="3"/>
      <c r="DV29" s="3"/>
      <c r="DW29" s="3"/>
      <c r="DX29" s="3">
        <f t="shared" si="27"/>
        <v>0</v>
      </c>
      <c r="DY29" s="3"/>
      <c r="DZ29" s="3"/>
      <c r="EA29" s="3"/>
      <c r="EB29" s="3">
        <f t="shared" si="28"/>
        <v>0</v>
      </c>
      <c r="EC29" s="4">
        <f t="shared" si="6"/>
        <v>280</v>
      </c>
      <c r="ED29" s="5">
        <f t="shared" si="29"/>
        <v>0</v>
      </c>
      <c r="EE29" s="6">
        <f t="shared" si="33"/>
        <v>280</v>
      </c>
      <c r="EF29" s="6">
        <f t="shared" si="33"/>
        <v>0</v>
      </c>
      <c r="EG29" s="6">
        <f t="shared" si="33"/>
        <v>0</v>
      </c>
    </row>
    <row r="30" spans="1:137" ht="12" customHeight="1" x14ac:dyDescent="0.35">
      <c r="A30" s="34" t="s">
        <v>115</v>
      </c>
      <c r="B30" s="35">
        <v>28324</v>
      </c>
      <c r="C30" s="35" t="s">
        <v>120</v>
      </c>
      <c r="D30" s="35" t="s">
        <v>110</v>
      </c>
      <c r="E30" s="34">
        <v>150781</v>
      </c>
      <c r="F30" s="35" t="s">
        <v>179</v>
      </c>
      <c r="G30" s="8">
        <v>46087</v>
      </c>
      <c r="H30" s="8">
        <v>46126</v>
      </c>
      <c r="I30" s="36">
        <v>5</v>
      </c>
      <c r="J30" s="36">
        <v>-5970</v>
      </c>
      <c r="K30" s="36">
        <v>-298.5</v>
      </c>
      <c r="L30" s="37"/>
      <c r="M30" s="37"/>
      <c r="N30" s="36">
        <v>-298.5</v>
      </c>
      <c r="O30" s="36">
        <v>-6268.5</v>
      </c>
      <c r="P30" s="35" t="s">
        <v>95</v>
      </c>
      <c r="Q30" s="34" t="s">
        <v>36</v>
      </c>
      <c r="R30" s="35" t="s">
        <v>112</v>
      </c>
      <c r="S30" s="35" t="s">
        <v>97</v>
      </c>
      <c r="T30" s="35" t="s">
        <v>98</v>
      </c>
      <c r="U30" s="35" t="s">
        <v>99</v>
      </c>
      <c r="V30" s="34">
        <v>996311</v>
      </c>
      <c r="W30" s="35" t="s">
        <v>123</v>
      </c>
      <c r="X30" s="34" t="s">
        <v>101</v>
      </c>
      <c r="Y30" s="35">
        <v>107</v>
      </c>
      <c r="Z30" s="35" t="s">
        <v>102</v>
      </c>
      <c r="AA30" t="s">
        <v>180</v>
      </c>
      <c r="AB30">
        <v>-298.5</v>
      </c>
      <c r="AC30">
        <v>-299</v>
      </c>
      <c r="AD30" s="38">
        <v>1</v>
      </c>
      <c r="AE30" t="s">
        <v>104</v>
      </c>
      <c r="AF30" t="s">
        <v>73</v>
      </c>
      <c r="AG30" s="3"/>
      <c r="AH30" s="3"/>
      <c r="AI30" s="3"/>
      <c r="AJ30" s="3">
        <f t="shared" si="7"/>
        <v>0</v>
      </c>
      <c r="AK30" s="3"/>
      <c r="AL30" s="3"/>
      <c r="AM30" s="3"/>
      <c r="AN30" s="3">
        <f t="shared" si="8"/>
        <v>0</v>
      </c>
      <c r="AO30" s="3"/>
      <c r="AP30" s="3"/>
      <c r="AQ30" s="3"/>
      <c r="AR30" s="3">
        <f t="shared" si="9"/>
        <v>0</v>
      </c>
      <c r="AS30" s="3"/>
      <c r="AT30" s="3"/>
      <c r="AU30" s="3"/>
      <c r="AV30" s="3">
        <f t="shared" si="10"/>
        <v>0</v>
      </c>
      <c r="AW30" s="3"/>
      <c r="AX30" s="3"/>
      <c r="AY30" s="3"/>
      <c r="AZ30" s="3">
        <f t="shared" si="11"/>
        <v>0</v>
      </c>
      <c r="BA30" s="3"/>
      <c r="BB30" s="3"/>
      <c r="BC30" s="3"/>
      <c r="BD30" s="3">
        <f t="shared" si="12"/>
        <v>0</v>
      </c>
      <c r="BE30" s="3">
        <f t="shared" si="30"/>
        <v>-298.5</v>
      </c>
      <c r="BF30" s="3">
        <f t="shared" si="31"/>
        <v>0</v>
      </c>
      <c r="BG30" s="3">
        <f t="shared" si="32"/>
        <v>0</v>
      </c>
      <c r="BH30" s="3">
        <f t="shared" si="4"/>
        <v>-298.5</v>
      </c>
      <c r="BI30" s="3"/>
      <c r="BJ30" s="3"/>
      <c r="BK30" s="3"/>
      <c r="BL30" s="3">
        <f t="shared" si="5"/>
        <v>0</v>
      </c>
      <c r="BM30" s="3"/>
      <c r="BN30" s="3"/>
      <c r="BO30" s="3"/>
      <c r="BP30" s="3">
        <f t="shared" si="13"/>
        <v>0</v>
      </c>
      <c r="BQ30" s="3"/>
      <c r="BR30" s="3"/>
      <c r="BS30" s="3"/>
      <c r="BT30" s="3">
        <f t="shared" si="14"/>
        <v>0</v>
      </c>
      <c r="BU30" s="3"/>
      <c r="BV30" s="3"/>
      <c r="BW30" s="3"/>
      <c r="BX30" s="3">
        <f t="shared" si="15"/>
        <v>0</v>
      </c>
      <c r="BY30" s="3"/>
      <c r="BZ30" s="3"/>
      <c r="CA30" s="3"/>
      <c r="CB30" s="3">
        <f t="shared" si="16"/>
        <v>0</v>
      </c>
      <c r="CC30" s="3"/>
      <c r="CD30" s="3"/>
      <c r="CE30" s="3"/>
      <c r="CF30" s="3">
        <f t="shared" si="17"/>
        <v>0</v>
      </c>
      <c r="CG30" s="3"/>
      <c r="CH30" s="3"/>
      <c r="CI30" s="3"/>
      <c r="CJ30" s="3">
        <f t="shared" si="18"/>
        <v>0</v>
      </c>
      <c r="CK30" s="3"/>
      <c r="CL30" s="3"/>
      <c r="CM30" s="3"/>
      <c r="CN30" s="3">
        <f t="shared" si="19"/>
        <v>0</v>
      </c>
      <c r="CO30" s="3"/>
      <c r="CP30" s="3"/>
      <c r="CQ30" s="3"/>
      <c r="CR30" s="3">
        <f t="shared" si="20"/>
        <v>0</v>
      </c>
      <c r="CS30" s="3"/>
      <c r="CT30" s="3"/>
      <c r="CU30" s="3"/>
      <c r="CV30" s="3">
        <f t="shared" si="21"/>
        <v>0</v>
      </c>
      <c r="CW30" s="3"/>
      <c r="CX30" s="3"/>
      <c r="CY30" s="3"/>
      <c r="CZ30" s="3">
        <f t="shared" si="22"/>
        <v>0</v>
      </c>
      <c r="DA30" s="3"/>
      <c r="DB30" s="3"/>
      <c r="DC30" s="3"/>
      <c r="DD30" s="3">
        <f t="shared" si="23"/>
        <v>0</v>
      </c>
      <c r="DE30" s="3"/>
      <c r="DF30" s="3"/>
      <c r="DG30" s="3"/>
      <c r="DH30" s="3">
        <f t="shared" si="24"/>
        <v>0</v>
      </c>
      <c r="DI30" s="3"/>
      <c r="DJ30" s="3"/>
      <c r="DK30" s="3"/>
      <c r="DL30" s="3">
        <f t="shared" si="2"/>
        <v>0</v>
      </c>
      <c r="DM30" s="3"/>
      <c r="DN30" s="3"/>
      <c r="DO30" s="3"/>
      <c r="DP30" s="3">
        <f>SUBTOTAL(9,DM30:DO30)</f>
        <v>0</v>
      </c>
      <c r="DQ30" s="3"/>
      <c r="DR30" s="3"/>
      <c r="DS30" s="3"/>
      <c r="DT30" s="3">
        <f t="shared" si="26"/>
        <v>0</v>
      </c>
      <c r="DU30" s="3"/>
      <c r="DV30" s="3"/>
      <c r="DW30" s="3"/>
      <c r="DX30" s="3">
        <f t="shared" si="27"/>
        <v>0</v>
      </c>
      <c r="DY30" s="3"/>
      <c r="DZ30" s="3"/>
      <c r="EA30" s="3"/>
      <c r="EB30" s="3">
        <f t="shared" si="28"/>
        <v>0</v>
      </c>
      <c r="EC30" s="4">
        <f t="shared" si="6"/>
        <v>-298.5</v>
      </c>
      <c r="ED30" s="5">
        <f t="shared" si="29"/>
        <v>0</v>
      </c>
      <c r="EE30" s="6">
        <f t="shared" si="33"/>
        <v>-298.5</v>
      </c>
      <c r="EF30" s="6">
        <f t="shared" si="33"/>
        <v>0</v>
      </c>
      <c r="EG30" s="6">
        <f t="shared" si="33"/>
        <v>0</v>
      </c>
    </row>
    <row r="31" spans="1:137" ht="12" customHeight="1" x14ac:dyDescent="0.35">
      <c r="A31" s="34" t="s">
        <v>181</v>
      </c>
      <c r="B31" s="35">
        <v>28862</v>
      </c>
      <c r="C31" s="35" t="s">
        <v>182</v>
      </c>
      <c r="D31" s="35" t="s">
        <v>183</v>
      </c>
      <c r="E31" s="34">
        <v>234010</v>
      </c>
      <c r="F31" s="35" t="s">
        <v>184</v>
      </c>
      <c r="G31" s="8">
        <v>46119</v>
      </c>
      <c r="H31" s="8">
        <v>46126</v>
      </c>
      <c r="I31" s="36">
        <v>18</v>
      </c>
      <c r="J31" s="36">
        <v>4773</v>
      </c>
      <c r="K31" s="37"/>
      <c r="L31" s="36">
        <v>429.57</v>
      </c>
      <c r="M31" s="36">
        <v>429.57</v>
      </c>
      <c r="N31" s="36">
        <v>859.14</v>
      </c>
      <c r="O31" s="36">
        <v>5632.14</v>
      </c>
      <c r="P31" s="35" t="s">
        <v>95</v>
      </c>
      <c r="Q31" s="34" t="s">
        <v>185</v>
      </c>
      <c r="R31" s="35" t="s">
        <v>112</v>
      </c>
      <c r="S31" s="35" t="s">
        <v>97</v>
      </c>
      <c r="T31" s="35" t="s">
        <v>98</v>
      </c>
      <c r="U31" s="35" t="s">
        <v>186</v>
      </c>
      <c r="V31" s="34">
        <v>9964</v>
      </c>
      <c r="W31" s="35" t="s">
        <v>187</v>
      </c>
      <c r="X31" s="34" t="s">
        <v>101</v>
      </c>
      <c r="Y31" s="35">
        <v>107</v>
      </c>
      <c r="Z31" s="35" t="s">
        <v>102</v>
      </c>
      <c r="AA31" t="s">
        <v>188</v>
      </c>
      <c r="AB31">
        <v>859.14</v>
      </c>
      <c r="AC31">
        <v>859.14</v>
      </c>
      <c r="AD31" s="38">
        <v>0</v>
      </c>
      <c r="AE31" t="s">
        <v>104</v>
      </c>
      <c r="AF31" t="s">
        <v>73</v>
      </c>
      <c r="AG31" s="3">
        <f>SUM($K31:$M31)*AG$4/$AF$4</f>
        <v>31.809309225302325</v>
      </c>
      <c r="AH31" s="3">
        <v>0</v>
      </c>
      <c r="AI31" s="3">
        <v>0</v>
      </c>
      <c r="AJ31" s="3">
        <f t="shared" si="7"/>
        <v>31.809309225302325</v>
      </c>
      <c r="AK31" s="3">
        <f>SUM($K31:$M31)*AK$4/$AF$4</f>
        <v>0.26469464632753498</v>
      </c>
      <c r="AL31" s="3">
        <v>0</v>
      </c>
      <c r="AM31" s="3">
        <v>0</v>
      </c>
      <c r="AN31" s="3">
        <f t="shared" si="8"/>
        <v>0.26469464632753498</v>
      </c>
      <c r="AO31" s="3">
        <f>SUM($K31:$M31)*AO$4/$AF$4</f>
        <v>13.111161203891038</v>
      </c>
      <c r="AP31" s="3">
        <v>0</v>
      </c>
      <c r="AQ31" s="3">
        <v>0</v>
      </c>
      <c r="AR31" s="3">
        <f t="shared" si="9"/>
        <v>13.111161203891038</v>
      </c>
      <c r="AS31" s="3">
        <f>SUM($K31:$M31)*AS$4/$AF$4</f>
        <v>11.480242153326405</v>
      </c>
      <c r="AT31" s="3">
        <v>0</v>
      </c>
      <c r="AU31" s="3">
        <v>0</v>
      </c>
      <c r="AV31" s="3">
        <f t="shared" si="10"/>
        <v>11.480242153326405</v>
      </c>
      <c r="AW31" s="3">
        <f>SUM($K31:$M31)*AW$4/$AF$4</f>
        <v>1.3466277319755784</v>
      </c>
      <c r="AX31" s="3">
        <v>0</v>
      </c>
      <c r="AY31" s="3">
        <v>0</v>
      </c>
      <c r="AZ31" s="3">
        <f t="shared" si="11"/>
        <v>1.3466277319755784</v>
      </c>
      <c r="BA31" s="3">
        <f>SUM($K31:$M31)*BA$4/$AF$4</f>
        <v>14.379348462714923</v>
      </c>
      <c r="BB31" s="3">
        <v>0</v>
      </c>
      <c r="BC31" s="3">
        <v>0</v>
      </c>
      <c r="BD31" s="3">
        <f t="shared" si="12"/>
        <v>14.379348462714923</v>
      </c>
      <c r="BE31" s="3">
        <f>$K31*BE$4/$AF$4</f>
        <v>0</v>
      </c>
      <c r="BF31" s="3">
        <f>$L31*BE$4/$AF$4</f>
        <v>31.185092159784432</v>
      </c>
      <c r="BG31" s="3">
        <f>$M31*BE$4/$AF$4</f>
        <v>31.185092159784432</v>
      </c>
      <c r="BH31" s="3">
        <f t="shared" si="4"/>
        <v>62.370184319568864</v>
      </c>
      <c r="BI31" s="3">
        <f>SUM($K31:$M31)*BI$4/$AF$4</f>
        <v>36.175274504584173</v>
      </c>
      <c r="BJ31" s="3">
        <v>0</v>
      </c>
      <c r="BK31" s="3">
        <v>0</v>
      </c>
      <c r="BL31" s="3">
        <f t="shared" si="5"/>
        <v>36.175274504584173</v>
      </c>
      <c r="BM31" s="3">
        <f>SUM($K31:$M31)*BM$4/$AF$4</f>
        <v>166.10982443275816</v>
      </c>
      <c r="BN31" s="3">
        <v>0</v>
      </c>
      <c r="BO31" s="3">
        <v>0</v>
      </c>
      <c r="BP31" s="3">
        <f t="shared" si="13"/>
        <v>166.10982443275816</v>
      </c>
      <c r="BQ31" s="3">
        <f>SUM($K31:$M31)*BQ$4/$AF$4</f>
        <v>14.889634761951225</v>
      </c>
      <c r="BR31" s="3">
        <v>0</v>
      </c>
      <c r="BS31" s="3">
        <v>0</v>
      </c>
      <c r="BT31" s="3">
        <f t="shared" si="14"/>
        <v>14.889634761951225</v>
      </c>
      <c r="BU31" s="3">
        <f>SUM($K31:$M31)*BU$4/$AF$4</f>
        <v>2.362733242330894</v>
      </c>
      <c r="BV31" s="3">
        <v>0</v>
      </c>
      <c r="BW31" s="3">
        <v>0</v>
      </c>
      <c r="BX31" s="3">
        <f t="shared" si="15"/>
        <v>2.362733242330894</v>
      </c>
      <c r="BY31" s="3">
        <f>SUM($K31:$M31)*BY$4/$AF$4</f>
        <v>5.6953587407639787</v>
      </c>
      <c r="BZ31" s="3">
        <v>0</v>
      </c>
      <c r="CA31" s="3">
        <v>0</v>
      </c>
      <c r="CB31" s="3">
        <f t="shared" si="16"/>
        <v>5.6953587407639787</v>
      </c>
      <c r="CC31" s="3">
        <f>SUM($K31:$M31)*CC$4/$AF$4</f>
        <v>4.7152331614805396</v>
      </c>
      <c r="CD31" s="3">
        <v>0</v>
      </c>
      <c r="CE31" s="3">
        <v>0</v>
      </c>
      <c r="CF31" s="3">
        <f t="shared" si="17"/>
        <v>4.7152331614805396</v>
      </c>
      <c r="CG31" s="3">
        <f>SUM($K31:$M31)*CG$4/$AF$4</f>
        <v>5.4020940250214906</v>
      </c>
      <c r="CH31" s="3">
        <v>0</v>
      </c>
      <c r="CI31" s="3">
        <v>0</v>
      </c>
      <c r="CJ31" s="3">
        <f t="shared" si="18"/>
        <v>5.4020940250214906</v>
      </c>
      <c r="CK31" s="3">
        <f>SUM($K31:$M31)*CK$4/$AF$4</f>
        <v>11.115230449190888</v>
      </c>
      <c r="CL31" s="3">
        <v>0</v>
      </c>
      <c r="CM31" s="3">
        <v>0</v>
      </c>
      <c r="CN31" s="3">
        <f t="shared" si="19"/>
        <v>11.115230449190888</v>
      </c>
      <c r="CO31" s="3">
        <f>SUM($K31:$M31)*CO$4/$AF$4</f>
        <v>21.679520816041848</v>
      </c>
      <c r="CP31" s="3">
        <v>0</v>
      </c>
      <c r="CQ31" s="3">
        <v>0</v>
      </c>
      <c r="CR31" s="3">
        <f t="shared" si="20"/>
        <v>21.679520816041848</v>
      </c>
      <c r="CS31" s="3">
        <f>SUM($K31:$M31)*CS$4/$AF$4</f>
        <v>63.726241888284079</v>
      </c>
      <c r="CT31" s="3">
        <v>0</v>
      </c>
      <c r="CU31" s="3">
        <v>0</v>
      </c>
      <c r="CV31" s="3">
        <f t="shared" si="21"/>
        <v>63.726241888284079</v>
      </c>
      <c r="CW31" s="3">
        <f>SUM($K31:$M31)*CW$4/$AF$4</f>
        <v>211.59505837233081</v>
      </c>
      <c r="CX31" s="3">
        <v>0</v>
      </c>
      <c r="CY31" s="3">
        <v>0</v>
      </c>
      <c r="CZ31" s="3">
        <f t="shared" si="22"/>
        <v>211.59505837233081</v>
      </c>
      <c r="DA31" s="3">
        <f>SUM($K31:$M31)*DA$4/$AF$4</f>
        <v>14.419647575473306</v>
      </c>
      <c r="DB31" s="3">
        <v>0</v>
      </c>
      <c r="DC31" s="3">
        <v>0</v>
      </c>
      <c r="DD31" s="3">
        <f t="shared" si="23"/>
        <v>14.419647575473306</v>
      </c>
      <c r="DE31" s="3">
        <f>SUM($K31:$M31)*DE$4/$AF$4</f>
        <v>2.4308220960232116</v>
      </c>
      <c r="DF31" s="3">
        <v>0</v>
      </c>
      <c r="DG31" s="3">
        <v>0</v>
      </c>
      <c r="DH31" s="3">
        <f t="shared" si="24"/>
        <v>2.4308220960232116</v>
      </c>
      <c r="DI31" s="3">
        <f>SUM($K31:$M31)*DI$4/$AF$4</f>
        <v>0</v>
      </c>
      <c r="DJ31" s="3">
        <v>0</v>
      </c>
      <c r="DK31" s="3">
        <v>0</v>
      </c>
      <c r="DL31" s="3">
        <f t="shared" si="2"/>
        <v>0</v>
      </c>
      <c r="DM31" s="3">
        <f>SUM($K31:$M31)*DM$4/$AF$4</f>
        <v>12.016726646477558</v>
      </c>
      <c r="DN31" s="3">
        <v>0</v>
      </c>
      <c r="DO31" s="3">
        <v>0</v>
      </c>
      <c r="DP31" s="3">
        <f>SUBTOTAL(9,DM31:DO31)</f>
        <v>12.016726646477558</v>
      </c>
      <c r="DQ31" s="3">
        <f>SUM($K31:$M31)*DQ$4/$AF$4</f>
        <v>25.363068857146843</v>
      </c>
      <c r="DR31" s="3">
        <v>0</v>
      </c>
      <c r="DS31" s="3">
        <v>0</v>
      </c>
      <c r="DT31" s="3">
        <f t="shared" si="26"/>
        <v>25.363068857146843</v>
      </c>
      <c r="DU31" s="3">
        <f>SUM($K31:$M31)*DU$4/$AF$4</f>
        <v>126.2494460551903</v>
      </c>
      <c r="DV31" s="3">
        <v>0</v>
      </c>
      <c r="DW31" s="3">
        <v>0</v>
      </c>
      <c r="DX31" s="3">
        <f t="shared" si="27"/>
        <v>126.2494460551903</v>
      </c>
      <c r="DY31" s="3">
        <f>SUM($K31:$M31)*DY$4/$AF$4</f>
        <v>0.43251663184374539</v>
      </c>
      <c r="DZ31" s="3">
        <v>0</v>
      </c>
      <c r="EA31" s="3">
        <v>0</v>
      </c>
      <c r="EB31" s="3">
        <f t="shared" si="28"/>
        <v>0.43251663184374539</v>
      </c>
      <c r="EC31" s="4">
        <f>AJ31+AN31+AR31+AV31+AZ31+BD31+BH31+BL31+BP31+BT31+BX31+CB31+CF31+CJ31+CN31+CR31+CV31+CZ31+DD31+DH31+DP31+DT31+DX31+EB31</f>
        <v>859.13999999999976</v>
      </c>
      <c r="ED31" s="5">
        <f t="shared" si="29"/>
        <v>0</v>
      </c>
      <c r="EE31" s="6">
        <f t="shared" si="33"/>
        <v>796.76981568043095</v>
      </c>
      <c r="EF31" s="6">
        <f t="shared" si="33"/>
        <v>31.185092159784432</v>
      </c>
      <c r="EG31" s="6">
        <f t="shared" si="33"/>
        <v>31.185092159784432</v>
      </c>
    </row>
    <row r="32" spans="1:137" ht="12" customHeight="1" x14ac:dyDescent="0.35">
      <c r="A32" s="34" t="s">
        <v>91</v>
      </c>
      <c r="B32" s="35">
        <v>30450</v>
      </c>
      <c r="C32" s="35" t="s">
        <v>92</v>
      </c>
      <c r="D32" s="35" t="s">
        <v>93</v>
      </c>
      <c r="E32" s="34">
        <v>418801</v>
      </c>
      <c r="F32" s="35" t="s">
        <v>189</v>
      </c>
      <c r="G32" s="8">
        <v>46087</v>
      </c>
      <c r="H32" s="8">
        <v>46126</v>
      </c>
      <c r="I32" s="36">
        <v>5</v>
      </c>
      <c r="J32" s="36">
        <v>14556</v>
      </c>
      <c r="K32" s="37"/>
      <c r="L32" s="36">
        <v>363.9</v>
      </c>
      <c r="M32" s="36">
        <v>363.9</v>
      </c>
      <c r="N32" s="36">
        <v>727.8</v>
      </c>
      <c r="O32" s="36">
        <v>15283.8</v>
      </c>
      <c r="P32" s="35" t="s">
        <v>95</v>
      </c>
      <c r="Q32" s="34" t="s">
        <v>47</v>
      </c>
      <c r="R32" s="35" t="s">
        <v>190</v>
      </c>
      <c r="S32" s="35" t="s">
        <v>97</v>
      </c>
      <c r="T32" s="35" t="s">
        <v>98</v>
      </c>
      <c r="U32" s="35" t="s">
        <v>99</v>
      </c>
      <c r="V32" s="34">
        <v>996311</v>
      </c>
      <c r="W32" s="35" t="s">
        <v>191</v>
      </c>
      <c r="X32" s="34" t="s">
        <v>101</v>
      </c>
      <c r="Y32" s="35">
        <v>107</v>
      </c>
      <c r="Z32" s="35" t="s">
        <v>102</v>
      </c>
      <c r="AA32" t="s">
        <v>192</v>
      </c>
      <c r="AB32">
        <v>727.8</v>
      </c>
      <c r="AC32">
        <v>730</v>
      </c>
      <c r="AD32" s="38">
        <v>-2</v>
      </c>
      <c r="AE32" t="s">
        <v>104</v>
      </c>
      <c r="AF32" t="s">
        <v>73</v>
      </c>
      <c r="AG32" s="3"/>
      <c r="AH32" s="3"/>
      <c r="AI32" s="3"/>
      <c r="AJ32" s="3">
        <f t="shared" si="7"/>
        <v>0</v>
      </c>
      <c r="AK32" s="3"/>
      <c r="AL32" s="3"/>
      <c r="AM32" s="3"/>
      <c r="AN32" s="3">
        <f t="shared" si="8"/>
        <v>0</v>
      </c>
      <c r="AO32" s="3"/>
      <c r="AP32" s="3"/>
      <c r="AQ32" s="3"/>
      <c r="AR32" s="3">
        <f t="shared" si="9"/>
        <v>0</v>
      </c>
      <c r="AS32" s="3"/>
      <c r="AT32" s="3"/>
      <c r="AU32" s="3"/>
      <c r="AV32" s="3">
        <f t="shared" si="10"/>
        <v>0</v>
      </c>
      <c r="AW32" s="3"/>
      <c r="AX32" s="3"/>
      <c r="AY32" s="3"/>
      <c r="AZ32" s="3">
        <f t="shared" si="11"/>
        <v>0</v>
      </c>
      <c r="BA32" s="3"/>
      <c r="BB32" s="3"/>
      <c r="BC32" s="3"/>
      <c r="BD32" s="3">
        <f t="shared" si="12"/>
        <v>0</v>
      </c>
      <c r="BE32" s="3"/>
      <c r="BF32" s="3"/>
      <c r="BG32" s="3"/>
      <c r="BH32" s="3">
        <f t="shared" si="4"/>
        <v>0</v>
      </c>
      <c r="BI32" s="3"/>
      <c r="BJ32" s="3"/>
      <c r="BK32" s="3"/>
      <c r="BL32" s="3">
        <f t="shared" si="5"/>
        <v>0</v>
      </c>
      <c r="BM32" s="3"/>
      <c r="BN32" s="3"/>
      <c r="BO32" s="3"/>
      <c r="BP32" s="3">
        <f t="shared" si="13"/>
        <v>0</v>
      </c>
      <c r="BQ32" s="3"/>
      <c r="BR32" s="3"/>
      <c r="BS32" s="3"/>
      <c r="BT32" s="3">
        <f t="shared" si="14"/>
        <v>0</v>
      </c>
      <c r="BU32" s="3"/>
      <c r="BV32" s="3"/>
      <c r="BW32" s="3"/>
      <c r="BX32" s="3">
        <f t="shared" si="15"/>
        <v>0</v>
      </c>
      <c r="BY32" s="3"/>
      <c r="BZ32" s="3"/>
      <c r="CA32" s="3"/>
      <c r="CB32" s="3">
        <f t="shared" si="16"/>
        <v>0</v>
      </c>
      <c r="CC32" s="3"/>
      <c r="CD32" s="3"/>
      <c r="CE32" s="3"/>
      <c r="CF32" s="3">
        <f t="shared" si="17"/>
        <v>0</v>
      </c>
      <c r="CG32" s="3"/>
      <c r="CH32" s="3"/>
      <c r="CI32" s="3"/>
      <c r="CJ32" s="3">
        <f t="shared" si="18"/>
        <v>0</v>
      </c>
      <c r="CK32" s="3"/>
      <c r="CL32" s="3"/>
      <c r="CM32" s="3"/>
      <c r="CN32" s="3">
        <f t="shared" si="19"/>
        <v>0</v>
      </c>
      <c r="CO32" s="3"/>
      <c r="CP32" s="3"/>
      <c r="CQ32" s="3"/>
      <c r="CR32" s="3">
        <f t="shared" si="20"/>
        <v>0</v>
      </c>
      <c r="CS32" s="3"/>
      <c r="CT32" s="3"/>
      <c r="CU32" s="3"/>
      <c r="CV32" s="3">
        <f t="shared" si="21"/>
        <v>0</v>
      </c>
      <c r="CW32" s="3">
        <f>SUM($K32:$M32)*CW$4/$CW$4</f>
        <v>727.8</v>
      </c>
      <c r="CX32" s="3">
        <v>0</v>
      </c>
      <c r="CY32" s="3">
        <v>0</v>
      </c>
      <c r="CZ32" s="3">
        <f t="shared" si="22"/>
        <v>727.8</v>
      </c>
      <c r="DA32" s="3"/>
      <c r="DB32" s="3"/>
      <c r="DC32" s="3"/>
      <c r="DD32" s="3">
        <f t="shared" si="23"/>
        <v>0</v>
      </c>
      <c r="DE32" s="3"/>
      <c r="DF32" s="3"/>
      <c r="DG32" s="3"/>
      <c r="DH32" s="3">
        <f t="shared" si="24"/>
        <v>0</v>
      </c>
      <c r="DI32" s="3"/>
      <c r="DJ32" s="3"/>
      <c r="DK32" s="3"/>
      <c r="DL32" s="3">
        <f t="shared" si="2"/>
        <v>0</v>
      </c>
      <c r="DM32" s="3"/>
      <c r="DN32" s="3"/>
      <c r="DO32" s="3"/>
      <c r="DP32" s="3">
        <f t="shared" si="25"/>
        <v>0</v>
      </c>
      <c r="DQ32" s="3"/>
      <c r="DR32" s="3"/>
      <c r="DS32" s="3"/>
      <c r="DT32" s="3">
        <f t="shared" si="26"/>
        <v>0</v>
      </c>
      <c r="DU32" s="3"/>
      <c r="DV32" s="3"/>
      <c r="DW32" s="3"/>
      <c r="DX32" s="3">
        <f t="shared" si="27"/>
        <v>0</v>
      </c>
      <c r="DY32" s="3"/>
      <c r="DZ32" s="3"/>
      <c r="EA32" s="3"/>
      <c r="EB32" s="3">
        <f t="shared" si="28"/>
        <v>0</v>
      </c>
      <c r="EC32" s="4">
        <f t="shared" si="6"/>
        <v>727.8</v>
      </c>
      <c r="ED32" s="5">
        <f t="shared" si="29"/>
        <v>0</v>
      </c>
      <c r="EE32" s="6">
        <f t="shared" si="33"/>
        <v>727.8</v>
      </c>
      <c r="EF32" s="6">
        <f t="shared" si="33"/>
        <v>0</v>
      </c>
      <c r="EG32" s="6">
        <f t="shared" si="33"/>
        <v>0</v>
      </c>
    </row>
    <row r="33" spans="1:137" ht="12" customHeight="1" x14ac:dyDescent="0.35">
      <c r="A33" s="34" t="s">
        <v>91</v>
      </c>
      <c r="B33" s="35">
        <v>30450</v>
      </c>
      <c r="C33" s="35" t="s">
        <v>105</v>
      </c>
      <c r="D33" s="35" t="s">
        <v>110</v>
      </c>
      <c r="E33" s="34">
        <v>150781</v>
      </c>
      <c r="F33" s="35" t="s">
        <v>193</v>
      </c>
      <c r="G33" s="8">
        <v>45855</v>
      </c>
      <c r="H33" s="8">
        <v>46126</v>
      </c>
      <c r="I33" s="36">
        <v>5</v>
      </c>
      <c r="J33" s="36">
        <v>-5342</v>
      </c>
      <c r="K33" s="36">
        <v>-267.10000000000002</v>
      </c>
      <c r="L33" s="37"/>
      <c r="M33" s="37"/>
      <c r="N33" s="36">
        <v>-267.10000000000002</v>
      </c>
      <c r="O33" s="36">
        <v>-5609.1</v>
      </c>
      <c r="P33" s="35" t="s">
        <v>95</v>
      </c>
      <c r="Q33" s="34" t="s">
        <v>36</v>
      </c>
      <c r="R33" s="35" t="s">
        <v>112</v>
      </c>
      <c r="S33" s="35" t="s">
        <v>97</v>
      </c>
      <c r="T33" s="35" t="s">
        <v>98</v>
      </c>
      <c r="U33" s="35" t="s">
        <v>99</v>
      </c>
      <c r="V33" s="34">
        <v>996311</v>
      </c>
      <c r="W33" s="35" t="s">
        <v>107</v>
      </c>
      <c r="X33" s="34" t="s">
        <v>101</v>
      </c>
      <c r="Y33" s="35">
        <v>107</v>
      </c>
      <c r="Z33" s="35" t="s">
        <v>102</v>
      </c>
      <c r="AA33" t="s">
        <v>194</v>
      </c>
      <c r="AB33">
        <v>-267.10000000000002</v>
      </c>
      <c r="AC33">
        <v>-267</v>
      </c>
      <c r="AD33" s="38">
        <v>0</v>
      </c>
      <c r="AE33" t="s">
        <v>104</v>
      </c>
      <c r="AF33" t="s">
        <v>73</v>
      </c>
      <c r="AG33" s="3"/>
      <c r="AH33" s="3"/>
      <c r="AI33" s="3"/>
      <c r="AJ33" s="3">
        <f t="shared" si="7"/>
        <v>0</v>
      </c>
      <c r="AK33" s="3"/>
      <c r="AL33" s="3"/>
      <c r="AM33" s="3"/>
      <c r="AN33" s="3">
        <f t="shared" si="8"/>
        <v>0</v>
      </c>
      <c r="AO33" s="3"/>
      <c r="AP33" s="3"/>
      <c r="AQ33" s="3"/>
      <c r="AR33" s="3">
        <f t="shared" si="9"/>
        <v>0</v>
      </c>
      <c r="AS33" s="3"/>
      <c r="AT33" s="3"/>
      <c r="AU33" s="3"/>
      <c r="AV33" s="3">
        <f t="shared" si="10"/>
        <v>0</v>
      </c>
      <c r="AW33" s="3"/>
      <c r="AX33" s="3"/>
      <c r="AY33" s="3"/>
      <c r="AZ33" s="3">
        <f t="shared" si="11"/>
        <v>0</v>
      </c>
      <c r="BA33" s="3"/>
      <c r="BB33" s="3"/>
      <c r="BC33" s="3"/>
      <c r="BD33" s="3">
        <f t="shared" si="12"/>
        <v>0</v>
      </c>
      <c r="BE33" s="3">
        <f>$K33*BE$4/$BE$4</f>
        <v>-267.10000000000002</v>
      </c>
      <c r="BF33" s="3">
        <f>$L33*BE$4/$BE$4</f>
        <v>0</v>
      </c>
      <c r="BG33" s="3">
        <f>$M33*BE$4/$BE$4</f>
        <v>0</v>
      </c>
      <c r="BH33" s="3">
        <f t="shared" si="4"/>
        <v>-267.10000000000002</v>
      </c>
      <c r="BI33" s="3"/>
      <c r="BJ33" s="3"/>
      <c r="BK33" s="3"/>
      <c r="BL33" s="3">
        <f t="shared" si="5"/>
        <v>0</v>
      </c>
      <c r="BM33" s="3"/>
      <c r="BN33" s="3"/>
      <c r="BO33" s="3"/>
      <c r="BP33" s="3">
        <f t="shared" si="13"/>
        <v>0</v>
      </c>
      <c r="BQ33" s="3"/>
      <c r="BR33" s="3"/>
      <c r="BS33" s="3"/>
      <c r="BT33" s="3">
        <f t="shared" si="14"/>
        <v>0</v>
      </c>
      <c r="BU33" s="3"/>
      <c r="BV33" s="3"/>
      <c r="BW33" s="3"/>
      <c r="BX33" s="3">
        <f t="shared" si="15"/>
        <v>0</v>
      </c>
      <c r="BY33" s="3"/>
      <c r="BZ33" s="3"/>
      <c r="CA33" s="3"/>
      <c r="CB33" s="3">
        <f t="shared" si="16"/>
        <v>0</v>
      </c>
      <c r="CC33" s="3"/>
      <c r="CD33" s="3"/>
      <c r="CE33" s="3"/>
      <c r="CF33" s="3">
        <f t="shared" si="17"/>
        <v>0</v>
      </c>
      <c r="CG33" s="3"/>
      <c r="CH33" s="3"/>
      <c r="CI33" s="3"/>
      <c r="CJ33" s="3">
        <f t="shared" si="18"/>
        <v>0</v>
      </c>
      <c r="CK33" s="3"/>
      <c r="CL33" s="3"/>
      <c r="CM33" s="3"/>
      <c r="CN33" s="3">
        <f t="shared" si="19"/>
        <v>0</v>
      </c>
      <c r="CO33" s="3"/>
      <c r="CP33" s="3"/>
      <c r="CQ33" s="3"/>
      <c r="CR33" s="3">
        <f t="shared" si="20"/>
        <v>0</v>
      </c>
      <c r="CS33" s="3"/>
      <c r="CT33" s="3"/>
      <c r="CU33" s="3"/>
      <c r="CV33" s="3">
        <f t="shared" si="21"/>
        <v>0</v>
      </c>
      <c r="CW33" s="3"/>
      <c r="CX33" s="3"/>
      <c r="CY33" s="3"/>
      <c r="CZ33" s="3">
        <f t="shared" si="22"/>
        <v>0</v>
      </c>
      <c r="DA33" s="3"/>
      <c r="DB33" s="3"/>
      <c r="DC33" s="3"/>
      <c r="DD33" s="3">
        <f t="shared" si="23"/>
        <v>0</v>
      </c>
      <c r="DE33" s="3"/>
      <c r="DF33" s="3"/>
      <c r="DG33" s="3"/>
      <c r="DH33" s="3">
        <f t="shared" si="24"/>
        <v>0</v>
      </c>
      <c r="DI33" s="3"/>
      <c r="DJ33" s="3"/>
      <c r="DK33" s="3"/>
      <c r="DL33" s="3">
        <f t="shared" si="2"/>
        <v>0</v>
      </c>
      <c r="DM33" s="3"/>
      <c r="DN33" s="3"/>
      <c r="DO33" s="3"/>
      <c r="DP33" s="3">
        <f t="shared" si="25"/>
        <v>0</v>
      </c>
      <c r="DQ33" s="3"/>
      <c r="DR33" s="3"/>
      <c r="DS33" s="3"/>
      <c r="DT33" s="3">
        <f t="shared" si="26"/>
        <v>0</v>
      </c>
      <c r="DU33" s="3"/>
      <c r="DV33" s="3"/>
      <c r="DW33" s="3"/>
      <c r="DX33" s="3">
        <f t="shared" si="27"/>
        <v>0</v>
      </c>
      <c r="DY33" s="3"/>
      <c r="DZ33" s="3"/>
      <c r="EA33" s="3"/>
      <c r="EB33" s="3">
        <f t="shared" si="28"/>
        <v>0</v>
      </c>
      <c r="EC33" s="4">
        <f t="shared" si="6"/>
        <v>-267.10000000000002</v>
      </c>
      <c r="ED33" s="5">
        <f t="shared" si="29"/>
        <v>0</v>
      </c>
      <c r="EE33" s="6">
        <f t="shared" si="33"/>
        <v>-267.10000000000002</v>
      </c>
      <c r="EF33" s="6">
        <f t="shared" si="33"/>
        <v>0</v>
      </c>
      <c r="EG33" s="6">
        <f t="shared" si="33"/>
        <v>0</v>
      </c>
    </row>
    <row r="34" spans="1:137" ht="12" customHeight="1" x14ac:dyDescent="0.35">
      <c r="A34" s="34" t="s">
        <v>91</v>
      </c>
      <c r="B34" s="35">
        <v>30450</v>
      </c>
      <c r="C34" s="35" t="s">
        <v>105</v>
      </c>
      <c r="D34" s="35" t="s">
        <v>93</v>
      </c>
      <c r="E34" s="34">
        <v>418801</v>
      </c>
      <c r="F34" s="35" t="s">
        <v>195</v>
      </c>
      <c r="G34" s="8">
        <v>46029</v>
      </c>
      <c r="H34" s="8">
        <v>46126</v>
      </c>
      <c r="I34" s="36">
        <v>5</v>
      </c>
      <c r="J34" s="36">
        <v>3800</v>
      </c>
      <c r="K34" s="36">
        <v>190</v>
      </c>
      <c r="L34" s="37"/>
      <c r="M34" s="37"/>
      <c r="N34" s="36">
        <v>190</v>
      </c>
      <c r="O34" s="36">
        <v>3990</v>
      </c>
      <c r="P34" s="35" t="s">
        <v>95</v>
      </c>
      <c r="Q34" s="34" t="s">
        <v>47</v>
      </c>
      <c r="R34" s="35" t="s">
        <v>196</v>
      </c>
      <c r="S34" s="35" t="s">
        <v>97</v>
      </c>
      <c r="T34" s="35" t="s">
        <v>98</v>
      </c>
      <c r="U34" s="35" t="s">
        <v>99</v>
      </c>
      <c r="V34" s="34">
        <v>996311</v>
      </c>
      <c r="W34" s="35" t="s">
        <v>197</v>
      </c>
      <c r="X34" s="34" t="s">
        <v>101</v>
      </c>
      <c r="Y34" s="35">
        <v>107</v>
      </c>
      <c r="Z34" s="35" t="s">
        <v>102</v>
      </c>
      <c r="AA34" t="s">
        <v>198</v>
      </c>
      <c r="AB34">
        <v>190</v>
      </c>
      <c r="AC34">
        <v>190</v>
      </c>
      <c r="AD34" s="38">
        <v>0</v>
      </c>
      <c r="AE34" t="s">
        <v>104</v>
      </c>
      <c r="AF34" t="s">
        <v>73</v>
      </c>
      <c r="AG34" s="3"/>
      <c r="AH34" s="3"/>
      <c r="AI34" s="3"/>
      <c r="AJ34" s="3">
        <f t="shared" si="7"/>
        <v>0</v>
      </c>
      <c r="AK34" s="3"/>
      <c r="AL34" s="3"/>
      <c r="AM34" s="3"/>
      <c r="AN34" s="3">
        <f t="shared" si="8"/>
        <v>0</v>
      </c>
      <c r="AO34" s="3"/>
      <c r="AP34" s="3"/>
      <c r="AQ34" s="3"/>
      <c r="AR34" s="3">
        <f t="shared" si="9"/>
        <v>0</v>
      </c>
      <c r="AS34" s="3"/>
      <c r="AT34" s="3"/>
      <c r="AU34" s="3"/>
      <c r="AV34" s="3">
        <f t="shared" si="10"/>
        <v>0</v>
      </c>
      <c r="AW34" s="3"/>
      <c r="AX34" s="3"/>
      <c r="AY34" s="3"/>
      <c r="AZ34" s="3">
        <f t="shared" si="11"/>
        <v>0</v>
      </c>
      <c r="BA34" s="3"/>
      <c r="BB34" s="3"/>
      <c r="BC34" s="3"/>
      <c r="BD34" s="3">
        <f t="shared" si="12"/>
        <v>0</v>
      </c>
      <c r="BE34" s="3"/>
      <c r="BF34" s="3"/>
      <c r="BG34" s="3"/>
      <c r="BH34" s="3">
        <f t="shared" si="4"/>
        <v>0</v>
      </c>
      <c r="BI34" s="3"/>
      <c r="BJ34" s="3"/>
      <c r="BK34" s="3"/>
      <c r="BL34" s="3">
        <f t="shared" si="5"/>
        <v>0</v>
      </c>
      <c r="BM34" s="3"/>
      <c r="BN34" s="3"/>
      <c r="BO34" s="3"/>
      <c r="BP34" s="3">
        <f t="shared" si="13"/>
        <v>0</v>
      </c>
      <c r="BQ34" s="3"/>
      <c r="BR34" s="3"/>
      <c r="BS34" s="3"/>
      <c r="BT34" s="3">
        <f t="shared" si="14"/>
        <v>0</v>
      </c>
      <c r="BU34" s="3"/>
      <c r="BV34" s="3"/>
      <c r="BW34" s="3"/>
      <c r="BX34" s="3">
        <f t="shared" si="15"/>
        <v>0</v>
      </c>
      <c r="BY34" s="3"/>
      <c r="BZ34" s="3"/>
      <c r="CA34" s="3"/>
      <c r="CB34" s="3">
        <f t="shared" si="16"/>
        <v>0</v>
      </c>
      <c r="CC34" s="3"/>
      <c r="CD34" s="3"/>
      <c r="CE34" s="3"/>
      <c r="CF34" s="3">
        <f t="shared" si="17"/>
        <v>0</v>
      </c>
      <c r="CG34" s="3"/>
      <c r="CH34" s="3"/>
      <c r="CI34" s="3"/>
      <c r="CJ34" s="3">
        <f t="shared" si="18"/>
        <v>0</v>
      </c>
      <c r="CK34" s="3"/>
      <c r="CL34" s="3"/>
      <c r="CM34" s="3"/>
      <c r="CN34" s="3">
        <f t="shared" si="19"/>
        <v>0</v>
      </c>
      <c r="CO34" s="3"/>
      <c r="CP34" s="3"/>
      <c r="CQ34" s="3"/>
      <c r="CR34" s="3">
        <f t="shared" si="20"/>
        <v>0</v>
      </c>
      <c r="CS34" s="3"/>
      <c r="CT34" s="3"/>
      <c r="CU34" s="3"/>
      <c r="CV34" s="3">
        <f t="shared" si="21"/>
        <v>0</v>
      </c>
      <c r="CW34" s="3">
        <f>SUM($K34:$M34)*CW$4/$CW$4</f>
        <v>190</v>
      </c>
      <c r="CX34" s="3">
        <v>0</v>
      </c>
      <c r="CY34" s="3">
        <v>0</v>
      </c>
      <c r="CZ34" s="3">
        <f t="shared" si="22"/>
        <v>190</v>
      </c>
      <c r="DA34" s="3"/>
      <c r="DB34" s="3"/>
      <c r="DC34" s="3"/>
      <c r="DD34" s="3">
        <f t="shared" si="23"/>
        <v>0</v>
      </c>
      <c r="DE34" s="3"/>
      <c r="DF34" s="3"/>
      <c r="DG34" s="3"/>
      <c r="DH34" s="3">
        <f t="shared" si="24"/>
        <v>0</v>
      </c>
      <c r="DI34" s="3"/>
      <c r="DJ34" s="3"/>
      <c r="DK34" s="3"/>
      <c r="DL34" s="3">
        <f t="shared" si="2"/>
        <v>0</v>
      </c>
      <c r="DM34" s="3"/>
      <c r="DN34" s="3"/>
      <c r="DO34" s="3"/>
      <c r="DP34" s="3">
        <f t="shared" si="25"/>
        <v>0</v>
      </c>
      <c r="DQ34" s="3"/>
      <c r="DR34" s="3"/>
      <c r="DS34" s="3"/>
      <c r="DT34" s="3">
        <f t="shared" si="26"/>
        <v>0</v>
      </c>
      <c r="DU34" s="3"/>
      <c r="DV34" s="3"/>
      <c r="DW34" s="3"/>
      <c r="DX34" s="3">
        <f t="shared" si="27"/>
        <v>0</v>
      </c>
      <c r="DY34" s="3"/>
      <c r="DZ34" s="3"/>
      <c r="EA34" s="3"/>
      <c r="EB34" s="3">
        <f t="shared" si="28"/>
        <v>0</v>
      </c>
      <c r="EC34" s="4">
        <f t="shared" si="6"/>
        <v>190</v>
      </c>
      <c r="ED34" s="5">
        <f t="shared" si="29"/>
        <v>0</v>
      </c>
      <c r="EE34" s="6">
        <f t="shared" si="33"/>
        <v>190</v>
      </c>
      <c r="EF34" s="6">
        <f t="shared" si="33"/>
        <v>0</v>
      </c>
      <c r="EG34" s="6">
        <f t="shared" si="33"/>
        <v>0</v>
      </c>
    </row>
    <row r="35" spans="1:137" ht="12" customHeight="1" x14ac:dyDescent="0.35">
      <c r="A35" s="34" t="s">
        <v>115</v>
      </c>
      <c r="B35" s="35">
        <v>28324</v>
      </c>
      <c r="C35" s="35" t="s">
        <v>144</v>
      </c>
      <c r="D35" s="35" t="s">
        <v>93</v>
      </c>
      <c r="E35" s="34">
        <v>418801</v>
      </c>
      <c r="F35" s="35" t="s">
        <v>199</v>
      </c>
      <c r="G35" s="8">
        <v>46078</v>
      </c>
      <c r="H35" s="8">
        <v>46126</v>
      </c>
      <c r="I35" s="36">
        <v>5</v>
      </c>
      <c r="J35" s="36">
        <v>5947</v>
      </c>
      <c r="K35" s="36">
        <v>297.35000000000002</v>
      </c>
      <c r="L35" s="37"/>
      <c r="M35" s="37"/>
      <c r="N35" s="36">
        <v>297.35000000000002</v>
      </c>
      <c r="O35" s="36">
        <v>6244.35</v>
      </c>
      <c r="P35" s="35" t="s">
        <v>95</v>
      </c>
      <c r="Q35" s="34" t="s">
        <v>36</v>
      </c>
      <c r="R35" s="35" t="s">
        <v>96</v>
      </c>
      <c r="S35" s="35" t="s">
        <v>97</v>
      </c>
      <c r="T35" s="35" t="s">
        <v>98</v>
      </c>
      <c r="U35" s="35" t="s">
        <v>99</v>
      </c>
      <c r="V35" s="34">
        <v>996311</v>
      </c>
      <c r="W35" s="35" t="s">
        <v>146</v>
      </c>
      <c r="X35" s="34" t="s">
        <v>101</v>
      </c>
      <c r="Y35" s="35">
        <v>107</v>
      </c>
      <c r="Z35" s="35" t="s">
        <v>102</v>
      </c>
      <c r="AA35" t="s">
        <v>200</v>
      </c>
      <c r="AB35">
        <v>297.35000000000002</v>
      </c>
      <c r="AC35">
        <v>298</v>
      </c>
      <c r="AD35" s="38">
        <v>-1</v>
      </c>
      <c r="AE35" t="s">
        <v>104</v>
      </c>
      <c r="AF35" t="s">
        <v>73</v>
      </c>
      <c r="AG35" s="3"/>
      <c r="AH35" s="3"/>
      <c r="AI35" s="3"/>
      <c r="AJ35" s="3">
        <f t="shared" si="7"/>
        <v>0</v>
      </c>
      <c r="AK35" s="3"/>
      <c r="AL35" s="3"/>
      <c r="AM35" s="3"/>
      <c r="AN35" s="3">
        <f t="shared" si="8"/>
        <v>0</v>
      </c>
      <c r="AO35" s="3"/>
      <c r="AP35" s="3"/>
      <c r="AQ35" s="3"/>
      <c r="AR35" s="3">
        <f t="shared" si="9"/>
        <v>0</v>
      </c>
      <c r="AS35" s="3"/>
      <c r="AT35" s="3"/>
      <c r="AU35" s="3"/>
      <c r="AV35" s="3">
        <f t="shared" si="10"/>
        <v>0</v>
      </c>
      <c r="AW35" s="3"/>
      <c r="AX35" s="3"/>
      <c r="AY35" s="3"/>
      <c r="AZ35" s="3">
        <f t="shared" si="11"/>
        <v>0</v>
      </c>
      <c r="BA35" s="3"/>
      <c r="BB35" s="3"/>
      <c r="BC35" s="3"/>
      <c r="BD35" s="3">
        <f t="shared" si="12"/>
        <v>0</v>
      </c>
      <c r="BE35" s="3">
        <f>$K35*BE$4/$BE$4</f>
        <v>297.35000000000002</v>
      </c>
      <c r="BF35" s="3">
        <f>$L35*BE$4/$BE$4</f>
        <v>0</v>
      </c>
      <c r="BG35" s="3">
        <f>$M35*BE$4/$BE$4</f>
        <v>0</v>
      </c>
      <c r="BH35" s="3">
        <f t="shared" si="4"/>
        <v>297.35000000000002</v>
      </c>
      <c r="BI35" s="3"/>
      <c r="BJ35" s="3"/>
      <c r="BK35" s="3"/>
      <c r="BL35" s="3">
        <f t="shared" si="5"/>
        <v>0</v>
      </c>
      <c r="BM35" s="3"/>
      <c r="BN35" s="3"/>
      <c r="BO35" s="3"/>
      <c r="BP35" s="3">
        <f t="shared" si="13"/>
        <v>0</v>
      </c>
      <c r="BQ35" s="3"/>
      <c r="BR35" s="3"/>
      <c r="BS35" s="3"/>
      <c r="BT35" s="3">
        <f t="shared" si="14"/>
        <v>0</v>
      </c>
      <c r="BU35" s="3"/>
      <c r="BV35" s="3"/>
      <c r="BW35" s="3"/>
      <c r="BX35" s="3">
        <f t="shared" si="15"/>
        <v>0</v>
      </c>
      <c r="BY35" s="3"/>
      <c r="BZ35" s="3"/>
      <c r="CA35" s="3"/>
      <c r="CB35" s="3">
        <f t="shared" si="16"/>
        <v>0</v>
      </c>
      <c r="CC35" s="3"/>
      <c r="CD35" s="3"/>
      <c r="CE35" s="3"/>
      <c r="CF35" s="3">
        <f t="shared" si="17"/>
        <v>0</v>
      </c>
      <c r="CG35" s="3"/>
      <c r="CH35" s="3"/>
      <c r="CI35" s="3"/>
      <c r="CJ35" s="3">
        <f t="shared" si="18"/>
        <v>0</v>
      </c>
      <c r="CK35" s="3"/>
      <c r="CL35" s="3"/>
      <c r="CM35" s="3"/>
      <c r="CN35" s="3">
        <f t="shared" si="19"/>
        <v>0</v>
      </c>
      <c r="CO35" s="3"/>
      <c r="CP35" s="3"/>
      <c r="CQ35" s="3"/>
      <c r="CR35" s="3">
        <f t="shared" si="20"/>
        <v>0</v>
      </c>
      <c r="CS35" s="3"/>
      <c r="CT35" s="3"/>
      <c r="CU35" s="3"/>
      <c r="CV35" s="3">
        <f t="shared" si="21"/>
        <v>0</v>
      </c>
      <c r="CW35" s="3"/>
      <c r="CX35" s="3"/>
      <c r="CY35" s="3"/>
      <c r="CZ35" s="3">
        <f t="shared" si="22"/>
        <v>0</v>
      </c>
      <c r="DA35" s="3"/>
      <c r="DB35" s="3"/>
      <c r="DC35" s="3"/>
      <c r="DD35" s="3">
        <f t="shared" si="23"/>
        <v>0</v>
      </c>
      <c r="DE35" s="3"/>
      <c r="DF35" s="3"/>
      <c r="DG35" s="3"/>
      <c r="DH35" s="3">
        <f t="shared" si="24"/>
        <v>0</v>
      </c>
      <c r="DI35" s="3"/>
      <c r="DJ35" s="3"/>
      <c r="DK35" s="3"/>
      <c r="DL35" s="3">
        <f t="shared" si="2"/>
        <v>0</v>
      </c>
      <c r="DM35" s="3"/>
      <c r="DN35" s="3"/>
      <c r="DO35" s="3"/>
      <c r="DP35" s="3">
        <f t="shared" si="25"/>
        <v>0</v>
      </c>
      <c r="DQ35" s="3"/>
      <c r="DR35" s="3"/>
      <c r="DS35" s="3"/>
      <c r="DT35" s="3">
        <f t="shared" si="26"/>
        <v>0</v>
      </c>
      <c r="DU35" s="3"/>
      <c r="DV35" s="3"/>
      <c r="DW35" s="3"/>
      <c r="DX35" s="3">
        <f t="shared" si="27"/>
        <v>0</v>
      </c>
      <c r="DY35" s="3"/>
      <c r="DZ35" s="3"/>
      <c r="EA35" s="3"/>
      <c r="EB35" s="3">
        <f t="shared" si="28"/>
        <v>0</v>
      </c>
      <c r="EC35" s="4">
        <f t="shared" si="6"/>
        <v>297.35000000000002</v>
      </c>
      <c r="ED35" s="5">
        <f t="shared" si="29"/>
        <v>0</v>
      </c>
      <c r="EE35" s="6">
        <f t="shared" si="33"/>
        <v>297.35000000000002</v>
      </c>
      <c r="EF35" s="6">
        <f t="shared" si="33"/>
        <v>0</v>
      </c>
      <c r="EG35" s="6">
        <f t="shared" si="33"/>
        <v>0</v>
      </c>
    </row>
    <row r="36" spans="1:137" ht="12" customHeight="1" x14ac:dyDescent="0.35">
      <c r="A36" s="34" t="s">
        <v>115</v>
      </c>
      <c r="B36" s="35">
        <v>28324</v>
      </c>
      <c r="C36" s="35" t="s">
        <v>120</v>
      </c>
      <c r="D36" s="35" t="s">
        <v>93</v>
      </c>
      <c r="E36" s="34">
        <v>418801</v>
      </c>
      <c r="F36" s="35" t="s">
        <v>201</v>
      </c>
      <c r="G36" s="8">
        <v>46083</v>
      </c>
      <c r="H36" s="8">
        <v>46126</v>
      </c>
      <c r="I36" s="36">
        <v>5</v>
      </c>
      <c r="J36" s="36">
        <v>5970</v>
      </c>
      <c r="K36" s="36">
        <v>298.5</v>
      </c>
      <c r="L36" s="37"/>
      <c r="M36" s="37"/>
      <c r="N36" s="36">
        <v>298.5</v>
      </c>
      <c r="O36" s="36">
        <v>6268.5</v>
      </c>
      <c r="P36" s="35" t="s">
        <v>95</v>
      </c>
      <c r="Q36" s="34" t="s">
        <v>36</v>
      </c>
      <c r="R36" s="35" t="s">
        <v>122</v>
      </c>
      <c r="S36" s="35" t="s">
        <v>97</v>
      </c>
      <c r="T36" s="35" t="s">
        <v>98</v>
      </c>
      <c r="U36" s="35" t="s">
        <v>99</v>
      </c>
      <c r="V36" s="34">
        <v>996311</v>
      </c>
      <c r="W36" s="35" t="s">
        <v>123</v>
      </c>
      <c r="X36" s="34" t="s">
        <v>101</v>
      </c>
      <c r="Y36" s="35">
        <v>107</v>
      </c>
      <c r="Z36" s="35" t="s">
        <v>102</v>
      </c>
      <c r="AA36" t="s">
        <v>202</v>
      </c>
      <c r="AB36">
        <v>298.5</v>
      </c>
      <c r="AC36">
        <v>299</v>
      </c>
      <c r="AD36" s="38">
        <v>-1</v>
      </c>
      <c r="AE36" t="s">
        <v>104</v>
      </c>
      <c r="AF36" t="s">
        <v>73</v>
      </c>
      <c r="AG36" s="3"/>
      <c r="AH36" s="3"/>
      <c r="AI36" s="3"/>
      <c r="AJ36" s="3">
        <f t="shared" si="7"/>
        <v>0</v>
      </c>
      <c r="AK36" s="3"/>
      <c r="AL36" s="3"/>
      <c r="AM36" s="3"/>
      <c r="AN36" s="3">
        <f t="shared" si="8"/>
        <v>0</v>
      </c>
      <c r="AO36" s="3"/>
      <c r="AP36" s="3"/>
      <c r="AQ36" s="3"/>
      <c r="AR36" s="3">
        <f t="shared" si="9"/>
        <v>0</v>
      </c>
      <c r="AS36" s="3"/>
      <c r="AT36" s="3"/>
      <c r="AU36" s="3"/>
      <c r="AV36" s="3">
        <f t="shared" si="10"/>
        <v>0</v>
      </c>
      <c r="AW36" s="3"/>
      <c r="AX36" s="3"/>
      <c r="AY36" s="3"/>
      <c r="AZ36" s="3">
        <f t="shared" si="11"/>
        <v>0</v>
      </c>
      <c r="BA36" s="3"/>
      <c r="BB36" s="3"/>
      <c r="BC36" s="3"/>
      <c r="BD36" s="3">
        <f t="shared" si="12"/>
        <v>0</v>
      </c>
      <c r="BE36" s="3">
        <f>$K36*BE$4/$BE$4</f>
        <v>298.5</v>
      </c>
      <c r="BF36" s="3">
        <f>$L36*BE$4/$BE$4</f>
        <v>0</v>
      </c>
      <c r="BG36" s="3">
        <f>$M36*BE$4/$BE$4</f>
        <v>0</v>
      </c>
      <c r="BH36" s="3">
        <f t="shared" si="4"/>
        <v>298.5</v>
      </c>
      <c r="BI36" s="3"/>
      <c r="BJ36" s="3"/>
      <c r="BK36" s="3"/>
      <c r="BL36" s="3">
        <f t="shared" si="5"/>
        <v>0</v>
      </c>
      <c r="BM36" s="3"/>
      <c r="BN36" s="3"/>
      <c r="BO36" s="3"/>
      <c r="BP36" s="3">
        <f t="shared" si="13"/>
        <v>0</v>
      </c>
      <c r="BQ36" s="3"/>
      <c r="BR36" s="3"/>
      <c r="BS36" s="3"/>
      <c r="BT36" s="3">
        <f t="shared" si="14"/>
        <v>0</v>
      </c>
      <c r="BU36" s="3"/>
      <c r="BV36" s="3"/>
      <c r="BW36" s="3"/>
      <c r="BX36" s="3">
        <f t="shared" si="15"/>
        <v>0</v>
      </c>
      <c r="BY36" s="3"/>
      <c r="BZ36" s="3"/>
      <c r="CA36" s="3"/>
      <c r="CB36" s="3">
        <f t="shared" si="16"/>
        <v>0</v>
      </c>
      <c r="CC36" s="3"/>
      <c r="CD36" s="3"/>
      <c r="CE36" s="3"/>
      <c r="CF36" s="3">
        <f t="shared" si="17"/>
        <v>0</v>
      </c>
      <c r="CG36" s="3"/>
      <c r="CH36" s="3"/>
      <c r="CI36" s="3"/>
      <c r="CJ36" s="3">
        <f t="shared" si="18"/>
        <v>0</v>
      </c>
      <c r="CK36" s="3"/>
      <c r="CL36" s="3"/>
      <c r="CM36" s="3"/>
      <c r="CN36" s="3">
        <f t="shared" si="19"/>
        <v>0</v>
      </c>
      <c r="CO36" s="3"/>
      <c r="CP36" s="3"/>
      <c r="CQ36" s="3"/>
      <c r="CR36" s="3">
        <f t="shared" si="20"/>
        <v>0</v>
      </c>
      <c r="CS36" s="3"/>
      <c r="CT36" s="3"/>
      <c r="CU36" s="3"/>
      <c r="CV36" s="3">
        <f t="shared" si="21"/>
        <v>0</v>
      </c>
      <c r="CW36" s="3"/>
      <c r="CX36" s="3"/>
      <c r="CY36" s="3"/>
      <c r="CZ36" s="3">
        <f t="shared" si="22"/>
        <v>0</v>
      </c>
      <c r="DA36" s="3"/>
      <c r="DB36" s="3"/>
      <c r="DC36" s="3"/>
      <c r="DD36" s="3">
        <f t="shared" si="23"/>
        <v>0</v>
      </c>
      <c r="DE36" s="3"/>
      <c r="DF36" s="3"/>
      <c r="DG36" s="3"/>
      <c r="DH36" s="3">
        <f t="shared" si="24"/>
        <v>0</v>
      </c>
      <c r="DI36" s="3"/>
      <c r="DJ36" s="3"/>
      <c r="DK36" s="3"/>
      <c r="DL36" s="3">
        <f t="shared" si="2"/>
        <v>0</v>
      </c>
      <c r="DM36" s="3"/>
      <c r="DN36" s="3"/>
      <c r="DO36" s="3"/>
      <c r="DP36" s="3">
        <f t="shared" si="25"/>
        <v>0</v>
      </c>
      <c r="DQ36" s="3"/>
      <c r="DR36" s="3"/>
      <c r="DS36" s="3"/>
      <c r="DT36" s="3">
        <f t="shared" si="26"/>
        <v>0</v>
      </c>
      <c r="DU36" s="3"/>
      <c r="DV36" s="3"/>
      <c r="DW36" s="3"/>
      <c r="DX36" s="3">
        <f t="shared" si="27"/>
        <v>0</v>
      </c>
      <c r="DY36" s="3"/>
      <c r="DZ36" s="3"/>
      <c r="EA36" s="3"/>
      <c r="EB36" s="3">
        <f t="shared" si="28"/>
        <v>0</v>
      </c>
      <c r="EC36" s="4">
        <f t="shared" si="6"/>
        <v>298.5</v>
      </c>
      <c r="ED36" s="5">
        <f t="shared" si="29"/>
        <v>0</v>
      </c>
      <c r="EE36" s="6">
        <f t="shared" si="33"/>
        <v>298.5</v>
      </c>
      <c r="EF36" s="6">
        <f t="shared" si="33"/>
        <v>0</v>
      </c>
      <c r="EG36" s="6">
        <f t="shared" si="33"/>
        <v>0</v>
      </c>
    </row>
    <row r="37" spans="1:137" ht="12" customHeight="1" x14ac:dyDescent="0.35">
      <c r="A37" s="34" t="s">
        <v>115</v>
      </c>
      <c r="B37" s="35">
        <v>28324</v>
      </c>
      <c r="C37" s="35" t="s">
        <v>203</v>
      </c>
      <c r="D37" s="35" t="s">
        <v>93</v>
      </c>
      <c r="E37" s="34">
        <v>418801</v>
      </c>
      <c r="F37" s="35" t="s">
        <v>204</v>
      </c>
      <c r="G37" s="8">
        <v>46086</v>
      </c>
      <c r="H37" s="8">
        <v>46126</v>
      </c>
      <c r="I37" s="36">
        <v>18</v>
      </c>
      <c r="J37" s="36">
        <v>5423</v>
      </c>
      <c r="K37" s="36">
        <v>976.14</v>
      </c>
      <c r="L37" s="37"/>
      <c r="M37" s="37"/>
      <c r="N37" s="36">
        <v>976.14</v>
      </c>
      <c r="O37" s="36">
        <v>6399.14</v>
      </c>
      <c r="P37" s="35" t="s">
        <v>95</v>
      </c>
      <c r="Q37" s="34" t="s">
        <v>36</v>
      </c>
      <c r="R37" s="35" t="s">
        <v>96</v>
      </c>
      <c r="S37" s="35" t="s">
        <v>97</v>
      </c>
      <c r="T37" s="35" t="s">
        <v>98</v>
      </c>
      <c r="U37" s="35" t="s">
        <v>99</v>
      </c>
      <c r="V37" s="34">
        <v>996311</v>
      </c>
      <c r="W37" s="35" t="s">
        <v>205</v>
      </c>
      <c r="X37" s="34" t="s">
        <v>101</v>
      </c>
      <c r="Y37" s="35">
        <v>107</v>
      </c>
      <c r="Z37" s="35" t="s">
        <v>102</v>
      </c>
      <c r="AA37" t="s">
        <v>206</v>
      </c>
      <c r="AB37">
        <v>976.14</v>
      </c>
      <c r="AC37">
        <v>977</v>
      </c>
      <c r="AD37" s="38">
        <v>-1</v>
      </c>
      <c r="AE37" t="s">
        <v>104</v>
      </c>
      <c r="AF37" t="s">
        <v>73</v>
      </c>
      <c r="AG37" s="3"/>
      <c r="AH37" s="3"/>
      <c r="AI37" s="3"/>
      <c r="AJ37" s="3">
        <f t="shared" si="7"/>
        <v>0</v>
      </c>
      <c r="AK37" s="3"/>
      <c r="AL37" s="3"/>
      <c r="AM37" s="3"/>
      <c r="AN37" s="3">
        <f t="shared" si="8"/>
        <v>0</v>
      </c>
      <c r="AO37" s="3"/>
      <c r="AP37" s="3"/>
      <c r="AQ37" s="3"/>
      <c r="AR37" s="3">
        <f t="shared" si="9"/>
        <v>0</v>
      </c>
      <c r="AS37" s="3"/>
      <c r="AT37" s="3"/>
      <c r="AU37" s="3"/>
      <c r="AV37" s="3">
        <f t="shared" si="10"/>
        <v>0</v>
      </c>
      <c r="AW37" s="3"/>
      <c r="AX37" s="3"/>
      <c r="AY37" s="3"/>
      <c r="AZ37" s="3">
        <f t="shared" si="11"/>
        <v>0</v>
      </c>
      <c r="BA37" s="3"/>
      <c r="BB37" s="3"/>
      <c r="BC37" s="3"/>
      <c r="BD37" s="3">
        <f t="shared" si="12"/>
        <v>0</v>
      </c>
      <c r="BE37" s="3">
        <f>$K37*BE$4/$BE$4</f>
        <v>976.14</v>
      </c>
      <c r="BF37" s="3">
        <f>$L37*BE$4/$BE$4</f>
        <v>0</v>
      </c>
      <c r="BG37" s="3">
        <f>$M37*BE$4/$BE$4</f>
        <v>0</v>
      </c>
      <c r="BH37" s="3">
        <f t="shared" si="4"/>
        <v>976.14</v>
      </c>
      <c r="BI37" s="3"/>
      <c r="BJ37" s="3"/>
      <c r="BK37" s="3"/>
      <c r="BL37" s="3">
        <f t="shared" si="5"/>
        <v>0</v>
      </c>
      <c r="BM37" s="3"/>
      <c r="BN37" s="3"/>
      <c r="BO37" s="3"/>
      <c r="BP37" s="3">
        <f t="shared" si="13"/>
        <v>0</v>
      </c>
      <c r="BQ37" s="3"/>
      <c r="BR37" s="3"/>
      <c r="BS37" s="3"/>
      <c r="BT37" s="3">
        <f t="shared" si="14"/>
        <v>0</v>
      </c>
      <c r="BU37" s="3"/>
      <c r="BV37" s="3"/>
      <c r="BW37" s="3"/>
      <c r="BX37" s="3">
        <f t="shared" si="15"/>
        <v>0</v>
      </c>
      <c r="BY37" s="3"/>
      <c r="BZ37" s="3"/>
      <c r="CA37" s="3"/>
      <c r="CB37" s="3">
        <f t="shared" si="16"/>
        <v>0</v>
      </c>
      <c r="CC37" s="3"/>
      <c r="CD37" s="3"/>
      <c r="CE37" s="3"/>
      <c r="CF37" s="3">
        <f t="shared" si="17"/>
        <v>0</v>
      </c>
      <c r="CG37" s="3"/>
      <c r="CH37" s="3"/>
      <c r="CI37" s="3"/>
      <c r="CJ37" s="3">
        <f t="shared" si="18"/>
        <v>0</v>
      </c>
      <c r="CK37" s="3"/>
      <c r="CL37" s="3"/>
      <c r="CM37" s="3"/>
      <c r="CN37" s="3">
        <f t="shared" si="19"/>
        <v>0</v>
      </c>
      <c r="CO37" s="3"/>
      <c r="CP37" s="3"/>
      <c r="CQ37" s="3"/>
      <c r="CR37" s="3">
        <f t="shared" si="20"/>
        <v>0</v>
      </c>
      <c r="CS37" s="3"/>
      <c r="CT37" s="3"/>
      <c r="CU37" s="3"/>
      <c r="CV37" s="3">
        <f t="shared" si="21"/>
        <v>0</v>
      </c>
      <c r="CW37" s="3"/>
      <c r="CX37" s="3"/>
      <c r="CY37" s="3"/>
      <c r="CZ37" s="3">
        <f t="shared" si="22"/>
        <v>0</v>
      </c>
      <c r="DA37" s="3"/>
      <c r="DB37" s="3"/>
      <c r="DC37" s="3"/>
      <c r="DD37" s="3">
        <f t="shared" si="23"/>
        <v>0</v>
      </c>
      <c r="DE37" s="3"/>
      <c r="DF37" s="3"/>
      <c r="DG37" s="3"/>
      <c r="DH37" s="3">
        <f t="shared" si="24"/>
        <v>0</v>
      </c>
      <c r="DI37" s="3"/>
      <c r="DJ37" s="3"/>
      <c r="DK37" s="3"/>
      <c r="DL37" s="3">
        <f t="shared" si="2"/>
        <v>0</v>
      </c>
      <c r="DM37" s="3"/>
      <c r="DN37" s="3"/>
      <c r="DO37" s="3"/>
      <c r="DP37" s="3">
        <f t="shared" si="25"/>
        <v>0</v>
      </c>
      <c r="DQ37" s="3"/>
      <c r="DR37" s="3"/>
      <c r="DS37" s="3"/>
      <c r="DT37" s="3">
        <f t="shared" si="26"/>
        <v>0</v>
      </c>
      <c r="DU37" s="3"/>
      <c r="DV37" s="3"/>
      <c r="DW37" s="3"/>
      <c r="DX37" s="3">
        <f t="shared" si="27"/>
        <v>0</v>
      </c>
      <c r="DY37" s="3"/>
      <c r="DZ37" s="3"/>
      <c r="EA37" s="3"/>
      <c r="EB37" s="3">
        <f t="shared" si="28"/>
        <v>0</v>
      </c>
      <c r="EC37" s="4">
        <f t="shared" si="6"/>
        <v>976.14</v>
      </c>
      <c r="ED37" s="5">
        <f t="shared" si="29"/>
        <v>0</v>
      </c>
      <c r="EE37" s="6">
        <f t="shared" si="33"/>
        <v>976.14</v>
      </c>
      <c r="EF37" s="6">
        <f t="shared" si="33"/>
        <v>0</v>
      </c>
      <c r="EG37" s="6">
        <f t="shared" si="33"/>
        <v>0</v>
      </c>
    </row>
    <row r="38" spans="1:137" ht="12" customHeight="1" x14ac:dyDescent="0.35">
      <c r="A38" s="34" t="s">
        <v>91</v>
      </c>
      <c r="B38" s="35">
        <v>30450</v>
      </c>
      <c r="C38" s="35" t="s">
        <v>92</v>
      </c>
      <c r="D38" s="35" t="s">
        <v>93</v>
      </c>
      <c r="E38" s="34">
        <v>418801</v>
      </c>
      <c r="F38" s="35" t="s">
        <v>207</v>
      </c>
      <c r="G38" s="8">
        <v>46083</v>
      </c>
      <c r="H38" s="8">
        <v>46126</v>
      </c>
      <c r="I38" s="36">
        <v>5</v>
      </c>
      <c r="J38" s="36">
        <v>4906</v>
      </c>
      <c r="K38" s="37"/>
      <c r="L38" s="36">
        <v>122.65</v>
      </c>
      <c r="M38" s="36">
        <v>122.65</v>
      </c>
      <c r="N38" s="36">
        <v>245.3</v>
      </c>
      <c r="O38" s="36">
        <v>5151.3</v>
      </c>
      <c r="P38" s="35" t="s">
        <v>95</v>
      </c>
      <c r="Q38" s="34" t="s">
        <v>47</v>
      </c>
      <c r="R38" s="35" t="s">
        <v>96</v>
      </c>
      <c r="S38" s="35" t="s">
        <v>97</v>
      </c>
      <c r="T38" s="35" t="s">
        <v>98</v>
      </c>
      <c r="U38" s="35" t="s">
        <v>99</v>
      </c>
      <c r="V38" s="34">
        <v>996311</v>
      </c>
      <c r="W38" s="35" t="s">
        <v>208</v>
      </c>
      <c r="X38" s="34" t="s">
        <v>101</v>
      </c>
      <c r="Y38" s="35">
        <v>107</v>
      </c>
      <c r="Z38" s="35" t="s">
        <v>102</v>
      </c>
      <c r="AA38" t="s">
        <v>209</v>
      </c>
      <c r="AB38">
        <v>245.3</v>
      </c>
      <c r="AC38">
        <v>245</v>
      </c>
      <c r="AD38" s="38">
        <v>0</v>
      </c>
      <c r="AE38" t="s">
        <v>104</v>
      </c>
      <c r="AF38" t="s">
        <v>73</v>
      </c>
      <c r="AG38" s="3"/>
      <c r="AH38" s="3"/>
      <c r="AI38" s="3"/>
      <c r="AJ38" s="3">
        <f t="shared" si="7"/>
        <v>0</v>
      </c>
      <c r="AK38" s="3"/>
      <c r="AL38" s="3"/>
      <c r="AM38" s="3"/>
      <c r="AN38" s="3">
        <f t="shared" si="8"/>
        <v>0</v>
      </c>
      <c r="AO38" s="3"/>
      <c r="AP38" s="3"/>
      <c r="AQ38" s="3"/>
      <c r="AR38" s="3">
        <f t="shared" si="9"/>
        <v>0</v>
      </c>
      <c r="AS38" s="3"/>
      <c r="AT38" s="3"/>
      <c r="AU38" s="3"/>
      <c r="AV38" s="3">
        <f t="shared" si="10"/>
        <v>0</v>
      </c>
      <c r="AW38" s="3"/>
      <c r="AX38" s="3"/>
      <c r="AY38" s="3"/>
      <c r="AZ38" s="3">
        <f t="shared" si="11"/>
        <v>0</v>
      </c>
      <c r="BA38" s="3"/>
      <c r="BB38" s="3"/>
      <c r="BC38" s="3"/>
      <c r="BD38" s="3">
        <f t="shared" si="12"/>
        <v>0</v>
      </c>
      <c r="BE38" s="3"/>
      <c r="BF38" s="3"/>
      <c r="BG38" s="3"/>
      <c r="BH38" s="3">
        <f t="shared" si="4"/>
        <v>0</v>
      </c>
      <c r="BI38" s="3"/>
      <c r="BJ38" s="3"/>
      <c r="BK38" s="3"/>
      <c r="BL38" s="3">
        <f t="shared" si="5"/>
        <v>0</v>
      </c>
      <c r="BM38" s="3"/>
      <c r="BN38" s="3"/>
      <c r="BO38" s="3"/>
      <c r="BP38" s="3">
        <f t="shared" si="13"/>
        <v>0</v>
      </c>
      <c r="BQ38" s="3"/>
      <c r="BR38" s="3"/>
      <c r="BS38" s="3"/>
      <c r="BT38" s="3">
        <f t="shared" si="14"/>
        <v>0</v>
      </c>
      <c r="BU38" s="3"/>
      <c r="BV38" s="3"/>
      <c r="BW38" s="3"/>
      <c r="BX38" s="3">
        <f t="shared" si="15"/>
        <v>0</v>
      </c>
      <c r="BY38" s="3"/>
      <c r="BZ38" s="3"/>
      <c r="CA38" s="3"/>
      <c r="CB38" s="3">
        <f t="shared" si="16"/>
        <v>0</v>
      </c>
      <c r="CC38" s="3"/>
      <c r="CD38" s="3"/>
      <c r="CE38" s="3"/>
      <c r="CF38" s="3">
        <f t="shared" si="17"/>
        <v>0</v>
      </c>
      <c r="CG38" s="3"/>
      <c r="CH38" s="3"/>
      <c r="CI38" s="3"/>
      <c r="CJ38" s="3">
        <f t="shared" si="18"/>
        <v>0</v>
      </c>
      <c r="CK38" s="3"/>
      <c r="CL38" s="3"/>
      <c r="CM38" s="3"/>
      <c r="CN38" s="3">
        <f t="shared" si="19"/>
        <v>0</v>
      </c>
      <c r="CO38" s="3"/>
      <c r="CP38" s="3"/>
      <c r="CQ38" s="3"/>
      <c r="CR38" s="3">
        <f t="shared" si="20"/>
        <v>0</v>
      </c>
      <c r="CS38" s="3"/>
      <c r="CT38" s="3"/>
      <c r="CU38" s="3"/>
      <c r="CV38" s="3">
        <f t="shared" si="21"/>
        <v>0</v>
      </c>
      <c r="CW38" s="3">
        <f>SUM($K38:$M38)*CW$4/$CW$4</f>
        <v>245.3</v>
      </c>
      <c r="CX38" s="3">
        <v>0</v>
      </c>
      <c r="CY38" s="3">
        <v>0</v>
      </c>
      <c r="CZ38" s="3">
        <f t="shared" si="22"/>
        <v>245.3</v>
      </c>
      <c r="DA38" s="3"/>
      <c r="DB38" s="3"/>
      <c r="DC38" s="3"/>
      <c r="DD38" s="3">
        <f t="shared" si="23"/>
        <v>0</v>
      </c>
      <c r="DE38" s="3"/>
      <c r="DF38" s="3"/>
      <c r="DG38" s="3"/>
      <c r="DH38" s="3">
        <f t="shared" si="24"/>
        <v>0</v>
      </c>
      <c r="DI38" s="3"/>
      <c r="DJ38" s="3"/>
      <c r="DK38" s="3"/>
      <c r="DL38" s="3">
        <f t="shared" si="2"/>
        <v>0</v>
      </c>
      <c r="DM38" s="3"/>
      <c r="DN38" s="3"/>
      <c r="DO38" s="3"/>
      <c r="DP38" s="3">
        <f t="shared" si="25"/>
        <v>0</v>
      </c>
      <c r="DQ38" s="3"/>
      <c r="DR38" s="3"/>
      <c r="DS38" s="3"/>
      <c r="DT38" s="3">
        <f t="shared" si="26"/>
        <v>0</v>
      </c>
      <c r="DU38" s="3"/>
      <c r="DV38" s="3"/>
      <c r="DW38" s="3"/>
      <c r="DX38" s="3">
        <f t="shared" si="27"/>
        <v>0</v>
      </c>
      <c r="DY38" s="3"/>
      <c r="DZ38" s="3"/>
      <c r="EA38" s="3"/>
      <c r="EB38" s="3">
        <f t="shared" si="28"/>
        <v>0</v>
      </c>
      <c r="EC38" s="4">
        <f t="shared" si="6"/>
        <v>245.3</v>
      </c>
      <c r="ED38" s="5">
        <f t="shared" si="29"/>
        <v>0</v>
      </c>
      <c r="EE38" s="6">
        <f t="shared" si="33"/>
        <v>245.3</v>
      </c>
      <c r="EF38" s="6">
        <f t="shared" si="33"/>
        <v>0</v>
      </c>
      <c r="EG38" s="6">
        <f t="shared" si="33"/>
        <v>0</v>
      </c>
    </row>
    <row r="39" spans="1:137" ht="12" customHeight="1" x14ac:dyDescent="0.35">
      <c r="A39" s="34" t="s">
        <v>91</v>
      </c>
      <c r="B39" s="35">
        <v>30450</v>
      </c>
      <c r="C39" s="35" t="s">
        <v>210</v>
      </c>
      <c r="D39" s="35" t="s">
        <v>93</v>
      </c>
      <c r="E39" s="34">
        <v>418801</v>
      </c>
      <c r="F39" s="35" t="s">
        <v>211</v>
      </c>
      <c r="G39" s="8">
        <v>46086</v>
      </c>
      <c r="H39" s="8">
        <v>46126</v>
      </c>
      <c r="I39" s="36">
        <v>5</v>
      </c>
      <c r="J39" s="36">
        <v>3400</v>
      </c>
      <c r="K39" s="36">
        <v>170</v>
      </c>
      <c r="L39" s="37"/>
      <c r="M39" s="37"/>
      <c r="N39" s="36">
        <v>170</v>
      </c>
      <c r="O39" s="36">
        <v>3570</v>
      </c>
      <c r="P39" s="35" t="s">
        <v>95</v>
      </c>
      <c r="Q39" s="34" t="s">
        <v>51</v>
      </c>
      <c r="R39" s="35" t="s">
        <v>96</v>
      </c>
      <c r="S39" s="35" t="s">
        <v>97</v>
      </c>
      <c r="T39" s="35" t="s">
        <v>98</v>
      </c>
      <c r="U39" s="35" t="s">
        <v>99</v>
      </c>
      <c r="V39" s="34">
        <v>996311</v>
      </c>
      <c r="W39" s="35" t="s">
        <v>212</v>
      </c>
      <c r="X39" s="34" t="s">
        <v>101</v>
      </c>
      <c r="Y39" s="35">
        <v>107</v>
      </c>
      <c r="Z39" s="35" t="s">
        <v>102</v>
      </c>
      <c r="AA39" t="s">
        <v>213</v>
      </c>
      <c r="AB39">
        <v>170</v>
      </c>
      <c r="AC39">
        <v>170</v>
      </c>
      <c r="AD39" s="38">
        <v>0</v>
      </c>
      <c r="AE39" t="s">
        <v>104</v>
      </c>
      <c r="AF39" t="s">
        <v>73</v>
      </c>
      <c r="AG39" s="3"/>
      <c r="AH39" s="3"/>
      <c r="AI39" s="3"/>
      <c r="AJ39" s="3">
        <f t="shared" si="7"/>
        <v>0</v>
      </c>
      <c r="AK39" s="3"/>
      <c r="AL39" s="3"/>
      <c r="AM39" s="3"/>
      <c r="AN39" s="3">
        <f t="shared" si="8"/>
        <v>0</v>
      </c>
      <c r="AO39" s="3"/>
      <c r="AP39" s="3"/>
      <c r="AQ39" s="3"/>
      <c r="AR39" s="3">
        <f t="shared" si="9"/>
        <v>0</v>
      </c>
      <c r="AS39" s="3"/>
      <c r="AT39" s="3"/>
      <c r="AU39" s="3"/>
      <c r="AV39" s="3">
        <f t="shared" si="10"/>
        <v>0</v>
      </c>
      <c r="AW39" s="3"/>
      <c r="AX39" s="3"/>
      <c r="AY39" s="3"/>
      <c r="AZ39" s="3">
        <f t="shared" si="11"/>
        <v>0</v>
      </c>
      <c r="BA39" s="3"/>
      <c r="BB39" s="3"/>
      <c r="BC39" s="3"/>
      <c r="BD39" s="3">
        <f t="shared" si="12"/>
        <v>0</v>
      </c>
      <c r="BE39" s="3"/>
      <c r="BF39" s="3"/>
      <c r="BG39" s="3"/>
      <c r="BH39" s="3">
        <f t="shared" si="4"/>
        <v>0</v>
      </c>
      <c r="BI39" s="3"/>
      <c r="BJ39" s="3"/>
      <c r="BK39" s="3"/>
      <c r="BL39" s="3">
        <f t="shared" si="5"/>
        <v>0</v>
      </c>
      <c r="BM39" s="3"/>
      <c r="BN39" s="3"/>
      <c r="BO39" s="3"/>
      <c r="BP39" s="3">
        <f t="shared" si="13"/>
        <v>0</v>
      </c>
      <c r="BQ39" s="3"/>
      <c r="BR39" s="3"/>
      <c r="BS39" s="3"/>
      <c r="BT39" s="3">
        <f t="shared" si="14"/>
        <v>0</v>
      </c>
      <c r="BU39" s="3"/>
      <c r="BV39" s="3"/>
      <c r="BW39" s="3"/>
      <c r="BX39" s="3">
        <f t="shared" si="15"/>
        <v>0</v>
      </c>
      <c r="BY39" s="3"/>
      <c r="BZ39" s="3"/>
      <c r="CA39" s="3"/>
      <c r="CB39" s="3">
        <f t="shared" si="16"/>
        <v>0</v>
      </c>
      <c r="CC39" s="3"/>
      <c r="CD39" s="3"/>
      <c r="CE39" s="3"/>
      <c r="CF39" s="3">
        <f t="shared" si="17"/>
        <v>0</v>
      </c>
      <c r="CG39" s="3"/>
      <c r="CH39" s="3"/>
      <c r="CI39" s="3"/>
      <c r="CJ39" s="3">
        <f t="shared" si="18"/>
        <v>0</v>
      </c>
      <c r="CK39" s="3"/>
      <c r="CL39" s="3"/>
      <c r="CM39" s="3"/>
      <c r="CN39" s="3">
        <f t="shared" si="19"/>
        <v>0</v>
      </c>
      <c r="CO39" s="3"/>
      <c r="CP39" s="3"/>
      <c r="CQ39" s="3"/>
      <c r="CR39" s="3">
        <f t="shared" si="20"/>
        <v>0</v>
      </c>
      <c r="CS39" s="3"/>
      <c r="CT39" s="3"/>
      <c r="CU39" s="3"/>
      <c r="CV39" s="3">
        <f>SUBTOTAL(9,CS39:CU39)</f>
        <v>0</v>
      </c>
      <c r="CW39" s="3"/>
      <c r="CX39" s="3"/>
      <c r="CY39" s="3"/>
      <c r="CZ39" s="3">
        <f t="shared" si="22"/>
        <v>0</v>
      </c>
      <c r="DA39" s="3"/>
      <c r="DB39" s="3"/>
      <c r="DC39" s="3"/>
      <c r="DD39" s="3">
        <f t="shared" si="23"/>
        <v>0</v>
      </c>
      <c r="DE39" s="3"/>
      <c r="DF39" s="3"/>
      <c r="DG39" s="3"/>
      <c r="DH39" s="3">
        <f t="shared" si="24"/>
        <v>0</v>
      </c>
      <c r="DI39" s="3"/>
      <c r="DJ39" s="3"/>
      <c r="DK39" s="3"/>
      <c r="DL39" s="3">
        <f t="shared" si="2"/>
        <v>0</v>
      </c>
      <c r="DM39" s="3">
        <f>SUM($K39:$M39)*DM$4/$DM$4</f>
        <v>170</v>
      </c>
      <c r="DN39" s="3">
        <v>0</v>
      </c>
      <c r="DO39" s="3">
        <v>0</v>
      </c>
      <c r="DP39" s="3">
        <f t="shared" si="25"/>
        <v>170</v>
      </c>
      <c r="DQ39" s="3"/>
      <c r="DR39" s="3"/>
      <c r="DS39" s="3"/>
      <c r="DT39" s="3">
        <f t="shared" si="26"/>
        <v>0</v>
      </c>
      <c r="DU39" s="3"/>
      <c r="DV39" s="3"/>
      <c r="DW39" s="3"/>
      <c r="DX39" s="3">
        <f t="shared" si="27"/>
        <v>0</v>
      </c>
      <c r="DY39" s="3"/>
      <c r="DZ39" s="3"/>
      <c r="EA39" s="3"/>
      <c r="EB39" s="3">
        <f t="shared" si="28"/>
        <v>0</v>
      </c>
      <c r="EC39" s="4">
        <f t="shared" si="6"/>
        <v>170</v>
      </c>
      <c r="ED39" s="5">
        <f t="shared" si="29"/>
        <v>0</v>
      </c>
      <c r="EE39" s="6">
        <f t="shared" si="33"/>
        <v>170</v>
      </c>
      <c r="EF39" s="6">
        <f t="shared" si="33"/>
        <v>0</v>
      </c>
      <c r="EG39" s="6">
        <f t="shared" si="33"/>
        <v>0</v>
      </c>
    </row>
    <row r="40" spans="1:137" ht="12" customHeight="1" x14ac:dyDescent="0.35">
      <c r="A40" s="34" t="s">
        <v>115</v>
      </c>
      <c r="B40" s="35">
        <v>28324</v>
      </c>
      <c r="C40" s="35" t="s">
        <v>116</v>
      </c>
      <c r="D40" s="35" t="s">
        <v>93</v>
      </c>
      <c r="E40" s="34">
        <v>418801</v>
      </c>
      <c r="F40" s="35" t="s">
        <v>214</v>
      </c>
      <c r="G40" s="8">
        <v>46090</v>
      </c>
      <c r="H40" s="8">
        <v>46126</v>
      </c>
      <c r="I40" s="36">
        <v>5</v>
      </c>
      <c r="J40" s="36">
        <v>333</v>
      </c>
      <c r="K40" s="37"/>
      <c r="L40" s="36">
        <v>8.3249999999999993</v>
      </c>
      <c r="M40" s="36">
        <v>8.3249999999999993</v>
      </c>
      <c r="N40" s="36">
        <v>16.649999999999999</v>
      </c>
      <c r="O40" s="36">
        <v>349.66</v>
      </c>
      <c r="P40" s="35" t="s">
        <v>95</v>
      </c>
      <c r="Q40" s="34" t="s">
        <v>48</v>
      </c>
      <c r="R40" s="35" t="s">
        <v>96</v>
      </c>
      <c r="S40" s="35" t="s">
        <v>97</v>
      </c>
      <c r="T40" s="35" t="s">
        <v>98</v>
      </c>
      <c r="U40" s="35" t="s">
        <v>99</v>
      </c>
      <c r="V40" s="34">
        <v>996311</v>
      </c>
      <c r="W40" s="35" t="s">
        <v>118</v>
      </c>
      <c r="X40" s="34" t="s">
        <v>101</v>
      </c>
      <c r="Y40" s="35">
        <v>107</v>
      </c>
      <c r="Z40" s="35" t="s">
        <v>102</v>
      </c>
      <c r="AA40" t="s">
        <v>215</v>
      </c>
      <c r="AB40">
        <v>16.649999999999999</v>
      </c>
      <c r="AC40">
        <v>17</v>
      </c>
      <c r="AD40" s="38">
        <v>0</v>
      </c>
      <c r="AE40" t="s">
        <v>104</v>
      </c>
      <c r="AF40" t="s">
        <v>73</v>
      </c>
      <c r="AG40" s="3"/>
      <c r="AH40" s="3"/>
      <c r="AI40" s="3"/>
      <c r="AJ40" s="3">
        <f t="shared" si="7"/>
        <v>0</v>
      </c>
      <c r="AK40" s="3"/>
      <c r="AL40" s="3"/>
      <c r="AM40" s="3"/>
      <c r="AN40" s="3">
        <f t="shared" si="8"/>
        <v>0</v>
      </c>
      <c r="AO40" s="3"/>
      <c r="AP40" s="3"/>
      <c r="AQ40" s="3"/>
      <c r="AR40" s="3">
        <f t="shared" si="9"/>
        <v>0</v>
      </c>
      <c r="AS40" s="3"/>
      <c r="AT40" s="3"/>
      <c r="AU40" s="3"/>
      <c r="AV40" s="3">
        <f t="shared" si="10"/>
        <v>0</v>
      </c>
      <c r="AW40" s="3"/>
      <c r="AX40" s="3"/>
      <c r="AY40" s="3"/>
      <c r="AZ40" s="3">
        <f t="shared" si="11"/>
        <v>0</v>
      </c>
      <c r="BA40" s="3"/>
      <c r="BB40" s="3"/>
      <c r="BC40" s="3"/>
      <c r="BD40" s="3">
        <f t="shared" si="12"/>
        <v>0</v>
      </c>
      <c r="BE40" s="3"/>
      <c r="BF40" s="3"/>
      <c r="BG40" s="3"/>
      <c r="BH40" s="3">
        <f t="shared" si="4"/>
        <v>0</v>
      </c>
      <c r="BI40" s="3"/>
      <c r="BJ40" s="3"/>
      <c r="BK40" s="3"/>
      <c r="BL40" s="3">
        <f t="shared" si="5"/>
        <v>0</v>
      </c>
      <c r="BM40" s="3"/>
      <c r="BN40" s="3"/>
      <c r="BO40" s="3"/>
      <c r="BP40" s="3">
        <f t="shared" si="13"/>
        <v>0</v>
      </c>
      <c r="BQ40" s="3"/>
      <c r="BR40" s="3"/>
      <c r="BS40" s="3"/>
      <c r="BT40" s="3">
        <f t="shared" si="14"/>
        <v>0</v>
      </c>
      <c r="BU40" s="3"/>
      <c r="BV40" s="3"/>
      <c r="BW40" s="3"/>
      <c r="BX40" s="3">
        <f t="shared" si="15"/>
        <v>0</v>
      </c>
      <c r="BY40" s="3"/>
      <c r="BZ40" s="3"/>
      <c r="CA40" s="3"/>
      <c r="CB40" s="3">
        <f t="shared" si="16"/>
        <v>0</v>
      </c>
      <c r="CC40" s="3"/>
      <c r="CD40" s="3"/>
      <c r="CE40" s="3"/>
      <c r="CF40" s="3">
        <f t="shared" si="17"/>
        <v>0</v>
      </c>
      <c r="CG40" s="3"/>
      <c r="CH40" s="3"/>
      <c r="CI40" s="3"/>
      <c r="CJ40" s="3">
        <f t="shared" si="18"/>
        <v>0</v>
      </c>
      <c r="CK40" s="3"/>
      <c r="CL40" s="3"/>
      <c r="CM40" s="3"/>
      <c r="CN40" s="3">
        <f t="shared" si="19"/>
        <v>0</v>
      </c>
      <c r="CO40" s="3"/>
      <c r="CP40" s="3"/>
      <c r="CQ40" s="3"/>
      <c r="CR40" s="3">
        <f t="shared" si="20"/>
        <v>0</v>
      </c>
      <c r="CS40" s="3"/>
      <c r="CT40" s="3"/>
      <c r="CU40" s="3"/>
      <c r="CV40" s="3">
        <f t="shared" si="21"/>
        <v>0</v>
      </c>
      <c r="CW40" s="3"/>
      <c r="CX40" s="3"/>
      <c r="CY40" s="3"/>
      <c r="CZ40" s="3">
        <f t="shared" si="22"/>
        <v>0</v>
      </c>
      <c r="DA40" s="3">
        <f>SUM($K40:$M40)*DA$4/$DA$4</f>
        <v>16.649999999999999</v>
      </c>
      <c r="DB40" s="3">
        <v>0</v>
      </c>
      <c r="DC40" s="3">
        <v>0</v>
      </c>
      <c r="DD40" s="3">
        <f t="shared" si="23"/>
        <v>16.649999999999999</v>
      </c>
      <c r="DE40" s="3"/>
      <c r="DF40" s="3"/>
      <c r="DG40" s="3"/>
      <c r="DH40" s="3">
        <f t="shared" si="24"/>
        <v>0</v>
      </c>
      <c r="DI40" s="3"/>
      <c r="DJ40" s="3"/>
      <c r="DK40" s="3"/>
      <c r="DL40" s="3">
        <f t="shared" si="2"/>
        <v>0</v>
      </c>
      <c r="DM40" s="3"/>
      <c r="DN40" s="3"/>
      <c r="DO40" s="3"/>
      <c r="DP40" s="3">
        <f t="shared" si="25"/>
        <v>0</v>
      </c>
      <c r="DQ40" s="3"/>
      <c r="DR40" s="3"/>
      <c r="DS40" s="3"/>
      <c r="DT40" s="3">
        <f t="shared" si="26"/>
        <v>0</v>
      </c>
      <c r="DU40" s="3"/>
      <c r="DV40" s="3"/>
      <c r="DW40" s="3"/>
      <c r="DX40" s="3">
        <f t="shared" si="27"/>
        <v>0</v>
      </c>
      <c r="DY40" s="3"/>
      <c r="DZ40" s="3"/>
      <c r="EA40" s="3"/>
      <c r="EB40" s="3">
        <f t="shared" si="28"/>
        <v>0</v>
      </c>
      <c r="EC40" s="4">
        <f t="shared" si="6"/>
        <v>16.649999999999999</v>
      </c>
      <c r="ED40" s="5">
        <f t="shared" si="29"/>
        <v>0</v>
      </c>
      <c r="EE40" s="6">
        <f t="shared" si="33"/>
        <v>16.649999999999999</v>
      </c>
      <c r="EF40" s="6">
        <f t="shared" si="33"/>
        <v>0</v>
      </c>
      <c r="EG40" s="6">
        <f t="shared" si="33"/>
        <v>0</v>
      </c>
    </row>
    <row r="41" spans="1:137" ht="12" customHeight="1" x14ac:dyDescent="0.35">
      <c r="A41" s="34" t="s">
        <v>91</v>
      </c>
      <c r="B41" s="35">
        <v>30450</v>
      </c>
      <c r="C41" s="35" t="s">
        <v>105</v>
      </c>
      <c r="D41" s="35" t="s">
        <v>93</v>
      </c>
      <c r="E41" s="34">
        <v>418801</v>
      </c>
      <c r="F41" s="35" t="s">
        <v>216</v>
      </c>
      <c r="G41" s="8">
        <v>45855</v>
      </c>
      <c r="H41" s="8">
        <v>46126</v>
      </c>
      <c r="I41" s="36">
        <v>5</v>
      </c>
      <c r="J41" s="36">
        <v>2380</v>
      </c>
      <c r="K41" s="36">
        <v>119</v>
      </c>
      <c r="L41" s="37"/>
      <c r="M41" s="37"/>
      <c r="N41" s="36">
        <v>119</v>
      </c>
      <c r="O41" s="36">
        <v>2499</v>
      </c>
      <c r="P41" s="35" t="s">
        <v>95</v>
      </c>
      <c r="Q41" s="34" t="s">
        <v>36</v>
      </c>
      <c r="R41" s="35" t="s">
        <v>96</v>
      </c>
      <c r="S41" s="35" t="s">
        <v>97</v>
      </c>
      <c r="T41" s="35" t="s">
        <v>98</v>
      </c>
      <c r="U41" s="35" t="s">
        <v>99</v>
      </c>
      <c r="V41" s="34">
        <v>996311</v>
      </c>
      <c r="W41" s="35" t="s">
        <v>107</v>
      </c>
      <c r="X41" s="34" t="s">
        <v>101</v>
      </c>
      <c r="Y41" s="35">
        <v>107</v>
      </c>
      <c r="Z41" s="35" t="s">
        <v>102</v>
      </c>
      <c r="AA41" t="s">
        <v>217</v>
      </c>
      <c r="AB41">
        <v>119</v>
      </c>
      <c r="AC41">
        <v>119</v>
      </c>
      <c r="AD41" s="38">
        <v>0</v>
      </c>
      <c r="AE41" t="s">
        <v>104</v>
      </c>
      <c r="AF41" t="s">
        <v>73</v>
      </c>
      <c r="AG41" s="3"/>
      <c r="AH41" s="3"/>
      <c r="AI41" s="3"/>
      <c r="AJ41" s="3">
        <f t="shared" si="7"/>
        <v>0</v>
      </c>
      <c r="AK41" s="3"/>
      <c r="AL41" s="3"/>
      <c r="AM41" s="3"/>
      <c r="AN41" s="3">
        <f t="shared" si="8"/>
        <v>0</v>
      </c>
      <c r="AO41" s="3"/>
      <c r="AP41" s="3"/>
      <c r="AQ41" s="3"/>
      <c r="AR41" s="3">
        <f t="shared" si="9"/>
        <v>0</v>
      </c>
      <c r="AS41" s="3"/>
      <c r="AT41" s="3"/>
      <c r="AU41" s="3"/>
      <c r="AV41" s="3">
        <f t="shared" si="10"/>
        <v>0</v>
      </c>
      <c r="AW41" s="3"/>
      <c r="AX41" s="3"/>
      <c r="AY41" s="3"/>
      <c r="AZ41" s="3">
        <f t="shared" si="11"/>
        <v>0</v>
      </c>
      <c r="BA41" s="3"/>
      <c r="BB41" s="3"/>
      <c r="BC41" s="3"/>
      <c r="BD41" s="3">
        <f t="shared" si="12"/>
        <v>0</v>
      </c>
      <c r="BE41" s="3">
        <f>$K41*BE$4/$BE$4</f>
        <v>119</v>
      </c>
      <c r="BF41" s="3">
        <f>$L41*BE$4/$BE$4</f>
        <v>0</v>
      </c>
      <c r="BG41" s="3">
        <f>$M41*BE$4/$BE$4</f>
        <v>0</v>
      </c>
      <c r="BH41" s="3">
        <f t="shared" si="4"/>
        <v>119</v>
      </c>
      <c r="BI41" s="3"/>
      <c r="BJ41" s="3"/>
      <c r="BK41" s="3"/>
      <c r="BL41" s="3">
        <f t="shared" si="5"/>
        <v>0</v>
      </c>
      <c r="BM41" s="3"/>
      <c r="BN41" s="3"/>
      <c r="BO41" s="3"/>
      <c r="BP41" s="3">
        <f t="shared" si="13"/>
        <v>0</v>
      </c>
      <c r="BQ41" s="3"/>
      <c r="BR41" s="3"/>
      <c r="BS41" s="3"/>
      <c r="BT41" s="3">
        <f t="shared" si="14"/>
        <v>0</v>
      </c>
      <c r="BU41" s="3"/>
      <c r="BV41" s="3"/>
      <c r="BW41" s="3"/>
      <c r="BX41" s="3">
        <f t="shared" si="15"/>
        <v>0</v>
      </c>
      <c r="BY41" s="3"/>
      <c r="BZ41" s="3"/>
      <c r="CA41" s="3"/>
      <c r="CB41" s="3">
        <f t="shared" si="16"/>
        <v>0</v>
      </c>
      <c r="CC41" s="3"/>
      <c r="CD41" s="3"/>
      <c r="CE41" s="3"/>
      <c r="CF41" s="3">
        <f t="shared" si="17"/>
        <v>0</v>
      </c>
      <c r="CG41" s="3"/>
      <c r="CH41" s="3"/>
      <c r="CI41" s="3"/>
      <c r="CJ41" s="3">
        <f t="shared" si="18"/>
        <v>0</v>
      </c>
      <c r="CK41" s="3"/>
      <c r="CL41" s="3"/>
      <c r="CM41" s="3"/>
      <c r="CN41" s="3">
        <f t="shared" si="19"/>
        <v>0</v>
      </c>
      <c r="CO41" s="3"/>
      <c r="CP41" s="3"/>
      <c r="CQ41" s="3"/>
      <c r="CR41" s="3">
        <f t="shared" si="20"/>
        <v>0</v>
      </c>
      <c r="CS41" s="3"/>
      <c r="CT41" s="3"/>
      <c r="CU41" s="3"/>
      <c r="CV41" s="3">
        <f t="shared" si="21"/>
        <v>0</v>
      </c>
      <c r="CW41" s="3"/>
      <c r="CX41" s="3"/>
      <c r="CY41" s="3"/>
      <c r="CZ41" s="3">
        <f t="shared" si="22"/>
        <v>0</v>
      </c>
      <c r="DA41" s="3"/>
      <c r="DB41" s="3"/>
      <c r="DC41" s="3"/>
      <c r="DD41" s="3">
        <f t="shared" si="23"/>
        <v>0</v>
      </c>
      <c r="DE41" s="3"/>
      <c r="DF41" s="3"/>
      <c r="DG41" s="3"/>
      <c r="DH41" s="3">
        <f t="shared" si="24"/>
        <v>0</v>
      </c>
      <c r="DI41" s="3"/>
      <c r="DJ41" s="3"/>
      <c r="DK41" s="3"/>
      <c r="DL41" s="3">
        <f t="shared" si="2"/>
        <v>0</v>
      </c>
      <c r="DM41" s="3"/>
      <c r="DN41" s="3"/>
      <c r="DO41" s="3"/>
      <c r="DP41" s="3">
        <f t="shared" si="25"/>
        <v>0</v>
      </c>
      <c r="DQ41" s="3"/>
      <c r="DR41" s="3"/>
      <c r="DS41" s="3"/>
      <c r="DT41" s="3">
        <f t="shared" si="26"/>
        <v>0</v>
      </c>
      <c r="DU41" s="3"/>
      <c r="DV41" s="3"/>
      <c r="DW41" s="3"/>
      <c r="DX41" s="3">
        <f t="shared" si="27"/>
        <v>0</v>
      </c>
      <c r="DY41" s="3"/>
      <c r="DZ41" s="3"/>
      <c r="EA41" s="3"/>
      <c r="EB41" s="3">
        <f t="shared" si="28"/>
        <v>0</v>
      </c>
      <c r="EC41" s="4">
        <f t="shared" si="6"/>
        <v>119</v>
      </c>
      <c r="ED41" s="5">
        <f t="shared" si="29"/>
        <v>0</v>
      </c>
      <c r="EE41" s="6">
        <f t="shared" si="33"/>
        <v>119</v>
      </c>
      <c r="EF41" s="6">
        <f t="shared" si="33"/>
        <v>0</v>
      </c>
      <c r="EG41" s="6">
        <f t="shared" si="33"/>
        <v>0</v>
      </c>
    </row>
    <row r="42" spans="1:137" ht="12" customHeight="1" x14ac:dyDescent="0.35">
      <c r="A42" s="34" t="s">
        <v>115</v>
      </c>
      <c r="B42" s="35">
        <v>28324</v>
      </c>
      <c r="C42" s="35" t="s">
        <v>120</v>
      </c>
      <c r="D42" s="35" t="s">
        <v>110</v>
      </c>
      <c r="E42" s="34">
        <v>150781</v>
      </c>
      <c r="F42" s="35" t="s">
        <v>218</v>
      </c>
      <c r="G42" s="8">
        <v>46009</v>
      </c>
      <c r="H42" s="8">
        <v>46126</v>
      </c>
      <c r="I42" s="36">
        <v>5</v>
      </c>
      <c r="J42" s="36">
        <v>-5600</v>
      </c>
      <c r="K42" s="36">
        <v>-280</v>
      </c>
      <c r="L42" s="37"/>
      <c r="M42" s="37"/>
      <c r="N42" s="36">
        <v>-280</v>
      </c>
      <c r="O42" s="36">
        <v>-5880</v>
      </c>
      <c r="P42" s="35" t="s">
        <v>95</v>
      </c>
      <c r="Q42" s="34" t="s">
        <v>36</v>
      </c>
      <c r="R42" s="35" t="s">
        <v>112</v>
      </c>
      <c r="S42" s="35" t="s">
        <v>97</v>
      </c>
      <c r="T42" s="35" t="s">
        <v>98</v>
      </c>
      <c r="U42" s="35" t="s">
        <v>99</v>
      </c>
      <c r="V42" s="34">
        <v>996311</v>
      </c>
      <c r="W42" s="35" t="s">
        <v>177</v>
      </c>
      <c r="X42" s="34" t="s">
        <v>101</v>
      </c>
      <c r="Y42" s="35">
        <v>107</v>
      </c>
      <c r="Z42" s="35" t="s">
        <v>102</v>
      </c>
      <c r="AA42" t="s">
        <v>219</v>
      </c>
      <c r="AB42">
        <v>-280</v>
      </c>
      <c r="AC42">
        <v>-280</v>
      </c>
      <c r="AD42" s="38">
        <v>0</v>
      </c>
      <c r="AE42" t="s">
        <v>104</v>
      </c>
      <c r="AF42" t="s">
        <v>73</v>
      </c>
      <c r="AG42" s="3"/>
      <c r="AH42" s="3"/>
      <c r="AI42" s="3"/>
      <c r="AJ42" s="3">
        <f t="shared" si="7"/>
        <v>0</v>
      </c>
      <c r="AK42" s="3"/>
      <c r="AL42" s="3"/>
      <c r="AM42" s="3"/>
      <c r="AN42" s="3">
        <f t="shared" si="8"/>
        <v>0</v>
      </c>
      <c r="AO42" s="3"/>
      <c r="AP42" s="3"/>
      <c r="AQ42" s="3"/>
      <c r="AR42" s="3">
        <f t="shared" si="9"/>
        <v>0</v>
      </c>
      <c r="AS42" s="3"/>
      <c r="AT42" s="3"/>
      <c r="AU42" s="3"/>
      <c r="AV42" s="3">
        <f t="shared" si="10"/>
        <v>0</v>
      </c>
      <c r="AW42" s="3"/>
      <c r="AX42" s="3"/>
      <c r="AY42" s="3"/>
      <c r="AZ42" s="3">
        <f t="shared" si="11"/>
        <v>0</v>
      </c>
      <c r="BA42" s="3"/>
      <c r="BB42" s="3"/>
      <c r="BC42" s="3"/>
      <c r="BD42" s="3">
        <f t="shared" si="12"/>
        <v>0</v>
      </c>
      <c r="BE42" s="3">
        <f>$K42*BE$4/$BE$4</f>
        <v>-280</v>
      </c>
      <c r="BF42" s="3">
        <f>$L42*BE$4/$BE$4</f>
        <v>0</v>
      </c>
      <c r="BG42" s="3">
        <f>$M42*BE$4/$BE$4</f>
        <v>0</v>
      </c>
      <c r="BH42" s="3">
        <f t="shared" si="4"/>
        <v>-280</v>
      </c>
      <c r="BI42" s="3"/>
      <c r="BJ42" s="3"/>
      <c r="BK42" s="3"/>
      <c r="BL42" s="3">
        <f t="shared" si="5"/>
        <v>0</v>
      </c>
      <c r="BM42" s="3"/>
      <c r="BN42" s="3"/>
      <c r="BO42" s="3"/>
      <c r="BP42" s="3">
        <f t="shared" si="13"/>
        <v>0</v>
      </c>
      <c r="BQ42" s="3"/>
      <c r="BR42" s="3"/>
      <c r="BS42" s="3"/>
      <c r="BT42" s="3">
        <f t="shared" si="14"/>
        <v>0</v>
      </c>
      <c r="BU42" s="3"/>
      <c r="BV42" s="3"/>
      <c r="BW42" s="3"/>
      <c r="BX42" s="3">
        <f t="shared" si="15"/>
        <v>0</v>
      </c>
      <c r="BY42" s="3"/>
      <c r="BZ42" s="3"/>
      <c r="CA42" s="3"/>
      <c r="CB42" s="3">
        <f t="shared" si="16"/>
        <v>0</v>
      </c>
      <c r="CC42" s="3"/>
      <c r="CD42" s="3"/>
      <c r="CE42" s="3"/>
      <c r="CF42" s="3">
        <f t="shared" si="17"/>
        <v>0</v>
      </c>
      <c r="CG42" s="3"/>
      <c r="CH42" s="3"/>
      <c r="CI42" s="3"/>
      <c r="CJ42" s="3">
        <f t="shared" si="18"/>
        <v>0</v>
      </c>
      <c r="CK42" s="3"/>
      <c r="CL42" s="3"/>
      <c r="CM42" s="3"/>
      <c r="CN42" s="3">
        <f t="shared" si="19"/>
        <v>0</v>
      </c>
      <c r="CO42" s="3"/>
      <c r="CP42" s="3"/>
      <c r="CQ42" s="3"/>
      <c r="CR42" s="3">
        <f t="shared" si="20"/>
        <v>0</v>
      </c>
      <c r="CS42" s="3"/>
      <c r="CT42" s="3"/>
      <c r="CU42" s="3"/>
      <c r="CV42" s="3">
        <f t="shared" si="21"/>
        <v>0</v>
      </c>
      <c r="CW42" s="3"/>
      <c r="CX42" s="3"/>
      <c r="CY42" s="3"/>
      <c r="CZ42" s="3">
        <f t="shared" si="22"/>
        <v>0</v>
      </c>
      <c r="DA42" s="3"/>
      <c r="DB42" s="3"/>
      <c r="DC42" s="3"/>
      <c r="DD42" s="3">
        <f t="shared" si="23"/>
        <v>0</v>
      </c>
      <c r="DE42" s="3"/>
      <c r="DF42" s="3"/>
      <c r="DG42" s="3"/>
      <c r="DH42" s="3">
        <f t="shared" si="24"/>
        <v>0</v>
      </c>
      <c r="DI42" s="3"/>
      <c r="DJ42" s="3"/>
      <c r="DK42" s="3"/>
      <c r="DL42" s="3">
        <f t="shared" si="2"/>
        <v>0</v>
      </c>
      <c r="DM42" s="3"/>
      <c r="DN42" s="3"/>
      <c r="DO42" s="3"/>
      <c r="DP42" s="3">
        <f t="shared" si="25"/>
        <v>0</v>
      </c>
      <c r="DQ42" s="3"/>
      <c r="DR42" s="3"/>
      <c r="DS42" s="3"/>
      <c r="DT42" s="3">
        <f t="shared" si="26"/>
        <v>0</v>
      </c>
      <c r="DU42" s="3"/>
      <c r="DV42" s="3"/>
      <c r="DW42" s="3"/>
      <c r="DX42" s="3">
        <f t="shared" si="27"/>
        <v>0</v>
      </c>
      <c r="DY42" s="3"/>
      <c r="DZ42" s="3"/>
      <c r="EA42" s="3"/>
      <c r="EB42" s="3">
        <f t="shared" si="28"/>
        <v>0</v>
      </c>
      <c r="EC42" s="4">
        <f t="shared" si="6"/>
        <v>-280</v>
      </c>
      <c r="ED42" s="5">
        <f t="shared" si="29"/>
        <v>0</v>
      </c>
      <c r="EE42" s="6">
        <f t="shared" si="33"/>
        <v>-280</v>
      </c>
      <c r="EF42" s="6">
        <f t="shared" si="33"/>
        <v>0</v>
      </c>
      <c r="EG42" s="6">
        <f t="shared" si="33"/>
        <v>0</v>
      </c>
    </row>
    <row r="43" spans="1:137" ht="12" customHeight="1" x14ac:dyDescent="0.35">
      <c r="A43" s="34" t="s">
        <v>91</v>
      </c>
      <c r="B43" s="35">
        <v>30450</v>
      </c>
      <c r="C43" s="35" t="s">
        <v>92</v>
      </c>
      <c r="D43" s="35" t="s">
        <v>93</v>
      </c>
      <c r="E43" s="34">
        <v>418801</v>
      </c>
      <c r="F43" s="35" t="s">
        <v>220</v>
      </c>
      <c r="G43" s="8">
        <v>46077</v>
      </c>
      <c r="H43" s="8">
        <v>46126</v>
      </c>
      <c r="I43" s="36">
        <v>5</v>
      </c>
      <c r="J43" s="36">
        <v>6570</v>
      </c>
      <c r="K43" s="37"/>
      <c r="L43" s="36">
        <v>164.25</v>
      </c>
      <c r="M43" s="36">
        <v>164.25</v>
      </c>
      <c r="N43" s="36">
        <v>328.5</v>
      </c>
      <c r="O43" s="36">
        <v>6898.5</v>
      </c>
      <c r="P43" s="35" t="s">
        <v>95</v>
      </c>
      <c r="Q43" s="34" t="s">
        <v>47</v>
      </c>
      <c r="R43" s="35" t="s">
        <v>221</v>
      </c>
      <c r="S43" s="35" t="s">
        <v>97</v>
      </c>
      <c r="T43" s="35" t="s">
        <v>98</v>
      </c>
      <c r="U43" s="35" t="s">
        <v>99</v>
      </c>
      <c r="V43" s="34">
        <v>996311</v>
      </c>
      <c r="W43" s="35" t="s">
        <v>222</v>
      </c>
      <c r="X43" s="34" t="s">
        <v>101</v>
      </c>
      <c r="Y43" s="35">
        <v>107</v>
      </c>
      <c r="Z43" s="35" t="s">
        <v>102</v>
      </c>
      <c r="AA43" t="s">
        <v>223</v>
      </c>
      <c r="AB43">
        <v>328.5</v>
      </c>
      <c r="AC43">
        <v>329</v>
      </c>
      <c r="AD43" s="38">
        <v>-1</v>
      </c>
      <c r="AE43" t="s">
        <v>104</v>
      </c>
      <c r="AF43" t="s">
        <v>73</v>
      </c>
      <c r="AG43" s="3"/>
      <c r="AH43" s="3"/>
      <c r="AI43" s="3"/>
      <c r="AJ43" s="3">
        <f t="shared" si="7"/>
        <v>0</v>
      </c>
      <c r="AK43" s="3"/>
      <c r="AL43" s="3"/>
      <c r="AM43" s="3"/>
      <c r="AN43" s="3">
        <f t="shared" si="8"/>
        <v>0</v>
      </c>
      <c r="AO43" s="3"/>
      <c r="AP43" s="3"/>
      <c r="AQ43" s="3"/>
      <c r="AR43" s="3">
        <f t="shared" si="9"/>
        <v>0</v>
      </c>
      <c r="AS43" s="3"/>
      <c r="AT43" s="3"/>
      <c r="AU43" s="3"/>
      <c r="AV43" s="3">
        <f t="shared" si="10"/>
        <v>0</v>
      </c>
      <c r="AW43" s="3"/>
      <c r="AX43" s="3"/>
      <c r="AY43" s="3"/>
      <c r="AZ43" s="3">
        <f t="shared" si="11"/>
        <v>0</v>
      </c>
      <c r="BA43" s="3"/>
      <c r="BB43" s="3"/>
      <c r="BC43" s="3"/>
      <c r="BD43" s="3">
        <f t="shared" si="12"/>
        <v>0</v>
      </c>
      <c r="BE43" s="3"/>
      <c r="BF43" s="3"/>
      <c r="BG43" s="3"/>
      <c r="BH43" s="3">
        <f t="shared" si="4"/>
        <v>0</v>
      </c>
      <c r="BI43" s="3"/>
      <c r="BJ43" s="3"/>
      <c r="BK43" s="3"/>
      <c r="BL43" s="3">
        <f t="shared" si="5"/>
        <v>0</v>
      </c>
      <c r="BM43" s="3"/>
      <c r="BN43" s="3"/>
      <c r="BO43" s="3"/>
      <c r="BP43" s="3">
        <f t="shared" si="13"/>
        <v>0</v>
      </c>
      <c r="BQ43" s="3"/>
      <c r="BR43" s="3"/>
      <c r="BS43" s="3"/>
      <c r="BT43" s="3">
        <f t="shared" si="14"/>
        <v>0</v>
      </c>
      <c r="BU43" s="3"/>
      <c r="BV43" s="3"/>
      <c r="BW43" s="3"/>
      <c r="BX43" s="3">
        <f t="shared" si="15"/>
        <v>0</v>
      </c>
      <c r="BY43" s="3"/>
      <c r="BZ43" s="3"/>
      <c r="CA43" s="3"/>
      <c r="CB43" s="3">
        <f t="shared" si="16"/>
        <v>0</v>
      </c>
      <c r="CC43" s="3"/>
      <c r="CD43" s="3"/>
      <c r="CE43" s="3"/>
      <c r="CF43" s="3">
        <f t="shared" si="17"/>
        <v>0</v>
      </c>
      <c r="CG43" s="3"/>
      <c r="CH43" s="3"/>
      <c r="CI43" s="3"/>
      <c r="CJ43" s="3">
        <f t="shared" si="18"/>
        <v>0</v>
      </c>
      <c r="CK43" s="3"/>
      <c r="CL43" s="3"/>
      <c r="CM43" s="3"/>
      <c r="CN43" s="3">
        <f t="shared" si="19"/>
        <v>0</v>
      </c>
      <c r="CO43" s="3"/>
      <c r="CP43" s="3"/>
      <c r="CQ43" s="3"/>
      <c r="CR43" s="3">
        <f t="shared" si="20"/>
        <v>0</v>
      </c>
      <c r="CS43" s="3"/>
      <c r="CT43" s="3"/>
      <c r="CU43" s="3"/>
      <c r="CV43" s="3">
        <f t="shared" si="21"/>
        <v>0</v>
      </c>
      <c r="CW43" s="3">
        <f>SUM($K43:$M43)*CW$4/$CW$4</f>
        <v>328.5</v>
      </c>
      <c r="CX43" s="3">
        <v>0</v>
      </c>
      <c r="CY43" s="3">
        <v>0</v>
      </c>
      <c r="CZ43" s="3">
        <f t="shared" si="22"/>
        <v>328.5</v>
      </c>
      <c r="DA43" s="3"/>
      <c r="DB43" s="3"/>
      <c r="DC43" s="3"/>
      <c r="DD43" s="3">
        <f t="shared" si="23"/>
        <v>0</v>
      </c>
      <c r="DE43" s="3"/>
      <c r="DF43" s="3"/>
      <c r="DG43" s="3"/>
      <c r="DH43" s="3">
        <f t="shared" si="24"/>
        <v>0</v>
      </c>
      <c r="DI43" s="3"/>
      <c r="DJ43" s="3"/>
      <c r="DK43" s="3"/>
      <c r="DL43" s="3">
        <f t="shared" si="2"/>
        <v>0</v>
      </c>
      <c r="DM43" s="3"/>
      <c r="DN43" s="3"/>
      <c r="DO43" s="3"/>
      <c r="DP43" s="3">
        <f t="shared" si="25"/>
        <v>0</v>
      </c>
      <c r="DQ43" s="3"/>
      <c r="DR43" s="3"/>
      <c r="DS43" s="3"/>
      <c r="DT43" s="3">
        <f t="shared" si="26"/>
        <v>0</v>
      </c>
      <c r="DU43" s="3"/>
      <c r="DV43" s="3"/>
      <c r="DW43" s="3"/>
      <c r="DX43" s="3">
        <f t="shared" si="27"/>
        <v>0</v>
      </c>
      <c r="DY43" s="3"/>
      <c r="DZ43" s="3"/>
      <c r="EA43" s="3"/>
      <c r="EB43" s="3">
        <f t="shared" si="28"/>
        <v>0</v>
      </c>
      <c r="EC43" s="4">
        <f t="shared" si="6"/>
        <v>328.5</v>
      </c>
      <c r="ED43" s="5">
        <f t="shared" si="29"/>
        <v>0</v>
      </c>
      <c r="EE43" s="6">
        <f t="shared" si="33"/>
        <v>328.5</v>
      </c>
      <c r="EF43" s="6">
        <f t="shared" si="33"/>
        <v>0</v>
      </c>
      <c r="EG43" s="6">
        <f t="shared" si="33"/>
        <v>0</v>
      </c>
    </row>
    <row r="44" spans="1:137" ht="12" customHeight="1" x14ac:dyDescent="0.35">
      <c r="A44" s="34" t="s">
        <v>115</v>
      </c>
      <c r="B44" s="35">
        <v>28324</v>
      </c>
      <c r="C44" s="35" t="s">
        <v>120</v>
      </c>
      <c r="D44" s="35" t="s">
        <v>93</v>
      </c>
      <c r="E44" s="34">
        <v>418801</v>
      </c>
      <c r="F44" s="35" t="s">
        <v>224</v>
      </c>
      <c r="G44" s="8">
        <v>46083</v>
      </c>
      <c r="H44" s="8">
        <v>46126</v>
      </c>
      <c r="I44" s="36">
        <v>5</v>
      </c>
      <c r="J44" s="36">
        <v>714</v>
      </c>
      <c r="K44" s="36">
        <v>35.700000000000003</v>
      </c>
      <c r="L44" s="37"/>
      <c r="M44" s="37"/>
      <c r="N44" s="36">
        <v>35.700000000000003</v>
      </c>
      <c r="O44" s="36">
        <v>749.7</v>
      </c>
      <c r="P44" s="35" t="s">
        <v>95</v>
      </c>
      <c r="Q44" s="34" t="s">
        <v>36</v>
      </c>
      <c r="R44" s="35" t="s">
        <v>122</v>
      </c>
      <c r="S44" s="35" t="s">
        <v>97</v>
      </c>
      <c r="T44" s="35" t="s">
        <v>98</v>
      </c>
      <c r="U44" s="35" t="s">
        <v>99</v>
      </c>
      <c r="V44" s="34">
        <v>996311</v>
      </c>
      <c r="W44" s="35" t="s">
        <v>123</v>
      </c>
      <c r="X44" s="34" t="s">
        <v>101</v>
      </c>
      <c r="Y44" s="35">
        <v>107</v>
      </c>
      <c r="Z44" s="35" t="s">
        <v>102</v>
      </c>
      <c r="AA44" t="s">
        <v>225</v>
      </c>
      <c r="AB44">
        <v>35.700000000000003</v>
      </c>
      <c r="AC44">
        <v>36</v>
      </c>
      <c r="AD44" s="38">
        <v>0</v>
      </c>
      <c r="AE44" t="s">
        <v>104</v>
      </c>
      <c r="AF44" t="s">
        <v>73</v>
      </c>
      <c r="AG44" s="3"/>
      <c r="AH44" s="3"/>
      <c r="AI44" s="3"/>
      <c r="AJ44" s="3">
        <f t="shared" si="7"/>
        <v>0</v>
      </c>
      <c r="AK44" s="3"/>
      <c r="AL44" s="3"/>
      <c r="AM44" s="3"/>
      <c r="AN44" s="3">
        <f t="shared" si="8"/>
        <v>0</v>
      </c>
      <c r="AO44" s="3"/>
      <c r="AP44" s="3"/>
      <c r="AQ44" s="3"/>
      <c r="AR44" s="3">
        <f t="shared" si="9"/>
        <v>0</v>
      </c>
      <c r="AS44" s="3"/>
      <c r="AT44" s="3"/>
      <c r="AU44" s="3"/>
      <c r="AV44" s="3">
        <f t="shared" si="10"/>
        <v>0</v>
      </c>
      <c r="AW44" s="3"/>
      <c r="AX44" s="3"/>
      <c r="AY44" s="3"/>
      <c r="AZ44" s="3">
        <f t="shared" si="11"/>
        <v>0</v>
      </c>
      <c r="BA44" s="3"/>
      <c r="BB44" s="3"/>
      <c r="BC44" s="3"/>
      <c r="BD44" s="3">
        <f t="shared" si="12"/>
        <v>0</v>
      </c>
      <c r="BE44" s="3">
        <f>$K44*BE$4/$BE$4</f>
        <v>35.700000000000003</v>
      </c>
      <c r="BF44" s="3">
        <f>$L44*BE$4/$BE$4</f>
        <v>0</v>
      </c>
      <c r="BG44" s="3">
        <f>$M44*BE$4/$BE$4</f>
        <v>0</v>
      </c>
      <c r="BH44" s="3">
        <f t="shared" si="4"/>
        <v>35.700000000000003</v>
      </c>
      <c r="BI44" s="3"/>
      <c r="BJ44" s="3"/>
      <c r="BK44" s="3"/>
      <c r="BL44" s="3">
        <f t="shared" si="5"/>
        <v>0</v>
      </c>
      <c r="BM44" s="3"/>
      <c r="BN44" s="3"/>
      <c r="BO44" s="3"/>
      <c r="BP44" s="3">
        <f t="shared" si="13"/>
        <v>0</v>
      </c>
      <c r="BQ44" s="3"/>
      <c r="BR44" s="3"/>
      <c r="BS44" s="3"/>
      <c r="BT44" s="3">
        <f t="shared" si="14"/>
        <v>0</v>
      </c>
      <c r="BU44" s="3"/>
      <c r="BV44" s="3"/>
      <c r="BW44" s="3"/>
      <c r="BX44" s="3">
        <f t="shared" si="15"/>
        <v>0</v>
      </c>
      <c r="BY44" s="3"/>
      <c r="BZ44" s="3"/>
      <c r="CA44" s="3"/>
      <c r="CB44" s="3">
        <f t="shared" si="16"/>
        <v>0</v>
      </c>
      <c r="CC44" s="3"/>
      <c r="CD44" s="3"/>
      <c r="CE44" s="3"/>
      <c r="CF44" s="3">
        <f t="shared" si="17"/>
        <v>0</v>
      </c>
      <c r="CG44" s="3"/>
      <c r="CH44" s="3"/>
      <c r="CI44" s="3"/>
      <c r="CJ44" s="3">
        <f t="shared" si="18"/>
        <v>0</v>
      </c>
      <c r="CK44" s="3"/>
      <c r="CL44" s="3"/>
      <c r="CM44" s="3"/>
      <c r="CN44" s="3">
        <f t="shared" si="19"/>
        <v>0</v>
      </c>
      <c r="CO44" s="3"/>
      <c r="CP44" s="3"/>
      <c r="CQ44" s="3"/>
      <c r="CR44" s="3">
        <f t="shared" si="20"/>
        <v>0</v>
      </c>
      <c r="CS44" s="3"/>
      <c r="CT44" s="3"/>
      <c r="CU44" s="3"/>
      <c r="CV44" s="3">
        <f t="shared" si="21"/>
        <v>0</v>
      </c>
      <c r="CW44" s="3"/>
      <c r="CX44" s="3"/>
      <c r="CY44" s="3"/>
      <c r="CZ44" s="3">
        <f t="shared" si="22"/>
        <v>0</v>
      </c>
      <c r="DA44" s="3"/>
      <c r="DB44" s="3"/>
      <c r="DC44" s="3"/>
      <c r="DD44" s="3">
        <f t="shared" si="23"/>
        <v>0</v>
      </c>
      <c r="DE44" s="3"/>
      <c r="DF44" s="3"/>
      <c r="DG44" s="3"/>
      <c r="DH44" s="3">
        <f t="shared" si="24"/>
        <v>0</v>
      </c>
      <c r="DI44" s="3"/>
      <c r="DJ44" s="3"/>
      <c r="DK44" s="3"/>
      <c r="DL44" s="3">
        <f t="shared" si="2"/>
        <v>0</v>
      </c>
      <c r="DM44" s="3"/>
      <c r="DN44" s="3"/>
      <c r="DO44" s="3"/>
      <c r="DP44" s="3">
        <f t="shared" si="25"/>
        <v>0</v>
      </c>
      <c r="DQ44" s="3"/>
      <c r="DR44" s="3"/>
      <c r="DS44" s="3"/>
      <c r="DT44" s="3">
        <f t="shared" si="26"/>
        <v>0</v>
      </c>
      <c r="DU44" s="3"/>
      <c r="DV44" s="3"/>
      <c r="DW44" s="3"/>
      <c r="DX44" s="3">
        <f t="shared" si="27"/>
        <v>0</v>
      </c>
      <c r="DY44" s="3"/>
      <c r="DZ44" s="3"/>
      <c r="EA44" s="3"/>
      <c r="EB44" s="3">
        <f t="shared" si="28"/>
        <v>0</v>
      </c>
      <c r="EC44" s="4">
        <f t="shared" si="6"/>
        <v>35.700000000000003</v>
      </c>
      <c r="ED44" s="5">
        <f t="shared" si="29"/>
        <v>0</v>
      </c>
      <c r="EE44" s="6">
        <f t="shared" si="33"/>
        <v>35.700000000000003</v>
      </c>
      <c r="EF44" s="6">
        <f t="shared" si="33"/>
        <v>0</v>
      </c>
      <c r="EG44" s="6">
        <f t="shared" si="33"/>
        <v>0</v>
      </c>
    </row>
    <row r="45" spans="1:137" ht="12" customHeight="1" x14ac:dyDescent="0.35">
      <c r="A45" s="34" t="s">
        <v>115</v>
      </c>
      <c r="B45" s="35">
        <v>28324</v>
      </c>
      <c r="C45" s="35" t="s">
        <v>116</v>
      </c>
      <c r="D45" s="35" t="s">
        <v>93</v>
      </c>
      <c r="E45" s="34">
        <v>418801</v>
      </c>
      <c r="F45" s="35" t="s">
        <v>226</v>
      </c>
      <c r="G45" s="8">
        <v>46086</v>
      </c>
      <c r="H45" s="8">
        <v>46126</v>
      </c>
      <c r="I45" s="36">
        <v>18</v>
      </c>
      <c r="J45" s="36">
        <v>5645</v>
      </c>
      <c r="K45" s="37"/>
      <c r="L45" s="36">
        <v>508.05</v>
      </c>
      <c r="M45" s="36">
        <v>508.05</v>
      </c>
      <c r="N45" s="36">
        <v>1016.1</v>
      </c>
      <c r="O45" s="36">
        <v>6661.1</v>
      </c>
      <c r="P45" s="35" t="s">
        <v>95</v>
      </c>
      <c r="Q45" s="34" t="s">
        <v>46</v>
      </c>
      <c r="R45" s="35" t="s">
        <v>96</v>
      </c>
      <c r="S45" s="35" t="s">
        <v>97</v>
      </c>
      <c r="T45" s="35" t="s">
        <v>98</v>
      </c>
      <c r="U45" s="35" t="s">
        <v>99</v>
      </c>
      <c r="V45" s="34">
        <v>996311</v>
      </c>
      <c r="W45" s="35" t="s">
        <v>227</v>
      </c>
      <c r="X45" s="34" t="s">
        <v>101</v>
      </c>
      <c r="Y45" s="35">
        <v>107</v>
      </c>
      <c r="Z45" s="35" t="s">
        <v>102</v>
      </c>
      <c r="AA45" t="s">
        <v>228</v>
      </c>
      <c r="AB45">
        <v>1016.1</v>
      </c>
      <c r="AC45">
        <v>1017</v>
      </c>
      <c r="AD45" s="38">
        <v>-1</v>
      </c>
      <c r="AE45" t="s">
        <v>104</v>
      </c>
      <c r="AF45" t="s">
        <v>73</v>
      </c>
      <c r="AG45" s="3"/>
      <c r="AH45" s="3"/>
      <c r="AI45" s="3"/>
      <c r="AJ45" s="3">
        <f t="shared" si="7"/>
        <v>0</v>
      </c>
      <c r="AK45" s="3"/>
      <c r="AL45" s="3"/>
      <c r="AM45" s="3"/>
      <c r="AN45" s="3">
        <f t="shared" si="8"/>
        <v>0</v>
      </c>
      <c r="AO45" s="3"/>
      <c r="AP45" s="3"/>
      <c r="AQ45" s="3"/>
      <c r="AR45" s="3">
        <f t="shared" si="9"/>
        <v>0</v>
      </c>
      <c r="AS45" s="3"/>
      <c r="AT45" s="3"/>
      <c r="AU45" s="3"/>
      <c r="AV45" s="3">
        <f t="shared" si="10"/>
        <v>0</v>
      </c>
      <c r="AW45" s="3"/>
      <c r="AX45" s="3"/>
      <c r="AY45" s="3"/>
      <c r="AZ45" s="3">
        <f t="shared" si="11"/>
        <v>0</v>
      </c>
      <c r="BA45" s="3"/>
      <c r="BB45" s="3"/>
      <c r="BC45" s="3"/>
      <c r="BD45" s="3">
        <f t="shared" si="12"/>
        <v>0</v>
      </c>
      <c r="BE45" s="3"/>
      <c r="BF45" s="3"/>
      <c r="BG45" s="3"/>
      <c r="BH45" s="3">
        <f t="shared" si="4"/>
        <v>0</v>
      </c>
      <c r="BI45" s="3"/>
      <c r="BJ45" s="3"/>
      <c r="BK45" s="3"/>
      <c r="BL45" s="3">
        <f t="shared" si="5"/>
        <v>0</v>
      </c>
      <c r="BM45" s="3"/>
      <c r="BN45" s="3"/>
      <c r="BO45" s="3"/>
      <c r="BP45" s="3">
        <f t="shared" si="13"/>
        <v>0</v>
      </c>
      <c r="BQ45" s="3"/>
      <c r="BR45" s="3"/>
      <c r="BS45" s="3"/>
      <c r="BT45" s="3">
        <f t="shared" si="14"/>
        <v>0</v>
      </c>
      <c r="BU45" s="3"/>
      <c r="BV45" s="3"/>
      <c r="BW45" s="3"/>
      <c r="BX45" s="3">
        <f t="shared" si="15"/>
        <v>0</v>
      </c>
      <c r="BY45" s="3"/>
      <c r="BZ45" s="3"/>
      <c r="CA45" s="3"/>
      <c r="CB45" s="3">
        <f t="shared" si="16"/>
        <v>0</v>
      </c>
      <c r="CC45" s="3"/>
      <c r="CD45" s="3"/>
      <c r="CE45" s="3"/>
      <c r="CF45" s="3">
        <f t="shared" si="17"/>
        <v>0</v>
      </c>
      <c r="CG45" s="3"/>
      <c r="CH45" s="3"/>
      <c r="CI45" s="3"/>
      <c r="CJ45" s="3">
        <f t="shared" si="18"/>
        <v>0</v>
      </c>
      <c r="CK45" s="3"/>
      <c r="CL45" s="3"/>
      <c r="CM45" s="3"/>
      <c r="CN45" s="3">
        <f t="shared" si="19"/>
        <v>0</v>
      </c>
      <c r="CO45" s="3"/>
      <c r="CP45" s="3"/>
      <c r="CQ45" s="3"/>
      <c r="CR45" s="3">
        <f t="shared" si="20"/>
        <v>0</v>
      </c>
      <c r="CS45" s="3">
        <f>SUM($K45:$M45)*CS$4/$CS$4</f>
        <v>1016.1000000000001</v>
      </c>
      <c r="CT45" s="3">
        <v>0</v>
      </c>
      <c r="CU45" s="3">
        <v>0</v>
      </c>
      <c r="CV45" s="3">
        <f>SUBTOTAL(9,CS45:CU45)</f>
        <v>1016.1000000000001</v>
      </c>
      <c r="CW45" s="3"/>
      <c r="CX45" s="3"/>
      <c r="CY45" s="3"/>
      <c r="CZ45" s="3">
        <f t="shared" si="22"/>
        <v>0</v>
      </c>
      <c r="DA45" s="3"/>
      <c r="DB45" s="3"/>
      <c r="DC45" s="3"/>
      <c r="DD45" s="3">
        <f t="shared" si="23"/>
        <v>0</v>
      </c>
      <c r="DE45" s="3"/>
      <c r="DF45" s="3"/>
      <c r="DG45" s="3"/>
      <c r="DH45" s="3">
        <f t="shared" si="24"/>
        <v>0</v>
      </c>
      <c r="DI45" s="3"/>
      <c r="DJ45" s="3"/>
      <c r="DK45" s="3"/>
      <c r="DL45" s="3">
        <f t="shared" si="2"/>
        <v>0</v>
      </c>
      <c r="DM45" s="3"/>
      <c r="DN45" s="3"/>
      <c r="DO45" s="3"/>
      <c r="DP45" s="3">
        <f t="shared" si="25"/>
        <v>0</v>
      </c>
      <c r="DQ45" s="3"/>
      <c r="DR45" s="3"/>
      <c r="DS45" s="3"/>
      <c r="DT45" s="3">
        <f t="shared" si="26"/>
        <v>0</v>
      </c>
      <c r="DU45" s="3"/>
      <c r="DV45" s="3"/>
      <c r="DW45" s="3"/>
      <c r="DX45" s="3">
        <f t="shared" si="27"/>
        <v>0</v>
      </c>
      <c r="DY45" s="3"/>
      <c r="DZ45" s="3"/>
      <c r="EA45" s="3"/>
      <c r="EB45" s="3">
        <f t="shared" si="28"/>
        <v>0</v>
      </c>
      <c r="EC45" s="4">
        <f t="shared" si="6"/>
        <v>1016.1000000000001</v>
      </c>
      <c r="ED45" s="5">
        <f t="shared" si="29"/>
        <v>0</v>
      </c>
      <c r="EE45" s="6">
        <f t="shared" si="33"/>
        <v>1016.1000000000001</v>
      </c>
      <c r="EF45" s="6">
        <f t="shared" si="33"/>
        <v>0</v>
      </c>
      <c r="EG45" s="6">
        <f t="shared" si="33"/>
        <v>0</v>
      </c>
    </row>
    <row r="46" spans="1:137" ht="12" customHeight="1" x14ac:dyDescent="0.35">
      <c r="A46" s="34" t="s">
        <v>91</v>
      </c>
      <c r="B46" s="35">
        <v>30450</v>
      </c>
      <c r="C46" s="35" t="s">
        <v>105</v>
      </c>
      <c r="D46" s="35" t="s">
        <v>93</v>
      </c>
      <c r="E46" s="34">
        <v>418801</v>
      </c>
      <c r="F46" s="35" t="s">
        <v>229</v>
      </c>
      <c r="G46" s="8">
        <v>46083</v>
      </c>
      <c r="H46" s="8">
        <v>46126</v>
      </c>
      <c r="I46" s="36">
        <v>5</v>
      </c>
      <c r="J46" s="36">
        <v>4627</v>
      </c>
      <c r="K46" s="36">
        <v>231.35</v>
      </c>
      <c r="L46" s="37"/>
      <c r="M46" s="37"/>
      <c r="N46" s="36">
        <v>231.35</v>
      </c>
      <c r="O46" s="36">
        <v>4858.3500000000004</v>
      </c>
      <c r="P46" s="35" t="s">
        <v>95</v>
      </c>
      <c r="Q46" s="34" t="s">
        <v>36</v>
      </c>
      <c r="R46" s="35" t="s">
        <v>96</v>
      </c>
      <c r="S46" s="35" t="s">
        <v>97</v>
      </c>
      <c r="T46" s="35" t="s">
        <v>98</v>
      </c>
      <c r="U46" s="35" t="s">
        <v>99</v>
      </c>
      <c r="V46" s="34">
        <v>996311</v>
      </c>
      <c r="W46" s="35" t="s">
        <v>230</v>
      </c>
      <c r="X46" s="34" t="s">
        <v>101</v>
      </c>
      <c r="Y46" s="35">
        <v>107</v>
      </c>
      <c r="Z46" s="35" t="s">
        <v>102</v>
      </c>
      <c r="AA46" t="s">
        <v>231</v>
      </c>
      <c r="AB46">
        <v>231.35</v>
      </c>
      <c r="AC46">
        <v>231</v>
      </c>
      <c r="AD46" s="38">
        <v>0</v>
      </c>
      <c r="AE46" t="s">
        <v>104</v>
      </c>
      <c r="AF46" t="s">
        <v>73</v>
      </c>
      <c r="AG46" s="3"/>
      <c r="AH46" s="3"/>
      <c r="AI46" s="3"/>
      <c r="AJ46" s="3">
        <f t="shared" si="7"/>
        <v>0</v>
      </c>
      <c r="AK46" s="3"/>
      <c r="AL46" s="3"/>
      <c r="AM46" s="3"/>
      <c r="AN46" s="3">
        <f t="shared" si="8"/>
        <v>0</v>
      </c>
      <c r="AO46" s="3"/>
      <c r="AP46" s="3"/>
      <c r="AQ46" s="3"/>
      <c r="AR46" s="3">
        <f t="shared" si="9"/>
        <v>0</v>
      </c>
      <c r="AS46" s="3"/>
      <c r="AT46" s="3"/>
      <c r="AU46" s="3"/>
      <c r="AV46" s="3">
        <f t="shared" si="10"/>
        <v>0</v>
      </c>
      <c r="AW46" s="3"/>
      <c r="AX46" s="3"/>
      <c r="AY46" s="3"/>
      <c r="AZ46" s="3">
        <f t="shared" si="11"/>
        <v>0</v>
      </c>
      <c r="BA46" s="3"/>
      <c r="BB46" s="3"/>
      <c r="BC46" s="3"/>
      <c r="BD46" s="3">
        <f t="shared" si="12"/>
        <v>0</v>
      </c>
      <c r="BE46" s="3">
        <f>$K46*BE$4/$BE$4</f>
        <v>231.35000000000002</v>
      </c>
      <c r="BF46" s="3">
        <f>$L46*BE$4/$BE$4</f>
        <v>0</v>
      </c>
      <c r="BG46" s="3">
        <f>$M46*BE$4/$BE$4</f>
        <v>0</v>
      </c>
      <c r="BH46" s="3">
        <f t="shared" si="4"/>
        <v>231.35000000000002</v>
      </c>
      <c r="BI46" s="3"/>
      <c r="BJ46" s="3"/>
      <c r="BK46" s="3"/>
      <c r="BL46" s="3">
        <f t="shared" si="5"/>
        <v>0</v>
      </c>
      <c r="BM46" s="3"/>
      <c r="BN46" s="3"/>
      <c r="BO46" s="3"/>
      <c r="BP46" s="3">
        <f t="shared" si="13"/>
        <v>0</v>
      </c>
      <c r="BQ46" s="3"/>
      <c r="BR46" s="3"/>
      <c r="BS46" s="3"/>
      <c r="BT46" s="3">
        <f t="shared" si="14"/>
        <v>0</v>
      </c>
      <c r="BU46" s="3"/>
      <c r="BV46" s="3"/>
      <c r="BW46" s="3"/>
      <c r="BX46" s="3">
        <f t="shared" si="15"/>
        <v>0</v>
      </c>
      <c r="BY46" s="3"/>
      <c r="BZ46" s="3"/>
      <c r="CA46" s="3"/>
      <c r="CB46" s="3">
        <f t="shared" si="16"/>
        <v>0</v>
      </c>
      <c r="CC46" s="3"/>
      <c r="CD46" s="3"/>
      <c r="CE46" s="3"/>
      <c r="CF46" s="3">
        <f t="shared" si="17"/>
        <v>0</v>
      </c>
      <c r="CG46" s="3"/>
      <c r="CH46" s="3"/>
      <c r="CI46" s="3"/>
      <c r="CJ46" s="3">
        <f t="shared" si="18"/>
        <v>0</v>
      </c>
      <c r="CK46" s="3"/>
      <c r="CL46" s="3"/>
      <c r="CM46" s="3"/>
      <c r="CN46" s="3">
        <f t="shared" si="19"/>
        <v>0</v>
      </c>
      <c r="CO46" s="3"/>
      <c r="CP46" s="3"/>
      <c r="CQ46" s="3"/>
      <c r="CR46" s="3">
        <f t="shared" si="20"/>
        <v>0</v>
      </c>
      <c r="CS46" s="3"/>
      <c r="CT46" s="3"/>
      <c r="CU46" s="3"/>
      <c r="CV46" s="3">
        <f t="shared" si="21"/>
        <v>0</v>
      </c>
      <c r="CW46" s="3"/>
      <c r="CX46" s="3"/>
      <c r="CY46" s="3"/>
      <c r="CZ46" s="3">
        <f t="shared" si="22"/>
        <v>0</v>
      </c>
      <c r="DA46" s="3"/>
      <c r="DB46" s="3"/>
      <c r="DC46" s="3"/>
      <c r="DD46" s="3">
        <f t="shared" si="23"/>
        <v>0</v>
      </c>
      <c r="DE46" s="3"/>
      <c r="DF46" s="3"/>
      <c r="DG46" s="3"/>
      <c r="DH46" s="3">
        <f t="shared" si="24"/>
        <v>0</v>
      </c>
      <c r="DI46" s="3"/>
      <c r="DJ46" s="3"/>
      <c r="DK46" s="3"/>
      <c r="DL46" s="3">
        <f t="shared" si="2"/>
        <v>0</v>
      </c>
      <c r="DM46" s="3"/>
      <c r="DN46" s="3"/>
      <c r="DO46" s="3"/>
      <c r="DP46" s="3">
        <f t="shared" si="25"/>
        <v>0</v>
      </c>
      <c r="DQ46" s="3"/>
      <c r="DR46" s="3"/>
      <c r="DS46" s="3"/>
      <c r="DT46" s="3">
        <f t="shared" si="26"/>
        <v>0</v>
      </c>
      <c r="DU46" s="3"/>
      <c r="DV46" s="3"/>
      <c r="DW46" s="3"/>
      <c r="DX46" s="3">
        <f t="shared" si="27"/>
        <v>0</v>
      </c>
      <c r="DY46" s="3"/>
      <c r="DZ46" s="3"/>
      <c r="EA46" s="3"/>
      <c r="EB46" s="3">
        <f t="shared" si="28"/>
        <v>0</v>
      </c>
      <c r="EC46" s="4">
        <f t="shared" si="6"/>
        <v>231.35000000000002</v>
      </c>
      <c r="ED46" s="5">
        <f t="shared" si="29"/>
        <v>0</v>
      </c>
      <c r="EE46" s="6">
        <f t="shared" si="33"/>
        <v>231.35000000000002</v>
      </c>
      <c r="EF46" s="6">
        <f t="shared" si="33"/>
        <v>0</v>
      </c>
      <c r="EG46" s="6">
        <f t="shared" si="33"/>
        <v>0</v>
      </c>
    </row>
    <row r="47" spans="1:137" ht="12" customHeight="1" x14ac:dyDescent="0.35">
      <c r="A47" s="34" t="s">
        <v>91</v>
      </c>
      <c r="B47" s="35">
        <v>30450</v>
      </c>
      <c r="C47" s="35" t="s">
        <v>232</v>
      </c>
      <c r="D47" s="35" t="s">
        <v>93</v>
      </c>
      <c r="E47" s="34">
        <v>418801</v>
      </c>
      <c r="F47" s="35" t="s">
        <v>233</v>
      </c>
      <c r="G47" s="8">
        <v>46086</v>
      </c>
      <c r="H47" s="8">
        <v>46126</v>
      </c>
      <c r="I47" s="36">
        <v>5</v>
      </c>
      <c r="J47" s="36">
        <v>5374</v>
      </c>
      <c r="K47" s="36">
        <v>268.7</v>
      </c>
      <c r="L47" s="37"/>
      <c r="M47" s="37"/>
      <c r="N47" s="36">
        <v>268.7</v>
      </c>
      <c r="O47" s="36">
        <v>5642.7</v>
      </c>
      <c r="P47" s="35" t="s">
        <v>95</v>
      </c>
      <c r="Q47" s="34" t="s">
        <v>36</v>
      </c>
      <c r="R47" s="35" t="s">
        <v>126</v>
      </c>
      <c r="S47" s="35" t="s">
        <v>97</v>
      </c>
      <c r="T47" s="35" t="s">
        <v>98</v>
      </c>
      <c r="U47" s="35" t="s">
        <v>99</v>
      </c>
      <c r="V47" s="34">
        <v>996311</v>
      </c>
      <c r="W47" s="35" t="s">
        <v>234</v>
      </c>
      <c r="X47" s="34" t="s">
        <v>101</v>
      </c>
      <c r="Y47" s="35">
        <v>107</v>
      </c>
      <c r="Z47" s="35" t="s">
        <v>102</v>
      </c>
      <c r="AA47" t="s">
        <v>235</v>
      </c>
      <c r="AB47">
        <v>268.7</v>
      </c>
      <c r="AC47">
        <v>269</v>
      </c>
      <c r="AD47" s="38">
        <v>0</v>
      </c>
      <c r="AE47" t="s">
        <v>104</v>
      </c>
      <c r="AF47" t="s">
        <v>73</v>
      </c>
      <c r="AG47" s="3"/>
      <c r="AH47" s="3"/>
      <c r="AI47" s="3"/>
      <c r="AJ47" s="3">
        <f t="shared" si="7"/>
        <v>0</v>
      </c>
      <c r="AK47" s="3"/>
      <c r="AL47" s="3"/>
      <c r="AM47" s="3"/>
      <c r="AN47" s="3">
        <f t="shared" si="8"/>
        <v>0</v>
      </c>
      <c r="AO47" s="3"/>
      <c r="AP47" s="3"/>
      <c r="AQ47" s="3"/>
      <c r="AR47" s="3">
        <f t="shared" si="9"/>
        <v>0</v>
      </c>
      <c r="AS47" s="3"/>
      <c r="AT47" s="3"/>
      <c r="AU47" s="3"/>
      <c r="AV47" s="3">
        <f t="shared" si="10"/>
        <v>0</v>
      </c>
      <c r="AW47" s="3"/>
      <c r="AX47" s="3"/>
      <c r="AY47" s="3"/>
      <c r="AZ47" s="3">
        <f t="shared" si="11"/>
        <v>0</v>
      </c>
      <c r="BA47" s="3"/>
      <c r="BB47" s="3"/>
      <c r="BC47" s="3"/>
      <c r="BD47" s="3">
        <f t="shared" si="12"/>
        <v>0</v>
      </c>
      <c r="BE47" s="3">
        <f>$K47*BE$4/$BE$4</f>
        <v>268.7</v>
      </c>
      <c r="BF47" s="3">
        <f>$L47*BE$4/$BE$4</f>
        <v>0</v>
      </c>
      <c r="BG47" s="3">
        <f>$M47*BE$4/$BE$4</f>
        <v>0</v>
      </c>
      <c r="BH47" s="3">
        <f t="shared" si="4"/>
        <v>268.7</v>
      </c>
      <c r="BI47" s="3"/>
      <c r="BJ47" s="3"/>
      <c r="BK47" s="3"/>
      <c r="BL47" s="3">
        <f t="shared" si="5"/>
        <v>0</v>
      </c>
      <c r="BM47" s="3"/>
      <c r="BN47" s="3"/>
      <c r="BO47" s="3"/>
      <c r="BP47" s="3">
        <f t="shared" si="13"/>
        <v>0</v>
      </c>
      <c r="BQ47" s="3"/>
      <c r="BR47" s="3"/>
      <c r="BS47" s="3"/>
      <c r="BT47" s="3">
        <f t="shared" si="14"/>
        <v>0</v>
      </c>
      <c r="BU47" s="3"/>
      <c r="BV47" s="3"/>
      <c r="BW47" s="3"/>
      <c r="BX47" s="3">
        <f t="shared" si="15"/>
        <v>0</v>
      </c>
      <c r="BY47" s="3"/>
      <c r="BZ47" s="3"/>
      <c r="CA47" s="3"/>
      <c r="CB47" s="3">
        <f t="shared" si="16"/>
        <v>0</v>
      </c>
      <c r="CC47" s="3"/>
      <c r="CD47" s="3"/>
      <c r="CE47" s="3"/>
      <c r="CF47" s="3">
        <f t="shared" si="17"/>
        <v>0</v>
      </c>
      <c r="CG47" s="3"/>
      <c r="CH47" s="3"/>
      <c r="CI47" s="3"/>
      <c r="CJ47" s="3">
        <f t="shared" si="18"/>
        <v>0</v>
      </c>
      <c r="CK47" s="3"/>
      <c r="CL47" s="3"/>
      <c r="CM47" s="3"/>
      <c r="CN47" s="3">
        <f t="shared" si="19"/>
        <v>0</v>
      </c>
      <c r="CO47" s="3"/>
      <c r="CP47" s="3"/>
      <c r="CQ47" s="3"/>
      <c r="CR47" s="3">
        <f t="shared" si="20"/>
        <v>0</v>
      </c>
      <c r="CS47" s="3"/>
      <c r="CT47" s="3"/>
      <c r="CU47" s="3"/>
      <c r="CV47" s="3">
        <f>SUBTOTAL(9,CS47:CU47)</f>
        <v>0</v>
      </c>
      <c r="CW47" s="3"/>
      <c r="CX47" s="3"/>
      <c r="CY47" s="3"/>
      <c r="CZ47" s="3">
        <f t="shared" si="22"/>
        <v>0</v>
      </c>
      <c r="DA47" s="3"/>
      <c r="DB47" s="3"/>
      <c r="DC47" s="3"/>
      <c r="DD47" s="3">
        <f t="shared" si="23"/>
        <v>0</v>
      </c>
      <c r="DE47" s="3"/>
      <c r="DF47" s="3"/>
      <c r="DG47" s="3"/>
      <c r="DH47" s="3">
        <f t="shared" si="24"/>
        <v>0</v>
      </c>
      <c r="DI47" s="3"/>
      <c r="DJ47" s="3"/>
      <c r="DK47" s="3"/>
      <c r="DL47" s="3">
        <f t="shared" si="2"/>
        <v>0</v>
      </c>
      <c r="DM47" s="3"/>
      <c r="DN47" s="3"/>
      <c r="DO47" s="3"/>
      <c r="DP47" s="3">
        <f t="shared" si="25"/>
        <v>0</v>
      </c>
      <c r="DQ47" s="3"/>
      <c r="DR47" s="3"/>
      <c r="DS47" s="3"/>
      <c r="DT47" s="3">
        <f t="shared" si="26"/>
        <v>0</v>
      </c>
      <c r="DU47" s="3"/>
      <c r="DV47" s="3"/>
      <c r="DW47" s="3"/>
      <c r="DX47" s="3">
        <f t="shared" si="27"/>
        <v>0</v>
      </c>
      <c r="DY47" s="3"/>
      <c r="DZ47" s="3"/>
      <c r="EA47" s="3"/>
      <c r="EB47" s="3">
        <f t="shared" si="28"/>
        <v>0</v>
      </c>
      <c r="EC47" s="4">
        <f t="shared" si="6"/>
        <v>268.7</v>
      </c>
      <c r="ED47" s="5">
        <f t="shared" si="29"/>
        <v>0</v>
      </c>
      <c r="EE47" s="6">
        <f t="shared" si="33"/>
        <v>268.7</v>
      </c>
      <c r="EF47" s="6">
        <f t="shared" si="33"/>
        <v>0</v>
      </c>
      <c r="EG47" s="6">
        <f t="shared" si="33"/>
        <v>0</v>
      </c>
    </row>
    <row r="48" spans="1:137" ht="12" customHeight="1" x14ac:dyDescent="0.35">
      <c r="A48" s="34" t="s">
        <v>115</v>
      </c>
      <c r="B48" s="35">
        <v>28324</v>
      </c>
      <c r="C48" s="35" t="s">
        <v>116</v>
      </c>
      <c r="D48" s="35" t="s">
        <v>93</v>
      </c>
      <c r="E48" s="34">
        <v>418801</v>
      </c>
      <c r="F48" s="35" t="s">
        <v>236</v>
      </c>
      <c r="G48" s="8">
        <v>46083</v>
      </c>
      <c r="H48" s="8">
        <v>46126</v>
      </c>
      <c r="I48" s="36">
        <v>5</v>
      </c>
      <c r="J48" s="36">
        <v>457</v>
      </c>
      <c r="K48" s="37"/>
      <c r="L48" s="36">
        <v>11.425000000000001</v>
      </c>
      <c r="M48" s="36">
        <v>11.425000000000001</v>
      </c>
      <c r="N48" s="36">
        <v>22.85</v>
      </c>
      <c r="O48" s="36">
        <v>479.86</v>
      </c>
      <c r="P48" s="35" t="s">
        <v>95</v>
      </c>
      <c r="Q48" s="34" t="s">
        <v>48</v>
      </c>
      <c r="R48" s="35" t="s">
        <v>96</v>
      </c>
      <c r="S48" s="35" t="s">
        <v>97</v>
      </c>
      <c r="T48" s="35" t="s">
        <v>98</v>
      </c>
      <c r="U48" s="35" t="s">
        <v>99</v>
      </c>
      <c r="V48" s="34">
        <v>996311</v>
      </c>
      <c r="W48" s="35" t="s">
        <v>118</v>
      </c>
      <c r="X48" s="34" t="s">
        <v>101</v>
      </c>
      <c r="Y48" s="35">
        <v>107</v>
      </c>
      <c r="Z48" s="35" t="s">
        <v>102</v>
      </c>
      <c r="AA48" t="s">
        <v>237</v>
      </c>
      <c r="AB48">
        <v>22.85</v>
      </c>
      <c r="AC48">
        <v>23</v>
      </c>
      <c r="AD48" s="38">
        <v>0</v>
      </c>
      <c r="AE48" t="s">
        <v>104</v>
      </c>
      <c r="AF48" t="s">
        <v>73</v>
      </c>
      <c r="AG48" s="3"/>
      <c r="AH48" s="3"/>
      <c r="AI48" s="3"/>
      <c r="AJ48" s="3">
        <f t="shared" si="7"/>
        <v>0</v>
      </c>
      <c r="AK48" s="3"/>
      <c r="AL48" s="3"/>
      <c r="AM48" s="3"/>
      <c r="AN48" s="3">
        <f t="shared" si="8"/>
        <v>0</v>
      </c>
      <c r="AO48" s="3"/>
      <c r="AP48" s="3"/>
      <c r="AQ48" s="3"/>
      <c r="AR48" s="3">
        <f t="shared" si="9"/>
        <v>0</v>
      </c>
      <c r="AS48" s="3"/>
      <c r="AT48" s="3"/>
      <c r="AU48" s="3"/>
      <c r="AV48" s="3">
        <f t="shared" si="10"/>
        <v>0</v>
      </c>
      <c r="AW48" s="3"/>
      <c r="AX48" s="3"/>
      <c r="AY48" s="3"/>
      <c r="AZ48" s="3">
        <f t="shared" si="11"/>
        <v>0</v>
      </c>
      <c r="BA48" s="3"/>
      <c r="BB48" s="3"/>
      <c r="BC48" s="3"/>
      <c r="BD48" s="3">
        <f t="shared" si="12"/>
        <v>0</v>
      </c>
      <c r="BE48" s="3"/>
      <c r="BF48" s="3"/>
      <c r="BG48" s="3"/>
      <c r="BH48" s="3">
        <f t="shared" si="4"/>
        <v>0</v>
      </c>
      <c r="BI48" s="3"/>
      <c r="BJ48" s="3"/>
      <c r="BK48" s="3"/>
      <c r="BL48" s="3">
        <f t="shared" si="5"/>
        <v>0</v>
      </c>
      <c r="BM48" s="3"/>
      <c r="BN48" s="3"/>
      <c r="BO48" s="3"/>
      <c r="BP48" s="3">
        <f t="shared" si="13"/>
        <v>0</v>
      </c>
      <c r="BQ48" s="3"/>
      <c r="BR48" s="3"/>
      <c r="BS48" s="3"/>
      <c r="BT48" s="3">
        <f t="shared" si="14"/>
        <v>0</v>
      </c>
      <c r="BU48" s="3"/>
      <c r="BV48" s="3"/>
      <c r="BW48" s="3"/>
      <c r="BX48" s="3">
        <f t="shared" si="15"/>
        <v>0</v>
      </c>
      <c r="BY48" s="3"/>
      <c r="BZ48" s="3"/>
      <c r="CA48" s="3"/>
      <c r="CB48" s="3">
        <f t="shared" si="16"/>
        <v>0</v>
      </c>
      <c r="CC48" s="3"/>
      <c r="CD48" s="3"/>
      <c r="CE48" s="3"/>
      <c r="CF48" s="3">
        <f t="shared" si="17"/>
        <v>0</v>
      </c>
      <c r="CG48" s="3"/>
      <c r="CH48" s="3"/>
      <c r="CI48" s="3"/>
      <c r="CJ48" s="3">
        <f t="shared" si="18"/>
        <v>0</v>
      </c>
      <c r="CK48" s="3"/>
      <c r="CL48" s="3"/>
      <c r="CM48" s="3"/>
      <c r="CN48" s="3">
        <f t="shared" si="19"/>
        <v>0</v>
      </c>
      <c r="CO48" s="3"/>
      <c r="CP48" s="3"/>
      <c r="CQ48" s="3"/>
      <c r="CR48" s="3">
        <f t="shared" si="20"/>
        <v>0</v>
      </c>
      <c r="CS48" s="3"/>
      <c r="CT48" s="3"/>
      <c r="CU48" s="3"/>
      <c r="CV48" s="3">
        <f t="shared" si="21"/>
        <v>0</v>
      </c>
      <c r="CW48" s="3"/>
      <c r="CX48" s="3"/>
      <c r="CY48" s="3"/>
      <c r="CZ48" s="3">
        <f t="shared" si="22"/>
        <v>0</v>
      </c>
      <c r="DA48" s="3">
        <f>SUM($K48:$M48)*DA$4/$DA$4</f>
        <v>22.85</v>
      </c>
      <c r="DB48" s="3">
        <v>0</v>
      </c>
      <c r="DC48" s="3">
        <v>0</v>
      </c>
      <c r="DD48" s="3">
        <f t="shared" si="23"/>
        <v>22.85</v>
      </c>
      <c r="DE48" s="3"/>
      <c r="DF48" s="3"/>
      <c r="DG48" s="3"/>
      <c r="DH48" s="3">
        <f t="shared" si="24"/>
        <v>0</v>
      </c>
      <c r="DI48" s="3"/>
      <c r="DJ48" s="3"/>
      <c r="DK48" s="3"/>
      <c r="DL48" s="3">
        <f t="shared" si="2"/>
        <v>0</v>
      </c>
      <c r="DM48" s="3"/>
      <c r="DN48" s="3"/>
      <c r="DO48" s="3"/>
      <c r="DP48" s="3">
        <f t="shared" si="25"/>
        <v>0</v>
      </c>
      <c r="DQ48" s="3"/>
      <c r="DR48" s="3"/>
      <c r="DS48" s="3"/>
      <c r="DT48" s="3">
        <f t="shared" si="26"/>
        <v>0</v>
      </c>
      <c r="DU48" s="3"/>
      <c r="DV48" s="3"/>
      <c r="DW48" s="3"/>
      <c r="DX48" s="3">
        <f t="shared" si="27"/>
        <v>0</v>
      </c>
      <c r="DY48" s="3"/>
      <c r="DZ48" s="3"/>
      <c r="EA48" s="3"/>
      <c r="EB48" s="3">
        <f t="shared" si="28"/>
        <v>0</v>
      </c>
      <c r="EC48" s="4">
        <f t="shared" si="6"/>
        <v>22.85</v>
      </c>
      <c r="ED48" s="5">
        <f t="shared" si="29"/>
        <v>0</v>
      </c>
      <c r="EE48" s="6">
        <f t="shared" si="33"/>
        <v>22.85</v>
      </c>
      <c r="EF48" s="6">
        <f t="shared" si="33"/>
        <v>0</v>
      </c>
      <c r="EG48" s="6">
        <f t="shared" si="33"/>
        <v>0</v>
      </c>
    </row>
    <row r="49" spans="1:137" ht="12" customHeight="1" x14ac:dyDescent="0.35">
      <c r="A49" s="34" t="s">
        <v>115</v>
      </c>
      <c r="B49" s="35">
        <v>28324</v>
      </c>
      <c r="C49" s="35" t="s">
        <v>120</v>
      </c>
      <c r="D49" s="35" t="s">
        <v>93</v>
      </c>
      <c r="E49" s="34">
        <v>418801</v>
      </c>
      <c r="F49" s="35" t="s">
        <v>238</v>
      </c>
      <c r="G49" s="8">
        <v>46009</v>
      </c>
      <c r="H49" s="8">
        <v>46126</v>
      </c>
      <c r="I49" s="36">
        <v>5</v>
      </c>
      <c r="J49" s="36">
        <v>333</v>
      </c>
      <c r="K49" s="36">
        <v>16.649999999999999</v>
      </c>
      <c r="L49" s="37"/>
      <c r="M49" s="37"/>
      <c r="N49" s="36">
        <v>16.649999999999999</v>
      </c>
      <c r="O49" s="36">
        <v>349.65</v>
      </c>
      <c r="P49" s="35" t="s">
        <v>95</v>
      </c>
      <c r="Q49" s="34" t="s">
        <v>36</v>
      </c>
      <c r="R49" s="35" t="s">
        <v>176</v>
      </c>
      <c r="S49" s="35" t="s">
        <v>97</v>
      </c>
      <c r="T49" s="35" t="s">
        <v>98</v>
      </c>
      <c r="U49" s="35" t="s">
        <v>99</v>
      </c>
      <c r="V49" s="34">
        <v>996311</v>
      </c>
      <c r="W49" s="35" t="s">
        <v>177</v>
      </c>
      <c r="X49" s="34" t="s">
        <v>101</v>
      </c>
      <c r="Y49" s="35">
        <v>107</v>
      </c>
      <c r="Z49" s="35" t="s">
        <v>102</v>
      </c>
      <c r="AA49" t="s">
        <v>239</v>
      </c>
      <c r="AB49">
        <v>16.649999999999999</v>
      </c>
      <c r="AC49">
        <v>17</v>
      </c>
      <c r="AD49" s="38">
        <v>0</v>
      </c>
      <c r="AE49" t="s">
        <v>104</v>
      </c>
      <c r="AF49" t="s">
        <v>73</v>
      </c>
      <c r="AG49" s="3"/>
      <c r="AH49" s="3"/>
      <c r="AI49" s="3"/>
      <c r="AJ49" s="3">
        <f t="shared" si="7"/>
        <v>0</v>
      </c>
      <c r="AK49" s="3"/>
      <c r="AL49" s="3"/>
      <c r="AM49" s="3"/>
      <c r="AN49" s="3">
        <f t="shared" si="8"/>
        <v>0</v>
      </c>
      <c r="AO49" s="3"/>
      <c r="AP49" s="3"/>
      <c r="AQ49" s="3"/>
      <c r="AR49" s="3">
        <f t="shared" si="9"/>
        <v>0</v>
      </c>
      <c r="AS49" s="3"/>
      <c r="AT49" s="3"/>
      <c r="AU49" s="3"/>
      <c r="AV49" s="3">
        <f t="shared" si="10"/>
        <v>0</v>
      </c>
      <c r="AW49" s="3"/>
      <c r="AX49" s="3"/>
      <c r="AY49" s="3"/>
      <c r="AZ49" s="3">
        <f t="shared" si="11"/>
        <v>0</v>
      </c>
      <c r="BA49" s="3"/>
      <c r="BB49" s="3"/>
      <c r="BC49" s="3"/>
      <c r="BD49" s="3">
        <f t="shared" si="12"/>
        <v>0</v>
      </c>
      <c r="BE49" s="3">
        <f>$K49*BE$4/$BE$4</f>
        <v>16.649999999999999</v>
      </c>
      <c r="BF49" s="3">
        <f>$L49*BE$4/$BE$4</f>
        <v>0</v>
      </c>
      <c r="BG49" s="3">
        <f>$M49*BE$4/$BE$4</f>
        <v>0</v>
      </c>
      <c r="BH49" s="3">
        <f t="shared" si="4"/>
        <v>16.649999999999999</v>
      </c>
      <c r="BI49" s="3"/>
      <c r="BJ49" s="3"/>
      <c r="BK49" s="3"/>
      <c r="BL49" s="3">
        <f t="shared" si="5"/>
        <v>0</v>
      </c>
      <c r="BM49" s="3"/>
      <c r="BN49" s="3"/>
      <c r="BO49" s="3"/>
      <c r="BP49" s="3">
        <f t="shared" si="13"/>
        <v>0</v>
      </c>
      <c r="BQ49" s="3"/>
      <c r="BR49" s="3"/>
      <c r="BS49" s="3"/>
      <c r="BT49" s="3">
        <f t="shared" si="14"/>
        <v>0</v>
      </c>
      <c r="BU49" s="3"/>
      <c r="BV49" s="3"/>
      <c r="BW49" s="3"/>
      <c r="BX49" s="3">
        <f t="shared" si="15"/>
        <v>0</v>
      </c>
      <c r="BY49" s="3"/>
      <c r="BZ49" s="3"/>
      <c r="CA49" s="3"/>
      <c r="CB49" s="3">
        <f t="shared" si="16"/>
        <v>0</v>
      </c>
      <c r="CC49" s="3"/>
      <c r="CD49" s="3"/>
      <c r="CE49" s="3"/>
      <c r="CF49" s="3">
        <f t="shared" si="17"/>
        <v>0</v>
      </c>
      <c r="CG49" s="3"/>
      <c r="CH49" s="3"/>
      <c r="CI49" s="3"/>
      <c r="CJ49" s="3">
        <f t="shared" si="18"/>
        <v>0</v>
      </c>
      <c r="CK49" s="3"/>
      <c r="CL49" s="3"/>
      <c r="CM49" s="3"/>
      <c r="CN49" s="3">
        <f t="shared" si="19"/>
        <v>0</v>
      </c>
      <c r="CO49" s="3"/>
      <c r="CP49" s="3"/>
      <c r="CQ49" s="3"/>
      <c r="CR49" s="3">
        <f t="shared" si="20"/>
        <v>0</v>
      </c>
      <c r="CS49" s="3"/>
      <c r="CT49" s="3"/>
      <c r="CU49" s="3"/>
      <c r="CV49" s="3">
        <f>SUBTOTAL(9,CS49:CU49)</f>
        <v>0</v>
      </c>
      <c r="CW49" s="3"/>
      <c r="CX49" s="3"/>
      <c r="CY49" s="3"/>
      <c r="CZ49" s="3">
        <f t="shared" si="22"/>
        <v>0</v>
      </c>
      <c r="DA49" s="3"/>
      <c r="DB49" s="3"/>
      <c r="DC49" s="3"/>
      <c r="DD49" s="3">
        <f t="shared" si="23"/>
        <v>0</v>
      </c>
      <c r="DE49" s="3"/>
      <c r="DF49" s="3"/>
      <c r="DG49" s="3"/>
      <c r="DH49" s="3">
        <f t="shared" si="24"/>
        <v>0</v>
      </c>
      <c r="DI49" s="3"/>
      <c r="DJ49" s="3"/>
      <c r="DK49" s="3"/>
      <c r="DL49" s="3">
        <f t="shared" si="2"/>
        <v>0</v>
      </c>
      <c r="DM49" s="3"/>
      <c r="DN49" s="3"/>
      <c r="DO49" s="3"/>
      <c r="DP49" s="3">
        <f t="shared" si="25"/>
        <v>0</v>
      </c>
      <c r="DQ49" s="3"/>
      <c r="DR49" s="3"/>
      <c r="DS49" s="3"/>
      <c r="DT49" s="3">
        <f t="shared" si="26"/>
        <v>0</v>
      </c>
      <c r="DU49" s="3"/>
      <c r="DV49" s="3"/>
      <c r="DW49" s="3"/>
      <c r="DX49" s="3">
        <f t="shared" si="27"/>
        <v>0</v>
      </c>
      <c r="DY49" s="3"/>
      <c r="DZ49" s="3"/>
      <c r="EA49" s="3"/>
      <c r="EB49" s="3">
        <f t="shared" si="28"/>
        <v>0</v>
      </c>
      <c r="EC49" s="4">
        <f t="shared" si="6"/>
        <v>16.649999999999999</v>
      </c>
      <c r="ED49" s="5">
        <f t="shared" si="29"/>
        <v>0</v>
      </c>
      <c r="EE49" s="6">
        <f t="shared" si="33"/>
        <v>16.649999999999999</v>
      </c>
      <c r="EF49" s="6">
        <f t="shared" si="33"/>
        <v>0</v>
      </c>
      <c r="EG49" s="6">
        <f t="shared" si="33"/>
        <v>0</v>
      </c>
    </row>
    <row r="50" spans="1:137" ht="12" customHeight="1" x14ac:dyDescent="0.35">
      <c r="A50" s="34" t="s">
        <v>240</v>
      </c>
      <c r="B50" s="35">
        <v>2894</v>
      </c>
      <c r="C50" s="35" t="s">
        <v>10</v>
      </c>
      <c r="D50" s="35" t="s">
        <v>241</v>
      </c>
      <c r="E50" s="34">
        <v>512120</v>
      </c>
      <c r="F50" s="35" t="s">
        <v>242</v>
      </c>
      <c r="G50" s="8">
        <v>46142</v>
      </c>
      <c r="H50" s="8">
        <v>46142</v>
      </c>
      <c r="I50" s="36">
        <v>18</v>
      </c>
      <c r="J50" s="36">
        <v>15615253.689999999</v>
      </c>
      <c r="K50" s="37"/>
      <c r="L50" s="36">
        <v>1405372.8321</v>
      </c>
      <c r="M50" s="36">
        <v>1405372.8321</v>
      </c>
      <c r="N50" s="36">
        <v>2810745.6642</v>
      </c>
      <c r="O50" s="36">
        <v>18425999.350000001</v>
      </c>
      <c r="P50" s="35" t="s">
        <v>95</v>
      </c>
      <c r="Q50" s="34" t="s">
        <v>185</v>
      </c>
      <c r="R50" s="35" t="s">
        <v>112</v>
      </c>
      <c r="S50" s="35" t="s">
        <v>97</v>
      </c>
      <c r="T50" s="35" t="s">
        <v>98</v>
      </c>
      <c r="U50" s="35" t="s">
        <v>243</v>
      </c>
      <c r="V50" s="34">
        <v>998346</v>
      </c>
      <c r="W50" s="35" t="s">
        <v>244</v>
      </c>
      <c r="X50" s="34" t="s">
        <v>101</v>
      </c>
      <c r="Y50" s="35">
        <v>107</v>
      </c>
      <c r="Z50" s="35" t="s">
        <v>102</v>
      </c>
      <c r="AA50" t="s">
        <v>245</v>
      </c>
      <c r="AB50">
        <v>2810745.6642</v>
      </c>
      <c r="AC50">
        <v>2810745.66</v>
      </c>
      <c r="AD50" s="38">
        <v>0</v>
      </c>
      <c r="AE50" t="s">
        <v>104</v>
      </c>
      <c r="AF50" t="s">
        <v>73</v>
      </c>
      <c r="AG50" s="3">
        <f>SUM($K50:$M50)*AG$4/$AF$4</f>
        <v>104066.71553671762</v>
      </c>
      <c r="AH50" s="3">
        <v>0</v>
      </c>
      <c r="AI50" s="3">
        <v>0</v>
      </c>
      <c r="AJ50" s="3">
        <f>SUBTOTAL(9,AG50:AI50)</f>
        <v>104066.71553671762</v>
      </c>
      <c r="AK50" s="3">
        <f>SUM($K50:$M50)*AK$4/$AF$4</f>
        <v>865.96984135539196</v>
      </c>
      <c r="AL50" s="3">
        <v>0</v>
      </c>
      <c r="AM50" s="3">
        <v>0</v>
      </c>
      <c r="AN50" s="3">
        <f>SUBTOTAL(9,AK50:AM50)</f>
        <v>865.96984135539196</v>
      </c>
      <c r="AO50" s="3">
        <f>SUM($K50:$M50)*AO$4/$AF$4</f>
        <v>42894.219226743007</v>
      </c>
      <c r="AP50" s="3">
        <v>0</v>
      </c>
      <c r="AQ50" s="3">
        <v>0</v>
      </c>
      <c r="AR50" s="3">
        <f>SUBTOTAL(9,AO50:AQ50)</f>
        <v>42894.219226743007</v>
      </c>
      <c r="AS50" s="3">
        <f>SUM($K50:$M50)*AS$4/$AF$4</f>
        <v>37558.536276309169</v>
      </c>
      <c r="AT50" s="3">
        <v>0</v>
      </c>
      <c r="AU50" s="3">
        <v>0</v>
      </c>
      <c r="AV50" s="3">
        <f>SUBTOTAL(9,AS50:AU50)</f>
        <v>37558.536276309169</v>
      </c>
      <c r="AW50" s="3">
        <f>SUM($K50:$M50)*AW$4/$AF$4</f>
        <v>4405.601018392621</v>
      </c>
      <c r="AX50" s="3">
        <v>0</v>
      </c>
      <c r="AY50" s="3">
        <v>0</v>
      </c>
      <c r="AZ50" s="3">
        <f>SUBTOTAL(9,AW50:AY50)</f>
        <v>4405.601018392621</v>
      </c>
      <c r="BA50" s="3">
        <f>SUM($K50:$M50)*BA$4/$AF$4</f>
        <v>47043.195923361629</v>
      </c>
      <c r="BB50" s="3">
        <v>0</v>
      </c>
      <c r="BC50" s="3">
        <v>0</v>
      </c>
      <c r="BD50" s="3">
        <f>SUBTOTAL(9,BA50:BC50)</f>
        <v>47043.195923361629</v>
      </c>
      <c r="BE50" s="3">
        <f>$K50*BE$4/$AF$4</f>
        <v>0</v>
      </c>
      <c r="BF50" s="3">
        <f>$L50*BE$4/$AF$4</f>
        <v>102024.53916217556</v>
      </c>
      <c r="BG50" s="3">
        <f>$M50*BE$4/$AF$4</f>
        <v>102024.53916217556</v>
      </c>
      <c r="BH50" s="3">
        <f>SUBTOTAL(9,BE50:BG50)</f>
        <v>204049.07832435111</v>
      </c>
      <c r="BI50" s="3">
        <f>SUM($K50:$M50)*BI$4/$AF$4</f>
        <v>118350.32237470585</v>
      </c>
      <c r="BJ50" s="3">
        <v>0</v>
      </c>
      <c r="BK50" s="3">
        <v>0</v>
      </c>
      <c r="BL50" s="3">
        <f>SUBTOTAL(9,BI50:BK50)</f>
        <v>118350.32237470585</v>
      </c>
      <c r="BM50" s="3">
        <f>SUM($K50:$M50)*BM$4/$AF$4</f>
        <v>543441.6612023632</v>
      </c>
      <c r="BN50" s="3">
        <v>0</v>
      </c>
      <c r="BO50" s="3">
        <v>0</v>
      </c>
      <c r="BP50" s="3">
        <f>SUBTOTAL(9,BM50:BO50)</f>
        <v>543441.6612023632</v>
      </c>
      <c r="BQ50" s="3">
        <f>SUM($K50:$M50)*BQ$4/$AF$4</f>
        <v>48712.638625458014</v>
      </c>
      <c r="BR50" s="3">
        <v>0</v>
      </c>
      <c r="BS50" s="3">
        <v>0</v>
      </c>
      <c r="BT50" s="3">
        <f>SUBTOTAL(9,BQ50:BS50)</f>
        <v>48712.638625458014</v>
      </c>
      <c r="BU50" s="3">
        <f>SUM($K50:$M50)*BU$4/$AF$4</f>
        <v>7729.8719842432774</v>
      </c>
      <c r="BV50" s="3">
        <v>0</v>
      </c>
      <c r="BW50" s="3">
        <v>0</v>
      </c>
      <c r="BX50" s="3">
        <f>SUBTOTAL(9,BU50:BW50)</f>
        <v>7729.8719842432774</v>
      </c>
      <c r="BY50" s="3">
        <f>SUM($K50:$M50)*BY$4/$AF$4</f>
        <v>18632.824553234543</v>
      </c>
      <c r="BZ50" s="3">
        <v>0</v>
      </c>
      <c r="CA50" s="3">
        <v>0</v>
      </c>
      <c r="CB50" s="3">
        <f>SUBTOTAL(9,BY50:CA50)</f>
        <v>18632.824553234543</v>
      </c>
      <c r="CC50" s="3">
        <f>SUM($K50:$M50)*CC$4/$AF$4</f>
        <v>15426.264827994837</v>
      </c>
      <c r="CD50" s="3">
        <v>0</v>
      </c>
      <c r="CE50" s="3">
        <v>0</v>
      </c>
      <c r="CF50" s="3">
        <f>SUBTOTAL(9,CC50:CE50)</f>
        <v>15426.264827994837</v>
      </c>
      <c r="CG50" s="3">
        <f>SUM($K50:$M50)*CG$4/$AF$4</f>
        <v>17673.385430116025</v>
      </c>
      <c r="CH50" s="3">
        <v>0</v>
      </c>
      <c r="CI50" s="3">
        <v>0</v>
      </c>
      <c r="CJ50" s="3">
        <f>SUBTOTAL(9,CG50:CI50)</f>
        <v>17673.385430116025</v>
      </c>
      <c r="CK50" s="3">
        <f>SUM($K50:$M50)*CK$4/$AF$4</f>
        <v>36364.371105578961</v>
      </c>
      <c r="CL50" s="3">
        <v>0</v>
      </c>
      <c r="CM50" s="3">
        <v>0</v>
      </c>
      <c r="CN50" s="3">
        <f>SUBTOTAL(9,CK50:CM50)</f>
        <v>36364.371105578961</v>
      </c>
      <c r="CO50" s="3">
        <f>SUM($K50:$M50)*CO$4/$AF$4</f>
        <v>70926.297385319354</v>
      </c>
      <c r="CP50" s="3">
        <v>0</v>
      </c>
      <c r="CQ50" s="3">
        <v>0</v>
      </c>
      <c r="CR50" s="3">
        <f>SUBTOTAL(9,CO50:CQ50)</f>
        <v>70926.297385319354</v>
      </c>
      <c r="CS50" s="3">
        <f>SUM($K50:$M50)*CS$4/$AF$4</f>
        <v>208485.5298126672</v>
      </c>
      <c r="CT50" s="3">
        <v>0</v>
      </c>
      <c r="CU50" s="3">
        <v>0</v>
      </c>
      <c r="CV50" s="3">
        <f>SUBTOTAL(9,CS50:CU50)</f>
        <v>208485.5298126672</v>
      </c>
      <c r="CW50" s="3">
        <f>SUM($K50:$M50)*CW$4/$AF$4</f>
        <v>692250.26524917327</v>
      </c>
      <c r="CX50" s="3">
        <v>0</v>
      </c>
      <c r="CY50" s="3">
        <v>0</v>
      </c>
      <c r="CZ50" s="3">
        <f>SUBTOTAL(9,CW50:CY50)</f>
        <v>692250.26524917327</v>
      </c>
      <c r="DA50" s="3">
        <f>SUM($K50:$M50)*DA$4/$AF$4</f>
        <v>47175.03771452108</v>
      </c>
      <c r="DB50" s="3">
        <v>0</v>
      </c>
      <c r="DC50" s="3">
        <v>0</v>
      </c>
      <c r="DD50" s="3">
        <f>SUBTOTAL(9,DA50:DC50)</f>
        <v>47175.03771452108</v>
      </c>
      <c r="DE50" s="3">
        <f>SUM($K50:$M50)*DE$4/$AF$4</f>
        <v>7952.6301497297281</v>
      </c>
      <c r="DF50" s="3">
        <v>0</v>
      </c>
      <c r="DG50" s="3">
        <v>0</v>
      </c>
      <c r="DH50" s="3">
        <f>SUBTOTAL(9,DE50:DG50)</f>
        <v>7952.6301497297281</v>
      </c>
      <c r="DI50" s="3">
        <f>SUM($K50:$M50)*DI$4/$AF$4</f>
        <v>0</v>
      </c>
      <c r="DJ50" s="3">
        <v>0</v>
      </c>
      <c r="DK50" s="3">
        <v>0</v>
      </c>
      <c r="DL50" s="3">
        <f t="shared" si="2"/>
        <v>0</v>
      </c>
      <c r="DM50" s="3">
        <f>SUM($K50:$M50)*DM$4/$AF$4</f>
        <v>39313.688478552278</v>
      </c>
      <c r="DN50" s="3">
        <v>0</v>
      </c>
      <c r="DO50" s="3">
        <v>0</v>
      </c>
      <c r="DP50" s="3">
        <f t="shared" si="25"/>
        <v>39313.688478552278</v>
      </c>
      <c r="DQ50" s="3">
        <f>SUM($K50:$M50)*DQ$4/$AF$4</f>
        <v>82977.321299242889</v>
      </c>
      <c r="DR50" s="3">
        <v>0</v>
      </c>
      <c r="DS50" s="3">
        <v>0</v>
      </c>
      <c r="DT50" s="3">
        <f>SUBTOTAL(9,DQ50:DS50)</f>
        <v>82977.321299242889</v>
      </c>
      <c r="DU50" s="3">
        <f>SUM($K50:$M50)*DU$4/$AF$4</f>
        <v>413035.22488451004</v>
      </c>
      <c r="DV50" s="3">
        <v>0</v>
      </c>
      <c r="DW50" s="3">
        <v>0</v>
      </c>
      <c r="DX50" s="3">
        <f>SUBTOTAL(9,DU50:DW50)</f>
        <v>413035.22488451004</v>
      </c>
      <c r="DY50" s="3">
        <f>SUM($K50:$M50)*DY$4/$AF$4</f>
        <v>1415.0129753581432</v>
      </c>
      <c r="DZ50" s="3">
        <v>0</v>
      </c>
      <c r="EA50" s="3">
        <v>0</v>
      </c>
      <c r="EB50" s="3">
        <f>SUBTOTAL(9,DY50:EA50)</f>
        <v>1415.0129753581432</v>
      </c>
      <c r="EC50" s="4">
        <f>AJ50+AN50+AR50+AV50+AZ50+BD50+BH50+BL50+BP50+BT50+BX50+CB50+CF50+CJ50+CN50+CR50+CV50+CZ50+DD50+DH50+DP50+DT50+DX50+EB50</f>
        <v>2810745.6641999986</v>
      </c>
      <c r="ED50" s="5">
        <f>EC50-SUM(K50:M50)</f>
        <v>0</v>
      </c>
      <c r="EE50" s="6">
        <f t="shared" si="33"/>
        <v>2606696.5858756481</v>
      </c>
      <c r="EF50" s="6">
        <f t="shared" si="33"/>
        <v>102024.53916217556</v>
      </c>
      <c r="EG50" s="6">
        <f t="shared" si="33"/>
        <v>102024.53916217556</v>
      </c>
    </row>
    <row r="51" spans="1:137" ht="12" customHeight="1" x14ac:dyDescent="0.35">
      <c r="A51" s="34" t="s">
        <v>240</v>
      </c>
      <c r="B51" s="35">
        <v>2894</v>
      </c>
      <c r="C51" s="35" t="s">
        <v>10</v>
      </c>
      <c r="D51" s="35" t="s">
        <v>241</v>
      </c>
      <c r="E51" s="34">
        <v>512120</v>
      </c>
      <c r="F51" s="35" t="s">
        <v>246</v>
      </c>
      <c r="G51" s="8">
        <v>46142</v>
      </c>
      <c r="H51" s="8">
        <v>46142</v>
      </c>
      <c r="I51" s="36">
        <v>18</v>
      </c>
      <c r="J51" s="36">
        <v>19283523</v>
      </c>
      <c r="K51" s="37"/>
      <c r="L51" s="36">
        <v>1735517.07</v>
      </c>
      <c r="M51" s="36">
        <v>1735517.07</v>
      </c>
      <c r="N51" s="36">
        <v>3471034.14</v>
      </c>
      <c r="O51" s="36">
        <v>22754557.140000001</v>
      </c>
      <c r="P51" s="35" t="s">
        <v>95</v>
      </c>
      <c r="Q51" s="34" t="s">
        <v>185</v>
      </c>
      <c r="R51" s="35" t="s">
        <v>112</v>
      </c>
      <c r="S51" s="35" t="s">
        <v>97</v>
      </c>
      <c r="T51" s="35" t="s">
        <v>98</v>
      </c>
      <c r="U51" s="35" t="s">
        <v>243</v>
      </c>
      <c r="V51" s="34">
        <v>998346</v>
      </c>
      <c r="W51" s="35" t="s">
        <v>247</v>
      </c>
      <c r="X51" s="34" t="s">
        <v>101</v>
      </c>
      <c r="Y51" s="35">
        <v>107</v>
      </c>
      <c r="Z51" s="35" t="s">
        <v>102</v>
      </c>
      <c r="AA51" t="s">
        <v>248</v>
      </c>
      <c r="AB51">
        <v>3471034.14</v>
      </c>
      <c r="AC51">
        <v>3471034.14</v>
      </c>
      <c r="AD51" s="38">
        <v>0</v>
      </c>
      <c r="AE51" t="s">
        <v>104</v>
      </c>
      <c r="AF51" t="s">
        <v>73</v>
      </c>
      <c r="AG51" s="3">
        <f>SUM($K51:$M51)*AG$4/$AF$4</f>
        <v>128513.62791959554</v>
      </c>
      <c r="AH51" s="3">
        <v>0</v>
      </c>
      <c r="AI51" s="3">
        <v>0</v>
      </c>
      <c r="AJ51" s="3">
        <f>SUBTOTAL(9,AG51:AI51)</f>
        <v>128513.62791959554</v>
      </c>
      <c r="AK51" s="3">
        <f>SUM($K51:$M51)*AK$4/$AF$4</f>
        <v>1069.3998115302506</v>
      </c>
      <c r="AL51" s="3">
        <v>0</v>
      </c>
      <c r="AM51" s="3">
        <v>0</v>
      </c>
      <c r="AN51" s="3">
        <f>SUBTOTAL(9,AK51:AM51)</f>
        <v>1069.3998115302506</v>
      </c>
      <c r="AO51" s="3">
        <f>SUM($K51:$M51)*AO$4/$AF$4</f>
        <v>52970.747670634933</v>
      </c>
      <c r="AP51" s="3">
        <v>0</v>
      </c>
      <c r="AQ51" s="3">
        <v>0</v>
      </c>
      <c r="AR51" s="3">
        <f>SUBTOTAL(9,AO51:AQ51)</f>
        <v>52970.747670634933</v>
      </c>
      <c r="AS51" s="3">
        <f>SUM($K51:$M51)*AS$4/$AF$4</f>
        <v>46381.62866315509</v>
      </c>
      <c r="AT51" s="3">
        <v>0</v>
      </c>
      <c r="AU51" s="3">
        <v>0</v>
      </c>
      <c r="AV51" s="3">
        <f>SUBTOTAL(9,AS51:AU51)</f>
        <v>46381.62866315509</v>
      </c>
      <c r="AW51" s="3">
        <f>SUM($K51:$M51)*AW$4/$AF$4</f>
        <v>5440.5461642549553</v>
      </c>
      <c r="AX51" s="3">
        <v>0</v>
      </c>
      <c r="AY51" s="3">
        <v>0</v>
      </c>
      <c r="AZ51" s="3">
        <f>SUBTOTAL(9,AW51:AY51)</f>
        <v>5440.5461642549553</v>
      </c>
      <c r="BA51" s="3">
        <f>SUM($K51:$M51)*BA$4/$AF$4</f>
        <v>58094.384413529828</v>
      </c>
      <c r="BB51" s="3">
        <v>0</v>
      </c>
      <c r="BC51" s="3">
        <v>0</v>
      </c>
      <c r="BD51" s="3">
        <f>SUBTOTAL(9,BA51:BC51)</f>
        <v>58094.384413529828</v>
      </c>
      <c r="BE51" s="3">
        <f>$K51*BE$4/$AF$4</f>
        <v>0</v>
      </c>
      <c r="BF51" s="3">
        <f>$L51*BE$4/$AF$4</f>
        <v>125991.71211404209</v>
      </c>
      <c r="BG51" s="3">
        <f>$M51*BE$4/$AF$4</f>
        <v>125991.71211404209</v>
      </c>
      <c r="BH51" s="3">
        <f>SUBTOTAL(9,BE51:BG51)</f>
        <v>251983.42422808419</v>
      </c>
      <c r="BI51" s="3">
        <f>SUM($K51:$M51)*BI$4/$AF$4</f>
        <v>146152.67922490311</v>
      </c>
      <c r="BJ51" s="3">
        <v>0</v>
      </c>
      <c r="BK51" s="3">
        <v>0</v>
      </c>
      <c r="BL51" s="3">
        <f>SUBTOTAL(9,BI51:BK51)</f>
        <v>146152.67922490311</v>
      </c>
      <c r="BM51" s="3">
        <f>SUM($K51:$M51)*BM$4/$AF$4</f>
        <v>671104.67629898479</v>
      </c>
      <c r="BN51" s="3">
        <v>0</v>
      </c>
      <c r="BO51" s="3">
        <v>0</v>
      </c>
      <c r="BP51" s="3">
        <f>SUBTOTAL(9,BM51:BO51)</f>
        <v>671104.67629898479</v>
      </c>
      <c r="BQ51" s="3">
        <f>SUM($K51:$M51)*BQ$4/$AF$4</f>
        <v>60156.005529789632</v>
      </c>
      <c r="BR51" s="3">
        <v>0</v>
      </c>
      <c r="BS51" s="3">
        <v>0</v>
      </c>
      <c r="BT51" s="3">
        <f>SUBTOTAL(9,BQ51:BS51)</f>
        <v>60156.005529789632</v>
      </c>
      <c r="BU51" s="3">
        <f>SUM($K51:$M51)*BU$4/$AF$4</f>
        <v>9545.7407964283211</v>
      </c>
      <c r="BV51" s="3">
        <v>0</v>
      </c>
      <c r="BW51" s="3">
        <v>0</v>
      </c>
      <c r="BX51" s="3">
        <f>SUBTOTAL(9,BU51:BW51)</f>
        <v>9545.7407964283211</v>
      </c>
      <c r="BY51" s="3">
        <f>SUM($K51:$M51)*BY$4/$AF$4</f>
        <v>23009.968839466419</v>
      </c>
      <c r="BZ51" s="3">
        <v>0</v>
      </c>
      <c r="CA51" s="3">
        <v>0</v>
      </c>
      <c r="CB51" s="3">
        <f>SUBTOTAL(9,BY51:CA51)</f>
        <v>23009.968839466419</v>
      </c>
      <c r="CC51" s="3">
        <f>SUM($K51:$M51)*CC$4/$AF$4</f>
        <v>19050.137674370984</v>
      </c>
      <c r="CD51" s="3">
        <v>0</v>
      </c>
      <c r="CE51" s="3">
        <v>0</v>
      </c>
      <c r="CF51" s="3">
        <f>SUBTOTAL(9,CC51:CE51)</f>
        <v>19050.137674370984</v>
      </c>
      <c r="CG51" s="3">
        <f>SUM($K51:$M51)*CG$4/$AF$4</f>
        <v>21825.142338081812</v>
      </c>
      <c r="CH51" s="3">
        <v>0</v>
      </c>
      <c r="CI51" s="3">
        <v>0</v>
      </c>
      <c r="CJ51" s="3">
        <f>SUBTOTAL(9,CG51:CI51)</f>
        <v>21825.142338081812</v>
      </c>
      <c r="CK51" s="3">
        <f>SUM($K51:$M51)*CK$4/$AF$4</f>
        <v>44906.935264461106</v>
      </c>
      <c r="CL51" s="3">
        <v>0</v>
      </c>
      <c r="CM51" s="3">
        <v>0</v>
      </c>
      <c r="CN51" s="3">
        <f>SUBTOTAL(9,CK51:CM51)</f>
        <v>44906.935264461106</v>
      </c>
      <c r="CO51" s="3">
        <f>SUM($K51:$M51)*CO$4/$AF$4</f>
        <v>87588.002992902097</v>
      </c>
      <c r="CP51" s="3">
        <v>0</v>
      </c>
      <c r="CQ51" s="3">
        <v>0</v>
      </c>
      <c r="CR51" s="3">
        <f>SUBTOTAL(9,CO51:CQ51)</f>
        <v>87588.002992902097</v>
      </c>
      <c r="CS51" s="3">
        <f>SUM($K51:$M51)*CS$4/$AF$4</f>
        <v>257462.06812409166</v>
      </c>
      <c r="CT51" s="3">
        <v>0</v>
      </c>
      <c r="CU51" s="3">
        <v>0</v>
      </c>
      <c r="CV51" s="3">
        <f>SUBTOTAL(9,CS51:CU51)</f>
        <v>257462.06812409166</v>
      </c>
      <c r="CW51" s="3">
        <f>SUM($K51:$M51)*CW$4/$AF$4</f>
        <v>854870.76782090589</v>
      </c>
      <c r="CX51" s="3">
        <v>0</v>
      </c>
      <c r="CY51" s="3">
        <v>0</v>
      </c>
      <c r="CZ51" s="3">
        <f>SUBTOTAL(9,CW51:CY51)</f>
        <v>854870.76782090589</v>
      </c>
      <c r="DA51" s="3">
        <f>SUM($K51:$M51)*DA$4/$AF$4</f>
        <v>58257.197920287821</v>
      </c>
      <c r="DB51" s="3">
        <v>0</v>
      </c>
      <c r="DC51" s="3">
        <v>0</v>
      </c>
      <c r="DD51" s="3">
        <f>SUBTOTAL(9,DA51:DC51)</f>
        <v>58257.197920287821</v>
      </c>
      <c r="DE51" s="3">
        <f>SUM($K51:$M51)*DE$4/$AF$4</f>
        <v>9820.8283673940532</v>
      </c>
      <c r="DF51" s="3">
        <v>0</v>
      </c>
      <c r="DG51" s="3">
        <v>0</v>
      </c>
      <c r="DH51" s="3">
        <f>SUBTOTAL(9,DE51:DG51)</f>
        <v>9820.8283673940532</v>
      </c>
      <c r="DI51" s="3">
        <f>SUM($K51:$M51)*DI$4/$AF$4</f>
        <v>0</v>
      </c>
      <c r="DJ51" s="3">
        <v>0</v>
      </c>
      <c r="DK51" s="3">
        <v>0</v>
      </c>
      <c r="DL51" s="3">
        <f t="shared" si="2"/>
        <v>0</v>
      </c>
      <c r="DM51" s="3">
        <f>SUM($K51:$M51)*DM$4/$AF$4</f>
        <v>48549.093792596446</v>
      </c>
      <c r="DN51" s="3">
        <v>0</v>
      </c>
      <c r="DO51" s="3">
        <v>0</v>
      </c>
      <c r="DP51" s="3">
        <f t="shared" si="25"/>
        <v>48549.093792596446</v>
      </c>
      <c r="DQ51" s="3">
        <f>SUM($K51:$M51)*DQ$4/$AF$4</f>
        <v>102470.00244235802</v>
      </c>
      <c r="DR51" s="3">
        <v>0</v>
      </c>
      <c r="DS51" s="3">
        <v>0</v>
      </c>
      <c r="DT51" s="3">
        <f>SUBTOTAL(9,DQ51:DS51)</f>
        <v>102470.00244235802</v>
      </c>
      <c r="DU51" s="3">
        <f>SUM($K51:$M51)*DU$4/$AF$4</f>
        <v>510063.71186727873</v>
      </c>
      <c r="DV51" s="3">
        <v>0</v>
      </c>
      <c r="DW51" s="3">
        <v>0</v>
      </c>
      <c r="DX51" s="3">
        <f>SUBTOTAL(9,DU51:DW51)</f>
        <v>510063.71186727873</v>
      </c>
      <c r="DY51" s="3">
        <f>SUM($K51:$M51)*DY$4/$AF$4</f>
        <v>1747.4218349133455</v>
      </c>
      <c r="DZ51" s="3">
        <v>0</v>
      </c>
      <c r="EA51" s="3">
        <v>0</v>
      </c>
      <c r="EB51" s="3">
        <f>SUBTOTAL(9,DY51:EA51)</f>
        <v>1747.4218349133455</v>
      </c>
      <c r="EC51" s="4">
        <f>AJ51+AN51+AR51+AV51+AZ51+BD51+BH51+BL51+BP51+BT51+BX51+CB51+CF51+CJ51+CN51+CR51+CV51+CZ51+DD51+DH51+DP51+DT51+DX51+EB51</f>
        <v>3471034.1399999997</v>
      </c>
      <c r="ED51" s="5">
        <f>EC51-SUM(K51:M51)</f>
        <v>0</v>
      </c>
      <c r="EE51" s="6">
        <f t="shared" si="33"/>
        <v>3219050.7157719154</v>
      </c>
      <c r="EF51" s="6">
        <f t="shared" si="33"/>
        <v>125991.71211404209</v>
      </c>
      <c r="EG51" s="6">
        <f t="shared" si="33"/>
        <v>125991.71211404209</v>
      </c>
    </row>
    <row r="52" spans="1:137" ht="12" customHeight="1" x14ac:dyDescent="0.35">
      <c r="A52" s="34" t="s">
        <v>249</v>
      </c>
      <c r="B52" s="35">
        <v>3658</v>
      </c>
      <c r="C52" s="35" t="s">
        <v>250</v>
      </c>
      <c r="D52" s="35" t="s">
        <v>183</v>
      </c>
      <c r="E52" s="34">
        <v>234010</v>
      </c>
      <c r="F52" s="35" t="s">
        <v>251</v>
      </c>
      <c r="G52" s="8">
        <v>46134</v>
      </c>
      <c r="H52" s="8">
        <v>46141</v>
      </c>
      <c r="I52" s="36">
        <v>18</v>
      </c>
      <c r="J52" s="36">
        <v>650000</v>
      </c>
      <c r="K52" s="37"/>
      <c r="L52" s="36">
        <v>58500</v>
      </c>
      <c r="M52" s="36">
        <v>58500</v>
      </c>
      <c r="N52" s="36">
        <v>117000</v>
      </c>
      <c r="O52" s="36">
        <v>767000</v>
      </c>
      <c r="P52" s="35" t="s">
        <v>95</v>
      </c>
      <c r="Q52" s="34" t="s">
        <v>185</v>
      </c>
      <c r="R52" s="35" t="s">
        <v>112</v>
      </c>
      <c r="S52" s="35" t="s">
        <v>252</v>
      </c>
      <c r="T52" s="35" t="s">
        <v>253</v>
      </c>
      <c r="U52" s="37"/>
      <c r="V52" s="34">
        <v>998212</v>
      </c>
      <c r="W52" s="35" t="s">
        <v>254</v>
      </c>
      <c r="X52" s="34" t="s">
        <v>101</v>
      </c>
      <c r="Y52" s="35">
        <v>107</v>
      </c>
      <c r="Z52" s="35" t="s">
        <v>102</v>
      </c>
      <c r="AA52" t="s">
        <v>255</v>
      </c>
      <c r="AB52">
        <v>117000</v>
      </c>
      <c r="AC52">
        <v>117000</v>
      </c>
      <c r="AD52" s="38">
        <v>0</v>
      </c>
      <c r="AE52" t="s">
        <v>104</v>
      </c>
      <c r="AF52" t="s">
        <v>73</v>
      </c>
      <c r="AG52" s="3">
        <f>SUM($K52:$M52)*AG$4/$AF$4</f>
        <v>4331.8774348306124</v>
      </c>
      <c r="AH52" s="3">
        <v>0</v>
      </c>
      <c r="AI52" s="3">
        <v>0</v>
      </c>
      <c r="AJ52" s="3">
        <f>SUBTOTAL(9,AG52:AI52)</f>
        <v>4331.8774348306124</v>
      </c>
      <c r="AK52" s="3">
        <f>SUM($K52:$M52)*AK$4/$AF$4</f>
        <v>36.046830109553262</v>
      </c>
      <c r="AL52" s="3">
        <v>0</v>
      </c>
      <c r="AM52" s="3">
        <v>0</v>
      </c>
      <c r="AN52" s="3">
        <f>SUBTOTAL(9,AK52:AM52)</f>
        <v>36.046830109553262</v>
      </c>
      <c r="AO52" s="3">
        <f>SUM($K52:$M52)*AO$4/$AF$4</f>
        <v>1785.5132584389639</v>
      </c>
      <c r="AP52" s="3">
        <v>0</v>
      </c>
      <c r="AQ52" s="3">
        <v>0</v>
      </c>
      <c r="AR52" s="3">
        <f>SUBTOTAL(9,AO52:AQ52)</f>
        <v>1785.5132584389639</v>
      </c>
      <c r="AS52" s="3">
        <f>SUM($K52:$M52)*AS$4/$AF$4</f>
        <v>1563.4103079116201</v>
      </c>
      <c r="AT52" s="3">
        <v>0</v>
      </c>
      <c r="AU52" s="3">
        <v>0</v>
      </c>
      <c r="AV52" s="3">
        <f>SUBTOTAL(9,AS52:AU52)</f>
        <v>1563.4103079116201</v>
      </c>
      <c r="AW52" s="3">
        <f>SUM($K52:$M52)*AW$4/$AF$4</f>
        <v>183.38739278946699</v>
      </c>
      <c r="AX52" s="3">
        <v>0</v>
      </c>
      <c r="AY52" s="3">
        <v>0</v>
      </c>
      <c r="AZ52" s="3">
        <f>SUBTOTAL(9,AW52:AY52)</f>
        <v>183.38739278946699</v>
      </c>
      <c r="BA52" s="3">
        <f>SUM($K52:$M52)*BA$4/$AF$4</f>
        <v>1958.2184162507231</v>
      </c>
      <c r="BB52" s="3">
        <v>0</v>
      </c>
      <c r="BC52" s="3">
        <v>0</v>
      </c>
      <c r="BD52" s="3">
        <f>SUBTOTAL(9,BA52:BC52)</f>
        <v>1958.2184162507231</v>
      </c>
      <c r="BE52" s="3">
        <f>$K52*BE$4/$AF$4</f>
        <v>0</v>
      </c>
      <c r="BF52" s="3">
        <f>$L52*BE$4/$AF$4</f>
        <v>4246.8698730064707</v>
      </c>
      <c r="BG52" s="3">
        <f>$M52*BE$4/$AF$4</f>
        <v>4246.8698730064707</v>
      </c>
      <c r="BH52" s="3">
        <f>SUBTOTAL(9,BE52:BG52)</f>
        <v>8493.7397460129414</v>
      </c>
      <c r="BI52" s="3">
        <f>SUM($K52:$M52)*BI$4/$AF$4</f>
        <v>4926.4463498805189</v>
      </c>
      <c r="BJ52" s="3">
        <v>0</v>
      </c>
      <c r="BK52" s="3">
        <v>0</v>
      </c>
      <c r="BL52" s="3">
        <f>SUBTOTAL(9,BI52:BK52)</f>
        <v>4926.4463498805189</v>
      </c>
      <c r="BM52" s="3">
        <f>SUM($K52:$M52)*BM$4/$AF$4</f>
        <v>22621.283444645469</v>
      </c>
      <c r="BN52" s="3">
        <v>0</v>
      </c>
      <c r="BO52" s="3">
        <v>0</v>
      </c>
      <c r="BP52" s="3">
        <f>SUBTOTAL(9,BM52:BO52)</f>
        <v>22621.283444645469</v>
      </c>
      <c r="BQ52" s="3">
        <f>SUM($K52:$M52)*BQ$4/$AF$4</f>
        <v>2027.7105793564413</v>
      </c>
      <c r="BR52" s="3">
        <v>0</v>
      </c>
      <c r="BS52" s="3">
        <v>0</v>
      </c>
      <c r="BT52" s="3">
        <f>SUBTOTAL(9,BQ52:BS52)</f>
        <v>2027.7105793564413</v>
      </c>
      <c r="BU52" s="3">
        <f>SUM($K52:$M52)*BU$4/$AF$4</f>
        <v>321.76337890531772</v>
      </c>
      <c r="BV52" s="3">
        <v>0</v>
      </c>
      <c r="BW52" s="3">
        <v>0</v>
      </c>
      <c r="BX52" s="3">
        <f>SUBTOTAL(9,BU52:BW52)</f>
        <v>321.76337890531772</v>
      </c>
      <c r="BY52" s="3">
        <f>SUM($K52:$M52)*BY$4/$AF$4</f>
        <v>775.60929844889722</v>
      </c>
      <c r="BZ52" s="3">
        <v>0</v>
      </c>
      <c r="CA52" s="3">
        <v>0</v>
      </c>
      <c r="CB52" s="3">
        <f>SUBTOTAL(9,BY52:CA52)</f>
        <v>775.60929844889722</v>
      </c>
      <c r="CC52" s="3">
        <f>SUM($K52:$M52)*CC$4/$AF$4</f>
        <v>642.13315628794282</v>
      </c>
      <c r="CD52" s="3">
        <v>0</v>
      </c>
      <c r="CE52" s="3">
        <v>0</v>
      </c>
      <c r="CF52" s="3">
        <f>SUBTOTAL(9,CC52:CE52)</f>
        <v>642.13315628794282</v>
      </c>
      <c r="CG52" s="3">
        <f>SUM($K52:$M52)*CG$4/$AF$4</f>
        <v>735.67171930944244</v>
      </c>
      <c r="CH52" s="3">
        <v>0</v>
      </c>
      <c r="CI52" s="3">
        <v>0</v>
      </c>
      <c r="CJ52" s="3">
        <f>SUBTOTAL(9,CG52:CI52)</f>
        <v>735.67171930944244</v>
      </c>
      <c r="CK52" s="3">
        <f>SUM($K52:$M52)*CK$4/$AF$4</f>
        <v>1513.7020305832973</v>
      </c>
      <c r="CL52" s="3">
        <v>0</v>
      </c>
      <c r="CM52" s="3">
        <v>0</v>
      </c>
      <c r="CN52" s="3">
        <f>SUBTOTAL(9,CK52:CM52)</f>
        <v>1513.7020305832973</v>
      </c>
      <c r="CO52" s="3">
        <f>SUM($K52:$M52)*CO$4/$AF$4</f>
        <v>2952.375556343432</v>
      </c>
      <c r="CP52" s="3">
        <v>0</v>
      </c>
      <c r="CQ52" s="3">
        <v>0</v>
      </c>
      <c r="CR52" s="3">
        <f>SUBTOTAL(9,CO52:CQ52)</f>
        <v>2952.375556343432</v>
      </c>
      <c r="CS52" s="3">
        <f>SUM($K52:$M52)*CS$4/$AF$4</f>
        <v>8678.4113193766298</v>
      </c>
      <c r="CT52" s="3">
        <v>0</v>
      </c>
      <c r="CU52" s="3">
        <v>0</v>
      </c>
      <c r="CV52" s="3">
        <f>SUBTOTAL(9,CS52:CU52)</f>
        <v>8678.4113193766298</v>
      </c>
      <c r="CW52" s="3">
        <f>SUM($K52:$M52)*CW$4/$AF$4</f>
        <v>28815.585154413373</v>
      </c>
      <c r="CX52" s="3">
        <v>0</v>
      </c>
      <c r="CY52" s="3">
        <v>0</v>
      </c>
      <c r="CZ52" s="3">
        <f>SUBTOTAL(9,CW52:CY52)</f>
        <v>28815.585154413373</v>
      </c>
      <c r="DA52" s="3">
        <f>SUM($K52:$M52)*DA$4/$AF$4</f>
        <v>1963.7064580049548</v>
      </c>
      <c r="DB52" s="3">
        <v>0</v>
      </c>
      <c r="DC52" s="3">
        <v>0</v>
      </c>
      <c r="DD52" s="3">
        <f>SUBTOTAL(9,DA52:DC52)</f>
        <v>1963.7064580049548</v>
      </c>
      <c r="DE52" s="3">
        <f>SUM($K52:$M52)*DE$4/$AF$4</f>
        <v>331.03590245444951</v>
      </c>
      <c r="DF52" s="3">
        <v>0</v>
      </c>
      <c r="DG52" s="3">
        <v>0</v>
      </c>
      <c r="DH52" s="3">
        <f>SUBTOTAL(9,DE52:DG52)</f>
        <v>331.03590245444951</v>
      </c>
      <c r="DI52" s="3">
        <f>SUM($K52:$M52)*DI$4/$AF$4</f>
        <v>0</v>
      </c>
      <c r="DJ52" s="3">
        <v>0</v>
      </c>
      <c r="DK52" s="3">
        <v>0</v>
      </c>
      <c r="DL52" s="3">
        <f t="shared" si="2"/>
        <v>0</v>
      </c>
      <c r="DM52" s="3">
        <f>SUM($K52:$M52)*DM$4/$AF$4</f>
        <v>1636.4702116510396</v>
      </c>
      <c r="DN52" s="3">
        <v>0</v>
      </c>
      <c r="DO52" s="3">
        <v>0</v>
      </c>
      <c r="DP52" s="3">
        <f t="shared" si="25"/>
        <v>1636.4702116510396</v>
      </c>
      <c r="DQ52" s="3">
        <f>SUM($K52:$M52)*DQ$4/$AF$4</f>
        <v>3454.0110532464796</v>
      </c>
      <c r="DR52" s="3">
        <v>0</v>
      </c>
      <c r="DS52" s="3">
        <v>0</v>
      </c>
      <c r="DT52" s="3">
        <f>SUBTOTAL(9,DQ52:DS52)</f>
        <v>3454.0110532464796</v>
      </c>
      <c r="DU52" s="3">
        <f>SUM($K52:$M52)*DU$4/$AF$4</f>
        <v>17192.989720484744</v>
      </c>
      <c r="DV52" s="3">
        <v>0</v>
      </c>
      <c r="DW52" s="3">
        <v>0</v>
      </c>
      <c r="DX52" s="3">
        <f>SUBTOTAL(9,DU52:DW52)</f>
        <v>17192.989720484744</v>
      </c>
      <c r="DY52" s="3">
        <f>SUM($K52:$M52)*DY$4/$AF$4</f>
        <v>58.901280263656922</v>
      </c>
      <c r="DZ52" s="3">
        <v>0</v>
      </c>
      <c r="EA52" s="3">
        <v>0</v>
      </c>
      <c r="EB52" s="3">
        <f>SUBTOTAL(9,DY52:EA52)</f>
        <v>58.901280263656922</v>
      </c>
      <c r="EC52" s="4">
        <f>AJ52+AN52+AR52+AV52+AZ52+BD52+BH52+BL52+BP52+BT52+BX52+CB52+CF52+CJ52+CN52+CR52+CV52+CZ52+DD52+DH52+DP52+DT52+DX52+EB52</f>
        <v>116999.99999999996</v>
      </c>
      <c r="ED52" s="5">
        <f>EC52-SUM(K52:M52)</f>
        <v>0</v>
      </c>
      <c r="EE52" s="6">
        <f t="shared" si="33"/>
        <v>108506.26025398703</v>
      </c>
      <c r="EF52" s="6">
        <f t="shared" si="33"/>
        <v>4246.8698730064707</v>
      </c>
      <c r="EG52" s="6">
        <f t="shared" si="33"/>
        <v>4246.8698730064707</v>
      </c>
    </row>
    <row r="53" spans="1:137" ht="12" customHeight="1" x14ac:dyDescent="0.35">
      <c r="A53" s="34" t="s">
        <v>256</v>
      </c>
      <c r="B53" s="35">
        <v>32183</v>
      </c>
      <c r="C53" s="35" t="s">
        <v>257</v>
      </c>
      <c r="D53" s="35" t="s">
        <v>258</v>
      </c>
      <c r="E53" s="34">
        <v>421801</v>
      </c>
      <c r="F53" s="35" t="s">
        <v>259</v>
      </c>
      <c r="G53" s="8">
        <v>46127</v>
      </c>
      <c r="H53" s="8">
        <v>46141</v>
      </c>
      <c r="I53" s="36">
        <v>18</v>
      </c>
      <c r="J53" s="36">
        <v>69229</v>
      </c>
      <c r="K53" s="37"/>
      <c r="L53" s="36">
        <v>6230.61</v>
      </c>
      <c r="M53" s="36">
        <v>6230.61</v>
      </c>
      <c r="N53" s="36">
        <v>12461.22</v>
      </c>
      <c r="O53" s="36">
        <v>81690.22</v>
      </c>
      <c r="P53" s="35" t="s">
        <v>95</v>
      </c>
      <c r="Q53" s="34" t="s">
        <v>37</v>
      </c>
      <c r="R53" s="35" t="s">
        <v>260</v>
      </c>
      <c r="S53" s="35" t="s">
        <v>252</v>
      </c>
      <c r="T53" s="35" t="s">
        <v>253</v>
      </c>
      <c r="U53" s="35" t="s">
        <v>261</v>
      </c>
      <c r="V53" s="34">
        <v>998311</v>
      </c>
      <c r="W53" s="35" t="s">
        <v>262</v>
      </c>
      <c r="X53" s="34" t="s">
        <v>101</v>
      </c>
      <c r="Y53" s="35">
        <v>107</v>
      </c>
      <c r="Z53" s="35" t="s">
        <v>102</v>
      </c>
      <c r="AA53" t="s">
        <v>263</v>
      </c>
      <c r="AB53">
        <v>12461.22</v>
      </c>
      <c r="AC53">
        <v>12461.22</v>
      </c>
      <c r="AD53" s="38">
        <v>0</v>
      </c>
      <c r="AE53" t="s">
        <v>104</v>
      </c>
      <c r="AF53" t="s">
        <v>73</v>
      </c>
      <c r="AG53" s="3"/>
      <c r="AH53" s="3"/>
      <c r="AI53" s="3"/>
      <c r="AJ53" s="3">
        <f t="shared" si="7"/>
        <v>0</v>
      </c>
      <c r="AK53" s="3"/>
      <c r="AL53" s="3"/>
      <c r="AM53" s="3"/>
      <c r="AN53" s="3">
        <f t="shared" si="8"/>
        <v>0</v>
      </c>
      <c r="AO53" s="3"/>
      <c r="AP53" s="3"/>
      <c r="AQ53" s="3"/>
      <c r="AR53" s="3">
        <f t="shared" si="9"/>
        <v>0</v>
      </c>
      <c r="AS53" s="3"/>
      <c r="AT53" s="3"/>
      <c r="AU53" s="3"/>
      <c r="AV53" s="3">
        <f t="shared" si="10"/>
        <v>0</v>
      </c>
      <c r="AW53" s="3"/>
      <c r="AX53" s="3"/>
      <c r="AY53" s="3"/>
      <c r="AZ53" s="3">
        <f t="shared" si="11"/>
        <v>0</v>
      </c>
      <c r="BA53" s="3"/>
      <c r="BB53" s="3"/>
      <c r="BC53" s="3"/>
      <c r="BD53" s="3">
        <f t="shared" si="12"/>
        <v>0</v>
      </c>
      <c r="BE53" s="3"/>
      <c r="BF53" s="3"/>
      <c r="BG53" s="3"/>
      <c r="BH53" s="3">
        <f t="shared" si="4"/>
        <v>0</v>
      </c>
      <c r="BI53" s="3">
        <f>SUM($K53:$M53)*BI$4/$BI$4</f>
        <v>12461.22</v>
      </c>
      <c r="BJ53" s="3">
        <v>0</v>
      </c>
      <c r="BK53" s="3">
        <v>0</v>
      </c>
      <c r="BL53" s="3">
        <f t="shared" si="5"/>
        <v>12461.22</v>
      </c>
      <c r="BM53" s="3"/>
      <c r="BN53" s="3"/>
      <c r="BO53" s="3"/>
      <c r="BP53" s="3">
        <f t="shared" si="13"/>
        <v>0</v>
      </c>
      <c r="BQ53" s="3"/>
      <c r="BR53" s="3"/>
      <c r="BS53" s="3"/>
      <c r="BT53" s="3">
        <f t="shared" si="14"/>
        <v>0</v>
      </c>
      <c r="BU53" s="3"/>
      <c r="BV53" s="3"/>
      <c r="BW53" s="3"/>
      <c r="BX53" s="3">
        <f t="shared" si="15"/>
        <v>0</v>
      </c>
      <c r="BY53" s="3"/>
      <c r="BZ53" s="3"/>
      <c r="CA53" s="3"/>
      <c r="CB53" s="3">
        <f t="shared" si="16"/>
        <v>0</v>
      </c>
      <c r="CC53" s="3"/>
      <c r="CD53" s="3"/>
      <c r="CE53" s="3"/>
      <c r="CF53" s="3">
        <f t="shared" si="17"/>
        <v>0</v>
      </c>
      <c r="CG53" s="3"/>
      <c r="CH53" s="3"/>
      <c r="CI53" s="3"/>
      <c r="CJ53" s="3">
        <f t="shared" si="18"/>
        <v>0</v>
      </c>
      <c r="CK53" s="3"/>
      <c r="CL53" s="3"/>
      <c r="CM53" s="3"/>
      <c r="CN53" s="3">
        <f t="shared" si="19"/>
        <v>0</v>
      </c>
      <c r="CO53" s="3"/>
      <c r="CP53" s="3"/>
      <c r="CQ53" s="3"/>
      <c r="CR53" s="3">
        <f t="shared" si="20"/>
        <v>0</v>
      </c>
      <c r="CS53" s="3"/>
      <c r="CT53" s="3"/>
      <c r="CU53" s="3"/>
      <c r="CV53" s="3">
        <f t="shared" si="21"/>
        <v>0</v>
      </c>
      <c r="CW53" s="3"/>
      <c r="CX53" s="3"/>
      <c r="CY53" s="3"/>
      <c r="CZ53" s="3">
        <f t="shared" si="22"/>
        <v>0</v>
      </c>
      <c r="DA53" s="3"/>
      <c r="DB53" s="3"/>
      <c r="DC53" s="3"/>
      <c r="DD53" s="3">
        <f t="shared" si="23"/>
        <v>0</v>
      </c>
      <c r="DE53" s="3"/>
      <c r="DF53" s="3"/>
      <c r="DG53" s="3"/>
      <c r="DH53" s="3">
        <f t="shared" si="24"/>
        <v>0</v>
      </c>
      <c r="DI53" s="3"/>
      <c r="DJ53" s="3"/>
      <c r="DK53" s="3"/>
      <c r="DL53" s="3">
        <f t="shared" si="2"/>
        <v>0</v>
      </c>
      <c r="DM53" s="3"/>
      <c r="DN53" s="3"/>
      <c r="DO53" s="3"/>
      <c r="DP53" s="3">
        <f t="shared" si="25"/>
        <v>0</v>
      </c>
      <c r="DQ53" s="3"/>
      <c r="DR53" s="3"/>
      <c r="DS53" s="3"/>
      <c r="DT53" s="3">
        <f t="shared" si="26"/>
        <v>0</v>
      </c>
      <c r="DU53" s="3"/>
      <c r="DV53" s="3"/>
      <c r="DW53" s="3"/>
      <c r="DX53" s="3">
        <f t="shared" si="27"/>
        <v>0</v>
      </c>
      <c r="DY53" s="3"/>
      <c r="DZ53" s="3"/>
      <c r="EA53" s="3"/>
      <c r="EB53" s="3">
        <f t="shared" si="28"/>
        <v>0</v>
      </c>
      <c r="EC53" s="4">
        <f t="shared" si="6"/>
        <v>12461.22</v>
      </c>
      <c r="ED53" s="5">
        <f t="shared" si="29"/>
        <v>0</v>
      </c>
      <c r="EE53" s="6">
        <f t="shared" si="33"/>
        <v>12461.22</v>
      </c>
      <c r="EF53" s="6">
        <f t="shared" si="33"/>
        <v>0</v>
      </c>
      <c r="EG53" s="6">
        <f t="shared" si="33"/>
        <v>0</v>
      </c>
    </row>
    <row r="54" spans="1:137" ht="12" customHeight="1" x14ac:dyDescent="0.35">
      <c r="A54" s="34" t="s">
        <v>256</v>
      </c>
      <c r="B54" s="35">
        <v>32183</v>
      </c>
      <c r="C54" s="35" t="s">
        <v>257</v>
      </c>
      <c r="D54" s="35" t="s">
        <v>264</v>
      </c>
      <c r="E54" s="34">
        <v>421806</v>
      </c>
      <c r="F54" s="35" t="s">
        <v>265</v>
      </c>
      <c r="G54" s="8">
        <v>46123</v>
      </c>
      <c r="H54" s="8">
        <v>46141</v>
      </c>
      <c r="I54" s="36">
        <v>18</v>
      </c>
      <c r="J54" s="36">
        <v>69979</v>
      </c>
      <c r="K54" s="37"/>
      <c r="L54" s="36">
        <v>6298.11</v>
      </c>
      <c r="M54" s="36">
        <v>6298.11</v>
      </c>
      <c r="N54" s="36">
        <v>12596.22</v>
      </c>
      <c r="O54" s="36">
        <v>82575.22</v>
      </c>
      <c r="P54" s="35" t="s">
        <v>95</v>
      </c>
      <c r="Q54" s="34" t="s">
        <v>47</v>
      </c>
      <c r="R54" s="35" t="s">
        <v>260</v>
      </c>
      <c r="S54" s="35" t="s">
        <v>252</v>
      </c>
      <c r="T54" s="35" t="s">
        <v>253</v>
      </c>
      <c r="U54" s="35" t="s">
        <v>261</v>
      </c>
      <c r="V54" s="34">
        <v>998311</v>
      </c>
      <c r="W54" s="35" t="s">
        <v>266</v>
      </c>
      <c r="X54" s="34" t="s">
        <v>101</v>
      </c>
      <c r="Y54" s="35">
        <v>107</v>
      </c>
      <c r="Z54" s="35" t="s">
        <v>102</v>
      </c>
      <c r="AA54" t="s">
        <v>267</v>
      </c>
      <c r="AB54">
        <v>12596.22</v>
      </c>
      <c r="AC54">
        <v>12596.22</v>
      </c>
      <c r="AD54" s="38">
        <v>0</v>
      </c>
      <c r="AE54" t="s">
        <v>104</v>
      </c>
      <c r="AF54" t="s">
        <v>73</v>
      </c>
      <c r="AG54" s="3"/>
      <c r="AH54" s="3"/>
      <c r="AI54" s="3"/>
      <c r="AJ54" s="3">
        <f t="shared" si="7"/>
        <v>0</v>
      </c>
      <c r="AK54" s="3"/>
      <c r="AL54" s="3"/>
      <c r="AM54" s="3"/>
      <c r="AN54" s="3">
        <f t="shared" si="8"/>
        <v>0</v>
      </c>
      <c r="AO54" s="3"/>
      <c r="AP54" s="3"/>
      <c r="AQ54" s="3"/>
      <c r="AR54" s="3">
        <f t="shared" si="9"/>
        <v>0</v>
      </c>
      <c r="AS54" s="3"/>
      <c r="AT54" s="3"/>
      <c r="AU54" s="3"/>
      <c r="AV54" s="3">
        <f t="shared" si="10"/>
        <v>0</v>
      </c>
      <c r="AW54" s="3"/>
      <c r="AX54" s="3"/>
      <c r="AY54" s="3"/>
      <c r="AZ54" s="3">
        <f t="shared" si="11"/>
        <v>0</v>
      </c>
      <c r="BA54" s="3"/>
      <c r="BB54" s="3"/>
      <c r="BC54" s="3"/>
      <c r="BD54" s="3">
        <f t="shared" si="12"/>
        <v>0</v>
      </c>
      <c r="BE54" s="3"/>
      <c r="BF54" s="3"/>
      <c r="BG54" s="3"/>
      <c r="BH54" s="3">
        <f t="shared" si="4"/>
        <v>0</v>
      </c>
      <c r="BI54" s="3"/>
      <c r="BJ54" s="3"/>
      <c r="BK54" s="3"/>
      <c r="BL54" s="3">
        <f t="shared" si="5"/>
        <v>0</v>
      </c>
      <c r="BM54" s="3"/>
      <c r="BN54" s="3"/>
      <c r="BO54" s="3"/>
      <c r="BP54" s="3">
        <f t="shared" si="13"/>
        <v>0</v>
      </c>
      <c r="BQ54" s="3"/>
      <c r="BR54" s="3"/>
      <c r="BS54" s="3"/>
      <c r="BT54" s="3">
        <f t="shared" si="14"/>
        <v>0</v>
      </c>
      <c r="BU54" s="3"/>
      <c r="BV54" s="3"/>
      <c r="BW54" s="3"/>
      <c r="BX54" s="3">
        <f t="shared" si="15"/>
        <v>0</v>
      </c>
      <c r="BY54" s="3"/>
      <c r="BZ54" s="3"/>
      <c r="CA54" s="3"/>
      <c r="CB54" s="3">
        <f t="shared" si="16"/>
        <v>0</v>
      </c>
      <c r="CC54" s="3"/>
      <c r="CD54" s="3"/>
      <c r="CE54" s="3"/>
      <c r="CF54" s="3">
        <f t="shared" si="17"/>
        <v>0</v>
      </c>
      <c r="CG54" s="3"/>
      <c r="CH54" s="3"/>
      <c r="CI54" s="3"/>
      <c r="CJ54" s="3">
        <f t="shared" si="18"/>
        <v>0</v>
      </c>
      <c r="CK54" s="3"/>
      <c r="CL54" s="3"/>
      <c r="CM54" s="3"/>
      <c r="CN54" s="3">
        <f t="shared" si="19"/>
        <v>0</v>
      </c>
      <c r="CO54" s="3"/>
      <c r="CP54" s="3"/>
      <c r="CQ54" s="3"/>
      <c r="CR54" s="3">
        <f t="shared" si="20"/>
        <v>0</v>
      </c>
      <c r="CS54" s="3"/>
      <c r="CT54" s="3"/>
      <c r="CU54" s="3"/>
      <c r="CV54" s="3">
        <f t="shared" si="21"/>
        <v>0</v>
      </c>
      <c r="CW54" s="3">
        <f>SUM($K54:$M54)*CW$4/$CW$4</f>
        <v>12596.22</v>
      </c>
      <c r="CX54" s="3">
        <v>0</v>
      </c>
      <c r="CY54" s="3">
        <v>0</v>
      </c>
      <c r="CZ54" s="3">
        <f t="shared" si="22"/>
        <v>12596.22</v>
      </c>
      <c r="DA54" s="3"/>
      <c r="DB54" s="3"/>
      <c r="DC54" s="3"/>
      <c r="DD54" s="3">
        <f t="shared" si="23"/>
        <v>0</v>
      </c>
      <c r="DE54" s="3"/>
      <c r="DF54" s="3"/>
      <c r="DG54" s="3"/>
      <c r="DH54" s="3">
        <f t="shared" si="24"/>
        <v>0</v>
      </c>
      <c r="DI54" s="3"/>
      <c r="DJ54" s="3"/>
      <c r="DK54" s="3"/>
      <c r="DL54" s="3">
        <f t="shared" si="2"/>
        <v>0</v>
      </c>
      <c r="DM54" s="3"/>
      <c r="DN54" s="3"/>
      <c r="DO54" s="3"/>
      <c r="DP54" s="3">
        <f t="shared" si="25"/>
        <v>0</v>
      </c>
      <c r="DQ54" s="3"/>
      <c r="DR54" s="3"/>
      <c r="DS54" s="3"/>
      <c r="DT54" s="3">
        <f t="shared" si="26"/>
        <v>0</v>
      </c>
      <c r="DU54" s="3"/>
      <c r="DV54" s="3"/>
      <c r="DW54" s="3"/>
      <c r="DX54" s="3">
        <f t="shared" si="27"/>
        <v>0</v>
      </c>
      <c r="DY54" s="3"/>
      <c r="DZ54" s="3"/>
      <c r="EA54" s="3"/>
      <c r="EB54" s="3">
        <f t="shared" si="28"/>
        <v>0</v>
      </c>
      <c r="EC54" s="4">
        <f t="shared" si="6"/>
        <v>12596.22</v>
      </c>
      <c r="ED54" s="5">
        <f t="shared" si="29"/>
        <v>0</v>
      </c>
      <c r="EE54" s="6">
        <f t="shared" si="33"/>
        <v>12596.22</v>
      </c>
      <c r="EF54" s="6">
        <f t="shared" si="33"/>
        <v>0</v>
      </c>
      <c r="EG54" s="6">
        <f t="shared" si="33"/>
        <v>0</v>
      </c>
    </row>
    <row r="55" spans="1:137" ht="12" customHeight="1" x14ac:dyDescent="0.35">
      <c r="A55" s="34" t="s">
        <v>268</v>
      </c>
      <c r="B55" s="35">
        <v>32907</v>
      </c>
      <c r="C55" s="35" t="s">
        <v>269</v>
      </c>
      <c r="D55" s="35" t="s">
        <v>264</v>
      </c>
      <c r="E55" s="34">
        <v>421806</v>
      </c>
      <c r="F55" s="35" t="s">
        <v>270</v>
      </c>
      <c r="G55" s="8">
        <v>46126</v>
      </c>
      <c r="H55" s="8">
        <v>46141</v>
      </c>
      <c r="I55" s="36">
        <v>18</v>
      </c>
      <c r="J55" s="36">
        <v>48922.09</v>
      </c>
      <c r="K55" s="36">
        <v>8805.9761999999992</v>
      </c>
      <c r="L55" s="37"/>
      <c r="M55" s="37"/>
      <c r="N55" s="36">
        <v>8805.9761999999992</v>
      </c>
      <c r="O55" s="36">
        <v>57728.066200000001</v>
      </c>
      <c r="P55" s="35" t="s">
        <v>95</v>
      </c>
      <c r="Q55" s="34" t="s">
        <v>36</v>
      </c>
      <c r="R55" s="35" t="s">
        <v>260</v>
      </c>
      <c r="S55" s="35" t="s">
        <v>252</v>
      </c>
      <c r="T55" s="35" t="s">
        <v>253</v>
      </c>
      <c r="U55" s="35" t="s">
        <v>271</v>
      </c>
      <c r="V55" s="34">
        <v>998516</v>
      </c>
      <c r="W55" s="35" t="s">
        <v>272</v>
      </c>
      <c r="X55" s="34" t="s">
        <v>101</v>
      </c>
      <c r="Y55" s="35">
        <v>107</v>
      </c>
      <c r="Z55" s="35" t="s">
        <v>102</v>
      </c>
      <c r="AA55" t="s">
        <v>273</v>
      </c>
      <c r="AB55">
        <v>8805.9761999999992</v>
      </c>
      <c r="AC55">
        <v>8805.98</v>
      </c>
      <c r="AD55" s="38">
        <v>0</v>
      </c>
      <c r="AE55" t="s">
        <v>104</v>
      </c>
      <c r="AF55" t="s">
        <v>73</v>
      </c>
      <c r="AG55" s="3"/>
      <c r="AH55" s="3"/>
      <c r="AI55" s="3"/>
      <c r="AJ55" s="3">
        <f t="shared" si="7"/>
        <v>0</v>
      </c>
      <c r="AK55" s="3"/>
      <c r="AL55" s="3"/>
      <c r="AM55" s="3"/>
      <c r="AN55" s="3">
        <f t="shared" si="8"/>
        <v>0</v>
      </c>
      <c r="AO55" s="3"/>
      <c r="AP55" s="3"/>
      <c r="AQ55" s="3"/>
      <c r="AR55" s="3">
        <f t="shared" si="9"/>
        <v>0</v>
      </c>
      <c r="AS55" s="3"/>
      <c r="AT55" s="3"/>
      <c r="AU55" s="3"/>
      <c r="AV55" s="3">
        <f t="shared" si="10"/>
        <v>0</v>
      </c>
      <c r="AW55" s="3"/>
      <c r="AX55" s="3"/>
      <c r="AY55" s="3"/>
      <c r="AZ55" s="3">
        <f t="shared" si="11"/>
        <v>0</v>
      </c>
      <c r="BA55" s="3"/>
      <c r="BB55" s="3"/>
      <c r="BC55" s="3"/>
      <c r="BD55" s="3">
        <f t="shared" si="12"/>
        <v>0</v>
      </c>
      <c r="BE55" s="3">
        <f>$K55*BE$4/$BE$4</f>
        <v>8805.9761999999992</v>
      </c>
      <c r="BF55" s="3">
        <f>$L55*BE$4/$BE$4</f>
        <v>0</v>
      </c>
      <c r="BG55" s="3">
        <f>$M55*BE$4/$BE$4</f>
        <v>0</v>
      </c>
      <c r="BH55" s="3">
        <f t="shared" si="4"/>
        <v>8805.9761999999992</v>
      </c>
      <c r="BI55" s="3"/>
      <c r="BJ55" s="3"/>
      <c r="BK55" s="3"/>
      <c r="BL55" s="3">
        <f t="shared" si="5"/>
        <v>0</v>
      </c>
      <c r="BM55" s="3"/>
      <c r="BN55" s="3"/>
      <c r="BO55" s="3"/>
      <c r="BP55" s="3">
        <f t="shared" si="13"/>
        <v>0</v>
      </c>
      <c r="BQ55" s="3"/>
      <c r="BR55" s="3"/>
      <c r="BS55" s="3"/>
      <c r="BT55" s="3">
        <f t="shared" si="14"/>
        <v>0</v>
      </c>
      <c r="BU55" s="3"/>
      <c r="BV55" s="3"/>
      <c r="BW55" s="3"/>
      <c r="BX55" s="3">
        <f t="shared" si="15"/>
        <v>0</v>
      </c>
      <c r="BY55" s="3"/>
      <c r="BZ55" s="3"/>
      <c r="CA55" s="3"/>
      <c r="CB55" s="3">
        <f t="shared" si="16"/>
        <v>0</v>
      </c>
      <c r="CC55" s="3"/>
      <c r="CD55" s="3"/>
      <c r="CE55" s="3"/>
      <c r="CF55" s="3">
        <f t="shared" si="17"/>
        <v>0</v>
      </c>
      <c r="CG55" s="3"/>
      <c r="CH55" s="3"/>
      <c r="CI55" s="3"/>
      <c r="CJ55" s="3">
        <f t="shared" si="18"/>
        <v>0</v>
      </c>
      <c r="CK55" s="3"/>
      <c r="CL55" s="3"/>
      <c r="CM55" s="3"/>
      <c r="CN55" s="3">
        <f t="shared" si="19"/>
        <v>0</v>
      </c>
      <c r="CO55" s="3"/>
      <c r="CP55" s="3"/>
      <c r="CQ55" s="3"/>
      <c r="CR55" s="3">
        <f t="shared" si="20"/>
        <v>0</v>
      </c>
      <c r="CS55" s="3"/>
      <c r="CT55" s="3"/>
      <c r="CU55" s="3"/>
      <c r="CV55" s="3">
        <f t="shared" si="21"/>
        <v>0</v>
      </c>
      <c r="CW55" s="3"/>
      <c r="CX55" s="3"/>
      <c r="CY55" s="3"/>
      <c r="CZ55" s="3">
        <f t="shared" si="22"/>
        <v>0</v>
      </c>
      <c r="DA55" s="3"/>
      <c r="DB55" s="3"/>
      <c r="DC55" s="3"/>
      <c r="DD55" s="3">
        <f t="shared" si="23"/>
        <v>0</v>
      </c>
      <c r="DE55" s="3"/>
      <c r="DF55" s="3"/>
      <c r="DG55" s="3"/>
      <c r="DH55" s="3">
        <f t="shared" si="24"/>
        <v>0</v>
      </c>
      <c r="DI55" s="3"/>
      <c r="DJ55" s="3"/>
      <c r="DK55" s="3"/>
      <c r="DL55" s="3">
        <f t="shared" si="2"/>
        <v>0</v>
      </c>
      <c r="DM55" s="3"/>
      <c r="DN55" s="3"/>
      <c r="DO55" s="3"/>
      <c r="DP55" s="3">
        <f t="shared" si="25"/>
        <v>0</v>
      </c>
      <c r="DQ55" s="3"/>
      <c r="DR55" s="3"/>
      <c r="DS55" s="3"/>
      <c r="DT55" s="3">
        <f t="shared" si="26"/>
        <v>0</v>
      </c>
      <c r="DU55" s="3"/>
      <c r="DV55" s="3"/>
      <c r="DW55" s="3"/>
      <c r="DX55" s="3">
        <f t="shared" si="27"/>
        <v>0</v>
      </c>
      <c r="DY55" s="3"/>
      <c r="DZ55" s="3"/>
      <c r="EA55" s="3"/>
      <c r="EB55" s="3">
        <f t="shared" si="28"/>
        <v>0</v>
      </c>
      <c r="EC55" s="4">
        <f t="shared" si="6"/>
        <v>8805.9761999999992</v>
      </c>
      <c r="ED55" s="5">
        <f t="shared" si="29"/>
        <v>0</v>
      </c>
      <c r="EE55" s="6">
        <f t="shared" si="33"/>
        <v>8805.9761999999992</v>
      </c>
      <c r="EF55" s="6">
        <f t="shared" si="33"/>
        <v>0</v>
      </c>
      <c r="EG55" s="6">
        <f t="shared" si="33"/>
        <v>0</v>
      </c>
    </row>
    <row r="56" spans="1:137" ht="12" customHeight="1" x14ac:dyDescent="0.35">
      <c r="A56" s="34" t="s">
        <v>274</v>
      </c>
      <c r="B56" s="35">
        <v>39529</v>
      </c>
      <c r="C56" s="35" t="s">
        <v>275</v>
      </c>
      <c r="D56" s="35" t="s">
        <v>276</v>
      </c>
      <c r="E56" s="34">
        <v>421419</v>
      </c>
      <c r="F56" s="35" t="s">
        <v>277</v>
      </c>
      <c r="G56" s="8">
        <v>46132</v>
      </c>
      <c r="H56" s="8">
        <v>46141</v>
      </c>
      <c r="I56" s="36">
        <v>18</v>
      </c>
      <c r="J56" s="36">
        <v>31877.89</v>
      </c>
      <c r="K56" s="36">
        <v>5738.0201999999999</v>
      </c>
      <c r="L56" s="37"/>
      <c r="M56" s="37"/>
      <c r="N56" s="36">
        <v>5738.0201999999999</v>
      </c>
      <c r="O56" s="36">
        <v>37615.910199999998</v>
      </c>
      <c r="P56" s="35" t="s">
        <v>95</v>
      </c>
      <c r="Q56" s="34" t="s">
        <v>185</v>
      </c>
      <c r="R56" s="35" t="s">
        <v>139</v>
      </c>
      <c r="S56" s="35" t="s">
        <v>252</v>
      </c>
      <c r="T56" s="35" t="s">
        <v>253</v>
      </c>
      <c r="U56" s="35" t="s">
        <v>278</v>
      </c>
      <c r="V56" s="34">
        <v>998319</v>
      </c>
      <c r="W56" s="35" t="s">
        <v>279</v>
      </c>
      <c r="X56" s="34" t="s">
        <v>101</v>
      </c>
      <c r="Y56" s="35">
        <v>107</v>
      </c>
      <c r="Z56" s="35" t="s">
        <v>102</v>
      </c>
      <c r="AA56" t="s">
        <v>280</v>
      </c>
      <c r="AB56">
        <v>5738.0201999999999</v>
      </c>
      <c r="AC56">
        <v>5738.02</v>
      </c>
      <c r="AD56" s="38">
        <v>0</v>
      </c>
      <c r="AE56" t="s">
        <v>104</v>
      </c>
      <c r="AF56" t="s">
        <v>73</v>
      </c>
      <c r="AG56" s="3">
        <f>SUM($K56:$M56)*AG$4/$AF$4</f>
        <v>212.44786517078833</v>
      </c>
      <c r="AH56" s="3">
        <v>0</v>
      </c>
      <c r="AI56" s="3">
        <v>0</v>
      </c>
      <c r="AJ56" s="3">
        <f>SUBTOTAL(9,AG56:AI56)</f>
        <v>212.44786517078833</v>
      </c>
      <c r="AK56" s="3">
        <f>SUM($K56:$M56)*AK$4/$AF$4</f>
        <v>1.7678413616631183</v>
      </c>
      <c r="AL56" s="3">
        <v>0</v>
      </c>
      <c r="AM56" s="3">
        <v>0</v>
      </c>
      <c r="AN56" s="3">
        <f>SUBTOTAL(9,AK56:AM56)</f>
        <v>1.7678413616631183</v>
      </c>
      <c r="AO56" s="3">
        <f>SUM($K56:$M56)*AO$4/$AF$4</f>
        <v>87.566761917013636</v>
      </c>
      <c r="AP56" s="3">
        <v>0</v>
      </c>
      <c r="AQ56" s="3">
        <v>0</v>
      </c>
      <c r="AR56" s="3">
        <f>SUBTOTAL(9,AO56:AQ56)</f>
        <v>87.566761917013636</v>
      </c>
      <c r="AS56" s="3">
        <f>SUM($K56:$M56)*AS$4/$AF$4</f>
        <v>76.674187416111934</v>
      </c>
      <c r="AT56" s="3">
        <v>0</v>
      </c>
      <c r="AU56" s="3">
        <v>0</v>
      </c>
      <c r="AV56" s="3">
        <f>SUBTOTAL(9,AS56:AU56)</f>
        <v>76.674187416111934</v>
      </c>
      <c r="AW56" s="3">
        <f>SUM($K56:$M56)*AW$4/$AF$4</f>
        <v>8.9938509765068027</v>
      </c>
      <c r="AX56" s="3">
        <v>0</v>
      </c>
      <c r="AY56" s="3">
        <v>0</v>
      </c>
      <c r="AZ56" s="3">
        <f>SUBTOTAL(9,AW56:AY56)</f>
        <v>8.9938509765068027</v>
      </c>
      <c r="BA56" s="3">
        <f>SUM($K56:$M56)*BA$4/$AF$4</f>
        <v>96.036725029561168</v>
      </c>
      <c r="BB56" s="3">
        <v>0</v>
      </c>
      <c r="BC56" s="3">
        <v>0</v>
      </c>
      <c r="BD56" s="3">
        <f>SUBTOTAL(9,BA56:BC56)</f>
        <v>96.036725029561168</v>
      </c>
      <c r="BE56" s="3">
        <f>$K56*BE$4/$AF$4</f>
        <v>416.55769432619763</v>
      </c>
      <c r="BF56" s="3">
        <f>$L56*BE$4/$AF$4</f>
        <v>0</v>
      </c>
      <c r="BG56" s="3">
        <f>$M56*BE$4/$AF$4</f>
        <v>0</v>
      </c>
      <c r="BH56" s="3">
        <f>SUBTOTAL(9,BE56:BG56)</f>
        <v>416.55769432619763</v>
      </c>
      <c r="BI56" s="3">
        <f>SUM($K56:$M56)*BI$4/$AF$4</f>
        <v>241.60725358829643</v>
      </c>
      <c r="BJ56" s="3">
        <v>0</v>
      </c>
      <c r="BK56" s="3">
        <v>0</v>
      </c>
      <c r="BL56" s="3">
        <f>SUBTOTAL(9,BI56:BK56)</f>
        <v>241.60725358829643</v>
      </c>
      <c r="BM56" s="3">
        <f>SUM($K56:$M56)*BM$4/$AF$4</f>
        <v>1109.4135158572758</v>
      </c>
      <c r="BN56" s="3">
        <v>0</v>
      </c>
      <c r="BO56" s="3">
        <v>0</v>
      </c>
      <c r="BP56" s="3">
        <f>SUBTOTAL(9,BM56:BO56)</f>
        <v>1109.4135158572758</v>
      </c>
      <c r="BQ56" s="3">
        <f>SUM($K56:$M56)*BQ$4/$AF$4</f>
        <v>99.444822770093708</v>
      </c>
      <c r="BR56" s="3">
        <v>0</v>
      </c>
      <c r="BS56" s="3">
        <v>0</v>
      </c>
      <c r="BT56" s="3">
        <f>SUBTOTAL(9,BQ56:BS56)</f>
        <v>99.444822770093708</v>
      </c>
      <c r="BU56" s="3">
        <f>SUM($K56:$M56)*BU$4/$AF$4</f>
        <v>15.78021169041852</v>
      </c>
      <c r="BV56" s="3">
        <v>0</v>
      </c>
      <c r="BW56" s="3">
        <v>0</v>
      </c>
      <c r="BX56" s="3">
        <f>SUBTOTAL(9,BU56:BW56)</f>
        <v>15.78021169041852</v>
      </c>
      <c r="BY56" s="3">
        <f>SUM($K56:$M56)*BY$4/$AF$4</f>
        <v>38.038135229124791</v>
      </c>
      <c r="BZ56" s="3">
        <v>0</v>
      </c>
      <c r="CA56" s="3">
        <v>0</v>
      </c>
      <c r="CB56" s="3">
        <f>SUBTOTAL(9,BY56:CA56)</f>
        <v>38.038135229124791</v>
      </c>
      <c r="CC56" s="3">
        <f>SUM($K56:$M56)*CC$4/$AF$4</f>
        <v>31.492077109999766</v>
      </c>
      <c r="CD56" s="3">
        <v>0</v>
      </c>
      <c r="CE56" s="3">
        <v>0</v>
      </c>
      <c r="CF56" s="3">
        <f>SUBTOTAL(9,CC56:CE56)</f>
        <v>31.492077109999766</v>
      </c>
      <c r="CG56" s="3">
        <f>SUM($K56:$M56)*CG$4/$AF$4</f>
        <v>36.079480221934283</v>
      </c>
      <c r="CH56" s="3">
        <v>0</v>
      </c>
      <c r="CI56" s="3">
        <v>0</v>
      </c>
      <c r="CJ56" s="3">
        <f>SUBTOTAL(9,CG56:CI56)</f>
        <v>36.079480221934283</v>
      </c>
      <c r="CK56" s="3">
        <f>SUM($K56:$M56)*CK$4/$AF$4</f>
        <v>74.236348959555372</v>
      </c>
      <c r="CL56" s="3">
        <v>0</v>
      </c>
      <c r="CM56" s="3">
        <v>0</v>
      </c>
      <c r="CN56" s="3">
        <f>SUBTOTAL(9,CK56:CM56)</f>
        <v>74.236348959555372</v>
      </c>
      <c r="CO56" s="3">
        <f>SUM($K56:$M56)*CO$4/$AF$4</f>
        <v>144.79308188277648</v>
      </c>
      <c r="CP56" s="3">
        <v>0</v>
      </c>
      <c r="CQ56" s="3">
        <v>0</v>
      </c>
      <c r="CR56" s="3">
        <f>SUBTOTAL(9,CO56:CQ56)</f>
        <v>144.79308188277648</v>
      </c>
      <c r="CS56" s="3">
        <f>SUM($K56:$M56)*CS$4/$AF$4</f>
        <v>425.6145252520663</v>
      </c>
      <c r="CT56" s="3">
        <v>0</v>
      </c>
      <c r="CU56" s="3">
        <v>0</v>
      </c>
      <c r="CV56" s="3">
        <f>SUBTOTAL(9,CS56:CU56)</f>
        <v>425.6145252520663</v>
      </c>
      <c r="CW56" s="3">
        <f>SUM($K56:$M56)*CW$4/$AF$4</f>
        <v>1413.2000828277269</v>
      </c>
      <c r="CX56" s="3">
        <v>0</v>
      </c>
      <c r="CY56" s="3">
        <v>0</v>
      </c>
      <c r="CZ56" s="3">
        <f>SUBTOTAL(9,CW56:CY56)</f>
        <v>1413.2000828277269</v>
      </c>
      <c r="DA56" s="3">
        <f>SUM($K56:$M56)*DA$4/$AF$4</f>
        <v>96.305874554725492</v>
      </c>
      <c r="DB56" s="3">
        <v>0</v>
      </c>
      <c r="DC56" s="3">
        <v>0</v>
      </c>
      <c r="DD56" s="3">
        <f>SUBTOTAL(9,DA56:DC56)</f>
        <v>96.305874554725492</v>
      </c>
      <c r="DE56" s="3">
        <f>SUM($K56:$M56)*DE$4/$AF$4</f>
        <v>16.234963206913342</v>
      </c>
      <c r="DF56" s="3">
        <v>0</v>
      </c>
      <c r="DG56" s="3">
        <v>0</v>
      </c>
      <c r="DH56" s="3">
        <f>SUBTOTAL(9,DE56:DG56)</f>
        <v>16.234963206913342</v>
      </c>
      <c r="DI56" s="3">
        <f>SUM($K56:$M56)*DI$4/$AF$4</f>
        <v>0</v>
      </c>
      <c r="DJ56" s="3">
        <v>0</v>
      </c>
      <c r="DK56" s="3">
        <v>0</v>
      </c>
      <c r="DL56" s="3">
        <f t="shared" si="2"/>
        <v>0</v>
      </c>
      <c r="DM56" s="3">
        <f>SUM($K56:$M56)*DM$4/$AF$4</f>
        <v>80.25725753121317</v>
      </c>
      <c r="DN56" s="3">
        <v>0</v>
      </c>
      <c r="DO56" s="3">
        <v>0</v>
      </c>
      <c r="DP56" s="3">
        <f t="shared" si="25"/>
        <v>80.25725753121317</v>
      </c>
      <c r="DQ56" s="3">
        <f>SUM($K56:$M56)*DQ$4/$AF$4</f>
        <v>169.39474525257756</v>
      </c>
      <c r="DR56" s="3">
        <v>0</v>
      </c>
      <c r="DS56" s="3">
        <v>0</v>
      </c>
      <c r="DT56" s="3">
        <f>SUBTOTAL(9,DQ56:DS56)</f>
        <v>169.39474525257756</v>
      </c>
      <c r="DU56" s="3">
        <f>SUM($K56:$M56)*DU$4/$AF$4</f>
        <v>843.19420781652843</v>
      </c>
      <c r="DV56" s="3">
        <v>0</v>
      </c>
      <c r="DW56" s="3">
        <v>0</v>
      </c>
      <c r="DX56" s="3">
        <f>SUBTOTAL(9,DU56:DW56)</f>
        <v>843.19420781652843</v>
      </c>
      <c r="DY56" s="3">
        <f>SUM($K56:$M56)*DY$4/$AF$4</f>
        <v>2.8886900509292714</v>
      </c>
      <c r="DZ56" s="3">
        <v>0</v>
      </c>
      <c r="EA56" s="3">
        <v>0</v>
      </c>
      <c r="EB56" s="3">
        <f>SUBTOTAL(9,DY56:EA56)</f>
        <v>2.8886900509292714</v>
      </c>
      <c r="EC56" s="4">
        <f>AJ56+AN56+AR56+AV56+AZ56+BD56+BH56+BL56+BP56+BT56+BX56+CB56+CF56+CJ56+CN56+CR56+CV56+CZ56+DD56+DH56+DP56+DT56+DX56+EB56</f>
        <v>5738.0201999999981</v>
      </c>
      <c r="ED56" s="5">
        <f>EC56-SUM(K56:M56)</f>
        <v>0</v>
      </c>
      <c r="EE56" s="6">
        <f t="shared" si="33"/>
        <v>5738.0201999999981</v>
      </c>
      <c r="EF56" s="6">
        <f t="shared" si="33"/>
        <v>0</v>
      </c>
      <c r="EG56" s="6">
        <f t="shared" si="33"/>
        <v>0</v>
      </c>
    </row>
    <row r="57" spans="1:137" ht="12" customHeight="1" x14ac:dyDescent="0.35">
      <c r="A57" s="34" t="s">
        <v>281</v>
      </c>
      <c r="B57" s="35">
        <v>32828</v>
      </c>
      <c r="C57" s="35" t="s">
        <v>282</v>
      </c>
      <c r="D57" s="35" t="s">
        <v>283</v>
      </c>
      <c r="E57" s="34">
        <v>416101</v>
      </c>
      <c r="F57" s="35" t="s">
        <v>284</v>
      </c>
      <c r="G57" s="8">
        <v>46132</v>
      </c>
      <c r="H57" s="8">
        <v>46141</v>
      </c>
      <c r="I57" s="36">
        <v>18</v>
      </c>
      <c r="J57" s="36">
        <v>11000</v>
      </c>
      <c r="K57" s="36">
        <v>1980</v>
      </c>
      <c r="L57" s="37"/>
      <c r="M57" s="37"/>
      <c r="N57" s="36">
        <v>1980</v>
      </c>
      <c r="O57" s="36">
        <v>12980</v>
      </c>
      <c r="P57" s="35" t="s">
        <v>95</v>
      </c>
      <c r="Q57" s="34" t="s">
        <v>185</v>
      </c>
      <c r="R57" s="35" t="s">
        <v>285</v>
      </c>
      <c r="S57" s="35" t="s">
        <v>252</v>
      </c>
      <c r="T57" s="35" t="s">
        <v>253</v>
      </c>
      <c r="U57" s="37"/>
      <c r="V57" s="34">
        <v>997119</v>
      </c>
      <c r="W57" s="35" t="s">
        <v>286</v>
      </c>
      <c r="X57" s="34" t="s">
        <v>101</v>
      </c>
      <c r="Y57" s="35">
        <v>107</v>
      </c>
      <c r="Z57" s="35" t="s">
        <v>102</v>
      </c>
      <c r="AA57" t="s">
        <v>287</v>
      </c>
      <c r="AB57">
        <v>1980</v>
      </c>
      <c r="AC57">
        <v>1980</v>
      </c>
      <c r="AD57" s="38">
        <v>0</v>
      </c>
      <c r="AE57" t="s">
        <v>104</v>
      </c>
      <c r="AF57" t="s">
        <v>73</v>
      </c>
      <c r="AG57" s="3">
        <f>SUM($K57:$M57)*AG$4/$AF$4</f>
        <v>73.308695050979594</v>
      </c>
      <c r="AH57" s="3">
        <v>0</v>
      </c>
      <c r="AI57" s="3">
        <v>0</v>
      </c>
      <c r="AJ57" s="3">
        <f>SUBTOTAL(9,AG57:AI57)</f>
        <v>73.308695050979594</v>
      </c>
      <c r="AK57" s="3">
        <f>SUM($K57:$M57)*AK$4/$AF$4</f>
        <v>0.61002327877705531</v>
      </c>
      <c r="AL57" s="3">
        <v>0</v>
      </c>
      <c r="AM57" s="3">
        <v>0</v>
      </c>
      <c r="AN57" s="3">
        <f>SUBTOTAL(9,AK57:AM57)</f>
        <v>0.61002327877705531</v>
      </c>
      <c r="AO57" s="3">
        <f>SUM($K57:$M57)*AO$4/$AF$4</f>
        <v>30.21637821973631</v>
      </c>
      <c r="AP57" s="3">
        <v>0</v>
      </c>
      <c r="AQ57" s="3">
        <v>0</v>
      </c>
      <c r="AR57" s="3">
        <f>SUBTOTAL(9,AO57:AQ57)</f>
        <v>30.21637821973631</v>
      </c>
      <c r="AS57" s="3">
        <f>SUM($K57:$M57)*AS$4/$AF$4</f>
        <v>26.457712903119727</v>
      </c>
      <c r="AT57" s="3">
        <v>0</v>
      </c>
      <c r="AU57" s="3">
        <v>0</v>
      </c>
      <c r="AV57" s="3">
        <f>SUBTOTAL(9,AS57:AU57)</f>
        <v>26.457712903119727</v>
      </c>
      <c r="AW57" s="3">
        <f>SUM($K57:$M57)*AW$4/$AF$4</f>
        <v>3.1034789548986721</v>
      </c>
      <c r="AX57" s="3">
        <v>0</v>
      </c>
      <c r="AY57" s="3">
        <v>0</v>
      </c>
      <c r="AZ57" s="3">
        <f>SUBTOTAL(9,AW57:AY57)</f>
        <v>3.1034789548986721</v>
      </c>
      <c r="BA57" s="3">
        <f>SUM($K57:$M57)*BA$4/$AF$4</f>
        <v>33.139080890396848</v>
      </c>
      <c r="BB57" s="3">
        <v>0</v>
      </c>
      <c r="BC57" s="3">
        <v>0</v>
      </c>
      <c r="BD57" s="3">
        <f>SUBTOTAL(9,BA57:BC57)</f>
        <v>33.139080890396848</v>
      </c>
      <c r="BE57" s="3">
        <f>$K57*BE$4/$AF$4</f>
        <v>143.74021108637282</v>
      </c>
      <c r="BF57" s="3">
        <f>$L57*BE$4/$AF$4</f>
        <v>0</v>
      </c>
      <c r="BG57" s="3">
        <f>$M57*BE$4/$AF$4</f>
        <v>0</v>
      </c>
      <c r="BH57" s="3">
        <f>SUBTOTAL(9,BE57:BG57)</f>
        <v>143.74021108637282</v>
      </c>
      <c r="BI57" s="3">
        <f>SUM($K57:$M57)*BI$4/$AF$4</f>
        <v>83.370630536439549</v>
      </c>
      <c r="BJ57" s="3">
        <v>0</v>
      </c>
      <c r="BK57" s="3">
        <v>0</v>
      </c>
      <c r="BL57" s="3">
        <f>SUBTOTAL(9,BI57:BK57)</f>
        <v>83.370630536439549</v>
      </c>
      <c r="BM57" s="3">
        <f>SUM($K57:$M57)*BM$4/$AF$4</f>
        <v>382.82171983246172</v>
      </c>
      <c r="BN57" s="3">
        <v>0</v>
      </c>
      <c r="BO57" s="3">
        <v>0</v>
      </c>
      <c r="BP57" s="3">
        <f>SUBTOTAL(9,BM57:BO57)</f>
        <v>382.82171983246172</v>
      </c>
      <c r="BQ57" s="3">
        <f>SUM($K57:$M57)*BQ$4/$AF$4</f>
        <v>34.315102112185933</v>
      </c>
      <c r="BR57" s="3">
        <v>0</v>
      </c>
      <c r="BS57" s="3">
        <v>0</v>
      </c>
      <c r="BT57" s="3">
        <f>SUBTOTAL(9,BQ57:BS57)</f>
        <v>34.315102112185933</v>
      </c>
      <c r="BU57" s="3">
        <f>SUM($K57:$M57)*BU$4/$AF$4</f>
        <v>5.4452264122438372</v>
      </c>
      <c r="BV57" s="3">
        <v>0</v>
      </c>
      <c r="BW57" s="3">
        <v>0</v>
      </c>
      <c r="BX57" s="3">
        <f>SUBTOTAL(9,BU57:BW57)</f>
        <v>5.4452264122438372</v>
      </c>
      <c r="BY57" s="3">
        <f>SUM($K57:$M57)*BY$4/$AF$4</f>
        <v>13.125695819904415</v>
      </c>
      <c r="BZ57" s="3">
        <v>0</v>
      </c>
      <c r="CA57" s="3">
        <v>0</v>
      </c>
      <c r="CB57" s="3">
        <f>SUBTOTAL(9,BY57:CA57)</f>
        <v>13.125695819904415</v>
      </c>
      <c r="CC57" s="3">
        <f>SUM($K57:$M57)*CC$4/$AF$4</f>
        <v>10.866868798719031</v>
      </c>
      <c r="CD57" s="3">
        <v>0</v>
      </c>
      <c r="CE57" s="3">
        <v>0</v>
      </c>
      <c r="CF57" s="3">
        <f>SUBTOTAL(9,CC57:CE57)</f>
        <v>10.866868798719031</v>
      </c>
      <c r="CG57" s="3">
        <f>SUM($K57:$M57)*CG$4/$AF$4</f>
        <v>12.449829096005949</v>
      </c>
      <c r="CH57" s="3">
        <v>0</v>
      </c>
      <c r="CI57" s="3">
        <v>0</v>
      </c>
      <c r="CJ57" s="3">
        <f>SUBTOTAL(9,CG57:CI57)</f>
        <v>12.449829096005949</v>
      </c>
      <c r="CK57" s="3">
        <f>SUM($K57:$M57)*CK$4/$AF$4</f>
        <v>25.61649590217888</v>
      </c>
      <c r="CL57" s="3">
        <v>0</v>
      </c>
      <c r="CM57" s="3">
        <v>0</v>
      </c>
      <c r="CN57" s="3">
        <f>SUBTOTAL(9,CK57:CM57)</f>
        <v>25.61649590217888</v>
      </c>
      <c r="CO57" s="3">
        <f>SUM($K57:$M57)*CO$4/$AF$4</f>
        <v>49.963278645811926</v>
      </c>
      <c r="CP57" s="3">
        <v>0</v>
      </c>
      <c r="CQ57" s="3">
        <v>0</v>
      </c>
      <c r="CR57" s="3">
        <f>SUBTOTAL(9,CO57:CQ57)</f>
        <v>49.963278645811926</v>
      </c>
      <c r="CS57" s="3">
        <f>SUM($K57:$M57)*CS$4/$AF$4</f>
        <v>146.8654223279122</v>
      </c>
      <c r="CT57" s="3">
        <v>0</v>
      </c>
      <c r="CU57" s="3">
        <v>0</v>
      </c>
      <c r="CV57" s="3">
        <f>SUBTOTAL(9,CS57:CU57)</f>
        <v>146.8654223279122</v>
      </c>
      <c r="CW57" s="3">
        <f>SUM($K57:$M57)*CW$4/$AF$4</f>
        <v>487.64836415161091</v>
      </c>
      <c r="CX57" s="3">
        <v>0</v>
      </c>
      <c r="CY57" s="3">
        <v>0</v>
      </c>
      <c r="CZ57" s="3">
        <f>SUBTOTAL(9,CW57:CY57)</f>
        <v>487.64836415161091</v>
      </c>
      <c r="DA57" s="3">
        <f>SUM($K57:$M57)*DA$4/$AF$4</f>
        <v>33.231955443160771</v>
      </c>
      <c r="DB57" s="3">
        <v>0</v>
      </c>
      <c r="DC57" s="3">
        <v>0</v>
      </c>
      <c r="DD57" s="3">
        <f>SUBTOTAL(9,DA57:DC57)</f>
        <v>33.231955443160771</v>
      </c>
      <c r="DE57" s="3">
        <f>SUM($K57:$M57)*DE$4/$AF$4</f>
        <v>5.6021460415368383</v>
      </c>
      <c r="DF57" s="3">
        <v>0</v>
      </c>
      <c r="DG57" s="3">
        <v>0</v>
      </c>
      <c r="DH57" s="3">
        <f>SUBTOTAL(9,DE57:DG57)</f>
        <v>5.6021460415368383</v>
      </c>
      <c r="DI57" s="3">
        <f>SUM($K57:$M57)*DI$4/$AF$4</f>
        <v>0</v>
      </c>
      <c r="DJ57" s="3">
        <v>0</v>
      </c>
      <c r="DK57" s="3">
        <v>0</v>
      </c>
      <c r="DL57" s="3">
        <f t="shared" si="2"/>
        <v>0</v>
      </c>
      <c r="DM57" s="3">
        <f>SUM($K57:$M57)*DM$4/$AF$4</f>
        <v>27.694111274094521</v>
      </c>
      <c r="DN57" s="3">
        <v>0</v>
      </c>
      <c r="DO57" s="3">
        <v>0</v>
      </c>
      <c r="DP57" s="3">
        <f t="shared" si="25"/>
        <v>27.694111274094521</v>
      </c>
      <c r="DQ57" s="3">
        <f>SUM($K57:$M57)*DQ$4/$AF$4</f>
        <v>58.452494747248117</v>
      </c>
      <c r="DR57" s="3">
        <v>0</v>
      </c>
      <c r="DS57" s="3">
        <v>0</v>
      </c>
      <c r="DT57" s="3">
        <f>SUBTOTAL(9,DQ57:DS57)</f>
        <v>58.452494747248117</v>
      </c>
      <c r="DU57" s="3">
        <f>SUM($K57:$M57)*DU$4/$AF$4</f>
        <v>290.95828757743419</v>
      </c>
      <c r="DV57" s="3">
        <v>0</v>
      </c>
      <c r="DW57" s="3">
        <v>0</v>
      </c>
      <c r="DX57" s="3">
        <f>SUBTOTAL(9,DU57:DW57)</f>
        <v>290.95828757743419</v>
      </c>
      <c r="DY57" s="3">
        <f>SUM($K57:$M57)*DY$4/$AF$4</f>
        <v>0.99679089676957877</v>
      </c>
      <c r="DZ57" s="3">
        <v>0</v>
      </c>
      <c r="EA57" s="3">
        <v>0</v>
      </c>
      <c r="EB57" s="3">
        <f>SUBTOTAL(9,DY57:EA57)</f>
        <v>0.99679089676957877</v>
      </c>
      <c r="EC57" s="4">
        <f>AJ57+AN57+AR57+AV57+AZ57+BD57+BH57+BL57+BP57+BT57+BX57+CB57+CF57+CJ57+CN57+CR57+CV57+CZ57+DD57+DH57+DP57+DT57+DX57+EB57</f>
        <v>1979.9999999999993</v>
      </c>
      <c r="ED57" s="5">
        <f>EC57-SUM(K57:M57)</f>
        <v>0</v>
      </c>
      <c r="EE57" s="6">
        <f t="shared" si="33"/>
        <v>1979.9999999999993</v>
      </c>
      <c r="EF57" s="6">
        <f t="shared" si="33"/>
        <v>0</v>
      </c>
      <c r="EG57" s="6">
        <f t="shared" si="33"/>
        <v>0</v>
      </c>
    </row>
    <row r="58" spans="1:137" ht="12" customHeight="1" x14ac:dyDescent="0.35">
      <c r="A58" s="34" t="s">
        <v>288</v>
      </c>
      <c r="B58" s="35">
        <v>13265</v>
      </c>
      <c r="C58" s="35" t="s">
        <v>289</v>
      </c>
      <c r="D58" s="35" t="s">
        <v>264</v>
      </c>
      <c r="E58" s="34">
        <v>421806</v>
      </c>
      <c r="F58" s="35" t="s">
        <v>290</v>
      </c>
      <c r="G58" s="8">
        <v>46118</v>
      </c>
      <c r="H58" s="8">
        <v>46141</v>
      </c>
      <c r="I58" s="36">
        <v>18</v>
      </c>
      <c r="J58" s="36">
        <v>62771.55</v>
      </c>
      <c r="K58" s="37"/>
      <c r="L58" s="36">
        <v>5649.4395000000004</v>
      </c>
      <c r="M58" s="36">
        <v>5649.4395000000004</v>
      </c>
      <c r="N58" s="36">
        <v>11298.879000000001</v>
      </c>
      <c r="O58" s="36">
        <v>74070.429000000004</v>
      </c>
      <c r="P58" s="35" t="s">
        <v>95</v>
      </c>
      <c r="Q58" s="34" t="s">
        <v>36</v>
      </c>
      <c r="R58" s="35" t="s">
        <v>260</v>
      </c>
      <c r="S58" s="35" t="s">
        <v>252</v>
      </c>
      <c r="T58" s="35" t="s">
        <v>253</v>
      </c>
      <c r="U58" s="35" t="s">
        <v>261</v>
      </c>
      <c r="V58" s="34">
        <v>998512</v>
      </c>
      <c r="W58" s="35" t="s">
        <v>291</v>
      </c>
      <c r="X58" s="34" t="s">
        <v>101</v>
      </c>
      <c r="Y58" s="35">
        <v>107</v>
      </c>
      <c r="Z58" s="35" t="s">
        <v>102</v>
      </c>
      <c r="AA58" t="s">
        <v>292</v>
      </c>
      <c r="AB58">
        <v>11298.879000000001</v>
      </c>
      <c r="AC58">
        <v>11298.88</v>
      </c>
      <c r="AD58" s="38">
        <v>0</v>
      </c>
      <c r="AE58" t="s">
        <v>104</v>
      </c>
      <c r="AF58" t="s">
        <v>73</v>
      </c>
      <c r="AG58" s="3"/>
      <c r="AH58" s="3"/>
      <c r="AI58" s="3"/>
      <c r="AJ58" s="3">
        <f t="shared" si="7"/>
        <v>0</v>
      </c>
      <c r="AK58" s="3"/>
      <c r="AL58" s="3"/>
      <c r="AM58" s="3"/>
      <c r="AN58" s="3">
        <f t="shared" si="8"/>
        <v>0</v>
      </c>
      <c r="AO58" s="3"/>
      <c r="AP58" s="3"/>
      <c r="AQ58" s="3"/>
      <c r="AR58" s="3">
        <f t="shared" si="9"/>
        <v>0</v>
      </c>
      <c r="AS58" s="3"/>
      <c r="AT58" s="3"/>
      <c r="AU58" s="3"/>
      <c r="AV58" s="3">
        <f t="shared" si="10"/>
        <v>0</v>
      </c>
      <c r="AW58" s="3"/>
      <c r="AX58" s="3"/>
      <c r="AY58" s="3"/>
      <c r="AZ58" s="3">
        <f t="shared" si="11"/>
        <v>0</v>
      </c>
      <c r="BA58" s="3"/>
      <c r="BB58" s="3"/>
      <c r="BC58" s="3"/>
      <c r="BD58" s="3">
        <f t="shared" si="12"/>
        <v>0</v>
      </c>
      <c r="BE58" s="3">
        <f>$K58*BE$4/$BE$4</f>
        <v>0</v>
      </c>
      <c r="BF58" s="3">
        <f>$L58*BE$4/$BE$4</f>
        <v>5649.4395000000004</v>
      </c>
      <c r="BG58" s="3">
        <f>$M58*BE$4/$BE$4</f>
        <v>5649.4395000000004</v>
      </c>
      <c r="BH58" s="3">
        <f t="shared" si="4"/>
        <v>11298.879000000001</v>
      </c>
      <c r="BI58" s="3"/>
      <c r="BJ58" s="3"/>
      <c r="BK58" s="3"/>
      <c r="BL58" s="3">
        <f t="shared" si="5"/>
        <v>0</v>
      </c>
      <c r="BM58" s="3"/>
      <c r="BN58" s="3"/>
      <c r="BO58" s="3"/>
      <c r="BP58" s="3">
        <f t="shared" si="13"/>
        <v>0</v>
      </c>
      <c r="BQ58" s="3"/>
      <c r="BR58" s="3"/>
      <c r="BS58" s="3"/>
      <c r="BT58" s="3">
        <f t="shared" si="14"/>
        <v>0</v>
      </c>
      <c r="BU58" s="3"/>
      <c r="BV58" s="3"/>
      <c r="BW58" s="3"/>
      <c r="BX58" s="3">
        <f t="shared" si="15"/>
        <v>0</v>
      </c>
      <c r="BY58" s="3"/>
      <c r="BZ58" s="3"/>
      <c r="CA58" s="3"/>
      <c r="CB58" s="3">
        <f t="shared" si="16"/>
        <v>0</v>
      </c>
      <c r="CC58" s="3"/>
      <c r="CD58" s="3"/>
      <c r="CE58" s="3"/>
      <c r="CF58" s="3">
        <f t="shared" si="17"/>
        <v>0</v>
      </c>
      <c r="CG58" s="3"/>
      <c r="CH58" s="3"/>
      <c r="CI58" s="3"/>
      <c r="CJ58" s="3">
        <f t="shared" si="18"/>
        <v>0</v>
      </c>
      <c r="CK58" s="3"/>
      <c r="CL58" s="3"/>
      <c r="CM58" s="3"/>
      <c r="CN58" s="3">
        <f t="shared" si="19"/>
        <v>0</v>
      </c>
      <c r="CO58" s="3"/>
      <c r="CP58" s="3"/>
      <c r="CQ58" s="3"/>
      <c r="CR58" s="3">
        <f t="shared" si="20"/>
        <v>0</v>
      </c>
      <c r="CS58" s="3"/>
      <c r="CT58" s="3"/>
      <c r="CU58" s="3"/>
      <c r="CV58" s="3">
        <f t="shared" si="21"/>
        <v>0</v>
      </c>
      <c r="CW58" s="3"/>
      <c r="CX58" s="3"/>
      <c r="CY58" s="3"/>
      <c r="CZ58" s="3">
        <f t="shared" si="22"/>
        <v>0</v>
      </c>
      <c r="DA58" s="3"/>
      <c r="DB58" s="3"/>
      <c r="DC58" s="3"/>
      <c r="DD58" s="3">
        <f t="shared" si="23"/>
        <v>0</v>
      </c>
      <c r="DE58" s="3"/>
      <c r="DF58" s="3"/>
      <c r="DG58" s="3"/>
      <c r="DH58" s="3">
        <f t="shared" si="24"/>
        <v>0</v>
      </c>
      <c r="DI58" s="3"/>
      <c r="DJ58" s="3"/>
      <c r="DK58" s="3"/>
      <c r="DL58" s="3">
        <f t="shared" si="2"/>
        <v>0</v>
      </c>
      <c r="DM58" s="3"/>
      <c r="DN58" s="3"/>
      <c r="DO58" s="3"/>
      <c r="DP58" s="3">
        <f t="shared" si="25"/>
        <v>0</v>
      </c>
      <c r="DQ58" s="3"/>
      <c r="DR58" s="3"/>
      <c r="DS58" s="3"/>
      <c r="DT58" s="3">
        <f t="shared" si="26"/>
        <v>0</v>
      </c>
      <c r="DU58" s="3"/>
      <c r="DV58" s="3"/>
      <c r="DW58" s="3"/>
      <c r="DX58" s="3">
        <f t="shared" si="27"/>
        <v>0</v>
      </c>
      <c r="DY58" s="3"/>
      <c r="DZ58" s="3"/>
      <c r="EA58" s="3"/>
      <c r="EB58" s="3">
        <f t="shared" si="28"/>
        <v>0</v>
      </c>
      <c r="EC58" s="4">
        <f t="shared" si="6"/>
        <v>11298.879000000001</v>
      </c>
      <c r="ED58" s="5">
        <f t="shared" si="29"/>
        <v>0</v>
      </c>
      <c r="EE58" s="6">
        <f t="shared" si="33"/>
        <v>0</v>
      </c>
      <c r="EF58" s="6">
        <f t="shared" si="33"/>
        <v>5649.4395000000004</v>
      </c>
      <c r="EG58" s="6">
        <f t="shared" si="33"/>
        <v>5649.4395000000004</v>
      </c>
    </row>
    <row r="59" spans="1:137" ht="12" customHeight="1" x14ac:dyDescent="0.35">
      <c r="A59" s="39" t="s">
        <v>293</v>
      </c>
      <c r="B59" s="39">
        <v>44961</v>
      </c>
      <c r="C59" s="39" t="s">
        <v>294</v>
      </c>
      <c r="D59" s="39" t="s">
        <v>183</v>
      </c>
      <c r="E59" s="39">
        <v>234010</v>
      </c>
      <c r="F59" s="39" t="s">
        <v>295</v>
      </c>
      <c r="G59" s="40">
        <v>46116</v>
      </c>
      <c r="H59" s="40">
        <v>46119</v>
      </c>
      <c r="I59" s="39">
        <v>18</v>
      </c>
      <c r="J59" s="39">
        <v>70000</v>
      </c>
      <c r="K59" s="39">
        <v>12600</v>
      </c>
      <c r="L59" s="41"/>
      <c r="M59" s="41"/>
      <c r="N59" s="39">
        <v>12600</v>
      </c>
      <c r="O59" s="39">
        <v>82600</v>
      </c>
      <c r="P59" s="39" t="s">
        <v>95</v>
      </c>
      <c r="Q59" s="39" t="s">
        <v>185</v>
      </c>
      <c r="R59" s="39" t="s">
        <v>112</v>
      </c>
      <c r="S59" s="39" t="s">
        <v>252</v>
      </c>
      <c r="T59" s="39" t="s">
        <v>253</v>
      </c>
      <c r="U59" s="39" t="s">
        <v>261</v>
      </c>
      <c r="V59" s="39">
        <v>999293</v>
      </c>
      <c r="W59" s="42" t="s">
        <v>296</v>
      </c>
      <c r="X59" s="39" t="s">
        <v>101</v>
      </c>
      <c r="Y59" s="39">
        <v>107</v>
      </c>
      <c r="Z59" s="39" t="s">
        <v>102</v>
      </c>
      <c r="AA59" t="s">
        <v>297</v>
      </c>
      <c r="AB59">
        <v>12600</v>
      </c>
      <c r="AC59">
        <v>12600</v>
      </c>
      <c r="AD59" s="38">
        <v>0</v>
      </c>
      <c r="AE59" t="s">
        <v>104</v>
      </c>
      <c r="AF59" t="s">
        <v>73</v>
      </c>
      <c r="AG59" s="3">
        <f t="shared" ref="AG59:AG69" si="34">SUM($K59:$M59)*AG$4/$AF$4</f>
        <v>466.5098775971428</v>
      </c>
      <c r="AH59" s="3">
        <v>0</v>
      </c>
      <c r="AI59" s="3">
        <v>0</v>
      </c>
      <c r="AJ59" s="3">
        <f t="shared" si="7"/>
        <v>466.5098775971428</v>
      </c>
      <c r="AK59" s="3">
        <f t="shared" ref="AK59:AK69" si="35">SUM($K59:$M59)*AK$4/$AF$4</f>
        <v>3.8819663194903513</v>
      </c>
      <c r="AL59" s="3">
        <v>0</v>
      </c>
      <c r="AM59" s="3">
        <v>0</v>
      </c>
      <c r="AN59" s="3">
        <f t="shared" si="8"/>
        <v>3.8819663194903513</v>
      </c>
      <c r="AO59" s="3">
        <f t="shared" ref="AO59:AO69" si="36">SUM($K59:$M59)*AO$4/$AF$4</f>
        <v>192.2860432165038</v>
      </c>
      <c r="AP59" s="3">
        <v>0</v>
      </c>
      <c r="AQ59" s="3">
        <v>0</v>
      </c>
      <c r="AR59" s="3">
        <f t="shared" si="9"/>
        <v>192.2860432165038</v>
      </c>
      <c r="AS59" s="3">
        <f t="shared" ref="AS59:AS69" si="37">SUM($K59:$M59)*AS$4/$AF$4</f>
        <v>168.36726392894369</v>
      </c>
      <c r="AT59" s="3">
        <v>0</v>
      </c>
      <c r="AU59" s="3">
        <v>0</v>
      </c>
      <c r="AV59" s="3">
        <f t="shared" si="10"/>
        <v>168.36726392894369</v>
      </c>
      <c r="AW59" s="3">
        <f t="shared" ref="AW59:AW69" si="38">SUM($K59:$M59)*AW$4/$AF$4</f>
        <v>19.749411531173369</v>
      </c>
      <c r="AX59" s="3">
        <v>0</v>
      </c>
      <c r="AY59" s="3">
        <v>0</v>
      </c>
      <c r="AZ59" s="3">
        <f t="shared" si="11"/>
        <v>19.749411531173369</v>
      </c>
      <c r="BA59" s="3">
        <f t="shared" ref="BA59:BA69" si="39">SUM($K59:$M59)*BA$4/$AF$4</f>
        <v>210.88506021161632</v>
      </c>
      <c r="BB59" s="3">
        <v>0</v>
      </c>
      <c r="BC59" s="3">
        <v>0</v>
      </c>
      <c r="BD59" s="3">
        <f t="shared" si="12"/>
        <v>210.88506021161632</v>
      </c>
      <c r="BE59" s="3">
        <f t="shared" ref="BE59:BE69" si="40">$K59*BE$4/$AF$4</f>
        <v>914.71043418600902</v>
      </c>
      <c r="BF59" s="3">
        <f t="shared" ref="BF59:BF69" si="41">$L59*BE$4/$AF$4</f>
        <v>0</v>
      </c>
      <c r="BG59" s="3">
        <f t="shared" ref="BG59:BG69" si="42">$M59*BE$4/$AF$4</f>
        <v>0</v>
      </c>
      <c r="BH59" s="3">
        <f t="shared" si="4"/>
        <v>914.71043418600902</v>
      </c>
      <c r="BI59" s="3">
        <f t="shared" ref="BI59:BI69" si="43">SUM($K59:$M59)*BI$4/$AF$4</f>
        <v>530.54037614097899</v>
      </c>
      <c r="BJ59" s="3">
        <v>0</v>
      </c>
      <c r="BK59" s="3">
        <v>0</v>
      </c>
      <c r="BL59" s="3">
        <f t="shared" si="5"/>
        <v>530.54037614097899</v>
      </c>
      <c r="BM59" s="3">
        <f t="shared" ref="BM59:BM69" si="44">SUM($K59:$M59)*BM$4/$AF$4</f>
        <v>2436.1382171156656</v>
      </c>
      <c r="BN59" s="3">
        <v>0</v>
      </c>
      <c r="BO59" s="3">
        <v>0</v>
      </c>
      <c r="BP59" s="3">
        <f t="shared" si="13"/>
        <v>2436.1382171156656</v>
      </c>
      <c r="BQ59" s="3">
        <f t="shared" ref="BQ59:BQ69" si="45">SUM($K59:$M59)*BQ$4/$AF$4</f>
        <v>218.36883162300137</v>
      </c>
      <c r="BR59" s="3">
        <v>0</v>
      </c>
      <c r="BS59" s="3">
        <v>0</v>
      </c>
      <c r="BT59" s="3">
        <f t="shared" si="14"/>
        <v>218.36883162300137</v>
      </c>
      <c r="BU59" s="3">
        <f t="shared" ref="BU59:BU69" si="46">SUM($K59:$M59)*BU$4/$AF$4</f>
        <v>34.651440805188059</v>
      </c>
      <c r="BV59" s="3">
        <v>0</v>
      </c>
      <c r="BW59" s="3">
        <v>0</v>
      </c>
      <c r="BX59" s="3">
        <f t="shared" si="15"/>
        <v>34.651440805188059</v>
      </c>
      <c r="BY59" s="3">
        <f t="shared" ref="BY59:BY69" si="47">SUM($K59:$M59)*BY$4/$AF$4</f>
        <v>83.527155217573551</v>
      </c>
      <c r="BZ59" s="3">
        <v>0</v>
      </c>
      <c r="CA59" s="3">
        <v>0</v>
      </c>
      <c r="CB59" s="3">
        <f t="shared" si="16"/>
        <v>83.527155217573551</v>
      </c>
      <c r="CC59" s="3">
        <f t="shared" ref="CC59:CC69" si="48">SUM($K59:$M59)*CC$4/$AF$4</f>
        <v>69.152801446393838</v>
      </c>
      <c r="CD59" s="3">
        <v>0</v>
      </c>
      <c r="CE59" s="3">
        <v>0</v>
      </c>
      <c r="CF59" s="3">
        <f t="shared" si="17"/>
        <v>69.152801446393838</v>
      </c>
      <c r="CG59" s="3">
        <f t="shared" ref="CG59:CG69" si="49">SUM($K59:$M59)*CG$4/$AF$4</f>
        <v>79.226185156401485</v>
      </c>
      <c r="CH59" s="3">
        <v>0</v>
      </c>
      <c r="CI59" s="3">
        <v>0</v>
      </c>
      <c r="CJ59" s="3">
        <f t="shared" si="18"/>
        <v>79.226185156401485</v>
      </c>
      <c r="CK59" s="3">
        <f t="shared" ref="CK59:CK69" si="50">SUM($K59:$M59)*CK$4/$AF$4</f>
        <v>163.01406483204741</v>
      </c>
      <c r="CL59" s="3">
        <v>0</v>
      </c>
      <c r="CM59" s="3">
        <v>0</v>
      </c>
      <c r="CN59" s="3">
        <f t="shared" si="19"/>
        <v>163.01406483204741</v>
      </c>
      <c r="CO59" s="3">
        <f t="shared" ref="CO59:CO69" si="51">SUM($K59:$M59)*CO$4/$AF$4</f>
        <v>317.94813683698499</v>
      </c>
      <c r="CP59" s="3">
        <v>0</v>
      </c>
      <c r="CQ59" s="3">
        <v>0</v>
      </c>
      <c r="CR59" s="3">
        <f t="shared" si="20"/>
        <v>317.94813683698499</v>
      </c>
      <c r="CS59" s="3">
        <f t="shared" ref="CS59:CS69" si="52">SUM($K59:$M59)*CS$4/$AF$4</f>
        <v>934.59814208671389</v>
      </c>
      <c r="CT59" s="3">
        <v>0</v>
      </c>
      <c r="CU59" s="3">
        <v>0</v>
      </c>
      <c r="CV59" s="3">
        <f t="shared" si="21"/>
        <v>934.59814208671389</v>
      </c>
      <c r="CW59" s="3">
        <f t="shared" ref="CW59:CW69" si="53">SUM($K59:$M59)*CW$4/$AF$4</f>
        <v>3103.2168627829783</v>
      </c>
      <c r="CX59" s="3">
        <v>0</v>
      </c>
      <c r="CY59" s="3">
        <v>0</v>
      </c>
      <c r="CZ59" s="3">
        <f t="shared" si="22"/>
        <v>3103.2168627829783</v>
      </c>
      <c r="DA59" s="3">
        <f t="shared" ref="DA59:DA69" si="54">SUM($K59:$M59)*DA$4/$AF$4</f>
        <v>211.47608009284127</v>
      </c>
      <c r="DB59" s="3">
        <v>0</v>
      </c>
      <c r="DC59" s="3">
        <v>0</v>
      </c>
      <c r="DD59" s="3">
        <f t="shared" si="23"/>
        <v>211.47608009284127</v>
      </c>
      <c r="DE59" s="3">
        <f t="shared" ref="DE59:DE69" si="55">SUM($K59:$M59)*DE$4/$AF$4</f>
        <v>35.650020264325335</v>
      </c>
      <c r="DF59" s="3">
        <v>0</v>
      </c>
      <c r="DG59" s="3">
        <v>0</v>
      </c>
      <c r="DH59" s="3">
        <f t="shared" si="24"/>
        <v>35.650020264325335</v>
      </c>
      <c r="DI59" s="3">
        <f t="shared" ref="DI59:DI69" si="56">SUM($K59:$M59)*DI$4/$AF$4</f>
        <v>0</v>
      </c>
      <c r="DJ59" s="3">
        <v>0</v>
      </c>
      <c r="DK59" s="3">
        <v>0</v>
      </c>
      <c r="DL59" s="3">
        <f t="shared" si="2"/>
        <v>0</v>
      </c>
      <c r="DM59" s="3">
        <f t="shared" ref="DM59:DM69" si="57">SUM($K59:$M59)*DM$4/$AF$4</f>
        <v>176.23525356241964</v>
      </c>
      <c r="DN59" s="3">
        <v>0</v>
      </c>
      <c r="DO59" s="3">
        <v>0</v>
      </c>
      <c r="DP59" s="3">
        <f t="shared" si="25"/>
        <v>176.23525356241964</v>
      </c>
      <c r="DQ59" s="3">
        <f t="shared" ref="DQ59:DQ69" si="58">SUM($K59:$M59)*DQ$4/$AF$4</f>
        <v>371.97042111885162</v>
      </c>
      <c r="DR59" s="3">
        <v>0</v>
      </c>
      <c r="DS59" s="3">
        <v>0</v>
      </c>
      <c r="DT59" s="3">
        <f t="shared" si="26"/>
        <v>371.97042111885162</v>
      </c>
      <c r="DU59" s="3">
        <f t="shared" ref="DU59:DU69" si="59">SUM($K59:$M59)*DU$4/$AF$4</f>
        <v>1851.5527391291264</v>
      </c>
      <c r="DV59" s="3">
        <v>0</v>
      </c>
      <c r="DW59" s="3">
        <v>0</v>
      </c>
      <c r="DX59" s="3">
        <f t="shared" si="27"/>
        <v>1851.5527391291264</v>
      </c>
      <c r="DY59" s="3">
        <f t="shared" ref="DY59:DY69" si="60">SUM($K59:$M59)*DY$4/$AF$4</f>
        <v>6.3432147976245927</v>
      </c>
      <c r="DZ59" s="3">
        <v>0</v>
      </c>
      <c r="EA59" s="3">
        <v>0</v>
      </c>
      <c r="EB59" s="3">
        <f t="shared" si="28"/>
        <v>6.3432147976245927</v>
      </c>
      <c r="EC59" s="4">
        <f t="shared" ref="EC59:EC69" si="61">AJ59+AN59+AR59+AV59+AZ59+BD59+BH59+BL59+BP59+BT59+BX59+CB59+CF59+CJ59+CN59+CR59+CV59+CZ59+DD59+DH59+DP59+DT59+DX59+EB59</f>
        <v>12599.999999999998</v>
      </c>
      <c r="ED59" s="5">
        <f t="shared" si="29"/>
        <v>0</v>
      </c>
      <c r="EE59" s="6">
        <f t="shared" si="33"/>
        <v>12599.999999999998</v>
      </c>
      <c r="EF59" s="6">
        <f t="shared" si="33"/>
        <v>0</v>
      </c>
      <c r="EG59" s="6">
        <f t="shared" si="33"/>
        <v>0</v>
      </c>
    </row>
    <row r="60" spans="1:137" ht="12" customHeight="1" x14ac:dyDescent="0.35">
      <c r="A60" s="34" t="s">
        <v>298</v>
      </c>
      <c r="B60" s="35">
        <v>40855</v>
      </c>
      <c r="C60" s="35" t="s">
        <v>299</v>
      </c>
      <c r="D60" s="35" t="s">
        <v>183</v>
      </c>
      <c r="E60" s="34">
        <v>234010</v>
      </c>
      <c r="F60" s="35" t="s">
        <v>300</v>
      </c>
      <c r="G60" s="8">
        <v>46122</v>
      </c>
      <c r="H60" s="8">
        <v>46142</v>
      </c>
      <c r="I60" s="36">
        <v>18</v>
      </c>
      <c r="J60" s="36">
        <v>13657.5</v>
      </c>
      <c r="K60" s="36">
        <v>2458.35</v>
      </c>
      <c r="L60" s="37"/>
      <c r="M60" s="37"/>
      <c r="N60" s="36">
        <v>2458.35</v>
      </c>
      <c r="O60" s="36">
        <v>16115.85</v>
      </c>
      <c r="P60" s="35" t="s">
        <v>95</v>
      </c>
      <c r="Q60" s="34" t="s">
        <v>185</v>
      </c>
      <c r="R60" s="35" t="s">
        <v>112</v>
      </c>
      <c r="S60" s="35" t="s">
        <v>252</v>
      </c>
      <c r="T60" s="35" t="s">
        <v>253</v>
      </c>
      <c r="U60" s="37"/>
      <c r="V60" s="34">
        <v>998599</v>
      </c>
      <c r="W60" s="35" t="s">
        <v>301</v>
      </c>
      <c r="X60" s="34" t="s">
        <v>101</v>
      </c>
      <c r="Y60" s="35">
        <v>107</v>
      </c>
      <c r="Z60" s="35" t="s">
        <v>102</v>
      </c>
      <c r="AA60" t="s">
        <v>302</v>
      </c>
      <c r="AB60">
        <v>2458.35</v>
      </c>
      <c r="AC60">
        <v>2458.35</v>
      </c>
      <c r="AD60" s="38">
        <v>0</v>
      </c>
      <c r="AE60" t="s">
        <v>104</v>
      </c>
      <c r="AF60" t="s">
        <v>73</v>
      </c>
      <c r="AG60" s="3">
        <f t="shared" si="34"/>
        <v>91.019409332613975</v>
      </c>
      <c r="AH60" s="3">
        <v>0</v>
      </c>
      <c r="AI60" s="3">
        <v>0</v>
      </c>
      <c r="AJ60" s="3">
        <f t="shared" si="7"/>
        <v>91.019409332613975</v>
      </c>
      <c r="AK60" s="3">
        <f t="shared" si="35"/>
        <v>0.75739935726342111</v>
      </c>
      <c r="AL60" s="3">
        <v>0</v>
      </c>
      <c r="AM60" s="3">
        <v>0</v>
      </c>
      <c r="AN60" s="3">
        <f t="shared" si="8"/>
        <v>0.75739935726342111</v>
      </c>
      <c r="AO60" s="3">
        <f t="shared" si="36"/>
        <v>37.516380503277155</v>
      </c>
      <c r="AP60" s="3">
        <v>0</v>
      </c>
      <c r="AQ60" s="3">
        <v>0</v>
      </c>
      <c r="AR60" s="3">
        <f t="shared" si="9"/>
        <v>37.516380503277155</v>
      </c>
      <c r="AS60" s="3">
        <f t="shared" si="37"/>
        <v>32.849655815850689</v>
      </c>
      <c r="AT60" s="3">
        <v>0</v>
      </c>
      <c r="AU60" s="3">
        <v>0</v>
      </c>
      <c r="AV60" s="3">
        <f t="shared" si="10"/>
        <v>32.849655815850689</v>
      </c>
      <c r="AW60" s="3">
        <f t="shared" si="38"/>
        <v>3.8532512569571464</v>
      </c>
      <c r="AX60" s="3">
        <v>0</v>
      </c>
      <c r="AY60" s="3">
        <v>0</v>
      </c>
      <c r="AZ60" s="3">
        <f t="shared" si="11"/>
        <v>3.8532512569571464</v>
      </c>
      <c r="BA60" s="3">
        <f t="shared" si="39"/>
        <v>41.145181569144995</v>
      </c>
      <c r="BB60" s="3">
        <v>0</v>
      </c>
      <c r="BC60" s="3">
        <v>0</v>
      </c>
      <c r="BD60" s="3">
        <f t="shared" si="12"/>
        <v>41.145181569144995</v>
      </c>
      <c r="BE60" s="3">
        <f t="shared" si="40"/>
        <v>178.46653935564882</v>
      </c>
      <c r="BF60" s="3">
        <f t="shared" si="41"/>
        <v>0</v>
      </c>
      <c r="BG60" s="3">
        <f t="shared" si="42"/>
        <v>0</v>
      </c>
      <c r="BH60" s="3">
        <f t="shared" si="4"/>
        <v>178.46653935564882</v>
      </c>
      <c r="BI60" s="3">
        <f t="shared" si="43"/>
        <v>103.51221695922028</v>
      </c>
      <c r="BJ60" s="3">
        <v>0</v>
      </c>
      <c r="BK60" s="3">
        <v>0</v>
      </c>
      <c r="BL60" s="3">
        <f t="shared" si="5"/>
        <v>103.51221695922028</v>
      </c>
      <c r="BM60" s="3">
        <f t="shared" si="44"/>
        <v>475.30796714653144</v>
      </c>
      <c r="BN60" s="3">
        <v>0</v>
      </c>
      <c r="BO60" s="3">
        <v>0</v>
      </c>
      <c r="BP60" s="3">
        <f t="shared" si="13"/>
        <v>475.30796714653144</v>
      </c>
      <c r="BQ60" s="3">
        <f t="shared" si="45"/>
        <v>42.605318827016305</v>
      </c>
      <c r="BR60" s="3">
        <v>0</v>
      </c>
      <c r="BS60" s="3">
        <v>0</v>
      </c>
      <c r="BT60" s="3">
        <f t="shared" si="14"/>
        <v>42.605318827016305</v>
      </c>
      <c r="BU60" s="3">
        <f t="shared" si="46"/>
        <v>6.7607436113836563</v>
      </c>
      <c r="BV60" s="3">
        <v>0</v>
      </c>
      <c r="BW60" s="3">
        <v>0</v>
      </c>
      <c r="BX60" s="3">
        <f t="shared" si="15"/>
        <v>6.7607436113836563</v>
      </c>
      <c r="BY60" s="3">
        <f t="shared" si="47"/>
        <v>16.296744605485866</v>
      </c>
      <c r="BZ60" s="3">
        <v>0</v>
      </c>
      <c r="CA60" s="3">
        <v>0</v>
      </c>
      <c r="CB60" s="3">
        <f t="shared" si="16"/>
        <v>16.296744605485866</v>
      </c>
      <c r="CC60" s="3">
        <f t="shared" si="48"/>
        <v>13.492205510773196</v>
      </c>
      <c r="CD60" s="3">
        <v>0</v>
      </c>
      <c r="CE60" s="3">
        <v>0</v>
      </c>
      <c r="CF60" s="3">
        <f t="shared" si="17"/>
        <v>13.492205510773196</v>
      </c>
      <c r="CG60" s="3">
        <f t="shared" si="49"/>
        <v>15.457594625336476</v>
      </c>
      <c r="CH60" s="3">
        <v>0</v>
      </c>
      <c r="CI60" s="3">
        <v>0</v>
      </c>
      <c r="CJ60" s="3">
        <f t="shared" si="18"/>
        <v>15.457594625336476</v>
      </c>
      <c r="CK60" s="3">
        <f t="shared" si="50"/>
        <v>31.805208434909819</v>
      </c>
      <c r="CL60" s="3">
        <v>0</v>
      </c>
      <c r="CM60" s="3">
        <v>0</v>
      </c>
      <c r="CN60" s="3">
        <f t="shared" si="19"/>
        <v>31.805208434909819</v>
      </c>
      <c r="CO60" s="3">
        <f t="shared" si="51"/>
        <v>62.033952555016022</v>
      </c>
      <c r="CP60" s="3">
        <v>0</v>
      </c>
      <c r="CQ60" s="3">
        <v>0</v>
      </c>
      <c r="CR60" s="3">
        <f t="shared" si="20"/>
        <v>62.033952555016022</v>
      </c>
      <c r="CS60" s="3">
        <f t="shared" si="52"/>
        <v>182.34677322213278</v>
      </c>
      <c r="CT60" s="3">
        <v>0</v>
      </c>
      <c r="CU60" s="3">
        <v>0</v>
      </c>
      <c r="CV60" s="3">
        <f t="shared" si="21"/>
        <v>182.34677322213278</v>
      </c>
      <c r="CW60" s="3">
        <f t="shared" si="53"/>
        <v>605.4597757636933</v>
      </c>
      <c r="CX60" s="3">
        <v>0</v>
      </c>
      <c r="CY60" s="3">
        <v>0</v>
      </c>
      <c r="CZ60" s="3">
        <f t="shared" si="22"/>
        <v>605.4597757636933</v>
      </c>
      <c r="DA60" s="3">
        <f t="shared" si="54"/>
        <v>41.26049376954257</v>
      </c>
      <c r="DB60" s="3">
        <v>0</v>
      </c>
      <c r="DC60" s="3">
        <v>0</v>
      </c>
      <c r="DD60" s="3">
        <f t="shared" si="23"/>
        <v>41.26049376954257</v>
      </c>
      <c r="DE60" s="3">
        <f t="shared" si="55"/>
        <v>6.9555735965717611</v>
      </c>
      <c r="DF60" s="3">
        <v>0</v>
      </c>
      <c r="DG60" s="3">
        <v>0</v>
      </c>
      <c r="DH60" s="3">
        <f t="shared" si="24"/>
        <v>6.9555735965717611</v>
      </c>
      <c r="DI60" s="3">
        <f t="shared" si="56"/>
        <v>0</v>
      </c>
      <c r="DJ60" s="3">
        <v>0</v>
      </c>
      <c r="DK60" s="3">
        <v>0</v>
      </c>
      <c r="DL60" s="3">
        <f t="shared" si="2"/>
        <v>0</v>
      </c>
      <c r="DM60" s="3">
        <f t="shared" si="57"/>
        <v>34.384756793267812</v>
      </c>
      <c r="DN60" s="3">
        <v>0</v>
      </c>
      <c r="DO60" s="3">
        <v>0</v>
      </c>
      <c r="DP60" s="3">
        <f t="shared" si="25"/>
        <v>34.384756793267812</v>
      </c>
      <c r="DQ60" s="3">
        <f t="shared" si="58"/>
        <v>72.574086091867372</v>
      </c>
      <c r="DR60" s="3">
        <v>0</v>
      </c>
      <c r="DS60" s="3">
        <v>0</v>
      </c>
      <c r="DT60" s="3">
        <f t="shared" si="26"/>
        <v>72.574086091867372</v>
      </c>
      <c r="DU60" s="3">
        <f t="shared" si="59"/>
        <v>361.25116478080065</v>
      </c>
      <c r="DV60" s="3">
        <v>0</v>
      </c>
      <c r="DW60" s="3">
        <v>0</v>
      </c>
      <c r="DX60" s="3">
        <f t="shared" si="27"/>
        <v>361.25116478080065</v>
      </c>
      <c r="DY60" s="3">
        <f t="shared" si="60"/>
        <v>1.237606515693684</v>
      </c>
      <c r="DZ60" s="3">
        <v>0</v>
      </c>
      <c r="EA60" s="3">
        <v>0</v>
      </c>
      <c r="EB60" s="3">
        <f t="shared" si="28"/>
        <v>1.237606515693684</v>
      </c>
      <c r="EC60" s="4">
        <f t="shared" si="61"/>
        <v>2458.349999999999</v>
      </c>
      <c r="ED60" s="5">
        <f t="shared" si="29"/>
        <v>0</v>
      </c>
      <c r="EE60" s="6">
        <f t="shared" si="33"/>
        <v>2458.349999999999</v>
      </c>
      <c r="EF60" s="6">
        <f t="shared" si="33"/>
        <v>0</v>
      </c>
      <c r="EG60" s="6">
        <f t="shared" si="33"/>
        <v>0</v>
      </c>
    </row>
    <row r="61" spans="1:137" ht="12" customHeight="1" x14ac:dyDescent="0.35">
      <c r="A61" s="34" t="s">
        <v>298</v>
      </c>
      <c r="B61" s="35">
        <v>40855</v>
      </c>
      <c r="C61" s="35" t="s">
        <v>299</v>
      </c>
      <c r="D61" s="35" t="s">
        <v>303</v>
      </c>
      <c r="E61" s="34">
        <v>150431</v>
      </c>
      <c r="F61" s="35" t="s">
        <v>304</v>
      </c>
      <c r="G61" s="8">
        <v>46120</v>
      </c>
      <c r="H61" s="8">
        <v>46142</v>
      </c>
      <c r="I61" s="36">
        <v>18</v>
      </c>
      <c r="J61" s="36">
        <v>5500</v>
      </c>
      <c r="K61" s="36">
        <v>990</v>
      </c>
      <c r="L61" s="37"/>
      <c r="M61" s="37"/>
      <c r="N61" s="36">
        <v>990</v>
      </c>
      <c r="O61" s="36">
        <v>6490</v>
      </c>
      <c r="P61" s="35" t="s">
        <v>95</v>
      </c>
      <c r="Q61" s="34" t="s">
        <v>185</v>
      </c>
      <c r="R61" s="35" t="s">
        <v>112</v>
      </c>
      <c r="S61" s="35" t="s">
        <v>252</v>
      </c>
      <c r="T61" s="35" t="s">
        <v>253</v>
      </c>
      <c r="U61" s="37"/>
      <c r="V61" s="34">
        <v>996812</v>
      </c>
      <c r="W61" s="35" t="s">
        <v>305</v>
      </c>
      <c r="X61" s="34" t="s">
        <v>101</v>
      </c>
      <c r="Y61" s="35">
        <v>107</v>
      </c>
      <c r="Z61" s="35" t="s">
        <v>102</v>
      </c>
      <c r="AA61" t="s">
        <v>306</v>
      </c>
      <c r="AB61">
        <v>990</v>
      </c>
      <c r="AC61">
        <v>990</v>
      </c>
      <c r="AD61" s="38">
        <v>0</v>
      </c>
      <c r="AE61" t="s">
        <v>104</v>
      </c>
      <c r="AF61" t="s">
        <v>73</v>
      </c>
      <c r="AG61" s="3">
        <f t="shared" si="34"/>
        <v>36.654347525489797</v>
      </c>
      <c r="AH61" s="3">
        <v>0</v>
      </c>
      <c r="AI61" s="3">
        <v>0</v>
      </c>
      <c r="AJ61" s="3">
        <f t="shared" si="7"/>
        <v>36.654347525489797</v>
      </c>
      <c r="AK61" s="3">
        <f t="shared" si="35"/>
        <v>0.30501163938852766</v>
      </c>
      <c r="AL61" s="3">
        <v>0</v>
      </c>
      <c r="AM61" s="3">
        <v>0</v>
      </c>
      <c r="AN61" s="3">
        <f t="shared" si="8"/>
        <v>0.30501163938852766</v>
      </c>
      <c r="AO61" s="3">
        <f t="shared" si="36"/>
        <v>15.108189109868155</v>
      </c>
      <c r="AP61" s="3">
        <v>0</v>
      </c>
      <c r="AQ61" s="3">
        <v>0</v>
      </c>
      <c r="AR61" s="3">
        <f t="shared" si="9"/>
        <v>15.108189109868155</v>
      </c>
      <c r="AS61" s="3">
        <f t="shared" si="37"/>
        <v>13.228856451559864</v>
      </c>
      <c r="AT61" s="3">
        <v>0</v>
      </c>
      <c r="AU61" s="3">
        <v>0</v>
      </c>
      <c r="AV61" s="3">
        <f t="shared" si="10"/>
        <v>13.228856451559864</v>
      </c>
      <c r="AW61" s="3">
        <f t="shared" si="38"/>
        <v>1.551739477449336</v>
      </c>
      <c r="AX61" s="3">
        <v>0</v>
      </c>
      <c r="AY61" s="3">
        <v>0</v>
      </c>
      <c r="AZ61" s="3">
        <f t="shared" si="11"/>
        <v>1.551739477449336</v>
      </c>
      <c r="BA61" s="3">
        <f t="shared" si="39"/>
        <v>16.569540445198424</v>
      </c>
      <c r="BB61" s="3">
        <v>0</v>
      </c>
      <c r="BC61" s="3">
        <v>0</v>
      </c>
      <c r="BD61" s="3">
        <f t="shared" si="12"/>
        <v>16.569540445198424</v>
      </c>
      <c r="BE61" s="3">
        <f t="shared" si="40"/>
        <v>71.870105543186412</v>
      </c>
      <c r="BF61" s="3">
        <f t="shared" si="41"/>
        <v>0</v>
      </c>
      <c r="BG61" s="3">
        <f t="shared" si="42"/>
        <v>0</v>
      </c>
      <c r="BH61" s="3">
        <f t="shared" si="4"/>
        <v>71.870105543186412</v>
      </c>
      <c r="BI61" s="3">
        <f t="shared" si="43"/>
        <v>41.685315268219775</v>
      </c>
      <c r="BJ61" s="3">
        <v>0</v>
      </c>
      <c r="BK61" s="3">
        <v>0</v>
      </c>
      <c r="BL61" s="3">
        <f t="shared" si="5"/>
        <v>41.685315268219775</v>
      </c>
      <c r="BM61" s="3">
        <f t="shared" si="44"/>
        <v>191.41085991623086</v>
      </c>
      <c r="BN61" s="3">
        <v>0</v>
      </c>
      <c r="BO61" s="3">
        <v>0</v>
      </c>
      <c r="BP61" s="3">
        <f t="shared" si="13"/>
        <v>191.41085991623086</v>
      </c>
      <c r="BQ61" s="3">
        <f t="shared" si="45"/>
        <v>17.157551056092966</v>
      </c>
      <c r="BR61" s="3">
        <v>0</v>
      </c>
      <c r="BS61" s="3">
        <v>0</v>
      </c>
      <c r="BT61" s="3">
        <f t="shared" si="14"/>
        <v>17.157551056092966</v>
      </c>
      <c r="BU61" s="3">
        <f t="shared" si="46"/>
        <v>2.7226132061219186</v>
      </c>
      <c r="BV61" s="3">
        <v>0</v>
      </c>
      <c r="BW61" s="3">
        <v>0</v>
      </c>
      <c r="BX61" s="3">
        <f t="shared" si="15"/>
        <v>2.7226132061219186</v>
      </c>
      <c r="BY61" s="3">
        <f t="shared" si="47"/>
        <v>6.5628479099522075</v>
      </c>
      <c r="BZ61" s="3">
        <v>0</v>
      </c>
      <c r="CA61" s="3">
        <v>0</v>
      </c>
      <c r="CB61" s="3">
        <f t="shared" si="16"/>
        <v>6.5628479099522075</v>
      </c>
      <c r="CC61" s="3">
        <f t="shared" si="48"/>
        <v>5.4334343993595153</v>
      </c>
      <c r="CD61" s="3">
        <v>0</v>
      </c>
      <c r="CE61" s="3">
        <v>0</v>
      </c>
      <c r="CF61" s="3">
        <f t="shared" si="17"/>
        <v>5.4334343993595153</v>
      </c>
      <c r="CG61" s="3">
        <f t="shared" si="49"/>
        <v>6.2249145480029746</v>
      </c>
      <c r="CH61" s="3">
        <v>0</v>
      </c>
      <c r="CI61" s="3">
        <v>0</v>
      </c>
      <c r="CJ61" s="3">
        <f t="shared" si="18"/>
        <v>6.2249145480029746</v>
      </c>
      <c r="CK61" s="3">
        <f t="shared" si="50"/>
        <v>12.80824795108944</v>
      </c>
      <c r="CL61" s="3">
        <v>0</v>
      </c>
      <c r="CM61" s="3">
        <v>0</v>
      </c>
      <c r="CN61" s="3">
        <f t="shared" si="19"/>
        <v>12.80824795108944</v>
      </c>
      <c r="CO61" s="3">
        <f t="shared" si="51"/>
        <v>24.981639322905963</v>
      </c>
      <c r="CP61" s="3">
        <v>0</v>
      </c>
      <c r="CQ61" s="3">
        <v>0</v>
      </c>
      <c r="CR61" s="3">
        <f t="shared" si="20"/>
        <v>24.981639322905963</v>
      </c>
      <c r="CS61" s="3">
        <f t="shared" si="52"/>
        <v>73.4327111639561</v>
      </c>
      <c r="CT61" s="3">
        <v>0</v>
      </c>
      <c r="CU61" s="3">
        <v>0</v>
      </c>
      <c r="CV61" s="3">
        <f t="shared" si="21"/>
        <v>73.4327111639561</v>
      </c>
      <c r="CW61" s="3">
        <f t="shared" si="53"/>
        <v>243.82418207580545</v>
      </c>
      <c r="CX61" s="3">
        <v>0</v>
      </c>
      <c r="CY61" s="3">
        <v>0</v>
      </c>
      <c r="CZ61" s="3">
        <f t="shared" si="22"/>
        <v>243.82418207580545</v>
      </c>
      <c r="DA61" s="3">
        <f t="shared" si="54"/>
        <v>16.615977721580386</v>
      </c>
      <c r="DB61" s="3">
        <v>0</v>
      </c>
      <c r="DC61" s="3">
        <v>0</v>
      </c>
      <c r="DD61" s="3">
        <f t="shared" si="23"/>
        <v>16.615977721580386</v>
      </c>
      <c r="DE61" s="3">
        <f t="shared" si="55"/>
        <v>2.8010730207684191</v>
      </c>
      <c r="DF61" s="3">
        <v>0</v>
      </c>
      <c r="DG61" s="3">
        <v>0</v>
      </c>
      <c r="DH61" s="3">
        <f t="shared" si="24"/>
        <v>2.8010730207684191</v>
      </c>
      <c r="DI61" s="3">
        <f t="shared" si="56"/>
        <v>0</v>
      </c>
      <c r="DJ61" s="3">
        <v>0</v>
      </c>
      <c r="DK61" s="3">
        <v>0</v>
      </c>
      <c r="DL61" s="3">
        <f t="shared" si="2"/>
        <v>0</v>
      </c>
      <c r="DM61" s="3">
        <f t="shared" si="57"/>
        <v>13.84705563704726</v>
      </c>
      <c r="DN61" s="3">
        <v>0</v>
      </c>
      <c r="DO61" s="3">
        <v>0</v>
      </c>
      <c r="DP61" s="3">
        <f t="shared" si="25"/>
        <v>13.84705563704726</v>
      </c>
      <c r="DQ61" s="3">
        <f t="shared" si="58"/>
        <v>29.226247373624059</v>
      </c>
      <c r="DR61" s="3">
        <v>0</v>
      </c>
      <c r="DS61" s="3">
        <v>0</v>
      </c>
      <c r="DT61" s="3">
        <f t="shared" si="26"/>
        <v>29.226247373624059</v>
      </c>
      <c r="DU61" s="3">
        <f t="shared" si="59"/>
        <v>145.4791437887171</v>
      </c>
      <c r="DV61" s="3">
        <v>0</v>
      </c>
      <c r="DW61" s="3">
        <v>0</v>
      </c>
      <c r="DX61" s="3">
        <f t="shared" si="27"/>
        <v>145.4791437887171</v>
      </c>
      <c r="DY61" s="3">
        <f t="shared" si="60"/>
        <v>0.49839544838478939</v>
      </c>
      <c r="DZ61" s="3">
        <v>0</v>
      </c>
      <c r="EA61" s="3">
        <v>0</v>
      </c>
      <c r="EB61" s="3">
        <f t="shared" si="28"/>
        <v>0.49839544838478939</v>
      </c>
      <c r="EC61" s="4">
        <f t="shared" si="61"/>
        <v>989.99999999999966</v>
      </c>
      <c r="ED61" s="5">
        <f t="shared" si="29"/>
        <v>0</v>
      </c>
      <c r="EE61" s="6">
        <f t="shared" si="33"/>
        <v>989.99999999999966</v>
      </c>
      <c r="EF61" s="6">
        <f t="shared" si="33"/>
        <v>0</v>
      </c>
      <c r="EG61" s="6">
        <f t="shared" si="33"/>
        <v>0</v>
      </c>
    </row>
    <row r="62" spans="1:137" ht="12" customHeight="1" x14ac:dyDescent="0.35">
      <c r="A62" s="34" t="s">
        <v>307</v>
      </c>
      <c r="B62" s="35">
        <v>13626</v>
      </c>
      <c r="C62" s="35" t="s">
        <v>308</v>
      </c>
      <c r="D62" s="35" t="s">
        <v>309</v>
      </c>
      <c r="E62" s="34">
        <v>150901</v>
      </c>
      <c r="F62" s="35" t="s">
        <v>310</v>
      </c>
      <c r="G62" s="8">
        <v>46134</v>
      </c>
      <c r="H62" s="8">
        <v>46141</v>
      </c>
      <c r="I62" s="36">
        <v>18</v>
      </c>
      <c r="J62" s="36">
        <v>72600</v>
      </c>
      <c r="K62" s="36">
        <v>13068</v>
      </c>
      <c r="L62" s="37"/>
      <c r="M62" s="37"/>
      <c r="N62" s="36">
        <v>13068</v>
      </c>
      <c r="O62" s="36">
        <v>85668</v>
      </c>
      <c r="P62" s="35" t="s">
        <v>95</v>
      </c>
      <c r="Q62" s="34" t="s">
        <v>185</v>
      </c>
      <c r="R62" s="35" t="s">
        <v>112</v>
      </c>
      <c r="S62" s="35" t="s">
        <v>252</v>
      </c>
      <c r="T62" s="35" t="s">
        <v>253</v>
      </c>
      <c r="U62" s="37"/>
      <c r="V62" s="34">
        <v>999599</v>
      </c>
      <c r="W62" s="35" t="s">
        <v>311</v>
      </c>
      <c r="X62" s="34" t="s">
        <v>101</v>
      </c>
      <c r="Y62" s="35">
        <v>107</v>
      </c>
      <c r="Z62" s="35" t="s">
        <v>102</v>
      </c>
      <c r="AA62" t="s">
        <v>312</v>
      </c>
      <c r="AB62">
        <v>13068</v>
      </c>
      <c r="AC62">
        <v>13068</v>
      </c>
      <c r="AD62" s="38">
        <v>0</v>
      </c>
      <c r="AE62" t="s">
        <v>104</v>
      </c>
      <c r="AF62" t="s">
        <v>73</v>
      </c>
      <c r="AG62" s="3">
        <f t="shared" si="34"/>
        <v>483.83738733646527</v>
      </c>
      <c r="AH62" s="3">
        <v>0</v>
      </c>
      <c r="AI62" s="3">
        <v>0</v>
      </c>
      <c r="AJ62" s="3">
        <f t="shared" si="7"/>
        <v>483.83738733646527</v>
      </c>
      <c r="AK62" s="3">
        <f t="shared" si="35"/>
        <v>4.0261536399285642</v>
      </c>
      <c r="AL62" s="3">
        <v>0</v>
      </c>
      <c r="AM62" s="3">
        <v>0</v>
      </c>
      <c r="AN62" s="3">
        <f t="shared" si="8"/>
        <v>4.0261536399285642</v>
      </c>
      <c r="AO62" s="3">
        <f t="shared" si="36"/>
        <v>199.42809625025967</v>
      </c>
      <c r="AP62" s="3">
        <v>0</v>
      </c>
      <c r="AQ62" s="3">
        <v>0</v>
      </c>
      <c r="AR62" s="3">
        <f t="shared" si="9"/>
        <v>199.42809625025967</v>
      </c>
      <c r="AS62" s="3">
        <f t="shared" si="37"/>
        <v>174.62090516059018</v>
      </c>
      <c r="AT62" s="3">
        <v>0</v>
      </c>
      <c r="AU62" s="3">
        <v>0</v>
      </c>
      <c r="AV62" s="3">
        <f t="shared" si="10"/>
        <v>174.62090516059018</v>
      </c>
      <c r="AW62" s="3">
        <f t="shared" si="38"/>
        <v>20.482961102331238</v>
      </c>
      <c r="AX62" s="3">
        <v>0</v>
      </c>
      <c r="AY62" s="3">
        <v>0</v>
      </c>
      <c r="AZ62" s="3">
        <f t="shared" si="11"/>
        <v>20.482961102331238</v>
      </c>
      <c r="BA62" s="3">
        <f t="shared" si="39"/>
        <v>218.71793387661918</v>
      </c>
      <c r="BB62" s="3">
        <v>0</v>
      </c>
      <c r="BC62" s="3">
        <v>0</v>
      </c>
      <c r="BD62" s="3">
        <f t="shared" si="12"/>
        <v>218.71793387661918</v>
      </c>
      <c r="BE62" s="3">
        <f t="shared" si="40"/>
        <v>948.68539317006071</v>
      </c>
      <c r="BF62" s="3">
        <f t="shared" si="41"/>
        <v>0</v>
      </c>
      <c r="BG62" s="3">
        <f t="shared" si="42"/>
        <v>0</v>
      </c>
      <c r="BH62" s="3">
        <f t="shared" si="4"/>
        <v>948.68539317006071</v>
      </c>
      <c r="BI62" s="3">
        <f t="shared" si="43"/>
        <v>550.24616154050102</v>
      </c>
      <c r="BJ62" s="3">
        <v>0</v>
      </c>
      <c r="BK62" s="3">
        <v>0</v>
      </c>
      <c r="BL62" s="3">
        <f t="shared" si="5"/>
        <v>550.24616154050102</v>
      </c>
      <c r="BM62" s="3">
        <f t="shared" si="44"/>
        <v>2526.6233508942473</v>
      </c>
      <c r="BN62" s="3">
        <v>0</v>
      </c>
      <c r="BO62" s="3">
        <v>0</v>
      </c>
      <c r="BP62" s="3">
        <f t="shared" si="13"/>
        <v>2526.6233508942473</v>
      </c>
      <c r="BQ62" s="3">
        <f t="shared" si="45"/>
        <v>226.47967394042715</v>
      </c>
      <c r="BR62" s="3">
        <v>0</v>
      </c>
      <c r="BS62" s="3">
        <v>0</v>
      </c>
      <c r="BT62" s="3">
        <f t="shared" si="14"/>
        <v>226.47967394042715</v>
      </c>
      <c r="BU62" s="3">
        <f t="shared" si="46"/>
        <v>35.938494320809326</v>
      </c>
      <c r="BV62" s="3">
        <v>0</v>
      </c>
      <c r="BW62" s="3">
        <v>0</v>
      </c>
      <c r="BX62" s="3">
        <f t="shared" si="15"/>
        <v>35.938494320809326</v>
      </c>
      <c r="BY62" s="3">
        <f t="shared" si="47"/>
        <v>86.629592411369131</v>
      </c>
      <c r="BZ62" s="3">
        <v>0</v>
      </c>
      <c r="CA62" s="3">
        <v>0</v>
      </c>
      <c r="CB62" s="3">
        <f t="shared" si="16"/>
        <v>86.629592411369131</v>
      </c>
      <c r="CC62" s="3">
        <f t="shared" si="48"/>
        <v>71.721334071545613</v>
      </c>
      <c r="CD62" s="3">
        <v>0</v>
      </c>
      <c r="CE62" s="3">
        <v>0</v>
      </c>
      <c r="CF62" s="3">
        <f t="shared" si="17"/>
        <v>71.721334071545613</v>
      </c>
      <c r="CG62" s="3">
        <f t="shared" si="49"/>
        <v>82.168872033639261</v>
      </c>
      <c r="CH62" s="3">
        <v>0</v>
      </c>
      <c r="CI62" s="3">
        <v>0</v>
      </c>
      <c r="CJ62" s="3">
        <f t="shared" si="18"/>
        <v>82.168872033639261</v>
      </c>
      <c r="CK62" s="3">
        <f t="shared" si="50"/>
        <v>169.06887295438057</v>
      </c>
      <c r="CL62" s="3">
        <v>0</v>
      </c>
      <c r="CM62" s="3">
        <v>0</v>
      </c>
      <c r="CN62" s="3">
        <f t="shared" si="19"/>
        <v>169.06887295438057</v>
      </c>
      <c r="CO62" s="3">
        <f t="shared" si="51"/>
        <v>329.75763906235869</v>
      </c>
      <c r="CP62" s="3">
        <v>0</v>
      </c>
      <c r="CQ62" s="3">
        <v>0</v>
      </c>
      <c r="CR62" s="3">
        <f t="shared" si="20"/>
        <v>329.75763906235869</v>
      </c>
      <c r="CS62" s="3">
        <f t="shared" si="52"/>
        <v>969.31178736422044</v>
      </c>
      <c r="CT62" s="3">
        <v>0</v>
      </c>
      <c r="CU62" s="3">
        <v>0</v>
      </c>
      <c r="CV62" s="3">
        <f t="shared" si="21"/>
        <v>969.31178736422044</v>
      </c>
      <c r="CW62" s="3">
        <f t="shared" si="53"/>
        <v>3218.4792034006323</v>
      </c>
      <c r="CX62" s="3">
        <v>0</v>
      </c>
      <c r="CY62" s="3">
        <v>0</v>
      </c>
      <c r="CZ62" s="3">
        <f t="shared" si="22"/>
        <v>3218.4792034006323</v>
      </c>
      <c r="DA62" s="3">
        <f t="shared" si="54"/>
        <v>219.3309059248611</v>
      </c>
      <c r="DB62" s="3">
        <v>0</v>
      </c>
      <c r="DC62" s="3">
        <v>0</v>
      </c>
      <c r="DD62" s="3">
        <f t="shared" si="23"/>
        <v>219.3309059248611</v>
      </c>
      <c r="DE62" s="3">
        <f t="shared" si="55"/>
        <v>36.97416387414313</v>
      </c>
      <c r="DF62" s="3">
        <v>0</v>
      </c>
      <c r="DG62" s="3">
        <v>0</v>
      </c>
      <c r="DH62" s="3">
        <f t="shared" si="24"/>
        <v>36.97416387414313</v>
      </c>
      <c r="DI62" s="3">
        <f t="shared" si="56"/>
        <v>0</v>
      </c>
      <c r="DJ62" s="3">
        <v>0</v>
      </c>
      <c r="DK62" s="3">
        <v>0</v>
      </c>
      <c r="DL62" s="3">
        <f t="shared" si="2"/>
        <v>0</v>
      </c>
      <c r="DM62" s="3">
        <f t="shared" si="57"/>
        <v>182.78113440902382</v>
      </c>
      <c r="DN62" s="3">
        <v>0</v>
      </c>
      <c r="DO62" s="3">
        <v>0</v>
      </c>
      <c r="DP62" s="3">
        <f t="shared" si="25"/>
        <v>182.78113440902382</v>
      </c>
      <c r="DQ62" s="3">
        <f t="shared" si="58"/>
        <v>385.78646533183752</v>
      </c>
      <c r="DR62" s="3">
        <v>0</v>
      </c>
      <c r="DS62" s="3">
        <v>0</v>
      </c>
      <c r="DT62" s="3">
        <f t="shared" si="26"/>
        <v>385.78646533183752</v>
      </c>
      <c r="DU62" s="3">
        <f t="shared" si="59"/>
        <v>1920.3246980110655</v>
      </c>
      <c r="DV62" s="3">
        <v>0</v>
      </c>
      <c r="DW62" s="3">
        <v>0</v>
      </c>
      <c r="DX62" s="3">
        <f t="shared" si="27"/>
        <v>1920.3246980110655</v>
      </c>
      <c r="DY62" s="3">
        <f t="shared" si="60"/>
        <v>6.5788199186792191</v>
      </c>
      <c r="DZ62" s="3">
        <v>0</v>
      </c>
      <c r="EA62" s="3">
        <v>0</v>
      </c>
      <c r="EB62" s="3">
        <f t="shared" si="28"/>
        <v>6.5788199186792191</v>
      </c>
      <c r="EC62" s="4">
        <f t="shared" si="61"/>
        <v>13067.999999999996</v>
      </c>
      <c r="ED62" s="5">
        <f t="shared" si="29"/>
        <v>0</v>
      </c>
      <c r="EE62" s="6">
        <f t="shared" si="33"/>
        <v>13067.999999999996</v>
      </c>
      <c r="EF62" s="6">
        <f t="shared" si="33"/>
        <v>0</v>
      </c>
      <c r="EG62" s="6">
        <f t="shared" si="33"/>
        <v>0</v>
      </c>
    </row>
    <row r="63" spans="1:137" ht="12" customHeight="1" x14ac:dyDescent="0.35">
      <c r="A63" s="34" t="s">
        <v>298</v>
      </c>
      <c r="B63" s="35">
        <v>40855</v>
      </c>
      <c r="C63" s="35" t="s">
        <v>299</v>
      </c>
      <c r="D63" s="35" t="s">
        <v>303</v>
      </c>
      <c r="E63" s="34">
        <v>150431</v>
      </c>
      <c r="F63" s="35" t="s">
        <v>313</v>
      </c>
      <c r="G63" s="8">
        <v>46099</v>
      </c>
      <c r="H63" s="8">
        <v>46118</v>
      </c>
      <c r="I63" s="36">
        <v>18</v>
      </c>
      <c r="J63" s="36">
        <v>29835</v>
      </c>
      <c r="K63" s="36">
        <v>5370.3</v>
      </c>
      <c r="L63" s="37"/>
      <c r="M63" s="37"/>
      <c r="N63" s="36">
        <v>5370.3</v>
      </c>
      <c r="O63" s="36">
        <v>35205.300000000003</v>
      </c>
      <c r="P63" s="35" t="s">
        <v>95</v>
      </c>
      <c r="Q63" s="34" t="s">
        <v>185</v>
      </c>
      <c r="R63" s="35" t="s">
        <v>112</v>
      </c>
      <c r="S63" s="35" t="s">
        <v>252</v>
      </c>
      <c r="T63" s="35" t="s">
        <v>253</v>
      </c>
      <c r="U63" s="37"/>
      <c r="V63" s="34">
        <v>998599</v>
      </c>
      <c r="W63" s="35" t="s">
        <v>314</v>
      </c>
      <c r="X63" s="34" t="s">
        <v>101</v>
      </c>
      <c r="Y63" s="35">
        <v>107</v>
      </c>
      <c r="Z63" s="35" t="s">
        <v>102</v>
      </c>
      <c r="AA63" t="s">
        <v>315</v>
      </c>
      <c r="AB63">
        <v>5370.3</v>
      </c>
      <c r="AC63">
        <v>5370.3</v>
      </c>
      <c r="AD63" s="38">
        <v>0</v>
      </c>
      <c r="AE63" t="s">
        <v>104</v>
      </c>
      <c r="AF63" t="s">
        <v>73</v>
      </c>
      <c r="AG63" s="3">
        <f t="shared" si="34"/>
        <v>198.83317425872511</v>
      </c>
      <c r="AH63" s="3">
        <v>0</v>
      </c>
      <c r="AI63" s="3">
        <v>0</v>
      </c>
      <c r="AJ63" s="3">
        <f t="shared" si="7"/>
        <v>198.83317425872511</v>
      </c>
      <c r="AK63" s="3">
        <f t="shared" si="35"/>
        <v>1.6545495020284948</v>
      </c>
      <c r="AL63" s="3">
        <v>0</v>
      </c>
      <c r="AM63" s="3">
        <v>0</v>
      </c>
      <c r="AN63" s="3">
        <f t="shared" si="8"/>
        <v>1.6545495020284948</v>
      </c>
      <c r="AO63" s="3">
        <f t="shared" si="36"/>
        <v>81.955058562348455</v>
      </c>
      <c r="AP63" s="3">
        <v>0</v>
      </c>
      <c r="AQ63" s="3">
        <v>0</v>
      </c>
      <c r="AR63" s="3">
        <f t="shared" si="9"/>
        <v>81.955058562348455</v>
      </c>
      <c r="AS63" s="3">
        <f t="shared" si="37"/>
        <v>71.760533133143369</v>
      </c>
      <c r="AT63" s="3">
        <v>0</v>
      </c>
      <c r="AU63" s="3">
        <v>0</v>
      </c>
      <c r="AV63" s="3">
        <f t="shared" si="10"/>
        <v>71.760533133143369</v>
      </c>
      <c r="AW63" s="3">
        <f t="shared" si="38"/>
        <v>8.4174813290365353</v>
      </c>
      <c r="AX63" s="3">
        <v>0</v>
      </c>
      <c r="AY63" s="3">
        <v>0</v>
      </c>
      <c r="AZ63" s="3">
        <f t="shared" si="11"/>
        <v>8.4174813290365353</v>
      </c>
      <c r="BA63" s="3">
        <f t="shared" si="39"/>
        <v>89.882225305908179</v>
      </c>
      <c r="BB63" s="3">
        <v>0</v>
      </c>
      <c r="BC63" s="3">
        <v>0</v>
      </c>
      <c r="BD63" s="3">
        <f t="shared" si="12"/>
        <v>89.882225305908179</v>
      </c>
      <c r="BE63" s="3">
        <f t="shared" si="40"/>
        <v>389.86265434199402</v>
      </c>
      <c r="BF63" s="3">
        <f t="shared" si="41"/>
        <v>0</v>
      </c>
      <c r="BG63" s="3">
        <f t="shared" si="42"/>
        <v>0</v>
      </c>
      <c r="BH63" s="3">
        <f t="shared" si="4"/>
        <v>389.86265434199402</v>
      </c>
      <c r="BI63" s="3">
        <f t="shared" si="43"/>
        <v>226.12388745951583</v>
      </c>
      <c r="BJ63" s="3">
        <v>0</v>
      </c>
      <c r="BK63" s="3">
        <v>0</v>
      </c>
      <c r="BL63" s="3">
        <f t="shared" si="5"/>
        <v>226.12388745951583</v>
      </c>
      <c r="BM63" s="3">
        <f t="shared" si="44"/>
        <v>1038.3169101092269</v>
      </c>
      <c r="BN63" s="3">
        <v>0</v>
      </c>
      <c r="BO63" s="3">
        <v>0</v>
      </c>
      <c r="BP63" s="3">
        <f t="shared" si="13"/>
        <v>1038.3169101092269</v>
      </c>
      <c r="BQ63" s="3">
        <f t="shared" si="45"/>
        <v>93.07191559246067</v>
      </c>
      <c r="BR63" s="3">
        <v>0</v>
      </c>
      <c r="BS63" s="3">
        <v>0</v>
      </c>
      <c r="BT63" s="3">
        <f t="shared" si="14"/>
        <v>93.07191559246067</v>
      </c>
      <c r="BU63" s="3">
        <f t="shared" si="46"/>
        <v>14.768939091754083</v>
      </c>
      <c r="BV63" s="3">
        <v>0</v>
      </c>
      <c r="BW63" s="3">
        <v>0</v>
      </c>
      <c r="BX63" s="3">
        <f t="shared" si="15"/>
        <v>14.768939091754083</v>
      </c>
      <c r="BY63" s="3">
        <f t="shared" si="47"/>
        <v>35.600466798804383</v>
      </c>
      <c r="BZ63" s="3">
        <v>0</v>
      </c>
      <c r="CA63" s="3">
        <v>0</v>
      </c>
      <c r="CB63" s="3">
        <f t="shared" si="16"/>
        <v>35.600466798804383</v>
      </c>
      <c r="CC63" s="3">
        <f t="shared" si="48"/>
        <v>29.473911873616572</v>
      </c>
      <c r="CD63" s="3">
        <v>0</v>
      </c>
      <c r="CE63" s="3">
        <v>0</v>
      </c>
      <c r="CF63" s="3">
        <f t="shared" si="17"/>
        <v>29.473911873616572</v>
      </c>
      <c r="CG63" s="3">
        <f t="shared" si="49"/>
        <v>33.767331916303405</v>
      </c>
      <c r="CH63" s="3">
        <v>0</v>
      </c>
      <c r="CI63" s="3">
        <v>0</v>
      </c>
      <c r="CJ63" s="3">
        <f t="shared" si="18"/>
        <v>33.767331916303405</v>
      </c>
      <c r="CK63" s="3">
        <f t="shared" si="50"/>
        <v>69.478923203773348</v>
      </c>
      <c r="CL63" s="3">
        <v>0</v>
      </c>
      <c r="CM63" s="3">
        <v>0</v>
      </c>
      <c r="CN63" s="3">
        <f t="shared" si="19"/>
        <v>69.478923203773348</v>
      </c>
      <c r="CO63" s="3">
        <f t="shared" si="51"/>
        <v>135.5140380361635</v>
      </c>
      <c r="CP63" s="3">
        <v>0</v>
      </c>
      <c r="CQ63" s="3">
        <v>0</v>
      </c>
      <c r="CR63" s="3">
        <f t="shared" si="20"/>
        <v>135.5140380361635</v>
      </c>
      <c r="CS63" s="3">
        <f t="shared" si="52"/>
        <v>398.3390795593873</v>
      </c>
      <c r="CT63" s="3">
        <v>0</v>
      </c>
      <c r="CU63" s="3">
        <v>0</v>
      </c>
      <c r="CV63" s="3">
        <f t="shared" si="21"/>
        <v>398.3390795593873</v>
      </c>
      <c r="CW63" s="3">
        <f t="shared" si="53"/>
        <v>1322.6353585875738</v>
      </c>
      <c r="CX63" s="3">
        <v>0</v>
      </c>
      <c r="CY63" s="3">
        <v>0</v>
      </c>
      <c r="CZ63" s="3">
        <f t="shared" si="22"/>
        <v>1322.6353585875738</v>
      </c>
      <c r="DA63" s="3">
        <f t="shared" si="54"/>
        <v>90.134126422427428</v>
      </c>
      <c r="DB63" s="3">
        <v>0</v>
      </c>
      <c r="DC63" s="3">
        <v>0</v>
      </c>
      <c r="DD63" s="3">
        <f t="shared" si="23"/>
        <v>90.134126422427428</v>
      </c>
      <c r="DE63" s="3">
        <f t="shared" si="55"/>
        <v>15.194547922659234</v>
      </c>
      <c r="DF63" s="3">
        <v>0</v>
      </c>
      <c r="DG63" s="3">
        <v>0</v>
      </c>
      <c r="DH63" s="3">
        <f t="shared" si="24"/>
        <v>15.194547922659234</v>
      </c>
      <c r="DI63" s="3">
        <f t="shared" si="56"/>
        <v>0</v>
      </c>
      <c r="DJ63" s="3">
        <v>0</v>
      </c>
      <c r="DK63" s="3">
        <v>0</v>
      </c>
      <c r="DL63" s="3">
        <f t="shared" si="2"/>
        <v>0</v>
      </c>
      <c r="DM63" s="3">
        <f t="shared" si="57"/>
        <v>75.113982714782722</v>
      </c>
      <c r="DN63" s="3">
        <v>0</v>
      </c>
      <c r="DO63" s="3">
        <v>0</v>
      </c>
      <c r="DP63" s="3">
        <f t="shared" si="25"/>
        <v>75.113982714782722</v>
      </c>
      <c r="DQ63" s="3">
        <f t="shared" si="58"/>
        <v>158.53910734401339</v>
      </c>
      <c r="DR63" s="3">
        <v>0</v>
      </c>
      <c r="DS63" s="3">
        <v>0</v>
      </c>
      <c r="DT63" s="3">
        <f t="shared" si="26"/>
        <v>158.53910734401339</v>
      </c>
      <c r="DU63" s="3">
        <f t="shared" si="59"/>
        <v>789.1582281702498</v>
      </c>
      <c r="DV63" s="3">
        <v>0</v>
      </c>
      <c r="DW63" s="3">
        <v>0</v>
      </c>
      <c r="DX63" s="3">
        <f t="shared" si="27"/>
        <v>789.1582281702498</v>
      </c>
      <c r="DY63" s="3">
        <f t="shared" si="60"/>
        <v>2.7035687641018531</v>
      </c>
      <c r="DZ63" s="3">
        <v>0</v>
      </c>
      <c r="EA63" s="3">
        <v>0</v>
      </c>
      <c r="EB63" s="3">
        <f t="shared" si="28"/>
        <v>2.7035687641018531</v>
      </c>
      <c r="EC63" s="4">
        <f t="shared" si="61"/>
        <v>5370.2999999999975</v>
      </c>
      <c r="ED63" s="5">
        <f t="shared" si="29"/>
        <v>0</v>
      </c>
      <c r="EE63" s="6">
        <f t="shared" si="33"/>
        <v>5370.2999999999975</v>
      </c>
      <c r="EF63" s="6">
        <f t="shared" si="33"/>
        <v>0</v>
      </c>
      <c r="EG63" s="6">
        <f t="shared" si="33"/>
        <v>0</v>
      </c>
    </row>
    <row r="64" spans="1:137" ht="12" customHeight="1" x14ac:dyDescent="0.35">
      <c r="A64" s="34" t="s">
        <v>316</v>
      </c>
      <c r="B64" s="35">
        <v>43286</v>
      </c>
      <c r="C64" s="35" t="s">
        <v>317</v>
      </c>
      <c r="D64" s="35" t="s">
        <v>183</v>
      </c>
      <c r="E64" s="34">
        <v>234010</v>
      </c>
      <c r="F64" s="35" t="s">
        <v>318</v>
      </c>
      <c r="G64" s="8">
        <v>46114</v>
      </c>
      <c r="H64" s="8">
        <v>46118</v>
      </c>
      <c r="I64" s="36">
        <v>18</v>
      </c>
      <c r="J64" s="36">
        <v>135000</v>
      </c>
      <c r="K64" s="36">
        <v>24300</v>
      </c>
      <c r="L64" s="37"/>
      <c r="M64" s="37"/>
      <c r="N64" s="36">
        <v>24300</v>
      </c>
      <c r="O64" s="36">
        <v>159300</v>
      </c>
      <c r="P64" s="35" t="s">
        <v>95</v>
      </c>
      <c r="Q64" s="34" t="s">
        <v>185</v>
      </c>
      <c r="R64" s="35" t="s">
        <v>112</v>
      </c>
      <c r="S64" s="35" t="s">
        <v>252</v>
      </c>
      <c r="T64" s="35" t="s">
        <v>253</v>
      </c>
      <c r="U64" s="35" t="s">
        <v>278</v>
      </c>
      <c r="V64" s="34">
        <v>998313</v>
      </c>
      <c r="W64" s="35" t="s">
        <v>319</v>
      </c>
      <c r="X64" s="34" t="s">
        <v>101</v>
      </c>
      <c r="Y64" s="35">
        <v>107</v>
      </c>
      <c r="Z64" s="35" t="s">
        <v>102</v>
      </c>
      <c r="AA64" t="s">
        <v>320</v>
      </c>
      <c r="AB64">
        <v>24300</v>
      </c>
      <c r="AC64">
        <v>24300</v>
      </c>
      <c r="AD64" s="38">
        <v>0</v>
      </c>
      <c r="AE64" t="s">
        <v>104</v>
      </c>
      <c r="AF64" t="s">
        <v>73</v>
      </c>
      <c r="AG64" s="3">
        <f t="shared" si="34"/>
        <v>899.69762108020404</v>
      </c>
      <c r="AH64" s="3">
        <v>0</v>
      </c>
      <c r="AI64" s="3">
        <v>0</v>
      </c>
      <c r="AJ64" s="3">
        <f t="shared" si="7"/>
        <v>899.69762108020404</v>
      </c>
      <c r="AK64" s="3">
        <f t="shared" si="35"/>
        <v>7.4866493304456778</v>
      </c>
      <c r="AL64" s="3">
        <v>0</v>
      </c>
      <c r="AM64" s="3">
        <v>0</v>
      </c>
      <c r="AN64" s="3">
        <f t="shared" si="8"/>
        <v>7.4866493304456778</v>
      </c>
      <c r="AO64" s="3">
        <f t="shared" si="36"/>
        <v>370.83736906040019</v>
      </c>
      <c r="AP64" s="3">
        <v>0</v>
      </c>
      <c r="AQ64" s="3">
        <v>0</v>
      </c>
      <c r="AR64" s="3">
        <f t="shared" si="9"/>
        <v>370.83736906040019</v>
      </c>
      <c r="AS64" s="3">
        <f t="shared" si="37"/>
        <v>324.7082947201057</v>
      </c>
      <c r="AT64" s="3">
        <v>0</v>
      </c>
      <c r="AU64" s="3">
        <v>0</v>
      </c>
      <c r="AV64" s="3">
        <f t="shared" si="10"/>
        <v>324.7082947201057</v>
      </c>
      <c r="AW64" s="3">
        <f t="shared" si="38"/>
        <v>38.088150810120069</v>
      </c>
      <c r="AX64" s="3">
        <v>0</v>
      </c>
      <c r="AY64" s="3">
        <v>0</v>
      </c>
      <c r="AZ64" s="3">
        <f t="shared" si="11"/>
        <v>38.088150810120069</v>
      </c>
      <c r="BA64" s="3">
        <f t="shared" si="39"/>
        <v>406.70690183668859</v>
      </c>
      <c r="BB64" s="3">
        <v>0</v>
      </c>
      <c r="BC64" s="3">
        <v>0</v>
      </c>
      <c r="BD64" s="3">
        <f t="shared" si="12"/>
        <v>406.70690183668859</v>
      </c>
      <c r="BE64" s="3">
        <f t="shared" si="40"/>
        <v>1764.0844087873031</v>
      </c>
      <c r="BF64" s="3">
        <f t="shared" si="41"/>
        <v>0</v>
      </c>
      <c r="BG64" s="3">
        <f t="shared" si="42"/>
        <v>0</v>
      </c>
      <c r="BH64" s="3">
        <f t="shared" si="4"/>
        <v>1764.0844087873031</v>
      </c>
      <c r="BI64" s="3">
        <f t="shared" si="43"/>
        <v>1023.1850111290308</v>
      </c>
      <c r="BJ64" s="3">
        <v>0</v>
      </c>
      <c r="BK64" s="3">
        <v>0</v>
      </c>
      <c r="BL64" s="3">
        <f t="shared" si="5"/>
        <v>1023.1850111290308</v>
      </c>
      <c r="BM64" s="3">
        <f t="shared" si="44"/>
        <v>4698.2665615802125</v>
      </c>
      <c r="BN64" s="3">
        <v>0</v>
      </c>
      <c r="BO64" s="3">
        <v>0</v>
      </c>
      <c r="BP64" s="3">
        <f t="shared" si="13"/>
        <v>4698.2665615802125</v>
      </c>
      <c r="BQ64" s="3">
        <f t="shared" si="45"/>
        <v>421.13988955864551</v>
      </c>
      <c r="BR64" s="3">
        <v>0</v>
      </c>
      <c r="BS64" s="3">
        <v>0</v>
      </c>
      <c r="BT64" s="3">
        <f t="shared" si="14"/>
        <v>421.13988955864551</v>
      </c>
      <c r="BU64" s="3">
        <f t="shared" si="46"/>
        <v>66.827778695719829</v>
      </c>
      <c r="BV64" s="3">
        <v>0</v>
      </c>
      <c r="BW64" s="3">
        <v>0</v>
      </c>
      <c r="BX64" s="3">
        <f t="shared" si="15"/>
        <v>66.827778695719829</v>
      </c>
      <c r="BY64" s="3">
        <f t="shared" si="47"/>
        <v>161.08808506246328</v>
      </c>
      <c r="BZ64" s="3">
        <v>0</v>
      </c>
      <c r="CA64" s="3">
        <v>0</v>
      </c>
      <c r="CB64" s="3">
        <f t="shared" si="16"/>
        <v>161.08808506246328</v>
      </c>
      <c r="CC64" s="3">
        <f t="shared" si="48"/>
        <v>133.36611707518813</v>
      </c>
      <c r="CD64" s="3">
        <v>0</v>
      </c>
      <c r="CE64" s="3">
        <v>0</v>
      </c>
      <c r="CF64" s="3">
        <f t="shared" si="17"/>
        <v>133.36611707518813</v>
      </c>
      <c r="CG64" s="3">
        <f t="shared" si="49"/>
        <v>152.79335708734573</v>
      </c>
      <c r="CH64" s="3">
        <v>0</v>
      </c>
      <c r="CI64" s="3">
        <v>0</v>
      </c>
      <c r="CJ64" s="3">
        <f t="shared" si="18"/>
        <v>152.79335708734573</v>
      </c>
      <c r="CK64" s="3">
        <f t="shared" si="50"/>
        <v>314.38426789037715</v>
      </c>
      <c r="CL64" s="3">
        <v>0</v>
      </c>
      <c r="CM64" s="3">
        <v>0</v>
      </c>
      <c r="CN64" s="3">
        <f t="shared" si="19"/>
        <v>314.38426789037715</v>
      </c>
      <c r="CO64" s="3">
        <f t="shared" si="51"/>
        <v>613.18569247132814</v>
      </c>
      <c r="CP64" s="3">
        <v>0</v>
      </c>
      <c r="CQ64" s="3">
        <v>0</v>
      </c>
      <c r="CR64" s="3">
        <f t="shared" si="20"/>
        <v>613.18569247132814</v>
      </c>
      <c r="CS64" s="3">
        <f t="shared" si="52"/>
        <v>1802.4392740243768</v>
      </c>
      <c r="CT64" s="3">
        <v>0</v>
      </c>
      <c r="CU64" s="3">
        <v>0</v>
      </c>
      <c r="CV64" s="3">
        <f t="shared" si="21"/>
        <v>1802.4392740243768</v>
      </c>
      <c r="CW64" s="3">
        <f t="shared" si="53"/>
        <v>5984.7753782243153</v>
      </c>
      <c r="CX64" s="3">
        <v>0</v>
      </c>
      <c r="CY64" s="3">
        <v>0</v>
      </c>
      <c r="CZ64" s="3">
        <f t="shared" si="22"/>
        <v>5984.7753782243153</v>
      </c>
      <c r="DA64" s="3">
        <f t="shared" si="54"/>
        <v>407.84672589333672</v>
      </c>
      <c r="DB64" s="3">
        <v>0</v>
      </c>
      <c r="DC64" s="3">
        <v>0</v>
      </c>
      <c r="DD64" s="3">
        <f t="shared" si="23"/>
        <v>407.84672589333672</v>
      </c>
      <c r="DE64" s="3">
        <f t="shared" si="55"/>
        <v>68.753610509770283</v>
      </c>
      <c r="DF64" s="3">
        <v>0</v>
      </c>
      <c r="DG64" s="3">
        <v>0</v>
      </c>
      <c r="DH64" s="3">
        <f t="shared" si="24"/>
        <v>68.753610509770283</v>
      </c>
      <c r="DI64" s="3">
        <f t="shared" si="56"/>
        <v>0</v>
      </c>
      <c r="DJ64" s="3">
        <v>0</v>
      </c>
      <c r="DK64" s="3">
        <v>0</v>
      </c>
      <c r="DL64" s="3">
        <f t="shared" si="2"/>
        <v>0</v>
      </c>
      <c r="DM64" s="3">
        <f t="shared" si="57"/>
        <v>339.88227472752362</v>
      </c>
      <c r="DN64" s="3">
        <v>0</v>
      </c>
      <c r="DO64" s="3">
        <v>0</v>
      </c>
      <c r="DP64" s="3">
        <f t="shared" si="25"/>
        <v>339.88227472752362</v>
      </c>
      <c r="DQ64" s="3">
        <f t="shared" si="58"/>
        <v>717.37152644349953</v>
      </c>
      <c r="DR64" s="3">
        <v>0</v>
      </c>
      <c r="DS64" s="3">
        <v>0</v>
      </c>
      <c r="DT64" s="3">
        <f t="shared" si="26"/>
        <v>717.37152644349953</v>
      </c>
      <c r="DU64" s="3">
        <f t="shared" si="59"/>
        <v>3570.8517111776009</v>
      </c>
      <c r="DV64" s="3">
        <v>0</v>
      </c>
      <c r="DW64" s="3">
        <v>0</v>
      </c>
      <c r="DX64" s="3">
        <f t="shared" si="27"/>
        <v>3570.8517111776009</v>
      </c>
      <c r="DY64" s="3">
        <f t="shared" si="60"/>
        <v>12.233342823990286</v>
      </c>
      <c r="DZ64" s="3">
        <v>0</v>
      </c>
      <c r="EA64" s="3">
        <v>0</v>
      </c>
      <c r="EB64" s="3">
        <f t="shared" si="28"/>
        <v>12.233342823990286</v>
      </c>
      <c r="EC64" s="4">
        <f t="shared" si="61"/>
        <v>24299.999999999996</v>
      </c>
      <c r="ED64" s="5">
        <f t="shared" si="29"/>
        <v>0</v>
      </c>
      <c r="EE64" s="6">
        <f t="shared" si="33"/>
        <v>24299.999999999996</v>
      </c>
      <c r="EF64" s="6">
        <f t="shared" si="33"/>
        <v>0</v>
      </c>
      <c r="EG64" s="6">
        <f t="shared" si="33"/>
        <v>0</v>
      </c>
    </row>
    <row r="65" spans="1:137" ht="12" customHeight="1" x14ac:dyDescent="0.35">
      <c r="A65" s="34" t="s">
        <v>321</v>
      </c>
      <c r="B65" s="35">
        <v>3374</v>
      </c>
      <c r="C65" s="35" t="s">
        <v>322</v>
      </c>
      <c r="D65" s="35" t="s">
        <v>323</v>
      </c>
      <c r="E65" s="34">
        <v>234070</v>
      </c>
      <c r="F65" s="35" t="s">
        <v>324</v>
      </c>
      <c r="G65" s="8">
        <v>46114</v>
      </c>
      <c r="H65" s="8">
        <v>46120</v>
      </c>
      <c r="I65" s="36">
        <v>18</v>
      </c>
      <c r="J65" s="36">
        <v>299500</v>
      </c>
      <c r="K65" s="36">
        <v>53910</v>
      </c>
      <c r="L65" s="37"/>
      <c r="M65" s="37"/>
      <c r="N65" s="36">
        <v>53910</v>
      </c>
      <c r="O65" s="36">
        <v>353410</v>
      </c>
      <c r="P65" s="35" t="s">
        <v>95</v>
      </c>
      <c r="Q65" s="34" t="s">
        <v>185</v>
      </c>
      <c r="R65" s="35" t="s">
        <v>112</v>
      </c>
      <c r="S65" s="35" t="s">
        <v>252</v>
      </c>
      <c r="T65" s="35" t="s">
        <v>253</v>
      </c>
      <c r="U65" s="37"/>
      <c r="V65" s="34">
        <v>998224</v>
      </c>
      <c r="W65" s="35" t="s">
        <v>325</v>
      </c>
      <c r="X65" s="34" t="s">
        <v>101</v>
      </c>
      <c r="Y65" s="35">
        <v>107</v>
      </c>
      <c r="Z65" s="35" t="s">
        <v>102</v>
      </c>
      <c r="AA65" t="s">
        <v>326</v>
      </c>
      <c r="AB65">
        <v>53910</v>
      </c>
      <c r="AC65">
        <v>53910</v>
      </c>
      <c r="AD65" s="38">
        <v>0</v>
      </c>
      <c r="AE65" t="s">
        <v>104</v>
      </c>
      <c r="AF65" t="s">
        <v>73</v>
      </c>
      <c r="AG65" s="3">
        <f t="shared" si="34"/>
        <v>1995.9958334334897</v>
      </c>
      <c r="AH65" s="3">
        <v>0</v>
      </c>
      <c r="AI65" s="3">
        <v>0</v>
      </c>
      <c r="AJ65" s="3">
        <f t="shared" si="7"/>
        <v>1995.9958334334897</v>
      </c>
      <c r="AK65" s="3">
        <f t="shared" si="35"/>
        <v>16.609270181248004</v>
      </c>
      <c r="AL65" s="3">
        <v>0</v>
      </c>
      <c r="AM65" s="3">
        <v>0</v>
      </c>
      <c r="AN65" s="3">
        <f t="shared" si="8"/>
        <v>16.609270181248004</v>
      </c>
      <c r="AO65" s="3">
        <f t="shared" si="36"/>
        <v>822.70957061918421</v>
      </c>
      <c r="AP65" s="3">
        <v>0</v>
      </c>
      <c r="AQ65" s="3">
        <v>0</v>
      </c>
      <c r="AR65" s="3">
        <f t="shared" si="9"/>
        <v>822.70957061918421</v>
      </c>
      <c r="AS65" s="3">
        <f t="shared" si="37"/>
        <v>720.37136495312348</v>
      </c>
      <c r="AT65" s="3">
        <v>0</v>
      </c>
      <c r="AU65" s="3">
        <v>0</v>
      </c>
      <c r="AV65" s="3">
        <f t="shared" si="10"/>
        <v>720.37136495312348</v>
      </c>
      <c r="AW65" s="3">
        <f t="shared" si="38"/>
        <v>84.49926790837749</v>
      </c>
      <c r="AX65" s="3">
        <v>0</v>
      </c>
      <c r="AY65" s="3">
        <v>0</v>
      </c>
      <c r="AZ65" s="3">
        <f t="shared" si="11"/>
        <v>84.49926790837749</v>
      </c>
      <c r="BA65" s="3">
        <f t="shared" si="39"/>
        <v>902.28679333398679</v>
      </c>
      <c r="BB65" s="3">
        <v>0</v>
      </c>
      <c r="BC65" s="3">
        <v>0</v>
      </c>
      <c r="BD65" s="3">
        <f t="shared" si="12"/>
        <v>902.28679333398679</v>
      </c>
      <c r="BE65" s="3">
        <f t="shared" si="40"/>
        <v>3913.6539291244239</v>
      </c>
      <c r="BF65" s="3">
        <f t="shared" si="41"/>
        <v>0</v>
      </c>
      <c r="BG65" s="3">
        <f t="shared" si="42"/>
        <v>0</v>
      </c>
      <c r="BH65" s="3">
        <f t="shared" si="4"/>
        <v>3913.6539291244239</v>
      </c>
      <c r="BI65" s="3">
        <f t="shared" si="43"/>
        <v>2269.9548950603316</v>
      </c>
      <c r="BJ65" s="3">
        <v>0</v>
      </c>
      <c r="BK65" s="3">
        <v>0</v>
      </c>
      <c r="BL65" s="3">
        <f t="shared" si="5"/>
        <v>2269.9548950603316</v>
      </c>
      <c r="BM65" s="3">
        <f t="shared" si="44"/>
        <v>10423.191371802028</v>
      </c>
      <c r="BN65" s="3">
        <v>0</v>
      </c>
      <c r="BO65" s="3">
        <v>0</v>
      </c>
      <c r="BP65" s="3">
        <f t="shared" si="13"/>
        <v>10423.191371802028</v>
      </c>
      <c r="BQ65" s="3">
        <f t="shared" si="45"/>
        <v>934.30664387269883</v>
      </c>
      <c r="BR65" s="3">
        <v>0</v>
      </c>
      <c r="BS65" s="3">
        <v>0</v>
      </c>
      <c r="BT65" s="3">
        <f t="shared" si="14"/>
        <v>934.30664387269883</v>
      </c>
      <c r="BU65" s="3">
        <f t="shared" si="46"/>
        <v>148.25866458791177</v>
      </c>
      <c r="BV65" s="3">
        <v>0</v>
      </c>
      <c r="BW65" s="3">
        <v>0</v>
      </c>
      <c r="BX65" s="3">
        <f t="shared" si="15"/>
        <v>148.25866458791177</v>
      </c>
      <c r="BY65" s="3">
        <f t="shared" si="47"/>
        <v>357.37689982376105</v>
      </c>
      <c r="BZ65" s="3">
        <v>0</v>
      </c>
      <c r="CA65" s="3">
        <v>0</v>
      </c>
      <c r="CB65" s="3">
        <f t="shared" si="16"/>
        <v>357.37689982376105</v>
      </c>
      <c r="CC65" s="3">
        <f t="shared" si="48"/>
        <v>295.87520047421361</v>
      </c>
      <c r="CD65" s="3">
        <v>0</v>
      </c>
      <c r="CE65" s="3">
        <v>0</v>
      </c>
      <c r="CF65" s="3">
        <f t="shared" si="17"/>
        <v>295.87520047421361</v>
      </c>
      <c r="CG65" s="3">
        <f t="shared" si="49"/>
        <v>338.97489220488927</v>
      </c>
      <c r="CH65" s="3">
        <v>0</v>
      </c>
      <c r="CI65" s="3">
        <v>0</v>
      </c>
      <c r="CJ65" s="3">
        <f t="shared" si="18"/>
        <v>338.97489220488927</v>
      </c>
      <c r="CK65" s="3">
        <f t="shared" si="50"/>
        <v>697.4673202456886</v>
      </c>
      <c r="CL65" s="3">
        <v>0</v>
      </c>
      <c r="CM65" s="3">
        <v>0</v>
      </c>
      <c r="CN65" s="3">
        <f t="shared" si="19"/>
        <v>697.4673202456886</v>
      </c>
      <c r="CO65" s="3">
        <f t="shared" si="51"/>
        <v>1360.3638140382427</v>
      </c>
      <c r="CP65" s="3">
        <v>0</v>
      </c>
      <c r="CQ65" s="3">
        <v>0</v>
      </c>
      <c r="CR65" s="3">
        <f t="shared" si="20"/>
        <v>1360.3638140382427</v>
      </c>
      <c r="CS65" s="3">
        <f t="shared" si="52"/>
        <v>3998.7449079281541</v>
      </c>
      <c r="CT65" s="3">
        <v>0</v>
      </c>
      <c r="CU65" s="3">
        <v>0</v>
      </c>
      <c r="CV65" s="3">
        <f t="shared" si="21"/>
        <v>3998.7449079281541</v>
      </c>
      <c r="CW65" s="3">
        <f t="shared" si="53"/>
        <v>13277.335005764317</v>
      </c>
      <c r="CX65" s="3">
        <v>0</v>
      </c>
      <c r="CY65" s="3">
        <v>0</v>
      </c>
      <c r="CZ65" s="3">
        <f t="shared" si="22"/>
        <v>13277.335005764317</v>
      </c>
      <c r="DA65" s="3">
        <f t="shared" si="54"/>
        <v>904.81551411151383</v>
      </c>
      <c r="DB65" s="3">
        <v>0</v>
      </c>
      <c r="DC65" s="3">
        <v>0</v>
      </c>
      <c r="DD65" s="3">
        <f t="shared" si="23"/>
        <v>904.81551411151383</v>
      </c>
      <c r="DE65" s="3">
        <f t="shared" si="55"/>
        <v>152.53115813093484</v>
      </c>
      <c r="DF65" s="3">
        <v>0</v>
      </c>
      <c r="DG65" s="3">
        <v>0</v>
      </c>
      <c r="DH65" s="3">
        <f t="shared" si="24"/>
        <v>152.53115813093484</v>
      </c>
      <c r="DI65" s="3">
        <f t="shared" si="56"/>
        <v>0</v>
      </c>
      <c r="DJ65" s="3">
        <v>0</v>
      </c>
      <c r="DK65" s="3">
        <v>0</v>
      </c>
      <c r="DL65" s="3">
        <f t="shared" si="2"/>
        <v>0</v>
      </c>
      <c r="DM65" s="3">
        <f t="shared" si="57"/>
        <v>754.03512059920979</v>
      </c>
      <c r="DN65" s="3">
        <v>0</v>
      </c>
      <c r="DO65" s="3">
        <v>0</v>
      </c>
      <c r="DP65" s="3">
        <f t="shared" si="25"/>
        <v>754.03512059920979</v>
      </c>
      <c r="DQ65" s="3">
        <f t="shared" si="58"/>
        <v>1591.5020160728009</v>
      </c>
      <c r="DR65" s="3">
        <v>0</v>
      </c>
      <c r="DS65" s="3">
        <v>0</v>
      </c>
      <c r="DT65" s="3">
        <f t="shared" si="26"/>
        <v>1591.5020160728009</v>
      </c>
      <c r="DU65" s="3">
        <f t="shared" si="59"/>
        <v>7922.0006481310493</v>
      </c>
      <c r="DV65" s="3">
        <v>0</v>
      </c>
      <c r="DW65" s="3">
        <v>0</v>
      </c>
      <c r="DX65" s="3">
        <f t="shared" si="27"/>
        <v>7922.0006481310493</v>
      </c>
      <c r="DY65" s="3">
        <f t="shared" si="60"/>
        <v>27.139897598408076</v>
      </c>
      <c r="DZ65" s="3">
        <v>0</v>
      </c>
      <c r="EA65" s="3">
        <v>0</v>
      </c>
      <c r="EB65" s="3">
        <f t="shared" si="28"/>
        <v>27.139897598408076</v>
      </c>
      <c r="EC65" s="4">
        <f t="shared" si="61"/>
        <v>53909.999999999985</v>
      </c>
      <c r="ED65" s="5">
        <f t="shared" si="29"/>
        <v>0</v>
      </c>
      <c r="EE65" s="6">
        <f t="shared" si="33"/>
        <v>53909.999999999985</v>
      </c>
      <c r="EF65" s="6">
        <f t="shared" si="33"/>
        <v>0</v>
      </c>
      <c r="EG65" s="6">
        <f t="shared" si="33"/>
        <v>0</v>
      </c>
    </row>
    <row r="66" spans="1:137" ht="12" customHeight="1" x14ac:dyDescent="0.35">
      <c r="A66" s="34" t="s">
        <v>327</v>
      </c>
      <c r="B66" s="35">
        <v>36667</v>
      </c>
      <c r="C66" s="35" t="s">
        <v>328</v>
      </c>
      <c r="D66" s="35" t="s">
        <v>329</v>
      </c>
      <c r="E66" s="34">
        <v>420803</v>
      </c>
      <c r="F66" s="35" t="s">
        <v>330</v>
      </c>
      <c r="G66" s="8">
        <v>46115</v>
      </c>
      <c r="H66" s="8">
        <v>46127</v>
      </c>
      <c r="I66" s="36">
        <v>18</v>
      </c>
      <c r="J66" s="36">
        <v>2926</v>
      </c>
      <c r="K66" s="37"/>
      <c r="L66" s="36">
        <v>263.33999999999997</v>
      </c>
      <c r="M66" s="36">
        <v>263.33999999999997</v>
      </c>
      <c r="N66" s="36">
        <v>526.67999999999995</v>
      </c>
      <c r="O66" s="36">
        <v>3452.68</v>
      </c>
      <c r="P66" s="35" t="s">
        <v>95</v>
      </c>
      <c r="Q66" s="34" t="s">
        <v>185</v>
      </c>
      <c r="R66" s="35" t="s">
        <v>331</v>
      </c>
      <c r="S66" s="35" t="s">
        <v>252</v>
      </c>
      <c r="T66" s="35" t="s">
        <v>253</v>
      </c>
      <c r="U66" s="35" t="s">
        <v>261</v>
      </c>
      <c r="V66" s="34">
        <v>998400</v>
      </c>
      <c r="W66" s="35" t="s">
        <v>332</v>
      </c>
      <c r="X66" s="34" t="s">
        <v>101</v>
      </c>
      <c r="Y66" s="35">
        <v>107</v>
      </c>
      <c r="Z66" s="35" t="s">
        <v>102</v>
      </c>
      <c r="AA66" t="s">
        <v>333</v>
      </c>
      <c r="AB66">
        <v>526.67999999999995</v>
      </c>
      <c r="AC66">
        <v>732.96</v>
      </c>
      <c r="AD66" s="38">
        <v>-206</v>
      </c>
      <c r="AE66" t="s">
        <v>104</v>
      </c>
      <c r="AF66" t="s">
        <v>73</v>
      </c>
      <c r="AG66" s="3">
        <f t="shared" si="34"/>
        <v>19.500112883560568</v>
      </c>
      <c r="AH66" s="3">
        <v>0</v>
      </c>
      <c r="AI66" s="3">
        <v>0</v>
      </c>
      <c r="AJ66" s="3">
        <f t="shared" si="7"/>
        <v>19.500112883560568</v>
      </c>
      <c r="AK66" s="3">
        <f t="shared" si="35"/>
        <v>0.16226619215469668</v>
      </c>
      <c r="AL66" s="3">
        <v>0</v>
      </c>
      <c r="AM66" s="3">
        <v>0</v>
      </c>
      <c r="AN66" s="3">
        <f t="shared" si="8"/>
        <v>0.16226619215469668</v>
      </c>
      <c r="AO66" s="3">
        <f t="shared" si="36"/>
        <v>8.0375566064498596</v>
      </c>
      <c r="AP66" s="3">
        <v>0</v>
      </c>
      <c r="AQ66" s="3">
        <v>0</v>
      </c>
      <c r="AR66" s="3">
        <f t="shared" si="9"/>
        <v>8.0375566064498596</v>
      </c>
      <c r="AS66" s="3">
        <f t="shared" si="37"/>
        <v>7.0377516322298463</v>
      </c>
      <c r="AT66" s="3">
        <v>0</v>
      </c>
      <c r="AU66" s="3">
        <v>0</v>
      </c>
      <c r="AV66" s="3">
        <f t="shared" si="10"/>
        <v>7.0377516322298463</v>
      </c>
      <c r="AW66" s="3">
        <f t="shared" si="38"/>
        <v>0.82552540200304669</v>
      </c>
      <c r="AX66" s="3">
        <v>0</v>
      </c>
      <c r="AY66" s="3">
        <v>0</v>
      </c>
      <c r="AZ66" s="3">
        <f t="shared" si="11"/>
        <v>0.82552540200304669</v>
      </c>
      <c r="BA66" s="3">
        <f t="shared" si="39"/>
        <v>8.8149955168455616</v>
      </c>
      <c r="BB66" s="3">
        <v>0</v>
      </c>
      <c r="BC66" s="3">
        <v>0</v>
      </c>
      <c r="BD66" s="3">
        <f t="shared" si="12"/>
        <v>8.8149955168455616</v>
      </c>
      <c r="BE66" s="3">
        <f t="shared" si="40"/>
        <v>0</v>
      </c>
      <c r="BF66" s="3">
        <f t="shared" si="41"/>
        <v>19.117448074487587</v>
      </c>
      <c r="BG66" s="3">
        <f t="shared" si="42"/>
        <v>19.117448074487587</v>
      </c>
      <c r="BH66" s="3">
        <f t="shared" si="4"/>
        <v>38.234896148975174</v>
      </c>
      <c r="BI66" s="3">
        <f t="shared" si="43"/>
        <v>22.176587722692918</v>
      </c>
      <c r="BJ66" s="3">
        <v>0</v>
      </c>
      <c r="BK66" s="3">
        <v>0</v>
      </c>
      <c r="BL66" s="3">
        <f t="shared" si="5"/>
        <v>22.176587722692918</v>
      </c>
      <c r="BM66" s="3">
        <f t="shared" si="44"/>
        <v>101.83057747543482</v>
      </c>
      <c r="BN66" s="3">
        <v>0</v>
      </c>
      <c r="BO66" s="3">
        <v>0</v>
      </c>
      <c r="BP66" s="3">
        <f t="shared" si="13"/>
        <v>101.83057747543482</v>
      </c>
      <c r="BQ66" s="3">
        <f t="shared" si="45"/>
        <v>9.1278171618414579</v>
      </c>
      <c r="BR66" s="3">
        <v>0</v>
      </c>
      <c r="BS66" s="3">
        <v>0</v>
      </c>
      <c r="BT66" s="3">
        <f t="shared" si="14"/>
        <v>9.1278171618414579</v>
      </c>
      <c r="BU66" s="3">
        <f t="shared" si="46"/>
        <v>1.4484302256568606</v>
      </c>
      <c r="BV66" s="3">
        <v>0</v>
      </c>
      <c r="BW66" s="3">
        <v>0</v>
      </c>
      <c r="BX66" s="3">
        <f t="shared" si="15"/>
        <v>1.4484302256568606</v>
      </c>
      <c r="BY66" s="3">
        <f t="shared" si="47"/>
        <v>3.4914350880945735</v>
      </c>
      <c r="BZ66" s="3">
        <v>0</v>
      </c>
      <c r="CA66" s="3">
        <v>0</v>
      </c>
      <c r="CB66" s="3">
        <f t="shared" si="16"/>
        <v>3.4914350880945735</v>
      </c>
      <c r="CC66" s="3">
        <f t="shared" si="48"/>
        <v>2.8905871004592618</v>
      </c>
      <c r="CD66" s="3">
        <v>0</v>
      </c>
      <c r="CE66" s="3">
        <v>0</v>
      </c>
      <c r="CF66" s="3">
        <f t="shared" si="17"/>
        <v>2.8905871004592618</v>
      </c>
      <c r="CG66" s="3">
        <f t="shared" si="49"/>
        <v>3.3116545395375825</v>
      </c>
      <c r="CH66" s="3">
        <v>0</v>
      </c>
      <c r="CI66" s="3">
        <v>0</v>
      </c>
      <c r="CJ66" s="3">
        <f t="shared" si="18"/>
        <v>3.3116545395375825</v>
      </c>
      <c r="CK66" s="3">
        <f t="shared" si="50"/>
        <v>6.8139879099795806</v>
      </c>
      <c r="CL66" s="3">
        <v>0</v>
      </c>
      <c r="CM66" s="3">
        <v>0</v>
      </c>
      <c r="CN66" s="3">
        <f t="shared" si="19"/>
        <v>6.8139879099795806</v>
      </c>
      <c r="CO66" s="3">
        <f t="shared" si="51"/>
        <v>13.290232119785971</v>
      </c>
      <c r="CP66" s="3">
        <v>0</v>
      </c>
      <c r="CQ66" s="3">
        <v>0</v>
      </c>
      <c r="CR66" s="3">
        <f t="shared" si="20"/>
        <v>13.290232119785971</v>
      </c>
      <c r="CS66" s="3">
        <f t="shared" si="52"/>
        <v>39.066202339224638</v>
      </c>
      <c r="CT66" s="3">
        <v>0</v>
      </c>
      <c r="CU66" s="3">
        <v>0</v>
      </c>
      <c r="CV66" s="3">
        <f t="shared" si="21"/>
        <v>39.066202339224638</v>
      </c>
      <c r="CW66" s="3">
        <f t="shared" si="53"/>
        <v>129.71446486432851</v>
      </c>
      <c r="CX66" s="3">
        <v>0</v>
      </c>
      <c r="CY66" s="3">
        <v>0</v>
      </c>
      <c r="CZ66" s="3">
        <f t="shared" si="22"/>
        <v>129.71446486432851</v>
      </c>
      <c r="DA66" s="3">
        <f t="shared" si="54"/>
        <v>8.8397001478807642</v>
      </c>
      <c r="DB66" s="3">
        <v>0</v>
      </c>
      <c r="DC66" s="3">
        <v>0</v>
      </c>
      <c r="DD66" s="3">
        <f t="shared" si="23"/>
        <v>8.8397001478807642</v>
      </c>
      <c r="DE66" s="3">
        <f t="shared" si="55"/>
        <v>1.4901708470487989</v>
      </c>
      <c r="DF66" s="3">
        <v>0</v>
      </c>
      <c r="DG66" s="3">
        <v>0</v>
      </c>
      <c r="DH66" s="3">
        <f t="shared" si="24"/>
        <v>1.4901708470487989</v>
      </c>
      <c r="DI66" s="3">
        <f t="shared" si="56"/>
        <v>0</v>
      </c>
      <c r="DJ66" s="3">
        <v>0</v>
      </c>
      <c r="DK66" s="3">
        <v>0</v>
      </c>
      <c r="DL66" s="3">
        <f t="shared" si="2"/>
        <v>0</v>
      </c>
      <c r="DM66" s="3">
        <f t="shared" si="57"/>
        <v>7.3666335989091412</v>
      </c>
      <c r="DN66" s="3">
        <v>0</v>
      </c>
      <c r="DO66" s="3">
        <v>0</v>
      </c>
      <c r="DP66" s="3">
        <f t="shared" si="25"/>
        <v>7.3666335989091412</v>
      </c>
      <c r="DQ66" s="3">
        <f t="shared" si="58"/>
        <v>15.548363602767996</v>
      </c>
      <c r="DR66" s="3">
        <v>0</v>
      </c>
      <c r="DS66" s="3">
        <v>0</v>
      </c>
      <c r="DT66" s="3">
        <f t="shared" si="26"/>
        <v>15.548363602767996</v>
      </c>
      <c r="DU66" s="3">
        <f t="shared" si="59"/>
        <v>77.394904495597473</v>
      </c>
      <c r="DV66" s="3">
        <v>0</v>
      </c>
      <c r="DW66" s="3">
        <v>0</v>
      </c>
      <c r="DX66" s="3">
        <f t="shared" si="27"/>
        <v>77.394904495597473</v>
      </c>
      <c r="DY66" s="3">
        <f t="shared" si="60"/>
        <v>0.26514637854070794</v>
      </c>
      <c r="DZ66" s="3">
        <v>0</v>
      </c>
      <c r="EA66" s="3">
        <v>0</v>
      </c>
      <c r="EB66" s="3">
        <f t="shared" si="28"/>
        <v>0.26514637854070794</v>
      </c>
      <c r="EC66" s="4">
        <f t="shared" si="61"/>
        <v>526.67999999999972</v>
      </c>
      <c r="ED66" s="5">
        <f t="shared" si="29"/>
        <v>0</v>
      </c>
      <c r="EE66" s="6">
        <f t="shared" si="33"/>
        <v>488.44510385102456</v>
      </c>
      <c r="EF66" s="6">
        <f t="shared" si="33"/>
        <v>19.117448074487587</v>
      </c>
      <c r="EG66" s="6">
        <f t="shared" si="33"/>
        <v>19.117448074487587</v>
      </c>
    </row>
    <row r="67" spans="1:137" ht="12" customHeight="1" x14ac:dyDescent="0.35">
      <c r="A67" s="34" t="s">
        <v>327</v>
      </c>
      <c r="B67" s="35">
        <v>36667</v>
      </c>
      <c r="C67" s="35" t="s">
        <v>328</v>
      </c>
      <c r="D67" s="35" t="s">
        <v>329</v>
      </c>
      <c r="E67" s="34">
        <v>420803</v>
      </c>
      <c r="F67" s="35" t="s">
        <v>330</v>
      </c>
      <c r="G67" s="8">
        <v>46115</v>
      </c>
      <c r="H67" s="8">
        <v>46127</v>
      </c>
      <c r="I67" s="36">
        <v>18</v>
      </c>
      <c r="J67" s="36">
        <v>1146</v>
      </c>
      <c r="K67" s="37"/>
      <c r="L67" s="36">
        <v>103.14</v>
      </c>
      <c r="M67" s="36">
        <v>103.14</v>
      </c>
      <c r="N67" s="36">
        <v>206.28</v>
      </c>
      <c r="O67" s="36">
        <v>1352.28</v>
      </c>
      <c r="P67" s="35" t="s">
        <v>95</v>
      </c>
      <c r="Q67" s="34" t="s">
        <v>185</v>
      </c>
      <c r="R67" s="35" t="s">
        <v>331</v>
      </c>
      <c r="S67" s="35" t="s">
        <v>252</v>
      </c>
      <c r="T67" s="35" t="s">
        <v>253</v>
      </c>
      <c r="U67" s="35" t="s">
        <v>261</v>
      </c>
      <c r="V67" s="34">
        <v>998400</v>
      </c>
      <c r="W67" s="35" t="s">
        <v>334</v>
      </c>
      <c r="X67" s="34" t="s">
        <v>101</v>
      </c>
      <c r="Y67" s="35">
        <v>107</v>
      </c>
      <c r="Z67" s="35" t="s">
        <v>102</v>
      </c>
      <c r="AA67" t="s">
        <v>333</v>
      </c>
      <c r="AB67">
        <v>206.28</v>
      </c>
      <c r="AC67">
        <v>732.96</v>
      </c>
      <c r="AD67" s="38">
        <v>-527</v>
      </c>
      <c r="AE67" t="s">
        <v>104</v>
      </c>
      <c r="AF67" t="s">
        <v>73</v>
      </c>
      <c r="AG67" s="3">
        <f t="shared" si="34"/>
        <v>7.637433138947511</v>
      </c>
      <c r="AH67" s="3">
        <v>0</v>
      </c>
      <c r="AI67" s="3">
        <v>0</v>
      </c>
      <c r="AJ67" s="3">
        <f t="shared" si="7"/>
        <v>7.637433138947511</v>
      </c>
      <c r="AK67" s="3">
        <f t="shared" si="35"/>
        <v>6.3553334316227755E-2</v>
      </c>
      <c r="AL67" s="3">
        <v>0</v>
      </c>
      <c r="AM67" s="3">
        <v>0</v>
      </c>
      <c r="AN67" s="3">
        <f t="shared" si="8"/>
        <v>6.3553334316227755E-2</v>
      </c>
      <c r="AO67" s="3">
        <f t="shared" si="36"/>
        <v>3.1479972218016199</v>
      </c>
      <c r="AP67" s="3">
        <v>0</v>
      </c>
      <c r="AQ67" s="3">
        <v>0</v>
      </c>
      <c r="AR67" s="3">
        <f t="shared" si="9"/>
        <v>3.1479972218016199</v>
      </c>
      <c r="AS67" s="3">
        <f t="shared" si="37"/>
        <v>2.7564126351795641</v>
      </c>
      <c r="AT67" s="3">
        <v>0</v>
      </c>
      <c r="AU67" s="3">
        <v>0</v>
      </c>
      <c r="AV67" s="3">
        <f t="shared" si="10"/>
        <v>2.7564126351795641</v>
      </c>
      <c r="AW67" s="3">
        <f t="shared" si="38"/>
        <v>0.32332608021035258</v>
      </c>
      <c r="AX67" s="3">
        <v>0</v>
      </c>
      <c r="AY67" s="3">
        <v>0</v>
      </c>
      <c r="AZ67" s="3">
        <f t="shared" si="11"/>
        <v>0.32332608021035258</v>
      </c>
      <c r="BA67" s="3">
        <f t="shared" si="39"/>
        <v>3.4524897000358901</v>
      </c>
      <c r="BB67" s="3">
        <v>0</v>
      </c>
      <c r="BC67" s="3">
        <v>0</v>
      </c>
      <c r="BD67" s="3">
        <f t="shared" si="12"/>
        <v>3.4524897000358901</v>
      </c>
      <c r="BE67" s="3">
        <f t="shared" si="40"/>
        <v>0</v>
      </c>
      <c r="BF67" s="3">
        <f t="shared" si="41"/>
        <v>7.4875582684083311</v>
      </c>
      <c r="BG67" s="3">
        <f t="shared" si="42"/>
        <v>7.4875582684083311</v>
      </c>
      <c r="BH67" s="3">
        <f t="shared" si="4"/>
        <v>14.975116536816662</v>
      </c>
      <c r="BI67" s="3">
        <f t="shared" si="43"/>
        <v>8.6857038722508833</v>
      </c>
      <c r="BJ67" s="3">
        <v>0</v>
      </c>
      <c r="BK67" s="3">
        <v>0</v>
      </c>
      <c r="BL67" s="3">
        <f t="shared" si="5"/>
        <v>8.6857038722508833</v>
      </c>
      <c r="BM67" s="3">
        <f t="shared" si="44"/>
        <v>39.883062811636471</v>
      </c>
      <c r="BN67" s="3">
        <v>0</v>
      </c>
      <c r="BO67" s="3">
        <v>0</v>
      </c>
      <c r="BP67" s="3">
        <f t="shared" si="13"/>
        <v>39.883062811636471</v>
      </c>
      <c r="BQ67" s="3">
        <f t="shared" si="45"/>
        <v>3.57500972914228</v>
      </c>
      <c r="BR67" s="3">
        <v>0</v>
      </c>
      <c r="BS67" s="3">
        <v>0</v>
      </c>
      <c r="BT67" s="3">
        <f t="shared" si="14"/>
        <v>3.57500972914228</v>
      </c>
      <c r="BU67" s="3">
        <f t="shared" si="46"/>
        <v>0.56729358803922159</v>
      </c>
      <c r="BV67" s="3">
        <v>0</v>
      </c>
      <c r="BW67" s="3">
        <v>0</v>
      </c>
      <c r="BX67" s="3">
        <f t="shared" si="15"/>
        <v>0.56729358803922159</v>
      </c>
      <c r="BY67" s="3">
        <f t="shared" si="47"/>
        <v>1.3674588554191327</v>
      </c>
      <c r="BZ67" s="3">
        <v>0</v>
      </c>
      <c r="CA67" s="3">
        <v>0</v>
      </c>
      <c r="CB67" s="3">
        <f t="shared" si="16"/>
        <v>1.3674588554191327</v>
      </c>
      <c r="CC67" s="3">
        <f t="shared" si="48"/>
        <v>1.1321301493938192</v>
      </c>
      <c r="CD67" s="3">
        <v>0</v>
      </c>
      <c r="CE67" s="3">
        <v>0</v>
      </c>
      <c r="CF67" s="3">
        <f t="shared" si="17"/>
        <v>1.1321301493938192</v>
      </c>
      <c r="CG67" s="3">
        <f t="shared" si="49"/>
        <v>1.2970458312748017</v>
      </c>
      <c r="CH67" s="3">
        <v>0</v>
      </c>
      <c r="CI67" s="3">
        <v>0</v>
      </c>
      <c r="CJ67" s="3">
        <f t="shared" si="18"/>
        <v>1.2970458312748017</v>
      </c>
      <c r="CK67" s="3">
        <f t="shared" si="50"/>
        <v>2.6687731185360906</v>
      </c>
      <c r="CL67" s="3">
        <v>0</v>
      </c>
      <c r="CM67" s="3">
        <v>0</v>
      </c>
      <c r="CN67" s="3">
        <f t="shared" si="19"/>
        <v>2.6687731185360906</v>
      </c>
      <c r="CO67" s="3">
        <f t="shared" si="51"/>
        <v>5.2052652116454965</v>
      </c>
      <c r="CP67" s="3">
        <v>0</v>
      </c>
      <c r="CQ67" s="3">
        <v>0</v>
      </c>
      <c r="CR67" s="3">
        <f t="shared" si="20"/>
        <v>5.2052652116454965</v>
      </c>
      <c r="CS67" s="3">
        <f t="shared" si="52"/>
        <v>15.300706726162487</v>
      </c>
      <c r="CT67" s="3">
        <v>0</v>
      </c>
      <c r="CU67" s="3">
        <v>0</v>
      </c>
      <c r="CV67" s="3">
        <f t="shared" si="21"/>
        <v>15.300706726162487</v>
      </c>
      <c r="CW67" s="3">
        <f t="shared" si="53"/>
        <v>50.804093210704188</v>
      </c>
      <c r="CX67" s="3">
        <v>0</v>
      </c>
      <c r="CY67" s="3">
        <v>0</v>
      </c>
      <c r="CZ67" s="3">
        <f t="shared" si="22"/>
        <v>50.804093210704188</v>
      </c>
      <c r="DA67" s="3">
        <f t="shared" si="54"/>
        <v>3.4621655398056586</v>
      </c>
      <c r="DB67" s="3">
        <v>0</v>
      </c>
      <c r="DC67" s="3">
        <v>0</v>
      </c>
      <c r="DD67" s="3">
        <f t="shared" si="23"/>
        <v>3.4621655398056586</v>
      </c>
      <c r="DE67" s="3">
        <f t="shared" si="55"/>
        <v>0.58364176032738335</v>
      </c>
      <c r="DF67" s="3">
        <v>0</v>
      </c>
      <c r="DG67" s="3">
        <v>0</v>
      </c>
      <c r="DH67" s="3">
        <f t="shared" si="24"/>
        <v>0.58364176032738335</v>
      </c>
      <c r="DI67" s="3">
        <f t="shared" si="56"/>
        <v>0</v>
      </c>
      <c r="DJ67" s="3">
        <v>0</v>
      </c>
      <c r="DK67" s="3">
        <v>0</v>
      </c>
      <c r="DL67" s="3">
        <f t="shared" si="2"/>
        <v>0</v>
      </c>
      <c r="DM67" s="3">
        <f t="shared" si="57"/>
        <v>2.885222865464756</v>
      </c>
      <c r="DN67" s="3">
        <v>0</v>
      </c>
      <c r="DO67" s="3">
        <v>0</v>
      </c>
      <c r="DP67" s="3">
        <f t="shared" si="25"/>
        <v>2.885222865464756</v>
      </c>
      <c r="DQ67" s="3">
        <f t="shared" si="58"/>
        <v>6.0896871800314853</v>
      </c>
      <c r="DR67" s="3">
        <v>0</v>
      </c>
      <c r="DS67" s="3">
        <v>0</v>
      </c>
      <c r="DT67" s="3">
        <f t="shared" si="26"/>
        <v>6.0896871800314853</v>
      </c>
      <c r="DU67" s="3">
        <f t="shared" si="59"/>
        <v>30.312563414885414</v>
      </c>
      <c r="DV67" s="3">
        <v>0</v>
      </c>
      <c r="DW67" s="3">
        <v>0</v>
      </c>
      <c r="DX67" s="3">
        <f t="shared" si="27"/>
        <v>30.312563414885414</v>
      </c>
      <c r="DY67" s="3">
        <f t="shared" si="60"/>
        <v>0.10384748797253976</v>
      </c>
      <c r="DZ67" s="3">
        <v>0</v>
      </c>
      <c r="EA67" s="3">
        <v>0</v>
      </c>
      <c r="EB67" s="3">
        <f t="shared" si="28"/>
        <v>0.10384748797253976</v>
      </c>
      <c r="EC67" s="4">
        <f t="shared" si="61"/>
        <v>206.27999999999992</v>
      </c>
      <c r="ED67" s="5">
        <f t="shared" si="29"/>
        <v>0</v>
      </c>
      <c r="EE67" s="6">
        <f t="shared" si="33"/>
        <v>191.30488346318327</v>
      </c>
      <c r="EF67" s="6">
        <f t="shared" si="33"/>
        <v>7.4875582684083311</v>
      </c>
      <c r="EG67" s="6">
        <f t="shared" si="33"/>
        <v>7.4875582684083311</v>
      </c>
    </row>
    <row r="68" spans="1:137" ht="12" customHeight="1" x14ac:dyDescent="0.35">
      <c r="A68" s="34" t="s">
        <v>335</v>
      </c>
      <c r="B68" s="35">
        <v>13505</v>
      </c>
      <c r="C68" s="35" t="s">
        <v>336</v>
      </c>
      <c r="D68" s="35" t="s">
        <v>337</v>
      </c>
      <c r="E68" s="34">
        <v>420501</v>
      </c>
      <c r="F68" s="35" t="s">
        <v>338</v>
      </c>
      <c r="G68" s="8">
        <v>46118</v>
      </c>
      <c r="H68" s="8">
        <v>46133</v>
      </c>
      <c r="I68" s="36">
        <v>18</v>
      </c>
      <c r="J68" s="36">
        <v>28000</v>
      </c>
      <c r="K68" s="37"/>
      <c r="L68" s="36">
        <v>2520</v>
      </c>
      <c r="M68" s="36">
        <v>2520</v>
      </c>
      <c r="N68" s="36">
        <v>5040</v>
      </c>
      <c r="O68" s="36">
        <v>33040</v>
      </c>
      <c r="P68" s="35" t="s">
        <v>95</v>
      </c>
      <c r="Q68" s="34" t="s">
        <v>185</v>
      </c>
      <c r="R68" s="35" t="s">
        <v>176</v>
      </c>
      <c r="S68" s="35" t="s">
        <v>252</v>
      </c>
      <c r="T68" s="35" t="s">
        <v>253</v>
      </c>
      <c r="U68" s="37"/>
      <c r="V68" s="34">
        <v>999599</v>
      </c>
      <c r="W68" s="35" t="s">
        <v>339</v>
      </c>
      <c r="X68" s="34" t="s">
        <v>101</v>
      </c>
      <c r="Y68" s="35">
        <v>107</v>
      </c>
      <c r="Z68" s="35" t="s">
        <v>102</v>
      </c>
      <c r="AA68" t="s">
        <v>340</v>
      </c>
      <c r="AB68">
        <v>5040</v>
      </c>
      <c r="AC68">
        <v>5040</v>
      </c>
      <c r="AD68" s="38">
        <v>0</v>
      </c>
      <c r="AE68" t="s">
        <v>104</v>
      </c>
      <c r="AF68" t="s">
        <v>73</v>
      </c>
      <c r="AG68" s="3">
        <f t="shared" si="34"/>
        <v>186.60395103885713</v>
      </c>
      <c r="AH68" s="3">
        <v>0</v>
      </c>
      <c r="AI68" s="3">
        <v>0</v>
      </c>
      <c r="AJ68" s="3">
        <f t="shared" si="7"/>
        <v>186.60395103885713</v>
      </c>
      <c r="AK68" s="3">
        <f t="shared" si="35"/>
        <v>1.5527865277961406</v>
      </c>
      <c r="AL68" s="3">
        <v>0</v>
      </c>
      <c r="AM68" s="3">
        <v>0</v>
      </c>
      <c r="AN68" s="3">
        <f t="shared" si="8"/>
        <v>1.5527865277961406</v>
      </c>
      <c r="AO68" s="3">
        <f t="shared" si="36"/>
        <v>76.91441728660152</v>
      </c>
      <c r="AP68" s="3">
        <v>0</v>
      </c>
      <c r="AQ68" s="3">
        <v>0</v>
      </c>
      <c r="AR68" s="3">
        <f t="shared" si="9"/>
        <v>76.91441728660152</v>
      </c>
      <c r="AS68" s="3">
        <f t="shared" si="37"/>
        <v>67.34690557157748</v>
      </c>
      <c r="AT68" s="3">
        <v>0</v>
      </c>
      <c r="AU68" s="3">
        <v>0</v>
      </c>
      <c r="AV68" s="3">
        <f t="shared" si="10"/>
        <v>67.34690557157748</v>
      </c>
      <c r="AW68" s="3">
        <f t="shared" si="38"/>
        <v>7.8997646124693475</v>
      </c>
      <c r="AX68" s="3">
        <v>0</v>
      </c>
      <c r="AY68" s="3">
        <v>0</v>
      </c>
      <c r="AZ68" s="3">
        <f t="shared" si="11"/>
        <v>7.8997646124693475</v>
      </c>
      <c r="BA68" s="3">
        <f t="shared" si="39"/>
        <v>84.354024084646525</v>
      </c>
      <c r="BB68" s="3">
        <v>0</v>
      </c>
      <c r="BC68" s="3">
        <v>0</v>
      </c>
      <c r="BD68" s="3">
        <f t="shared" si="12"/>
        <v>84.354024084646525</v>
      </c>
      <c r="BE68" s="3">
        <f t="shared" si="40"/>
        <v>0</v>
      </c>
      <c r="BF68" s="3">
        <f t="shared" si="41"/>
        <v>182.9420868372018</v>
      </c>
      <c r="BG68" s="3">
        <f t="shared" si="42"/>
        <v>182.9420868372018</v>
      </c>
      <c r="BH68" s="3">
        <f t="shared" si="4"/>
        <v>365.8841736744036</v>
      </c>
      <c r="BI68" s="3">
        <f t="shared" si="43"/>
        <v>212.2161504563916</v>
      </c>
      <c r="BJ68" s="3">
        <v>0</v>
      </c>
      <c r="BK68" s="3">
        <v>0</v>
      </c>
      <c r="BL68" s="3">
        <f t="shared" si="5"/>
        <v>212.2161504563916</v>
      </c>
      <c r="BM68" s="3">
        <f t="shared" si="44"/>
        <v>974.45528684626618</v>
      </c>
      <c r="BN68" s="3">
        <v>0</v>
      </c>
      <c r="BO68" s="3">
        <v>0</v>
      </c>
      <c r="BP68" s="3">
        <f t="shared" si="13"/>
        <v>974.45528684626618</v>
      </c>
      <c r="BQ68" s="3">
        <f t="shared" si="45"/>
        <v>87.347532649200559</v>
      </c>
      <c r="BR68" s="3">
        <v>0</v>
      </c>
      <c r="BS68" s="3">
        <v>0</v>
      </c>
      <c r="BT68" s="3">
        <f t="shared" si="14"/>
        <v>87.347532649200559</v>
      </c>
      <c r="BU68" s="3">
        <f t="shared" si="46"/>
        <v>13.860576322075222</v>
      </c>
      <c r="BV68" s="3">
        <v>0</v>
      </c>
      <c r="BW68" s="3">
        <v>0</v>
      </c>
      <c r="BX68" s="3">
        <f t="shared" si="15"/>
        <v>13.860576322075222</v>
      </c>
      <c r="BY68" s="3">
        <f t="shared" si="47"/>
        <v>33.410862087029415</v>
      </c>
      <c r="BZ68" s="3">
        <v>0</v>
      </c>
      <c r="CA68" s="3">
        <v>0</v>
      </c>
      <c r="CB68" s="3">
        <f t="shared" si="16"/>
        <v>33.410862087029415</v>
      </c>
      <c r="CC68" s="3">
        <f t="shared" si="48"/>
        <v>27.661120578557536</v>
      </c>
      <c r="CD68" s="3">
        <v>0</v>
      </c>
      <c r="CE68" s="3">
        <v>0</v>
      </c>
      <c r="CF68" s="3">
        <f t="shared" si="17"/>
        <v>27.661120578557536</v>
      </c>
      <c r="CG68" s="3">
        <f t="shared" si="49"/>
        <v>31.690474062560597</v>
      </c>
      <c r="CH68" s="3">
        <v>0</v>
      </c>
      <c r="CI68" s="3">
        <v>0</v>
      </c>
      <c r="CJ68" s="3">
        <f t="shared" si="18"/>
        <v>31.690474062560597</v>
      </c>
      <c r="CK68" s="3">
        <f t="shared" si="50"/>
        <v>65.205625932818961</v>
      </c>
      <c r="CL68" s="3">
        <v>0</v>
      </c>
      <c r="CM68" s="3">
        <v>0</v>
      </c>
      <c r="CN68" s="3">
        <f t="shared" si="19"/>
        <v>65.205625932818961</v>
      </c>
      <c r="CO68" s="3">
        <f t="shared" si="51"/>
        <v>127.17925473479399</v>
      </c>
      <c r="CP68" s="3">
        <v>0</v>
      </c>
      <c r="CQ68" s="3">
        <v>0</v>
      </c>
      <c r="CR68" s="3">
        <f t="shared" si="20"/>
        <v>127.17925473479399</v>
      </c>
      <c r="CS68" s="3">
        <f t="shared" si="52"/>
        <v>373.83925683468556</v>
      </c>
      <c r="CT68" s="3">
        <v>0</v>
      </c>
      <c r="CU68" s="3">
        <v>0</v>
      </c>
      <c r="CV68" s="3">
        <f t="shared" si="21"/>
        <v>373.83925683468556</v>
      </c>
      <c r="CW68" s="3">
        <f t="shared" si="53"/>
        <v>1241.2867451131915</v>
      </c>
      <c r="CX68" s="3">
        <v>0</v>
      </c>
      <c r="CY68" s="3">
        <v>0</v>
      </c>
      <c r="CZ68" s="3">
        <f t="shared" si="22"/>
        <v>1241.2867451131915</v>
      </c>
      <c r="DA68" s="3">
        <f t="shared" si="54"/>
        <v>84.590432037136509</v>
      </c>
      <c r="DB68" s="3">
        <v>0</v>
      </c>
      <c r="DC68" s="3">
        <v>0</v>
      </c>
      <c r="DD68" s="3">
        <f t="shared" si="23"/>
        <v>84.590432037136509</v>
      </c>
      <c r="DE68" s="3">
        <f t="shared" si="55"/>
        <v>14.260008105730133</v>
      </c>
      <c r="DF68" s="3">
        <v>0</v>
      </c>
      <c r="DG68" s="3">
        <v>0</v>
      </c>
      <c r="DH68" s="3">
        <f t="shared" si="24"/>
        <v>14.260008105730133</v>
      </c>
      <c r="DI68" s="3">
        <f t="shared" si="56"/>
        <v>0</v>
      </c>
      <c r="DJ68" s="3">
        <v>0</v>
      </c>
      <c r="DK68" s="3">
        <v>0</v>
      </c>
      <c r="DL68" s="3">
        <f t="shared" si="2"/>
        <v>0</v>
      </c>
      <c r="DM68" s="3">
        <f t="shared" si="57"/>
        <v>70.494101424967866</v>
      </c>
      <c r="DN68" s="3">
        <v>0</v>
      </c>
      <c r="DO68" s="3">
        <v>0</v>
      </c>
      <c r="DP68" s="3">
        <f t="shared" si="25"/>
        <v>70.494101424967866</v>
      </c>
      <c r="DQ68" s="3">
        <f t="shared" si="58"/>
        <v>148.78816844754064</v>
      </c>
      <c r="DR68" s="3">
        <v>0</v>
      </c>
      <c r="DS68" s="3">
        <v>0</v>
      </c>
      <c r="DT68" s="3">
        <f t="shared" si="26"/>
        <v>148.78816844754064</v>
      </c>
      <c r="DU68" s="3">
        <f t="shared" si="59"/>
        <v>740.62109565165065</v>
      </c>
      <c r="DV68" s="3">
        <v>0</v>
      </c>
      <c r="DW68" s="3">
        <v>0</v>
      </c>
      <c r="DX68" s="3">
        <f t="shared" si="27"/>
        <v>740.62109565165065</v>
      </c>
      <c r="DY68" s="3">
        <f t="shared" si="60"/>
        <v>2.5372859190498369</v>
      </c>
      <c r="DZ68" s="3">
        <v>0</v>
      </c>
      <c r="EA68" s="3">
        <v>0</v>
      </c>
      <c r="EB68" s="3">
        <f t="shared" si="28"/>
        <v>2.5372859190498369</v>
      </c>
      <c r="EC68" s="4">
        <f t="shared" si="61"/>
        <v>5039.9999999999982</v>
      </c>
      <c r="ED68" s="5">
        <f t="shared" si="29"/>
        <v>0</v>
      </c>
      <c r="EE68" s="6">
        <f t="shared" si="33"/>
        <v>4674.1158263255957</v>
      </c>
      <c r="EF68" s="6">
        <f t="shared" si="33"/>
        <v>182.9420868372018</v>
      </c>
      <c r="EG68" s="6">
        <f t="shared" si="33"/>
        <v>182.9420868372018</v>
      </c>
    </row>
    <row r="69" spans="1:137" ht="12" customHeight="1" x14ac:dyDescent="0.35">
      <c r="A69" s="34" t="s">
        <v>341</v>
      </c>
      <c r="B69" s="35">
        <v>41738</v>
      </c>
      <c r="C69" s="35" t="s">
        <v>342</v>
      </c>
      <c r="D69" s="35" t="s">
        <v>183</v>
      </c>
      <c r="E69" s="34">
        <v>234010</v>
      </c>
      <c r="F69" s="35" t="s">
        <v>343</v>
      </c>
      <c r="G69" s="8">
        <v>46129</v>
      </c>
      <c r="H69" s="8">
        <v>46133</v>
      </c>
      <c r="I69" s="36">
        <v>18</v>
      </c>
      <c r="J69" s="36">
        <v>198500</v>
      </c>
      <c r="K69" s="37"/>
      <c r="L69" s="36">
        <v>17865</v>
      </c>
      <c r="M69" s="36">
        <v>17865</v>
      </c>
      <c r="N69" s="36">
        <v>35730</v>
      </c>
      <c r="O69" s="36">
        <v>234230</v>
      </c>
      <c r="P69" s="35" t="s">
        <v>95</v>
      </c>
      <c r="Q69" s="34" t="s">
        <v>185</v>
      </c>
      <c r="R69" s="35" t="s">
        <v>112</v>
      </c>
      <c r="S69" s="35" t="s">
        <v>252</v>
      </c>
      <c r="T69" s="35" t="s">
        <v>253</v>
      </c>
      <c r="U69" s="35" t="s">
        <v>344</v>
      </c>
      <c r="V69" s="34">
        <v>998313</v>
      </c>
      <c r="W69" s="35" t="s">
        <v>345</v>
      </c>
      <c r="X69" s="34" t="s">
        <v>101</v>
      </c>
      <c r="Y69" s="35">
        <v>107</v>
      </c>
      <c r="Z69" s="35" t="s">
        <v>102</v>
      </c>
      <c r="AA69" t="s">
        <v>346</v>
      </c>
      <c r="AB69">
        <v>35730</v>
      </c>
      <c r="AC69">
        <v>35730</v>
      </c>
      <c r="AD69" s="38">
        <v>0</v>
      </c>
      <c r="AE69" t="s">
        <v>104</v>
      </c>
      <c r="AF69" t="s">
        <v>73</v>
      </c>
      <c r="AG69" s="3">
        <f t="shared" si="34"/>
        <v>1322.8887243290408</v>
      </c>
      <c r="AH69" s="3">
        <v>0</v>
      </c>
      <c r="AI69" s="3">
        <v>0</v>
      </c>
      <c r="AJ69" s="3">
        <f t="shared" si="7"/>
        <v>1322.8887243290408</v>
      </c>
      <c r="AK69" s="3">
        <f t="shared" si="35"/>
        <v>11.008147348840497</v>
      </c>
      <c r="AL69" s="3">
        <v>0</v>
      </c>
      <c r="AM69" s="3">
        <v>0</v>
      </c>
      <c r="AN69" s="3">
        <f t="shared" si="8"/>
        <v>11.008147348840497</v>
      </c>
      <c r="AO69" s="3">
        <f t="shared" si="36"/>
        <v>545.2682796925144</v>
      </c>
      <c r="AP69" s="3">
        <v>0</v>
      </c>
      <c r="AQ69" s="3">
        <v>0</v>
      </c>
      <c r="AR69" s="3">
        <f t="shared" si="9"/>
        <v>545.2682796925144</v>
      </c>
      <c r="AS69" s="3">
        <f t="shared" si="37"/>
        <v>477.44145556993323</v>
      </c>
      <c r="AT69" s="3">
        <v>0</v>
      </c>
      <c r="AU69" s="3">
        <v>0</v>
      </c>
      <c r="AV69" s="3">
        <f t="shared" si="10"/>
        <v>477.44145556993323</v>
      </c>
      <c r="AW69" s="3">
        <f t="shared" si="38"/>
        <v>56.003688413398763</v>
      </c>
      <c r="AX69" s="3">
        <v>0</v>
      </c>
      <c r="AY69" s="3">
        <v>0</v>
      </c>
      <c r="AZ69" s="3">
        <f t="shared" si="11"/>
        <v>56.003688413398763</v>
      </c>
      <c r="BA69" s="3">
        <f t="shared" si="39"/>
        <v>598.00977788579769</v>
      </c>
      <c r="BB69" s="3">
        <v>0</v>
      </c>
      <c r="BC69" s="3">
        <v>0</v>
      </c>
      <c r="BD69" s="3">
        <f t="shared" si="12"/>
        <v>598.00977788579769</v>
      </c>
      <c r="BE69" s="3">
        <f t="shared" si="40"/>
        <v>0</v>
      </c>
      <c r="BF69" s="3">
        <f t="shared" si="41"/>
        <v>1296.9287227565912</v>
      </c>
      <c r="BG69" s="3">
        <f t="shared" si="42"/>
        <v>1296.9287227565912</v>
      </c>
      <c r="BH69" s="3">
        <f t="shared" si="4"/>
        <v>2593.8574455131825</v>
      </c>
      <c r="BI69" s="3">
        <f t="shared" si="43"/>
        <v>1504.4609237712048</v>
      </c>
      <c r="BJ69" s="3">
        <v>0</v>
      </c>
      <c r="BK69" s="3">
        <v>0</v>
      </c>
      <c r="BL69" s="3">
        <f t="shared" si="5"/>
        <v>1504.4609237712048</v>
      </c>
      <c r="BM69" s="3">
        <f t="shared" si="44"/>
        <v>6908.1919442494227</v>
      </c>
      <c r="BN69" s="3">
        <v>0</v>
      </c>
      <c r="BO69" s="3">
        <v>0</v>
      </c>
      <c r="BP69" s="3">
        <f t="shared" si="13"/>
        <v>6908.1919442494227</v>
      </c>
      <c r="BQ69" s="3">
        <f t="shared" si="45"/>
        <v>619.23161538808256</v>
      </c>
      <c r="BR69" s="3">
        <v>0</v>
      </c>
      <c r="BS69" s="3">
        <v>0</v>
      </c>
      <c r="BT69" s="3">
        <f t="shared" si="14"/>
        <v>619.23161538808256</v>
      </c>
      <c r="BU69" s="3">
        <f t="shared" si="46"/>
        <v>98.261585711854707</v>
      </c>
      <c r="BV69" s="3">
        <v>0</v>
      </c>
      <c r="BW69" s="3">
        <v>0</v>
      </c>
      <c r="BX69" s="3">
        <f t="shared" si="15"/>
        <v>98.261585711854707</v>
      </c>
      <c r="BY69" s="3">
        <f t="shared" si="47"/>
        <v>236.85914729554784</v>
      </c>
      <c r="BZ69" s="3">
        <v>0</v>
      </c>
      <c r="CA69" s="3">
        <v>0</v>
      </c>
      <c r="CB69" s="3">
        <f t="shared" si="16"/>
        <v>236.85914729554784</v>
      </c>
      <c r="CC69" s="3">
        <f t="shared" si="48"/>
        <v>196.09758695870252</v>
      </c>
      <c r="CD69" s="3">
        <v>0</v>
      </c>
      <c r="CE69" s="3">
        <v>0</v>
      </c>
      <c r="CF69" s="3">
        <f t="shared" si="17"/>
        <v>196.09758695870252</v>
      </c>
      <c r="CG69" s="3">
        <f t="shared" si="49"/>
        <v>224.6628250506528</v>
      </c>
      <c r="CH69" s="3">
        <v>0</v>
      </c>
      <c r="CI69" s="3">
        <v>0</v>
      </c>
      <c r="CJ69" s="3">
        <f t="shared" si="18"/>
        <v>224.6628250506528</v>
      </c>
      <c r="CK69" s="3">
        <f t="shared" si="50"/>
        <v>462.26131241659158</v>
      </c>
      <c r="CL69" s="3">
        <v>0</v>
      </c>
      <c r="CM69" s="3">
        <v>0</v>
      </c>
      <c r="CN69" s="3">
        <f t="shared" si="19"/>
        <v>462.26131241659158</v>
      </c>
      <c r="CO69" s="3">
        <f t="shared" si="51"/>
        <v>901.61007374487872</v>
      </c>
      <c r="CP69" s="3">
        <v>0</v>
      </c>
      <c r="CQ69" s="3">
        <v>0</v>
      </c>
      <c r="CR69" s="3">
        <f t="shared" si="20"/>
        <v>901.61007374487872</v>
      </c>
      <c r="CS69" s="3">
        <f t="shared" si="52"/>
        <v>2650.2533029173246</v>
      </c>
      <c r="CT69" s="3">
        <v>0</v>
      </c>
      <c r="CU69" s="3">
        <v>0</v>
      </c>
      <c r="CV69" s="3">
        <f t="shared" si="21"/>
        <v>2650.2533029173246</v>
      </c>
      <c r="CW69" s="3">
        <f t="shared" si="53"/>
        <v>8799.8363894631602</v>
      </c>
      <c r="CX69" s="3">
        <v>0</v>
      </c>
      <c r="CY69" s="3">
        <v>0</v>
      </c>
      <c r="CZ69" s="3">
        <f t="shared" si="22"/>
        <v>8799.8363894631602</v>
      </c>
      <c r="DA69" s="3">
        <f t="shared" si="54"/>
        <v>599.6857414061285</v>
      </c>
      <c r="DB69" s="3">
        <v>0</v>
      </c>
      <c r="DC69" s="3">
        <v>0</v>
      </c>
      <c r="DD69" s="3">
        <f t="shared" si="23"/>
        <v>599.6857414061285</v>
      </c>
      <c r="DE69" s="3">
        <f t="shared" si="55"/>
        <v>101.09327174955114</v>
      </c>
      <c r="DF69" s="3">
        <v>0</v>
      </c>
      <c r="DG69" s="3">
        <v>0</v>
      </c>
      <c r="DH69" s="3">
        <f t="shared" si="24"/>
        <v>101.09327174955114</v>
      </c>
      <c r="DI69" s="3">
        <f t="shared" si="56"/>
        <v>0</v>
      </c>
      <c r="DJ69" s="3">
        <v>0</v>
      </c>
      <c r="DK69" s="3">
        <v>0</v>
      </c>
      <c r="DL69" s="3">
        <f t="shared" si="2"/>
        <v>0</v>
      </c>
      <c r="DM69" s="3">
        <f t="shared" si="57"/>
        <v>499.75282617343294</v>
      </c>
      <c r="DN69" s="3">
        <v>0</v>
      </c>
      <c r="DO69" s="3">
        <v>0</v>
      </c>
      <c r="DP69" s="3">
        <f t="shared" si="25"/>
        <v>499.75282617343294</v>
      </c>
      <c r="DQ69" s="3">
        <f t="shared" si="58"/>
        <v>1054.8018370298864</v>
      </c>
      <c r="DR69" s="3">
        <v>0</v>
      </c>
      <c r="DS69" s="3">
        <v>0</v>
      </c>
      <c r="DT69" s="3">
        <f t="shared" si="26"/>
        <v>1054.8018370298864</v>
      </c>
      <c r="DU69" s="3">
        <f t="shared" si="59"/>
        <v>5250.4745531018798</v>
      </c>
      <c r="DV69" s="3">
        <v>0</v>
      </c>
      <c r="DW69" s="3">
        <v>0</v>
      </c>
      <c r="DX69" s="3">
        <f t="shared" si="27"/>
        <v>5250.4745531018798</v>
      </c>
      <c r="DY69" s="3">
        <f t="shared" si="60"/>
        <v>17.987544818978307</v>
      </c>
      <c r="DZ69" s="3">
        <v>0</v>
      </c>
      <c r="EA69" s="3">
        <v>0</v>
      </c>
      <c r="EB69" s="3">
        <f t="shared" si="28"/>
        <v>17.987544818978307</v>
      </c>
      <c r="EC69" s="4">
        <f t="shared" si="61"/>
        <v>35729.999999999985</v>
      </c>
      <c r="ED69" s="5">
        <f t="shared" si="29"/>
        <v>0</v>
      </c>
      <c r="EE69" s="6">
        <f t="shared" si="33"/>
        <v>33136.142554486803</v>
      </c>
      <c r="EF69" s="6">
        <f t="shared" si="33"/>
        <v>1296.9287227565912</v>
      </c>
      <c r="EG69" s="6">
        <f t="shared" si="33"/>
        <v>1296.9287227565912</v>
      </c>
    </row>
    <row r="70" spans="1:137" ht="12" customHeight="1" x14ac:dyDescent="0.35">
      <c r="A70" s="34" t="s">
        <v>347</v>
      </c>
      <c r="B70" s="35">
        <v>3785</v>
      </c>
      <c r="C70" s="35" t="s">
        <v>348</v>
      </c>
      <c r="D70" s="35" t="s">
        <v>349</v>
      </c>
      <c r="E70" s="34">
        <v>421412</v>
      </c>
      <c r="F70" s="35">
        <v>1205550</v>
      </c>
      <c r="G70" s="8">
        <v>46124</v>
      </c>
      <c r="H70" s="8">
        <v>46133</v>
      </c>
      <c r="I70" s="36">
        <v>18</v>
      </c>
      <c r="J70" s="36">
        <v>125331.5</v>
      </c>
      <c r="K70" s="36">
        <v>22559.67</v>
      </c>
      <c r="L70" s="37"/>
      <c r="M70" s="37"/>
      <c r="N70" s="36">
        <v>22559.67</v>
      </c>
      <c r="O70" s="36">
        <v>147891.17000000001</v>
      </c>
      <c r="P70" s="35" t="s">
        <v>95</v>
      </c>
      <c r="Q70" s="34" t="s">
        <v>35</v>
      </c>
      <c r="R70" s="35" t="s">
        <v>139</v>
      </c>
      <c r="S70" s="35" t="s">
        <v>252</v>
      </c>
      <c r="T70" s="35" t="s">
        <v>253</v>
      </c>
      <c r="U70" s="35" t="s">
        <v>278</v>
      </c>
      <c r="V70" s="34">
        <v>998315</v>
      </c>
      <c r="W70" s="35" t="s">
        <v>350</v>
      </c>
      <c r="X70" s="34" t="s">
        <v>101</v>
      </c>
      <c r="Y70" s="35">
        <v>107</v>
      </c>
      <c r="Z70" s="35" t="s">
        <v>102</v>
      </c>
      <c r="AA70" t="s">
        <v>351</v>
      </c>
      <c r="AB70">
        <v>22559.67</v>
      </c>
      <c r="AC70">
        <v>233423.52</v>
      </c>
      <c r="AD70" s="38">
        <v>-210864</v>
      </c>
      <c r="AE70" t="s">
        <v>104</v>
      </c>
      <c r="AF70" t="s">
        <v>73</v>
      </c>
      <c r="AG70" s="3"/>
      <c r="AH70" s="3"/>
      <c r="AI70" s="3"/>
      <c r="AJ70" s="3">
        <f t="shared" si="7"/>
        <v>0</v>
      </c>
      <c r="AK70" s="3"/>
      <c r="AL70" s="3"/>
      <c r="AM70" s="3"/>
      <c r="AN70" s="3">
        <f t="shared" si="8"/>
        <v>0</v>
      </c>
      <c r="AO70" s="3"/>
      <c r="AP70" s="3"/>
      <c r="AQ70" s="3"/>
      <c r="AR70" s="3">
        <f t="shared" si="9"/>
        <v>0</v>
      </c>
      <c r="AS70" s="3"/>
      <c r="AT70" s="3"/>
      <c r="AU70" s="3"/>
      <c r="AV70" s="3">
        <f t="shared" si="10"/>
        <v>0</v>
      </c>
      <c r="AW70" s="3"/>
      <c r="AX70" s="3"/>
      <c r="AY70" s="3"/>
      <c r="AZ70" s="3">
        <f t="shared" si="11"/>
        <v>0</v>
      </c>
      <c r="BA70" s="3">
        <f>SUM($K70:$M70)*BA$4/$BA$4</f>
        <v>22559.67</v>
      </c>
      <c r="BB70" s="3">
        <v>0</v>
      </c>
      <c r="BC70" s="3">
        <v>0</v>
      </c>
      <c r="BD70" s="3">
        <f t="shared" si="12"/>
        <v>22559.67</v>
      </c>
      <c r="BE70" s="3"/>
      <c r="BF70" s="3"/>
      <c r="BG70" s="3"/>
      <c r="BH70" s="3">
        <f t="shared" si="4"/>
        <v>0</v>
      </c>
      <c r="BI70" s="3"/>
      <c r="BJ70" s="3"/>
      <c r="BK70" s="3"/>
      <c r="BL70" s="3">
        <f t="shared" si="5"/>
        <v>0</v>
      </c>
      <c r="BM70" s="3"/>
      <c r="BN70" s="3"/>
      <c r="BO70" s="3"/>
      <c r="BP70" s="3">
        <f t="shared" si="13"/>
        <v>0</v>
      </c>
      <c r="BQ70" s="3"/>
      <c r="BR70" s="3"/>
      <c r="BS70" s="3"/>
      <c r="BT70" s="3">
        <f t="shared" si="14"/>
        <v>0</v>
      </c>
      <c r="BU70" s="3"/>
      <c r="BV70" s="3"/>
      <c r="BW70" s="3"/>
      <c r="BX70" s="3">
        <f t="shared" si="15"/>
        <v>0</v>
      </c>
      <c r="BY70" s="3"/>
      <c r="BZ70" s="3"/>
      <c r="CA70" s="3"/>
      <c r="CB70" s="3">
        <f t="shared" si="16"/>
        <v>0</v>
      </c>
      <c r="CC70" s="3"/>
      <c r="CD70" s="3"/>
      <c r="CE70" s="3"/>
      <c r="CF70" s="3">
        <f t="shared" si="17"/>
        <v>0</v>
      </c>
      <c r="CG70" s="3"/>
      <c r="CH70" s="3"/>
      <c r="CI70" s="3"/>
      <c r="CJ70" s="3">
        <f t="shared" si="18"/>
        <v>0</v>
      </c>
      <c r="CK70" s="3"/>
      <c r="CL70" s="3"/>
      <c r="CM70" s="3"/>
      <c r="CN70" s="3">
        <f t="shared" si="19"/>
        <v>0</v>
      </c>
      <c r="CO70" s="3"/>
      <c r="CP70" s="3"/>
      <c r="CQ70" s="3"/>
      <c r="CR70" s="3">
        <f t="shared" si="20"/>
        <v>0</v>
      </c>
      <c r="CS70" s="3"/>
      <c r="CT70" s="3"/>
      <c r="CU70" s="3"/>
      <c r="CV70" s="3">
        <f t="shared" si="21"/>
        <v>0</v>
      </c>
      <c r="CW70" s="3"/>
      <c r="CX70" s="3"/>
      <c r="CY70" s="3"/>
      <c r="CZ70" s="3">
        <f t="shared" si="22"/>
        <v>0</v>
      </c>
      <c r="DA70" s="3"/>
      <c r="DB70" s="3"/>
      <c r="DC70" s="3"/>
      <c r="DD70" s="3">
        <f>SUBTOTAL(9,DA70:DC70)</f>
        <v>0</v>
      </c>
      <c r="DE70" s="3"/>
      <c r="DF70" s="3"/>
      <c r="DG70" s="3"/>
      <c r="DH70" s="3">
        <f t="shared" si="24"/>
        <v>0</v>
      </c>
      <c r="DI70" s="3"/>
      <c r="DJ70" s="3"/>
      <c r="DK70" s="3"/>
      <c r="DL70" s="3">
        <f t="shared" si="2"/>
        <v>0</v>
      </c>
      <c r="DM70" s="3"/>
      <c r="DN70" s="3"/>
      <c r="DO70" s="3"/>
      <c r="DP70" s="3">
        <f t="shared" si="25"/>
        <v>0</v>
      </c>
      <c r="DQ70" s="3"/>
      <c r="DR70" s="3"/>
      <c r="DS70" s="3"/>
      <c r="DT70" s="3">
        <f t="shared" si="26"/>
        <v>0</v>
      </c>
      <c r="DU70" s="3"/>
      <c r="DV70" s="3"/>
      <c r="DW70" s="3"/>
      <c r="DX70" s="3">
        <f t="shared" si="27"/>
        <v>0</v>
      </c>
      <c r="DY70" s="3"/>
      <c r="DZ70" s="3"/>
      <c r="EA70" s="3"/>
      <c r="EB70" s="3">
        <f t="shared" si="28"/>
        <v>0</v>
      </c>
      <c r="EC70" s="4">
        <f t="shared" si="6"/>
        <v>22559.67</v>
      </c>
      <c r="ED70" s="5">
        <f t="shared" si="29"/>
        <v>0</v>
      </c>
      <c r="EE70" s="6">
        <f t="shared" si="33"/>
        <v>22559.67</v>
      </c>
      <c r="EF70" s="6">
        <f t="shared" si="33"/>
        <v>0</v>
      </c>
      <c r="EG70" s="6">
        <f t="shared" si="33"/>
        <v>0</v>
      </c>
    </row>
    <row r="71" spans="1:137" ht="12" customHeight="1" x14ac:dyDescent="0.35">
      <c r="A71" s="34" t="s">
        <v>347</v>
      </c>
      <c r="B71" s="35">
        <v>3785</v>
      </c>
      <c r="C71" s="35" t="s">
        <v>348</v>
      </c>
      <c r="D71" s="35" t="s">
        <v>349</v>
      </c>
      <c r="E71" s="34">
        <v>421412</v>
      </c>
      <c r="F71" s="35">
        <v>1205550</v>
      </c>
      <c r="G71" s="8">
        <v>46124</v>
      </c>
      <c r="H71" s="8">
        <v>46133</v>
      </c>
      <c r="I71" s="36">
        <v>18</v>
      </c>
      <c r="J71" s="36">
        <v>71618</v>
      </c>
      <c r="K71" s="36">
        <v>12891.24</v>
      </c>
      <c r="L71" s="37"/>
      <c r="M71" s="37"/>
      <c r="N71" s="36">
        <v>12891.24</v>
      </c>
      <c r="O71" s="36">
        <v>84509.24</v>
      </c>
      <c r="P71" s="35" t="s">
        <v>95</v>
      </c>
      <c r="Q71" s="34" t="s">
        <v>35</v>
      </c>
      <c r="R71" s="35" t="s">
        <v>139</v>
      </c>
      <c r="S71" s="35" t="s">
        <v>252</v>
      </c>
      <c r="T71" s="35" t="s">
        <v>253</v>
      </c>
      <c r="U71" s="35" t="s">
        <v>278</v>
      </c>
      <c r="V71" s="34">
        <v>998315</v>
      </c>
      <c r="W71" s="35" t="s">
        <v>352</v>
      </c>
      <c r="X71" s="34" t="s">
        <v>101</v>
      </c>
      <c r="Y71" s="35">
        <v>107</v>
      </c>
      <c r="Z71" s="35" t="s">
        <v>102</v>
      </c>
      <c r="AA71" t="s">
        <v>351</v>
      </c>
      <c r="AB71">
        <v>12891.24</v>
      </c>
      <c r="AC71">
        <v>233423.52</v>
      </c>
      <c r="AD71" s="38">
        <v>-220532</v>
      </c>
      <c r="AE71" t="s">
        <v>104</v>
      </c>
      <c r="AF71" t="s">
        <v>73</v>
      </c>
      <c r="AG71" s="3"/>
      <c r="AH71" s="3"/>
      <c r="AI71" s="3"/>
      <c r="AJ71" s="3">
        <f t="shared" si="7"/>
        <v>0</v>
      </c>
      <c r="AK71" s="3"/>
      <c r="AL71" s="3"/>
      <c r="AM71" s="3"/>
      <c r="AN71" s="3">
        <f t="shared" si="8"/>
        <v>0</v>
      </c>
      <c r="AO71" s="3"/>
      <c r="AP71" s="3"/>
      <c r="AQ71" s="3"/>
      <c r="AR71" s="3">
        <f t="shared" si="9"/>
        <v>0</v>
      </c>
      <c r="AS71" s="3"/>
      <c r="AT71" s="3"/>
      <c r="AU71" s="3"/>
      <c r="AV71" s="3">
        <f t="shared" si="10"/>
        <v>0</v>
      </c>
      <c r="AW71" s="3"/>
      <c r="AX71" s="3"/>
      <c r="AY71" s="3"/>
      <c r="AZ71" s="3">
        <f t="shared" si="11"/>
        <v>0</v>
      </c>
      <c r="BA71" s="3">
        <f t="shared" ref="BA71:BA79" si="62">SUM($K71:$M71)*BA$4/$BA$4</f>
        <v>12891.239999999998</v>
      </c>
      <c r="BB71" s="3">
        <v>0</v>
      </c>
      <c r="BC71" s="3">
        <v>0</v>
      </c>
      <c r="BD71" s="3">
        <f t="shared" si="12"/>
        <v>12891.239999999998</v>
      </c>
      <c r="BE71" s="3"/>
      <c r="BF71" s="3"/>
      <c r="BG71" s="3"/>
      <c r="BH71" s="3">
        <f t="shared" si="4"/>
        <v>0</v>
      </c>
      <c r="BI71" s="3"/>
      <c r="BJ71" s="3"/>
      <c r="BK71" s="3"/>
      <c r="BL71" s="3">
        <f t="shared" si="5"/>
        <v>0</v>
      </c>
      <c r="BM71" s="3"/>
      <c r="BN71" s="3"/>
      <c r="BO71" s="3"/>
      <c r="BP71" s="3">
        <f t="shared" si="13"/>
        <v>0</v>
      </c>
      <c r="BQ71" s="3"/>
      <c r="BR71" s="3"/>
      <c r="BS71" s="3"/>
      <c r="BT71" s="3">
        <f t="shared" si="14"/>
        <v>0</v>
      </c>
      <c r="BU71" s="3"/>
      <c r="BV71" s="3"/>
      <c r="BW71" s="3"/>
      <c r="BX71" s="3">
        <f t="shared" si="15"/>
        <v>0</v>
      </c>
      <c r="BY71" s="3"/>
      <c r="BZ71" s="3"/>
      <c r="CA71" s="3"/>
      <c r="CB71" s="3">
        <f t="shared" si="16"/>
        <v>0</v>
      </c>
      <c r="CC71" s="3"/>
      <c r="CD71" s="3"/>
      <c r="CE71" s="3"/>
      <c r="CF71" s="3">
        <f t="shared" si="17"/>
        <v>0</v>
      </c>
      <c r="CG71" s="3"/>
      <c r="CH71" s="3"/>
      <c r="CI71" s="3"/>
      <c r="CJ71" s="3">
        <f t="shared" si="18"/>
        <v>0</v>
      </c>
      <c r="CK71" s="3"/>
      <c r="CL71" s="3"/>
      <c r="CM71" s="3"/>
      <c r="CN71" s="3">
        <f t="shared" si="19"/>
        <v>0</v>
      </c>
      <c r="CO71" s="3"/>
      <c r="CP71" s="3"/>
      <c r="CQ71" s="3"/>
      <c r="CR71" s="3">
        <f t="shared" si="20"/>
        <v>0</v>
      </c>
      <c r="CS71" s="3"/>
      <c r="CT71" s="3"/>
      <c r="CU71" s="3"/>
      <c r="CV71" s="3">
        <f t="shared" si="21"/>
        <v>0</v>
      </c>
      <c r="CW71" s="3"/>
      <c r="CX71" s="3"/>
      <c r="CY71" s="3"/>
      <c r="CZ71" s="3">
        <f t="shared" si="22"/>
        <v>0</v>
      </c>
      <c r="DA71" s="3"/>
      <c r="DB71" s="3"/>
      <c r="DC71" s="3"/>
      <c r="DD71" s="3">
        <f t="shared" si="23"/>
        <v>0</v>
      </c>
      <c r="DE71" s="3"/>
      <c r="DF71" s="3"/>
      <c r="DG71" s="3"/>
      <c r="DH71" s="3">
        <f t="shared" si="24"/>
        <v>0</v>
      </c>
      <c r="DI71" s="3"/>
      <c r="DJ71" s="3"/>
      <c r="DK71" s="3"/>
      <c r="DL71" s="3">
        <f t="shared" si="2"/>
        <v>0</v>
      </c>
      <c r="DM71" s="3"/>
      <c r="DN71" s="3"/>
      <c r="DO71" s="3"/>
      <c r="DP71" s="3">
        <f t="shared" si="25"/>
        <v>0</v>
      </c>
      <c r="DQ71" s="3"/>
      <c r="DR71" s="3"/>
      <c r="DS71" s="3"/>
      <c r="DT71" s="3">
        <f t="shared" si="26"/>
        <v>0</v>
      </c>
      <c r="DU71" s="3"/>
      <c r="DV71" s="3"/>
      <c r="DW71" s="3"/>
      <c r="DX71" s="3">
        <f t="shared" si="27"/>
        <v>0</v>
      </c>
      <c r="DY71" s="3"/>
      <c r="DZ71" s="3"/>
      <c r="EA71" s="3"/>
      <c r="EB71" s="3">
        <f t="shared" si="28"/>
        <v>0</v>
      </c>
      <c r="EC71" s="4">
        <f t="shared" si="6"/>
        <v>12891.239999999998</v>
      </c>
      <c r="ED71" s="5">
        <f t="shared" si="29"/>
        <v>0</v>
      </c>
      <c r="EE71" s="6">
        <f t="shared" si="33"/>
        <v>12891.239999999998</v>
      </c>
      <c r="EF71" s="6">
        <f t="shared" si="33"/>
        <v>0</v>
      </c>
      <c r="EG71" s="6">
        <f t="shared" si="33"/>
        <v>0</v>
      </c>
    </row>
    <row r="72" spans="1:137" ht="12" customHeight="1" x14ac:dyDescent="0.35">
      <c r="A72" s="34" t="s">
        <v>347</v>
      </c>
      <c r="B72" s="35">
        <v>3785</v>
      </c>
      <c r="C72" s="35" t="s">
        <v>348</v>
      </c>
      <c r="D72" s="35" t="s">
        <v>349</v>
      </c>
      <c r="E72" s="34">
        <v>421412</v>
      </c>
      <c r="F72" s="35">
        <v>1205550</v>
      </c>
      <c r="G72" s="8">
        <v>46124</v>
      </c>
      <c r="H72" s="8">
        <v>46133</v>
      </c>
      <c r="I72" s="36">
        <v>18</v>
      </c>
      <c r="J72" s="36">
        <v>122773.71</v>
      </c>
      <c r="K72" s="36">
        <v>22099.267800000001</v>
      </c>
      <c r="L72" s="37"/>
      <c r="M72" s="37"/>
      <c r="N72" s="36">
        <v>22099.267800000001</v>
      </c>
      <c r="O72" s="36">
        <v>144872.97779999999</v>
      </c>
      <c r="P72" s="35" t="s">
        <v>95</v>
      </c>
      <c r="Q72" s="34" t="s">
        <v>35</v>
      </c>
      <c r="R72" s="35" t="s">
        <v>139</v>
      </c>
      <c r="S72" s="35" t="s">
        <v>252</v>
      </c>
      <c r="T72" s="35" t="s">
        <v>253</v>
      </c>
      <c r="U72" s="35" t="s">
        <v>278</v>
      </c>
      <c r="V72" s="34">
        <v>998315</v>
      </c>
      <c r="W72" s="35" t="s">
        <v>353</v>
      </c>
      <c r="X72" s="34" t="s">
        <v>101</v>
      </c>
      <c r="Y72" s="35">
        <v>107</v>
      </c>
      <c r="Z72" s="35" t="s">
        <v>102</v>
      </c>
      <c r="AA72" t="s">
        <v>351</v>
      </c>
      <c r="AB72">
        <v>22099.267800000001</v>
      </c>
      <c r="AC72">
        <v>233423.52</v>
      </c>
      <c r="AD72" s="38">
        <v>-211324</v>
      </c>
      <c r="AE72" t="s">
        <v>104</v>
      </c>
      <c r="AF72" t="s">
        <v>73</v>
      </c>
      <c r="AG72" s="3"/>
      <c r="AH72" s="3"/>
      <c r="AI72" s="3"/>
      <c r="AJ72" s="3">
        <f t="shared" si="7"/>
        <v>0</v>
      </c>
      <c r="AK72" s="3"/>
      <c r="AL72" s="3"/>
      <c r="AM72" s="3"/>
      <c r="AN72" s="3">
        <f t="shared" si="8"/>
        <v>0</v>
      </c>
      <c r="AO72" s="3"/>
      <c r="AP72" s="3"/>
      <c r="AQ72" s="3"/>
      <c r="AR72" s="3">
        <f t="shared" si="9"/>
        <v>0</v>
      </c>
      <c r="AS72" s="3"/>
      <c r="AT72" s="3"/>
      <c r="AU72" s="3"/>
      <c r="AV72" s="3">
        <f t="shared" si="10"/>
        <v>0</v>
      </c>
      <c r="AW72" s="3"/>
      <c r="AX72" s="3"/>
      <c r="AY72" s="3"/>
      <c r="AZ72" s="3">
        <f t="shared" si="11"/>
        <v>0</v>
      </c>
      <c r="BA72" s="3">
        <f t="shared" si="62"/>
        <v>22099.267800000001</v>
      </c>
      <c r="BB72" s="3">
        <v>0</v>
      </c>
      <c r="BC72" s="3">
        <v>0</v>
      </c>
      <c r="BD72" s="3">
        <f t="shared" si="12"/>
        <v>22099.267800000001</v>
      </c>
      <c r="BE72" s="3"/>
      <c r="BF72" s="3"/>
      <c r="BG72" s="3"/>
      <c r="BH72" s="3">
        <f t="shared" si="4"/>
        <v>0</v>
      </c>
      <c r="BI72" s="3"/>
      <c r="BJ72" s="3"/>
      <c r="BK72" s="3"/>
      <c r="BL72" s="3">
        <f t="shared" si="5"/>
        <v>0</v>
      </c>
      <c r="BM72" s="3"/>
      <c r="BN72" s="3"/>
      <c r="BO72" s="3"/>
      <c r="BP72" s="3">
        <f t="shared" si="13"/>
        <v>0</v>
      </c>
      <c r="BQ72" s="3"/>
      <c r="BR72" s="3"/>
      <c r="BS72" s="3"/>
      <c r="BT72" s="3">
        <f t="shared" si="14"/>
        <v>0</v>
      </c>
      <c r="BU72" s="3"/>
      <c r="BV72" s="3"/>
      <c r="BW72" s="3"/>
      <c r="BX72" s="3">
        <f t="shared" si="15"/>
        <v>0</v>
      </c>
      <c r="BY72" s="3"/>
      <c r="BZ72" s="3"/>
      <c r="CA72" s="3"/>
      <c r="CB72" s="3">
        <f t="shared" si="16"/>
        <v>0</v>
      </c>
      <c r="CC72" s="3"/>
      <c r="CD72" s="3"/>
      <c r="CE72" s="3"/>
      <c r="CF72" s="3">
        <f t="shared" si="17"/>
        <v>0</v>
      </c>
      <c r="CG72" s="3"/>
      <c r="CH72" s="3"/>
      <c r="CI72" s="3"/>
      <c r="CJ72" s="3">
        <f t="shared" si="18"/>
        <v>0</v>
      </c>
      <c r="CK72" s="3"/>
      <c r="CL72" s="3"/>
      <c r="CM72" s="3"/>
      <c r="CN72" s="3">
        <f t="shared" si="19"/>
        <v>0</v>
      </c>
      <c r="CO72" s="3"/>
      <c r="CP72" s="3"/>
      <c r="CQ72" s="3"/>
      <c r="CR72" s="3">
        <f t="shared" si="20"/>
        <v>0</v>
      </c>
      <c r="CS72" s="3"/>
      <c r="CT72" s="3"/>
      <c r="CU72" s="3"/>
      <c r="CV72" s="3">
        <f t="shared" si="21"/>
        <v>0</v>
      </c>
      <c r="CW72" s="3"/>
      <c r="CX72" s="3"/>
      <c r="CY72" s="3"/>
      <c r="CZ72" s="3">
        <f t="shared" si="22"/>
        <v>0</v>
      </c>
      <c r="DA72" s="3"/>
      <c r="DB72" s="3"/>
      <c r="DC72" s="3"/>
      <c r="DD72" s="3">
        <f t="shared" si="23"/>
        <v>0</v>
      </c>
      <c r="DE72" s="3"/>
      <c r="DF72" s="3"/>
      <c r="DG72" s="3"/>
      <c r="DH72" s="3">
        <f t="shared" si="24"/>
        <v>0</v>
      </c>
      <c r="DI72" s="3"/>
      <c r="DJ72" s="3"/>
      <c r="DK72" s="3"/>
      <c r="DL72" s="3">
        <f t="shared" si="2"/>
        <v>0</v>
      </c>
      <c r="DM72" s="3"/>
      <c r="DN72" s="3"/>
      <c r="DO72" s="3"/>
      <c r="DP72" s="3">
        <f t="shared" si="25"/>
        <v>0</v>
      </c>
      <c r="DQ72" s="3"/>
      <c r="DR72" s="3"/>
      <c r="DS72" s="3"/>
      <c r="DT72" s="3">
        <f t="shared" si="26"/>
        <v>0</v>
      </c>
      <c r="DU72" s="3"/>
      <c r="DV72" s="3"/>
      <c r="DW72" s="3"/>
      <c r="DX72" s="3">
        <f t="shared" si="27"/>
        <v>0</v>
      </c>
      <c r="DY72" s="3"/>
      <c r="DZ72" s="3"/>
      <c r="EA72" s="3"/>
      <c r="EB72" s="3">
        <f t="shared" si="28"/>
        <v>0</v>
      </c>
      <c r="EC72" s="4">
        <f t="shared" si="6"/>
        <v>22099.267800000001</v>
      </c>
      <c r="ED72" s="5">
        <f t="shared" si="29"/>
        <v>0</v>
      </c>
      <c r="EE72" s="6">
        <f t="shared" si="33"/>
        <v>22099.267800000001</v>
      </c>
      <c r="EF72" s="6">
        <f t="shared" si="33"/>
        <v>0</v>
      </c>
      <c r="EG72" s="6">
        <f t="shared" si="33"/>
        <v>0</v>
      </c>
    </row>
    <row r="73" spans="1:137" ht="12" customHeight="1" x14ac:dyDescent="0.35">
      <c r="A73" s="34" t="s">
        <v>347</v>
      </c>
      <c r="B73" s="35">
        <v>3785</v>
      </c>
      <c r="C73" s="35" t="s">
        <v>348</v>
      </c>
      <c r="D73" s="35" t="s">
        <v>349</v>
      </c>
      <c r="E73" s="34">
        <v>421412</v>
      </c>
      <c r="F73" s="35">
        <v>1205550</v>
      </c>
      <c r="G73" s="8">
        <v>46124</v>
      </c>
      <c r="H73" s="8">
        <v>46133</v>
      </c>
      <c r="I73" s="36">
        <v>18</v>
      </c>
      <c r="J73" s="36">
        <v>76733.570000000007</v>
      </c>
      <c r="K73" s="36">
        <v>13812.042600000001</v>
      </c>
      <c r="L73" s="37"/>
      <c r="M73" s="37"/>
      <c r="N73" s="36">
        <v>13812.042600000001</v>
      </c>
      <c r="O73" s="36">
        <v>90545.612599999993</v>
      </c>
      <c r="P73" s="35" t="s">
        <v>95</v>
      </c>
      <c r="Q73" s="34" t="s">
        <v>35</v>
      </c>
      <c r="R73" s="35" t="s">
        <v>139</v>
      </c>
      <c r="S73" s="35" t="s">
        <v>252</v>
      </c>
      <c r="T73" s="35" t="s">
        <v>253</v>
      </c>
      <c r="U73" s="35" t="s">
        <v>278</v>
      </c>
      <c r="V73" s="34">
        <v>998315</v>
      </c>
      <c r="W73" s="35" t="s">
        <v>354</v>
      </c>
      <c r="X73" s="34" t="s">
        <v>101</v>
      </c>
      <c r="Y73" s="35">
        <v>107</v>
      </c>
      <c r="Z73" s="35" t="s">
        <v>102</v>
      </c>
      <c r="AA73" t="s">
        <v>351</v>
      </c>
      <c r="AB73">
        <v>13812.042600000001</v>
      </c>
      <c r="AC73">
        <v>233423.52</v>
      </c>
      <c r="AD73" s="38">
        <v>-219611</v>
      </c>
      <c r="AE73" t="s">
        <v>104</v>
      </c>
      <c r="AF73" t="s">
        <v>73</v>
      </c>
      <c r="AG73" s="3"/>
      <c r="AH73" s="3"/>
      <c r="AI73" s="3"/>
      <c r="AJ73" s="3">
        <f t="shared" si="7"/>
        <v>0</v>
      </c>
      <c r="AK73" s="3"/>
      <c r="AL73" s="3"/>
      <c r="AM73" s="3"/>
      <c r="AN73" s="3">
        <f t="shared" si="8"/>
        <v>0</v>
      </c>
      <c r="AO73" s="3"/>
      <c r="AP73" s="3"/>
      <c r="AQ73" s="3"/>
      <c r="AR73" s="3">
        <f t="shared" si="9"/>
        <v>0</v>
      </c>
      <c r="AS73" s="3"/>
      <c r="AT73" s="3"/>
      <c r="AU73" s="3"/>
      <c r="AV73" s="3">
        <f t="shared" si="10"/>
        <v>0</v>
      </c>
      <c r="AW73" s="3"/>
      <c r="AX73" s="3"/>
      <c r="AY73" s="3"/>
      <c r="AZ73" s="3">
        <f t="shared" si="11"/>
        <v>0</v>
      </c>
      <c r="BA73" s="3">
        <f t="shared" si="62"/>
        <v>13812.042599999999</v>
      </c>
      <c r="BB73" s="3">
        <v>0</v>
      </c>
      <c r="BC73" s="3">
        <v>0</v>
      </c>
      <c r="BD73" s="3">
        <f t="shared" si="12"/>
        <v>13812.042599999999</v>
      </c>
      <c r="BE73" s="3"/>
      <c r="BF73" s="3"/>
      <c r="BG73" s="3"/>
      <c r="BH73" s="3">
        <f t="shared" si="4"/>
        <v>0</v>
      </c>
      <c r="BI73" s="3"/>
      <c r="BJ73" s="3"/>
      <c r="BK73" s="3"/>
      <c r="BL73" s="3">
        <f t="shared" si="5"/>
        <v>0</v>
      </c>
      <c r="BM73" s="3"/>
      <c r="BN73" s="3"/>
      <c r="BO73" s="3"/>
      <c r="BP73" s="3">
        <f t="shared" si="13"/>
        <v>0</v>
      </c>
      <c r="BQ73" s="3"/>
      <c r="BR73" s="3"/>
      <c r="BS73" s="3"/>
      <c r="BT73" s="3">
        <f t="shared" si="14"/>
        <v>0</v>
      </c>
      <c r="BU73" s="3"/>
      <c r="BV73" s="3"/>
      <c r="BW73" s="3"/>
      <c r="BX73" s="3">
        <f t="shared" si="15"/>
        <v>0</v>
      </c>
      <c r="BY73" s="3"/>
      <c r="BZ73" s="3"/>
      <c r="CA73" s="3"/>
      <c r="CB73" s="3">
        <f t="shared" si="16"/>
        <v>0</v>
      </c>
      <c r="CC73" s="3"/>
      <c r="CD73" s="3"/>
      <c r="CE73" s="3"/>
      <c r="CF73" s="3">
        <f t="shared" si="17"/>
        <v>0</v>
      </c>
      <c r="CG73" s="3"/>
      <c r="CH73" s="3"/>
      <c r="CI73" s="3"/>
      <c r="CJ73" s="3">
        <f t="shared" si="18"/>
        <v>0</v>
      </c>
      <c r="CK73" s="3"/>
      <c r="CL73" s="3"/>
      <c r="CM73" s="3"/>
      <c r="CN73" s="3">
        <f t="shared" si="19"/>
        <v>0</v>
      </c>
      <c r="CO73" s="3"/>
      <c r="CP73" s="3"/>
      <c r="CQ73" s="3"/>
      <c r="CR73" s="3">
        <f t="shared" si="20"/>
        <v>0</v>
      </c>
      <c r="CS73" s="3"/>
      <c r="CT73" s="3"/>
      <c r="CU73" s="3"/>
      <c r="CV73" s="3">
        <f t="shared" si="21"/>
        <v>0</v>
      </c>
      <c r="CW73" s="3"/>
      <c r="CX73" s="3"/>
      <c r="CY73" s="3"/>
      <c r="CZ73" s="3">
        <f t="shared" si="22"/>
        <v>0</v>
      </c>
      <c r="DA73" s="3"/>
      <c r="DB73" s="3"/>
      <c r="DC73" s="3"/>
      <c r="DD73" s="3">
        <f t="shared" si="23"/>
        <v>0</v>
      </c>
      <c r="DE73" s="3"/>
      <c r="DF73" s="3"/>
      <c r="DG73" s="3"/>
      <c r="DH73" s="3">
        <f t="shared" si="24"/>
        <v>0</v>
      </c>
      <c r="DI73" s="3"/>
      <c r="DJ73" s="3"/>
      <c r="DK73" s="3"/>
      <c r="DL73" s="3">
        <f t="shared" ref="DL73:DL136" si="63">SUBTOTAL(9,DI73:DK73)</f>
        <v>0</v>
      </c>
      <c r="DM73" s="3"/>
      <c r="DN73" s="3"/>
      <c r="DO73" s="3"/>
      <c r="DP73" s="3">
        <f t="shared" si="25"/>
        <v>0</v>
      </c>
      <c r="DQ73" s="3"/>
      <c r="DR73" s="3"/>
      <c r="DS73" s="3"/>
      <c r="DT73" s="3">
        <f t="shared" si="26"/>
        <v>0</v>
      </c>
      <c r="DU73" s="3"/>
      <c r="DV73" s="3"/>
      <c r="DW73" s="3"/>
      <c r="DX73" s="3">
        <f t="shared" si="27"/>
        <v>0</v>
      </c>
      <c r="DY73" s="3"/>
      <c r="DZ73" s="3"/>
      <c r="EA73" s="3"/>
      <c r="EB73" s="3">
        <f t="shared" si="28"/>
        <v>0</v>
      </c>
      <c r="EC73" s="4">
        <f t="shared" si="6"/>
        <v>13812.042599999999</v>
      </c>
      <c r="ED73" s="5">
        <f t="shared" si="29"/>
        <v>0</v>
      </c>
      <c r="EE73" s="6">
        <f t="shared" si="33"/>
        <v>13812.042599999999</v>
      </c>
      <c r="EF73" s="6">
        <f t="shared" si="33"/>
        <v>0</v>
      </c>
      <c r="EG73" s="6">
        <f t="shared" si="33"/>
        <v>0</v>
      </c>
    </row>
    <row r="74" spans="1:137" ht="12" customHeight="1" x14ac:dyDescent="0.35">
      <c r="A74" s="34" t="s">
        <v>347</v>
      </c>
      <c r="B74" s="35">
        <v>3785</v>
      </c>
      <c r="C74" s="35" t="s">
        <v>348</v>
      </c>
      <c r="D74" s="35" t="s">
        <v>349</v>
      </c>
      <c r="E74" s="34">
        <v>421412</v>
      </c>
      <c r="F74" s="35">
        <v>1205550</v>
      </c>
      <c r="G74" s="8">
        <v>46124</v>
      </c>
      <c r="H74" s="8">
        <v>46133</v>
      </c>
      <c r="I74" s="36">
        <v>18</v>
      </c>
      <c r="J74" s="36">
        <v>230200.71</v>
      </c>
      <c r="K74" s="36">
        <v>41436.127800000002</v>
      </c>
      <c r="L74" s="37"/>
      <c r="M74" s="37"/>
      <c r="N74" s="36">
        <v>41436.127800000002</v>
      </c>
      <c r="O74" s="36">
        <v>271636.83779999998</v>
      </c>
      <c r="P74" s="35" t="s">
        <v>95</v>
      </c>
      <c r="Q74" s="34" t="s">
        <v>35</v>
      </c>
      <c r="R74" s="35" t="s">
        <v>139</v>
      </c>
      <c r="S74" s="35" t="s">
        <v>252</v>
      </c>
      <c r="T74" s="35" t="s">
        <v>253</v>
      </c>
      <c r="U74" s="35" t="s">
        <v>278</v>
      </c>
      <c r="V74" s="34">
        <v>998315</v>
      </c>
      <c r="W74" s="35" t="s">
        <v>355</v>
      </c>
      <c r="X74" s="34" t="s">
        <v>101</v>
      </c>
      <c r="Y74" s="35">
        <v>107</v>
      </c>
      <c r="Z74" s="35" t="s">
        <v>102</v>
      </c>
      <c r="AA74" t="s">
        <v>351</v>
      </c>
      <c r="AB74">
        <v>41436.127800000002</v>
      </c>
      <c r="AC74">
        <v>233423.52</v>
      </c>
      <c r="AD74" s="38">
        <v>-191987</v>
      </c>
      <c r="AE74" t="s">
        <v>104</v>
      </c>
      <c r="AF74" t="s">
        <v>73</v>
      </c>
      <c r="AG74" s="3"/>
      <c r="AH74" s="3"/>
      <c r="AI74" s="3"/>
      <c r="AJ74" s="3">
        <f t="shared" si="7"/>
        <v>0</v>
      </c>
      <c r="AK74" s="3"/>
      <c r="AL74" s="3"/>
      <c r="AM74" s="3"/>
      <c r="AN74" s="3">
        <f t="shared" si="8"/>
        <v>0</v>
      </c>
      <c r="AO74" s="3"/>
      <c r="AP74" s="3"/>
      <c r="AQ74" s="3"/>
      <c r="AR74" s="3">
        <f t="shared" si="9"/>
        <v>0</v>
      </c>
      <c r="AS74" s="3"/>
      <c r="AT74" s="3"/>
      <c r="AU74" s="3"/>
      <c r="AV74" s="3">
        <f t="shared" si="10"/>
        <v>0</v>
      </c>
      <c r="AW74" s="3"/>
      <c r="AX74" s="3"/>
      <c r="AY74" s="3"/>
      <c r="AZ74" s="3">
        <f t="shared" si="11"/>
        <v>0</v>
      </c>
      <c r="BA74" s="3">
        <f t="shared" si="62"/>
        <v>41436.127800000002</v>
      </c>
      <c r="BB74" s="3">
        <v>0</v>
      </c>
      <c r="BC74" s="3">
        <v>0</v>
      </c>
      <c r="BD74" s="3">
        <f t="shared" si="12"/>
        <v>41436.127800000002</v>
      </c>
      <c r="BE74" s="3"/>
      <c r="BF74" s="3"/>
      <c r="BG74" s="3"/>
      <c r="BH74" s="3">
        <f t="shared" ref="BH74:BH137" si="64">SUBTOTAL(9,BE74:BG74)</f>
        <v>0</v>
      </c>
      <c r="BI74" s="3"/>
      <c r="BJ74" s="3"/>
      <c r="BK74" s="3"/>
      <c r="BL74" s="3">
        <f t="shared" ref="BL74:BL137" si="65">SUBTOTAL(9,BI74:BK74)</f>
        <v>0</v>
      </c>
      <c r="BM74" s="3"/>
      <c r="BN74" s="3"/>
      <c r="BO74" s="3"/>
      <c r="BP74" s="3">
        <f t="shared" si="13"/>
        <v>0</v>
      </c>
      <c r="BQ74" s="3"/>
      <c r="BR74" s="3"/>
      <c r="BS74" s="3"/>
      <c r="BT74" s="3">
        <f t="shared" si="14"/>
        <v>0</v>
      </c>
      <c r="BU74" s="3"/>
      <c r="BV74" s="3"/>
      <c r="BW74" s="3"/>
      <c r="BX74" s="3">
        <f t="shared" si="15"/>
        <v>0</v>
      </c>
      <c r="BY74" s="3"/>
      <c r="BZ74" s="3"/>
      <c r="CA74" s="3"/>
      <c r="CB74" s="3">
        <f t="shared" si="16"/>
        <v>0</v>
      </c>
      <c r="CC74" s="3"/>
      <c r="CD74" s="3"/>
      <c r="CE74" s="3"/>
      <c r="CF74" s="3">
        <f t="shared" si="17"/>
        <v>0</v>
      </c>
      <c r="CG74" s="3"/>
      <c r="CH74" s="3"/>
      <c r="CI74" s="3"/>
      <c r="CJ74" s="3">
        <f t="shared" si="18"/>
        <v>0</v>
      </c>
      <c r="CK74" s="3"/>
      <c r="CL74" s="3"/>
      <c r="CM74" s="3"/>
      <c r="CN74" s="3">
        <f t="shared" si="19"/>
        <v>0</v>
      </c>
      <c r="CO74" s="3"/>
      <c r="CP74" s="3"/>
      <c r="CQ74" s="3"/>
      <c r="CR74" s="3">
        <f t="shared" si="20"/>
        <v>0</v>
      </c>
      <c r="CS74" s="3"/>
      <c r="CT74" s="3"/>
      <c r="CU74" s="3"/>
      <c r="CV74" s="3">
        <f t="shared" si="21"/>
        <v>0</v>
      </c>
      <c r="CW74" s="3"/>
      <c r="CX74" s="3"/>
      <c r="CY74" s="3"/>
      <c r="CZ74" s="3">
        <f t="shared" si="22"/>
        <v>0</v>
      </c>
      <c r="DA74" s="3"/>
      <c r="DB74" s="3"/>
      <c r="DC74" s="3"/>
      <c r="DD74" s="3">
        <f t="shared" si="23"/>
        <v>0</v>
      </c>
      <c r="DE74" s="3"/>
      <c r="DF74" s="3"/>
      <c r="DG74" s="3"/>
      <c r="DH74" s="3">
        <f t="shared" si="24"/>
        <v>0</v>
      </c>
      <c r="DI74" s="3"/>
      <c r="DJ74" s="3"/>
      <c r="DK74" s="3"/>
      <c r="DL74" s="3">
        <f t="shared" si="63"/>
        <v>0</v>
      </c>
      <c r="DM74" s="3"/>
      <c r="DN74" s="3"/>
      <c r="DO74" s="3"/>
      <c r="DP74" s="3">
        <f t="shared" si="25"/>
        <v>0</v>
      </c>
      <c r="DQ74" s="3"/>
      <c r="DR74" s="3"/>
      <c r="DS74" s="3"/>
      <c r="DT74" s="3">
        <f t="shared" si="26"/>
        <v>0</v>
      </c>
      <c r="DU74" s="3"/>
      <c r="DV74" s="3"/>
      <c r="DW74" s="3"/>
      <c r="DX74" s="3">
        <f t="shared" si="27"/>
        <v>0</v>
      </c>
      <c r="DY74" s="3"/>
      <c r="DZ74" s="3"/>
      <c r="EA74" s="3"/>
      <c r="EB74" s="3">
        <f t="shared" si="28"/>
        <v>0</v>
      </c>
      <c r="EC74" s="4">
        <f t="shared" ref="EC74:EC82" si="66">AJ74+AN74+AR74+AV74+AZ74+BD74+BH74+BL74+BP74+BT74+BX74+CB74+CF74+CJ74+CN74+CR74+CV74+CZ74+DD74+DH74+DL74+DP74+DT74+DX74+EB74</f>
        <v>41436.127800000002</v>
      </c>
      <c r="ED74" s="5">
        <f t="shared" si="29"/>
        <v>0</v>
      </c>
      <c r="EE74" s="6">
        <f t="shared" si="33"/>
        <v>41436.127800000002</v>
      </c>
      <c r="EF74" s="6">
        <f t="shared" si="33"/>
        <v>0</v>
      </c>
      <c r="EG74" s="6">
        <f t="shared" si="33"/>
        <v>0</v>
      </c>
    </row>
    <row r="75" spans="1:137" ht="12" customHeight="1" x14ac:dyDescent="0.35">
      <c r="A75" s="34" t="s">
        <v>347</v>
      </c>
      <c r="B75" s="35">
        <v>3785</v>
      </c>
      <c r="C75" s="35" t="s">
        <v>348</v>
      </c>
      <c r="D75" s="35" t="s">
        <v>349</v>
      </c>
      <c r="E75" s="34">
        <v>421412</v>
      </c>
      <c r="F75" s="35">
        <v>1205550</v>
      </c>
      <c r="G75" s="8">
        <v>46124</v>
      </c>
      <c r="H75" s="8">
        <v>46133</v>
      </c>
      <c r="I75" s="36">
        <v>18</v>
      </c>
      <c r="J75" s="36">
        <v>107427</v>
      </c>
      <c r="K75" s="36">
        <v>19336.86</v>
      </c>
      <c r="L75" s="37"/>
      <c r="M75" s="37"/>
      <c r="N75" s="36">
        <v>19336.86</v>
      </c>
      <c r="O75" s="36">
        <v>126763.86</v>
      </c>
      <c r="P75" s="35" t="s">
        <v>95</v>
      </c>
      <c r="Q75" s="34" t="s">
        <v>35</v>
      </c>
      <c r="R75" s="35" t="s">
        <v>139</v>
      </c>
      <c r="S75" s="35" t="s">
        <v>252</v>
      </c>
      <c r="T75" s="35" t="s">
        <v>253</v>
      </c>
      <c r="U75" s="35" t="s">
        <v>278</v>
      </c>
      <c r="V75" s="34">
        <v>998315</v>
      </c>
      <c r="W75" s="35" t="s">
        <v>356</v>
      </c>
      <c r="X75" s="34" t="s">
        <v>101</v>
      </c>
      <c r="Y75" s="35">
        <v>107</v>
      </c>
      <c r="Z75" s="35" t="s">
        <v>102</v>
      </c>
      <c r="AA75" t="s">
        <v>351</v>
      </c>
      <c r="AB75">
        <v>19336.86</v>
      </c>
      <c r="AC75">
        <v>233423.52</v>
      </c>
      <c r="AD75" s="38">
        <v>-214087</v>
      </c>
      <c r="AE75" t="s">
        <v>104</v>
      </c>
      <c r="AF75" t="s">
        <v>73</v>
      </c>
      <c r="AG75" s="3"/>
      <c r="AH75" s="3"/>
      <c r="AI75" s="3"/>
      <c r="AJ75" s="3">
        <f t="shared" si="7"/>
        <v>0</v>
      </c>
      <c r="AK75" s="3"/>
      <c r="AL75" s="3"/>
      <c r="AM75" s="3"/>
      <c r="AN75" s="3">
        <f t="shared" si="8"/>
        <v>0</v>
      </c>
      <c r="AO75" s="3"/>
      <c r="AP75" s="3"/>
      <c r="AQ75" s="3"/>
      <c r="AR75" s="3">
        <f t="shared" si="9"/>
        <v>0</v>
      </c>
      <c r="AS75" s="3"/>
      <c r="AT75" s="3"/>
      <c r="AU75" s="3"/>
      <c r="AV75" s="3">
        <f t="shared" si="10"/>
        <v>0</v>
      </c>
      <c r="AW75" s="3"/>
      <c r="AX75" s="3"/>
      <c r="AY75" s="3"/>
      <c r="AZ75" s="3">
        <f t="shared" si="11"/>
        <v>0</v>
      </c>
      <c r="BA75" s="3">
        <f t="shared" si="62"/>
        <v>19336.86</v>
      </c>
      <c r="BB75" s="3">
        <v>0</v>
      </c>
      <c r="BC75" s="3">
        <v>0</v>
      </c>
      <c r="BD75" s="3">
        <f t="shared" si="12"/>
        <v>19336.86</v>
      </c>
      <c r="BE75" s="3"/>
      <c r="BF75" s="3"/>
      <c r="BG75" s="3"/>
      <c r="BH75" s="3">
        <f t="shared" si="64"/>
        <v>0</v>
      </c>
      <c r="BI75" s="3"/>
      <c r="BJ75" s="3"/>
      <c r="BK75" s="3"/>
      <c r="BL75" s="3">
        <f t="shared" si="65"/>
        <v>0</v>
      </c>
      <c r="BM75" s="3"/>
      <c r="BN75" s="3"/>
      <c r="BO75" s="3"/>
      <c r="BP75" s="3">
        <f t="shared" si="13"/>
        <v>0</v>
      </c>
      <c r="BQ75" s="3"/>
      <c r="BR75" s="3"/>
      <c r="BS75" s="3"/>
      <c r="BT75" s="3">
        <f t="shared" si="14"/>
        <v>0</v>
      </c>
      <c r="BU75" s="3"/>
      <c r="BV75" s="3"/>
      <c r="BW75" s="3"/>
      <c r="BX75" s="3">
        <f t="shared" si="15"/>
        <v>0</v>
      </c>
      <c r="BY75" s="3"/>
      <c r="BZ75" s="3"/>
      <c r="CA75" s="3"/>
      <c r="CB75" s="3">
        <f t="shared" si="16"/>
        <v>0</v>
      </c>
      <c r="CC75" s="3"/>
      <c r="CD75" s="3"/>
      <c r="CE75" s="3"/>
      <c r="CF75" s="3">
        <f t="shared" si="17"/>
        <v>0</v>
      </c>
      <c r="CG75" s="3"/>
      <c r="CH75" s="3"/>
      <c r="CI75" s="3"/>
      <c r="CJ75" s="3">
        <f t="shared" si="18"/>
        <v>0</v>
      </c>
      <c r="CK75" s="3"/>
      <c r="CL75" s="3"/>
      <c r="CM75" s="3"/>
      <c r="CN75" s="3">
        <f t="shared" si="19"/>
        <v>0</v>
      </c>
      <c r="CO75" s="3"/>
      <c r="CP75" s="3"/>
      <c r="CQ75" s="3"/>
      <c r="CR75" s="3">
        <f t="shared" si="20"/>
        <v>0</v>
      </c>
      <c r="CS75" s="3"/>
      <c r="CT75" s="3"/>
      <c r="CU75" s="3"/>
      <c r="CV75" s="3">
        <f t="shared" si="21"/>
        <v>0</v>
      </c>
      <c r="CW75" s="3"/>
      <c r="CX75" s="3"/>
      <c r="CY75" s="3"/>
      <c r="CZ75" s="3">
        <f t="shared" si="22"/>
        <v>0</v>
      </c>
      <c r="DA75" s="3"/>
      <c r="DB75" s="3"/>
      <c r="DC75" s="3"/>
      <c r="DD75" s="3">
        <f t="shared" si="23"/>
        <v>0</v>
      </c>
      <c r="DE75" s="3"/>
      <c r="DF75" s="3"/>
      <c r="DG75" s="3"/>
      <c r="DH75" s="3">
        <f t="shared" si="24"/>
        <v>0</v>
      </c>
      <c r="DI75" s="3"/>
      <c r="DJ75" s="3"/>
      <c r="DK75" s="3"/>
      <c r="DL75" s="3">
        <f t="shared" si="63"/>
        <v>0</v>
      </c>
      <c r="DM75" s="3"/>
      <c r="DN75" s="3"/>
      <c r="DO75" s="3"/>
      <c r="DP75" s="3">
        <f t="shared" si="25"/>
        <v>0</v>
      </c>
      <c r="DQ75" s="3"/>
      <c r="DR75" s="3"/>
      <c r="DS75" s="3"/>
      <c r="DT75" s="3">
        <f t="shared" si="26"/>
        <v>0</v>
      </c>
      <c r="DU75" s="3"/>
      <c r="DV75" s="3"/>
      <c r="DW75" s="3"/>
      <c r="DX75" s="3">
        <f t="shared" si="27"/>
        <v>0</v>
      </c>
      <c r="DY75" s="3"/>
      <c r="DZ75" s="3"/>
      <c r="EA75" s="3"/>
      <c r="EB75" s="3">
        <f t="shared" si="28"/>
        <v>0</v>
      </c>
      <c r="EC75" s="4">
        <f t="shared" si="66"/>
        <v>19336.86</v>
      </c>
      <c r="ED75" s="5">
        <f t="shared" si="29"/>
        <v>0</v>
      </c>
      <c r="EE75" s="6">
        <f t="shared" si="33"/>
        <v>19336.86</v>
      </c>
      <c r="EF75" s="6">
        <f t="shared" si="33"/>
        <v>0</v>
      </c>
      <c r="EG75" s="6">
        <f t="shared" si="33"/>
        <v>0</v>
      </c>
    </row>
    <row r="76" spans="1:137" ht="12" customHeight="1" x14ac:dyDescent="0.35">
      <c r="A76" s="34" t="s">
        <v>347</v>
      </c>
      <c r="B76" s="35">
        <v>3785</v>
      </c>
      <c r="C76" s="35" t="s">
        <v>348</v>
      </c>
      <c r="D76" s="35" t="s">
        <v>349</v>
      </c>
      <c r="E76" s="34">
        <v>421412</v>
      </c>
      <c r="F76" s="35">
        <v>1205550</v>
      </c>
      <c r="G76" s="8">
        <v>46124</v>
      </c>
      <c r="H76" s="8">
        <v>46133</v>
      </c>
      <c r="I76" s="36">
        <v>18</v>
      </c>
      <c r="J76" s="36">
        <v>89522.5</v>
      </c>
      <c r="K76" s="36">
        <v>16114.05</v>
      </c>
      <c r="L76" s="37"/>
      <c r="M76" s="37"/>
      <c r="N76" s="36">
        <v>16114.05</v>
      </c>
      <c r="O76" s="36">
        <v>105636.55</v>
      </c>
      <c r="P76" s="35" t="s">
        <v>95</v>
      </c>
      <c r="Q76" s="34" t="s">
        <v>35</v>
      </c>
      <c r="R76" s="35" t="s">
        <v>139</v>
      </c>
      <c r="S76" s="35" t="s">
        <v>252</v>
      </c>
      <c r="T76" s="35" t="s">
        <v>253</v>
      </c>
      <c r="U76" s="35" t="s">
        <v>278</v>
      </c>
      <c r="V76" s="34">
        <v>998315</v>
      </c>
      <c r="W76" s="35" t="s">
        <v>357</v>
      </c>
      <c r="X76" s="34" t="s">
        <v>101</v>
      </c>
      <c r="Y76" s="35">
        <v>107</v>
      </c>
      <c r="Z76" s="35" t="s">
        <v>102</v>
      </c>
      <c r="AA76" t="s">
        <v>351</v>
      </c>
      <c r="AB76">
        <v>16114.05</v>
      </c>
      <c r="AC76">
        <v>233423.52</v>
      </c>
      <c r="AD76" s="38">
        <v>-217309</v>
      </c>
      <c r="AE76" t="s">
        <v>104</v>
      </c>
      <c r="AF76" t="s">
        <v>73</v>
      </c>
      <c r="AG76" s="3"/>
      <c r="AH76" s="3"/>
      <c r="AI76" s="3"/>
      <c r="AJ76" s="3">
        <f t="shared" si="7"/>
        <v>0</v>
      </c>
      <c r="AK76" s="3"/>
      <c r="AL76" s="3"/>
      <c r="AM76" s="3"/>
      <c r="AN76" s="3">
        <f t="shared" si="8"/>
        <v>0</v>
      </c>
      <c r="AO76" s="3"/>
      <c r="AP76" s="3"/>
      <c r="AQ76" s="3"/>
      <c r="AR76" s="3">
        <f t="shared" si="9"/>
        <v>0</v>
      </c>
      <c r="AS76" s="3"/>
      <c r="AT76" s="3"/>
      <c r="AU76" s="3"/>
      <c r="AV76" s="3">
        <f t="shared" si="10"/>
        <v>0</v>
      </c>
      <c r="AW76" s="3"/>
      <c r="AX76" s="3"/>
      <c r="AY76" s="3"/>
      <c r="AZ76" s="3">
        <f t="shared" si="11"/>
        <v>0</v>
      </c>
      <c r="BA76" s="3">
        <f t="shared" si="62"/>
        <v>16114.049999999997</v>
      </c>
      <c r="BB76" s="3">
        <v>0</v>
      </c>
      <c r="BC76" s="3">
        <v>0</v>
      </c>
      <c r="BD76" s="3">
        <f t="shared" si="12"/>
        <v>16114.049999999997</v>
      </c>
      <c r="BE76" s="3"/>
      <c r="BF76" s="3"/>
      <c r="BG76" s="3"/>
      <c r="BH76" s="3">
        <f t="shared" si="64"/>
        <v>0</v>
      </c>
      <c r="BI76" s="3"/>
      <c r="BJ76" s="3"/>
      <c r="BK76" s="3"/>
      <c r="BL76" s="3">
        <f t="shared" si="65"/>
        <v>0</v>
      </c>
      <c r="BM76" s="3"/>
      <c r="BN76" s="3"/>
      <c r="BO76" s="3"/>
      <c r="BP76" s="3">
        <f t="shared" si="13"/>
        <v>0</v>
      </c>
      <c r="BQ76" s="3"/>
      <c r="BR76" s="3"/>
      <c r="BS76" s="3"/>
      <c r="BT76" s="3">
        <f t="shared" si="14"/>
        <v>0</v>
      </c>
      <c r="BU76" s="3"/>
      <c r="BV76" s="3"/>
      <c r="BW76" s="3"/>
      <c r="BX76" s="3">
        <f t="shared" si="15"/>
        <v>0</v>
      </c>
      <c r="BY76" s="3"/>
      <c r="BZ76" s="3"/>
      <c r="CA76" s="3"/>
      <c r="CB76" s="3">
        <f t="shared" si="16"/>
        <v>0</v>
      </c>
      <c r="CC76" s="3"/>
      <c r="CD76" s="3"/>
      <c r="CE76" s="3"/>
      <c r="CF76" s="3">
        <f t="shared" si="17"/>
        <v>0</v>
      </c>
      <c r="CG76" s="3"/>
      <c r="CH76" s="3"/>
      <c r="CI76" s="3"/>
      <c r="CJ76" s="3">
        <f t="shared" si="18"/>
        <v>0</v>
      </c>
      <c r="CK76" s="3"/>
      <c r="CL76" s="3"/>
      <c r="CM76" s="3"/>
      <c r="CN76" s="3">
        <f t="shared" si="19"/>
        <v>0</v>
      </c>
      <c r="CO76" s="3"/>
      <c r="CP76" s="3"/>
      <c r="CQ76" s="3"/>
      <c r="CR76" s="3">
        <f t="shared" si="20"/>
        <v>0</v>
      </c>
      <c r="CS76" s="3"/>
      <c r="CT76" s="3"/>
      <c r="CU76" s="3"/>
      <c r="CV76" s="3">
        <f t="shared" si="21"/>
        <v>0</v>
      </c>
      <c r="CW76" s="3"/>
      <c r="CX76" s="3"/>
      <c r="CY76" s="3"/>
      <c r="CZ76" s="3">
        <f t="shared" si="22"/>
        <v>0</v>
      </c>
      <c r="DA76" s="3"/>
      <c r="DB76" s="3"/>
      <c r="DC76" s="3"/>
      <c r="DD76" s="3">
        <f t="shared" si="23"/>
        <v>0</v>
      </c>
      <c r="DE76" s="3"/>
      <c r="DF76" s="3"/>
      <c r="DG76" s="3"/>
      <c r="DH76" s="3">
        <f t="shared" si="24"/>
        <v>0</v>
      </c>
      <c r="DI76" s="3"/>
      <c r="DJ76" s="3"/>
      <c r="DK76" s="3"/>
      <c r="DL76" s="3">
        <f t="shared" si="63"/>
        <v>0</v>
      </c>
      <c r="DM76" s="3"/>
      <c r="DN76" s="3"/>
      <c r="DO76" s="3"/>
      <c r="DP76" s="3">
        <f t="shared" si="25"/>
        <v>0</v>
      </c>
      <c r="DQ76" s="3"/>
      <c r="DR76" s="3"/>
      <c r="DS76" s="3"/>
      <c r="DT76" s="3">
        <f t="shared" si="26"/>
        <v>0</v>
      </c>
      <c r="DU76" s="3"/>
      <c r="DV76" s="3"/>
      <c r="DW76" s="3"/>
      <c r="DX76" s="3">
        <f t="shared" si="27"/>
        <v>0</v>
      </c>
      <c r="DY76" s="3"/>
      <c r="DZ76" s="3"/>
      <c r="EA76" s="3"/>
      <c r="EB76" s="3">
        <f t="shared" si="28"/>
        <v>0</v>
      </c>
      <c r="EC76" s="4">
        <f t="shared" si="66"/>
        <v>16114.049999999997</v>
      </c>
      <c r="ED76" s="5">
        <f t="shared" si="29"/>
        <v>0</v>
      </c>
      <c r="EE76" s="6">
        <f t="shared" si="33"/>
        <v>16114.049999999997</v>
      </c>
      <c r="EF76" s="6">
        <f t="shared" si="33"/>
        <v>0</v>
      </c>
      <c r="EG76" s="6">
        <f t="shared" si="33"/>
        <v>0</v>
      </c>
    </row>
    <row r="77" spans="1:137" ht="12" customHeight="1" x14ac:dyDescent="0.35">
      <c r="A77" s="34" t="s">
        <v>347</v>
      </c>
      <c r="B77" s="35">
        <v>3785</v>
      </c>
      <c r="C77" s="35" t="s">
        <v>348</v>
      </c>
      <c r="D77" s="35" t="s">
        <v>349</v>
      </c>
      <c r="E77" s="34">
        <v>421412</v>
      </c>
      <c r="F77" s="35">
        <v>1205550</v>
      </c>
      <c r="G77" s="8">
        <v>46124</v>
      </c>
      <c r="H77" s="8">
        <v>46133</v>
      </c>
      <c r="I77" s="36">
        <v>18</v>
      </c>
      <c r="J77" s="36">
        <v>143236</v>
      </c>
      <c r="K77" s="36">
        <v>25782.48</v>
      </c>
      <c r="L77" s="37"/>
      <c r="M77" s="37"/>
      <c r="N77" s="36">
        <v>25782.48</v>
      </c>
      <c r="O77" s="36">
        <v>169018.48</v>
      </c>
      <c r="P77" s="35" t="s">
        <v>95</v>
      </c>
      <c r="Q77" s="34" t="s">
        <v>35</v>
      </c>
      <c r="R77" s="35" t="s">
        <v>139</v>
      </c>
      <c r="S77" s="35" t="s">
        <v>252</v>
      </c>
      <c r="T77" s="35" t="s">
        <v>253</v>
      </c>
      <c r="U77" s="35" t="s">
        <v>278</v>
      </c>
      <c r="V77" s="34">
        <v>998315</v>
      </c>
      <c r="W77" s="35" t="s">
        <v>358</v>
      </c>
      <c r="X77" s="34" t="s">
        <v>101</v>
      </c>
      <c r="Y77" s="35">
        <v>107</v>
      </c>
      <c r="Z77" s="35" t="s">
        <v>102</v>
      </c>
      <c r="AA77" t="s">
        <v>351</v>
      </c>
      <c r="AB77">
        <v>25782.48</v>
      </c>
      <c r="AC77">
        <v>233423.52</v>
      </c>
      <c r="AD77" s="38">
        <v>-207641</v>
      </c>
      <c r="AE77" t="s">
        <v>104</v>
      </c>
      <c r="AF77" t="s">
        <v>73</v>
      </c>
      <c r="AG77" s="3"/>
      <c r="AH77" s="3"/>
      <c r="AI77" s="3"/>
      <c r="AJ77" s="3">
        <f t="shared" ref="AJ77:AJ140" si="67">SUBTOTAL(9,AG77:AI77)</f>
        <v>0</v>
      </c>
      <c r="AK77" s="3"/>
      <c r="AL77" s="3"/>
      <c r="AM77" s="3"/>
      <c r="AN77" s="3">
        <f t="shared" ref="AN77:AN140" si="68">SUBTOTAL(9,AK77:AM77)</f>
        <v>0</v>
      </c>
      <c r="AO77" s="3"/>
      <c r="AP77" s="3"/>
      <c r="AQ77" s="3"/>
      <c r="AR77" s="3">
        <f t="shared" ref="AR77:AR140" si="69">SUBTOTAL(9,AO77:AQ77)</f>
        <v>0</v>
      </c>
      <c r="AS77" s="3"/>
      <c r="AT77" s="3"/>
      <c r="AU77" s="3"/>
      <c r="AV77" s="3">
        <f t="shared" ref="AV77:AV140" si="70">SUBTOTAL(9,AS77:AU77)</f>
        <v>0</v>
      </c>
      <c r="AW77" s="3"/>
      <c r="AX77" s="3"/>
      <c r="AY77" s="3"/>
      <c r="AZ77" s="3">
        <f t="shared" ref="AZ77:AZ140" si="71">SUBTOTAL(9,AW77:AY77)</f>
        <v>0</v>
      </c>
      <c r="BA77" s="3">
        <f t="shared" si="62"/>
        <v>25782.479999999996</v>
      </c>
      <c r="BB77" s="3">
        <v>0</v>
      </c>
      <c r="BC77" s="3">
        <v>0</v>
      </c>
      <c r="BD77" s="3">
        <f t="shared" ref="BD77:BD140" si="72">SUBTOTAL(9,BA77:BC77)</f>
        <v>25782.479999999996</v>
      </c>
      <c r="BE77" s="3"/>
      <c r="BF77" s="3"/>
      <c r="BG77" s="3"/>
      <c r="BH77" s="3">
        <f t="shared" si="64"/>
        <v>0</v>
      </c>
      <c r="BI77" s="3"/>
      <c r="BJ77" s="3"/>
      <c r="BK77" s="3"/>
      <c r="BL77" s="3">
        <f t="shared" si="65"/>
        <v>0</v>
      </c>
      <c r="BM77" s="3"/>
      <c r="BN77" s="3"/>
      <c r="BO77" s="3"/>
      <c r="BP77" s="3">
        <f t="shared" ref="BP77:BP140" si="73">SUBTOTAL(9,BM77:BO77)</f>
        <v>0</v>
      </c>
      <c r="BQ77" s="3"/>
      <c r="BR77" s="3"/>
      <c r="BS77" s="3"/>
      <c r="BT77" s="3">
        <f t="shared" ref="BT77:BT140" si="74">SUBTOTAL(9,BQ77:BS77)</f>
        <v>0</v>
      </c>
      <c r="BU77" s="3"/>
      <c r="BV77" s="3"/>
      <c r="BW77" s="3"/>
      <c r="BX77" s="3">
        <f t="shared" ref="BX77:BX140" si="75">SUBTOTAL(9,BU77:BW77)</f>
        <v>0</v>
      </c>
      <c r="BY77" s="3"/>
      <c r="BZ77" s="3"/>
      <c r="CA77" s="3"/>
      <c r="CB77" s="3">
        <f t="shared" ref="CB77:CB140" si="76">SUBTOTAL(9,BY77:CA77)</f>
        <v>0</v>
      </c>
      <c r="CC77" s="3"/>
      <c r="CD77" s="3"/>
      <c r="CE77" s="3"/>
      <c r="CF77" s="3">
        <f t="shared" ref="CF77:CF140" si="77">SUBTOTAL(9,CC77:CE77)</f>
        <v>0</v>
      </c>
      <c r="CG77" s="3"/>
      <c r="CH77" s="3"/>
      <c r="CI77" s="3"/>
      <c r="CJ77" s="3">
        <f t="shared" ref="CJ77:CJ140" si="78">SUBTOTAL(9,CG77:CI77)</f>
        <v>0</v>
      </c>
      <c r="CK77" s="3"/>
      <c r="CL77" s="3"/>
      <c r="CM77" s="3"/>
      <c r="CN77" s="3">
        <f t="shared" ref="CN77:CN140" si="79">SUBTOTAL(9,CK77:CM77)</f>
        <v>0</v>
      </c>
      <c r="CO77" s="3"/>
      <c r="CP77" s="3"/>
      <c r="CQ77" s="3"/>
      <c r="CR77" s="3">
        <f t="shared" ref="CR77:CR140" si="80">SUBTOTAL(9,CO77:CQ77)</f>
        <v>0</v>
      </c>
      <c r="CS77" s="3"/>
      <c r="CT77" s="3"/>
      <c r="CU77" s="3"/>
      <c r="CV77" s="3">
        <f t="shared" ref="CV77:CV140" si="81">SUBTOTAL(9,CS77:CU77)</f>
        <v>0</v>
      </c>
      <c r="CW77" s="3"/>
      <c r="CX77" s="3"/>
      <c r="CY77" s="3"/>
      <c r="CZ77" s="3">
        <f t="shared" ref="CZ77:CZ140" si="82">SUBTOTAL(9,CW77:CY77)</f>
        <v>0</v>
      </c>
      <c r="DA77" s="3"/>
      <c r="DB77" s="3"/>
      <c r="DC77" s="3"/>
      <c r="DD77" s="3">
        <f t="shared" ref="DD77:DD140" si="83">SUBTOTAL(9,DA77:DC77)</f>
        <v>0</v>
      </c>
      <c r="DE77" s="3"/>
      <c r="DF77" s="3"/>
      <c r="DG77" s="3"/>
      <c r="DH77" s="3">
        <f t="shared" ref="DH77:DH140" si="84">SUBTOTAL(9,DE77:DG77)</f>
        <v>0</v>
      </c>
      <c r="DI77" s="3"/>
      <c r="DJ77" s="3"/>
      <c r="DK77" s="3"/>
      <c r="DL77" s="3">
        <f t="shared" si="63"/>
        <v>0</v>
      </c>
      <c r="DM77" s="3"/>
      <c r="DN77" s="3"/>
      <c r="DO77" s="3"/>
      <c r="DP77" s="3">
        <f t="shared" ref="DP77:DP140" si="85">SUBTOTAL(9,DM77:DO77)</f>
        <v>0</v>
      </c>
      <c r="DQ77" s="3"/>
      <c r="DR77" s="3"/>
      <c r="DS77" s="3"/>
      <c r="DT77" s="3">
        <f>SUBTOTAL(9,DQ77:DS77)</f>
        <v>0</v>
      </c>
      <c r="DU77" s="3"/>
      <c r="DV77" s="3"/>
      <c r="DW77" s="3"/>
      <c r="DX77" s="3">
        <f t="shared" ref="DX77:DX140" si="86">SUBTOTAL(9,DU77:DW77)</f>
        <v>0</v>
      </c>
      <c r="DY77" s="3"/>
      <c r="DZ77" s="3"/>
      <c r="EA77" s="3"/>
      <c r="EB77" s="3">
        <f t="shared" ref="EB77:EB140" si="87">SUBTOTAL(9,DY77:EA77)</f>
        <v>0</v>
      </c>
      <c r="EC77" s="4">
        <f t="shared" si="66"/>
        <v>25782.479999999996</v>
      </c>
      <c r="ED77" s="5">
        <f t="shared" ref="ED77:ED140" si="88">EC77-SUM(K77:M77)</f>
        <v>0</v>
      </c>
      <c r="EE77" s="6">
        <f t="shared" si="33"/>
        <v>25782.479999999996</v>
      </c>
      <c r="EF77" s="6">
        <f t="shared" si="33"/>
        <v>0</v>
      </c>
      <c r="EG77" s="6">
        <f t="shared" si="33"/>
        <v>0</v>
      </c>
    </row>
    <row r="78" spans="1:137" ht="12" customHeight="1" x14ac:dyDescent="0.35">
      <c r="A78" s="34" t="s">
        <v>347</v>
      </c>
      <c r="B78" s="35">
        <v>3785</v>
      </c>
      <c r="C78" s="35" t="s">
        <v>348</v>
      </c>
      <c r="D78" s="35" t="s">
        <v>349</v>
      </c>
      <c r="E78" s="34">
        <v>421412</v>
      </c>
      <c r="F78" s="35">
        <v>1205550</v>
      </c>
      <c r="G78" s="8">
        <v>46124</v>
      </c>
      <c r="H78" s="8">
        <v>46133</v>
      </c>
      <c r="I78" s="36">
        <v>18</v>
      </c>
      <c r="J78" s="36">
        <v>268567.5</v>
      </c>
      <c r="K78" s="36">
        <v>48342.15</v>
      </c>
      <c r="L78" s="37"/>
      <c r="M78" s="37"/>
      <c r="N78" s="36">
        <v>48342.15</v>
      </c>
      <c r="O78" s="36">
        <v>316909.65000000002</v>
      </c>
      <c r="P78" s="35" t="s">
        <v>95</v>
      </c>
      <c r="Q78" s="34" t="s">
        <v>35</v>
      </c>
      <c r="R78" s="35" t="s">
        <v>139</v>
      </c>
      <c r="S78" s="35" t="s">
        <v>252</v>
      </c>
      <c r="T78" s="35" t="s">
        <v>253</v>
      </c>
      <c r="U78" s="35" t="s">
        <v>278</v>
      </c>
      <c r="V78" s="34">
        <v>998315</v>
      </c>
      <c r="W78" s="35" t="s">
        <v>359</v>
      </c>
      <c r="X78" s="34" t="s">
        <v>101</v>
      </c>
      <c r="Y78" s="35">
        <v>107</v>
      </c>
      <c r="Z78" s="35" t="s">
        <v>102</v>
      </c>
      <c r="AA78" t="s">
        <v>351</v>
      </c>
      <c r="AB78">
        <v>48342.15</v>
      </c>
      <c r="AC78">
        <v>233423.52</v>
      </c>
      <c r="AD78" s="38">
        <v>-185081</v>
      </c>
      <c r="AE78" t="s">
        <v>104</v>
      </c>
      <c r="AF78" t="s">
        <v>73</v>
      </c>
      <c r="AG78" s="3"/>
      <c r="AH78" s="3"/>
      <c r="AI78" s="3"/>
      <c r="AJ78" s="3">
        <f t="shared" si="67"/>
        <v>0</v>
      </c>
      <c r="AK78" s="3"/>
      <c r="AL78" s="3"/>
      <c r="AM78" s="3"/>
      <c r="AN78" s="3">
        <f t="shared" si="68"/>
        <v>0</v>
      </c>
      <c r="AO78" s="3"/>
      <c r="AP78" s="3"/>
      <c r="AQ78" s="3"/>
      <c r="AR78" s="3">
        <f t="shared" si="69"/>
        <v>0</v>
      </c>
      <c r="AS78" s="3"/>
      <c r="AT78" s="3"/>
      <c r="AU78" s="3"/>
      <c r="AV78" s="3">
        <f t="shared" si="70"/>
        <v>0</v>
      </c>
      <c r="AW78" s="3"/>
      <c r="AX78" s="3"/>
      <c r="AY78" s="3"/>
      <c r="AZ78" s="3">
        <f t="shared" si="71"/>
        <v>0</v>
      </c>
      <c r="BA78" s="3">
        <f t="shared" si="62"/>
        <v>48342.15</v>
      </c>
      <c r="BB78" s="3">
        <v>0</v>
      </c>
      <c r="BC78" s="3">
        <v>0</v>
      </c>
      <c r="BD78" s="3">
        <f t="shared" si="72"/>
        <v>48342.15</v>
      </c>
      <c r="BE78" s="3"/>
      <c r="BF78" s="3"/>
      <c r="BG78" s="3"/>
      <c r="BH78" s="3">
        <f t="shared" si="64"/>
        <v>0</v>
      </c>
      <c r="BI78" s="3"/>
      <c r="BJ78" s="3"/>
      <c r="BK78" s="3"/>
      <c r="BL78" s="3">
        <f t="shared" si="65"/>
        <v>0</v>
      </c>
      <c r="BM78" s="3"/>
      <c r="BN78" s="3"/>
      <c r="BO78" s="3"/>
      <c r="BP78" s="3">
        <f t="shared" si="73"/>
        <v>0</v>
      </c>
      <c r="BQ78" s="3"/>
      <c r="BR78" s="3"/>
      <c r="BS78" s="3"/>
      <c r="BT78" s="3">
        <f t="shared" si="74"/>
        <v>0</v>
      </c>
      <c r="BU78" s="3"/>
      <c r="BV78" s="3"/>
      <c r="BW78" s="3"/>
      <c r="BX78" s="3">
        <f t="shared" si="75"/>
        <v>0</v>
      </c>
      <c r="BY78" s="3"/>
      <c r="BZ78" s="3"/>
      <c r="CA78" s="3"/>
      <c r="CB78" s="3">
        <f t="shared" si="76"/>
        <v>0</v>
      </c>
      <c r="CC78" s="3"/>
      <c r="CD78" s="3"/>
      <c r="CE78" s="3"/>
      <c r="CF78" s="3">
        <f t="shared" si="77"/>
        <v>0</v>
      </c>
      <c r="CG78" s="3"/>
      <c r="CH78" s="3"/>
      <c r="CI78" s="3"/>
      <c r="CJ78" s="3">
        <f t="shared" si="78"/>
        <v>0</v>
      </c>
      <c r="CK78" s="3"/>
      <c r="CL78" s="3"/>
      <c r="CM78" s="3"/>
      <c r="CN78" s="3">
        <f t="shared" si="79"/>
        <v>0</v>
      </c>
      <c r="CO78" s="3"/>
      <c r="CP78" s="3"/>
      <c r="CQ78" s="3"/>
      <c r="CR78" s="3">
        <f t="shared" si="80"/>
        <v>0</v>
      </c>
      <c r="CS78" s="3"/>
      <c r="CT78" s="3"/>
      <c r="CU78" s="3"/>
      <c r="CV78" s="3">
        <f t="shared" si="81"/>
        <v>0</v>
      </c>
      <c r="CW78" s="3"/>
      <c r="CX78" s="3"/>
      <c r="CY78" s="3"/>
      <c r="CZ78" s="3">
        <f t="shared" si="82"/>
        <v>0</v>
      </c>
      <c r="DA78" s="3"/>
      <c r="DB78" s="3"/>
      <c r="DC78" s="3"/>
      <c r="DD78" s="3">
        <f t="shared" si="83"/>
        <v>0</v>
      </c>
      <c r="DE78" s="3"/>
      <c r="DF78" s="3"/>
      <c r="DG78" s="3"/>
      <c r="DH78" s="3">
        <f t="shared" si="84"/>
        <v>0</v>
      </c>
      <c r="DI78" s="3"/>
      <c r="DJ78" s="3"/>
      <c r="DK78" s="3"/>
      <c r="DL78" s="3">
        <f t="shared" si="63"/>
        <v>0</v>
      </c>
      <c r="DM78" s="3"/>
      <c r="DN78" s="3"/>
      <c r="DO78" s="3"/>
      <c r="DP78" s="3">
        <f t="shared" si="85"/>
        <v>0</v>
      </c>
      <c r="DQ78" s="3"/>
      <c r="DR78" s="3"/>
      <c r="DS78" s="3"/>
      <c r="DT78" s="3">
        <f t="shared" ref="DT78:DT141" si="89">SUBTOTAL(9,DQ78:DS78)</f>
        <v>0</v>
      </c>
      <c r="DU78" s="3"/>
      <c r="DV78" s="3"/>
      <c r="DW78" s="3"/>
      <c r="DX78" s="3">
        <f t="shared" si="86"/>
        <v>0</v>
      </c>
      <c r="DY78" s="3"/>
      <c r="DZ78" s="3"/>
      <c r="EA78" s="3"/>
      <c r="EB78" s="3">
        <f t="shared" si="87"/>
        <v>0</v>
      </c>
      <c r="EC78" s="4">
        <f t="shared" si="66"/>
        <v>48342.15</v>
      </c>
      <c r="ED78" s="5">
        <f t="shared" si="88"/>
        <v>0</v>
      </c>
      <c r="EE78" s="6">
        <f t="shared" si="33"/>
        <v>48342.15</v>
      </c>
      <c r="EF78" s="6">
        <f t="shared" si="33"/>
        <v>0</v>
      </c>
      <c r="EG78" s="6">
        <f t="shared" si="33"/>
        <v>0</v>
      </c>
    </row>
    <row r="79" spans="1:137" ht="12" customHeight="1" x14ac:dyDescent="0.35">
      <c r="A79" s="34" t="s">
        <v>347</v>
      </c>
      <c r="B79" s="35">
        <v>3785</v>
      </c>
      <c r="C79" s="35" t="s">
        <v>348</v>
      </c>
      <c r="D79" s="35" t="s">
        <v>349</v>
      </c>
      <c r="E79" s="34">
        <v>421412</v>
      </c>
      <c r="F79" s="35">
        <v>1205550</v>
      </c>
      <c r="G79" s="8">
        <v>46124</v>
      </c>
      <c r="H79" s="8">
        <v>46133</v>
      </c>
      <c r="I79" s="36">
        <v>18</v>
      </c>
      <c r="J79" s="36">
        <v>61386.86</v>
      </c>
      <c r="K79" s="36">
        <v>11049.6348</v>
      </c>
      <c r="L79" s="37"/>
      <c r="M79" s="37"/>
      <c r="N79" s="36">
        <v>11049.6348</v>
      </c>
      <c r="O79" s="36">
        <v>72436.4948</v>
      </c>
      <c r="P79" s="35" t="s">
        <v>95</v>
      </c>
      <c r="Q79" s="34" t="s">
        <v>35</v>
      </c>
      <c r="R79" s="35" t="s">
        <v>139</v>
      </c>
      <c r="S79" s="35" t="s">
        <v>252</v>
      </c>
      <c r="T79" s="35" t="s">
        <v>253</v>
      </c>
      <c r="U79" s="35" t="s">
        <v>278</v>
      </c>
      <c r="V79" s="34">
        <v>998315</v>
      </c>
      <c r="W79" s="35" t="s">
        <v>360</v>
      </c>
      <c r="X79" s="34" t="s">
        <v>101</v>
      </c>
      <c r="Y79" s="35">
        <v>107</v>
      </c>
      <c r="Z79" s="35" t="s">
        <v>102</v>
      </c>
      <c r="AA79" t="s">
        <v>351</v>
      </c>
      <c r="AB79">
        <v>11049.6348</v>
      </c>
      <c r="AC79">
        <v>233423.52</v>
      </c>
      <c r="AD79" s="38">
        <v>-222374</v>
      </c>
      <c r="AE79" t="s">
        <v>104</v>
      </c>
      <c r="AF79" t="s">
        <v>73</v>
      </c>
      <c r="AG79" s="3"/>
      <c r="AH79" s="3"/>
      <c r="AI79" s="3"/>
      <c r="AJ79" s="3">
        <f t="shared" si="67"/>
        <v>0</v>
      </c>
      <c r="AK79" s="3"/>
      <c r="AL79" s="3"/>
      <c r="AM79" s="3"/>
      <c r="AN79" s="3">
        <f t="shared" si="68"/>
        <v>0</v>
      </c>
      <c r="AO79" s="3"/>
      <c r="AP79" s="3"/>
      <c r="AQ79" s="3"/>
      <c r="AR79" s="3">
        <f t="shared" si="69"/>
        <v>0</v>
      </c>
      <c r="AS79" s="3"/>
      <c r="AT79" s="3"/>
      <c r="AU79" s="3"/>
      <c r="AV79" s="3">
        <f t="shared" si="70"/>
        <v>0</v>
      </c>
      <c r="AW79" s="3"/>
      <c r="AX79" s="3"/>
      <c r="AY79" s="3"/>
      <c r="AZ79" s="3">
        <f t="shared" si="71"/>
        <v>0</v>
      </c>
      <c r="BA79" s="3">
        <f t="shared" si="62"/>
        <v>11049.6348</v>
      </c>
      <c r="BB79" s="3">
        <v>0</v>
      </c>
      <c r="BC79" s="3">
        <v>0</v>
      </c>
      <c r="BD79" s="3">
        <f t="shared" si="72"/>
        <v>11049.6348</v>
      </c>
      <c r="BE79" s="3"/>
      <c r="BF79" s="3"/>
      <c r="BG79" s="3"/>
      <c r="BH79" s="3">
        <f t="shared" si="64"/>
        <v>0</v>
      </c>
      <c r="BI79" s="3"/>
      <c r="BJ79" s="3"/>
      <c r="BK79" s="3"/>
      <c r="BL79" s="3">
        <f t="shared" si="65"/>
        <v>0</v>
      </c>
      <c r="BM79" s="3"/>
      <c r="BN79" s="3"/>
      <c r="BO79" s="3"/>
      <c r="BP79" s="3">
        <f t="shared" si="73"/>
        <v>0</v>
      </c>
      <c r="BQ79" s="3"/>
      <c r="BR79" s="3"/>
      <c r="BS79" s="3"/>
      <c r="BT79" s="3">
        <f t="shared" si="74"/>
        <v>0</v>
      </c>
      <c r="BU79" s="3"/>
      <c r="BV79" s="3"/>
      <c r="BW79" s="3"/>
      <c r="BX79" s="3">
        <f t="shared" si="75"/>
        <v>0</v>
      </c>
      <c r="BY79" s="3"/>
      <c r="BZ79" s="3"/>
      <c r="CA79" s="3"/>
      <c r="CB79" s="3">
        <f t="shared" si="76"/>
        <v>0</v>
      </c>
      <c r="CC79" s="3"/>
      <c r="CD79" s="3"/>
      <c r="CE79" s="3"/>
      <c r="CF79" s="3">
        <f t="shared" si="77"/>
        <v>0</v>
      </c>
      <c r="CG79" s="3"/>
      <c r="CH79" s="3"/>
      <c r="CI79" s="3"/>
      <c r="CJ79" s="3">
        <f t="shared" si="78"/>
        <v>0</v>
      </c>
      <c r="CK79" s="3"/>
      <c r="CL79" s="3"/>
      <c r="CM79" s="3"/>
      <c r="CN79" s="3">
        <f t="shared" si="79"/>
        <v>0</v>
      </c>
      <c r="CO79" s="3"/>
      <c r="CP79" s="3"/>
      <c r="CQ79" s="3"/>
      <c r="CR79" s="3">
        <f t="shared" si="80"/>
        <v>0</v>
      </c>
      <c r="CS79" s="3"/>
      <c r="CT79" s="3"/>
      <c r="CU79" s="3"/>
      <c r="CV79" s="3">
        <f t="shared" si="81"/>
        <v>0</v>
      </c>
      <c r="CW79" s="3"/>
      <c r="CX79" s="3"/>
      <c r="CY79" s="3"/>
      <c r="CZ79" s="3">
        <f t="shared" si="82"/>
        <v>0</v>
      </c>
      <c r="DA79" s="3"/>
      <c r="DB79" s="3"/>
      <c r="DC79" s="3"/>
      <c r="DD79" s="3">
        <f t="shared" si="83"/>
        <v>0</v>
      </c>
      <c r="DE79" s="3"/>
      <c r="DF79" s="3"/>
      <c r="DG79" s="3"/>
      <c r="DH79" s="3">
        <f t="shared" si="84"/>
        <v>0</v>
      </c>
      <c r="DI79" s="3"/>
      <c r="DJ79" s="3"/>
      <c r="DK79" s="3"/>
      <c r="DL79" s="3">
        <f t="shared" si="63"/>
        <v>0</v>
      </c>
      <c r="DM79" s="3"/>
      <c r="DN79" s="3"/>
      <c r="DO79" s="3"/>
      <c r="DP79" s="3">
        <f t="shared" si="85"/>
        <v>0</v>
      </c>
      <c r="DQ79" s="3"/>
      <c r="DR79" s="3"/>
      <c r="DS79" s="3"/>
      <c r="DT79" s="3">
        <f t="shared" si="89"/>
        <v>0</v>
      </c>
      <c r="DU79" s="3"/>
      <c r="DV79" s="3"/>
      <c r="DW79" s="3"/>
      <c r="DX79" s="3">
        <f t="shared" si="86"/>
        <v>0</v>
      </c>
      <c r="DY79" s="3"/>
      <c r="DZ79" s="3"/>
      <c r="EA79" s="3"/>
      <c r="EB79" s="3">
        <f t="shared" si="87"/>
        <v>0</v>
      </c>
      <c r="EC79" s="4">
        <f t="shared" si="66"/>
        <v>11049.6348</v>
      </c>
      <c r="ED79" s="5">
        <f t="shared" si="88"/>
        <v>0</v>
      </c>
      <c r="EE79" s="6">
        <f t="shared" si="33"/>
        <v>11049.6348</v>
      </c>
      <c r="EF79" s="6">
        <f t="shared" si="33"/>
        <v>0</v>
      </c>
      <c r="EG79" s="6">
        <f t="shared" si="33"/>
        <v>0</v>
      </c>
    </row>
    <row r="80" spans="1:137" ht="12" customHeight="1" x14ac:dyDescent="0.35">
      <c r="A80" s="34" t="s">
        <v>341</v>
      </c>
      <c r="B80" s="35">
        <v>41738</v>
      </c>
      <c r="C80" s="35" t="s">
        <v>342</v>
      </c>
      <c r="D80" s="35" t="s">
        <v>361</v>
      </c>
      <c r="E80" s="34">
        <v>150906</v>
      </c>
      <c r="F80" s="35" t="s">
        <v>362</v>
      </c>
      <c r="G80" s="8">
        <v>46112</v>
      </c>
      <c r="H80" s="8">
        <v>46133</v>
      </c>
      <c r="I80" s="36">
        <v>18</v>
      </c>
      <c r="J80" s="36">
        <v>14220</v>
      </c>
      <c r="K80" s="37"/>
      <c r="L80" s="36">
        <v>1279.8</v>
      </c>
      <c r="M80" s="36">
        <v>1279.8</v>
      </c>
      <c r="N80" s="36">
        <v>2559.6</v>
      </c>
      <c r="O80" s="36">
        <v>16779.599999999999</v>
      </c>
      <c r="P80" s="35" t="s">
        <v>95</v>
      </c>
      <c r="Q80" s="34" t="s">
        <v>36</v>
      </c>
      <c r="R80" s="35" t="s">
        <v>112</v>
      </c>
      <c r="S80" s="35" t="s">
        <v>252</v>
      </c>
      <c r="T80" s="35" t="s">
        <v>253</v>
      </c>
      <c r="U80" s="35" t="s">
        <v>278</v>
      </c>
      <c r="V80" s="34">
        <v>997331</v>
      </c>
      <c r="W80" s="35" t="s">
        <v>363</v>
      </c>
      <c r="X80" s="34" t="s">
        <v>101</v>
      </c>
      <c r="Y80" s="35">
        <v>107</v>
      </c>
      <c r="Z80" s="35" t="s">
        <v>102</v>
      </c>
      <c r="AA80" t="s">
        <v>364</v>
      </c>
      <c r="AB80">
        <v>2559.6</v>
      </c>
      <c r="AC80">
        <v>276967.8</v>
      </c>
      <c r="AD80" s="38">
        <v>-274408</v>
      </c>
      <c r="AE80" t="s">
        <v>104</v>
      </c>
      <c r="AF80" t="s">
        <v>73</v>
      </c>
      <c r="AG80" s="3"/>
      <c r="AH80" s="3"/>
      <c r="AI80" s="3"/>
      <c r="AJ80" s="3">
        <f t="shared" si="67"/>
        <v>0</v>
      </c>
      <c r="AK80" s="3"/>
      <c r="AL80" s="3"/>
      <c r="AM80" s="3"/>
      <c r="AN80" s="3">
        <f t="shared" si="68"/>
        <v>0</v>
      </c>
      <c r="AO80" s="3"/>
      <c r="AP80" s="3"/>
      <c r="AQ80" s="3"/>
      <c r="AR80" s="3">
        <f t="shared" si="69"/>
        <v>0</v>
      </c>
      <c r="AS80" s="3"/>
      <c r="AT80" s="3"/>
      <c r="AU80" s="3"/>
      <c r="AV80" s="3">
        <f t="shared" si="70"/>
        <v>0</v>
      </c>
      <c r="AW80" s="3"/>
      <c r="AX80" s="3"/>
      <c r="AY80" s="3"/>
      <c r="AZ80" s="3">
        <f t="shared" si="71"/>
        <v>0</v>
      </c>
      <c r="BA80" s="3"/>
      <c r="BB80" s="3"/>
      <c r="BC80" s="3"/>
      <c r="BD80" s="3">
        <f t="shared" si="72"/>
        <v>0</v>
      </c>
      <c r="BE80" s="3">
        <f>$K80*BE$4/$BE$4</f>
        <v>0</v>
      </c>
      <c r="BF80" s="3">
        <f>$L80*BE$4/$BE$4</f>
        <v>1279.8</v>
      </c>
      <c r="BG80" s="3">
        <f>$M80*BE$4/$BE$4</f>
        <v>1279.8</v>
      </c>
      <c r="BH80" s="3">
        <f t="shared" si="64"/>
        <v>2559.6</v>
      </c>
      <c r="BI80" s="3"/>
      <c r="BJ80" s="3"/>
      <c r="BK80" s="3"/>
      <c r="BL80" s="3">
        <f t="shared" si="65"/>
        <v>0</v>
      </c>
      <c r="BM80" s="3"/>
      <c r="BN80" s="3"/>
      <c r="BO80" s="3"/>
      <c r="BP80" s="3">
        <f t="shared" si="73"/>
        <v>0</v>
      </c>
      <c r="BQ80" s="3"/>
      <c r="BR80" s="3"/>
      <c r="BS80" s="3"/>
      <c r="BT80" s="3">
        <f t="shared" si="74"/>
        <v>0</v>
      </c>
      <c r="BU80" s="3"/>
      <c r="BV80" s="3"/>
      <c r="BW80" s="3"/>
      <c r="BX80" s="3">
        <f t="shared" si="75"/>
        <v>0</v>
      </c>
      <c r="BY80" s="3"/>
      <c r="BZ80" s="3"/>
      <c r="CA80" s="3"/>
      <c r="CB80" s="3">
        <f t="shared" si="76"/>
        <v>0</v>
      </c>
      <c r="CC80" s="3"/>
      <c r="CD80" s="3"/>
      <c r="CE80" s="3"/>
      <c r="CF80" s="3">
        <f t="shared" si="77"/>
        <v>0</v>
      </c>
      <c r="CG80" s="3"/>
      <c r="CH80" s="3"/>
      <c r="CI80" s="3"/>
      <c r="CJ80" s="3">
        <f t="shared" si="78"/>
        <v>0</v>
      </c>
      <c r="CK80" s="3"/>
      <c r="CL80" s="3"/>
      <c r="CM80" s="3"/>
      <c r="CN80" s="3">
        <f t="shared" si="79"/>
        <v>0</v>
      </c>
      <c r="CO80" s="3"/>
      <c r="CP80" s="3"/>
      <c r="CQ80" s="3"/>
      <c r="CR80" s="3">
        <f t="shared" si="80"/>
        <v>0</v>
      </c>
      <c r="CS80" s="3"/>
      <c r="CT80" s="3"/>
      <c r="CU80" s="3"/>
      <c r="CV80" s="3">
        <f t="shared" si="81"/>
        <v>0</v>
      </c>
      <c r="CW80" s="3"/>
      <c r="CX80" s="3"/>
      <c r="CY80" s="3"/>
      <c r="CZ80" s="3">
        <f t="shared" si="82"/>
        <v>0</v>
      </c>
      <c r="DA80" s="3"/>
      <c r="DB80" s="3"/>
      <c r="DC80" s="3"/>
      <c r="DD80" s="3">
        <f t="shared" si="83"/>
        <v>0</v>
      </c>
      <c r="DE80" s="3"/>
      <c r="DF80" s="3"/>
      <c r="DG80" s="3"/>
      <c r="DH80" s="3">
        <f t="shared" si="84"/>
        <v>0</v>
      </c>
      <c r="DI80" s="3"/>
      <c r="DJ80" s="3"/>
      <c r="DK80" s="3"/>
      <c r="DL80" s="3">
        <f t="shared" si="63"/>
        <v>0</v>
      </c>
      <c r="DM80" s="3"/>
      <c r="DN80" s="3"/>
      <c r="DO80" s="3"/>
      <c r="DP80" s="3">
        <f t="shared" si="85"/>
        <v>0</v>
      </c>
      <c r="DQ80" s="3"/>
      <c r="DR80" s="3"/>
      <c r="DS80" s="3"/>
      <c r="DT80" s="3">
        <f t="shared" si="89"/>
        <v>0</v>
      </c>
      <c r="DU80" s="3"/>
      <c r="DV80" s="3"/>
      <c r="DW80" s="3"/>
      <c r="DX80" s="3">
        <f t="shared" si="86"/>
        <v>0</v>
      </c>
      <c r="DY80" s="3"/>
      <c r="DZ80" s="3"/>
      <c r="EA80" s="3"/>
      <c r="EB80" s="3">
        <f t="shared" si="87"/>
        <v>0</v>
      </c>
      <c r="EC80" s="4">
        <f t="shared" si="66"/>
        <v>2559.6</v>
      </c>
      <c r="ED80" s="5">
        <f t="shared" si="88"/>
        <v>0</v>
      </c>
      <c r="EE80" s="6">
        <f t="shared" si="33"/>
        <v>0</v>
      </c>
      <c r="EF80" s="6">
        <f t="shared" si="33"/>
        <v>1279.8</v>
      </c>
      <c r="EG80" s="6">
        <f t="shared" si="33"/>
        <v>1279.8</v>
      </c>
    </row>
    <row r="81" spans="1:137" ht="12" customHeight="1" x14ac:dyDescent="0.35">
      <c r="A81" s="34" t="s">
        <v>341</v>
      </c>
      <c r="B81" s="35">
        <v>41738</v>
      </c>
      <c r="C81" s="35" t="s">
        <v>342</v>
      </c>
      <c r="D81" s="35" t="s">
        <v>361</v>
      </c>
      <c r="E81" s="34">
        <v>150906</v>
      </c>
      <c r="F81" s="35" t="s">
        <v>362</v>
      </c>
      <c r="G81" s="8">
        <v>46112</v>
      </c>
      <c r="H81" s="8">
        <v>46133</v>
      </c>
      <c r="I81" s="36">
        <v>18</v>
      </c>
      <c r="J81" s="36">
        <v>1524490</v>
      </c>
      <c r="K81" s="37"/>
      <c r="L81" s="36">
        <v>137204.1</v>
      </c>
      <c r="M81" s="36">
        <v>137204.1</v>
      </c>
      <c r="N81" s="36">
        <v>274408.2</v>
      </c>
      <c r="O81" s="36">
        <v>1798898.2</v>
      </c>
      <c r="P81" s="35" t="s">
        <v>95</v>
      </c>
      <c r="Q81" s="34" t="s">
        <v>36</v>
      </c>
      <c r="R81" s="35" t="s">
        <v>112</v>
      </c>
      <c r="S81" s="35" t="s">
        <v>252</v>
      </c>
      <c r="T81" s="35" t="s">
        <v>253</v>
      </c>
      <c r="U81" s="35" t="s">
        <v>278</v>
      </c>
      <c r="V81" s="34">
        <v>997331</v>
      </c>
      <c r="W81" s="35" t="s">
        <v>365</v>
      </c>
      <c r="X81" s="34" t="s">
        <v>101</v>
      </c>
      <c r="Y81" s="35">
        <v>107</v>
      </c>
      <c r="Z81" s="35" t="s">
        <v>102</v>
      </c>
      <c r="AA81" t="s">
        <v>364</v>
      </c>
      <c r="AB81">
        <v>274408.2</v>
      </c>
      <c r="AC81">
        <v>276967.8</v>
      </c>
      <c r="AD81" s="38">
        <v>-2560</v>
      </c>
      <c r="AE81" t="s">
        <v>104</v>
      </c>
      <c r="AF81" t="s">
        <v>73</v>
      </c>
      <c r="AG81" s="3"/>
      <c r="AH81" s="3"/>
      <c r="AI81" s="3"/>
      <c r="AJ81" s="3">
        <f t="shared" si="67"/>
        <v>0</v>
      </c>
      <c r="AK81" s="3"/>
      <c r="AL81" s="3"/>
      <c r="AM81" s="3"/>
      <c r="AN81" s="3">
        <f t="shared" si="68"/>
        <v>0</v>
      </c>
      <c r="AO81" s="3"/>
      <c r="AP81" s="3"/>
      <c r="AQ81" s="3"/>
      <c r="AR81" s="3">
        <f t="shared" si="69"/>
        <v>0</v>
      </c>
      <c r="AS81" s="3"/>
      <c r="AT81" s="3"/>
      <c r="AU81" s="3"/>
      <c r="AV81" s="3">
        <f t="shared" si="70"/>
        <v>0</v>
      </c>
      <c r="AW81" s="3"/>
      <c r="AX81" s="3"/>
      <c r="AY81" s="3"/>
      <c r="AZ81" s="3">
        <f t="shared" si="71"/>
        <v>0</v>
      </c>
      <c r="BA81" s="3"/>
      <c r="BB81" s="3"/>
      <c r="BC81" s="3"/>
      <c r="BD81" s="3">
        <f t="shared" si="72"/>
        <v>0</v>
      </c>
      <c r="BE81" s="3">
        <f>$K81*BE$4/$BE$4</f>
        <v>0</v>
      </c>
      <c r="BF81" s="3">
        <f>$L81*BE$4/$BE$4</f>
        <v>137204.1</v>
      </c>
      <c r="BG81" s="3">
        <f>$M81*BE$4/$BE$4</f>
        <v>137204.1</v>
      </c>
      <c r="BH81" s="3">
        <f t="shared" si="64"/>
        <v>274408.2</v>
      </c>
      <c r="BI81" s="3"/>
      <c r="BJ81" s="3"/>
      <c r="BK81" s="3"/>
      <c r="BL81" s="3">
        <f t="shared" si="65"/>
        <v>0</v>
      </c>
      <c r="BM81" s="3"/>
      <c r="BN81" s="3"/>
      <c r="BO81" s="3"/>
      <c r="BP81" s="3">
        <f t="shared" si="73"/>
        <v>0</v>
      </c>
      <c r="BQ81" s="3"/>
      <c r="BR81" s="3"/>
      <c r="BS81" s="3"/>
      <c r="BT81" s="3">
        <f t="shared" si="74"/>
        <v>0</v>
      </c>
      <c r="BU81" s="3"/>
      <c r="BV81" s="3"/>
      <c r="BW81" s="3"/>
      <c r="BX81" s="3">
        <f t="shared" si="75"/>
        <v>0</v>
      </c>
      <c r="BY81" s="3"/>
      <c r="BZ81" s="3"/>
      <c r="CA81" s="3"/>
      <c r="CB81" s="3">
        <f t="shared" si="76"/>
        <v>0</v>
      </c>
      <c r="CC81" s="3"/>
      <c r="CD81" s="3"/>
      <c r="CE81" s="3"/>
      <c r="CF81" s="3">
        <f t="shared" si="77"/>
        <v>0</v>
      </c>
      <c r="CG81" s="3"/>
      <c r="CH81" s="3"/>
      <c r="CI81" s="3"/>
      <c r="CJ81" s="3">
        <f t="shared" si="78"/>
        <v>0</v>
      </c>
      <c r="CK81" s="3"/>
      <c r="CL81" s="3"/>
      <c r="CM81" s="3"/>
      <c r="CN81" s="3">
        <f t="shared" si="79"/>
        <v>0</v>
      </c>
      <c r="CO81" s="3"/>
      <c r="CP81" s="3"/>
      <c r="CQ81" s="3"/>
      <c r="CR81" s="3">
        <f t="shared" si="80"/>
        <v>0</v>
      </c>
      <c r="CS81" s="3"/>
      <c r="CT81" s="3"/>
      <c r="CU81" s="3"/>
      <c r="CV81" s="3">
        <f t="shared" si="81"/>
        <v>0</v>
      </c>
      <c r="CW81" s="3"/>
      <c r="CX81" s="3"/>
      <c r="CY81" s="3"/>
      <c r="CZ81" s="3">
        <f t="shared" si="82"/>
        <v>0</v>
      </c>
      <c r="DA81" s="3"/>
      <c r="DB81" s="3"/>
      <c r="DC81" s="3"/>
      <c r="DD81" s="3">
        <f t="shared" si="83"/>
        <v>0</v>
      </c>
      <c r="DE81" s="3"/>
      <c r="DF81" s="3"/>
      <c r="DG81" s="3"/>
      <c r="DH81" s="3">
        <f t="shared" si="84"/>
        <v>0</v>
      </c>
      <c r="DI81" s="3"/>
      <c r="DJ81" s="3"/>
      <c r="DK81" s="3"/>
      <c r="DL81" s="3">
        <f t="shared" si="63"/>
        <v>0</v>
      </c>
      <c r="DM81" s="3"/>
      <c r="DN81" s="3"/>
      <c r="DO81" s="3"/>
      <c r="DP81" s="3">
        <f t="shared" si="85"/>
        <v>0</v>
      </c>
      <c r="DQ81" s="3"/>
      <c r="DR81" s="3"/>
      <c r="DS81" s="3"/>
      <c r="DT81" s="3">
        <f t="shared" si="89"/>
        <v>0</v>
      </c>
      <c r="DU81" s="3"/>
      <c r="DV81" s="3"/>
      <c r="DW81" s="3"/>
      <c r="DX81" s="3">
        <f t="shared" si="86"/>
        <v>0</v>
      </c>
      <c r="DY81" s="3"/>
      <c r="DZ81" s="3"/>
      <c r="EA81" s="3"/>
      <c r="EB81" s="3">
        <f t="shared" si="87"/>
        <v>0</v>
      </c>
      <c r="EC81" s="4">
        <f t="shared" si="66"/>
        <v>274408.2</v>
      </c>
      <c r="ED81" s="5">
        <f t="shared" si="88"/>
        <v>0</v>
      </c>
      <c r="EE81" s="6">
        <f t="shared" si="33"/>
        <v>0</v>
      </c>
      <c r="EF81" s="6">
        <f t="shared" si="33"/>
        <v>137204.1</v>
      </c>
      <c r="EG81" s="6">
        <f t="shared" si="33"/>
        <v>137204.1</v>
      </c>
    </row>
    <row r="82" spans="1:137" ht="12" customHeight="1" x14ac:dyDescent="0.35">
      <c r="A82" s="34" t="s">
        <v>341</v>
      </c>
      <c r="B82" s="35">
        <v>41738</v>
      </c>
      <c r="C82" s="35" t="s">
        <v>342</v>
      </c>
      <c r="D82" s="35" t="s">
        <v>361</v>
      </c>
      <c r="E82" s="34">
        <v>150906</v>
      </c>
      <c r="F82" s="35" t="s">
        <v>366</v>
      </c>
      <c r="G82" s="8">
        <v>46112</v>
      </c>
      <c r="H82" s="8">
        <v>46133</v>
      </c>
      <c r="I82" s="36">
        <v>18</v>
      </c>
      <c r="J82" s="36">
        <v>415770</v>
      </c>
      <c r="K82" s="37"/>
      <c r="L82" s="36">
        <v>37419.300000000003</v>
      </c>
      <c r="M82" s="36">
        <v>37419.300000000003</v>
      </c>
      <c r="N82" s="36">
        <v>74838.600000000006</v>
      </c>
      <c r="O82" s="36">
        <v>490608.6</v>
      </c>
      <c r="P82" s="35" t="s">
        <v>95</v>
      </c>
      <c r="Q82" s="34" t="s">
        <v>36</v>
      </c>
      <c r="R82" s="35" t="s">
        <v>112</v>
      </c>
      <c r="S82" s="35" t="s">
        <v>252</v>
      </c>
      <c r="T82" s="35" t="s">
        <v>253</v>
      </c>
      <c r="U82" s="35" t="s">
        <v>278</v>
      </c>
      <c r="V82" s="34">
        <v>997331</v>
      </c>
      <c r="W82" s="35" t="s">
        <v>367</v>
      </c>
      <c r="X82" s="34" t="s">
        <v>101</v>
      </c>
      <c r="Y82" s="35">
        <v>107</v>
      </c>
      <c r="Z82" s="35" t="s">
        <v>102</v>
      </c>
      <c r="AA82" t="s">
        <v>368</v>
      </c>
      <c r="AB82">
        <v>74838.600000000006</v>
      </c>
      <c r="AC82">
        <v>74838.600000000006</v>
      </c>
      <c r="AD82" s="38">
        <v>0</v>
      </c>
      <c r="AE82" t="s">
        <v>104</v>
      </c>
      <c r="AF82" t="s">
        <v>73</v>
      </c>
      <c r="AG82" s="3"/>
      <c r="AH82" s="3"/>
      <c r="AI82" s="3"/>
      <c r="AJ82" s="3">
        <f t="shared" si="67"/>
        <v>0</v>
      </c>
      <c r="AK82" s="3"/>
      <c r="AL82" s="3"/>
      <c r="AM82" s="3"/>
      <c r="AN82" s="3">
        <f t="shared" si="68"/>
        <v>0</v>
      </c>
      <c r="AO82" s="3"/>
      <c r="AP82" s="3"/>
      <c r="AQ82" s="3"/>
      <c r="AR82" s="3">
        <f t="shared" si="69"/>
        <v>0</v>
      </c>
      <c r="AS82" s="3"/>
      <c r="AT82" s="3"/>
      <c r="AU82" s="3"/>
      <c r="AV82" s="3">
        <f t="shared" si="70"/>
        <v>0</v>
      </c>
      <c r="AW82" s="3"/>
      <c r="AX82" s="3"/>
      <c r="AY82" s="3"/>
      <c r="AZ82" s="3">
        <f t="shared" si="71"/>
        <v>0</v>
      </c>
      <c r="BA82" s="3"/>
      <c r="BB82" s="3"/>
      <c r="BC82" s="3"/>
      <c r="BD82" s="3">
        <f t="shared" si="72"/>
        <v>0</v>
      </c>
      <c r="BE82" s="3">
        <f>$K82*BE$4/$BE$4</f>
        <v>0</v>
      </c>
      <c r="BF82" s="3">
        <f>$L82*BE$4/$BE$4</f>
        <v>37419.300000000003</v>
      </c>
      <c r="BG82" s="3">
        <f>$M82*BE$4/$BE$4</f>
        <v>37419.300000000003</v>
      </c>
      <c r="BH82" s="3">
        <f t="shared" si="64"/>
        <v>74838.600000000006</v>
      </c>
      <c r="BI82" s="3"/>
      <c r="BJ82" s="3"/>
      <c r="BK82" s="3"/>
      <c r="BL82" s="3">
        <f t="shared" si="65"/>
        <v>0</v>
      </c>
      <c r="BM82" s="3"/>
      <c r="BN82" s="3"/>
      <c r="BO82" s="3"/>
      <c r="BP82" s="3">
        <f t="shared" si="73"/>
        <v>0</v>
      </c>
      <c r="BQ82" s="3"/>
      <c r="BR82" s="3"/>
      <c r="BS82" s="3"/>
      <c r="BT82" s="3">
        <f t="shared" si="74"/>
        <v>0</v>
      </c>
      <c r="BU82" s="3"/>
      <c r="BV82" s="3"/>
      <c r="BW82" s="3"/>
      <c r="BX82" s="3">
        <f t="shared" si="75"/>
        <v>0</v>
      </c>
      <c r="BY82" s="3"/>
      <c r="BZ82" s="3"/>
      <c r="CA82" s="3"/>
      <c r="CB82" s="3">
        <f t="shared" si="76"/>
        <v>0</v>
      </c>
      <c r="CC82" s="3"/>
      <c r="CD82" s="3"/>
      <c r="CE82" s="3"/>
      <c r="CF82" s="3">
        <f t="shared" si="77"/>
        <v>0</v>
      </c>
      <c r="CG82" s="3"/>
      <c r="CH82" s="3"/>
      <c r="CI82" s="3"/>
      <c r="CJ82" s="3">
        <f t="shared" si="78"/>
        <v>0</v>
      </c>
      <c r="CK82" s="3"/>
      <c r="CL82" s="3"/>
      <c r="CM82" s="3"/>
      <c r="CN82" s="3">
        <f t="shared" si="79"/>
        <v>0</v>
      </c>
      <c r="CO82" s="3"/>
      <c r="CP82" s="3"/>
      <c r="CQ82" s="3"/>
      <c r="CR82" s="3">
        <f t="shared" si="80"/>
        <v>0</v>
      </c>
      <c r="CS82" s="3"/>
      <c r="CT82" s="3"/>
      <c r="CU82" s="3"/>
      <c r="CV82" s="3">
        <f t="shared" si="81"/>
        <v>0</v>
      </c>
      <c r="CW82" s="3"/>
      <c r="CX82" s="3"/>
      <c r="CY82" s="3"/>
      <c r="CZ82" s="3">
        <f t="shared" si="82"/>
        <v>0</v>
      </c>
      <c r="DA82" s="3"/>
      <c r="DB82" s="3"/>
      <c r="DC82" s="3"/>
      <c r="DD82" s="3">
        <f t="shared" si="83"/>
        <v>0</v>
      </c>
      <c r="DE82" s="3"/>
      <c r="DF82" s="3"/>
      <c r="DG82" s="3"/>
      <c r="DH82" s="3">
        <f t="shared" si="84"/>
        <v>0</v>
      </c>
      <c r="DI82" s="3"/>
      <c r="DJ82" s="3"/>
      <c r="DK82" s="3"/>
      <c r="DL82" s="3">
        <f t="shared" si="63"/>
        <v>0</v>
      </c>
      <c r="DM82" s="3"/>
      <c r="DN82" s="3"/>
      <c r="DO82" s="3"/>
      <c r="DP82" s="3">
        <f t="shared" si="85"/>
        <v>0</v>
      </c>
      <c r="DQ82" s="3"/>
      <c r="DR82" s="3"/>
      <c r="DS82" s="3"/>
      <c r="DT82" s="3">
        <f t="shared" si="89"/>
        <v>0</v>
      </c>
      <c r="DU82" s="3"/>
      <c r="DV82" s="3"/>
      <c r="DW82" s="3"/>
      <c r="DX82" s="3">
        <f t="shared" si="86"/>
        <v>0</v>
      </c>
      <c r="DY82" s="3"/>
      <c r="DZ82" s="3"/>
      <c r="EA82" s="3"/>
      <c r="EB82" s="3">
        <f t="shared" si="87"/>
        <v>0</v>
      </c>
      <c r="EC82" s="4">
        <f t="shared" si="66"/>
        <v>74838.600000000006</v>
      </c>
      <c r="ED82" s="5">
        <f t="shared" si="88"/>
        <v>0</v>
      </c>
      <c r="EE82" s="6">
        <f t="shared" si="33"/>
        <v>0</v>
      </c>
      <c r="EF82" s="6">
        <f t="shared" si="33"/>
        <v>37419.300000000003</v>
      </c>
      <c r="EG82" s="6">
        <f t="shared" si="33"/>
        <v>37419.300000000003</v>
      </c>
    </row>
    <row r="83" spans="1:137" ht="12" customHeight="1" x14ac:dyDescent="0.35">
      <c r="A83" s="34" t="s">
        <v>369</v>
      </c>
      <c r="B83" s="35">
        <v>30765</v>
      </c>
      <c r="C83" s="35" t="s">
        <v>370</v>
      </c>
      <c r="D83" s="35" t="s">
        <v>161</v>
      </c>
      <c r="E83" s="34">
        <v>416001</v>
      </c>
      <c r="F83" s="35" t="s">
        <v>371</v>
      </c>
      <c r="G83" s="8">
        <v>46108</v>
      </c>
      <c r="H83" s="8">
        <v>46127</v>
      </c>
      <c r="I83" s="36">
        <v>18</v>
      </c>
      <c r="J83" s="36">
        <v>11000</v>
      </c>
      <c r="K83" s="36">
        <v>1980</v>
      </c>
      <c r="L83" s="37"/>
      <c r="M83" s="37"/>
      <c r="N83" s="36">
        <v>1980</v>
      </c>
      <c r="O83" s="36">
        <v>12980</v>
      </c>
      <c r="P83" s="35" t="s">
        <v>95</v>
      </c>
      <c r="Q83" s="34" t="s">
        <v>185</v>
      </c>
      <c r="R83" s="35" t="s">
        <v>163</v>
      </c>
      <c r="S83" s="35" t="s">
        <v>252</v>
      </c>
      <c r="T83" s="35" t="s">
        <v>253</v>
      </c>
      <c r="U83" s="37"/>
      <c r="V83" s="34">
        <v>997331</v>
      </c>
      <c r="W83" s="35" t="s">
        <v>372</v>
      </c>
      <c r="X83" s="34" t="s">
        <v>101</v>
      </c>
      <c r="Y83" s="35">
        <v>107</v>
      </c>
      <c r="Z83" s="35" t="s">
        <v>102</v>
      </c>
      <c r="AA83" t="s">
        <v>373</v>
      </c>
      <c r="AB83">
        <v>1980</v>
      </c>
      <c r="AC83">
        <v>1980</v>
      </c>
      <c r="AD83" s="38">
        <v>0</v>
      </c>
      <c r="AE83" t="s">
        <v>104</v>
      </c>
      <c r="AF83" t="s">
        <v>73</v>
      </c>
      <c r="AG83" s="3">
        <f t="shared" ref="AG83:AG89" si="90">SUM($K83:$M83)*AG$4/$AF$4</f>
        <v>73.308695050979594</v>
      </c>
      <c r="AH83" s="3">
        <v>0</v>
      </c>
      <c r="AI83" s="3">
        <v>0</v>
      </c>
      <c r="AJ83" s="3">
        <f t="shared" si="67"/>
        <v>73.308695050979594</v>
      </c>
      <c r="AK83" s="3">
        <f t="shared" ref="AK83:AK89" si="91">SUM($K83:$M83)*AK$4/$AF$4</f>
        <v>0.61002327877705531</v>
      </c>
      <c r="AL83" s="3">
        <v>0</v>
      </c>
      <c r="AM83" s="3">
        <v>0</v>
      </c>
      <c r="AN83" s="3">
        <f t="shared" si="68"/>
        <v>0.61002327877705531</v>
      </c>
      <c r="AO83" s="3">
        <f t="shared" ref="AO83:AO89" si="92">SUM($K83:$M83)*AO$4/$AF$4</f>
        <v>30.21637821973631</v>
      </c>
      <c r="AP83" s="3">
        <v>0</v>
      </c>
      <c r="AQ83" s="3">
        <v>0</v>
      </c>
      <c r="AR83" s="3">
        <f t="shared" si="69"/>
        <v>30.21637821973631</v>
      </c>
      <c r="AS83" s="3">
        <f t="shared" ref="AS83:AS89" si="93">SUM($K83:$M83)*AS$4/$AF$4</f>
        <v>26.457712903119727</v>
      </c>
      <c r="AT83" s="3">
        <v>0</v>
      </c>
      <c r="AU83" s="3">
        <v>0</v>
      </c>
      <c r="AV83" s="3">
        <f t="shared" si="70"/>
        <v>26.457712903119727</v>
      </c>
      <c r="AW83" s="3">
        <f t="shared" ref="AW83:AW89" si="94">SUM($K83:$M83)*AW$4/$AF$4</f>
        <v>3.1034789548986721</v>
      </c>
      <c r="AX83" s="3">
        <v>0</v>
      </c>
      <c r="AY83" s="3">
        <v>0</v>
      </c>
      <c r="AZ83" s="3">
        <f t="shared" si="71"/>
        <v>3.1034789548986721</v>
      </c>
      <c r="BA83" s="3">
        <f t="shared" ref="BA83:BA89" si="95">SUM($K83:$M83)*BA$4/$AF$4</f>
        <v>33.139080890396848</v>
      </c>
      <c r="BB83" s="3">
        <v>0</v>
      </c>
      <c r="BC83" s="3">
        <v>0</v>
      </c>
      <c r="BD83" s="3">
        <f t="shared" si="72"/>
        <v>33.139080890396848</v>
      </c>
      <c r="BE83" s="3">
        <f t="shared" ref="BE83:BE89" si="96">$K83*BE$4/$AF$4</f>
        <v>143.74021108637282</v>
      </c>
      <c r="BF83" s="3">
        <f t="shared" ref="BF83:BF89" si="97">$L83*BE$4/$AF$4</f>
        <v>0</v>
      </c>
      <c r="BG83" s="3">
        <f t="shared" ref="BG83:BG89" si="98">$M83*BE$4/$AF$4</f>
        <v>0</v>
      </c>
      <c r="BH83" s="3">
        <f t="shared" si="64"/>
        <v>143.74021108637282</v>
      </c>
      <c r="BI83" s="3">
        <f t="shared" ref="BI83:BI89" si="99">SUM($K83:$M83)*BI$4/$AF$4</f>
        <v>83.370630536439549</v>
      </c>
      <c r="BJ83" s="3">
        <v>0</v>
      </c>
      <c r="BK83" s="3">
        <v>0</v>
      </c>
      <c r="BL83" s="3">
        <f t="shared" si="65"/>
        <v>83.370630536439549</v>
      </c>
      <c r="BM83" s="3">
        <f t="shared" ref="BM83:BM89" si="100">SUM($K83:$M83)*BM$4/$AF$4</f>
        <v>382.82171983246172</v>
      </c>
      <c r="BN83" s="3">
        <v>0</v>
      </c>
      <c r="BO83" s="3">
        <v>0</v>
      </c>
      <c r="BP83" s="3">
        <f t="shared" si="73"/>
        <v>382.82171983246172</v>
      </c>
      <c r="BQ83" s="3">
        <f t="shared" ref="BQ83:BQ89" si="101">SUM($K83:$M83)*BQ$4/$AF$4</f>
        <v>34.315102112185933</v>
      </c>
      <c r="BR83" s="3">
        <v>0</v>
      </c>
      <c r="BS83" s="3">
        <v>0</v>
      </c>
      <c r="BT83" s="3">
        <f t="shared" si="74"/>
        <v>34.315102112185933</v>
      </c>
      <c r="BU83" s="3">
        <f t="shared" ref="BU83:BU89" si="102">SUM($K83:$M83)*BU$4/$AF$4</f>
        <v>5.4452264122438372</v>
      </c>
      <c r="BV83" s="3">
        <v>0</v>
      </c>
      <c r="BW83" s="3">
        <v>0</v>
      </c>
      <c r="BX83" s="3">
        <f t="shared" si="75"/>
        <v>5.4452264122438372</v>
      </c>
      <c r="BY83" s="3">
        <f t="shared" ref="BY83:BY89" si="103">SUM($K83:$M83)*BY$4/$AF$4</f>
        <v>13.125695819904415</v>
      </c>
      <c r="BZ83" s="3">
        <v>0</v>
      </c>
      <c r="CA83" s="3">
        <v>0</v>
      </c>
      <c r="CB83" s="3">
        <f t="shared" si="76"/>
        <v>13.125695819904415</v>
      </c>
      <c r="CC83" s="3">
        <f t="shared" ref="CC83:CC89" si="104">SUM($K83:$M83)*CC$4/$AF$4</f>
        <v>10.866868798719031</v>
      </c>
      <c r="CD83" s="3">
        <v>0</v>
      </c>
      <c r="CE83" s="3">
        <v>0</v>
      </c>
      <c r="CF83" s="3">
        <f t="shared" si="77"/>
        <v>10.866868798719031</v>
      </c>
      <c r="CG83" s="3">
        <f t="shared" ref="CG83:CG89" si="105">SUM($K83:$M83)*CG$4/$AF$4</f>
        <v>12.449829096005949</v>
      </c>
      <c r="CH83" s="3">
        <v>0</v>
      </c>
      <c r="CI83" s="3">
        <v>0</v>
      </c>
      <c r="CJ83" s="3">
        <f t="shared" si="78"/>
        <v>12.449829096005949</v>
      </c>
      <c r="CK83" s="3">
        <f t="shared" ref="CK83:CK89" si="106">SUM($K83:$M83)*CK$4/$AF$4</f>
        <v>25.61649590217888</v>
      </c>
      <c r="CL83" s="3">
        <v>0</v>
      </c>
      <c r="CM83" s="3">
        <v>0</v>
      </c>
      <c r="CN83" s="3">
        <f t="shared" si="79"/>
        <v>25.61649590217888</v>
      </c>
      <c r="CO83" s="3">
        <f t="shared" ref="CO83:CO89" si="107">SUM($K83:$M83)*CO$4/$AF$4</f>
        <v>49.963278645811926</v>
      </c>
      <c r="CP83" s="3">
        <v>0</v>
      </c>
      <c r="CQ83" s="3">
        <v>0</v>
      </c>
      <c r="CR83" s="3">
        <f t="shared" si="80"/>
        <v>49.963278645811926</v>
      </c>
      <c r="CS83" s="3">
        <f t="shared" ref="CS83:CS89" si="108">SUM($K83:$M83)*CS$4/$AF$4</f>
        <v>146.8654223279122</v>
      </c>
      <c r="CT83" s="3">
        <v>0</v>
      </c>
      <c r="CU83" s="3">
        <v>0</v>
      </c>
      <c r="CV83" s="3">
        <f t="shared" si="81"/>
        <v>146.8654223279122</v>
      </c>
      <c r="CW83" s="3">
        <f t="shared" ref="CW83:CW89" si="109">SUM($K83:$M83)*CW$4/$AF$4</f>
        <v>487.64836415161091</v>
      </c>
      <c r="CX83" s="3">
        <v>0</v>
      </c>
      <c r="CY83" s="3">
        <v>0</v>
      </c>
      <c r="CZ83" s="3">
        <f t="shared" si="82"/>
        <v>487.64836415161091</v>
      </c>
      <c r="DA83" s="3">
        <f t="shared" ref="DA83:DA89" si="110">SUM($K83:$M83)*DA$4/$AF$4</f>
        <v>33.231955443160771</v>
      </c>
      <c r="DB83" s="3">
        <v>0</v>
      </c>
      <c r="DC83" s="3">
        <v>0</v>
      </c>
      <c r="DD83" s="3">
        <f t="shared" si="83"/>
        <v>33.231955443160771</v>
      </c>
      <c r="DE83" s="3">
        <f t="shared" ref="DE83:DE89" si="111">SUM($K83:$M83)*DE$4/$AF$4</f>
        <v>5.6021460415368383</v>
      </c>
      <c r="DF83" s="3">
        <v>0</v>
      </c>
      <c r="DG83" s="3">
        <v>0</v>
      </c>
      <c r="DH83" s="3">
        <f t="shared" si="84"/>
        <v>5.6021460415368383</v>
      </c>
      <c r="DI83" s="3">
        <f t="shared" ref="DI83:DI89" si="112">SUM($K83:$M83)*DI$4/$AF$4</f>
        <v>0</v>
      </c>
      <c r="DJ83" s="3">
        <v>0</v>
      </c>
      <c r="DK83" s="3">
        <v>0</v>
      </c>
      <c r="DL83" s="3">
        <f t="shared" si="63"/>
        <v>0</v>
      </c>
      <c r="DM83" s="3">
        <f t="shared" ref="DM83:DM89" si="113">SUM($K83:$M83)*DM$4/$AF$4</f>
        <v>27.694111274094521</v>
      </c>
      <c r="DN83" s="3">
        <v>0</v>
      </c>
      <c r="DO83" s="3">
        <v>0</v>
      </c>
      <c r="DP83" s="3">
        <f t="shared" si="85"/>
        <v>27.694111274094521</v>
      </c>
      <c r="DQ83" s="3">
        <f t="shared" ref="DQ83:DQ89" si="114">SUM($K83:$M83)*DQ$4/$AF$4</f>
        <v>58.452494747248117</v>
      </c>
      <c r="DR83" s="3">
        <v>0</v>
      </c>
      <c r="DS83" s="3">
        <v>0</v>
      </c>
      <c r="DT83" s="3">
        <f t="shared" si="89"/>
        <v>58.452494747248117</v>
      </c>
      <c r="DU83" s="3">
        <f t="shared" ref="DU83:DU89" si="115">SUM($K83:$M83)*DU$4/$AF$4</f>
        <v>290.95828757743419</v>
      </c>
      <c r="DV83" s="3">
        <v>0</v>
      </c>
      <c r="DW83" s="3">
        <v>0</v>
      </c>
      <c r="DX83" s="3">
        <f t="shared" si="86"/>
        <v>290.95828757743419</v>
      </c>
      <c r="DY83" s="3">
        <f t="shared" ref="DY83:DY89" si="116">SUM($K83:$M83)*DY$4/$AF$4</f>
        <v>0.99679089676957877</v>
      </c>
      <c r="DZ83" s="3">
        <v>0</v>
      </c>
      <c r="EA83" s="3">
        <v>0</v>
      </c>
      <c r="EB83" s="3">
        <f t="shared" si="87"/>
        <v>0.99679089676957877</v>
      </c>
      <c r="EC83" s="4">
        <f t="shared" ref="EC83:EC89" si="117">AJ83+AN83+AR83+AV83+AZ83+BD83+BH83+BL83+BP83+BT83+BX83+CB83+CF83+CJ83+CN83+CR83+CV83+CZ83+DD83+DH83+DP83+DT83+DX83+EB83</f>
        <v>1979.9999999999993</v>
      </c>
      <c r="ED83" s="5">
        <f t="shared" si="88"/>
        <v>0</v>
      </c>
      <c r="EE83" s="6">
        <f t="shared" si="33"/>
        <v>1979.9999999999993</v>
      </c>
      <c r="EF83" s="6">
        <f t="shared" si="33"/>
        <v>0</v>
      </c>
      <c r="EG83" s="6">
        <f t="shared" si="33"/>
        <v>0</v>
      </c>
    </row>
    <row r="84" spans="1:137" ht="12" customHeight="1" x14ac:dyDescent="0.35">
      <c r="A84" s="34" t="s">
        <v>374</v>
      </c>
      <c r="B84" s="35">
        <v>12317</v>
      </c>
      <c r="C84" s="35" t="s">
        <v>375</v>
      </c>
      <c r="D84" s="35" t="s">
        <v>309</v>
      </c>
      <c r="E84" s="34">
        <v>150901</v>
      </c>
      <c r="F84" s="35" t="s">
        <v>376</v>
      </c>
      <c r="G84" s="8">
        <v>46113</v>
      </c>
      <c r="H84" s="8">
        <v>46127</v>
      </c>
      <c r="I84" s="36">
        <v>18</v>
      </c>
      <c r="J84" s="36">
        <v>300000</v>
      </c>
      <c r="K84" s="36">
        <v>54000</v>
      </c>
      <c r="L84" s="37"/>
      <c r="M84" s="37"/>
      <c r="N84" s="36">
        <v>54000</v>
      </c>
      <c r="O84" s="36">
        <v>354000</v>
      </c>
      <c r="P84" s="35" t="s">
        <v>95</v>
      </c>
      <c r="Q84" s="34" t="s">
        <v>185</v>
      </c>
      <c r="R84" s="35" t="s">
        <v>112</v>
      </c>
      <c r="S84" s="35" t="s">
        <v>252</v>
      </c>
      <c r="T84" s="35" t="s">
        <v>253</v>
      </c>
      <c r="U84" s="37"/>
      <c r="V84" s="34">
        <v>998599</v>
      </c>
      <c r="W84" s="35" t="s">
        <v>377</v>
      </c>
      <c r="X84" s="34" t="s">
        <v>101</v>
      </c>
      <c r="Y84" s="35">
        <v>107</v>
      </c>
      <c r="Z84" s="35" t="s">
        <v>102</v>
      </c>
      <c r="AA84" t="s">
        <v>378</v>
      </c>
      <c r="AB84">
        <v>54000</v>
      </c>
      <c r="AC84">
        <v>92927.52</v>
      </c>
      <c r="AD84" s="38">
        <v>-38928</v>
      </c>
      <c r="AE84" t="s">
        <v>104</v>
      </c>
      <c r="AF84" t="s">
        <v>73</v>
      </c>
      <c r="AG84" s="3">
        <f t="shared" si="90"/>
        <v>1999.3280468448977</v>
      </c>
      <c r="AH84" s="3">
        <v>0</v>
      </c>
      <c r="AI84" s="3">
        <v>0</v>
      </c>
      <c r="AJ84" s="3">
        <f t="shared" si="67"/>
        <v>1999.3280468448977</v>
      </c>
      <c r="AK84" s="3">
        <f t="shared" si="91"/>
        <v>16.636998512101506</v>
      </c>
      <c r="AL84" s="3">
        <v>0</v>
      </c>
      <c r="AM84" s="3">
        <v>0</v>
      </c>
      <c r="AN84" s="3">
        <f t="shared" si="68"/>
        <v>16.636998512101506</v>
      </c>
      <c r="AO84" s="3">
        <f t="shared" si="92"/>
        <v>824.08304235644493</v>
      </c>
      <c r="AP84" s="3">
        <v>0</v>
      </c>
      <c r="AQ84" s="3">
        <v>0</v>
      </c>
      <c r="AR84" s="3">
        <f t="shared" si="69"/>
        <v>824.08304235644493</v>
      </c>
      <c r="AS84" s="3">
        <f t="shared" si="93"/>
        <v>721.57398826690155</v>
      </c>
      <c r="AT84" s="3">
        <v>0</v>
      </c>
      <c r="AU84" s="3">
        <v>0</v>
      </c>
      <c r="AV84" s="3">
        <f t="shared" si="70"/>
        <v>721.57398826690155</v>
      </c>
      <c r="AW84" s="3">
        <f t="shared" si="94"/>
        <v>84.640335133600146</v>
      </c>
      <c r="AX84" s="3">
        <v>0</v>
      </c>
      <c r="AY84" s="3">
        <v>0</v>
      </c>
      <c r="AZ84" s="3">
        <f t="shared" si="71"/>
        <v>84.640335133600146</v>
      </c>
      <c r="BA84" s="3">
        <f t="shared" si="95"/>
        <v>903.79311519264138</v>
      </c>
      <c r="BB84" s="3">
        <v>0</v>
      </c>
      <c r="BC84" s="3">
        <v>0</v>
      </c>
      <c r="BD84" s="3">
        <f t="shared" si="72"/>
        <v>903.79311519264138</v>
      </c>
      <c r="BE84" s="3">
        <f t="shared" si="96"/>
        <v>3920.1875750828958</v>
      </c>
      <c r="BF84" s="3">
        <f t="shared" si="97"/>
        <v>0</v>
      </c>
      <c r="BG84" s="3">
        <f t="shared" si="98"/>
        <v>0</v>
      </c>
      <c r="BH84" s="3">
        <f t="shared" si="64"/>
        <v>3920.1875750828958</v>
      </c>
      <c r="BI84" s="3">
        <f t="shared" si="99"/>
        <v>2273.7444691756241</v>
      </c>
      <c r="BJ84" s="3">
        <v>0</v>
      </c>
      <c r="BK84" s="3">
        <v>0</v>
      </c>
      <c r="BL84" s="3">
        <f t="shared" si="65"/>
        <v>2273.7444691756241</v>
      </c>
      <c r="BM84" s="3">
        <f t="shared" si="100"/>
        <v>10440.592359067139</v>
      </c>
      <c r="BN84" s="3">
        <v>0</v>
      </c>
      <c r="BO84" s="3">
        <v>0</v>
      </c>
      <c r="BP84" s="3">
        <f t="shared" si="73"/>
        <v>10440.592359067139</v>
      </c>
      <c r="BQ84" s="3">
        <f t="shared" si="101"/>
        <v>935.86642124143441</v>
      </c>
      <c r="BR84" s="3">
        <v>0</v>
      </c>
      <c r="BS84" s="3">
        <v>0</v>
      </c>
      <c r="BT84" s="3">
        <f t="shared" si="74"/>
        <v>935.86642124143441</v>
      </c>
      <c r="BU84" s="3">
        <f t="shared" si="102"/>
        <v>148.5061748793774</v>
      </c>
      <c r="BV84" s="3">
        <v>0</v>
      </c>
      <c r="BW84" s="3">
        <v>0</v>
      </c>
      <c r="BX84" s="3">
        <f t="shared" si="75"/>
        <v>148.5061748793774</v>
      </c>
      <c r="BY84" s="3">
        <f t="shared" si="103"/>
        <v>357.9735223610295</v>
      </c>
      <c r="BZ84" s="3">
        <v>0</v>
      </c>
      <c r="CA84" s="3">
        <v>0</v>
      </c>
      <c r="CB84" s="3">
        <f t="shared" si="76"/>
        <v>357.9735223610295</v>
      </c>
      <c r="CC84" s="3">
        <f t="shared" si="104"/>
        <v>296.36914905597359</v>
      </c>
      <c r="CD84" s="3">
        <v>0</v>
      </c>
      <c r="CE84" s="3">
        <v>0</v>
      </c>
      <c r="CF84" s="3">
        <f t="shared" si="77"/>
        <v>296.36914905597359</v>
      </c>
      <c r="CG84" s="3">
        <f t="shared" si="105"/>
        <v>339.54079352743497</v>
      </c>
      <c r="CH84" s="3">
        <v>0</v>
      </c>
      <c r="CI84" s="3">
        <v>0</v>
      </c>
      <c r="CJ84" s="3">
        <f t="shared" si="78"/>
        <v>339.54079352743497</v>
      </c>
      <c r="CK84" s="3">
        <f t="shared" si="106"/>
        <v>698.63170642306034</v>
      </c>
      <c r="CL84" s="3">
        <v>0</v>
      </c>
      <c r="CM84" s="3">
        <v>0</v>
      </c>
      <c r="CN84" s="3">
        <f t="shared" si="79"/>
        <v>698.63170642306034</v>
      </c>
      <c r="CO84" s="3">
        <f t="shared" si="107"/>
        <v>1362.6348721585071</v>
      </c>
      <c r="CP84" s="3">
        <v>0</v>
      </c>
      <c r="CQ84" s="3">
        <v>0</v>
      </c>
      <c r="CR84" s="3">
        <f t="shared" si="80"/>
        <v>1362.6348721585071</v>
      </c>
      <c r="CS84" s="3">
        <f t="shared" si="108"/>
        <v>4005.4206089430595</v>
      </c>
      <c r="CT84" s="3">
        <v>0</v>
      </c>
      <c r="CU84" s="3">
        <v>0</v>
      </c>
      <c r="CV84" s="3">
        <f t="shared" si="81"/>
        <v>4005.4206089430595</v>
      </c>
      <c r="CW84" s="3">
        <f t="shared" si="109"/>
        <v>13299.500840498478</v>
      </c>
      <c r="CX84" s="3">
        <v>0</v>
      </c>
      <c r="CY84" s="3">
        <v>0</v>
      </c>
      <c r="CZ84" s="3">
        <f t="shared" si="82"/>
        <v>13299.500840498478</v>
      </c>
      <c r="DA84" s="3">
        <f t="shared" si="110"/>
        <v>906.32605754074837</v>
      </c>
      <c r="DB84" s="3">
        <v>0</v>
      </c>
      <c r="DC84" s="3">
        <v>0</v>
      </c>
      <c r="DD84" s="3">
        <f t="shared" si="83"/>
        <v>906.32605754074837</v>
      </c>
      <c r="DE84" s="3">
        <f t="shared" si="111"/>
        <v>152.78580113282285</v>
      </c>
      <c r="DF84" s="3">
        <v>0</v>
      </c>
      <c r="DG84" s="3">
        <v>0</v>
      </c>
      <c r="DH84" s="3">
        <f t="shared" si="84"/>
        <v>152.78580113282285</v>
      </c>
      <c r="DI84" s="3">
        <f t="shared" si="112"/>
        <v>0</v>
      </c>
      <c r="DJ84" s="3">
        <v>0</v>
      </c>
      <c r="DK84" s="3">
        <v>0</v>
      </c>
      <c r="DL84" s="3">
        <f t="shared" si="63"/>
        <v>0</v>
      </c>
      <c r="DM84" s="3">
        <f t="shared" si="113"/>
        <v>755.29394383894135</v>
      </c>
      <c r="DN84" s="3">
        <v>0</v>
      </c>
      <c r="DO84" s="3">
        <v>0</v>
      </c>
      <c r="DP84" s="3">
        <f t="shared" si="85"/>
        <v>755.29394383894135</v>
      </c>
      <c r="DQ84" s="3">
        <f t="shared" si="114"/>
        <v>1594.1589476522213</v>
      </c>
      <c r="DR84" s="3">
        <v>0</v>
      </c>
      <c r="DS84" s="3">
        <v>0</v>
      </c>
      <c r="DT84" s="3">
        <f t="shared" si="89"/>
        <v>1594.1589476522213</v>
      </c>
      <c r="DU84" s="3">
        <f t="shared" si="115"/>
        <v>7935.2260248391131</v>
      </c>
      <c r="DV84" s="3">
        <v>0</v>
      </c>
      <c r="DW84" s="3">
        <v>0</v>
      </c>
      <c r="DX84" s="3">
        <f t="shared" si="86"/>
        <v>7935.2260248391131</v>
      </c>
      <c r="DY84" s="3">
        <f t="shared" si="116"/>
        <v>27.185206275533965</v>
      </c>
      <c r="DZ84" s="3">
        <v>0</v>
      </c>
      <c r="EA84" s="3">
        <v>0</v>
      </c>
      <c r="EB84" s="3">
        <f t="shared" si="87"/>
        <v>27.185206275533965</v>
      </c>
      <c r="EC84" s="4">
        <f t="shared" si="117"/>
        <v>53999.999999999971</v>
      </c>
      <c r="ED84" s="5">
        <f t="shared" si="88"/>
        <v>0</v>
      </c>
      <c r="EE84" s="6">
        <f t="shared" si="33"/>
        <v>53999.999999999971</v>
      </c>
      <c r="EF84" s="6">
        <f t="shared" si="33"/>
        <v>0</v>
      </c>
      <c r="EG84" s="6">
        <f t="shared" si="33"/>
        <v>0</v>
      </c>
    </row>
    <row r="85" spans="1:137" ht="12" customHeight="1" x14ac:dyDescent="0.35">
      <c r="A85" s="34" t="s">
        <v>374</v>
      </c>
      <c r="B85" s="35">
        <v>12317</v>
      </c>
      <c r="C85" s="35" t="s">
        <v>375</v>
      </c>
      <c r="D85" s="35" t="s">
        <v>309</v>
      </c>
      <c r="E85" s="34">
        <v>150901</v>
      </c>
      <c r="F85" s="35" t="s">
        <v>376</v>
      </c>
      <c r="G85" s="8">
        <v>46113</v>
      </c>
      <c r="H85" s="8">
        <v>46127</v>
      </c>
      <c r="I85" s="36">
        <v>18</v>
      </c>
      <c r="J85" s="36">
        <v>216264</v>
      </c>
      <c r="K85" s="36">
        <v>38927.519999999997</v>
      </c>
      <c r="L85" s="37"/>
      <c r="M85" s="37"/>
      <c r="N85" s="36">
        <v>38927.519999999997</v>
      </c>
      <c r="O85" s="36">
        <v>255191.52</v>
      </c>
      <c r="P85" s="35" t="s">
        <v>95</v>
      </c>
      <c r="Q85" s="34" t="s">
        <v>185</v>
      </c>
      <c r="R85" s="35" t="s">
        <v>112</v>
      </c>
      <c r="S85" s="35" t="s">
        <v>252</v>
      </c>
      <c r="T85" s="35" t="s">
        <v>253</v>
      </c>
      <c r="U85" s="37"/>
      <c r="V85" s="34">
        <v>998599</v>
      </c>
      <c r="W85" s="35" t="s">
        <v>379</v>
      </c>
      <c r="X85" s="34" t="s">
        <v>101</v>
      </c>
      <c r="Y85" s="35">
        <v>107</v>
      </c>
      <c r="Z85" s="35" t="s">
        <v>102</v>
      </c>
      <c r="AA85" t="s">
        <v>378</v>
      </c>
      <c r="AB85">
        <v>38927.519999999997</v>
      </c>
      <c r="AC85">
        <v>92927.52</v>
      </c>
      <c r="AD85" s="38">
        <v>-54000</v>
      </c>
      <c r="AE85" t="s">
        <v>104</v>
      </c>
      <c r="AF85" t="s">
        <v>73</v>
      </c>
      <c r="AG85" s="3">
        <f t="shared" si="90"/>
        <v>1441.2756024095499</v>
      </c>
      <c r="AH85" s="3">
        <v>0</v>
      </c>
      <c r="AI85" s="3">
        <v>0</v>
      </c>
      <c r="AJ85" s="3">
        <f t="shared" si="67"/>
        <v>1441.2756024095499</v>
      </c>
      <c r="AK85" s="3">
        <f t="shared" si="91"/>
        <v>11.993279487403735</v>
      </c>
      <c r="AL85" s="3">
        <v>0</v>
      </c>
      <c r="AM85" s="3">
        <v>0</v>
      </c>
      <c r="AN85" s="3">
        <f t="shared" si="68"/>
        <v>11.993279487403735</v>
      </c>
      <c r="AO85" s="3">
        <f t="shared" si="92"/>
        <v>594.06498357391399</v>
      </c>
      <c r="AP85" s="3">
        <v>0</v>
      </c>
      <c r="AQ85" s="3">
        <v>0</v>
      </c>
      <c r="AR85" s="3">
        <f t="shared" si="69"/>
        <v>594.06498357391399</v>
      </c>
      <c r="AS85" s="3">
        <f t="shared" si="93"/>
        <v>520.168256661844</v>
      </c>
      <c r="AT85" s="3">
        <v>0</v>
      </c>
      <c r="AU85" s="3">
        <v>0</v>
      </c>
      <c r="AV85" s="3">
        <f t="shared" si="70"/>
        <v>520.168256661844</v>
      </c>
      <c r="AW85" s="3">
        <f t="shared" si="94"/>
        <v>61.015524791109662</v>
      </c>
      <c r="AX85" s="3">
        <v>0</v>
      </c>
      <c r="AY85" s="3">
        <v>0</v>
      </c>
      <c r="AZ85" s="3">
        <f t="shared" si="71"/>
        <v>61.015524791109662</v>
      </c>
      <c r="BA85" s="3">
        <f t="shared" si="95"/>
        <v>651.5263808800712</v>
      </c>
      <c r="BB85" s="3">
        <v>0</v>
      </c>
      <c r="BC85" s="3">
        <v>0</v>
      </c>
      <c r="BD85" s="3">
        <f t="shared" si="72"/>
        <v>651.5263808800712</v>
      </c>
      <c r="BE85" s="3">
        <f t="shared" si="96"/>
        <v>2825.9848191257579</v>
      </c>
      <c r="BF85" s="3">
        <f t="shared" si="97"/>
        <v>0</v>
      </c>
      <c r="BG85" s="3">
        <f t="shared" si="98"/>
        <v>0</v>
      </c>
      <c r="BH85" s="3">
        <f t="shared" si="64"/>
        <v>2825.9848191257579</v>
      </c>
      <c r="BI85" s="3">
        <f t="shared" si="99"/>
        <v>1639.0969129393238</v>
      </c>
      <c r="BJ85" s="3">
        <v>0</v>
      </c>
      <c r="BK85" s="3">
        <v>0</v>
      </c>
      <c r="BL85" s="3">
        <f t="shared" si="65"/>
        <v>1639.0969129393238</v>
      </c>
      <c r="BM85" s="3">
        <f t="shared" si="100"/>
        <v>7526.4142198043182</v>
      </c>
      <c r="BN85" s="3">
        <v>0</v>
      </c>
      <c r="BO85" s="3">
        <v>0</v>
      </c>
      <c r="BP85" s="3">
        <f t="shared" si="73"/>
        <v>7526.4142198043182</v>
      </c>
      <c r="BQ85" s="3">
        <f t="shared" si="101"/>
        <v>674.6473857445252</v>
      </c>
      <c r="BR85" s="3">
        <v>0</v>
      </c>
      <c r="BS85" s="3">
        <v>0</v>
      </c>
      <c r="BT85" s="3">
        <f t="shared" si="74"/>
        <v>674.6473857445252</v>
      </c>
      <c r="BU85" s="3">
        <f t="shared" si="102"/>
        <v>107.05513134704557</v>
      </c>
      <c r="BV85" s="3">
        <v>0</v>
      </c>
      <c r="BW85" s="3">
        <v>0</v>
      </c>
      <c r="BX85" s="3">
        <f t="shared" si="75"/>
        <v>107.05513134704557</v>
      </c>
      <c r="BY85" s="3">
        <f t="shared" si="103"/>
        <v>258.05595279961886</v>
      </c>
      <c r="BZ85" s="3">
        <v>0</v>
      </c>
      <c r="CA85" s="3">
        <v>0</v>
      </c>
      <c r="CB85" s="3">
        <f t="shared" si="76"/>
        <v>258.05595279961886</v>
      </c>
      <c r="CC85" s="3">
        <f t="shared" si="104"/>
        <v>213.64659217147019</v>
      </c>
      <c r="CD85" s="3">
        <v>0</v>
      </c>
      <c r="CE85" s="3">
        <v>0</v>
      </c>
      <c r="CF85" s="3">
        <f t="shared" si="77"/>
        <v>213.64659217147019</v>
      </c>
      <c r="CG85" s="3">
        <f t="shared" si="105"/>
        <v>244.76816723805732</v>
      </c>
      <c r="CH85" s="3">
        <v>0</v>
      </c>
      <c r="CI85" s="3">
        <v>0</v>
      </c>
      <c r="CJ85" s="3">
        <f t="shared" si="78"/>
        <v>244.76816723805732</v>
      </c>
      <c r="CK85" s="3">
        <f t="shared" si="106"/>
        <v>503.62962452625567</v>
      </c>
      <c r="CL85" s="3">
        <v>0</v>
      </c>
      <c r="CM85" s="3">
        <v>0</v>
      </c>
      <c r="CN85" s="3">
        <f t="shared" si="79"/>
        <v>503.62962452625567</v>
      </c>
      <c r="CO85" s="3">
        <f t="shared" si="107"/>
        <v>982.29622664162446</v>
      </c>
      <c r="CP85" s="3">
        <v>0</v>
      </c>
      <c r="CQ85" s="3">
        <v>0</v>
      </c>
      <c r="CR85" s="3">
        <f t="shared" si="80"/>
        <v>982.29622664162446</v>
      </c>
      <c r="CS85" s="3">
        <f t="shared" si="108"/>
        <v>2887.4276085748725</v>
      </c>
      <c r="CT85" s="3">
        <v>0</v>
      </c>
      <c r="CU85" s="3">
        <v>0</v>
      </c>
      <c r="CV85" s="3">
        <f t="shared" si="81"/>
        <v>2887.4276085748725</v>
      </c>
      <c r="CW85" s="3">
        <f t="shared" si="109"/>
        <v>9587.344165898543</v>
      </c>
      <c r="CX85" s="3">
        <v>0</v>
      </c>
      <c r="CY85" s="3">
        <v>0</v>
      </c>
      <c r="CZ85" s="3">
        <f t="shared" si="82"/>
        <v>9587.344165898543</v>
      </c>
      <c r="DA85" s="3">
        <f t="shared" si="110"/>
        <v>653.35232835997465</v>
      </c>
      <c r="DB85" s="3">
        <v>0</v>
      </c>
      <c r="DC85" s="3">
        <v>0</v>
      </c>
      <c r="DD85" s="3">
        <f t="shared" si="83"/>
        <v>653.35232835997465</v>
      </c>
      <c r="DE85" s="3">
        <f t="shared" si="111"/>
        <v>110.14022832062933</v>
      </c>
      <c r="DF85" s="3">
        <v>0</v>
      </c>
      <c r="DG85" s="3">
        <v>0</v>
      </c>
      <c r="DH85" s="3">
        <f t="shared" si="84"/>
        <v>110.14022832062933</v>
      </c>
      <c r="DI85" s="3">
        <f t="shared" si="112"/>
        <v>0</v>
      </c>
      <c r="DJ85" s="3">
        <v>0</v>
      </c>
      <c r="DK85" s="3">
        <v>0</v>
      </c>
      <c r="DL85" s="3">
        <f t="shared" si="63"/>
        <v>0</v>
      </c>
      <c r="DM85" s="3">
        <f t="shared" si="113"/>
        <v>544.47629823461614</v>
      </c>
      <c r="DN85" s="3">
        <v>0</v>
      </c>
      <c r="DO85" s="3">
        <v>0</v>
      </c>
      <c r="DP85" s="3">
        <f t="shared" si="85"/>
        <v>544.47629823461614</v>
      </c>
      <c r="DQ85" s="3">
        <f t="shared" si="114"/>
        <v>1149.1973021835331</v>
      </c>
      <c r="DR85" s="3">
        <v>0</v>
      </c>
      <c r="DS85" s="3">
        <v>0</v>
      </c>
      <c r="DT85" s="3">
        <f t="shared" si="89"/>
        <v>1149.1973021835331</v>
      </c>
      <c r="DU85" s="3">
        <f t="shared" si="115"/>
        <v>5720.3457367860192</v>
      </c>
      <c r="DV85" s="3">
        <v>0</v>
      </c>
      <c r="DW85" s="3">
        <v>0</v>
      </c>
      <c r="DX85" s="3">
        <f t="shared" si="86"/>
        <v>5720.3457367860192</v>
      </c>
      <c r="DY85" s="3">
        <f t="shared" si="116"/>
        <v>19.597271499906924</v>
      </c>
      <c r="DZ85" s="3">
        <v>0</v>
      </c>
      <c r="EA85" s="3">
        <v>0</v>
      </c>
      <c r="EB85" s="3">
        <f t="shared" si="87"/>
        <v>19.597271499906924</v>
      </c>
      <c r="EC85" s="4">
        <f t="shared" si="117"/>
        <v>38927.51999999999</v>
      </c>
      <c r="ED85" s="5">
        <f t="shared" si="88"/>
        <v>0</v>
      </c>
      <c r="EE85" s="6">
        <f t="shared" si="33"/>
        <v>38927.51999999999</v>
      </c>
      <c r="EF85" s="6">
        <f t="shared" si="33"/>
        <v>0</v>
      </c>
      <c r="EG85" s="6">
        <f t="shared" si="33"/>
        <v>0</v>
      </c>
    </row>
    <row r="86" spans="1:137" ht="12" customHeight="1" x14ac:dyDescent="0.35">
      <c r="A86" s="34" t="s">
        <v>380</v>
      </c>
      <c r="B86" s="35">
        <v>13630</v>
      </c>
      <c r="C86" s="35" t="s">
        <v>381</v>
      </c>
      <c r="D86" s="35" t="s">
        <v>309</v>
      </c>
      <c r="E86" s="34">
        <v>150901</v>
      </c>
      <c r="F86" s="35">
        <v>27270500001289</v>
      </c>
      <c r="G86" s="8">
        <v>46116</v>
      </c>
      <c r="H86" s="8">
        <v>46127</v>
      </c>
      <c r="I86" s="36">
        <v>18</v>
      </c>
      <c r="J86" s="36">
        <v>285000</v>
      </c>
      <c r="K86" s="36">
        <v>51300</v>
      </c>
      <c r="L86" s="37"/>
      <c r="M86" s="37"/>
      <c r="N86" s="36">
        <v>51300</v>
      </c>
      <c r="O86" s="36">
        <v>336300</v>
      </c>
      <c r="P86" s="35" t="s">
        <v>95</v>
      </c>
      <c r="Q86" s="34" t="s">
        <v>185</v>
      </c>
      <c r="R86" s="35" t="s">
        <v>112</v>
      </c>
      <c r="S86" s="35" t="s">
        <v>252</v>
      </c>
      <c r="T86" s="35" t="s">
        <v>253</v>
      </c>
      <c r="U86" s="37"/>
      <c r="V86" s="34">
        <v>997152</v>
      </c>
      <c r="W86" s="35" t="s">
        <v>382</v>
      </c>
      <c r="X86" s="34" t="s">
        <v>101</v>
      </c>
      <c r="Y86" s="35">
        <v>107</v>
      </c>
      <c r="Z86" s="35" t="s">
        <v>102</v>
      </c>
      <c r="AA86" t="s">
        <v>383</v>
      </c>
      <c r="AB86">
        <v>51300</v>
      </c>
      <c r="AC86">
        <v>90237</v>
      </c>
      <c r="AD86" s="38">
        <v>-38937</v>
      </c>
      <c r="AE86" t="s">
        <v>104</v>
      </c>
      <c r="AF86" t="s">
        <v>73</v>
      </c>
      <c r="AG86" s="3">
        <f t="shared" si="90"/>
        <v>1899.3616445026528</v>
      </c>
      <c r="AH86" s="3">
        <v>0</v>
      </c>
      <c r="AI86" s="3">
        <v>0</v>
      </c>
      <c r="AJ86" s="3">
        <f t="shared" si="67"/>
        <v>1899.3616445026528</v>
      </c>
      <c r="AK86" s="3">
        <f t="shared" si="91"/>
        <v>15.805148586496431</v>
      </c>
      <c r="AL86" s="3">
        <v>0</v>
      </c>
      <c r="AM86" s="3">
        <v>0</v>
      </c>
      <c r="AN86" s="3">
        <f t="shared" si="68"/>
        <v>15.805148586496431</v>
      </c>
      <c r="AO86" s="3">
        <f t="shared" si="92"/>
        <v>782.8788902386226</v>
      </c>
      <c r="AP86" s="3">
        <v>0</v>
      </c>
      <c r="AQ86" s="3">
        <v>0</v>
      </c>
      <c r="AR86" s="3">
        <f t="shared" si="69"/>
        <v>782.8788902386226</v>
      </c>
      <c r="AS86" s="3">
        <f t="shared" si="93"/>
        <v>685.49528885355642</v>
      </c>
      <c r="AT86" s="3">
        <v>0</v>
      </c>
      <c r="AU86" s="3">
        <v>0</v>
      </c>
      <c r="AV86" s="3">
        <f t="shared" si="70"/>
        <v>685.49528885355642</v>
      </c>
      <c r="AW86" s="3">
        <f t="shared" si="94"/>
        <v>80.40831837692015</v>
      </c>
      <c r="AX86" s="3">
        <v>0</v>
      </c>
      <c r="AY86" s="3">
        <v>0</v>
      </c>
      <c r="AZ86" s="3">
        <f t="shared" si="71"/>
        <v>80.40831837692015</v>
      </c>
      <c r="BA86" s="3">
        <f t="shared" si="95"/>
        <v>858.60345943300933</v>
      </c>
      <c r="BB86" s="3">
        <v>0</v>
      </c>
      <c r="BC86" s="3">
        <v>0</v>
      </c>
      <c r="BD86" s="3">
        <f t="shared" si="72"/>
        <v>858.60345943300933</v>
      </c>
      <c r="BE86" s="3">
        <f t="shared" si="96"/>
        <v>3724.1781963287508</v>
      </c>
      <c r="BF86" s="3">
        <f t="shared" si="97"/>
        <v>0</v>
      </c>
      <c r="BG86" s="3">
        <f t="shared" si="98"/>
        <v>0</v>
      </c>
      <c r="BH86" s="3">
        <f t="shared" si="64"/>
        <v>3724.1781963287508</v>
      </c>
      <c r="BI86" s="3">
        <f t="shared" si="99"/>
        <v>2160.0572457168432</v>
      </c>
      <c r="BJ86" s="3">
        <v>0</v>
      </c>
      <c r="BK86" s="3">
        <v>0</v>
      </c>
      <c r="BL86" s="3">
        <f t="shared" si="65"/>
        <v>2160.0572457168432</v>
      </c>
      <c r="BM86" s="3">
        <f t="shared" si="100"/>
        <v>9918.5627411137812</v>
      </c>
      <c r="BN86" s="3">
        <v>0</v>
      </c>
      <c r="BO86" s="3">
        <v>0</v>
      </c>
      <c r="BP86" s="3">
        <f t="shared" si="73"/>
        <v>9918.5627411137812</v>
      </c>
      <c r="BQ86" s="3">
        <f t="shared" si="101"/>
        <v>889.07310017936277</v>
      </c>
      <c r="BR86" s="3">
        <v>0</v>
      </c>
      <c r="BS86" s="3">
        <v>0</v>
      </c>
      <c r="BT86" s="3">
        <f t="shared" si="74"/>
        <v>889.07310017936277</v>
      </c>
      <c r="BU86" s="3">
        <f t="shared" si="102"/>
        <v>141.08086613540851</v>
      </c>
      <c r="BV86" s="3">
        <v>0</v>
      </c>
      <c r="BW86" s="3">
        <v>0</v>
      </c>
      <c r="BX86" s="3">
        <f t="shared" si="75"/>
        <v>141.08086613540851</v>
      </c>
      <c r="BY86" s="3">
        <f t="shared" si="103"/>
        <v>340.07484624297803</v>
      </c>
      <c r="BZ86" s="3">
        <v>0</v>
      </c>
      <c r="CA86" s="3">
        <v>0</v>
      </c>
      <c r="CB86" s="3">
        <f t="shared" si="76"/>
        <v>340.07484624297803</v>
      </c>
      <c r="CC86" s="3">
        <f t="shared" si="104"/>
        <v>281.55069160317493</v>
      </c>
      <c r="CD86" s="3">
        <v>0</v>
      </c>
      <c r="CE86" s="3">
        <v>0</v>
      </c>
      <c r="CF86" s="3">
        <f t="shared" si="77"/>
        <v>281.55069160317493</v>
      </c>
      <c r="CG86" s="3">
        <f t="shared" si="105"/>
        <v>322.56375385106321</v>
      </c>
      <c r="CH86" s="3">
        <v>0</v>
      </c>
      <c r="CI86" s="3">
        <v>0</v>
      </c>
      <c r="CJ86" s="3">
        <f t="shared" si="78"/>
        <v>322.56375385106321</v>
      </c>
      <c r="CK86" s="3">
        <f t="shared" si="106"/>
        <v>663.70012110190726</v>
      </c>
      <c r="CL86" s="3">
        <v>0</v>
      </c>
      <c r="CM86" s="3">
        <v>0</v>
      </c>
      <c r="CN86" s="3">
        <f t="shared" si="79"/>
        <v>663.70012110190726</v>
      </c>
      <c r="CO86" s="3">
        <f t="shared" si="107"/>
        <v>1294.5031285505816</v>
      </c>
      <c r="CP86" s="3">
        <v>0</v>
      </c>
      <c r="CQ86" s="3">
        <v>0</v>
      </c>
      <c r="CR86" s="3">
        <f t="shared" si="80"/>
        <v>1294.5031285505816</v>
      </c>
      <c r="CS86" s="3">
        <f t="shared" si="108"/>
        <v>3805.1495784959066</v>
      </c>
      <c r="CT86" s="3">
        <v>0</v>
      </c>
      <c r="CU86" s="3">
        <v>0</v>
      </c>
      <c r="CV86" s="3">
        <f t="shared" si="81"/>
        <v>3805.1495784959066</v>
      </c>
      <c r="CW86" s="3">
        <f t="shared" si="109"/>
        <v>12634.525798473554</v>
      </c>
      <c r="CX86" s="3">
        <v>0</v>
      </c>
      <c r="CY86" s="3">
        <v>0</v>
      </c>
      <c r="CZ86" s="3">
        <f t="shared" si="82"/>
        <v>12634.525798473554</v>
      </c>
      <c r="DA86" s="3">
        <f t="shared" si="110"/>
        <v>861.00975466371096</v>
      </c>
      <c r="DB86" s="3">
        <v>0</v>
      </c>
      <c r="DC86" s="3">
        <v>0</v>
      </c>
      <c r="DD86" s="3">
        <f t="shared" si="83"/>
        <v>861.00975466371096</v>
      </c>
      <c r="DE86" s="3">
        <f t="shared" si="111"/>
        <v>145.14651107618172</v>
      </c>
      <c r="DF86" s="3">
        <v>0</v>
      </c>
      <c r="DG86" s="3">
        <v>0</v>
      </c>
      <c r="DH86" s="3">
        <f t="shared" si="84"/>
        <v>145.14651107618172</v>
      </c>
      <c r="DI86" s="3">
        <f t="shared" si="112"/>
        <v>0</v>
      </c>
      <c r="DJ86" s="3">
        <v>0</v>
      </c>
      <c r="DK86" s="3">
        <v>0</v>
      </c>
      <c r="DL86" s="3">
        <f t="shared" si="63"/>
        <v>0</v>
      </c>
      <c r="DM86" s="3">
        <f t="shared" si="113"/>
        <v>717.52924664699435</v>
      </c>
      <c r="DN86" s="3">
        <v>0</v>
      </c>
      <c r="DO86" s="3">
        <v>0</v>
      </c>
      <c r="DP86" s="3">
        <f t="shared" si="85"/>
        <v>717.52924664699435</v>
      </c>
      <c r="DQ86" s="3">
        <f t="shared" si="114"/>
        <v>1514.4510002696102</v>
      </c>
      <c r="DR86" s="3">
        <v>0</v>
      </c>
      <c r="DS86" s="3">
        <v>0</v>
      </c>
      <c r="DT86" s="3">
        <f t="shared" si="89"/>
        <v>1514.4510002696102</v>
      </c>
      <c r="DU86" s="3">
        <f t="shared" si="115"/>
        <v>7538.464723597157</v>
      </c>
      <c r="DV86" s="3">
        <v>0</v>
      </c>
      <c r="DW86" s="3">
        <v>0</v>
      </c>
      <c r="DX86" s="3">
        <f t="shared" si="86"/>
        <v>7538.464723597157</v>
      </c>
      <c r="DY86" s="3">
        <f t="shared" si="116"/>
        <v>25.82594596175727</v>
      </c>
      <c r="DZ86" s="3">
        <v>0</v>
      </c>
      <c r="EA86" s="3">
        <v>0</v>
      </c>
      <c r="EB86" s="3">
        <f t="shared" si="87"/>
        <v>25.82594596175727</v>
      </c>
      <c r="EC86" s="4">
        <f t="shared" si="117"/>
        <v>51299.999999999978</v>
      </c>
      <c r="ED86" s="5">
        <f t="shared" si="88"/>
        <v>0</v>
      </c>
      <c r="EE86" s="6">
        <f t="shared" si="33"/>
        <v>51299.999999999978</v>
      </c>
      <c r="EF86" s="6">
        <f t="shared" si="33"/>
        <v>0</v>
      </c>
      <c r="EG86" s="6">
        <f t="shared" si="33"/>
        <v>0</v>
      </c>
    </row>
    <row r="87" spans="1:137" ht="12" customHeight="1" x14ac:dyDescent="0.35">
      <c r="A87" s="34" t="s">
        <v>380</v>
      </c>
      <c r="B87" s="35">
        <v>13630</v>
      </c>
      <c r="C87" s="35" t="s">
        <v>381</v>
      </c>
      <c r="D87" s="35" t="s">
        <v>309</v>
      </c>
      <c r="E87" s="34">
        <v>150901</v>
      </c>
      <c r="F87" s="35">
        <v>27270500001289</v>
      </c>
      <c r="G87" s="8">
        <v>46116</v>
      </c>
      <c r="H87" s="8">
        <v>46127</v>
      </c>
      <c r="I87" s="36">
        <v>18</v>
      </c>
      <c r="J87" s="36">
        <v>216317</v>
      </c>
      <c r="K87" s="36">
        <v>38937.06</v>
      </c>
      <c r="L87" s="37"/>
      <c r="M87" s="37"/>
      <c r="N87" s="36">
        <v>38937.06</v>
      </c>
      <c r="O87" s="36">
        <v>255254.06</v>
      </c>
      <c r="P87" s="35" t="s">
        <v>95</v>
      </c>
      <c r="Q87" s="34" t="s">
        <v>185</v>
      </c>
      <c r="R87" s="35" t="s">
        <v>112</v>
      </c>
      <c r="S87" s="35" t="s">
        <v>252</v>
      </c>
      <c r="T87" s="35" t="s">
        <v>253</v>
      </c>
      <c r="U87" s="37"/>
      <c r="V87" s="34">
        <v>997152</v>
      </c>
      <c r="W87" s="35" t="s">
        <v>384</v>
      </c>
      <c r="X87" s="34" t="s">
        <v>101</v>
      </c>
      <c r="Y87" s="35">
        <v>107</v>
      </c>
      <c r="Z87" s="35" t="s">
        <v>102</v>
      </c>
      <c r="AA87" t="s">
        <v>383</v>
      </c>
      <c r="AB87">
        <v>38937.06</v>
      </c>
      <c r="AC87">
        <v>90237</v>
      </c>
      <c r="AD87" s="38">
        <v>-51300</v>
      </c>
      <c r="AE87" t="s">
        <v>104</v>
      </c>
      <c r="AF87" t="s">
        <v>73</v>
      </c>
      <c r="AG87" s="3">
        <f t="shared" si="90"/>
        <v>1441.6288170311591</v>
      </c>
      <c r="AH87" s="3">
        <v>0</v>
      </c>
      <c r="AI87" s="3">
        <v>0</v>
      </c>
      <c r="AJ87" s="3">
        <f t="shared" si="67"/>
        <v>1441.6288170311591</v>
      </c>
      <c r="AK87" s="3">
        <f t="shared" si="91"/>
        <v>11.996218690474205</v>
      </c>
      <c r="AL87" s="3">
        <v>0</v>
      </c>
      <c r="AM87" s="3">
        <v>0</v>
      </c>
      <c r="AN87" s="3">
        <f t="shared" si="68"/>
        <v>11.996218690474205</v>
      </c>
      <c r="AO87" s="3">
        <f t="shared" si="92"/>
        <v>594.21057157806365</v>
      </c>
      <c r="AP87" s="3">
        <v>0</v>
      </c>
      <c r="AQ87" s="3">
        <v>0</v>
      </c>
      <c r="AR87" s="3">
        <f t="shared" si="69"/>
        <v>594.21057157806365</v>
      </c>
      <c r="AS87" s="3">
        <f t="shared" si="93"/>
        <v>520.29573473310438</v>
      </c>
      <c r="AT87" s="3">
        <v>0</v>
      </c>
      <c r="AU87" s="3">
        <v>0</v>
      </c>
      <c r="AV87" s="3">
        <f t="shared" si="70"/>
        <v>520.29573473310438</v>
      </c>
      <c r="AW87" s="3">
        <f t="shared" si="94"/>
        <v>61.030477916983273</v>
      </c>
      <c r="AX87" s="3">
        <v>0</v>
      </c>
      <c r="AY87" s="3">
        <v>0</v>
      </c>
      <c r="AZ87" s="3">
        <f t="shared" si="71"/>
        <v>61.030477916983273</v>
      </c>
      <c r="BA87" s="3">
        <f t="shared" si="95"/>
        <v>651.68605099708861</v>
      </c>
      <c r="BB87" s="3">
        <v>0</v>
      </c>
      <c r="BC87" s="3">
        <v>0</v>
      </c>
      <c r="BD87" s="3">
        <f t="shared" si="72"/>
        <v>651.68605099708861</v>
      </c>
      <c r="BE87" s="3">
        <f t="shared" si="96"/>
        <v>2826.6773855973556</v>
      </c>
      <c r="BF87" s="3">
        <f t="shared" si="97"/>
        <v>0</v>
      </c>
      <c r="BG87" s="3">
        <f t="shared" si="98"/>
        <v>0</v>
      </c>
      <c r="BH87" s="3">
        <f t="shared" si="64"/>
        <v>2826.6773855973556</v>
      </c>
      <c r="BI87" s="3">
        <f t="shared" si="99"/>
        <v>1639.4986077955448</v>
      </c>
      <c r="BJ87" s="3">
        <v>0</v>
      </c>
      <c r="BK87" s="3">
        <v>0</v>
      </c>
      <c r="BL87" s="3">
        <f t="shared" si="65"/>
        <v>1639.4986077955448</v>
      </c>
      <c r="BM87" s="3">
        <f t="shared" si="100"/>
        <v>7528.2587244544193</v>
      </c>
      <c r="BN87" s="3">
        <v>0</v>
      </c>
      <c r="BO87" s="3">
        <v>0</v>
      </c>
      <c r="BP87" s="3">
        <f t="shared" si="73"/>
        <v>7528.2587244544193</v>
      </c>
      <c r="BQ87" s="3">
        <f t="shared" si="101"/>
        <v>674.81272214561125</v>
      </c>
      <c r="BR87" s="3">
        <v>0</v>
      </c>
      <c r="BS87" s="3">
        <v>0</v>
      </c>
      <c r="BT87" s="3">
        <f t="shared" si="74"/>
        <v>674.81272214561125</v>
      </c>
      <c r="BU87" s="3">
        <f t="shared" si="102"/>
        <v>107.08136743794093</v>
      </c>
      <c r="BV87" s="3">
        <v>0</v>
      </c>
      <c r="BW87" s="3">
        <v>0</v>
      </c>
      <c r="BX87" s="3">
        <f t="shared" si="75"/>
        <v>107.08136743794093</v>
      </c>
      <c r="BY87" s="3">
        <f t="shared" si="103"/>
        <v>258.11919478856936</v>
      </c>
      <c r="BZ87" s="3">
        <v>0</v>
      </c>
      <c r="CA87" s="3">
        <v>0</v>
      </c>
      <c r="CB87" s="3">
        <f t="shared" si="76"/>
        <v>258.11919478856936</v>
      </c>
      <c r="CC87" s="3">
        <f t="shared" si="104"/>
        <v>213.69895072113675</v>
      </c>
      <c r="CD87" s="3">
        <v>0</v>
      </c>
      <c r="CE87" s="3">
        <v>0</v>
      </c>
      <c r="CF87" s="3">
        <f t="shared" si="77"/>
        <v>213.69895072113675</v>
      </c>
      <c r="CG87" s="3">
        <f t="shared" si="105"/>
        <v>244.82815277824716</v>
      </c>
      <c r="CH87" s="3">
        <v>0</v>
      </c>
      <c r="CI87" s="3">
        <v>0</v>
      </c>
      <c r="CJ87" s="3">
        <f t="shared" si="78"/>
        <v>244.82815277824716</v>
      </c>
      <c r="CK87" s="3">
        <f t="shared" si="106"/>
        <v>503.75304946105706</v>
      </c>
      <c r="CL87" s="3">
        <v>0</v>
      </c>
      <c r="CM87" s="3">
        <v>0</v>
      </c>
      <c r="CN87" s="3">
        <f t="shared" si="79"/>
        <v>503.75304946105706</v>
      </c>
      <c r="CO87" s="3">
        <f t="shared" si="107"/>
        <v>982.53695880237251</v>
      </c>
      <c r="CP87" s="3">
        <v>0</v>
      </c>
      <c r="CQ87" s="3">
        <v>0</v>
      </c>
      <c r="CR87" s="3">
        <f t="shared" si="80"/>
        <v>982.53695880237251</v>
      </c>
      <c r="CS87" s="3">
        <f t="shared" si="108"/>
        <v>2888.1352328824523</v>
      </c>
      <c r="CT87" s="3">
        <v>0</v>
      </c>
      <c r="CU87" s="3">
        <v>0</v>
      </c>
      <c r="CV87" s="3">
        <f t="shared" si="81"/>
        <v>2888.1352328824523</v>
      </c>
      <c r="CW87" s="3">
        <f t="shared" si="109"/>
        <v>9589.6937443803654</v>
      </c>
      <c r="CX87" s="3">
        <v>0</v>
      </c>
      <c r="CY87" s="3">
        <v>0</v>
      </c>
      <c r="CZ87" s="3">
        <f t="shared" si="82"/>
        <v>9589.6937443803654</v>
      </c>
      <c r="DA87" s="3">
        <f t="shared" si="110"/>
        <v>653.51244596347351</v>
      </c>
      <c r="DB87" s="3">
        <v>0</v>
      </c>
      <c r="DC87" s="3">
        <v>0</v>
      </c>
      <c r="DD87" s="3">
        <f t="shared" si="83"/>
        <v>653.51244596347351</v>
      </c>
      <c r="DE87" s="3">
        <f t="shared" si="111"/>
        <v>110.16722047882948</v>
      </c>
      <c r="DF87" s="3">
        <v>0</v>
      </c>
      <c r="DG87" s="3">
        <v>0</v>
      </c>
      <c r="DH87" s="3">
        <f t="shared" si="84"/>
        <v>110.16722047882948</v>
      </c>
      <c r="DI87" s="3">
        <f t="shared" si="112"/>
        <v>0</v>
      </c>
      <c r="DJ87" s="3">
        <v>0</v>
      </c>
      <c r="DK87" s="3">
        <v>0</v>
      </c>
      <c r="DL87" s="3">
        <f t="shared" si="63"/>
        <v>0</v>
      </c>
      <c r="DM87" s="3">
        <f t="shared" si="113"/>
        <v>544.60973349802759</v>
      </c>
      <c r="DN87" s="3">
        <v>0</v>
      </c>
      <c r="DO87" s="3">
        <v>0</v>
      </c>
      <c r="DP87" s="3">
        <f t="shared" si="85"/>
        <v>544.60973349802759</v>
      </c>
      <c r="DQ87" s="3">
        <f t="shared" si="114"/>
        <v>1149.4789369309519</v>
      </c>
      <c r="DR87" s="3">
        <v>0</v>
      </c>
      <c r="DS87" s="3">
        <v>0</v>
      </c>
      <c r="DT87" s="3">
        <f t="shared" si="89"/>
        <v>1149.4789369309519</v>
      </c>
      <c r="DU87" s="3">
        <f t="shared" si="115"/>
        <v>5721.747626717075</v>
      </c>
      <c r="DV87" s="3">
        <v>0</v>
      </c>
      <c r="DW87" s="3">
        <v>0</v>
      </c>
      <c r="DX87" s="3">
        <f t="shared" si="86"/>
        <v>5721.747626717075</v>
      </c>
      <c r="DY87" s="3">
        <f t="shared" si="116"/>
        <v>19.602074219682269</v>
      </c>
      <c r="DZ87" s="3">
        <v>0</v>
      </c>
      <c r="EA87" s="3">
        <v>0</v>
      </c>
      <c r="EB87" s="3">
        <f t="shared" si="87"/>
        <v>19.602074219682269</v>
      </c>
      <c r="EC87" s="4">
        <f t="shared" si="117"/>
        <v>38937.059999999983</v>
      </c>
      <c r="ED87" s="5">
        <f t="shared" si="88"/>
        <v>0</v>
      </c>
      <c r="EE87" s="6">
        <f t="shared" si="33"/>
        <v>38937.059999999983</v>
      </c>
      <c r="EF87" s="6">
        <f t="shared" si="33"/>
        <v>0</v>
      </c>
      <c r="EG87" s="6">
        <f t="shared" si="33"/>
        <v>0</v>
      </c>
    </row>
    <row r="88" spans="1:137" ht="12" customHeight="1" x14ac:dyDescent="0.35">
      <c r="A88" s="34" t="s">
        <v>327</v>
      </c>
      <c r="B88" s="35">
        <v>36667</v>
      </c>
      <c r="C88" s="35" t="s">
        <v>328</v>
      </c>
      <c r="D88" s="35" t="s">
        <v>385</v>
      </c>
      <c r="E88" s="34">
        <v>236010</v>
      </c>
      <c r="F88" s="35" t="s">
        <v>386</v>
      </c>
      <c r="G88" s="8">
        <v>46115</v>
      </c>
      <c r="H88" s="8">
        <v>46132</v>
      </c>
      <c r="I88" s="36">
        <v>18</v>
      </c>
      <c r="J88" s="36">
        <v>185329</v>
      </c>
      <c r="K88" s="37"/>
      <c r="L88" s="36">
        <v>16679.61</v>
      </c>
      <c r="M88" s="36">
        <v>16679.61</v>
      </c>
      <c r="N88" s="36">
        <v>33359.22</v>
      </c>
      <c r="O88" s="36">
        <v>218688.22</v>
      </c>
      <c r="P88" s="35" t="s">
        <v>95</v>
      </c>
      <c r="Q88" s="34" t="s">
        <v>185</v>
      </c>
      <c r="R88" s="35" t="s">
        <v>112</v>
      </c>
      <c r="S88" s="35" t="s">
        <v>252</v>
      </c>
      <c r="T88" s="35" t="s">
        <v>253</v>
      </c>
      <c r="U88" s="35" t="s">
        <v>387</v>
      </c>
      <c r="V88" s="34">
        <v>998413</v>
      </c>
      <c r="W88" s="35" t="s">
        <v>388</v>
      </c>
      <c r="X88" s="34" t="s">
        <v>101</v>
      </c>
      <c r="Y88" s="35">
        <v>107</v>
      </c>
      <c r="Z88" s="35" t="s">
        <v>102</v>
      </c>
      <c r="AA88" t="s">
        <v>389</v>
      </c>
      <c r="AB88">
        <v>33359.22</v>
      </c>
      <c r="AC88">
        <v>33359.199999999997</v>
      </c>
      <c r="AD88" s="38">
        <v>0</v>
      </c>
      <c r="AE88" t="s">
        <v>104</v>
      </c>
      <c r="AF88" t="s">
        <v>73</v>
      </c>
      <c r="AG88" s="3">
        <f t="shared" si="90"/>
        <v>1235.111558645727</v>
      </c>
      <c r="AH88" s="3">
        <v>0</v>
      </c>
      <c r="AI88" s="3">
        <v>0</v>
      </c>
      <c r="AJ88" s="3">
        <f t="shared" si="67"/>
        <v>1235.111558645727</v>
      </c>
      <c r="AK88" s="3">
        <f t="shared" si="91"/>
        <v>10.277727657497534</v>
      </c>
      <c r="AL88" s="3">
        <v>0</v>
      </c>
      <c r="AM88" s="3">
        <v>0</v>
      </c>
      <c r="AN88" s="3">
        <f t="shared" si="68"/>
        <v>10.277727657497534</v>
      </c>
      <c r="AO88" s="3">
        <f t="shared" si="92"/>
        <v>509.08828718959194</v>
      </c>
      <c r="AP88" s="3">
        <v>0</v>
      </c>
      <c r="AQ88" s="3">
        <v>0</v>
      </c>
      <c r="AR88" s="3">
        <f t="shared" si="69"/>
        <v>509.08828718959194</v>
      </c>
      <c r="AS88" s="3">
        <f t="shared" si="93"/>
        <v>445.76195223838869</v>
      </c>
      <c r="AT88" s="3">
        <v>0</v>
      </c>
      <c r="AU88" s="3">
        <v>0</v>
      </c>
      <c r="AV88" s="3">
        <f t="shared" si="70"/>
        <v>445.76195223838869</v>
      </c>
      <c r="AW88" s="3">
        <f t="shared" si="94"/>
        <v>52.287695566583274</v>
      </c>
      <c r="AX88" s="3">
        <v>0</v>
      </c>
      <c r="AY88" s="3">
        <v>0</v>
      </c>
      <c r="AZ88" s="3">
        <f t="shared" si="71"/>
        <v>52.287695566583274</v>
      </c>
      <c r="BA88" s="3">
        <f t="shared" si="95"/>
        <v>558.33024748512344</v>
      </c>
      <c r="BB88" s="3">
        <v>0</v>
      </c>
      <c r="BC88" s="3">
        <v>0</v>
      </c>
      <c r="BD88" s="3">
        <f t="shared" si="72"/>
        <v>558.33024748512344</v>
      </c>
      <c r="BE88" s="3">
        <f t="shared" si="96"/>
        <v>0</v>
      </c>
      <c r="BF88" s="3">
        <f t="shared" si="97"/>
        <v>1210.8740718375632</v>
      </c>
      <c r="BG88" s="3">
        <f t="shared" si="98"/>
        <v>1210.8740718375632</v>
      </c>
      <c r="BH88" s="3">
        <f t="shared" si="64"/>
        <v>2421.7481436751264</v>
      </c>
      <c r="BI88" s="3">
        <f t="shared" si="99"/>
        <v>1404.635962426164</v>
      </c>
      <c r="BJ88" s="3">
        <v>0</v>
      </c>
      <c r="BK88" s="3">
        <v>0</v>
      </c>
      <c r="BL88" s="3">
        <f t="shared" si="65"/>
        <v>1404.635962426164</v>
      </c>
      <c r="BM88" s="3">
        <f t="shared" si="100"/>
        <v>6449.8151377118456</v>
      </c>
      <c r="BN88" s="3">
        <v>0</v>
      </c>
      <c r="BO88" s="3">
        <v>0</v>
      </c>
      <c r="BP88" s="3">
        <f t="shared" si="73"/>
        <v>6449.8151377118456</v>
      </c>
      <c r="BQ88" s="3">
        <f t="shared" si="101"/>
        <v>578.143959940846</v>
      </c>
      <c r="BR88" s="3">
        <v>0</v>
      </c>
      <c r="BS88" s="3">
        <v>0</v>
      </c>
      <c r="BT88" s="3">
        <f t="shared" si="74"/>
        <v>578.143959940846</v>
      </c>
      <c r="BU88" s="3">
        <f t="shared" si="102"/>
        <v>91.741669614067106</v>
      </c>
      <c r="BV88" s="3">
        <v>0</v>
      </c>
      <c r="BW88" s="3">
        <v>0</v>
      </c>
      <c r="BX88" s="3">
        <f t="shared" si="75"/>
        <v>91.741669614067106</v>
      </c>
      <c r="BY88" s="3">
        <f t="shared" si="103"/>
        <v>221.14291641882411</v>
      </c>
      <c r="BZ88" s="3">
        <v>0</v>
      </c>
      <c r="CA88" s="3">
        <v>0</v>
      </c>
      <c r="CB88" s="3">
        <f t="shared" si="76"/>
        <v>221.14291641882411</v>
      </c>
      <c r="CC88" s="3">
        <f t="shared" si="104"/>
        <v>183.08599341798177</v>
      </c>
      <c r="CD88" s="3">
        <v>0</v>
      </c>
      <c r="CE88" s="3">
        <v>0</v>
      </c>
      <c r="CF88" s="3">
        <f t="shared" si="77"/>
        <v>183.08599341798177</v>
      </c>
      <c r="CG88" s="3">
        <f t="shared" si="105"/>
        <v>209.75585241215333</v>
      </c>
      <c r="CH88" s="3">
        <v>0</v>
      </c>
      <c r="CI88" s="3">
        <v>0</v>
      </c>
      <c r="CJ88" s="3">
        <f t="shared" si="78"/>
        <v>209.75585241215333</v>
      </c>
      <c r="CK88" s="3">
        <f t="shared" si="106"/>
        <v>431.58905173226452</v>
      </c>
      <c r="CL88" s="3">
        <v>0</v>
      </c>
      <c r="CM88" s="3">
        <v>0</v>
      </c>
      <c r="CN88" s="3">
        <f t="shared" si="79"/>
        <v>431.58905173226452</v>
      </c>
      <c r="CO88" s="3">
        <f t="shared" si="107"/>
        <v>841.78586074087991</v>
      </c>
      <c r="CP88" s="3">
        <v>0</v>
      </c>
      <c r="CQ88" s="3">
        <v>0</v>
      </c>
      <c r="CR88" s="3">
        <f t="shared" si="80"/>
        <v>841.78586074087991</v>
      </c>
      <c r="CS88" s="3">
        <f t="shared" si="108"/>
        <v>2474.4019867826946</v>
      </c>
      <c r="CT88" s="3">
        <v>0</v>
      </c>
      <c r="CU88" s="3">
        <v>0</v>
      </c>
      <c r="CV88" s="3">
        <f t="shared" si="81"/>
        <v>2474.4019867826946</v>
      </c>
      <c r="CW88" s="3">
        <f t="shared" si="109"/>
        <v>8215.9439708958107</v>
      </c>
      <c r="CX88" s="3">
        <v>0</v>
      </c>
      <c r="CY88" s="3">
        <v>0</v>
      </c>
      <c r="CZ88" s="3">
        <f t="shared" si="82"/>
        <v>8215.9439708958107</v>
      </c>
      <c r="DA88" s="3">
        <f t="shared" si="110"/>
        <v>559.89500639323114</v>
      </c>
      <c r="DB88" s="3">
        <v>0</v>
      </c>
      <c r="DC88" s="3">
        <v>0</v>
      </c>
      <c r="DD88" s="3">
        <f t="shared" si="83"/>
        <v>559.89500639323114</v>
      </c>
      <c r="DE88" s="3">
        <f t="shared" si="111"/>
        <v>94.385465793816437</v>
      </c>
      <c r="DF88" s="3">
        <v>0</v>
      </c>
      <c r="DG88" s="3">
        <v>0</v>
      </c>
      <c r="DH88" s="3">
        <f t="shared" si="84"/>
        <v>94.385465793816437</v>
      </c>
      <c r="DI88" s="3">
        <f t="shared" si="112"/>
        <v>0</v>
      </c>
      <c r="DJ88" s="3">
        <v>0</v>
      </c>
      <c r="DK88" s="3">
        <v>0</v>
      </c>
      <c r="DL88" s="3">
        <f t="shared" si="63"/>
        <v>0</v>
      </c>
      <c r="DM88" s="3">
        <f t="shared" si="113"/>
        <v>466.59290439242392</v>
      </c>
      <c r="DN88" s="3">
        <v>0</v>
      </c>
      <c r="DO88" s="3">
        <v>0</v>
      </c>
      <c r="DP88" s="3">
        <f t="shared" si="85"/>
        <v>466.59290439242392</v>
      </c>
      <c r="DQ88" s="3">
        <f t="shared" si="114"/>
        <v>984.81294536479504</v>
      </c>
      <c r="DR88" s="3">
        <v>0</v>
      </c>
      <c r="DS88" s="3">
        <v>0</v>
      </c>
      <c r="DT88" s="3">
        <f t="shared" si="89"/>
        <v>984.81294536479504</v>
      </c>
      <c r="DU88" s="3">
        <f t="shared" si="115"/>
        <v>4902.0916798580274</v>
      </c>
      <c r="DV88" s="3">
        <v>0</v>
      </c>
      <c r="DW88" s="3">
        <v>0</v>
      </c>
      <c r="DX88" s="3">
        <f t="shared" si="86"/>
        <v>4902.0916798580274</v>
      </c>
      <c r="DY88" s="3">
        <f t="shared" si="116"/>
        <v>16.794023646128114</v>
      </c>
      <c r="DZ88" s="3">
        <v>0</v>
      </c>
      <c r="EA88" s="3">
        <v>0</v>
      </c>
      <c r="EB88" s="3">
        <f t="shared" si="87"/>
        <v>16.794023646128114</v>
      </c>
      <c r="EC88" s="4">
        <f t="shared" si="117"/>
        <v>33359.219999999994</v>
      </c>
      <c r="ED88" s="5">
        <f t="shared" si="88"/>
        <v>0</v>
      </c>
      <c r="EE88" s="6">
        <f t="shared" si="33"/>
        <v>30937.471856324868</v>
      </c>
      <c r="EF88" s="6">
        <f t="shared" si="33"/>
        <v>1210.8740718375632</v>
      </c>
      <c r="EG88" s="6">
        <f t="shared" si="33"/>
        <v>1210.8740718375632</v>
      </c>
    </row>
    <row r="89" spans="1:137" ht="12" customHeight="1" x14ac:dyDescent="0.35">
      <c r="A89" s="34" t="s">
        <v>390</v>
      </c>
      <c r="B89" s="35">
        <v>6262</v>
      </c>
      <c r="C89" s="35" t="s">
        <v>391</v>
      </c>
      <c r="D89" s="35" t="s">
        <v>385</v>
      </c>
      <c r="E89" s="34">
        <v>236010</v>
      </c>
      <c r="F89" s="35" t="s">
        <v>392</v>
      </c>
      <c r="G89" s="8">
        <v>46115</v>
      </c>
      <c r="H89" s="8">
        <v>46132</v>
      </c>
      <c r="I89" s="36">
        <v>18</v>
      </c>
      <c r="J89" s="36">
        <v>376039</v>
      </c>
      <c r="K89" s="37"/>
      <c r="L89" s="36">
        <v>33843.51</v>
      </c>
      <c r="M89" s="36">
        <v>33843.51</v>
      </c>
      <c r="N89" s="36">
        <v>67687.02</v>
      </c>
      <c r="O89" s="36">
        <v>443726.02</v>
      </c>
      <c r="P89" s="35" t="s">
        <v>95</v>
      </c>
      <c r="Q89" s="34" t="s">
        <v>185</v>
      </c>
      <c r="R89" s="35" t="s">
        <v>112</v>
      </c>
      <c r="S89" s="35" t="s">
        <v>252</v>
      </c>
      <c r="T89" s="35" t="s">
        <v>253</v>
      </c>
      <c r="U89" s="35" t="s">
        <v>387</v>
      </c>
      <c r="V89" s="34">
        <v>998413</v>
      </c>
      <c r="W89" s="35" t="s">
        <v>393</v>
      </c>
      <c r="X89" s="34" t="s">
        <v>101</v>
      </c>
      <c r="Y89" s="35">
        <v>107</v>
      </c>
      <c r="Z89" s="35" t="s">
        <v>102</v>
      </c>
      <c r="AA89" t="s">
        <v>394</v>
      </c>
      <c r="AB89">
        <v>67687.02</v>
      </c>
      <c r="AC89">
        <v>67687.02</v>
      </c>
      <c r="AD89" s="38">
        <v>0</v>
      </c>
      <c r="AE89" t="s">
        <v>104</v>
      </c>
      <c r="AF89" t="s">
        <v>73</v>
      </c>
      <c r="AG89" s="3">
        <f t="shared" si="90"/>
        <v>2506.0843980250288</v>
      </c>
      <c r="AH89" s="3">
        <v>0</v>
      </c>
      <c r="AI89" s="3">
        <v>0</v>
      </c>
      <c r="AJ89" s="3">
        <f t="shared" si="67"/>
        <v>2506.0843980250288</v>
      </c>
      <c r="AK89" s="3">
        <f t="shared" si="91"/>
        <v>20.853867611640464</v>
      </c>
      <c r="AL89" s="3">
        <v>0</v>
      </c>
      <c r="AM89" s="3">
        <v>0</v>
      </c>
      <c r="AN89" s="3">
        <f t="shared" si="68"/>
        <v>20.853867611640464</v>
      </c>
      <c r="AO89" s="3">
        <f t="shared" si="92"/>
        <v>1032.9578772155839</v>
      </c>
      <c r="AP89" s="3">
        <v>0</v>
      </c>
      <c r="AQ89" s="3">
        <v>0</v>
      </c>
      <c r="AR89" s="3">
        <f t="shared" si="69"/>
        <v>1032.9578772155839</v>
      </c>
      <c r="AS89" s="3">
        <f t="shared" si="93"/>
        <v>904.46653657965805</v>
      </c>
      <c r="AT89" s="3">
        <v>0</v>
      </c>
      <c r="AU89" s="3">
        <v>0</v>
      </c>
      <c r="AV89" s="3">
        <f t="shared" si="70"/>
        <v>904.46653657965805</v>
      </c>
      <c r="AW89" s="3">
        <f t="shared" si="94"/>
        <v>106.0935566110129</v>
      </c>
      <c r="AX89" s="3">
        <v>0</v>
      </c>
      <c r="AY89" s="3">
        <v>0</v>
      </c>
      <c r="AZ89" s="3">
        <f t="shared" si="71"/>
        <v>106.0935566110129</v>
      </c>
      <c r="BA89" s="3">
        <f t="shared" si="95"/>
        <v>1132.8715308130854</v>
      </c>
      <c r="BB89" s="3">
        <v>0</v>
      </c>
      <c r="BC89" s="3">
        <v>0</v>
      </c>
      <c r="BD89" s="3">
        <f t="shared" si="72"/>
        <v>1132.8715308130854</v>
      </c>
      <c r="BE89" s="3">
        <f t="shared" si="96"/>
        <v>0</v>
      </c>
      <c r="BF89" s="3">
        <f t="shared" si="97"/>
        <v>2456.9056925776617</v>
      </c>
      <c r="BG89" s="3">
        <f t="shared" si="98"/>
        <v>2456.9056925776617</v>
      </c>
      <c r="BH89" s="3">
        <f t="shared" si="64"/>
        <v>4913.8113851553235</v>
      </c>
      <c r="BI89" s="3">
        <f t="shared" si="99"/>
        <v>2850.0553214811084</v>
      </c>
      <c r="BJ89" s="3">
        <v>0</v>
      </c>
      <c r="BK89" s="3">
        <v>0</v>
      </c>
      <c r="BL89" s="3">
        <f t="shared" si="65"/>
        <v>2850.0553214811084</v>
      </c>
      <c r="BM89" s="3">
        <f t="shared" si="100"/>
        <v>13086.899700370826</v>
      </c>
      <c r="BN89" s="3">
        <v>0</v>
      </c>
      <c r="BO89" s="3">
        <v>0</v>
      </c>
      <c r="BP89" s="3">
        <f t="shared" si="73"/>
        <v>13086.899700370826</v>
      </c>
      <c r="BQ89" s="3">
        <f t="shared" si="101"/>
        <v>1173.0742439240262</v>
      </c>
      <c r="BR89" s="3">
        <v>0</v>
      </c>
      <c r="BS89" s="3">
        <v>0</v>
      </c>
      <c r="BT89" s="3">
        <f t="shared" si="74"/>
        <v>1173.0742439240262</v>
      </c>
      <c r="BU89" s="3">
        <f t="shared" si="102"/>
        <v>186.14704498488732</v>
      </c>
      <c r="BV89" s="3">
        <v>0</v>
      </c>
      <c r="BW89" s="3">
        <v>0</v>
      </c>
      <c r="BX89" s="3">
        <f t="shared" si="75"/>
        <v>186.14704498488732</v>
      </c>
      <c r="BY89" s="3">
        <f t="shared" si="103"/>
        <v>448.70668458373058</v>
      </c>
      <c r="BZ89" s="3">
        <v>0</v>
      </c>
      <c r="CA89" s="3">
        <v>0</v>
      </c>
      <c r="CB89" s="3">
        <f t="shared" si="76"/>
        <v>448.70668458373058</v>
      </c>
      <c r="CC89" s="3">
        <f t="shared" si="104"/>
        <v>371.48786147286421</v>
      </c>
      <c r="CD89" s="3">
        <v>0</v>
      </c>
      <c r="CE89" s="3">
        <v>0</v>
      </c>
      <c r="CF89" s="3">
        <f t="shared" si="77"/>
        <v>371.48786147286421</v>
      </c>
      <c r="CG89" s="3">
        <f t="shared" si="105"/>
        <v>425.60193485754377</v>
      </c>
      <c r="CH89" s="3">
        <v>0</v>
      </c>
      <c r="CI89" s="3">
        <v>0</v>
      </c>
      <c r="CJ89" s="3">
        <f t="shared" si="78"/>
        <v>425.60193485754377</v>
      </c>
      <c r="CK89" s="3">
        <f t="shared" si="106"/>
        <v>875.70922750540387</v>
      </c>
      <c r="CL89" s="3">
        <v>0</v>
      </c>
      <c r="CM89" s="3">
        <v>0</v>
      </c>
      <c r="CN89" s="3">
        <f t="shared" si="79"/>
        <v>875.70922750540387</v>
      </c>
      <c r="CO89" s="3">
        <f t="shared" si="107"/>
        <v>1708.0128489720428</v>
      </c>
      <c r="CP89" s="3">
        <v>0</v>
      </c>
      <c r="CQ89" s="3">
        <v>0</v>
      </c>
      <c r="CR89" s="3">
        <f t="shared" si="80"/>
        <v>1708.0128489720428</v>
      </c>
      <c r="CS89" s="3">
        <f t="shared" si="108"/>
        <v>5020.6478678877975</v>
      </c>
      <c r="CT89" s="3">
        <v>0</v>
      </c>
      <c r="CU89" s="3">
        <v>0</v>
      </c>
      <c r="CV89" s="3">
        <f t="shared" si="81"/>
        <v>5020.6478678877975</v>
      </c>
      <c r="CW89" s="3">
        <f t="shared" si="109"/>
        <v>16670.436655200694</v>
      </c>
      <c r="CX89" s="3">
        <v>0</v>
      </c>
      <c r="CY89" s="3">
        <v>0</v>
      </c>
      <c r="CZ89" s="3">
        <f t="shared" si="82"/>
        <v>16670.436655200694</v>
      </c>
      <c r="DA89" s="3">
        <f t="shared" si="110"/>
        <v>1136.0464811718848</v>
      </c>
      <c r="DB89" s="3">
        <v>0</v>
      </c>
      <c r="DC89" s="3">
        <v>0</v>
      </c>
      <c r="DD89" s="3">
        <f t="shared" si="83"/>
        <v>1136.0464811718848</v>
      </c>
      <c r="DE89" s="3">
        <f t="shared" si="111"/>
        <v>191.51139957395193</v>
      </c>
      <c r="DF89" s="3">
        <v>0</v>
      </c>
      <c r="DG89" s="3">
        <v>0</v>
      </c>
      <c r="DH89" s="3">
        <f t="shared" si="84"/>
        <v>191.51139957395193</v>
      </c>
      <c r="DI89" s="3">
        <f t="shared" si="112"/>
        <v>0</v>
      </c>
      <c r="DJ89" s="3">
        <v>0</v>
      </c>
      <c r="DK89" s="3">
        <v>0</v>
      </c>
      <c r="DL89" s="3">
        <f t="shared" si="63"/>
        <v>0</v>
      </c>
      <c r="DM89" s="3">
        <f t="shared" si="113"/>
        <v>946.73326449083902</v>
      </c>
      <c r="DN89" s="3">
        <v>0</v>
      </c>
      <c r="DO89" s="3">
        <v>0</v>
      </c>
      <c r="DP89" s="3">
        <f t="shared" si="85"/>
        <v>946.73326449083902</v>
      </c>
      <c r="DQ89" s="3">
        <f t="shared" si="114"/>
        <v>1998.2197883873123</v>
      </c>
      <c r="DR89" s="3">
        <v>0</v>
      </c>
      <c r="DS89" s="3">
        <v>0</v>
      </c>
      <c r="DT89" s="3">
        <f t="shared" si="89"/>
        <v>1998.2197883873123</v>
      </c>
      <c r="DU89" s="3">
        <f t="shared" si="115"/>
        <v>9946.5148638482515</v>
      </c>
      <c r="DV89" s="3">
        <v>0</v>
      </c>
      <c r="DW89" s="3">
        <v>0</v>
      </c>
      <c r="DX89" s="3">
        <f t="shared" si="86"/>
        <v>9946.5148638482515</v>
      </c>
      <c r="DY89" s="3">
        <f t="shared" si="116"/>
        <v>34.075659275485059</v>
      </c>
      <c r="DZ89" s="3">
        <v>0</v>
      </c>
      <c r="EA89" s="3">
        <v>0</v>
      </c>
      <c r="EB89" s="3">
        <f t="shared" si="87"/>
        <v>34.075659275485059</v>
      </c>
      <c r="EC89" s="4">
        <f t="shared" si="117"/>
        <v>67687.01999999999</v>
      </c>
      <c r="ED89" s="5">
        <f t="shared" si="88"/>
        <v>0</v>
      </c>
      <c r="EE89" s="6">
        <f t="shared" ref="EE89:EG152" si="118">AG89+AK89+AO89+AS89+AW89+BA89+BE89+BI89+BM89+BQ89+BU89+BY89+CC89+CG89+CK89+CO89+CS89+CW89+DA89+DE89+DM89+DQ89+DU89+DY89</f>
        <v>62773.208614844647</v>
      </c>
      <c r="EF89" s="6">
        <f t="shared" si="118"/>
        <v>2456.9056925776617</v>
      </c>
      <c r="EG89" s="6">
        <f t="shared" si="118"/>
        <v>2456.9056925776617</v>
      </c>
    </row>
    <row r="90" spans="1:137" ht="12" customHeight="1" x14ac:dyDescent="0.35">
      <c r="A90" s="34" t="s">
        <v>395</v>
      </c>
      <c r="B90" s="35">
        <v>39992</v>
      </c>
      <c r="C90" s="35" t="s">
        <v>396</v>
      </c>
      <c r="D90" s="35" t="s">
        <v>361</v>
      </c>
      <c r="E90" s="34">
        <v>150906</v>
      </c>
      <c r="F90" s="35" t="s">
        <v>397</v>
      </c>
      <c r="G90" s="8">
        <v>46112</v>
      </c>
      <c r="H90" s="8">
        <v>46118</v>
      </c>
      <c r="I90" s="36">
        <v>18</v>
      </c>
      <c r="J90" s="36">
        <v>725949</v>
      </c>
      <c r="K90" s="37"/>
      <c r="L90" s="36">
        <v>65335.41</v>
      </c>
      <c r="M90" s="36">
        <v>65335.41</v>
      </c>
      <c r="N90" s="36">
        <v>130670.82</v>
      </c>
      <c r="O90" s="36">
        <v>856619.82</v>
      </c>
      <c r="P90" s="35" t="s">
        <v>95</v>
      </c>
      <c r="Q90" s="34" t="s">
        <v>36</v>
      </c>
      <c r="R90" s="35" t="s">
        <v>112</v>
      </c>
      <c r="S90" s="35" t="s">
        <v>252</v>
      </c>
      <c r="T90" s="35" t="s">
        <v>253</v>
      </c>
      <c r="U90" s="35" t="s">
        <v>278</v>
      </c>
      <c r="V90" s="34">
        <v>998734</v>
      </c>
      <c r="W90" s="35" t="s">
        <v>398</v>
      </c>
      <c r="X90" s="34" t="s">
        <v>101</v>
      </c>
      <c r="Y90" s="35">
        <v>107</v>
      </c>
      <c r="Z90" s="35" t="s">
        <v>102</v>
      </c>
      <c r="AA90" t="s">
        <v>399</v>
      </c>
      <c r="AB90">
        <v>130670.82</v>
      </c>
      <c r="AC90">
        <v>130670.82</v>
      </c>
      <c r="AD90" s="38">
        <v>0</v>
      </c>
      <c r="AE90" t="s">
        <v>104</v>
      </c>
      <c r="AF90" t="s">
        <v>73</v>
      </c>
      <c r="AG90" s="3"/>
      <c r="AH90" s="3"/>
      <c r="AI90" s="3"/>
      <c r="AJ90" s="3">
        <f t="shared" si="67"/>
        <v>0</v>
      </c>
      <c r="AK90" s="3"/>
      <c r="AL90" s="3"/>
      <c r="AM90" s="3"/>
      <c r="AN90" s="3">
        <f t="shared" si="68"/>
        <v>0</v>
      </c>
      <c r="AO90" s="3"/>
      <c r="AP90" s="3"/>
      <c r="AQ90" s="3"/>
      <c r="AR90" s="3">
        <f t="shared" si="69"/>
        <v>0</v>
      </c>
      <c r="AS90" s="3"/>
      <c r="AT90" s="3"/>
      <c r="AU90" s="3"/>
      <c r="AV90" s="3">
        <f t="shared" si="70"/>
        <v>0</v>
      </c>
      <c r="AW90" s="3"/>
      <c r="AX90" s="3"/>
      <c r="AY90" s="3"/>
      <c r="AZ90" s="3">
        <f t="shared" si="71"/>
        <v>0</v>
      </c>
      <c r="BA90" s="3"/>
      <c r="BB90" s="3"/>
      <c r="BC90" s="3"/>
      <c r="BD90" s="3">
        <f t="shared" si="72"/>
        <v>0</v>
      </c>
      <c r="BE90" s="3">
        <f>$K90*BE$4/$BE$4</f>
        <v>0</v>
      </c>
      <c r="BF90" s="3">
        <f>$L90*BE$4/$BE$4</f>
        <v>65335.41</v>
      </c>
      <c r="BG90" s="3">
        <f>$M90*BE$4/$BE$4</f>
        <v>65335.41</v>
      </c>
      <c r="BH90" s="3">
        <f t="shared" si="64"/>
        <v>130670.82</v>
      </c>
      <c r="BI90" s="3"/>
      <c r="BJ90" s="3"/>
      <c r="BK90" s="3"/>
      <c r="BL90" s="3">
        <f t="shared" si="65"/>
        <v>0</v>
      </c>
      <c r="BM90" s="3"/>
      <c r="BN90" s="3"/>
      <c r="BO90" s="3"/>
      <c r="BP90" s="3">
        <f t="shared" si="73"/>
        <v>0</v>
      </c>
      <c r="BQ90" s="3"/>
      <c r="BR90" s="3"/>
      <c r="BS90" s="3"/>
      <c r="BT90" s="3">
        <f t="shared" si="74"/>
        <v>0</v>
      </c>
      <c r="BU90" s="3"/>
      <c r="BV90" s="3"/>
      <c r="BW90" s="3"/>
      <c r="BX90" s="3">
        <f t="shared" si="75"/>
        <v>0</v>
      </c>
      <c r="BY90" s="3"/>
      <c r="BZ90" s="3"/>
      <c r="CA90" s="3"/>
      <c r="CB90" s="3">
        <f t="shared" si="76"/>
        <v>0</v>
      </c>
      <c r="CC90" s="3"/>
      <c r="CD90" s="3"/>
      <c r="CE90" s="3"/>
      <c r="CF90" s="3">
        <f t="shared" si="77"/>
        <v>0</v>
      </c>
      <c r="CG90" s="3"/>
      <c r="CH90" s="3"/>
      <c r="CI90" s="3"/>
      <c r="CJ90" s="3">
        <f t="shared" si="78"/>
        <v>0</v>
      </c>
      <c r="CK90" s="3"/>
      <c r="CL90" s="3"/>
      <c r="CM90" s="3"/>
      <c r="CN90" s="3">
        <f t="shared" si="79"/>
        <v>0</v>
      </c>
      <c r="CO90" s="3"/>
      <c r="CP90" s="3"/>
      <c r="CQ90" s="3"/>
      <c r="CR90" s="3">
        <f t="shared" si="80"/>
        <v>0</v>
      </c>
      <c r="CS90" s="3"/>
      <c r="CT90" s="3"/>
      <c r="CU90" s="3"/>
      <c r="CV90" s="3">
        <f t="shared" si="81"/>
        <v>0</v>
      </c>
      <c r="CW90" s="3"/>
      <c r="CX90" s="3"/>
      <c r="CY90" s="3"/>
      <c r="CZ90" s="3">
        <f t="shared" si="82"/>
        <v>0</v>
      </c>
      <c r="DA90" s="3"/>
      <c r="DB90" s="3"/>
      <c r="DC90" s="3"/>
      <c r="DD90" s="3">
        <f t="shared" si="83"/>
        <v>0</v>
      </c>
      <c r="DE90" s="3"/>
      <c r="DF90" s="3"/>
      <c r="DG90" s="3"/>
      <c r="DH90" s="3">
        <f t="shared" si="84"/>
        <v>0</v>
      </c>
      <c r="DI90" s="3"/>
      <c r="DJ90" s="3"/>
      <c r="DK90" s="3"/>
      <c r="DL90" s="3">
        <f t="shared" si="63"/>
        <v>0</v>
      </c>
      <c r="DM90" s="3"/>
      <c r="DN90" s="3"/>
      <c r="DO90" s="3"/>
      <c r="DP90" s="3">
        <f t="shared" si="85"/>
        <v>0</v>
      </c>
      <c r="DQ90" s="3"/>
      <c r="DR90" s="3"/>
      <c r="DS90" s="3"/>
      <c r="DT90" s="3">
        <f t="shared" si="89"/>
        <v>0</v>
      </c>
      <c r="DU90" s="3"/>
      <c r="DV90" s="3"/>
      <c r="DW90" s="3"/>
      <c r="DX90" s="3">
        <f t="shared" si="86"/>
        <v>0</v>
      </c>
      <c r="DY90" s="3"/>
      <c r="DZ90" s="3"/>
      <c r="EA90" s="3"/>
      <c r="EB90" s="3">
        <f t="shared" si="87"/>
        <v>0</v>
      </c>
      <c r="EC90" s="4">
        <f>AJ90+AN90+AR90+AV90+AZ90+BD90+BH90+BL90+BP90+BT90+BX90+CB90+CF90+CJ90+CN90+CR90+CV90+CZ90+DD90+DH90+DL90+DP90+DT90+DX90+EB90</f>
        <v>130670.82</v>
      </c>
      <c r="ED90" s="5">
        <f t="shared" si="88"/>
        <v>0</v>
      </c>
      <c r="EE90" s="6">
        <f t="shared" si="118"/>
        <v>0</v>
      </c>
      <c r="EF90" s="6">
        <f t="shared" si="118"/>
        <v>65335.41</v>
      </c>
      <c r="EG90" s="6">
        <f t="shared" si="118"/>
        <v>65335.41</v>
      </c>
    </row>
    <row r="91" spans="1:137" ht="12" customHeight="1" x14ac:dyDescent="0.35">
      <c r="A91" s="34" t="s">
        <v>400</v>
      </c>
      <c r="B91" s="35">
        <v>14144</v>
      </c>
      <c r="C91" s="35" t="s">
        <v>401</v>
      </c>
      <c r="D91" s="35" t="s">
        <v>183</v>
      </c>
      <c r="E91" s="34">
        <v>234010</v>
      </c>
      <c r="F91" s="35" t="s">
        <v>402</v>
      </c>
      <c r="G91" s="8">
        <v>46118</v>
      </c>
      <c r="H91" s="8">
        <v>46132</v>
      </c>
      <c r="I91" s="36">
        <v>18</v>
      </c>
      <c r="J91" s="36">
        <v>194666.7</v>
      </c>
      <c r="K91" s="36">
        <v>35040.006000000001</v>
      </c>
      <c r="L91" s="37"/>
      <c r="M91" s="37"/>
      <c r="N91" s="36">
        <v>35040.006000000001</v>
      </c>
      <c r="O91" s="36">
        <v>229706.70600000001</v>
      </c>
      <c r="P91" s="35" t="s">
        <v>95</v>
      </c>
      <c r="Q91" s="34" t="s">
        <v>185</v>
      </c>
      <c r="R91" s="35" t="s">
        <v>112</v>
      </c>
      <c r="S91" s="35" t="s">
        <v>252</v>
      </c>
      <c r="T91" s="35" t="s">
        <v>253</v>
      </c>
      <c r="U91" s="35" t="s">
        <v>278</v>
      </c>
      <c r="V91" s="34">
        <v>998349</v>
      </c>
      <c r="W91" s="35" t="s">
        <v>403</v>
      </c>
      <c r="X91" s="34" t="s">
        <v>101</v>
      </c>
      <c r="Y91" s="35">
        <v>107</v>
      </c>
      <c r="Z91" s="35" t="s">
        <v>102</v>
      </c>
      <c r="AA91" t="s">
        <v>404</v>
      </c>
      <c r="AB91">
        <v>35040.006000000001</v>
      </c>
      <c r="AC91">
        <v>35040.01</v>
      </c>
      <c r="AD91" s="38">
        <v>0</v>
      </c>
      <c r="AE91" t="s">
        <v>104</v>
      </c>
      <c r="AF91" t="s">
        <v>73</v>
      </c>
      <c r="AG91" s="3">
        <f t="shared" ref="AG91:AG117" si="119">SUM($K91:$M91)*AG$4/$AF$4</f>
        <v>1297.3419769891391</v>
      </c>
      <c r="AH91" s="3">
        <v>0</v>
      </c>
      <c r="AI91" s="3">
        <v>0</v>
      </c>
      <c r="AJ91" s="3">
        <f t="shared" si="67"/>
        <v>1297.3419769891391</v>
      </c>
      <c r="AK91" s="3">
        <f t="shared" ref="AK91:AK117" si="120">SUM($K91:$M91)*AK$4/$AF$4</f>
        <v>10.795565327519036</v>
      </c>
      <c r="AL91" s="3">
        <v>0</v>
      </c>
      <c r="AM91" s="3">
        <v>0</v>
      </c>
      <c r="AN91" s="3">
        <f t="shared" si="68"/>
        <v>10.795565327519036</v>
      </c>
      <c r="AO91" s="3">
        <f t="shared" ref="AO91:AO117" si="121">SUM($K91:$M91)*AO$4/$AF$4</f>
        <v>534.73842127163118</v>
      </c>
      <c r="AP91" s="3">
        <v>0</v>
      </c>
      <c r="AQ91" s="3">
        <v>0</v>
      </c>
      <c r="AR91" s="3">
        <f t="shared" si="69"/>
        <v>534.73842127163118</v>
      </c>
      <c r="AS91" s="3">
        <f t="shared" ref="AS91:AS117" si="122">SUM($K91:$M91)*AS$4/$AF$4</f>
        <v>468.22142367252155</v>
      </c>
      <c r="AT91" s="3">
        <v>0</v>
      </c>
      <c r="AU91" s="3">
        <v>0</v>
      </c>
      <c r="AV91" s="3">
        <f t="shared" si="70"/>
        <v>468.22142367252155</v>
      </c>
      <c r="AW91" s="3">
        <f t="shared" ref="AW91:AW117" si="123">SUM($K91:$M91)*AW$4/$AF$4</f>
        <v>54.922182424506673</v>
      </c>
      <c r="AX91" s="3">
        <v>0</v>
      </c>
      <c r="AY91" s="3">
        <v>0</v>
      </c>
      <c r="AZ91" s="3">
        <f t="shared" si="71"/>
        <v>54.922182424506673</v>
      </c>
      <c r="BA91" s="3">
        <f t="shared" ref="BA91:BA117" si="124">SUM($K91:$M91)*BA$4/$AF$4</f>
        <v>586.46141072423791</v>
      </c>
      <c r="BB91" s="3">
        <v>0</v>
      </c>
      <c r="BC91" s="3">
        <v>0</v>
      </c>
      <c r="BD91" s="3">
        <f t="shared" si="72"/>
        <v>586.46141072423791</v>
      </c>
      <c r="BE91" s="3">
        <f t="shared" ref="BE91:BE117" si="125">$K91*BE$4/$AF$4</f>
        <v>2543.7665954079653</v>
      </c>
      <c r="BF91" s="3">
        <f t="shared" ref="BF91:BF117" si="126">$L91*BE$4/$AF$4</f>
        <v>0</v>
      </c>
      <c r="BG91" s="3">
        <f t="shared" ref="BG91:BG117" si="127">$M91*BE$4/$AF$4</f>
        <v>0</v>
      </c>
      <c r="BH91" s="3">
        <f t="shared" si="64"/>
        <v>2543.7665954079653</v>
      </c>
      <c r="BI91" s="3">
        <f t="shared" ref="BI91:BI117" si="128">SUM($K91:$M91)*BI$4/$AF$4</f>
        <v>1475.4077748589016</v>
      </c>
      <c r="BJ91" s="3">
        <v>0</v>
      </c>
      <c r="BK91" s="3">
        <v>0</v>
      </c>
      <c r="BL91" s="3">
        <f t="shared" si="65"/>
        <v>1475.4077748589016</v>
      </c>
      <c r="BM91" s="3">
        <f t="shared" ref="BM91:BM117" si="129">SUM($K91:$M91)*BM$4/$AF$4</f>
        <v>6774.7855352827164</v>
      </c>
      <c r="BN91" s="3">
        <v>0</v>
      </c>
      <c r="BO91" s="3">
        <v>0</v>
      </c>
      <c r="BP91" s="3">
        <f t="shared" si="73"/>
        <v>6774.7855352827164</v>
      </c>
      <c r="BQ91" s="3">
        <f t="shared" ref="BQ91:BQ117" si="130">SUM($K91:$M91)*BQ$4/$AF$4</f>
        <v>607.27342621293326</v>
      </c>
      <c r="BR91" s="3">
        <v>0</v>
      </c>
      <c r="BS91" s="3">
        <v>0</v>
      </c>
      <c r="BT91" s="3">
        <f t="shared" si="74"/>
        <v>607.27342621293326</v>
      </c>
      <c r="BU91" s="3">
        <f t="shared" ref="BU91:BU117" si="131">SUM($K91:$M91)*BU$4/$AF$4</f>
        <v>96.364023311304322</v>
      </c>
      <c r="BV91" s="3">
        <v>0</v>
      </c>
      <c r="BW91" s="3">
        <v>0</v>
      </c>
      <c r="BX91" s="3">
        <f t="shared" si="75"/>
        <v>96.364023311304322</v>
      </c>
      <c r="BY91" s="3">
        <f t="shared" ref="BY91:BY117" si="132">SUM($K91:$M91)*BY$4/$AF$4</f>
        <v>232.28508095132608</v>
      </c>
      <c r="BZ91" s="3">
        <v>0</v>
      </c>
      <c r="CA91" s="3">
        <v>0</v>
      </c>
      <c r="CB91" s="3">
        <f t="shared" si="76"/>
        <v>232.28508095132608</v>
      </c>
      <c r="CC91" s="3">
        <f t="shared" ref="CC91:CC117" si="133">SUM($K91:$M91)*CC$4/$AF$4</f>
        <v>192.31068076178164</v>
      </c>
      <c r="CD91" s="3">
        <v>0</v>
      </c>
      <c r="CE91" s="3">
        <v>0</v>
      </c>
      <c r="CF91" s="3">
        <f t="shared" si="77"/>
        <v>192.31068076178164</v>
      </c>
      <c r="CG91" s="3">
        <f t="shared" ref="CG91:CG117" si="134">SUM($K91:$M91)*CG$4/$AF$4</f>
        <v>220.32428597122373</v>
      </c>
      <c r="CH91" s="3">
        <v>0</v>
      </c>
      <c r="CI91" s="3">
        <v>0</v>
      </c>
      <c r="CJ91" s="3">
        <f t="shared" si="78"/>
        <v>220.32428597122373</v>
      </c>
      <c r="CK91" s="3">
        <f t="shared" ref="CK91:CK117" si="135">SUM($K91:$M91)*CK$4/$AF$4</f>
        <v>453.3344293491532</v>
      </c>
      <c r="CL91" s="3">
        <v>0</v>
      </c>
      <c r="CM91" s="3">
        <v>0</v>
      </c>
      <c r="CN91" s="3">
        <f t="shared" si="79"/>
        <v>453.3344293491532</v>
      </c>
      <c r="CO91" s="3">
        <f t="shared" ref="CO91:CO117" si="136">SUM($K91:$M91)*CO$4/$AF$4</f>
        <v>884.19877956006144</v>
      </c>
      <c r="CP91" s="3">
        <v>0</v>
      </c>
      <c r="CQ91" s="3">
        <v>0</v>
      </c>
      <c r="CR91" s="3">
        <f t="shared" si="80"/>
        <v>884.19877956006144</v>
      </c>
      <c r="CS91" s="3">
        <f t="shared" ref="CS91:CS117" si="137">SUM($K91:$M91)*CS$4/$AF$4</f>
        <v>2599.0733735164531</v>
      </c>
      <c r="CT91" s="3">
        <v>0</v>
      </c>
      <c r="CU91" s="3">
        <v>0</v>
      </c>
      <c r="CV91" s="3">
        <f t="shared" si="81"/>
        <v>2599.0733735164531</v>
      </c>
      <c r="CW91" s="3">
        <f t="shared" ref="CW91:CW117" si="138">SUM($K91:$M91)*CW$4/$AF$4</f>
        <v>8629.8998008902181</v>
      </c>
      <c r="CX91" s="3">
        <v>0</v>
      </c>
      <c r="CY91" s="3">
        <v>0</v>
      </c>
      <c r="CZ91" s="3">
        <f t="shared" si="82"/>
        <v>8629.8998008902181</v>
      </c>
      <c r="DA91" s="3">
        <f t="shared" ref="DA91:DA117" si="139">SUM($K91:$M91)*DA$4/$AF$4</f>
        <v>588.10500915155865</v>
      </c>
      <c r="DB91" s="3">
        <v>0</v>
      </c>
      <c r="DC91" s="3">
        <v>0</v>
      </c>
      <c r="DD91" s="3">
        <f t="shared" si="83"/>
        <v>588.10500915155865</v>
      </c>
      <c r="DE91" s="3">
        <f t="shared" ref="DE91:DE117" si="140">SUM($K91:$M91)*DE$4/$AF$4</f>
        <v>99.141025711276299</v>
      </c>
      <c r="DF91" s="3">
        <v>0</v>
      </c>
      <c r="DG91" s="3">
        <v>0</v>
      </c>
      <c r="DH91" s="3">
        <f t="shared" si="84"/>
        <v>99.141025711276299</v>
      </c>
      <c r="DI91" s="3">
        <f t="shared" ref="DI91:DI117" si="141">SUM($K91:$M91)*DI$4/$AF$4</f>
        <v>0</v>
      </c>
      <c r="DJ91" s="3">
        <v>0</v>
      </c>
      <c r="DK91" s="3">
        <v>0</v>
      </c>
      <c r="DL91" s="3">
        <f t="shared" si="63"/>
        <v>0</v>
      </c>
      <c r="DM91" s="3">
        <f t="shared" ref="DM91:DM117" si="142">SUM($K91:$M91)*DM$4/$AF$4</f>
        <v>490.1019319237069</v>
      </c>
      <c r="DN91" s="3">
        <v>0</v>
      </c>
      <c r="DO91" s="3">
        <v>0</v>
      </c>
      <c r="DP91" s="3">
        <f t="shared" si="85"/>
        <v>490.1019319237069</v>
      </c>
      <c r="DQ91" s="3">
        <f t="shared" ref="DQ91:DQ117" si="143">SUM($K91:$M91)*DQ$4/$AF$4</f>
        <v>1034.4322053831022</v>
      </c>
      <c r="DR91" s="3">
        <v>0</v>
      </c>
      <c r="DS91" s="3">
        <v>0</v>
      </c>
      <c r="DT91" s="3">
        <f t="shared" si="89"/>
        <v>1034.4322053831022</v>
      </c>
      <c r="DU91" s="3">
        <f t="shared" ref="DU91:DU117" si="144">SUM($K91:$M91)*DU$4/$AF$4</f>
        <v>5149.0808800318282</v>
      </c>
      <c r="DV91" s="3">
        <v>0</v>
      </c>
      <c r="DW91" s="3">
        <v>0</v>
      </c>
      <c r="DX91" s="3">
        <f t="shared" si="86"/>
        <v>5149.0808800318282</v>
      </c>
      <c r="DY91" s="3">
        <f t="shared" ref="DY91:DY117" si="145">SUM($K91:$M91)*DY$4/$AF$4</f>
        <v>17.640181314924959</v>
      </c>
      <c r="DZ91" s="3">
        <v>0</v>
      </c>
      <c r="EA91" s="3">
        <v>0</v>
      </c>
      <c r="EB91" s="3">
        <f t="shared" si="87"/>
        <v>17.640181314924959</v>
      </c>
      <c r="EC91" s="4">
        <f t="shared" ref="EC91:EC117" si="146">AJ91+AN91+AR91+AV91+AZ91+BD91+BH91+BL91+BP91+BT91+BX91+CB91+CF91+CJ91+CN91+CR91+CV91+CZ91+DD91+DH91+DP91+DT91+DX91+EB91</f>
        <v>35040.005999999994</v>
      </c>
      <c r="ED91" s="5">
        <f t="shared" si="88"/>
        <v>0</v>
      </c>
      <c r="EE91" s="6">
        <f t="shared" si="118"/>
        <v>35040.005999999994</v>
      </c>
      <c r="EF91" s="6">
        <f t="shared" si="118"/>
        <v>0</v>
      </c>
      <c r="EG91" s="6">
        <f t="shared" si="118"/>
        <v>0</v>
      </c>
    </row>
    <row r="92" spans="1:137" ht="12" customHeight="1" x14ac:dyDescent="0.35">
      <c r="A92" s="34" t="s">
        <v>405</v>
      </c>
      <c r="B92" s="35">
        <v>3287</v>
      </c>
      <c r="C92" s="35" t="s">
        <v>406</v>
      </c>
      <c r="D92" s="35" t="s">
        <v>337</v>
      </c>
      <c r="E92" s="34">
        <v>420501</v>
      </c>
      <c r="F92" s="35" t="s">
        <v>407</v>
      </c>
      <c r="G92" s="8">
        <v>46127</v>
      </c>
      <c r="H92" s="8">
        <v>46133</v>
      </c>
      <c r="I92" s="36">
        <v>18</v>
      </c>
      <c r="J92" s="36">
        <v>25000</v>
      </c>
      <c r="K92" s="37"/>
      <c r="L92" s="36">
        <v>2250</v>
      </c>
      <c r="M92" s="36">
        <v>2250</v>
      </c>
      <c r="N92" s="36">
        <v>4500</v>
      </c>
      <c r="O92" s="36">
        <v>29500</v>
      </c>
      <c r="P92" s="35" t="s">
        <v>95</v>
      </c>
      <c r="Q92" s="34" t="s">
        <v>185</v>
      </c>
      <c r="R92" s="35" t="s">
        <v>190</v>
      </c>
      <c r="S92" s="35" t="s">
        <v>252</v>
      </c>
      <c r="T92" s="35" t="s">
        <v>253</v>
      </c>
      <c r="U92" s="37"/>
      <c r="V92" s="34">
        <v>998599</v>
      </c>
      <c r="W92" s="35" t="s">
        <v>408</v>
      </c>
      <c r="X92" s="34" t="s">
        <v>101</v>
      </c>
      <c r="Y92" s="35">
        <v>107</v>
      </c>
      <c r="Z92" s="35" t="s">
        <v>102</v>
      </c>
      <c r="AA92" t="s">
        <v>409</v>
      </c>
      <c r="AB92">
        <v>4500</v>
      </c>
      <c r="AC92">
        <v>4500</v>
      </c>
      <c r="AD92" s="38">
        <v>0</v>
      </c>
      <c r="AE92" t="s">
        <v>104</v>
      </c>
      <c r="AF92" t="s">
        <v>73</v>
      </c>
      <c r="AG92" s="3">
        <f t="shared" si="119"/>
        <v>166.61067057040816</v>
      </c>
      <c r="AH92" s="3">
        <v>0</v>
      </c>
      <c r="AI92" s="3">
        <v>0</v>
      </c>
      <c r="AJ92" s="3">
        <f t="shared" si="67"/>
        <v>166.61067057040816</v>
      </c>
      <c r="AK92" s="3">
        <f t="shared" si="120"/>
        <v>1.3864165426751256</v>
      </c>
      <c r="AL92" s="3">
        <v>0</v>
      </c>
      <c r="AM92" s="3">
        <v>0</v>
      </c>
      <c r="AN92" s="3">
        <f t="shared" si="68"/>
        <v>1.3864165426751256</v>
      </c>
      <c r="AO92" s="3">
        <f t="shared" si="121"/>
        <v>68.673586863037073</v>
      </c>
      <c r="AP92" s="3">
        <v>0</v>
      </c>
      <c r="AQ92" s="3">
        <v>0</v>
      </c>
      <c r="AR92" s="3">
        <f t="shared" si="69"/>
        <v>68.673586863037073</v>
      </c>
      <c r="AS92" s="3">
        <f t="shared" si="122"/>
        <v>60.13116568890846</v>
      </c>
      <c r="AT92" s="3">
        <v>0</v>
      </c>
      <c r="AU92" s="3">
        <v>0</v>
      </c>
      <c r="AV92" s="3">
        <f t="shared" si="70"/>
        <v>60.13116568890846</v>
      </c>
      <c r="AW92" s="3">
        <f t="shared" si="123"/>
        <v>7.0533612611333449</v>
      </c>
      <c r="AX92" s="3">
        <v>0</v>
      </c>
      <c r="AY92" s="3">
        <v>0</v>
      </c>
      <c r="AZ92" s="3">
        <f t="shared" si="71"/>
        <v>7.0533612611333449</v>
      </c>
      <c r="BA92" s="3">
        <f t="shared" si="124"/>
        <v>75.31609293272011</v>
      </c>
      <c r="BB92" s="3">
        <v>0</v>
      </c>
      <c r="BC92" s="3">
        <v>0</v>
      </c>
      <c r="BD92" s="3">
        <f t="shared" si="72"/>
        <v>75.31609293272011</v>
      </c>
      <c r="BE92" s="3">
        <f t="shared" si="125"/>
        <v>0</v>
      </c>
      <c r="BF92" s="3">
        <f t="shared" si="126"/>
        <v>163.34114896178733</v>
      </c>
      <c r="BG92" s="3">
        <f t="shared" si="127"/>
        <v>163.34114896178733</v>
      </c>
      <c r="BH92" s="3">
        <f t="shared" si="64"/>
        <v>326.68229792357465</v>
      </c>
      <c r="BI92" s="3">
        <f t="shared" si="128"/>
        <v>189.47870576463535</v>
      </c>
      <c r="BJ92" s="3">
        <v>0</v>
      </c>
      <c r="BK92" s="3">
        <v>0</v>
      </c>
      <c r="BL92" s="3">
        <f t="shared" si="65"/>
        <v>189.47870576463535</v>
      </c>
      <c r="BM92" s="3">
        <f t="shared" si="129"/>
        <v>870.04936325559481</v>
      </c>
      <c r="BN92" s="3">
        <v>0</v>
      </c>
      <c r="BO92" s="3">
        <v>0</v>
      </c>
      <c r="BP92" s="3">
        <f t="shared" si="73"/>
        <v>870.04936325559481</v>
      </c>
      <c r="BQ92" s="3">
        <f t="shared" si="130"/>
        <v>77.98886843678622</v>
      </c>
      <c r="BR92" s="3">
        <v>0</v>
      </c>
      <c r="BS92" s="3">
        <v>0</v>
      </c>
      <c r="BT92" s="3">
        <f t="shared" si="74"/>
        <v>77.98886843678622</v>
      </c>
      <c r="BU92" s="3">
        <f t="shared" si="131"/>
        <v>12.375514573281448</v>
      </c>
      <c r="BV92" s="3">
        <v>0</v>
      </c>
      <c r="BW92" s="3">
        <v>0</v>
      </c>
      <c r="BX92" s="3">
        <f t="shared" si="75"/>
        <v>12.375514573281448</v>
      </c>
      <c r="BY92" s="3">
        <f t="shared" si="132"/>
        <v>29.831126863419122</v>
      </c>
      <c r="BZ92" s="3">
        <v>0</v>
      </c>
      <c r="CA92" s="3">
        <v>0</v>
      </c>
      <c r="CB92" s="3">
        <f t="shared" si="76"/>
        <v>29.831126863419122</v>
      </c>
      <c r="CC92" s="3">
        <f t="shared" si="133"/>
        <v>24.697429087997801</v>
      </c>
      <c r="CD92" s="3">
        <v>0</v>
      </c>
      <c r="CE92" s="3">
        <v>0</v>
      </c>
      <c r="CF92" s="3">
        <f t="shared" si="77"/>
        <v>24.697429087997801</v>
      </c>
      <c r="CG92" s="3">
        <f t="shared" si="134"/>
        <v>28.295066127286248</v>
      </c>
      <c r="CH92" s="3">
        <v>0</v>
      </c>
      <c r="CI92" s="3">
        <v>0</v>
      </c>
      <c r="CJ92" s="3">
        <f t="shared" si="78"/>
        <v>28.295066127286248</v>
      </c>
      <c r="CK92" s="3">
        <f t="shared" si="135"/>
        <v>58.219308868588357</v>
      </c>
      <c r="CL92" s="3">
        <v>0</v>
      </c>
      <c r="CM92" s="3">
        <v>0</v>
      </c>
      <c r="CN92" s="3">
        <f t="shared" si="79"/>
        <v>58.219308868588357</v>
      </c>
      <c r="CO92" s="3">
        <f t="shared" si="136"/>
        <v>113.55290601320891</v>
      </c>
      <c r="CP92" s="3">
        <v>0</v>
      </c>
      <c r="CQ92" s="3">
        <v>0</v>
      </c>
      <c r="CR92" s="3">
        <f t="shared" si="80"/>
        <v>113.55290601320891</v>
      </c>
      <c r="CS92" s="3">
        <f t="shared" si="137"/>
        <v>333.78505074525498</v>
      </c>
      <c r="CT92" s="3">
        <v>0</v>
      </c>
      <c r="CU92" s="3">
        <v>0</v>
      </c>
      <c r="CV92" s="3">
        <f t="shared" si="81"/>
        <v>333.78505074525498</v>
      </c>
      <c r="CW92" s="3">
        <f t="shared" si="138"/>
        <v>1108.2917367082066</v>
      </c>
      <c r="CX92" s="3">
        <v>0</v>
      </c>
      <c r="CY92" s="3">
        <v>0</v>
      </c>
      <c r="CZ92" s="3">
        <f t="shared" si="82"/>
        <v>1108.2917367082066</v>
      </c>
      <c r="DA92" s="3">
        <f t="shared" si="139"/>
        <v>75.527171461729026</v>
      </c>
      <c r="DB92" s="3">
        <v>0</v>
      </c>
      <c r="DC92" s="3">
        <v>0</v>
      </c>
      <c r="DD92" s="3">
        <f t="shared" si="83"/>
        <v>75.527171461729026</v>
      </c>
      <c r="DE92" s="3">
        <f t="shared" si="140"/>
        <v>12.732150094401906</v>
      </c>
      <c r="DF92" s="3">
        <v>0</v>
      </c>
      <c r="DG92" s="3">
        <v>0</v>
      </c>
      <c r="DH92" s="3">
        <f t="shared" si="84"/>
        <v>12.732150094401906</v>
      </c>
      <c r="DI92" s="3">
        <f t="shared" si="141"/>
        <v>0</v>
      </c>
      <c r="DJ92" s="3">
        <v>0</v>
      </c>
      <c r="DK92" s="3">
        <v>0</v>
      </c>
      <c r="DL92" s="3">
        <f t="shared" si="63"/>
        <v>0</v>
      </c>
      <c r="DM92" s="3">
        <f t="shared" si="142"/>
        <v>62.94116198657845</v>
      </c>
      <c r="DN92" s="3">
        <v>0</v>
      </c>
      <c r="DO92" s="3">
        <v>0</v>
      </c>
      <c r="DP92" s="3">
        <f t="shared" si="85"/>
        <v>62.94116198657845</v>
      </c>
      <c r="DQ92" s="3">
        <f t="shared" si="143"/>
        <v>132.84657897101843</v>
      </c>
      <c r="DR92" s="3">
        <v>0</v>
      </c>
      <c r="DS92" s="3">
        <v>0</v>
      </c>
      <c r="DT92" s="3">
        <f t="shared" si="89"/>
        <v>132.84657897101843</v>
      </c>
      <c r="DU92" s="3">
        <f t="shared" si="144"/>
        <v>661.26883540325946</v>
      </c>
      <c r="DV92" s="3">
        <v>0</v>
      </c>
      <c r="DW92" s="3">
        <v>0</v>
      </c>
      <c r="DX92" s="3">
        <f t="shared" si="86"/>
        <v>661.26883540325946</v>
      </c>
      <c r="DY92" s="3">
        <f t="shared" si="145"/>
        <v>2.2654338562944973</v>
      </c>
      <c r="DZ92" s="3">
        <v>0</v>
      </c>
      <c r="EA92" s="3">
        <v>0</v>
      </c>
      <c r="EB92" s="3">
        <f t="shared" si="87"/>
        <v>2.2654338562944973</v>
      </c>
      <c r="EC92" s="4">
        <f t="shared" si="146"/>
        <v>4499.9999999999982</v>
      </c>
      <c r="ED92" s="5">
        <f t="shared" si="88"/>
        <v>0</v>
      </c>
      <c r="EE92" s="6">
        <f t="shared" si="118"/>
        <v>4173.3177020764233</v>
      </c>
      <c r="EF92" s="6">
        <f t="shared" si="118"/>
        <v>163.34114896178733</v>
      </c>
      <c r="EG92" s="6">
        <f t="shared" si="118"/>
        <v>163.34114896178733</v>
      </c>
    </row>
    <row r="93" spans="1:137" ht="12" customHeight="1" x14ac:dyDescent="0.35">
      <c r="A93" s="34" t="s">
        <v>410</v>
      </c>
      <c r="B93" s="35">
        <v>40671</v>
      </c>
      <c r="C93" s="35" t="s">
        <v>411</v>
      </c>
      <c r="D93" s="35" t="s">
        <v>161</v>
      </c>
      <c r="E93" s="34">
        <v>416001</v>
      </c>
      <c r="F93" s="35" t="s">
        <v>412</v>
      </c>
      <c r="G93" s="8">
        <v>46113</v>
      </c>
      <c r="H93" s="8">
        <v>46132</v>
      </c>
      <c r="I93" s="36">
        <v>18</v>
      </c>
      <c r="J93" s="36">
        <v>71500</v>
      </c>
      <c r="K93" s="36">
        <v>12870</v>
      </c>
      <c r="L93" s="37"/>
      <c r="M93" s="37"/>
      <c r="N93" s="36">
        <v>12870</v>
      </c>
      <c r="O93" s="36">
        <v>84370</v>
      </c>
      <c r="P93" s="35" t="s">
        <v>95</v>
      </c>
      <c r="Q93" s="34" t="s">
        <v>185</v>
      </c>
      <c r="R93" s="35" t="s">
        <v>163</v>
      </c>
      <c r="S93" s="35" t="s">
        <v>252</v>
      </c>
      <c r="T93" s="35" t="s">
        <v>253</v>
      </c>
      <c r="U93" s="37"/>
      <c r="V93" s="34">
        <v>998311</v>
      </c>
      <c r="W93" s="35" t="s">
        <v>413</v>
      </c>
      <c r="X93" s="34" t="s">
        <v>101</v>
      </c>
      <c r="Y93" s="35">
        <v>107</v>
      </c>
      <c r="Z93" s="35" t="s">
        <v>102</v>
      </c>
      <c r="AA93" t="s">
        <v>414</v>
      </c>
      <c r="AB93">
        <v>12870</v>
      </c>
      <c r="AC93">
        <v>12870</v>
      </c>
      <c r="AD93" s="38">
        <v>0</v>
      </c>
      <c r="AE93" t="s">
        <v>104</v>
      </c>
      <c r="AF93" t="s">
        <v>73</v>
      </c>
      <c r="AG93" s="3">
        <f t="shared" si="119"/>
        <v>476.50651783136732</v>
      </c>
      <c r="AH93" s="3">
        <v>0</v>
      </c>
      <c r="AI93" s="3">
        <v>0</v>
      </c>
      <c r="AJ93" s="3">
        <f t="shared" si="67"/>
        <v>476.50651783136732</v>
      </c>
      <c r="AK93" s="3">
        <f t="shared" si="120"/>
        <v>3.9651513120508595</v>
      </c>
      <c r="AL93" s="3">
        <v>0</v>
      </c>
      <c r="AM93" s="3">
        <v>0</v>
      </c>
      <c r="AN93" s="3">
        <f t="shared" si="68"/>
        <v>3.9651513120508595</v>
      </c>
      <c r="AO93" s="3">
        <f t="shared" si="121"/>
        <v>196.40645842828604</v>
      </c>
      <c r="AP93" s="3">
        <v>0</v>
      </c>
      <c r="AQ93" s="3">
        <v>0</v>
      </c>
      <c r="AR93" s="3">
        <f t="shared" si="69"/>
        <v>196.40645842828604</v>
      </c>
      <c r="AS93" s="3">
        <f t="shared" si="122"/>
        <v>171.9751338702782</v>
      </c>
      <c r="AT93" s="3">
        <v>0</v>
      </c>
      <c r="AU93" s="3">
        <v>0</v>
      </c>
      <c r="AV93" s="3">
        <f t="shared" si="70"/>
        <v>171.9751338702782</v>
      </c>
      <c r="AW93" s="3">
        <f t="shared" si="123"/>
        <v>20.172613206841369</v>
      </c>
      <c r="AX93" s="3">
        <v>0</v>
      </c>
      <c r="AY93" s="3">
        <v>0</v>
      </c>
      <c r="AZ93" s="3">
        <f t="shared" si="71"/>
        <v>20.172613206841369</v>
      </c>
      <c r="BA93" s="3">
        <f t="shared" si="124"/>
        <v>215.40402578757951</v>
      </c>
      <c r="BB93" s="3">
        <v>0</v>
      </c>
      <c r="BC93" s="3">
        <v>0</v>
      </c>
      <c r="BD93" s="3">
        <f t="shared" si="72"/>
        <v>215.40402578757951</v>
      </c>
      <c r="BE93" s="3">
        <f t="shared" si="125"/>
        <v>934.31137206142341</v>
      </c>
      <c r="BF93" s="3">
        <f t="shared" si="126"/>
        <v>0</v>
      </c>
      <c r="BG93" s="3">
        <f t="shared" si="127"/>
        <v>0</v>
      </c>
      <c r="BH93" s="3">
        <f t="shared" si="64"/>
        <v>934.31137206142341</v>
      </c>
      <c r="BI93" s="3">
        <f t="shared" si="128"/>
        <v>541.90909848685715</v>
      </c>
      <c r="BJ93" s="3">
        <v>0</v>
      </c>
      <c r="BK93" s="3">
        <v>0</v>
      </c>
      <c r="BL93" s="3">
        <f t="shared" si="65"/>
        <v>541.90909848685715</v>
      </c>
      <c r="BM93" s="3">
        <f t="shared" si="129"/>
        <v>2488.3411789110014</v>
      </c>
      <c r="BN93" s="3">
        <v>0</v>
      </c>
      <c r="BO93" s="3">
        <v>0</v>
      </c>
      <c r="BP93" s="3">
        <f t="shared" si="73"/>
        <v>2488.3411789110014</v>
      </c>
      <c r="BQ93" s="3">
        <f t="shared" si="130"/>
        <v>223.04816372920857</v>
      </c>
      <c r="BR93" s="3">
        <v>0</v>
      </c>
      <c r="BS93" s="3">
        <v>0</v>
      </c>
      <c r="BT93" s="3">
        <f t="shared" si="74"/>
        <v>223.04816372920857</v>
      </c>
      <c r="BU93" s="3">
        <f t="shared" si="131"/>
        <v>35.393971679584944</v>
      </c>
      <c r="BV93" s="3">
        <v>0</v>
      </c>
      <c r="BW93" s="3">
        <v>0</v>
      </c>
      <c r="BX93" s="3">
        <f t="shared" si="75"/>
        <v>35.393971679584944</v>
      </c>
      <c r="BY93" s="3">
        <f t="shared" si="132"/>
        <v>85.317022829378701</v>
      </c>
      <c r="BZ93" s="3">
        <v>0</v>
      </c>
      <c r="CA93" s="3">
        <v>0</v>
      </c>
      <c r="CB93" s="3">
        <f t="shared" si="76"/>
        <v>85.317022829378701</v>
      </c>
      <c r="CC93" s="3">
        <f t="shared" si="133"/>
        <v>70.634647191673707</v>
      </c>
      <c r="CD93" s="3">
        <v>0</v>
      </c>
      <c r="CE93" s="3">
        <v>0</v>
      </c>
      <c r="CF93" s="3">
        <f t="shared" si="77"/>
        <v>70.634647191673707</v>
      </c>
      <c r="CG93" s="3">
        <f t="shared" si="134"/>
        <v>80.923889124038666</v>
      </c>
      <c r="CH93" s="3">
        <v>0</v>
      </c>
      <c r="CI93" s="3">
        <v>0</v>
      </c>
      <c r="CJ93" s="3">
        <f t="shared" si="78"/>
        <v>80.923889124038666</v>
      </c>
      <c r="CK93" s="3">
        <f t="shared" si="135"/>
        <v>166.50722336416271</v>
      </c>
      <c r="CL93" s="3">
        <v>0</v>
      </c>
      <c r="CM93" s="3">
        <v>0</v>
      </c>
      <c r="CN93" s="3">
        <f t="shared" si="79"/>
        <v>166.50722336416271</v>
      </c>
      <c r="CO93" s="3">
        <f t="shared" si="136"/>
        <v>324.7613111977775</v>
      </c>
      <c r="CP93" s="3">
        <v>0</v>
      </c>
      <c r="CQ93" s="3">
        <v>0</v>
      </c>
      <c r="CR93" s="3">
        <f t="shared" si="80"/>
        <v>324.7613111977775</v>
      </c>
      <c r="CS93" s="3">
        <f t="shared" si="137"/>
        <v>954.6252451314291</v>
      </c>
      <c r="CT93" s="3">
        <v>0</v>
      </c>
      <c r="CU93" s="3">
        <v>0</v>
      </c>
      <c r="CV93" s="3">
        <f t="shared" si="81"/>
        <v>954.6252451314291</v>
      </c>
      <c r="CW93" s="3">
        <f t="shared" si="138"/>
        <v>3169.7143669854709</v>
      </c>
      <c r="CX93" s="3">
        <v>0</v>
      </c>
      <c r="CY93" s="3">
        <v>0</v>
      </c>
      <c r="CZ93" s="3">
        <f t="shared" si="82"/>
        <v>3169.7143669854709</v>
      </c>
      <c r="DA93" s="3">
        <f t="shared" si="139"/>
        <v>216.00771038054501</v>
      </c>
      <c r="DB93" s="3">
        <v>0</v>
      </c>
      <c r="DC93" s="3">
        <v>0</v>
      </c>
      <c r="DD93" s="3">
        <f t="shared" si="83"/>
        <v>216.00771038054501</v>
      </c>
      <c r="DE93" s="3">
        <f t="shared" si="140"/>
        <v>36.413949269989452</v>
      </c>
      <c r="DF93" s="3">
        <v>0</v>
      </c>
      <c r="DG93" s="3">
        <v>0</v>
      </c>
      <c r="DH93" s="3">
        <f t="shared" si="84"/>
        <v>36.413949269989452</v>
      </c>
      <c r="DI93" s="3">
        <f t="shared" si="141"/>
        <v>0</v>
      </c>
      <c r="DJ93" s="3">
        <v>0</v>
      </c>
      <c r="DK93" s="3">
        <v>0</v>
      </c>
      <c r="DL93" s="3">
        <f t="shared" si="63"/>
        <v>0</v>
      </c>
      <c r="DM93" s="3">
        <f t="shared" si="142"/>
        <v>180.01172328161437</v>
      </c>
      <c r="DN93" s="3">
        <v>0</v>
      </c>
      <c r="DO93" s="3">
        <v>0</v>
      </c>
      <c r="DP93" s="3">
        <f t="shared" si="85"/>
        <v>180.01172328161437</v>
      </c>
      <c r="DQ93" s="3">
        <f t="shared" si="143"/>
        <v>379.94121585711275</v>
      </c>
      <c r="DR93" s="3">
        <v>0</v>
      </c>
      <c r="DS93" s="3">
        <v>0</v>
      </c>
      <c r="DT93" s="3">
        <f t="shared" si="89"/>
        <v>379.94121585711275</v>
      </c>
      <c r="DU93" s="3">
        <f t="shared" si="144"/>
        <v>1891.228869253322</v>
      </c>
      <c r="DV93" s="3">
        <v>0</v>
      </c>
      <c r="DW93" s="3">
        <v>0</v>
      </c>
      <c r="DX93" s="3">
        <f t="shared" si="86"/>
        <v>1891.228869253322</v>
      </c>
      <c r="DY93" s="3">
        <f t="shared" si="145"/>
        <v>6.4791408290022616</v>
      </c>
      <c r="DZ93" s="3">
        <v>0</v>
      </c>
      <c r="EA93" s="3">
        <v>0</v>
      </c>
      <c r="EB93" s="3">
        <f t="shared" si="87"/>
        <v>6.4791408290022616</v>
      </c>
      <c r="EC93" s="4">
        <f t="shared" si="146"/>
        <v>12869.999999999995</v>
      </c>
      <c r="ED93" s="5">
        <f t="shared" si="88"/>
        <v>0</v>
      </c>
      <c r="EE93" s="6">
        <f t="shared" si="118"/>
        <v>12869.999999999995</v>
      </c>
      <c r="EF93" s="6">
        <f t="shared" si="118"/>
        <v>0</v>
      </c>
      <c r="EG93" s="6">
        <f t="shared" si="118"/>
        <v>0</v>
      </c>
    </row>
    <row r="94" spans="1:137" ht="12" customHeight="1" x14ac:dyDescent="0.35">
      <c r="A94" s="34" t="s">
        <v>347</v>
      </c>
      <c r="B94" s="35">
        <v>3785</v>
      </c>
      <c r="C94" s="35" t="s">
        <v>348</v>
      </c>
      <c r="D94" s="35" t="s">
        <v>361</v>
      </c>
      <c r="E94" s="34">
        <v>150906</v>
      </c>
      <c r="F94" s="35">
        <v>1204848</v>
      </c>
      <c r="G94" s="8">
        <v>46115</v>
      </c>
      <c r="H94" s="8">
        <v>46132</v>
      </c>
      <c r="I94" s="36">
        <v>18</v>
      </c>
      <c r="J94" s="36">
        <v>1200293.82</v>
      </c>
      <c r="K94" s="36">
        <v>216052.88759999999</v>
      </c>
      <c r="L94" s="37"/>
      <c r="M94" s="37"/>
      <c r="N94" s="36">
        <v>216052.88759999999</v>
      </c>
      <c r="O94" s="36">
        <v>1416346.7076000001</v>
      </c>
      <c r="P94" s="35" t="s">
        <v>95</v>
      </c>
      <c r="Q94" s="34" t="s">
        <v>185</v>
      </c>
      <c r="R94" s="35" t="s">
        <v>112</v>
      </c>
      <c r="S94" s="35" t="s">
        <v>252</v>
      </c>
      <c r="T94" s="35" t="s">
        <v>253</v>
      </c>
      <c r="U94" s="35" t="s">
        <v>278</v>
      </c>
      <c r="V94" s="34">
        <v>997331</v>
      </c>
      <c r="W94" s="35" t="s">
        <v>415</v>
      </c>
      <c r="X94" s="34" t="s">
        <v>101</v>
      </c>
      <c r="Y94" s="35">
        <v>107</v>
      </c>
      <c r="Z94" s="35" t="s">
        <v>102</v>
      </c>
      <c r="AA94" t="s">
        <v>416</v>
      </c>
      <c r="AB94">
        <v>216052.88759999999</v>
      </c>
      <c r="AC94">
        <v>316877.57</v>
      </c>
      <c r="AD94" s="38">
        <v>-100825</v>
      </c>
      <c r="AE94" t="s">
        <v>104</v>
      </c>
      <c r="AF94" t="s">
        <v>73</v>
      </c>
      <c r="AG94" s="3">
        <f t="shared" si="119"/>
        <v>7999.2703292686701</v>
      </c>
      <c r="AH94" s="3">
        <v>0</v>
      </c>
      <c r="AI94" s="3">
        <v>0</v>
      </c>
      <c r="AJ94" s="3">
        <f t="shared" si="67"/>
        <v>7999.2703292686701</v>
      </c>
      <c r="AK94" s="3">
        <f t="shared" si="120"/>
        <v>66.564288324748773</v>
      </c>
      <c r="AL94" s="3">
        <v>0</v>
      </c>
      <c r="AM94" s="3">
        <v>0</v>
      </c>
      <c r="AN94" s="3">
        <f t="shared" si="68"/>
        <v>66.564288324748773</v>
      </c>
      <c r="AO94" s="3">
        <f t="shared" si="121"/>
        <v>3297.1392763574636</v>
      </c>
      <c r="AP94" s="3">
        <v>0</v>
      </c>
      <c r="AQ94" s="3">
        <v>0</v>
      </c>
      <c r="AR94" s="3">
        <f t="shared" si="69"/>
        <v>3297.1392763574636</v>
      </c>
      <c r="AS94" s="3">
        <f t="shared" si="122"/>
        <v>2887.0026626317149</v>
      </c>
      <c r="AT94" s="3">
        <v>0</v>
      </c>
      <c r="AU94" s="3">
        <v>0</v>
      </c>
      <c r="AV94" s="3">
        <f t="shared" si="70"/>
        <v>2887.0026626317149</v>
      </c>
      <c r="AW94" s="3">
        <f t="shared" si="123"/>
        <v>338.64423727863044</v>
      </c>
      <c r="AX94" s="3">
        <v>0</v>
      </c>
      <c r="AY94" s="3">
        <v>0</v>
      </c>
      <c r="AZ94" s="3">
        <f t="shared" si="71"/>
        <v>338.64423727863044</v>
      </c>
      <c r="BA94" s="3">
        <f t="shared" si="124"/>
        <v>3616.0576357475848</v>
      </c>
      <c r="BB94" s="3">
        <v>0</v>
      </c>
      <c r="BC94" s="3">
        <v>0</v>
      </c>
      <c r="BD94" s="3">
        <f t="shared" si="72"/>
        <v>3616.0576357475848</v>
      </c>
      <c r="BE94" s="3">
        <f t="shared" si="125"/>
        <v>15684.589732042616</v>
      </c>
      <c r="BF94" s="3">
        <f t="shared" si="126"/>
        <v>0</v>
      </c>
      <c r="BG94" s="3">
        <f t="shared" si="127"/>
        <v>0</v>
      </c>
      <c r="BH94" s="3">
        <f t="shared" si="64"/>
        <v>15684.589732042616</v>
      </c>
      <c r="BI94" s="3">
        <f t="shared" si="128"/>
        <v>9097.2047820356056</v>
      </c>
      <c r="BJ94" s="3">
        <v>0</v>
      </c>
      <c r="BK94" s="3">
        <v>0</v>
      </c>
      <c r="BL94" s="3">
        <f t="shared" si="65"/>
        <v>9097.2047820356056</v>
      </c>
      <c r="BM94" s="3">
        <f t="shared" si="129"/>
        <v>41772.594952425025</v>
      </c>
      <c r="BN94" s="3">
        <v>0</v>
      </c>
      <c r="BO94" s="3">
        <v>0</v>
      </c>
      <c r="BP94" s="3">
        <f t="shared" si="73"/>
        <v>41772.594952425025</v>
      </c>
      <c r="BQ94" s="3">
        <f t="shared" si="130"/>
        <v>3744.3822725387017</v>
      </c>
      <c r="BR94" s="3">
        <v>0</v>
      </c>
      <c r="BS94" s="3">
        <v>0</v>
      </c>
      <c r="BT94" s="3">
        <f t="shared" si="74"/>
        <v>3744.3822725387017</v>
      </c>
      <c r="BU94" s="3">
        <f t="shared" si="131"/>
        <v>594.17014646518646</v>
      </c>
      <c r="BV94" s="3">
        <v>0</v>
      </c>
      <c r="BW94" s="3">
        <v>0</v>
      </c>
      <c r="BX94" s="3">
        <f t="shared" si="75"/>
        <v>594.17014646518646</v>
      </c>
      <c r="BY94" s="3">
        <f t="shared" si="132"/>
        <v>1432.2446887119181</v>
      </c>
      <c r="BZ94" s="3">
        <v>0</v>
      </c>
      <c r="CA94" s="3">
        <v>0</v>
      </c>
      <c r="CB94" s="3">
        <f t="shared" si="76"/>
        <v>1432.2446887119181</v>
      </c>
      <c r="CC94" s="3">
        <f t="shared" si="133"/>
        <v>1185.7668601684798</v>
      </c>
      <c r="CD94" s="3">
        <v>0</v>
      </c>
      <c r="CE94" s="3">
        <v>0</v>
      </c>
      <c r="CF94" s="3">
        <f t="shared" si="77"/>
        <v>1185.7668601684798</v>
      </c>
      <c r="CG94" s="3">
        <f t="shared" si="134"/>
        <v>1358.4957203629206</v>
      </c>
      <c r="CH94" s="3">
        <v>0</v>
      </c>
      <c r="CI94" s="3">
        <v>0</v>
      </c>
      <c r="CJ94" s="3">
        <f t="shared" si="78"/>
        <v>1358.4957203629206</v>
      </c>
      <c r="CK94" s="3">
        <f t="shared" si="135"/>
        <v>2795.2110655855117</v>
      </c>
      <c r="CL94" s="3">
        <v>0</v>
      </c>
      <c r="CM94" s="3">
        <v>0</v>
      </c>
      <c r="CN94" s="3">
        <f t="shared" si="79"/>
        <v>2795.2110655855117</v>
      </c>
      <c r="CO94" s="3">
        <f t="shared" si="136"/>
        <v>5451.8740532278198</v>
      </c>
      <c r="CP94" s="3">
        <v>0</v>
      </c>
      <c r="CQ94" s="3">
        <v>0</v>
      </c>
      <c r="CR94" s="3">
        <f t="shared" si="80"/>
        <v>5451.8740532278198</v>
      </c>
      <c r="CS94" s="3">
        <f t="shared" si="137"/>
        <v>16025.605344716636</v>
      </c>
      <c r="CT94" s="3">
        <v>0</v>
      </c>
      <c r="CU94" s="3">
        <v>0</v>
      </c>
      <c r="CV94" s="3">
        <f t="shared" si="81"/>
        <v>16025.605344716636</v>
      </c>
      <c r="CW94" s="3">
        <f t="shared" si="138"/>
        <v>53211.028893117102</v>
      </c>
      <c r="CX94" s="3">
        <v>0</v>
      </c>
      <c r="CY94" s="3">
        <v>0</v>
      </c>
      <c r="CZ94" s="3">
        <f t="shared" si="82"/>
        <v>53211.028893117102</v>
      </c>
      <c r="DA94" s="3">
        <f t="shared" si="139"/>
        <v>3626.1918859037487</v>
      </c>
      <c r="DB94" s="3">
        <v>0</v>
      </c>
      <c r="DC94" s="3">
        <v>0</v>
      </c>
      <c r="DD94" s="3">
        <f t="shared" si="83"/>
        <v>3626.1918859037487</v>
      </c>
      <c r="DE94" s="3">
        <f t="shared" si="140"/>
        <v>611.29284294492084</v>
      </c>
      <c r="DF94" s="3">
        <v>0</v>
      </c>
      <c r="DG94" s="3">
        <v>0</v>
      </c>
      <c r="DH94" s="3">
        <f t="shared" si="84"/>
        <v>611.29284294492084</v>
      </c>
      <c r="DI94" s="3">
        <f t="shared" si="141"/>
        <v>0</v>
      </c>
      <c r="DJ94" s="3">
        <v>0</v>
      </c>
      <c r="DK94" s="3">
        <v>0</v>
      </c>
      <c r="DL94" s="3">
        <f t="shared" si="63"/>
        <v>0</v>
      </c>
      <c r="DM94" s="3">
        <f t="shared" si="142"/>
        <v>3021.9155102443615</v>
      </c>
      <c r="DN94" s="3">
        <v>0</v>
      </c>
      <c r="DO94" s="3">
        <v>0</v>
      </c>
      <c r="DP94" s="3">
        <f t="shared" si="85"/>
        <v>3021.9155102443615</v>
      </c>
      <c r="DQ94" s="3">
        <f t="shared" si="143"/>
        <v>6378.197109882216</v>
      </c>
      <c r="DR94" s="3">
        <v>0</v>
      </c>
      <c r="DS94" s="3">
        <v>0</v>
      </c>
      <c r="DT94" s="3">
        <f t="shared" si="89"/>
        <v>6378.197109882216</v>
      </c>
      <c r="DU94" s="3">
        <f t="shared" si="144"/>
        <v>31748.675859725179</v>
      </c>
      <c r="DV94" s="3">
        <v>0</v>
      </c>
      <c r="DW94" s="3">
        <v>0</v>
      </c>
      <c r="DX94" s="3">
        <f t="shared" si="86"/>
        <v>31748.675859725179</v>
      </c>
      <c r="DY94" s="3">
        <f t="shared" si="145"/>
        <v>108.76745029316211</v>
      </c>
      <c r="DZ94" s="3">
        <v>0</v>
      </c>
      <c r="EA94" s="3">
        <v>0</v>
      </c>
      <c r="EB94" s="3">
        <f t="shared" si="87"/>
        <v>108.76745029316211</v>
      </c>
      <c r="EC94" s="4">
        <f t="shared" si="146"/>
        <v>216052.8875999999</v>
      </c>
      <c r="ED94" s="5">
        <f t="shared" si="88"/>
        <v>0</v>
      </c>
      <c r="EE94" s="6">
        <f t="shared" si="118"/>
        <v>216052.8875999999</v>
      </c>
      <c r="EF94" s="6">
        <f t="shared" si="118"/>
        <v>0</v>
      </c>
      <c r="EG94" s="6">
        <f t="shared" si="118"/>
        <v>0</v>
      </c>
    </row>
    <row r="95" spans="1:137" ht="12" customHeight="1" x14ac:dyDescent="0.35">
      <c r="A95" s="34" t="s">
        <v>347</v>
      </c>
      <c r="B95" s="35">
        <v>3785</v>
      </c>
      <c r="C95" s="35" t="s">
        <v>348</v>
      </c>
      <c r="D95" s="35" t="s">
        <v>361</v>
      </c>
      <c r="E95" s="34">
        <v>150906</v>
      </c>
      <c r="F95" s="35">
        <v>1204848</v>
      </c>
      <c r="G95" s="8">
        <v>46115</v>
      </c>
      <c r="H95" s="8">
        <v>46132</v>
      </c>
      <c r="I95" s="36">
        <v>18</v>
      </c>
      <c r="J95" s="36">
        <v>560137.11</v>
      </c>
      <c r="K95" s="36">
        <v>100824.6798</v>
      </c>
      <c r="L95" s="37"/>
      <c r="M95" s="37"/>
      <c r="N95" s="36">
        <v>100824.6798</v>
      </c>
      <c r="O95" s="36">
        <v>660961.78980000003</v>
      </c>
      <c r="P95" s="35" t="s">
        <v>95</v>
      </c>
      <c r="Q95" s="34" t="s">
        <v>185</v>
      </c>
      <c r="R95" s="35" t="s">
        <v>112</v>
      </c>
      <c r="S95" s="35" t="s">
        <v>252</v>
      </c>
      <c r="T95" s="35" t="s">
        <v>253</v>
      </c>
      <c r="U95" s="35" t="s">
        <v>278</v>
      </c>
      <c r="V95" s="34">
        <v>997331</v>
      </c>
      <c r="W95" s="35" t="s">
        <v>417</v>
      </c>
      <c r="X95" s="34" t="s">
        <v>101</v>
      </c>
      <c r="Y95" s="35">
        <v>107</v>
      </c>
      <c r="Z95" s="35" t="s">
        <v>102</v>
      </c>
      <c r="AA95" t="s">
        <v>416</v>
      </c>
      <c r="AB95">
        <v>100824.6798</v>
      </c>
      <c r="AC95">
        <v>316877.57</v>
      </c>
      <c r="AD95" s="38">
        <v>-216053</v>
      </c>
      <c r="AE95" t="s">
        <v>104</v>
      </c>
      <c r="AF95" t="s">
        <v>73</v>
      </c>
      <c r="AG95" s="3">
        <f t="shared" si="119"/>
        <v>3732.9927803388186</v>
      </c>
      <c r="AH95" s="3">
        <v>0</v>
      </c>
      <c r="AI95" s="3">
        <v>0</v>
      </c>
      <c r="AJ95" s="3">
        <f t="shared" si="67"/>
        <v>3732.9927803388186</v>
      </c>
      <c r="AK95" s="3">
        <f t="shared" si="120"/>
        <v>31.063334218809459</v>
      </c>
      <c r="AL95" s="3">
        <v>0</v>
      </c>
      <c r="AM95" s="3">
        <v>0</v>
      </c>
      <c r="AN95" s="3">
        <f t="shared" si="68"/>
        <v>31.063334218809459</v>
      </c>
      <c r="AO95" s="3">
        <f t="shared" si="121"/>
        <v>1538.6649791518221</v>
      </c>
      <c r="AP95" s="3">
        <v>0</v>
      </c>
      <c r="AQ95" s="3">
        <v>0</v>
      </c>
      <c r="AR95" s="3">
        <f t="shared" si="69"/>
        <v>1538.6649791518221</v>
      </c>
      <c r="AS95" s="3">
        <f t="shared" si="122"/>
        <v>1347.2678947966538</v>
      </c>
      <c r="AT95" s="3">
        <v>0</v>
      </c>
      <c r="AU95" s="3">
        <v>0</v>
      </c>
      <c r="AV95" s="3">
        <f t="shared" si="70"/>
        <v>1347.2678947966538</v>
      </c>
      <c r="AW95" s="3">
        <f t="shared" si="123"/>
        <v>158.03397570388751</v>
      </c>
      <c r="AX95" s="3">
        <v>0</v>
      </c>
      <c r="AY95" s="3">
        <v>0</v>
      </c>
      <c r="AZ95" s="3">
        <f t="shared" si="71"/>
        <v>158.03397570388751</v>
      </c>
      <c r="BA95" s="3">
        <f t="shared" si="124"/>
        <v>1687.4935452730108</v>
      </c>
      <c r="BB95" s="3">
        <v>0</v>
      </c>
      <c r="BC95" s="3">
        <v>0</v>
      </c>
      <c r="BD95" s="3">
        <f t="shared" si="72"/>
        <v>1687.4935452730108</v>
      </c>
      <c r="BE95" s="3">
        <f t="shared" si="125"/>
        <v>7319.4751298828032</v>
      </c>
      <c r="BF95" s="3">
        <f t="shared" si="126"/>
        <v>0</v>
      </c>
      <c r="BG95" s="3">
        <f t="shared" si="127"/>
        <v>0</v>
      </c>
      <c r="BH95" s="3">
        <f t="shared" si="64"/>
        <v>7319.4751298828032</v>
      </c>
      <c r="BI95" s="3">
        <f t="shared" si="128"/>
        <v>4245.3621861417269</v>
      </c>
      <c r="BJ95" s="3">
        <v>0</v>
      </c>
      <c r="BK95" s="3">
        <v>0</v>
      </c>
      <c r="BL95" s="3">
        <f t="shared" si="65"/>
        <v>4245.3621861417269</v>
      </c>
      <c r="BM95" s="3">
        <f t="shared" si="129"/>
        <v>19493.877435653165</v>
      </c>
      <c r="BN95" s="3">
        <v>0</v>
      </c>
      <c r="BO95" s="3">
        <v>0</v>
      </c>
      <c r="BP95" s="3">
        <f t="shared" si="73"/>
        <v>19493.877435653165</v>
      </c>
      <c r="BQ95" s="3">
        <f t="shared" si="130"/>
        <v>1747.3783751340657</v>
      </c>
      <c r="BR95" s="3">
        <v>0</v>
      </c>
      <c r="BS95" s="3">
        <v>0</v>
      </c>
      <c r="BT95" s="3">
        <f t="shared" si="74"/>
        <v>1747.3783751340657</v>
      </c>
      <c r="BU95" s="3">
        <f t="shared" si="131"/>
        <v>277.2793987136302</v>
      </c>
      <c r="BV95" s="3">
        <v>0</v>
      </c>
      <c r="BW95" s="3">
        <v>0</v>
      </c>
      <c r="BX95" s="3">
        <f t="shared" si="75"/>
        <v>277.2793987136302</v>
      </c>
      <c r="BY95" s="3">
        <f t="shared" si="132"/>
        <v>668.38084757275806</v>
      </c>
      <c r="BZ95" s="3">
        <v>0</v>
      </c>
      <c r="CA95" s="3">
        <v>0</v>
      </c>
      <c r="CB95" s="3">
        <f t="shared" si="76"/>
        <v>668.38084757275806</v>
      </c>
      <c r="CC95" s="3">
        <f t="shared" si="133"/>
        <v>553.35786215124085</v>
      </c>
      <c r="CD95" s="3">
        <v>0</v>
      </c>
      <c r="CE95" s="3">
        <v>0</v>
      </c>
      <c r="CF95" s="3">
        <f t="shared" si="77"/>
        <v>553.35786215124085</v>
      </c>
      <c r="CG95" s="3">
        <f t="shared" si="134"/>
        <v>633.96466271188046</v>
      </c>
      <c r="CH95" s="3">
        <v>0</v>
      </c>
      <c r="CI95" s="3">
        <v>0</v>
      </c>
      <c r="CJ95" s="3">
        <f t="shared" si="78"/>
        <v>633.96466271188046</v>
      </c>
      <c r="CK95" s="3">
        <f t="shared" si="135"/>
        <v>1304.4318166339381</v>
      </c>
      <c r="CL95" s="3">
        <v>0</v>
      </c>
      <c r="CM95" s="3">
        <v>0</v>
      </c>
      <c r="CN95" s="3">
        <f t="shared" si="79"/>
        <v>1304.4318166339381</v>
      </c>
      <c r="CO95" s="3">
        <f t="shared" si="136"/>
        <v>2544.2078642536185</v>
      </c>
      <c r="CP95" s="3">
        <v>0</v>
      </c>
      <c r="CQ95" s="3">
        <v>0</v>
      </c>
      <c r="CR95" s="3">
        <f t="shared" si="80"/>
        <v>2544.2078642536185</v>
      </c>
      <c r="CS95" s="3">
        <f t="shared" si="137"/>
        <v>7478.615747426019</v>
      </c>
      <c r="CT95" s="3">
        <v>0</v>
      </c>
      <c r="CU95" s="3">
        <v>0</v>
      </c>
      <c r="CV95" s="3">
        <f t="shared" si="81"/>
        <v>7478.615747426019</v>
      </c>
      <c r="CW95" s="3">
        <f t="shared" si="138"/>
        <v>24831.813217464631</v>
      </c>
      <c r="CX95" s="3">
        <v>0</v>
      </c>
      <c r="CY95" s="3">
        <v>0</v>
      </c>
      <c r="CZ95" s="3">
        <f t="shared" si="82"/>
        <v>24831.813217464631</v>
      </c>
      <c r="DA95" s="3">
        <f t="shared" si="139"/>
        <v>1692.222861961895</v>
      </c>
      <c r="DB95" s="3">
        <v>0</v>
      </c>
      <c r="DC95" s="3">
        <v>0</v>
      </c>
      <c r="DD95" s="3">
        <f t="shared" si="83"/>
        <v>1692.222861961895</v>
      </c>
      <c r="DE95" s="3">
        <f t="shared" si="140"/>
        <v>285.26999031858043</v>
      </c>
      <c r="DF95" s="3">
        <v>0</v>
      </c>
      <c r="DG95" s="3">
        <v>0</v>
      </c>
      <c r="DH95" s="3">
        <f t="shared" si="84"/>
        <v>285.26999031858043</v>
      </c>
      <c r="DI95" s="3">
        <f t="shared" si="141"/>
        <v>0</v>
      </c>
      <c r="DJ95" s="3">
        <v>0</v>
      </c>
      <c r="DK95" s="3">
        <v>0</v>
      </c>
      <c r="DL95" s="3">
        <f t="shared" si="63"/>
        <v>0</v>
      </c>
      <c r="DM95" s="3">
        <f t="shared" si="142"/>
        <v>1410.2272230081564</v>
      </c>
      <c r="DN95" s="3">
        <v>0</v>
      </c>
      <c r="DO95" s="3">
        <v>0</v>
      </c>
      <c r="DP95" s="3">
        <f t="shared" si="85"/>
        <v>1410.2272230081564</v>
      </c>
      <c r="DQ95" s="3">
        <f t="shared" si="143"/>
        <v>2976.4919527285215</v>
      </c>
      <c r="DR95" s="3">
        <v>0</v>
      </c>
      <c r="DS95" s="3">
        <v>0</v>
      </c>
      <c r="DT95" s="3">
        <f t="shared" si="89"/>
        <v>2976.4919527285215</v>
      </c>
      <c r="DU95" s="3">
        <f t="shared" si="144"/>
        <v>14816.048575833896</v>
      </c>
      <c r="DV95" s="3">
        <v>0</v>
      </c>
      <c r="DW95" s="3">
        <v>0</v>
      </c>
      <c r="DX95" s="3">
        <f t="shared" si="86"/>
        <v>14816.048575833896</v>
      </c>
      <c r="DY95" s="3">
        <f t="shared" si="145"/>
        <v>50.758142926438204</v>
      </c>
      <c r="DZ95" s="3">
        <v>0</v>
      </c>
      <c r="EA95" s="3">
        <v>0</v>
      </c>
      <c r="EB95" s="3">
        <f t="shared" si="87"/>
        <v>50.758142926438204</v>
      </c>
      <c r="EC95" s="4">
        <f t="shared" si="146"/>
        <v>100824.67979999998</v>
      </c>
      <c r="ED95" s="5">
        <f t="shared" si="88"/>
        <v>0</v>
      </c>
      <c r="EE95" s="6">
        <f t="shared" si="118"/>
        <v>100824.67979999998</v>
      </c>
      <c r="EF95" s="6">
        <f t="shared" si="118"/>
        <v>0</v>
      </c>
      <c r="EG95" s="6">
        <f t="shared" si="118"/>
        <v>0</v>
      </c>
    </row>
    <row r="96" spans="1:137" ht="12" customHeight="1" x14ac:dyDescent="0.35">
      <c r="A96" s="34" t="s">
        <v>347</v>
      </c>
      <c r="B96" s="35">
        <v>3785</v>
      </c>
      <c r="C96" s="35" t="s">
        <v>348</v>
      </c>
      <c r="D96" s="35" t="s">
        <v>361</v>
      </c>
      <c r="E96" s="34">
        <v>150906</v>
      </c>
      <c r="F96" s="35">
        <v>1204539</v>
      </c>
      <c r="G96" s="8">
        <v>46115</v>
      </c>
      <c r="H96" s="8">
        <v>46132</v>
      </c>
      <c r="I96" s="36">
        <v>18</v>
      </c>
      <c r="J96" s="36">
        <v>1440986.72</v>
      </c>
      <c r="K96" s="36">
        <v>259377.6096</v>
      </c>
      <c r="L96" s="37"/>
      <c r="M96" s="37"/>
      <c r="N96" s="36">
        <v>259377.6096</v>
      </c>
      <c r="O96" s="36">
        <v>1700364.3296000001</v>
      </c>
      <c r="P96" s="35" t="s">
        <v>95</v>
      </c>
      <c r="Q96" s="34" t="s">
        <v>185</v>
      </c>
      <c r="R96" s="35" t="s">
        <v>112</v>
      </c>
      <c r="S96" s="35" t="s">
        <v>252</v>
      </c>
      <c r="T96" s="35" t="s">
        <v>253</v>
      </c>
      <c r="U96" s="35" t="s">
        <v>278</v>
      </c>
      <c r="V96" s="34">
        <v>997331</v>
      </c>
      <c r="W96" s="35" t="s">
        <v>415</v>
      </c>
      <c r="X96" s="34" t="s">
        <v>101</v>
      </c>
      <c r="Y96" s="35">
        <v>107</v>
      </c>
      <c r="Z96" s="35" t="s">
        <v>102</v>
      </c>
      <c r="AA96" t="s">
        <v>418</v>
      </c>
      <c r="AB96">
        <v>259377.6096</v>
      </c>
      <c r="AC96">
        <v>380420.49</v>
      </c>
      <c r="AD96" s="38">
        <v>-121043</v>
      </c>
      <c r="AE96" t="s">
        <v>104</v>
      </c>
      <c r="AF96" t="s">
        <v>73</v>
      </c>
      <c r="AG96" s="3">
        <f t="shared" si="119"/>
        <v>9603.3505480901185</v>
      </c>
      <c r="AH96" s="3">
        <v>0</v>
      </c>
      <c r="AI96" s="3">
        <v>0</v>
      </c>
      <c r="AJ96" s="3">
        <f t="shared" si="67"/>
        <v>9603.3505480901185</v>
      </c>
      <c r="AK96" s="3">
        <f t="shared" si="120"/>
        <v>79.912313055326763</v>
      </c>
      <c r="AL96" s="3">
        <v>0</v>
      </c>
      <c r="AM96" s="3">
        <v>0</v>
      </c>
      <c r="AN96" s="3">
        <f t="shared" si="68"/>
        <v>79.912313055326763</v>
      </c>
      <c r="AO96" s="3">
        <f t="shared" si="121"/>
        <v>3958.3090673761153</v>
      </c>
      <c r="AP96" s="3">
        <v>0</v>
      </c>
      <c r="AQ96" s="3">
        <v>0</v>
      </c>
      <c r="AR96" s="3">
        <f t="shared" si="69"/>
        <v>3958.3090673761153</v>
      </c>
      <c r="AS96" s="3">
        <f t="shared" si="122"/>
        <v>3465.92844863347</v>
      </c>
      <c r="AT96" s="3">
        <v>0</v>
      </c>
      <c r="AU96" s="3">
        <v>0</v>
      </c>
      <c r="AV96" s="3">
        <f t="shared" si="70"/>
        <v>3465.92844863347</v>
      </c>
      <c r="AW96" s="3">
        <f t="shared" si="123"/>
        <v>406.55199634622414</v>
      </c>
      <c r="AX96" s="3">
        <v>0</v>
      </c>
      <c r="AY96" s="3">
        <v>0</v>
      </c>
      <c r="AZ96" s="3">
        <f t="shared" si="71"/>
        <v>406.55199634622414</v>
      </c>
      <c r="BA96" s="3">
        <f t="shared" si="124"/>
        <v>4341.179588733421</v>
      </c>
      <c r="BB96" s="3">
        <v>0</v>
      </c>
      <c r="BC96" s="3">
        <v>0</v>
      </c>
      <c r="BD96" s="3">
        <f t="shared" si="72"/>
        <v>4341.179588733421</v>
      </c>
      <c r="BE96" s="3">
        <f t="shared" si="125"/>
        <v>18829.794118678186</v>
      </c>
      <c r="BF96" s="3">
        <f t="shared" si="126"/>
        <v>0</v>
      </c>
      <c r="BG96" s="3">
        <f t="shared" si="127"/>
        <v>0</v>
      </c>
      <c r="BH96" s="3">
        <f t="shared" si="64"/>
        <v>18829.794118678186</v>
      </c>
      <c r="BI96" s="3">
        <f t="shared" si="128"/>
        <v>10921.451949185079</v>
      </c>
      <c r="BJ96" s="3">
        <v>0</v>
      </c>
      <c r="BK96" s="3">
        <v>0</v>
      </c>
      <c r="BL96" s="3">
        <f t="shared" si="65"/>
        <v>10921.451949185079</v>
      </c>
      <c r="BM96" s="3">
        <f t="shared" si="129"/>
        <v>50149.183127830729</v>
      </c>
      <c r="BN96" s="3">
        <v>0</v>
      </c>
      <c r="BO96" s="3">
        <v>0</v>
      </c>
      <c r="BP96" s="3">
        <f t="shared" si="73"/>
        <v>50149.183127830729</v>
      </c>
      <c r="BQ96" s="3">
        <f t="shared" si="130"/>
        <v>4495.2369490094434</v>
      </c>
      <c r="BR96" s="3">
        <v>0</v>
      </c>
      <c r="BS96" s="3">
        <v>0</v>
      </c>
      <c r="BT96" s="3">
        <f t="shared" si="74"/>
        <v>4495.2369490094434</v>
      </c>
      <c r="BU96" s="3">
        <f t="shared" si="131"/>
        <v>713.31808613060139</v>
      </c>
      <c r="BV96" s="3">
        <v>0</v>
      </c>
      <c r="BW96" s="3">
        <v>0</v>
      </c>
      <c r="BX96" s="3">
        <f t="shared" si="75"/>
        <v>713.31808613060139</v>
      </c>
      <c r="BY96" s="3">
        <f t="shared" si="132"/>
        <v>1719.4503061128885</v>
      </c>
      <c r="BZ96" s="3">
        <v>0</v>
      </c>
      <c r="CA96" s="3">
        <v>0</v>
      </c>
      <c r="CB96" s="3">
        <f t="shared" si="76"/>
        <v>1719.4503061128885</v>
      </c>
      <c r="CC96" s="3">
        <f t="shared" si="133"/>
        <v>1423.5466933578616</v>
      </c>
      <c r="CD96" s="3">
        <v>0</v>
      </c>
      <c r="CE96" s="3">
        <v>0</v>
      </c>
      <c r="CF96" s="3">
        <f t="shared" si="77"/>
        <v>1423.5466933578616</v>
      </c>
      <c r="CG96" s="3">
        <f t="shared" si="134"/>
        <v>1630.9125812376524</v>
      </c>
      <c r="CH96" s="3">
        <v>0</v>
      </c>
      <c r="CI96" s="3">
        <v>0</v>
      </c>
      <c r="CJ96" s="3">
        <f t="shared" si="78"/>
        <v>1630.9125812376524</v>
      </c>
      <c r="CK96" s="3">
        <f t="shared" si="135"/>
        <v>3355.7300370885619</v>
      </c>
      <c r="CL96" s="3">
        <v>0</v>
      </c>
      <c r="CM96" s="3">
        <v>0</v>
      </c>
      <c r="CN96" s="3">
        <f t="shared" si="79"/>
        <v>3355.7300370885619</v>
      </c>
      <c r="CO96" s="3">
        <f t="shared" si="136"/>
        <v>6545.1291832976876</v>
      </c>
      <c r="CP96" s="3">
        <v>0</v>
      </c>
      <c r="CQ96" s="3">
        <v>0</v>
      </c>
      <c r="CR96" s="3">
        <f t="shared" si="80"/>
        <v>6545.1291832976876</v>
      </c>
      <c r="CS96" s="3">
        <f t="shared" si="137"/>
        <v>19239.193018337541</v>
      </c>
      <c r="CT96" s="3">
        <v>0</v>
      </c>
      <c r="CU96" s="3">
        <v>0</v>
      </c>
      <c r="CV96" s="3">
        <f t="shared" si="81"/>
        <v>19239.193018337541</v>
      </c>
      <c r="CW96" s="3">
        <f t="shared" si="138"/>
        <v>63881.346979290494</v>
      </c>
      <c r="CX96" s="3">
        <v>0</v>
      </c>
      <c r="CY96" s="3">
        <v>0</v>
      </c>
      <c r="CZ96" s="3">
        <f t="shared" si="82"/>
        <v>63881.346979290494</v>
      </c>
      <c r="DA96" s="3">
        <f t="shared" si="139"/>
        <v>4353.3460430205805</v>
      </c>
      <c r="DB96" s="3">
        <v>0</v>
      </c>
      <c r="DC96" s="3">
        <v>0</v>
      </c>
      <c r="DD96" s="3">
        <f t="shared" si="83"/>
        <v>4353.3460430205805</v>
      </c>
      <c r="DE96" s="3">
        <f t="shared" si="140"/>
        <v>733.87436812319561</v>
      </c>
      <c r="DF96" s="3">
        <v>0</v>
      </c>
      <c r="DG96" s="3">
        <v>0</v>
      </c>
      <c r="DH96" s="3">
        <f t="shared" si="84"/>
        <v>733.87436812319561</v>
      </c>
      <c r="DI96" s="3">
        <f t="shared" si="141"/>
        <v>0</v>
      </c>
      <c r="DJ96" s="3">
        <v>0</v>
      </c>
      <c r="DK96" s="3">
        <v>0</v>
      </c>
      <c r="DL96" s="3">
        <f t="shared" si="63"/>
        <v>0</v>
      </c>
      <c r="DM96" s="3">
        <f t="shared" si="142"/>
        <v>3627.8951425611344</v>
      </c>
      <c r="DN96" s="3">
        <v>0</v>
      </c>
      <c r="DO96" s="3">
        <v>0</v>
      </c>
      <c r="DP96" s="3">
        <f t="shared" si="85"/>
        <v>3627.8951425611344</v>
      </c>
      <c r="DQ96" s="3">
        <f t="shared" si="143"/>
        <v>7657.2062437867535</v>
      </c>
      <c r="DR96" s="3">
        <v>0</v>
      </c>
      <c r="DS96" s="3">
        <v>0</v>
      </c>
      <c r="DT96" s="3">
        <f t="shared" si="89"/>
        <v>7657.2062437867535</v>
      </c>
      <c r="DU96" s="3">
        <f t="shared" si="144"/>
        <v>38115.184406638509</v>
      </c>
      <c r="DV96" s="3">
        <v>0</v>
      </c>
      <c r="DW96" s="3">
        <v>0</v>
      </c>
      <c r="DX96" s="3">
        <f t="shared" si="86"/>
        <v>38115.184406638509</v>
      </c>
      <c r="DY96" s="3">
        <f t="shared" si="145"/>
        <v>130.57840407835036</v>
      </c>
      <c r="DZ96" s="3">
        <v>0</v>
      </c>
      <c r="EA96" s="3">
        <v>0</v>
      </c>
      <c r="EB96" s="3">
        <f t="shared" si="87"/>
        <v>130.57840407835036</v>
      </c>
      <c r="EC96" s="4">
        <f t="shared" si="146"/>
        <v>259377.60959999994</v>
      </c>
      <c r="ED96" s="5">
        <f t="shared" si="88"/>
        <v>0</v>
      </c>
      <c r="EE96" s="6">
        <f t="shared" si="118"/>
        <v>259377.60959999994</v>
      </c>
      <c r="EF96" s="6">
        <f t="shared" si="118"/>
        <v>0</v>
      </c>
      <c r="EG96" s="6">
        <f t="shared" si="118"/>
        <v>0</v>
      </c>
    </row>
    <row r="97" spans="1:137" ht="12" customHeight="1" x14ac:dyDescent="0.35">
      <c r="A97" s="34" t="s">
        <v>347</v>
      </c>
      <c r="B97" s="35">
        <v>3785</v>
      </c>
      <c r="C97" s="35" t="s">
        <v>348</v>
      </c>
      <c r="D97" s="35" t="s">
        <v>361</v>
      </c>
      <c r="E97" s="34">
        <v>150906</v>
      </c>
      <c r="F97" s="35">
        <v>1204539</v>
      </c>
      <c r="G97" s="8">
        <v>46115</v>
      </c>
      <c r="H97" s="8">
        <v>46132</v>
      </c>
      <c r="I97" s="36">
        <v>18</v>
      </c>
      <c r="J97" s="36">
        <v>672460.47</v>
      </c>
      <c r="K97" s="36">
        <v>121042.8846</v>
      </c>
      <c r="L97" s="37"/>
      <c r="M97" s="37"/>
      <c r="N97" s="36">
        <v>121042.8846</v>
      </c>
      <c r="O97" s="36">
        <v>793503.35459999996</v>
      </c>
      <c r="P97" s="35" t="s">
        <v>95</v>
      </c>
      <c r="Q97" s="34" t="s">
        <v>185</v>
      </c>
      <c r="R97" s="35" t="s">
        <v>112</v>
      </c>
      <c r="S97" s="35" t="s">
        <v>252</v>
      </c>
      <c r="T97" s="35" t="s">
        <v>253</v>
      </c>
      <c r="U97" s="35" t="s">
        <v>278</v>
      </c>
      <c r="V97" s="34">
        <v>997331</v>
      </c>
      <c r="W97" s="35" t="s">
        <v>419</v>
      </c>
      <c r="X97" s="34" t="s">
        <v>101</v>
      </c>
      <c r="Y97" s="35">
        <v>107</v>
      </c>
      <c r="Z97" s="35" t="s">
        <v>102</v>
      </c>
      <c r="AA97" t="s">
        <v>418</v>
      </c>
      <c r="AB97">
        <v>121042.8846</v>
      </c>
      <c r="AC97">
        <v>380420.49</v>
      </c>
      <c r="AD97" s="38">
        <v>-259378</v>
      </c>
      <c r="AE97" t="s">
        <v>104</v>
      </c>
      <c r="AF97" t="s">
        <v>73</v>
      </c>
      <c r="AG97" s="3">
        <f t="shared" si="119"/>
        <v>4481.5635935516739</v>
      </c>
      <c r="AH97" s="3">
        <v>0</v>
      </c>
      <c r="AI97" s="3">
        <v>0</v>
      </c>
      <c r="AJ97" s="3">
        <f t="shared" si="67"/>
        <v>4481.5635935516739</v>
      </c>
      <c r="AK97" s="3">
        <f t="shared" si="120"/>
        <v>37.2924127961236</v>
      </c>
      <c r="AL97" s="3">
        <v>0</v>
      </c>
      <c r="AM97" s="3">
        <v>0</v>
      </c>
      <c r="AN97" s="3">
        <f t="shared" si="68"/>
        <v>37.2924127961236</v>
      </c>
      <c r="AO97" s="3">
        <f t="shared" si="121"/>
        <v>1847.2108999401496</v>
      </c>
      <c r="AP97" s="3">
        <v>0</v>
      </c>
      <c r="AQ97" s="3">
        <v>0</v>
      </c>
      <c r="AR97" s="3">
        <f t="shared" si="69"/>
        <v>1847.2108999401496</v>
      </c>
      <c r="AS97" s="3">
        <f t="shared" si="122"/>
        <v>1617.4332776324504</v>
      </c>
      <c r="AT97" s="3">
        <v>0</v>
      </c>
      <c r="AU97" s="3">
        <v>0</v>
      </c>
      <c r="AV97" s="3">
        <f t="shared" si="70"/>
        <v>1617.4332776324504</v>
      </c>
      <c r="AW97" s="3">
        <f t="shared" si="123"/>
        <v>189.72426514966091</v>
      </c>
      <c r="AX97" s="3">
        <v>0</v>
      </c>
      <c r="AY97" s="3">
        <v>0</v>
      </c>
      <c r="AZ97" s="3">
        <f t="shared" si="71"/>
        <v>189.72426514966091</v>
      </c>
      <c r="BA97" s="3">
        <f t="shared" si="124"/>
        <v>2025.8838100840258</v>
      </c>
      <c r="BB97" s="3">
        <v>0</v>
      </c>
      <c r="BC97" s="3">
        <v>0</v>
      </c>
      <c r="BD97" s="3">
        <f t="shared" si="72"/>
        <v>2025.8838100840258</v>
      </c>
      <c r="BE97" s="3">
        <f t="shared" si="125"/>
        <v>8787.2372640946814</v>
      </c>
      <c r="BF97" s="3">
        <f t="shared" si="126"/>
        <v>0</v>
      </c>
      <c r="BG97" s="3">
        <f t="shared" si="127"/>
        <v>0</v>
      </c>
      <c r="BH97" s="3">
        <f t="shared" si="64"/>
        <v>8787.2372640946814</v>
      </c>
      <c r="BI97" s="3">
        <f t="shared" si="128"/>
        <v>5096.6775813391359</v>
      </c>
      <c r="BJ97" s="3">
        <v>0</v>
      </c>
      <c r="BK97" s="3">
        <v>0</v>
      </c>
      <c r="BL97" s="3">
        <f t="shared" si="65"/>
        <v>5096.6775813391359</v>
      </c>
      <c r="BM97" s="3">
        <f t="shared" si="129"/>
        <v>23402.952149522323</v>
      </c>
      <c r="BN97" s="3">
        <v>0</v>
      </c>
      <c r="BO97" s="3">
        <v>0</v>
      </c>
      <c r="BP97" s="3">
        <f t="shared" si="73"/>
        <v>23402.952149522323</v>
      </c>
      <c r="BQ97" s="3">
        <f t="shared" si="130"/>
        <v>2097.777244950777</v>
      </c>
      <c r="BR97" s="3">
        <v>0</v>
      </c>
      <c r="BS97" s="3">
        <v>0</v>
      </c>
      <c r="BT97" s="3">
        <f t="shared" si="74"/>
        <v>2097.777244950777</v>
      </c>
      <c r="BU97" s="3">
        <f t="shared" si="131"/>
        <v>332.88177385762771</v>
      </c>
      <c r="BV97" s="3">
        <v>0</v>
      </c>
      <c r="BW97" s="3">
        <v>0</v>
      </c>
      <c r="BX97" s="3">
        <f t="shared" si="75"/>
        <v>332.88177385762771</v>
      </c>
      <c r="BY97" s="3">
        <f t="shared" si="132"/>
        <v>802.41014364817806</v>
      </c>
      <c r="BZ97" s="3">
        <v>0</v>
      </c>
      <c r="CA97" s="3">
        <v>0</v>
      </c>
      <c r="CB97" s="3">
        <f t="shared" si="76"/>
        <v>802.41014364817806</v>
      </c>
      <c r="CC97" s="3">
        <f t="shared" si="133"/>
        <v>664.3217908922669</v>
      </c>
      <c r="CD97" s="3">
        <v>0</v>
      </c>
      <c r="CE97" s="3">
        <v>0</v>
      </c>
      <c r="CF97" s="3">
        <f t="shared" si="77"/>
        <v>664.3217908922669</v>
      </c>
      <c r="CG97" s="3">
        <f t="shared" si="134"/>
        <v>761.09253866543963</v>
      </c>
      <c r="CH97" s="3">
        <v>0</v>
      </c>
      <c r="CI97" s="3">
        <v>0</v>
      </c>
      <c r="CJ97" s="3">
        <f t="shared" si="78"/>
        <v>761.09253866543963</v>
      </c>
      <c r="CK97" s="3">
        <f t="shared" si="135"/>
        <v>1566.0073521938439</v>
      </c>
      <c r="CL97" s="3">
        <v>0</v>
      </c>
      <c r="CM97" s="3">
        <v>0</v>
      </c>
      <c r="CN97" s="3">
        <f t="shared" si="79"/>
        <v>1566.0073521938439</v>
      </c>
      <c r="CO97" s="3">
        <f t="shared" si="136"/>
        <v>3054.3936219003317</v>
      </c>
      <c r="CP97" s="3">
        <v>0</v>
      </c>
      <c r="CQ97" s="3">
        <v>0</v>
      </c>
      <c r="CR97" s="3">
        <f t="shared" si="80"/>
        <v>3054.3936219003317</v>
      </c>
      <c r="CS97" s="3">
        <f t="shared" si="137"/>
        <v>8978.2900841251212</v>
      </c>
      <c r="CT97" s="3">
        <v>0</v>
      </c>
      <c r="CU97" s="3">
        <v>0</v>
      </c>
      <c r="CV97" s="3">
        <f t="shared" si="81"/>
        <v>8978.2900841251212</v>
      </c>
      <c r="CW97" s="3">
        <f t="shared" si="138"/>
        <v>29811.295286556673</v>
      </c>
      <c r="CX97" s="3">
        <v>0</v>
      </c>
      <c r="CY97" s="3">
        <v>0</v>
      </c>
      <c r="CZ97" s="3">
        <f t="shared" si="82"/>
        <v>29811.295286556673</v>
      </c>
      <c r="DA97" s="3">
        <f t="shared" si="139"/>
        <v>2031.5614887569959</v>
      </c>
      <c r="DB97" s="3">
        <v>0</v>
      </c>
      <c r="DC97" s="3">
        <v>0</v>
      </c>
      <c r="DD97" s="3">
        <f t="shared" si="83"/>
        <v>2031.5614887569959</v>
      </c>
      <c r="DE97" s="3">
        <f t="shared" si="140"/>
        <v>342.47470546368203</v>
      </c>
      <c r="DF97" s="3">
        <v>0</v>
      </c>
      <c r="DG97" s="3">
        <v>0</v>
      </c>
      <c r="DH97" s="3">
        <f t="shared" si="84"/>
        <v>342.47470546368203</v>
      </c>
      <c r="DI97" s="3">
        <f t="shared" si="141"/>
        <v>0</v>
      </c>
      <c r="DJ97" s="3">
        <v>0</v>
      </c>
      <c r="DK97" s="3">
        <v>0</v>
      </c>
      <c r="DL97" s="3">
        <f t="shared" si="63"/>
        <v>0</v>
      </c>
      <c r="DM97" s="3">
        <f t="shared" si="142"/>
        <v>1693.0177348736274</v>
      </c>
      <c r="DN97" s="3">
        <v>0</v>
      </c>
      <c r="DO97" s="3">
        <v>0</v>
      </c>
      <c r="DP97" s="3">
        <f t="shared" si="85"/>
        <v>1693.0177348736274</v>
      </c>
      <c r="DQ97" s="3">
        <f t="shared" si="143"/>
        <v>3573.362917309727</v>
      </c>
      <c r="DR97" s="3">
        <v>0</v>
      </c>
      <c r="DS97" s="3">
        <v>0</v>
      </c>
      <c r="DT97" s="3">
        <f t="shared" si="89"/>
        <v>3573.362917309727</v>
      </c>
      <c r="DU97" s="3">
        <f t="shared" si="144"/>
        <v>17787.086074065141</v>
      </c>
      <c r="DV97" s="3">
        <v>0</v>
      </c>
      <c r="DW97" s="3">
        <v>0</v>
      </c>
      <c r="DX97" s="3">
        <f t="shared" si="86"/>
        <v>17787.086074065141</v>
      </c>
      <c r="DY97" s="3">
        <f t="shared" si="145"/>
        <v>60.936588630308407</v>
      </c>
      <c r="DZ97" s="3">
        <v>0</v>
      </c>
      <c r="EA97" s="3">
        <v>0</v>
      </c>
      <c r="EB97" s="3">
        <f t="shared" si="87"/>
        <v>60.936588630308407</v>
      </c>
      <c r="EC97" s="4">
        <f t="shared" si="146"/>
        <v>121042.88459999998</v>
      </c>
      <c r="ED97" s="5">
        <f t="shared" si="88"/>
        <v>0</v>
      </c>
      <c r="EE97" s="6">
        <f t="shared" si="118"/>
        <v>121042.88459999998</v>
      </c>
      <c r="EF97" s="6">
        <f t="shared" si="118"/>
        <v>0</v>
      </c>
      <c r="EG97" s="6">
        <f t="shared" si="118"/>
        <v>0</v>
      </c>
    </row>
    <row r="98" spans="1:137" ht="12" customHeight="1" x14ac:dyDescent="0.35">
      <c r="A98" s="34" t="s">
        <v>347</v>
      </c>
      <c r="B98" s="35">
        <v>3785</v>
      </c>
      <c r="C98" s="35" t="s">
        <v>348</v>
      </c>
      <c r="D98" s="35" t="s">
        <v>361</v>
      </c>
      <c r="E98" s="34">
        <v>150906</v>
      </c>
      <c r="F98" s="35">
        <v>1204845</v>
      </c>
      <c r="G98" s="8">
        <v>46115</v>
      </c>
      <c r="H98" s="8">
        <v>46132</v>
      </c>
      <c r="I98" s="36">
        <v>18</v>
      </c>
      <c r="J98" s="36">
        <v>343957.45</v>
      </c>
      <c r="K98" s="36">
        <v>61912.341</v>
      </c>
      <c r="L98" s="37"/>
      <c r="M98" s="37"/>
      <c r="N98" s="36">
        <v>61912.341</v>
      </c>
      <c r="O98" s="36">
        <v>405869.79100000003</v>
      </c>
      <c r="P98" s="35" t="s">
        <v>95</v>
      </c>
      <c r="Q98" s="34" t="s">
        <v>185</v>
      </c>
      <c r="R98" s="35" t="s">
        <v>112</v>
      </c>
      <c r="S98" s="35" t="s">
        <v>252</v>
      </c>
      <c r="T98" s="35" t="s">
        <v>253</v>
      </c>
      <c r="U98" s="35" t="s">
        <v>278</v>
      </c>
      <c r="V98" s="34">
        <v>997331</v>
      </c>
      <c r="W98" s="35" t="s">
        <v>417</v>
      </c>
      <c r="X98" s="34" t="s">
        <v>101</v>
      </c>
      <c r="Y98" s="35">
        <v>107</v>
      </c>
      <c r="Z98" s="35" t="s">
        <v>102</v>
      </c>
      <c r="AA98" t="s">
        <v>420</v>
      </c>
      <c r="AB98">
        <v>61912.341</v>
      </c>
      <c r="AC98">
        <v>194581.64</v>
      </c>
      <c r="AD98" s="38">
        <v>-132669</v>
      </c>
      <c r="AE98" t="s">
        <v>104</v>
      </c>
      <c r="AF98" t="s">
        <v>73</v>
      </c>
      <c r="AG98" s="3">
        <f t="shared" si="119"/>
        <v>2292.2792556875052</v>
      </c>
      <c r="AH98" s="3">
        <v>0</v>
      </c>
      <c r="AI98" s="3">
        <v>0</v>
      </c>
      <c r="AJ98" s="3">
        <f t="shared" si="67"/>
        <v>2292.2792556875052</v>
      </c>
      <c r="AK98" s="3">
        <f t="shared" si="120"/>
        <v>19.074731946254094</v>
      </c>
      <c r="AL98" s="3">
        <v>0</v>
      </c>
      <c r="AM98" s="3">
        <v>0</v>
      </c>
      <c r="AN98" s="3">
        <f t="shared" si="68"/>
        <v>19.074731946254094</v>
      </c>
      <c r="AO98" s="3">
        <f t="shared" si="121"/>
        <v>944.83167279054942</v>
      </c>
      <c r="AP98" s="3">
        <v>0</v>
      </c>
      <c r="AQ98" s="3">
        <v>0</v>
      </c>
      <c r="AR98" s="3">
        <f t="shared" si="69"/>
        <v>944.83167279054942</v>
      </c>
      <c r="AS98" s="3">
        <f t="shared" si="122"/>
        <v>827.30249663537791</v>
      </c>
      <c r="AT98" s="3">
        <v>0</v>
      </c>
      <c r="AU98" s="3">
        <v>0</v>
      </c>
      <c r="AV98" s="3">
        <f t="shared" si="70"/>
        <v>827.30249663537791</v>
      </c>
      <c r="AW98" s="3">
        <f t="shared" si="123"/>
        <v>97.042246132328401</v>
      </c>
      <c r="AX98" s="3">
        <v>0</v>
      </c>
      <c r="AY98" s="3">
        <v>0</v>
      </c>
      <c r="AZ98" s="3">
        <f t="shared" si="71"/>
        <v>97.042246132328401</v>
      </c>
      <c r="BA98" s="3">
        <f t="shared" si="124"/>
        <v>1036.2212507640572</v>
      </c>
      <c r="BB98" s="3">
        <v>0</v>
      </c>
      <c r="BC98" s="3">
        <v>0</v>
      </c>
      <c r="BD98" s="3">
        <f t="shared" si="72"/>
        <v>1036.2212507640572</v>
      </c>
      <c r="BE98" s="3">
        <f t="shared" si="125"/>
        <v>4494.5924061573205</v>
      </c>
      <c r="BF98" s="3">
        <f t="shared" si="126"/>
        <v>0</v>
      </c>
      <c r="BG98" s="3">
        <f t="shared" si="127"/>
        <v>0</v>
      </c>
      <c r="BH98" s="3">
        <f t="shared" si="64"/>
        <v>4494.5924061573205</v>
      </c>
      <c r="BI98" s="3">
        <f t="shared" si="128"/>
        <v>2606.9044985641708</v>
      </c>
      <c r="BJ98" s="3">
        <v>0</v>
      </c>
      <c r="BK98" s="3">
        <v>0</v>
      </c>
      <c r="BL98" s="3">
        <f t="shared" si="65"/>
        <v>2606.9044985641708</v>
      </c>
      <c r="BM98" s="3">
        <f t="shared" si="129"/>
        <v>11970.398414380725</v>
      </c>
      <c r="BN98" s="3">
        <v>0</v>
      </c>
      <c r="BO98" s="3">
        <v>0</v>
      </c>
      <c r="BP98" s="3">
        <f t="shared" si="73"/>
        <v>11970.398414380725</v>
      </c>
      <c r="BQ98" s="3">
        <f t="shared" si="130"/>
        <v>1072.9940926360989</v>
      </c>
      <c r="BR98" s="3">
        <v>0</v>
      </c>
      <c r="BS98" s="3">
        <v>0</v>
      </c>
      <c r="BT98" s="3">
        <f t="shared" si="74"/>
        <v>1072.9940926360989</v>
      </c>
      <c r="BU98" s="3">
        <f t="shared" si="131"/>
        <v>170.26601740254901</v>
      </c>
      <c r="BV98" s="3">
        <v>0</v>
      </c>
      <c r="BW98" s="3">
        <v>0</v>
      </c>
      <c r="BX98" s="3">
        <f t="shared" si="75"/>
        <v>170.26601740254901</v>
      </c>
      <c r="BY98" s="3">
        <f t="shared" si="132"/>
        <v>410.42553306272561</v>
      </c>
      <c r="BZ98" s="3">
        <v>0</v>
      </c>
      <c r="CA98" s="3">
        <v>0</v>
      </c>
      <c r="CB98" s="3">
        <f t="shared" si="76"/>
        <v>410.42553306272561</v>
      </c>
      <c r="CC98" s="3">
        <f t="shared" si="133"/>
        <v>339.79458922654192</v>
      </c>
      <c r="CD98" s="3">
        <v>0</v>
      </c>
      <c r="CE98" s="3">
        <v>0</v>
      </c>
      <c r="CF98" s="3">
        <f t="shared" si="77"/>
        <v>339.79458922654192</v>
      </c>
      <c r="CG98" s="3">
        <f t="shared" si="134"/>
        <v>389.29195170891012</v>
      </c>
      <c r="CH98" s="3">
        <v>0</v>
      </c>
      <c r="CI98" s="3">
        <v>0</v>
      </c>
      <c r="CJ98" s="3">
        <f t="shared" si="78"/>
        <v>389.29195170891012</v>
      </c>
      <c r="CK98" s="3">
        <f t="shared" si="135"/>
        <v>800.99860076808147</v>
      </c>
      <c r="CL98" s="3">
        <v>0</v>
      </c>
      <c r="CM98" s="3">
        <v>0</v>
      </c>
      <c r="CN98" s="3">
        <f t="shared" si="79"/>
        <v>800.99860076808147</v>
      </c>
      <c r="CO98" s="3">
        <f t="shared" si="136"/>
        <v>1562.29471969572</v>
      </c>
      <c r="CP98" s="3">
        <v>0</v>
      </c>
      <c r="CQ98" s="3">
        <v>0</v>
      </c>
      <c r="CR98" s="3">
        <f t="shared" si="80"/>
        <v>1562.29471969572</v>
      </c>
      <c r="CS98" s="3">
        <f t="shared" si="137"/>
        <v>4592.3141960983403</v>
      </c>
      <c r="CT98" s="3">
        <v>0</v>
      </c>
      <c r="CU98" s="3">
        <v>0</v>
      </c>
      <c r="CV98" s="3">
        <f t="shared" si="81"/>
        <v>4592.3141960983403</v>
      </c>
      <c r="CW98" s="3">
        <f t="shared" si="138"/>
        <v>15248.207984569046</v>
      </c>
      <c r="CX98" s="3">
        <v>0</v>
      </c>
      <c r="CY98" s="3">
        <v>0</v>
      </c>
      <c r="CZ98" s="3">
        <f t="shared" si="82"/>
        <v>15248.207984569046</v>
      </c>
      <c r="DA98" s="3">
        <f t="shared" si="139"/>
        <v>1039.1253320675635</v>
      </c>
      <c r="DB98" s="3">
        <v>0</v>
      </c>
      <c r="DC98" s="3">
        <v>0</v>
      </c>
      <c r="DD98" s="3">
        <f t="shared" si="83"/>
        <v>1039.1253320675635</v>
      </c>
      <c r="DE98" s="3">
        <f t="shared" si="140"/>
        <v>175.17271517950957</v>
      </c>
      <c r="DF98" s="3">
        <v>0</v>
      </c>
      <c r="DG98" s="3">
        <v>0</v>
      </c>
      <c r="DH98" s="3">
        <f t="shared" si="84"/>
        <v>175.17271517950957</v>
      </c>
      <c r="DI98" s="3">
        <f t="shared" si="141"/>
        <v>0</v>
      </c>
      <c r="DJ98" s="3">
        <v>0</v>
      </c>
      <c r="DK98" s="3">
        <v>0</v>
      </c>
      <c r="DL98" s="3">
        <f t="shared" si="63"/>
        <v>0</v>
      </c>
      <c r="DM98" s="3">
        <f t="shared" si="142"/>
        <v>865.96326307761819</v>
      </c>
      <c r="DN98" s="3">
        <v>0</v>
      </c>
      <c r="DO98" s="3">
        <v>0</v>
      </c>
      <c r="DP98" s="3">
        <f t="shared" si="85"/>
        <v>865.96326307761819</v>
      </c>
      <c r="DQ98" s="3">
        <f t="shared" si="143"/>
        <v>1827.7428217638051</v>
      </c>
      <c r="DR98" s="3">
        <v>0</v>
      </c>
      <c r="DS98" s="3">
        <v>0</v>
      </c>
      <c r="DT98" s="3">
        <f t="shared" si="89"/>
        <v>1827.7428217638051</v>
      </c>
      <c r="DU98" s="3">
        <f t="shared" si="144"/>
        <v>9097.933695590993</v>
      </c>
      <c r="DV98" s="3">
        <v>0</v>
      </c>
      <c r="DW98" s="3">
        <v>0</v>
      </c>
      <c r="DX98" s="3">
        <f t="shared" si="86"/>
        <v>9097.933695590993</v>
      </c>
      <c r="DY98" s="3">
        <f t="shared" si="145"/>
        <v>31.168514094188872</v>
      </c>
      <c r="DZ98" s="3">
        <v>0</v>
      </c>
      <c r="EA98" s="3">
        <v>0</v>
      </c>
      <c r="EB98" s="3">
        <f t="shared" si="87"/>
        <v>31.168514094188872</v>
      </c>
      <c r="EC98" s="4">
        <f t="shared" si="146"/>
        <v>61912.340999999979</v>
      </c>
      <c r="ED98" s="5">
        <f t="shared" si="88"/>
        <v>0</v>
      </c>
      <c r="EE98" s="6">
        <f t="shared" si="118"/>
        <v>61912.340999999979</v>
      </c>
      <c r="EF98" s="6">
        <f t="shared" si="118"/>
        <v>0</v>
      </c>
      <c r="EG98" s="6">
        <f t="shared" si="118"/>
        <v>0</v>
      </c>
    </row>
    <row r="99" spans="1:137" ht="12" customHeight="1" x14ac:dyDescent="0.35">
      <c r="A99" s="34" t="s">
        <v>347</v>
      </c>
      <c r="B99" s="35">
        <v>3785</v>
      </c>
      <c r="C99" s="35" t="s">
        <v>348</v>
      </c>
      <c r="D99" s="35" t="s">
        <v>361</v>
      </c>
      <c r="E99" s="34">
        <v>150906</v>
      </c>
      <c r="F99" s="35">
        <v>1204845</v>
      </c>
      <c r="G99" s="8">
        <v>46115</v>
      </c>
      <c r="H99" s="8">
        <v>46132</v>
      </c>
      <c r="I99" s="36">
        <v>18</v>
      </c>
      <c r="J99" s="36">
        <v>737051.68</v>
      </c>
      <c r="K99" s="36">
        <v>132669.30239999999</v>
      </c>
      <c r="L99" s="37"/>
      <c r="M99" s="37"/>
      <c r="N99" s="36">
        <v>132669.30239999999</v>
      </c>
      <c r="O99" s="36">
        <v>869720.98239999998</v>
      </c>
      <c r="P99" s="35" t="s">
        <v>95</v>
      </c>
      <c r="Q99" s="34" t="s">
        <v>185</v>
      </c>
      <c r="R99" s="35" t="s">
        <v>112</v>
      </c>
      <c r="S99" s="35" t="s">
        <v>252</v>
      </c>
      <c r="T99" s="35" t="s">
        <v>253</v>
      </c>
      <c r="U99" s="35" t="s">
        <v>278</v>
      </c>
      <c r="V99" s="34">
        <v>997331</v>
      </c>
      <c r="W99" s="35" t="s">
        <v>415</v>
      </c>
      <c r="X99" s="34" t="s">
        <v>101</v>
      </c>
      <c r="Y99" s="35">
        <v>107</v>
      </c>
      <c r="Z99" s="35" t="s">
        <v>102</v>
      </c>
      <c r="AA99" t="s">
        <v>420</v>
      </c>
      <c r="AB99">
        <v>132669.30239999999</v>
      </c>
      <c r="AC99">
        <v>194581.64</v>
      </c>
      <c r="AD99" s="38">
        <v>-61912</v>
      </c>
      <c r="AE99" t="s">
        <v>104</v>
      </c>
      <c r="AF99" t="s">
        <v>73</v>
      </c>
      <c r="AG99" s="3">
        <f t="shared" si="119"/>
        <v>4912.0269859938353</v>
      </c>
      <c r="AH99" s="3">
        <v>0</v>
      </c>
      <c r="AI99" s="3">
        <v>0</v>
      </c>
      <c r="AJ99" s="3">
        <f t="shared" si="67"/>
        <v>4912.0269859938353</v>
      </c>
      <c r="AK99" s="3">
        <f t="shared" si="120"/>
        <v>40.874425678339719</v>
      </c>
      <c r="AL99" s="3">
        <v>0</v>
      </c>
      <c r="AM99" s="3">
        <v>0</v>
      </c>
      <c r="AN99" s="3">
        <f t="shared" si="68"/>
        <v>40.874425678339719</v>
      </c>
      <c r="AO99" s="3">
        <f t="shared" si="121"/>
        <v>2024.6393027610961</v>
      </c>
      <c r="AP99" s="3">
        <v>0</v>
      </c>
      <c r="AQ99" s="3">
        <v>0</v>
      </c>
      <c r="AR99" s="3">
        <f t="shared" si="69"/>
        <v>2024.6393027610961</v>
      </c>
      <c r="AS99" s="3">
        <f t="shared" si="122"/>
        <v>1772.7910676547335</v>
      </c>
      <c r="AT99" s="3">
        <v>0</v>
      </c>
      <c r="AU99" s="3">
        <v>0</v>
      </c>
      <c r="AV99" s="3">
        <f t="shared" si="70"/>
        <v>1772.7910676547335</v>
      </c>
      <c r="AW99" s="3">
        <f t="shared" si="123"/>
        <v>207.94767068661002</v>
      </c>
      <c r="AX99" s="3">
        <v>0</v>
      </c>
      <c r="AY99" s="3">
        <v>0</v>
      </c>
      <c r="AZ99" s="3">
        <f t="shared" si="71"/>
        <v>207.94767068661002</v>
      </c>
      <c r="BA99" s="3">
        <f t="shared" si="124"/>
        <v>2220.4741130838988</v>
      </c>
      <c r="BB99" s="3">
        <v>0</v>
      </c>
      <c r="BC99" s="3">
        <v>0</v>
      </c>
      <c r="BD99" s="3">
        <f t="shared" si="72"/>
        <v>2220.4741130838988</v>
      </c>
      <c r="BE99" s="3">
        <f t="shared" si="125"/>
        <v>9631.2694604332464</v>
      </c>
      <c r="BF99" s="3">
        <f t="shared" si="126"/>
        <v>0</v>
      </c>
      <c r="BG99" s="3">
        <f t="shared" si="127"/>
        <v>0</v>
      </c>
      <c r="BH99" s="3">
        <f t="shared" si="64"/>
        <v>9631.2694604332464</v>
      </c>
      <c r="BI99" s="3">
        <f t="shared" si="128"/>
        <v>5586.223936322006</v>
      </c>
      <c r="BJ99" s="3">
        <v>0</v>
      </c>
      <c r="BK99" s="3">
        <v>0</v>
      </c>
      <c r="BL99" s="3">
        <f t="shared" si="65"/>
        <v>5586.223936322006</v>
      </c>
      <c r="BM99" s="3">
        <f t="shared" si="129"/>
        <v>25650.853794818657</v>
      </c>
      <c r="BN99" s="3">
        <v>0</v>
      </c>
      <c r="BO99" s="3">
        <v>0</v>
      </c>
      <c r="BP99" s="3">
        <f t="shared" si="73"/>
        <v>25650.853794818657</v>
      </c>
      <c r="BQ99" s="3">
        <f t="shared" si="130"/>
        <v>2299.2730601052895</v>
      </c>
      <c r="BR99" s="3">
        <v>0</v>
      </c>
      <c r="BS99" s="3">
        <v>0</v>
      </c>
      <c r="BT99" s="3">
        <f t="shared" si="74"/>
        <v>2299.2730601052895</v>
      </c>
      <c r="BU99" s="3">
        <f t="shared" si="131"/>
        <v>364.85575228406299</v>
      </c>
      <c r="BV99" s="3">
        <v>0</v>
      </c>
      <c r="BW99" s="3">
        <v>0</v>
      </c>
      <c r="BX99" s="3">
        <f t="shared" si="75"/>
        <v>364.85575228406299</v>
      </c>
      <c r="BY99" s="3">
        <f t="shared" si="132"/>
        <v>879.48328683904765</v>
      </c>
      <c r="BZ99" s="3">
        <v>0</v>
      </c>
      <c r="CA99" s="3">
        <v>0</v>
      </c>
      <c r="CB99" s="3">
        <f t="shared" si="76"/>
        <v>879.48328683904765</v>
      </c>
      <c r="CC99" s="3">
        <f t="shared" si="133"/>
        <v>728.13126403958574</v>
      </c>
      <c r="CD99" s="3">
        <v>0</v>
      </c>
      <c r="CE99" s="3">
        <v>0</v>
      </c>
      <c r="CF99" s="3">
        <f t="shared" si="77"/>
        <v>728.13126403958574</v>
      </c>
      <c r="CG99" s="3">
        <f t="shared" si="134"/>
        <v>834.19704099309683</v>
      </c>
      <c r="CH99" s="3">
        <v>0</v>
      </c>
      <c r="CI99" s="3">
        <v>0</v>
      </c>
      <c r="CJ99" s="3">
        <f t="shared" si="78"/>
        <v>834.19704099309683</v>
      </c>
      <c r="CK99" s="3">
        <f t="shared" si="135"/>
        <v>1716.4255764012776</v>
      </c>
      <c r="CL99" s="3">
        <v>0</v>
      </c>
      <c r="CM99" s="3">
        <v>0</v>
      </c>
      <c r="CN99" s="3">
        <f t="shared" si="79"/>
        <v>1716.4255764012776</v>
      </c>
      <c r="CO99" s="3">
        <f t="shared" si="136"/>
        <v>3347.7744058367093</v>
      </c>
      <c r="CP99" s="3">
        <v>0</v>
      </c>
      <c r="CQ99" s="3">
        <v>0</v>
      </c>
      <c r="CR99" s="3">
        <f t="shared" si="80"/>
        <v>3347.7744058367093</v>
      </c>
      <c r="CS99" s="3">
        <f t="shared" si="137"/>
        <v>9840.6732964270159</v>
      </c>
      <c r="CT99" s="3">
        <v>0</v>
      </c>
      <c r="CU99" s="3">
        <v>0</v>
      </c>
      <c r="CV99" s="3">
        <f t="shared" si="81"/>
        <v>9840.6732964270159</v>
      </c>
      <c r="CW99" s="3">
        <f t="shared" si="138"/>
        <v>32674.73145883605</v>
      </c>
      <c r="CX99" s="3">
        <v>0</v>
      </c>
      <c r="CY99" s="3">
        <v>0</v>
      </c>
      <c r="CZ99" s="3">
        <f t="shared" si="82"/>
        <v>32674.73145883605</v>
      </c>
      <c r="DA99" s="3">
        <f t="shared" si="139"/>
        <v>2226.697144460617</v>
      </c>
      <c r="DB99" s="3">
        <v>0</v>
      </c>
      <c r="DC99" s="3">
        <v>0</v>
      </c>
      <c r="DD99" s="3">
        <f t="shared" si="83"/>
        <v>2226.697144460617</v>
      </c>
      <c r="DE99" s="3">
        <f t="shared" si="140"/>
        <v>375.37010468364332</v>
      </c>
      <c r="DF99" s="3">
        <v>0</v>
      </c>
      <c r="DG99" s="3">
        <v>0</v>
      </c>
      <c r="DH99" s="3">
        <f t="shared" si="84"/>
        <v>375.37010468364332</v>
      </c>
      <c r="DI99" s="3">
        <f t="shared" si="141"/>
        <v>0</v>
      </c>
      <c r="DJ99" s="3">
        <v>0</v>
      </c>
      <c r="DK99" s="3">
        <v>0</v>
      </c>
      <c r="DL99" s="3">
        <f t="shared" si="63"/>
        <v>0</v>
      </c>
      <c r="DM99" s="3">
        <f t="shared" si="142"/>
        <v>1855.6355673343912</v>
      </c>
      <c r="DN99" s="3">
        <v>0</v>
      </c>
      <c r="DO99" s="3">
        <v>0</v>
      </c>
      <c r="DP99" s="3">
        <f t="shared" si="85"/>
        <v>1855.6355673343912</v>
      </c>
      <c r="DQ99" s="3">
        <f t="shared" si="143"/>
        <v>3916.5917685136719</v>
      </c>
      <c r="DR99" s="3">
        <v>0</v>
      </c>
      <c r="DS99" s="3">
        <v>0</v>
      </c>
      <c r="DT99" s="3">
        <f t="shared" si="89"/>
        <v>3916.5917685136719</v>
      </c>
      <c r="DU99" s="3">
        <f t="shared" si="144"/>
        <v>19495.572242624632</v>
      </c>
      <c r="DV99" s="3">
        <v>0</v>
      </c>
      <c r="DW99" s="3">
        <v>0</v>
      </c>
      <c r="DX99" s="3">
        <f t="shared" si="86"/>
        <v>19495.572242624632</v>
      </c>
      <c r="DY99" s="3">
        <f t="shared" si="145"/>
        <v>66.789673188429504</v>
      </c>
      <c r="DZ99" s="3">
        <v>0</v>
      </c>
      <c r="EA99" s="3">
        <v>0</v>
      </c>
      <c r="EB99" s="3">
        <f t="shared" si="87"/>
        <v>66.789673188429504</v>
      </c>
      <c r="EC99" s="4">
        <f t="shared" si="146"/>
        <v>132669.30239999996</v>
      </c>
      <c r="ED99" s="5">
        <f t="shared" si="88"/>
        <v>0</v>
      </c>
      <c r="EE99" s="6">
        <f t="shared" si="118"/>
        <v>132669.30239999996</v>
      </c>
      <c r="EF99" s="6">
        <f t="shared" si="118"/>
        <v>0</v>
      </c>
      <c r="EG99" s="6">
        <f t="shared" si="118"/>
        <v>0</v>
      </c>
    </row>
    <row r="100" spans="1:137" ht="12" customHeight="1" x14ac:dyDescent="0.35">
      <c r="A100" s="34" t="s">
        <v>347</v>
      </c>
      <c r="B100" s="35">
        <v>3785</v>
      </c>
      <c r="C100" s="35" t="s">
        <v>348</v>
      </c>
      <c r="D100" s="35" t="s">
        <v>361</v>
      </c>
      <c r="E100" s="34">
        <v>150906</v>
      </c>
      <c r="F100" s="35">
        <v>1204844</v>
      </c>
      <c r="G100" s="8">
        <v>46115</v>
      </c>
      <c r="H100" s="8">
        <v>46132</v>
      </c>
      <c r="I100" s="36">
        <v>18</v>
      </c>
      <c r="J100" s="36">
        <v>162010.32</v>
      </c>
      <c r="K100" s="36">
        <v>29161.857599999999</v>
      </c>
      <c r="L100" s="37"/>
      <c r="M100" s="37"/>
      <c r="N100" s="36">
        <v>29161.857599999999</v>
      </c>
      <c r="O100" s="36">
        <v>191172.1776</v>
      </c>
      <c r="P100" s="35" t="s">
        <v>95</v>
      </c>
      <c r="Q100" s="34" t="s">
        <v>185</v>
      </c>
      <c r="R100" s="35" t="s">
        <v>112</v>
      </c>
      <c r="S100" s="35" t="s">
        <v>252</v>
      </c>
      <c r="T100" s="35" t="s">
        <v>253</v>
      </c>
      <c r="U100" s="35" t="s">
        <v>278</v>
      </c>
      <c r="V100" s="34">
        <v>997331</v>
      </c>
      <c r="W100" s="35" t="s">
        <v>421</v>
      </c>
      <c r="X100" s="34" t="s">
        <v>101</v>
      </c>
      <c r="Y100" s="35">
        <v>107</v>
      </c>
      <c r="Z100" s="35" t="s">
        <v>102</v>
      </c>
      <c r="AA100" t="s">
        <v>422</v>
      </c>
      <c r="AB100">
        <v>29161.857599999999</v>
      </c>
      <c r="AC100">
        <v>110613.94</v>
      </c>
      <c r="AD100" s="38">
        <v>-81452</v>
      </c>
      <c r="AE100" t="s">
        <v>104</v>
      </c>
      <c r="AF100" t="s">
        <v>73</v>
      </c>
      <c r="AG100" s="3">
        <f t="shared" si="119"/>
        <v>1079.7059221810564</v>
      </c>
      <c r="AH100" s="3">
        <v>0</v>
      </c>
      <c r="AI100" s="3">
        <v>0</v>
      </c>
      <c r="AJ100" s="3">
        <f t="shared" si="67"/>
        <v>1079.7059221810564</v>
      </c>
      <c r="AK100" s="3">
        <f t="shared" si="120"/>
        <v>8.9845515092836301</v>
      </c>
      <c r="AL100" s="3">
        <v>0</v>
      </c>
      <c r="AM100" s="3">
        <v>0</v>
      </c>
      <c r="AN100" s="3">
        <f t="shared" si="68"/>
        <v>8.9845515092836301</v>
      </c>
      <c r="AO100" s="3">
        <f t="shared" si="121"/>
        <v>445.03319132913731</v>
      </c>
      <c r="AP100" s="3">
        <v>0</v>
      </c>
      <c r="AQ100" s="3">
        <v>0</v>
      </c>
      <c r="AR100" s="3">
        <f t="shared" si="69"/>
        <v>445.03319132913731</v>
      </c>
      <c r="AS100" s="3">
        <f t="shared" si="122"/>
        <v>389.67477580932325</v>
      </c>
      <c r="AT100" s="3">
        <v>0</v>
      </c>
      <c r="AU100" s="3">
        <v>0</v>
      </c>
      <c r="AV100" s="3">
        <f t="shared" si="70"/>
        <v>389.67477580932325</v>
      </c>
      <c r="AW100" s="3">
        <f t="shared" si="123"/>
        <v>45.708692599672673</v>
      </c>
      <c r="AX100" s="3">
        <v>0</v>
      </c>
      <c r="AY100" s="3">
        <v>0</v>
      </c>
      <c r="AZ100" s="3">
        <f t="shared" si="71"/>
        <v>45.708692599672673</v>
      </c>
      <c r="BA100" s="3">
        <f t="shared" si="124"/>
        <v>488.07937268718894</v>
      </c>
      <c r="BB100" s="3">
        <v>0</v>
      </c>
      <c r="BC100" s="3">
        <v>0</v>
      </c>
      <c r="BD100" s="3">
        <f t="shared" si="72"/>
        <v>488.07937268718894</v>
      </c>
      <c r="BE100" s="3">
        <f t="shared" si="125"/>
        <v>2117.0361449973461</v>
      </c>
      <c r="BF100" s="3">
        <f t="shared" si="126"/>
        <v>0</v>
      </c>
      <c r="BG100" s="3">
        <f t="shared" si="127"/>
        <v>0</v>
      </c>
      <c r="BH100" s="3">
        <f t="shared" si="64"/>
        <v>2117.0361449973461</v>
      </c>
      <c r="BI100" s="3">
        <f t="shared" si="128"/>
        <v>1227.9002301645767</v>
      </c>
      <c r="BJ100" s="3">
        <v>0</v>
      </c>
      <c r="BK100" s="3">
        <v>0</v>
      </c>
      <c r="BL100" s="3">
        <f t="shared" si="65"/>
        <v>1227.9002301645767</v>
      </c>
      <c r="BM100" s="3">
        <f t="shared" si="129"/>
        <v>5638.2790302734065</v>
      </c>
      <c r="BN100" s="3">
        <v>0</v>
      </c>
      <c r="BO100" s="3">
        <v>0</v>
      </c>
      <c r="BP100" s="3">
        <f t="shared" si="73"/>
        <v>5638.2790302734065</v>
      </c>
      <c r="BQ100" s="3">
        <f t="shared" si="130"/>
        <v>505.40006127526533</v>
      </c>
      <c r="BR100" s="3">
        <v>0</v>
      </c>
      <c r="BS100" s="3">
        <v>0</v>
      </c>
      <c r="BT100" s="3">
        <f t="shared" si="74"/>
        <v>505.40006127526533</v>
      </c>
      <c r="BU100" s="3">
        <f t="shared" si="131"/>
        <v>80.198443047279639</v>
      </c>
      <c r="BV100" s="3">
        <v>0</v>
      </c>
      <c r="BW100" s="3">
        <v>0</v>
      </c>
      <c r="BX100" s="3">
        <f t="shared" si="75"/>
        <v>80.198443047279639</v>
      </c>
      <c r="BY100" s="3">
        <f t="shared" si="132"/>
        <v>193.31801636412513</v>
      </c>
      <c r="BZ100" s="3">
        <v>0</v>
      </c>
      <c r="CA100" s="3">
        <v>0</v>
      </c>
      <c r="CB100" s="3">
        <f t="shared" si="76"/>
        <v>193.31801636412513</v>
      </c>
      <c r="CC100" s="3">
        <f t="shared" si="133"/>
        <v>160.04953558895326</v>
      </c>
      <c r="CD100" s="3">
        <v>0</v>
      </c>
      <c r="CE100" s="3">
        <v>0</v>
      </c>
      <c r="CF100" s="3">
        <f t="shared" si="77"/>
        <v>160.04953558895326</v>
      </c>
      <c r="CG100" s="3">
        <f t="shared" si="134"/>
        <v>183.36370870811223</v>
      </c>
      <c r="CH100" s="3">
        <v>0</v>
      </c>
      <c r="CI100" s="3">
        <v>0</v>
      </c>
      <c r="CJ100" s="3">
        <f t="shared" si="78"/>
        <v>183.36370870811223</v>
      </c>
      <c r="CK100" s="3">
        <f t="shared" si="135"/>
        <v>377.2851543991535</v>
      </c>
      <c r="CL100" s="3">
        <v>0</v>
      </c>
      <c r="CM100" s="3">
        <v>0</v>
      </c>
      <c r="CN100" s="3">
        <f t="shared" si="79"/>
        <v>377.2851543991535</v>
      </c>
      <c r="CO100" s="3">
        <f t="shared" si="136"/>
        <v>735.86970560519603</v>
      </c>
      <c r="CP100" s="3">
        <v>0</v>
      </c>
      <c r="CQ100" s="3">
        <v>0</v>
      </c>
      <c r="CR100" s="3">
        <f t="shared" si="80"/>
        <v>735.86970560519603</v>
      </c>
      <c r="CS100" s="3">
        <f t="shared" si="137"/>
        <v>2163.0649152982</v>
      </c>
      <c r="CT100" s="3">
        <v>0</v>
      </c>
      <c r="CU100" s="3">
        <v>0</v>
      </c>
      <c r="CV100" s="3">
        <f t="shared" si="81"/>
        <v>2163.0649152982</v>
      </c>
      <c r="CW100" s="3">
        <f t="shared" si="138"/>
        <v>7182.1879566980924</v>
      </c>
      <c r="CX100" s="3">
        <v>0</v>
      </c>
      <c r="CY100" s="3">
        <v>0</v>
      </c>
      <c r="CZ100" s="3">
        <f t="shared" si="82"/>
        <v>7182.1879566980924</v>
      </c>
      <c r="DA100" s="3">
        <f t="shared" si="139"/>
        <v>489.44724868838347</v>
      </c>
      <c r="DB100" s="3">
        <v>0</v>
      </c>
      <c r="DC100" s="3">
        <v>0</v>
      </c>
      <c r="DD100" s="3">
        <f t="shared" si="83"/>
        <v>489.44724868838347</v>
      </c>
      <c r="DE100" s="3">
        <f t="shared" si="140"/>
        <v>82.50958844328332</v>
      </c>
      <c r="DF100" s="3">
        <v>0</v>
      </c>
      <c r="DG100" s="3">
        <v>0</v>
      </c>
      <c r="DH100" s="3">
        <f t="shared" si="84"/>
        <v>82.50958844328332</v>
      </c>
      <c r="DI100" s="3">
        <f t="shared" si="141"/>
        <v>0</v>
      </c>
      <c r="DJ100" s="3">
        <v>0</v>
      </c>
      <c r="DK100" s="3">
        <v>0</v>
      </c>
      <c r="DL100" s="3">
        <f t="shared" si="63"/>
        <v>0</v>
      </c>
      <c r="DM100" s="3">
        <f t="shared" si="142"/>
        <v>407.88471178469638</v>
      </c>
      <c r="DN100" s="3">
        <v>0</v>
      </c>
      <c r="DO100" s="3">
        <v>0</v>
      </c>
      <c r="DP100" s="3">
        <f t="shared" si="85"/>
        <v>407.88471178469638</v>
      </c>
      <c r="DQ100" s="3">
        <f t="shared" si="143"/>
        <v>860.90067079999869</v>
      </c>
      <c r="DR100" s="3">
        <v>0</v>
      </c>
      <c r="DS100" s="3">
        <v>0</v>
      </c>
      <c r="DT100" s="3">
        <f t="shared" si="89"/>
        <v>860.90067079999869</v>
      </c>
      <c r="DU100" s="3">
        <f t="shared" si="144"/>
        <v>4285.2950251883758</v>
      </c>
      <c r="DV100" s="3">
        <v>0</v>
      </c>
      <c r="DW100" s="3">
        <v>0</v>
      </c>
      <c r="DX100" s="3">
        <f t="shared" si="86"/>
        <v>4285.2950251883758</v>
      </c>
      <c r="DY100" s="3">
        <f t="shared" si="145"/>
        <v>14.680946559884219</v>
      </c>
      <c r="DZ100" s="3">
        <v>0</v>
      </c>
      <c r="EA100" s="3">
        <v>0</v>
      </c>
      <c r="EB100" s="3">
        <f t="shared" si="87"/>
        <v>14.680946559884219</v>
      </c>
      <c r="EC100" s="4">
        <f t="shared" si="146"/>
        <v>29161.857599999988</v>
      </c>
      <c r="ED100" s="5">
        <f t="shared" si="88"/>
        <v>0</v>
      </c>
      <c r="EE100" s="6">
        <f t="shared" si="118"/>
        <v>29161.857599999988</v>
      </c>
      <c r="EF100" s="6">
        <f t="shared" si="118"/>
        <v>0</v>
      </c>
      <c r="EG100" s="6">
        <f t="shared" si="118"/>
        <v>0</v>
      </c>
    </row>
    <row r="101" spans="1:137" ht="12" customHeight="1" x14ac:dyDescent="0.35">
      <c r="A101" s="34" t="s">
        <v>347</v>
      </c>
      <c r="B101" s="35">
        <v>3785</v>
      </c>
      <c r="C101" s="35" t="s">
        <v>348</v>
      </c>
      <c r="D101" s="35" t="s">
        <v>361</v>
      </c>
      <c r="E101" s="34">
        <v>150906</v>
      </c>
      <c r="F101" s="35">
        <v>1204844</v>
      </c>
      <c r="G101" s="8">
        <v>46115</v>
      </c>
      <c r="H101" s="8">
        <v>46132</v>
      </c>
      <c r="I101" s="36">
        <v>18</v>
      </c>
      <c r="J101" s="36">
        <v>33519.370000000003</v>
      </c>
      <c r="K101" s="36">
        <v>6033.4866000000002</v>
      </c>
      <c r="L101" s="37"/>
      <c r="M101" s="37"/>
      <c r="N101" s="36">
        <v>6033.4866000000002</v>
      </c>
      <c r="O101" s="36">
        <v>39552.856599999999</v>
      </c>
      <c r="P101" s="35" t="s">
        <v>95</v>
      </c>
      <c r="Q101" s="34" t="s">
        <v>185</v>
      </c>
      <c r="R101" s="35" t="s">
        <v>112</v>
      </c>
      <c r="S101" s="35" t="s">
        <v>252</v>
      </c>
      <c r="T101" s="35" t="s">
        <v>253</v>
      </c>
      <c r="U101" s="35" t="s">
        <v>278</v>
      </c>
      <c r="V101" s="34">
        <v>997331</v>
      </c>
      <c r="W101" s="35" t="s">
        <v>423</v>
      </c>
      <c r="X101" s="34" t="s">
        <v>101</v>
      </c>
      <c r="Y101" s="35">
        <v>107</v>
      </c>
      <c r="Z101" s="35" t="s">
        <v>102</v>
      </c>
      <c r="AA101" t="s">
        <v>422</v>
      </c>
      <c r="AB101">
        <v>6033.4866000000002</v>
      </c>
      <c r="AC101">
        <v>110613.94</v>
      </c>
      <c r="AD101" s="38">
        <v>-104580</v>
      </c>
      <c r="AE101" t="s">
        <v>104</v>
      </c>
      <c r="AF101" t="s">
        <v>73</v>
      </c>
      <c r="AG101" s="3">
        <f t="shared" si="119"/>
        <v>223.38738851190487</v>
      </c>
      <c r="AH101" s="3">
        <v>0</v>
      </c>
      <c r="AI101" s="3">
        <v>0</v>
      </c>
      <c r="AJ101" s="3">
        <f t="shared" si="67"/>
        <v>223.38738851190487</v>
      </c>
      <c r="AK101" s="3">
        <f t="shared" si="120"/>
        <v>1.858872362721933</v>
      </c>
      <c r="AL101" s="3">
        <v>0</v>
      </c>
      <c r="AM101" s="3">
        <v>0</v>
      </c>
      <c r="AN101" s="3">
        <f t="shared" si="68"/>
        <v>1.858872362721933</v>
      </c>
      <c r="AO101" s="3">
        <f t="shared" si="121"/>
        <v>92.075814691571168</v>
      </c>
      <c r="AP101" s="3">
        <v>0</v>
      </c>
      <c r="AQ101" s="3">
        <v>0</v>
      </c>
      <c r="AR101" s="3">
        <f t="shared" si="69"/>
        <v>92.075814691571168</v>
      </c>
      <c r="AS101" s="3">
        <f t="shared" si="122"/>
        <v>80.622351650313107</v>
      </c>
      <c r="AT101" s="3">
        <v>0</v>
      </c>
      <c r="AU101" s="3">
        <v>0</v>
      </c>
      <c r="AV101" s="3">
        <f t="shared" si="70"/>
        <v>80.622351650313107</v>
      </c>
      <c r="AW101" s="3">
        <f t="shared" si="123"/>
        <v>9.4569690342238104</v>
      </c>
      <c r="AX101" s="3">
        <v>0</v>
      </c>
      <c r="AY101" s="3">
        <v>0</v>
      </c>
      <c r="AZ101" s="3">
        <f t="shared" si="71"/>
        <v>9.4569690342238104</v>
      </c>
      <c r="BA101" s="3">
        <f t="shared" si="124"/>
        <v>100.98191943864923</v>
      </c>
      <c r="BB101" s="3">
        <v>0</v>
      </c>
      <c r="BC101" s="3">
        <v>0</v>
      </c>
      <c r="BD101" s="3">
        <f t="shared" si="72"/>
        <v>100.98191943864923</v>
      </c>
      <c r="BE101" s="3">
        <f t="shared" si="125"/>
        <v>438.00739266202123</v>
      </c>
      <c r="BF101" s="3">
        <f t="shared" si="126"/>
        <v>0</v>
      </c>
      <c r="BG101" s="3">
        <f t="shared" si="127"/>
        <v>0</v>
      </c>
      <c r="BH101" s="3">
        <f t="shared" si="64"/>
        <v>438.00739266202123</v>
      </c>
      <c r="BI101" s="3">
        <f t="shared" si="128"/>
        <v>254.04827382583778</v>
      </c>
      <c r="BJ101" s="3">
        <v>0</v>
      </c>
      <c r="BK101" s="3">
        <v>0</v>
      </c>
      <c r="BL101" s="3">
        <f t="shared" si="65"/>
        <v>254.04827382583778</v>
      </c>
      <c r="BM101" s="3">
        <f t="shared" si="129"/>
        <v>1166.5402610091476</v>
      </c>
      <c r="BN101" s="3">
        <v>0</v>
      </c>
      <c r="BO101" s="3">
        <v>0</v>
      </c>
      <c r="BP101" s="3">
        <f t="shared" si="73"/>
        <v>1166.5402610091476</v>
      </c>
      <c r="BQ101" s="3">
        <f t="shared" si="130"/>
        <v>104.56550948055835</v>
      </c>
      <c r="BR101" s="3">
        <v>0</v>
      </c>
      <c r="BS101" s="3">
        <v>0</v>
      </c>
      <c r="BT101" s="3">
        <f t="shared" si="74"/>
        <v>104.56550948055835</v>
      </c>
      <c r="BU101" s="3">
        <f t="shared" si="131"/>
        <v>16.592778076888521</v>
      </c>
      <c r="BV101" s="3">
        <v>0</v>
      </c>
      <c r="BW101" s="3">
        <v>0</v>
      </c>
      <c r="BX101" s="3">
        <f t="shared" si="75"/>
        <v>16.592778076888521</v>
      </c>
      <c r="BY101" s="3">
        <f t="shared" si="132"/>
        <v>39.996823154075408</v>
      </c>
      <c r="BZ101" s="3">
        <v>0</v>
      </c>
      <c r="CA101" s="3">
        <v>0</v>
      </c>
      <c r="CB101" s="3">
        <f t="shared" si="76"/>
        <v>39.996823154075408</v>
      </c>
      <c r="CC101" s="3">
        <f t="shared" si="133"/>
        <v>33.113690545974428</v>
      </c>
      <c r="CD101" s="3">
        <v>0</v>
      </c>
      <c r="CE101" s="3">
        <v>0</v>
      </c>
      <c r="CF101" s="3">
        <f t="shared" si="77"/>
        <v>33.113690545974428</v>
      </c>
      <c r="CG101" s="3">
        <f t="shared" si="134"/>
        <v>37.937311627798998</v>
      </c>
      <c r="CH101" s="3">
        <v>0</v>
      </c>
      <c r="CI101" s="3">
        <v>0</v>
      </c>
      <c r="CJ101" s="3">
        <f t="shared" si="78"/>
        <v>37.937311627798998</v>
      </c>
      <c r="CK101" s="3">
        <f t="shared" si="135"/>
        <v>78.058982204419777</v>
      </c>
      <c r="CL101" s="3">
        <v>0</v>
      </c>
      <c r="CM101" s="3">
        <v>0</v>
      </c>
      <c r="CN101" s="3">
        <f t="shared" si="79"/>
        <v>78.058982204419777</v>
      </c>
      <c r="CO101" s="3">
        <f t="shared" si="136"/>
        <v>152.24887484927899</v>
      </c>
      <c r="CP101" s="3">
        <v>0</v>
      </c>
      <c r="CQ101" s="3">
        <v>0</v>
      </c>
      <c r="CR101" s="3">
        <f t="shared" si="80"/>
        <v>152.24887484927899</v>
      </c>
      <c r="CS101" s="3">
        <f t="shared" si="137"/>
        <v>447.53058465595916</v>
      </c>
      <c r="CT101" s="3">
        <v>0</v>
      </c>
      <c r="CU101" s="3">
        <v>0</v>
      </c>
      <c r="CV101" s="3">
        <f t="shared" si="81"/>
        <v>447.53058465595916</v>
      </c>
      <c r="CW101" s="3">
        <f t="shared" si="138"/>
        <v>1485.9696316265984</v>
      </c>
      <c r="CX101" s="3">
        <v>0</v>
      </c>
      <c r="CY101" s="3">
        <v>0</v>
      </c>
      <c r="CZ101" s="3">
        <f t="shared" si="82"/>
        <v>1485.9696316265984</v>
      </c>
      <c r="DA101" s="3">
        <f t="shared" si="139"/>
        <v>101.26492821116545</v>
      </c>
      <c r="DB101" s="3">
        <v>0</v>
      </c>
      <c r="DC101" s="3">
        <v>0</v>
      </c>
      <c r="DD101" s="3">
        <f t="shared" si="83"/>
        <v>101.26492821116545</v>
      </c>
      <c r="DE101" s="3">
        <f t="shared" si="140"/>
        <v>17.070945996391696</v>
      </c>
      <c r="DF101" s="3">
        <v>0</v>
      </c>
      <c r="DG101" s="3">
        <v>0</v>
      </c>
      <c r="DH101" s="3">
        <f t="shared" si="84"/>
        <v>17.070945996391696</v>
      </c>
      <c r="DI101" s="3">
        <f t="shared" si="141"/>
        <v>0</v>
      </c>
      <c r="DJ101" s="3">
        <v>0</v>
      </c>
      <c r="DK101" s="3">
        <v>0</v>
      </c>
      <c r="DL101" s="3">
        <f t="shared" si="63"/>
        <v>0</v>
      </c>
      <c r="DM101" s="3">
        <f t="shared" si="142"/>
        <v>84.389923874322321</v>
      </c>
      <c r="DN101" s="3">
        <v>0</v>
      </c>
      <c r="DO101" s="3">
        <v>0</v>
      </c>
      <c r="DP101" s="3">
        <f t="shared" si="85"/>
        <v>84.389923874322321</v>
      </c>
      <c r="DQ101" s="3">
        <f t="shared" si="143"/>
        <v>178.11734535055146</v>
      </c>
      <c r="DR101" s="3">
        <v>0</v>
      </c>
      <c r="DS101" s="3">
        <v>0</v>
      </c>
      <c r="DT101" s="3">
        <f t="shared" si="89"/>
        <v>178.11734535055146</v>
      </c>
      <c r="DU101" s="3">
        <f t="shared" si="144"/>
        <v>886.61259053403819</v>
      </c>
      <c r="DV101" s="3">
        <v>0</v>
      </c>
      <c r="DW101" s="3">
        <v>0</v>
      </c>
      <c r="DX101" s="3">
        <f t="shared" si="86"/>
        <v>886.61259053403819</v>
      </c>
      <c r="DY101" s="3">
        <f t="shared" si="145"/>
        <v>3.0374366255864835</v>
      </c>
      <c r="DZ101" s="3">
        <v>0</v>
      </c>
      <c r="EA101" s="3">
        <v>0</v>
      </c>
      <c r="EB101" s="3">
        <f t="shared" si="87"/>
        <v>3.0374366255864835</v>
      </c>
      <c r="EC101" s="4">
        <f t="shared" si="146"/>
        <v>6033.4865999999993</v>
      </c>
      <c r="ED101" s="5">
        <f t="shared" si="88"/>
        <v>0</v>
      </c>
      <c r="EE101" s="6">
        <f t="shared" si="118"/>
        <v>6033.4865999999993</v>
      </c>
      <c r="EF101" s="6">
        <f t="shared" si="118"/>
        <v>0</v>
      </c>
      <c r="EG101" s="6">
        <f t="shared" si="118"/>
        <v>0</v>
      </c>
    </row>
    <row r="102" spans="1:137" ht="12" customHeight="1" x14ac:dyDescent="0.35">
      <c r="A102" s="34" t="s">
        <v>347</v>
      </c>
      <c r="B102" s="35">
        <v>3785</v>
      </c>
      <c r="C102" s="35" t="s">
        <v>348</v>
      </c>
      <c r="D102" s="35" t="s">
        <v>361</v>
      </c>
      <c r="E102" s="34">
        <v>150906</v>
      </c>
      <c r="F102" s="35">
        <v>1204844</v>
      </c>
      <c r="G102" s="8">
        <v>46115</v>
      </c>
      <c r="H102" s="8">
        <v>46132</v>
      </c>
      <c r="I102" s="36">
        <v>18</v>
      </c>
      <c r="J102" s="36">
        <v>347164.96</v>
      </c>
      <c r="K102" s="36">
        <v>62489.692799999997</v>
      </c>
      <c r="L102" s="37"/>
      <c r="M102" s="37"/>
      <c r="N102" s="36">
        <v>62489.692799999997</v>
      </c>
      <c r="O102" s="36">
        <v>409654.65279999998</v>
      </c>
      <c r="P102" s="35" t="s">
        <v>95</v>
      </c>
      <c r="Q102" s="34" t="s">
        <v>185</v>
      </c>
      <c r="R102" s="35" t="s">
        <v>112</v>
      </c>
      <c r="S102" s="35" t="s">
        <v>252</v>
      </c>
      <c r="T102" s="35" t="s">
        <v>253</v>
      </c>
      <c r="U102" s="35" t="s">
        <v>278</v>
      </c>
      <c r="V102" s="34">
        <v>997331</v>
      </c>
      <c r="W102" s="35" t="s">
        <v>424</v>
      </c>
      <c r="X102" s="34" t="s">
        <v>101</v>
      </c>
      <c r="Y102" s="35">
        <v>107</v>
      </c>
      <c r="Z102" s="35" t="s">
        <v>102</v>
      </c>
      <c r="AA102" t="s">
        <v>422</v>
      </c>
      <c r="AB102">
        <v>62489.692799999997</v>
      </c>
      <c r="AC102">
        <v>110613.94</v>
      </c>
      <c r="AD102" s="38">
        <v>-48124</v>
      </c>
      <c r="AE102" t="s">
        <v>104</v>
      </c>
      <c r="AF102" t="s">
        <v>73</v>
      </c>
      <c r="AG102" s="3">
        <f t="shared" si="119"/>
        <v>2313.6554713659566</v>
      </c>
      <c r="AH102" s="3">
        <v>0</v>
      </c>
      <c r="AI102" s="3">
        <v>0</v>
      </c>
      <c r="AJ102" s="3">
        <f t="shared" si="67"/>
        <v>2313.6554713659566</v>
      </c>
      <c r="AK102" s="3">
        <f t="shared" si="120"/>
        <v>19.25260974324593</v>
      </c>
      <c r="AL102" s="3">
        <v>0</v>
      </c>
      <c r="AM102" s="3">
        <v>0</v>
      </c>
      <c r="AN102" s="3">
        <f t="shared" si="68"/>
        <v>19.25260974324593</v>
      </c>
      <c r="AO102" s="3">
        <f t="shared" si="121"/>
        <v>953.64252145451167</v>
      </c>
      <c r="AP102" s="3">
        <v>0</v>
      </c>
      <c r="AQ102" s="3">
        <v>0</v>
      </c>
      <c r="AR102" s="3">
        <f t="shared" si="69"/>
        <v>953.64252145451167</v>
      </c>
      <c r="AS102" s="3">
        <f t="shared" si="122"/>
        <v>835.01734924573111</v>
      </c>
      <c r="AT102" s="3">
        <v>0</v>
      </c>
      <c r="AU102" s="3">
        <v>0</v>
      </c>
      <c r="AV102" s="3">
        <f t="shared" si="70"/>
        <v>835.01734924573111</v>
      </c>
      <c r="AW102" s="3">
        <f t="shared" si="123"/>
        <v>97.947195203476298</v>
      </c>
      <c r="AX102" s="3">
        <v>0</v>
      </c>
      <c r="AY102" s="3">
        <v>0</v>
      </c>
      <c r="AZ102" s="3">
        <f t="shared" si="71"/>
        <v>97.947195203476298</v>
      </c>
      <c r="BA102" s="3">
        <f t="shared" si="124"/>
        <v>1045.8843356137622</v>
      </c>
      <c r="BB102" s="3">
        <v>0</v>
      </c>
      <c r="BC102" s="3">
        <v>0</v>
      </c>
      <c r="BD102" s="3">
        <f t="shared" si="72"/>
        <v>1045.8843356137622</v>
      </c>
      <c r="BE102" s="3">
        <f t="shared" si="125"/>
        <v>4536.5058756538347</v>
      </c>
      <c r="BF102" s="3">
        <f t="shared" si="126"/>
        <v>0</v>
      </c>
      <c r="BG102" s="3">
        <f t="shared" si="127"/>
        <v>0</v>
      </c>
      <c r="BH102" s="3">
        <f t="shared" si="64"/>
        <v>4536.5058756538347</v>
      </c>
      <c r="BI102" s="3">
        <f t="shared" si="128"/>
        <v>2631.214692305256</v>
      </c>
      <c r="BJ102" s="3">
        <v>0</v>
      </c>
      <c r="BK102" s="3">
        <v>0</v>
      </c>
      <c r="BL102" s="3">
        <f t="shared" si="65"/>
        <v>2631.214692305256</v>
      </c>
      <c r="BM102" s="3">
        <f t="shared" si="129"/>
        <v>12082.026095706162</v>
      </c>
      <c r="BN102" s="3">
        <v>0</v>
      </c>
      <c r="BO102" s="3">
        <v>0</v>
      </c>
      <c r="BP102" s="3">
        <f t="shared" si="73"/>
        <v>12082.026095706162</v>
      </c>
      <c r="BQ102" s="3">
        <f t="shared" si="130"/>
        <v>1083.000095652086</v>
      </c>
      <c r="BR102" s="3">
        <v>0</v>
      </c>
      <c r="BS102" s="3">
        <v>0</v>
      </c>
      <c r="BT102" s="3">
        <f t="shared" si="74"/>
        <v>1083.000095652086</v>
      </c>
      <c r="BU102" s="3">
        <f t="shared" si="131"/>
        <v>171.85380087250684</v>
      </c>
      <c r="BV102" s="3">
        <v>0</v>
      </c>
      <c r="BW102" s="3">
        <v>0</v>
      </c>
      <c r="BX102" s="3">
        <f t="shared" si="75"/>
        <v>171.85380087250684</v>
      </c>
      <c r="BY102" s="3">
        <f t="shared" si="132"/>
        <v>414.252878571753</v>
      </c>
      <c r="BZ102" s="3">
        <v>0</v>
      </c>
      <c r="CA102" s="3">
        <v>0</v>
      </c>
      <c r="CB102" s="3">
        <f t="shared" si="76"/>
        <v>414.252878571753</v>
      </c>
      <c r="CC102" s="3">
        <f t="shared" si="133"/>
        <v>342.9632792575037</v>
      </c>
      <c r="CD102" s="3">
        <v>0</v>
      </c>
      <c r="CE102" s="3">
        <v>0</v>
      </c>
      <c r="CF102" s="3">
        <f t="shared" si="77"/>
        <v>342.9632792575037</v>
      </c>
      <c r="CG102" s="3">
        <f t="shared" si="134"/>
        <v>392.9222200110674</v>
      </c>
      <c r="CH102" s="3">
        <v>0</v>
      </c>
      <c r="CI102" s="3">
        <v>0</v>
      </c>
      <c r="CJ102" s="3">
        <f t="shared" si="78"/>
        <v>392.9222200110674</v>
      </c>
      <c r="CK102" s="3">
        <f t="shared" si="135"/>
        <v>808.46816138364477</v>
      </c>
      <c r="CL102" s="3">
        <v>0</v>
      </c>
      <c r="CM102" s="3">
        <v>0</v>
      </c>
      <c r="CN102" s="3">
        <f t="shared" si="79"/>
        <v>808.46816138364477</v>
      </c>
      <c r="CO102" s="3">
        <f t="shared" si="136"/>
        <v>1576.8636029583772</v>
      </c>
      <c r="CP102" s="3">
        <v>0</v>
      </c>
      <c r="CQ102" s="3">
        <v>0</v>
      </c>
      <c r="CR102" s="3">
        <f t="shared" si="80"/>
        <v>1576.8636029583772</v>
      </c>
      <c r="CS102" s="3">
        <f t="shared" si="137"/>
        <v>4635.1389516229765</v>
      </c>
      <c r="CT102" s="3">
        <v>0</v>
      </c>
      <c r="CU102" s="3">
        <v>0</v>
      </c>
      <c r="CV102" s="3">
        <f t="shared" si="81"/>
        <v>4635.1389516229765</v>
      </c>
      <c r="CW102" s="3">
        <f t="shared" si="138"/>
        <v>15390.402257705404</v>
      </c>
      <c r="CX102" s="3">
        <v>0</v>
      </c>
      <c r="CY102" s="3">
        <v>0</v>
      </c>
      <c r="CZ102" s="3">
        <f t="shared" si="82"/>
        <v>15390.402257705404</v>
      </c>
      <c r="DA102" s="3">
        <f t="shared" si="139"/>
        <v>1048.8154983769718</v>
      </c>
      <c r="DB102" s="3">
        <v>0</v>
      </c>
      <c r="DC102" s="3">
        <v>0</v>
      </c>
      <c r="DD102" s="3">
        <f t="shared" si="83"/>
        <v>1048.8154983769718</v>
      </c>
      <c r="DE102" s="3">
        <f t="shared" si="140"/>
        <v>176.80625512948134</v>
      </c>
      <c r="DF102" s="3">
        <v>0</v>
      </c>
      <c r="DG102" s="3">
        <v>0</v>
      </c>
      <c r="DH102" s="3">
        <f t="shared" si="84"/>
        <v>176.80625512948134</v>
      </c>
      <c r="DI102" s="3">
        <f t="shared" si="141"/>
        <v>0</v>
      </c>
      <c r="DJ102" s="3">
        <v>0</v>
      </c>
      <c r="DK102" s="3">
        <v>0</v>
      </c>
      <c r="DL102" s="3">
        <f t="shared" si="63"/>
        <v>0</v>
      </c>
      <c r="DM102" s="3">
        <f t="shared" si="142"/>
        <v>874.03863933696107</v>
      </c>
      <c r="DN102" s="3">
        <v>0</v>
      </c>
      <c r="DO102" s="3">
        <v>0</v>
      </c>
      <c r="DP102" s="3">
        <f t="shared" si="85"/>
        <v>874.03863933696107</v>
      </c>
      <c r="DQ102" s="3">
        <f t="shared" si="143"/>
        <v>1844.7870909844182</v>
      </c>
      <c r="DR102" s="3">
        <v>0</v>
      </c>
      <c r="DS102" s="3">
        <v>0</v>
      </c>
      <c r="DT102" s="3">
        <f t="shared" si="89"/>
        <v>1844.7870909844182</v>
      </c>
      <c r="DU102" s="3">
        <f t="shared" si="144"/>
        <v>9182.7747516807667</v>
      </c>
      <c r="DV102" s="3">
        <v>0</v>
      </c>
      <c r="DW102" s="3">
        <v>0</v>
      </c>
      <c r="DX102" s="3">
        <f t="shared" si="86"/>
        <v>9182.7747516807667</v>
      </c>
      <c r="DY102" s="3">
        <f t="shared" si="145"/>
        <v>31.459170164124991</v>
      </c>
      <c r="DZ102" s="3">
        <v>0</v>
      </c>
      <c r="EA102" s="3">
        <v>0</v>
      </c>
      <c r="EB102" s="3">
        <f t="shared" si="87"/>
        <v>31.459170164124991</v>
      </c>
      <c r="EC102" s="4">
        <f t="shared" si="146"/>
        <v>62489.692799999975</v>
      </c>
      <c r="ED102" s="5">
        <f t="shared" si="88"/>
        <v>0</v>
      </c>
      <c r="EE102" s="6">
        <f t="shared" si="118"/>
        <v>62489.692799999975</v>
      </c>
      <c r="EF102" s="6">
        <f t="shared" si="118"/>
        <v>0</v>
      </c>
      <c r="EG102" s="6">
        <f t="shared" si="118"/>
        <v>0</v>
      </c>
    </row>
    <row r="103" spans="1:137" ht="12" customHeight="1" x14ac:dyDescent="0.35">
      <c r="A103" s="34" t="s">
        <v>347</v>
      </c>
      <c r="B103" s="35">
        <v>3785</v>
      </c>
      <c r="C103" s="35" t="s">
        <v>348</v>
      </c>
      <c r="D103" s="35" t="s">
        <v>361</v>
      </c>
      <c r="E103" s="34">
        <v>150906</v>
      </c>
      <c r="F103" s="35">
        <v>1204844</v>
      </c>
      <c r="G103" s="8">
        <v>46115</v>
      </c>
      <c r="H103" s="8">
        <v>46132</v>
      </c>
      <c r="I103" s="36">
        <v>18</v>
      </c>
      <c r="J103" s="36">
        <v>71827.22</v>
      </c>
      <c r="K103" s="36">
        <v>12928.899600000001</v>
      </c>
      <c r="L103" s="37"/>
      <c r="M103" s="37"/>
      <c r="N103" s="36">
        <v>12928.899600000001</v>
      </c>
      <c r="O103" s="36">
        <v>84756.119600000005</v>
      </c>
      <c r="P103" s="35" t="s">
        <v>95</v>
      </c>
      <c r="Q103" s="34" t="s">
        <v>185</v>
      </c>
      <c r="R103" s="35" t="s">
        <v>112</v>
      </c>
      <c r="S103" s="35" t="s">
        <v>252</v>
      </c>
      <c r="T103" s="35" t="s">
        <v>253</v>
      </c>
      <c r="U103" s="35" t="s">
        <v>278</v>
      </c>
      <c r="V103" s="34">
        <v>997331</v>
      </c>
      <c r="W103" s="35" t="s">
        <v>425</v>
      </c>
      <c r="X103" s="34" t="s">
        <v>101</v>
      </c>
      <c r="Y103" s="35">
        <v>107</v>
      </c>
      <c r="Z103" s="35" t="s">
        <v>102</v>
      </c>
      <c r="AA103" t="s">
        <v>422</v>
      </c>
      <c r="AB103">
        <v>12928.899600000001</v>
      </c>
      <c r="AC103">
        <v>110613.94</v>
      </c>
      <c r="AD103" s="38">
        <v>-97685</v>
      </c>
      <c r="AE103" t="s">
        <v>104</v>
      </c>
      <c r="AF103" t="s">
        <v>73</v>
      </c>
      <c r="AG103" s="3">
        <f t="shared" si="119"/>
        <v>478.68725157632934</v>
      </c>
      <c r="AH103" s="3">
        <v>0</v>
      </c>
      <c r="AI103" s="3">
        <v>0</v>
      </c>
      <c r="AJ103" s="3">
        <f t="shared" si="67"/>
        <v>478.68725157632934</v>
      </c>
      <c r="AK103" s="3">
        <f t="shared" si="120"/>
        <v>3.9832978408946258</v>
      </c>
      <c r="AL103" s="3">
        <v>0</v>
      </c>
      <c r="AM103" s="3">
        <v>0</v>
      </c>
      <c r="AN103" s="3">
        <f t="shared" si="68"/>
        <v>3.9832978408946258</v>
      </c>
      <c r="AO103" s="3">
        <f t="shared" si="121"/>
        <v>197.30531327201896</v>
      </c>
      <c r="AP103" s="3">
        <v>0</v>
      </c>
      <c r="AQ103" s="3">
        <v>0</v>
      </c>
      <c r="AR103" s="3">
        <f t="shared" si="69"/>
        <v>197.30531327201896</v>
      </c>
      <c r="AS103" s="3">
        <f t="shared" si="122"/>
        <v>172.76217867174719</v>
      </c>
      <c r="AT103" s="3">
        <v>0</v>
      </c>
      <c r="AU103" s="3">
        <v>0</v>
      </c>
      <c r="AV103" s="3">
        <f t="shared" si="70"/>
        <v>172.76217867174719</v>
      </c>
      <c r="AW103" s="3">
        <f t="shared" si="123"/>
        <v>20.264933241716093</v>
      </c>
      <c r="AX103" s="3">
        <v>0</v>
      </c>
      <c r="AY103" s="3">
        <v>0</v>
      </c>
      <c r="AZ103" s="3">
        <f t="shared" si="71"/>
        <v>20.264933241716093</v>
      </c>
      <c r="BA103" s="3">
        <f t="shared" si="124"/>
        <v>216.38982306475734</v>
      </c>
      <c r="BB103" s="3">
        <v>0</v>
      </c>
      <c r="BC103" s="3">
        <v>0</v>
      </c>
      <c r="BD103" s="3">
        <f t="shared" si="72"/>
        <v>216.38982306475734</v>
      </c>
      <c r="BE103" s="3">
        <f t="shared" si="125"/>
        <v>938.5872513224856</v>
      </c>
      <c r="BF103" s="3">
        <f t="shared" si="126"/>
        <v>0</v>
      </c>
      <c r="BG103" s="3">
        <f t="shared" si="127"/>
        <v>0</v>
      </c>
      <c r="BH103" s="3">
        <f t="shared" si="64"/>
        <v>938.5872513224856</v>
      </c>
      <c r="BI103" s="3">
        <f t="shared" si="128"/>
        <v>544.3891473708693</v>
      </c>
      <c r="BJ103" s="3">
        <v>0</v>
      </c>
      <c r="BK103" s="3">
        <v>0</v>
      </c>
      <c r="BL103" s="3">
        <f t="shared" si="65"/>
        <v>544.3891473708693</v>
      </c>
      <c r="BM103" s="3">
        <f t="shared" si="129"/>
        <v>2499.729081016781</v>
      </c>
      <c r="BN103" s="3">
        <v>0</v>
      </c>
      <c r="BO103" s="3">
        <v>0</v>
      </c>
      <c r="BP103" s="3">
        <f t="shared" si="73"/>
        <v>2499.729081016781</v>
      </c>
      <c r="BQ103" s="3">
        <f t="shared" si="130"/>
        <v>224.068944430404</v>
      </c>
      <c r="BR103" s="3">
        <v>0</v>
      </c>
      <c r="BS103" s="3">
        <v>0</v>
      </c>
      <c r="BT103" s="3">
        <f t="shared" si="74"/>
        <v>224.068944430404</v>
      </c>
      <c r="BU103" s="3">
        <f t="shared" si="131"/>
        <v>35.555952314731712</v>
      </c>
      <c r="BV103" s="3">
        <v>0</v>
      </c>
      <c r="BW103" s="3">
        <v>0</v>
      </c>
      <c r="BX103" s="3">
        <f t="shared" si="75"/>
        <v>35.555952314731712</v>
      </c>
      <c r="BY103" s="3">
        <f t="shared" si="132"/>
        <v>85.707476482668625</v>
      </c>
      <c r="BZ103" s="3">
        <v>0</v>
      </c>
      <c r="CA103" s="3">
        <v>0</v>
      </c>
      <c r="CB103" s="3">
        <f t="shared" si="76"/>
        <v>85.707476482668625</v>
      </c>
      <c r="CC103" s="3">
        <f t="shared" si="133"/>
        <v>70.957906901520687</v>
      </c>
      <c r="CD103" s="3">
        <v>0</v>
      </c>
      <c r="CE103" s="3">
        <v>0</v>
      </c>
      <c r="CF103" s="3">
        <f t="shared" si="77"/>
        <v>70.957906901520687</v>
      </c>
      <c r="CG103" s="3">
        <f t="shared" si="134"/>
        <v>81.294237585565497</v>
      </c>
      <c r="CH103" s="3">
        <v>0</v>
      </c>
      <c r="CI103" s="3">
        <v>0</v>
      </c>
      <c r="CJ103" s="3">
        <f t="shared" si="78"/>
        <v>81.294237585565497</v>
      </c>
      <c r="CK103" s="3">
        <f t="shared" si="135"/>
        <v>167.26924425408188</v>
      </c>
      <c r="CL103" s="3">
        <v>0</v>
      </c>
      <c r="CM103" s="3">
        <v>0</v>
      </c>
      <c r="CN103" s="3">
        <f t="shared" si="79"/>
        <v>167.26924425408188</v>
      </c>
      <c r="CO103" s="3">
        <f t="shared" si="136"/>
        <v>326.2475824740032</v>
      </c>
      <c r="CP103" s="3">
        <v>0</v>
      </c>
      <c r="CQ103" s="3">
        <v>0</v>
      </c>
      <c r="CR103" s="3">
        <f t="shared" si="80"/>
        <v>326.2475824740032</v>
      </c>
      <c r="CS103" s="3">
        <f t="shared" si="137"/>
        <v>958.99409090362371</v>
      </c>
      <c r="CT103" s="3">
        <v>0</v>
      </c>
      <c r="CU103" s="3">
        <v>0</v>
      </c>
      <c r="CV103" s="3">
        <f t="shared" si="81"/>
        <v>958.99409090362371</v>
      </c>
      <c r="CW103" s="3">
        <f t="shared" si="138"/>
        <v>3184.2205758688974</v>
      </c>
      <c r="CX103" s="3">
        <v>0</v>
      </c>
      <c r="CY103" s="3">
        <v>0</v>
      </c>
      <c r="CZ103" s="3">
        <f t="shared" si="82"/>
        <v>3184.2205758688974</v>
      </c>
      <c r="DA103" s="3">
        <f t="shared" si="139"/>
        <v>216.9962704223733</v>
      </c>
      <c r="DB103" s="3">
        <v>0</v>
      </c>
      <c r="DC103" s="3">
        <v>0</v>
      </c>
      <c r="DD103" s="3">
        <f t="shared" si="83"/>
        <v>216.9962704223733</v>
      </c>
      <c r="DE103" s="3">
        <f t="shared" si="140"/>
        <v>36.58059783614506</v>
      </c>
      <c r="DF103" s="3">
        <v>0</v>
      </c>
      <c r="DG103" s="3">
        <v>0</v>
      </c>
      <c r="DH103" s="3">
        <f t="shared" si="84"/>
        <v>36.58059783614506</v>
      </c>
      <c r="DI103" s="3">
        <f t="shared" si="141"/>
        <v>0</v>
      </c>
      <c r="DJ103" s="3">
        <v>0</v>
      </c>
      <c r="DK103" s="3">
        <v>0</v>
      </c>
      <c r="DL103" s="3">
        <f t="shared" si="63"/>
        <v>0</v>
      </c>
      <c r="DM103" s="3">
        <f t="shared" si="142"/>
        <v>180.8355475626243</v>
      </c>
      <c r="DN103" s="3">
        <v>0</v>
      </c>
      <c r="DO103" s="3">
        <v>0</v>
      </c>
      <c r="DP103" s="3">
        <f t="shared" si="85"/>
        <v>180.8355475626243</v>
      </c>
      <c r="DQ103" s="3">
        <f t="shared" si="143"/>
        <v>381.68001815994859</v>
      </c>
      <c r="DR103" s="3">
        <v>0</v>
      </c>
      <c r="DS103" s="3">
        <v>0</v>
      </c>
      <c r="DT103" s="3">
        <f t="shared" si="89"/>
        <v>381.68001815994859</v>
      </c>
      <c r="DU103" s="3">
        <f t="shared" si="144"/>
        <v>1899.8840847861484</v>
      </c>
      <c r="DV103" s="3">
        <v>0</v>
      </c>
      <c r="DW103" s="3">
        <v>0</v>
      </c>
      <c r="DX103" s="3">
        <f t="shared" si="86"/>
        <v>1899.8840847861484</v>
      </c>
      <c r="DY103" s="3">
        <f t="shared" si="145"/>
        <v>6.5087926396605296</v>
      </c>
      <c r="DZ103" s="3">
        <v>0</v>
      </c>
      <c r="EA103" s="3">
        <v>0</v>
      </c>
      <c r="EB103" s="3">
        <f t="shared" si="87"/>
        <v>6.5087926396605296</v>
      </c>
      <c r="EC103" s="4">
        <f t="shared" si="146"/>
        <v>12928.899599999997</v>
      </c>
      <c r="ED103" s="5">
        <f t="shared" si="88"/>
        <v>0</v>
      </c>
      <c r="EE103" s="6">
        <f t="shared" si="118"/>
        <v>12928.899599999997</v>
      </c>
      <c r="EF103" s="6">
        <f t="shared" si="118"/>
        <v>0</v>
      </c>
      <c r="EG103" s="6">
        <f t="shared" si="118"/>
        <v>0</v>
      </c>
    </row>
    <row r="104" spans="1:137" ht="12" customHeight="1" x14ac:dyDescent="0.35">
      <c r="A104" s="34" t="s">
        <v>347</v>
      </c>
      <c r="B104" s="35">
        <v>3785</v>
      </c>
      <c r="C104" s="35" t="s">
        <v>348</v>
      </c>
      <c r="D104" s="35" t="s">
        <v>361</v>
      </c>
      <c r="E104" s="34">
        <v>150906</v>
      </c>
      <c r="F104" s="35">
        <v>1204540</v>
      </c>
      <c r="G104" s="8">
        <v>46115</v>
      </c>
      <c r="H104" s="8">
        <v>46132</v>
      </c>
      <c r="I104" s="36">
        <v>18</v>
      </c>
      <c r="J104" s="36">
        <v>476215.66</v>
      </c>
      <c r="K104" s="36">
        <v>85718.818799999994</v>
      </c>
      <c r="L104" s="37"/>
      <c r="M104" s="37"/>
      <c r="N104" s="36">
        <v>85718.818799999994</v>
      </c>
      <c r="O104" s="36">
        <v>561934.47880000004</v>
      </c>
      <c r="P104" s="35" t="s">
        <v>95</v>
      </c>
      <c r="Q104" s="34" t="s">
        <v>185</v>
      </c>
      <c r="R104" s="35" t="s">
        <v>112</v>
      </c>
      <c r="S104" s="35" t="s">
        <v>252</v>
      </c>
      <c r="T104" s="35" t="s">
        <v>253</v>
      </c>
      <c r="U104" s="35" t="s">
        <v>278</v>
      </c>
      <c r="V104" s="34">
        <v>997331</v>
      </c>
      <c r="W104" s="35" t="s">
        <v>426</v>
      </c>
      <c r="X104" s="34" t="s">
        <v>101</v>
      </c>
      <c r="Y104" s="35">
        <v>107</v>
      </c>
      <c r="Z104" s="35" t="s">
        <v>102</v>
      </c>
      <c r="AA104" t="s">
        <v>427</v>
      </c>
      <c r="AB104">
        <v>85718.818799999994</v>
      </c>
      <c r="AC104">
        <v>125720.94</v>
      </c>
      <c r="AD104" s="38">
        <v>-40002</v>
      </c>
      <c r="AE104" t="s">
        <v>104</v>
      </c>
      <c r="AF104" t="s">
        <v>73</v>
      </c>
      <c r="AG104" s="3">
        <f t="shared" si="119"/>
        <v>3173.70441794918</v>
      </c>
      <c r="AH104" s="3">
        <v>0</v>
      </c>
      <c r="AI104" s="3">
        <v>0</v>
      </c>
      <c r="AJ104" s="3">
        <f t="shared" si="67"/>
        <v>3173.70441794918</v>
      </c>
      <c r="AK104" s="3">
        <f t="shared" si="120"/>
        <v>26.409330756198123</v>
      </c>
      <c r="AL104" s="3">
        <v>0</v>
      </c>
      <c r="AM104" s="3">
        <v>0</v>
      </c>
      <c r="AN104" s="3">
        <f t="shared" si="68"/>
        <v>26.409330756198123</v>
      </c>
      <c r="AO104" s="3">
        <f t="shared" si="121"/>
        <v>1308.1374997019411</v>
      </c>
      <c r="AP104" s="3">
        <v>0</v>
      </c>
      <c r="AQ104" s="3">
        <v>0</v>
      </c>
      <c r="AR104" s="3">
        <f t="shared" si="69"/>
        <v>1308.1374997019411</v>
      </c>
      <c r="AS104" s="3">
        <f t="shared" si="122"/>
        <v>1145.4161102045159</v>
      </c>
      <c r="AT104" s="3">
        <v>0</v>
      </c>
      <c r="AU104" s="3">
        <v>0</v>
      </c>
      <c r="AV104" s="3">
        <f t="shared" si="70"/>
        <v>1145.4161102045159</v>
      </c>
      <c r="AW104" s="3">
        <f t="shared" si="123"/>
        <v>134.35684352756192</v>
      </c>
      <c r="AX104" s="3">
        <v>0</v>
      </c>
      <c r="AY104" s="3">
        <v>0</v>
      </c>
      <c r="AZ104" s="3">
        <f t="shared" si="71"/>
        <v>134.35684352756192</v>
      </c>
      <c r="BA104" s="3">
        <f t="shared" si="124"/>
        <v>1434.6681161830656</v>
      </c>
      <c r="BB104" s="3">
        <v>0</v>
      </c>
      <c r="BC104" s="3">
        <v>0</v>
      </c>
      <c r="BD104" s="3">
        <f t="shared" si="72"/>
        <v>1434.6681161830656</v>
      </c>
      <c r="BE104" s="3">
        <f t="shared" si="125"/>
        <v>6222.8490446396681</v>
      </c>
      <c r="BF104" s="3">
        <f t="shared" si="126"/>
        <v>0</v>
      </c>
      <c r="BG104" s="3">
        <f t="shared" si="127"/>
        <v>0</v>
      </c>
      <c r="BH104" s="3">
        <f t="shared" si="64"/>
        <v>6222.8490446396681</v>
      </c>
      <c r="BI104" s="3">
        <f t="shared" si="128"/>
        <v>3609.309076866065</v>
      </c>
      <c r="BJ104" s="3">
        <v>0</v>
      </c>
      <c r="BK104" s="3">
        <v>0</v>
      </c>
      <c r="BL104" s="3">
        <f t="shared" si="65"/>
        <v>3609.309076866065</v>
      </c>
      <c r="BM104" s="3">
        <f t="shared" si="129"/>
        <v>16573.245270213713</v>
      </c>
      <c r="BN104" s="3">
        <v>0</v>
      </c>
      <c r="BO104" s="3">
        <v>0</v>
      </c>
      <c r="BP104" s="3">
        <f t="shared" si="73"/>
        <v>16573.245270213713</v>
      </c>
      <c r="BQ104" s="3">
        <f t="shared" si="130"/>
        <v>1485.5808182110925</v>
      </c>
      <c r="BR104" s="3">
        <v>0</v>
      </c>
      <c r="BS104" s="3">
        <v>0</v>
      </c>
      <c r="BT104" s="3">
        <f t="shared" si="74"/>
        <v>1485.5808182110925</v>
      </c>
      <c r="BU104" s="3">
        <f t="shared" si="131"/>
        <v>235.73655361419375</v>
      </c>
      <c r="BV104" s="3">
        <v>0</v>
      </c>
      <c r="BW104" s="3">
        <v>0</v>
      </c>
      <c r="BX104" s="3">
        <f t="shared" si="75"/>
        <v>235.73655361419375</v>
      </c>
      <c r="BY104" s="3">
        <f t="shared" si="132"/>
        <v>568.24199071227474</v>
      </c>
      <c r="BZ104" s="3">
        <v>0</v>
      </c>
      <c r="CA104" s="3">
        <v>0</v>
      </c>
      <c r="CB104" s="3">
        <f t="shared" si="76"/>
        <v>568.24199071227474</v>
      </c>
      <c r="CC104" s="3">
        <f t="shared" si="133"/>
        <v>470.45209973776275</v>
      </c>
      <c r="CD104" s="3">
        <v>0</v>
      </c>
      <c r="CE104" s="3">
        <v>0</v>
      </c>
      <c r="CF104" s="3">
        <f t="shared" si="77"/>
        <v>470.45209973776275</v>
      </c>
      <c r="CG104" s="3">
        <f t="shared" si="134"/>
        <v>538.98214362197052</v>
      </c>
      <c r="CH104" s="3">
        <v>0</v>
      </c>
      <c r="CI104" s="3">
        <v>0</v>
      </c>
      <c r="CJ104" s="3">
        <f t="shared" si="78"/>
        <v>538.98214362197052</v>
      </c>
      <c r="CK104" s="3">
        <f t="shared" si="135"/>
        <v>1108.9978639039462</v>
      </c>
      <c r="CL104" s="3">
        <v>0</v>
      </c>
      <c r="CM104" s="3">
        <v>0</v>
      </c>
      <c r="CN104" s="3">
        <f t="shared" si="79"/>
        <v>1108.9978639039462</v>
      </c>
      <c r="CO104" s="3">
        <f t="shared" si="136"/>
        <v>2163.0268832799297</v>
      </c>
      <c r="CP104" s="3">
        <v>0</v>
      </c>
      <c r="CQ104" s="3">
        <v>0</v>
      </c>
      <c r="CR104" s="3">
        <f t="shared" si="80"/>
        <v>2163.0268832799297</v>
      </c>
      <c r="CS104" s="3">
        <f t="shared" si="137"/>
        <v>6358.146729551403</v>
      </c>
      <c r="CT104" s="3">
        <v>0</v>
      </c>
      <c r="CU104" s="3">
        <v>0</v>
      </c>
      <c r="CV104" s="3">
        <f t="shared" si="81"/>
        <v>6358.146729551403</v>
      </c>
      <c r="CW104" s="3">
        <f t="shared" si="138"/>
        <v>21111.43523476179</v>
      </c>
      <c r="CX104" s="3">
        <v>0</v>
      </c>
      <c r="CY104" s="3">
        <v>0</v>
      </c>
      <c r="CZ104" s="3">
        <f t="shared" si="82"/>
        <v>21111.43523476179</v>
      </c>
      <c r="DA104" s="3">
        <f t="shared" si="139"/>
        <v>1438.6888722232181</v>
      </c>
      <c r="DB104" s="3">
        <v>0</v>
      </c>
      <c r="DC104" s="3">
        <v>0</v>
      </c>
      <c r="DD104" s="3">
        <f t="shared" si="83"/>
        <v>1438.6888722232181</v>
      </c>
      <c r="DE104" s="3">
        <f t="shared" si="140"/>
        <v>242.5299704169866</v>
      </c>
      <c r="DF104" s="3">
        <v>0</v>
      </c>
      <c r="DG104" s="3">
        <v>0</v>
      </c>
      <c r="DH104" s="3">
        <f t="shared" si="84"/>
        <v>242.5299704169866</v>
      </c>
      <c r="DI104" s="3">
        <f t="shared" si="141"/>
        <v>0</v>
      </c>
      <c r="DJ104" s="3">
        <v>0</v>
      </c>
      <c r="DK104" s="3">
        <v>0</v>
      </c>
      <c r="DL104" s="3">
        <f t="shared" si="63"/>
        <v>0</v>
      </c>
      <c r="DM104" s="3">
        <f t="shared" si="142"/>
        <v>1198.9426798642146</v>
      </c>
      <c r="DN104" s="3">
        <v>0</v>
      </c>
      <c r="DO104" s="3">
        <v>0</v>
      </c>
      <c r="DP104" s="3">
        <f t="shared" si="85"/>
        <v>1198.9426798642146</v>
      </c>
      <c r="DQ104" s="3">
        <f t="shared" si="143"/>
        <v>2530.5448513370261</v>
      </c>
      <c r="DR104" s="3">
        <v>0</v>
      </c>
      <c r="DS104" s="3">
        <v>0</v>
      </c>
      <c r="DT104" s="3">
        <f t="shared" si="89"/>
        <v>2530.5448513370261</v>
      </c>
      <c r="DU104" s="3">
        <f t="shared" si="144"/>
        <v>12596.262995559782</v>
      </c>
      <c r="DV104" s="3">
        <v>0</v>
      </c>
      <c r="DW104" s="3">
        <v>0</v>
      </c>
      <c r="DX104" s="3">
        <f t="shared" si="86"/>
        <v>12596.262995559782</v>
      </c>
      <c r="DY104" s="3">
        <f t="shared" si="145"/>
        <v>43.15340316246516</v>
      </c>
      <c r="DZ104" s="3">
        <v>0</v>
      </c>
      <c r="EA104" s="3">
        <v>0</v>
      </c>
      <c r="EB104" s="3">
        <f t="shared" si="87"/>
        <v>43.15340316246516</v>
      </c>
      <c r="EC104" s="4">
        <f t="shared" si="146"/>
        <v>85718.81879999995</v>
      </c>
      <c r="ED104" s="5">
        <f t="shared" si="88"/>
        <v>0</v>
      </c>
      <c r="EE104" s="6">
        <f t="shared" si="118"/>
        <v>85718.81879999995</v>
      </c>
      <c r="EF104" s="6">
        <f t="shared" si="118"/>
        <v>0</v>
      </c>
      <c r="EG104" s="6">
        <f t="shared" si="118"/>
        <v>0</v>
      </c>
    </row>
    <row r="105" spans="1:137" ht="12" customHeight="1" x14ac:dyDescent="0.35">
      <c r="A105" s="34" t="s">
        <v>347</v>
      </c>
      <c r="B105" s="35">
        <v>3785</v>
      </c>
      <c r="C105" s="35" t="s">
        <v>348</v>
      </c>
      <c r="D105" s="35" t="s">
        <v>361</v>
      </c>
      <c r="E105" s="34">
        <v>150906</v>
      </c>
      <c r="F105" s="35">
        <v>1204540</v>
      </c>
      <c r="G105" s="8">
        <v>46115</v>
      </c>
      <c r="H105" s="8">
        <v>46132</v>
      </c>
      <c r="I105" s="36">
        <v>18</v>
      </c>
      <c r="J105" s="36">
        <v>222233.95</v>
      </c>
      <c r="K105" s="36">
        <v>40002.110999999997</v>
      </c>
      <c r="L105" s="37"/>
      <c r="M105" s="37"/>
      <c r="N105" s="36">
        <v>40002.110999999997</v>
      </c>
      <c r="O105" s="36">
        <v>262236.06099999999</v>
      </c>
      <c r="P105" s="35" t="s">
        <v>95</v>
      </c>
      <c r="Q105" s="34" t="s">
        <v>185</v>
      </c>
      <c r="R105" s="35" t="s">
        <v>112</v>
      </c>
      <c r="S105" s="35" t="s">
        <v>252</v>
      </c>
      <c r="T105" s="35" t="s">
        <v>253</v>
      </c>
      <c r="U105" s="35" t="s">
        <v>278</v>
      </c>
      <c r="V105" s="34">
        <v>997331</v>
      </c>
      <c r="W105" s="35" t="s">
        <v>428</v>
      </c>
      <c r="X105" s="34" t="s">
        <v>101</v>
      </c>
      <c r="Y105" s="35">
        <v>107</v>
      </c>
      <c r="Z105" s="35" t="s">
        <v>102</v>
      </c>
      <c r="AA105" t="s">
        <v>427</v>
      </c>
      <c r="AB105">
        <v>40002.110999999997</v>
      </c>
      <c r="AC105">
        <v>125720.94</v>
      </c>
      <c r="AD105" s="38">
        <v>-85719</v>
      </c>
      <c r="AE105" t="s">
        <v>104</v>
      </c>
      <c r="AF105" t="s">
        <v>73</v>
      </c>
      <c r="AG105" s="3">
        <f t="shared" si="119"/>
        <v>1481.0618973204223</v>
      </c>
      <c r="AH105" s="3">
        <v>0</v>
      </c>
      <c r="AI105" s="3">
        <v>0</v>
      </c>
      <c r="AJ105" s="3">
        <f t="shared" si="67"/>
        <v>1481.0618973204223</v>
      </c>
      <c r="AK105" s="3">
        <f t="shared" si="120"/>
        <v>12.324352984961468</v>
      </c>
      <c r="AL105" s="3">
        <v>0</v>
      </c>
      <c r="AM105" s="3">
        <v>0</v>
      </c>
      <c r="AN105" s="3">
        <f t="shared" si="68"/>
        <v>12.324352984961468</v>
      </c>
      <c r="AO105" s="3">
        <f t="shared" si="121"/>
        <v>610.46409876963344</v>
      </c>
      <c r="AP105" s="3">
        <v>0</v>
      </c>
      <c r="AQ105" s="3">
        <v>0</v>
      </c>
      <c r="AR105" s="3">
        <f t="shared" si="69"/>
        <v>610.46409876963344</v>
      </c>
      <c r="AS105" s="3">
        <f t="shared" si="122"/>
        <v>534.52745876602387</v>
      </c>
      <c r="AT105" s="3">
        <v>0</v>
      </c>
      <c r="AU105" s="3">
        <v>0</v>
      </c>
      <c r="AV105" s="3">
        <f t="shared" si="70"/>
        <v>534.52745876602387</v>
      </c>
      <c r="AW105" s="3">
        <f t="shared" si="123"/>
        <v>62.699853353545798</v>
      </c>
      <c r="AX105" s="3">
        <v>0</v>
      </c>
      <c r="AY105" s="3">
        <v>0</v>
      </c>
      <c r="AZ105" s="3">
        <f t="shared" si="71"/>
        <v>62.699853353545798</v>
      </c>
      <c r="BA105" s="3">
        <f t="shared" si="124"/>
        <v>669.51171324021891</v>
      </c>
      <c r="BB105" s="3">
        <v>0</v>
      </c>
      <c r="BC105" s="3">
        <v>0</v>
      </c>
      <c r="BD105" s="3">
        <f t="shared" si="72"/>
        <v>669.51171324021891</v>
      </c>
      <c r="BE105" s="3">
        <f t="shared" si="125"/>
        <v>2903.9958985053113</v>
      </c>
      <c r="BF105" s="3">
        <f t="shared" si="126"/>
        <v>0</v>
      </c>
      <c r="BG105" s="3">
        <f t="shared" si="127"/>
        <v>0</v>
      </c>
      <c r="BH105" s="3">
        <f t="shared" si="64"/>
        <v>2903.9958985053113</v>
      </c>
      <c r="BI105" s="3">
        <f t="shared" si="128"/>
        <v>1684.3440489185073</v>
      </c>
      <c r="BJ105" s="3">
        <v>0</v>
      </c>
      <c r="BK105" s="3">
        <v>0</v>
      </c>
      <c r="BL105" s="3">
        <f t="shared" si="65"/>
        <v>1684.3440489185073</v>
      </c>
      <c r="BM105" s="3">
        <f t="shared" si="129"/>
        <v>7734.180267651027</v>
      </c>
      <c r="BN105" s="3">
        <v>0</v>
      </c>
      <c r="BO105" s="3">
        <v>0</v>
      </c>
      <c r="BP105" s="3">
        <f t="shared" si="73"/>
        <v>7734.180267651027</v>
      </c>
      <c r="BQ105" s="3">
        <f t="shared" si="130"/>
        <v>693.27097154949297</v>
      </c>
      <c r="BR105" s="3">
        <v>0</v>
      </c>
      <c r="BS105" s="3">
        <v>0</v>
      </c>
      <c r="BT105" s="3">
        <f t="shared" si="74"/>
        <v>693.27097154949297</v>
      </c>
      <c r="BU105" s="3">
        <f t="shared" si="131"/>
        <v>110.01037947611604</v>
      </c>
      <c r="BV105" s="3">
        <v>0</v>
      </c>
      <c r="BW105" s="3">
        <v>0</v>
      </c>
      <c r="BX105" s="3">
        <f t="shared" si="75"/>
        <v>110.01037947611604</v>
      </c>
      <c r="BY105" s="3">
        <f t="shared" si="132"/>
        <v>265.17956623234966</v>
      </c>
      <c r="BZ105" s="3">
        <v>0</v>
      </c>
      <c r="CA105" s="3">
        <v>0</v>
      </c>
      <c r="CB105" s="3">
        <f t="shared" si="76"/>
        <v>265.17956623234966</v>
      </c>
      <c r="CC105" s="3">
        <f t="shared" si="133"/>
        <v>219.54428884282595</v>
      </c>
      <c r="CD105" s="3">
        <v>0</v>
      </c>
      <c r="CE105" s="3">
        <v>0</v>
      </c>
      <c r="CF105" s="3">
        <f t="shared" si="77"/>
        <v>219.54428884282595</v>
      </c>
      <c r="CG105" s="3">
        <f t="shared" si="134"/>
        <v>251.524972439121</v>
      </c>
      <c r="CH105" s="3">
        <v>0</v>
      </c>
      <c r="CI105" s="3">
        <v>0</v>
      </c>
      <c r="CJ105" s="3">
        <f t="shared" si="78"/>
        <v>251.524972439121</v>
      </c>
      <c r="CK105" s="3">
        <f t="shared" si="135"/>
        <v>517.53227904545679</v>
      </c>
      <c r="CL105" s="3">
        <v>0</v>
      </c>
      <c r="CM105" s="3">
        <v>0</v>
      </c>
      <c r="CN105" s="3">
        <f t="shared" si="79"/>
        <v>517.53227904545679</v>
      </c>
      <c r="CO105" s="3">
        <f t="shared" si="136"/>
        <v>1009.4124334917667</v>
      </c>
      <c r="CP105" s="3">
        <v>0</v>
      </c>
      <c r="CQ105" s="3">
        <v>0</v>
      </c>
      <c r="CR105" s="3">
        <f t="shared" si="80"/>
        <v>1009.4124334917667</v>
      </c>
      <c r="CS105" s="3">
        <f t="shared" si="137"/>
        <v>2967.134811122738</v>
      </c>
      <c r="CT105" s="3">
        <v>0</v>
      </c>
      <c r="CU105" s="3">
        <v>0</v>
      </c>
      <c r="CV105" s="3">
        <f t="shared" si="81"/>
        <v>2967.134811122738</v>
      </c>
      <c r="CW105" s="3">
        <f t="shared" si="138"/>
        <v>9852.0020160409895</v>
      </c>
      <c r="CX105" s="3">
        <v>0</v>
      </c>
      <c r="CY105" s="3">
        <v>0</v>
      </c>
      <c r="CZ105" s="3">
        <f t="shared" si="82"/>
        <v>9852.0020160409895</v>
      </c>
      <c r="DA105" s="3">
        <f t="shared" si="139"/>
        <v>671.38806585069256</v>
      </c>
      <c r="DB105" s="3">
        <v>0</v>
      </c>
      <c r="DC105" s="3">
        <v>0</v>
      </c>
      <c r="DD105" s="3">
        <f t="shared" si="83"/>
        <v>671.38806585069256</v>
      </c>
      <c r="DE105" s="3">
        <f t="shared" si="140"/>
        <v>113.18064029887233</v>
      </c>
      <c r="DF105" s="3">
        <v>0</v>
      </c>
      <c r="DG105" s="3">
        <v>0</v>
      </c>
      <c r="DH105" s="3">
        <f t="shared" si="84"/>
        <v>113.18064029887233</v>
      </c>
      <c r="DI105" s="3">
        <f t="shared" si="141"/>
        <v>0</v>
      </c>
      <c r="DJ105" s="3">
        <v>0</v>
      </c>
      <c r="DK105" s="3">
        <v>0</v>
      </c>
      <c r="DL105" s="3">
        <f t="shared" si="63"/>
        <v>0</v>
      </c>
      <c r="DM105" s="3">
        <f t="shared" si="142"/>
        <v>559.50652183468696</v>
      </c>
      <c r="DN105" s="3">
        <v>0</v>
      </c>
      <c r="DO105" s="3">
        <v>0</v>
      </c>
      <c r="DP105" s="3">
        <f t="shared" si="85"/>
        <v>559.50652183468696</v>
      </c>
      <c r="DQ105" s="3">
        <f t="shared" si="143"/>
        <v>1180.9207995486545</v>
      </c>
      <c r="DR105" s="3">
        <v>0</v>
      </c>
      <c r="DS105" s="3">
        <v>0</v>
      </c>
      <c r="DT105" s="3">
        <f t="shared" si="89"/>
        <v>1180.9207995486545</v>
      </c>
      <c r="DU105" s="3">
        <f t="shared" si="144"/>
        <v>5878.2554121426474</v>
      </c>
      <c r="DV105" s="3">
        <v>0</v>
      </c>
      <c r="DW105" s="3">
        <v>0</v>
      </c>
      <c r="DX105" s="3">
        <f t="shared" si="86"/>
        <v>5878.2554121426474</v>
      </c>
      <c r="DY105" s="3">
        <f t="shared" si="145"/>
        <v>20.13825257392234</v>
      </c>
      <c r="DZ105" s="3">
        <v>0</v>
      </c>
      <c r="EA105" s="3">
        <v>0</v>
      </c>
      <c r="EB105" s="3">
        <f t="shared" si="87"/>
        <v>20.13825257392234</v>
      </c>
      <c r="EC105" s="4">
        <f t="shared" si="146"/>
        <v>40002.110999999997</v>
      </c>
      <c r="ED105" s="5">
        <f t="shared" si="88"/>
        <v>0</v>
      </c>
      <c r="EE105" s="6">
        <f t="shared" si="118"/>
        <v>40002.110999999997</v>
      </c>
      <c r="EF105" s="6">
        <f t="shared" si="118"/>
        <v>0</v>
      </c>
      <c r="EG105" s="6">
        <f t="shared" si="118"/>
        <v>0</v>
      </c>
    </row>
    <row r="106" spans="1:137" ht="12" customHeight="1" x14ac:dyDescent="0.35">
      <c r="A106" s="34" t="s">
        <v>347</v>
      </c>
      <c r="B106" s="35">
        <v>3785</v>
      </c>
      <c r="C106" s="35" t="s">
        <v>348</v>
      </c>
      <c r="D106" s="35" t="s">
        <v>361</v>
      </c>
      <c r="E106" s="34">
        <v>150906</v>
      </c>
      <c r="F106" s="35">
        <v>1204541</v>
      </c>
      <c r="G106" s="8">
        <v>46115</v>
      </c>
      <c r="H106" s="8">
        <v>46132</v>
      </c>
      <c r="I106" s="36">
        <v>18</v>
      </c>
      <c r="J106" s="36">
        <v>130101.99</v>
      </c>
      <c r="K106" s="36">
        <v>23418.358199999999</v>
      </c>
      <c r="L106" s="37"/>
      <c r="M106" s="37"/>
      <c r="N106" s="36">
        <v>23418.358199999999</v>
      </c>
      <c r="O106" s="36">
        <v>153520.34820000001</v>
      </c>
      <c r="P106" s="35" t="s">
        <v>95</v>
      </c>
      <c r="Q106" s="34" t="s">
        <v>185</v>
      </c>
      <c r="R106" s="35" t="s">
        <v>112</v>
      </c>
      <c r="S106" s="35" t="s">
        <v>252</v>
      </c>
      <c r="T106" s="35" t="s">
        <v>253</v>
      </c>
      <c r="U106" s="35" t="s">
        <v>278</v>
      </c>
      <c r="V106" s="34">
        <v>997331</v>
      </c>
      <c r="W106" s="35" t="s">
        <v>429</v>
      </c>
      <c r="X106" s="34" t="s">
        <v>101</v>
      </c>
      <c r="Y106" s="35">
        <v>107</v>
      </c>
      <c r="Z106" s="35" t="s">
        <v>102</v>
      </c>
      <c r="AA106" t="s">
        <v>430</v>
      </c>
      <c r="AB106">
        <v>23418.358199999999</v>
      </c>
      <c r="AC106">
        <v>360154.68</v>
      </c>
      <c r="AD106" s="38">
        <v>-336736</v>
      </c>
      <c r="AE106" t="s">
        <v>104</v>
      </c>
      <c r="AF106" t="s">
        <v>73</v>
      </c>
      <c r="AG106" s="3">
        <f t="shared" si="119"/>
        <v>867.05519185778144</v>
      </c>
      <c r="AH106" s="3">
        <v>0</v>
      </c>
      <c r="AI106" s="3">
        <v>0</v>
      </c>
      <c r="AJ106" s="3">
        <f t="shared" si="67"/>
        <v>867.05519185778144</v>
      </c>
      <c r="AK106" s="3">
        <f t="shared" si="120"/>
        <v>7.2150220468381505</v>
      </c>
      <c r="AL106" s="3">
        <v>0</v>
      </c>
      <c r="AM106" s="3">
        <v>0</v>
      </c>
      <c r="AN106" s="3">
        <f t="shared" si="68"/>
        <v>7.2150220468381505</v>
      </c>
      <c r="AO106" s="3">
        <f t="shared" si="121"/>
        <v>357.38281245275925</v>
      </c>
      <c r="AP106" s="3">
        <v>0</v>
      </c>
      <c r="AQ106" s="3">
        <v>0</v>
      </c>
      <c r="AR106" s="3">
        <f t="shared" si="69"/>
        <v>357.38281245275925</v>
      </c>
      <c r="AS106" s="3">
        <f t="shared" si="122"/>
        <v>312.92737268586848</v>
      </c>
      <c r="AT106" s="3">
        <v>0</v>
      </c>
      <c r="AU106" s="3">
        <v>0</v>
      </c>
      <c r="AV106" s="3">
        <f t="shared" si="70"/>
        <v>312.92737268586848</v>
      </c>
      <c r="AW106" s="3">
        <f t="shared" si="123"/>
        <v>36.706253450494316</v>
      </c>
      <c r="AX106" s="3">
        <v>0</v>
      </c>
      <c r="AY106" s="3">
        <v>0</v>
      </c>
      <c r="AZ106" s="3">
        <f t="shared" si="71"/>
        <v>36.706253450494316</v>
      </c>
      <c r="BA106" s="3">
        <f t="shared" si="124"/>
        <v>391.95094278287291</v>
      </c>
      <c r="BB106" s="3">
        <v>0</v>
      </c>
      <c r="BC106" s="3">
        <v>0</v>
      </c>
      <c r="BD106" s="3">
        <f t="shared" si="72"/>
        <v>391.95094278287291</v>
      </c>
      <c r="BE106" s="3">
        <f t="shared" si="125"/>
        <v>1700.0806823051969</v>
      </c>
      <c r="BF106" s="3">
        <f t="shared" si="126"/>
        <v>0</v>
      </c>
      <c r="BG106" s="3">
        <f t="shared" si="127"/>
        <v>0</v>
      </c>
      <c r="BH106" s="3">
        <f t="shared" si="64"/>
        <v>1700.0806823051969</v>
      </c>
      <c r="BI106" s="3">
        <f t="shared" si="128"/>
        <v>986.06226730414107</v>
      </c>
      <c r="BJ106" s="3">
        <v>0</v>
      </c>
      <c r="BK106" s="3">
        <v>0</v>
      </c>
      <c r="BL106" s="3">
        <f t="shared" si="65"/>
        <v>986.06226730414107</v>
      </c>
      <c r="BM106" s="3">
        <f t="shared" si="129"/>
        <v>4527.8061423114304</v>
      </c>
      <c r="BN106" s="3">
        <v>0</v>
      </c>
      <c r="BO106" s="3">
        <v>0</v>
      </c>
      <c r="BP106" s="3">
        <f t="shared" si="73"/>
        <v>4527.8061423114304</v>
      </c>
      <c r="BQ106" s="3">
        <f t="shared" si="130"/>
        <v>405.86027925896298</v>
      </c>
      <c r="BR106" s="3">
        <v>0</v>
      </c>
      <c r="BS106" s="3">
        <v>0</v>
      </c>
      <c r="BT106" s="3">
        <f t="shared" si="74"/>
        <v>405.86027925896298</v>
      </c>
      <c r="BU106" s="3">
        <f t="shared" si="131"/>
        <v>64.403162930316697</v>
      </c>
      <c r="BV106" s="3">
        <v>0</v>
      </c>
      <c r="BW106" s="3">
        <v>0</v>
      </c>
      <c r="BX106" s="3">
        <f t="shared" si="75"/>
        <v>64.403162930316697</v>
      </c>
      <c r="BY106" s="3">
        <f t="shared" si="132"/>
        <v>155.24355875493143</v>
      </c>
      <c r="BZ106" s="3">
        <v>0</v>
      </c>
      <c r="CA106" s="3">
        <v>0</v>
      </c>
      <c r="CB106" s="3">
        <f t="shared" si="76"/>
        <v>155.24355875493143</v>
      </c>
      <c r="CC106" s="3">
        <f t="shared" si="133"/>
        <v>128.52738688929594</v>
      </c>
      <c r="CD106" s="3">
        <v>0</v>
      </c>
      <c r="CE106" s="3">
        <v>0</v>
      </c>
      <c r="CF106" s="3">
        <f t="shared" si="77"/>
        <v>128.52738688929594</v>
      </c>
      <c r="CG106" s="3">
        <f t="shared" si="134"/>
        <v>147.24977641366135</v>
      </c>
      <c r="CH106" s="3">
        <v>0</v>
      </c>
      <c r="CI106" s="3">
        <v>0</v>
      </c>
      <c r="CJ106" s="3">
        <f t="shared" si="78"/>
        <v>147.24977641366135</v>
      </c>
      <c r="CK106" s="3">
        <f t="shared" si="135"/>
        <v>302.97791760911974</v>
      </c>
      <c r="CL106" s="3">
        <v>0</v>
      </c>
      <c r="CM106" s="3">
        <v>0</v>
      </c>
      <c r="CN106" s="3">
        <f t="shared" si="79"/>
        <v>302.97791760911974</v>
      </c>
      <c r="CO106" s="3">
        <f t="shared" si="136"/>
        <v>590.9383617040578</v>
      </c>
      <c r="CP106" s="3">
        <v>0</v>
      </c>
      <c r="CQ106" s="3">
        <v>0</v>
      </c>
      <c r="CR106" s="3">
        <f t="shared" si="80"/>
        <v>590.9383617040578</v>
      </c>
      <c r="CS106" s="3">
        <f t="shared" si="137"/>
        <v>1737.0439733683461</v>
      </c>
      <c r="CT106" s="3">
        <v>0</v>
      </c>
      <c r="CU106" s="3">
        <v>0</v>
      </c>
      <c r="CV106" s="3">
        <f t="shared" si="81"/>
        <v>1737.0439733683461</v>
      </c>
      <c r="CW106" s="3">
        <f t="shared" si="138"/>
        <v>5767.6384178517492</v>
      </c>
      <c r="CX106" s="3">
        <v>0</v>
      </c>
      <c r="CY106" s="3">
        <v>0</v>
      </c>
      <c r="CZ106" s="3">
        <f t="shared" si="82"/>
        <v>5767.6384178517492</v>
      </c>
      <c r="DA106" s="3">
        <f t="shared" si="139"/>
        <v>393.04941224968621</v>
      </c>
      <c r="DB106" s="3">
        <v>0</v>
      </c>
      <c r="DC106" s="3">
        <v>0</v>
      </c>
      <c r="DD106" s="3">
        <f t="shared" si="83"/>
        <v>393.04941224968621</v>
      </c>
      <c r="DE106" s="3">
        <f t="shared" si="140"/>
        <v>66.25912257041503</v>
      </c>
      <c r="DF106" s="3">
        <v>0</v>
      </c>
      <c r="DG106" s="3">
        <v>0</v>
      </c>
      <c r="DH106" s="3">
        <f t="shared" si="84"/>
        <v>66.25912257041503</v>
      </c>
      <c r="DI106" s="3">
        <f t="shared" si="141"/>
        <v>0</v>
      </c>
      <c r="DJ106" s="3">
        <v>0</v>
      </c>
      <c r="DK106" s="3">
        <v>0</v>
      </c>
      <c r="DL106" s="3">
        <f t="shared" si="63"/>
        <v>0</v>
      </c>
      <c r="DM106" s="3">
        <f t="shared" si="142"/>
        <v>327.55081709464838</v>
      </c>
      <c r="DN106" s="3">
        <v>0</v>
      </c>
      <c r="DO106" s="3">
        <v>0</v>
      </c>
      <c r="DP106" s="3">
        <f t="shared" si="85"/>
        <v>327.55081709464838</v>
      </c>
      <c r="DQ106" s="3">
        <f t="shared" si="143"/>
        <v>691.34417155286599</v>
      </c>
      <c r="DR106" s="3">
        <v>0</v>
      </c>
      <c r="DS106" s="3">
        <v>0</v>
      </c>
      <c r="DT106" s="3">
        <f t="shared" si="89"/>
        <v>691.34417155286599</v>
      </c>
      <c r="DU106" s="3">
        <f t="shared" si="144"/>
        <v>3441.2956564378605</v>
      </c>
      <c r="DV106" s="3">
        <v>0</v>
      </c>
      <c r="DW106" s="3">
        <v>0</v>
      </c>
      <c r="DX106" s="3">
        <f t="shared" si="86"/>
        <v>3441.2956564378605</v>
      </c>
      <c r="DY106" s="3">
        <f t="shared" si="145"/>
        <v>11.789498116691524</v>
      </c>
      <c r="DZ106" s="3">
        <v>0</v>
      </c>
      <c r="EA106" s="3">
        <v>0</v>
      </c>
      <c r="EB106" s="3">
        <f t="shared" si="87"/>
        <v>11.789498116691524</v>
      </c>
      <c r="EC106" s="4">
        <f t="shared" si="146"/>
        <v>23418.358199999995</v>
      </c>
      <c r="ED106" s="5">
        <f t="shared" si="88"/>
        <v>0</v>
      </c>
      <c r="EE106" s="6">
        <f t="shared" si="118"/>
        <v>23418.358199999995</v>
      </c>
      <c r="EF106" s="6">
        <f t="shared" si="118"/>
        <v>0</v>
      </c>
      <c r="EG106" s="6">
        <f t="shared" si="118"/>
        <v>0</v>
      </c>
    </row>
    <row r="107" spans="1:137" ht="12" customHeight="1" x14ac:dyDescent="0.35">
      <c r="A107" s="34" t="s">
        <v>347</v>
      </c>
      <c r="B107" s="35">
        <v>3785</v>
      </c>
      <c r="C107" s="35" t="s">
        <v>348</v>
      </c>
      <c r="D107" s="35" t="s">
        <v>361</v>
      </c>
      <c r="E107" s="34">
        <v>150906</v>
      </c>
      <c r="F107" s="35">
        <v>1204541</v>
      </c>
      <c r="G107" s="8">
        <v>46115</v>
      </c>
      <c r="H107" s="8">
        <v>46132</v>
      </c>
      <c r="I107" s="36">
        <v>18</v>
      </c>
      <c r="J107" s="36">
        <v>250173.95</v>
      </c>
      <c r="K107" s="36">
        <v>45031.311000000002</v>
      </c>
      <c r="L107" s="37"/>
      <c r="M107" s="37"/>
      <c r="N107" s="36">
        <v>45031.311000000002</v>
      </c>
      <c r="O107" s="36">
        <v>295205.261</v>
      </c>
      <c r="P107" s="35" t="s">
        <v>95</v>
      </c>
      <c r="Q107" s="34" t="s">
        <v>185</v>
      </c>
      <c r="R107" s="35" t="s">
        <v>112</v>
      </c>
      <c r="S107" s="35" t="s">
        <v>252</v>
      </c>
      <c r="T107" s="35" t="s">
        <v>253</v>
      </c>
      <c r="U107" s="35" t="s">
        <v>278</v>
      </c>
      <c r="V107" s="34">
        <v>997331</v>
      </c>
      <c r="W107" s="35" t="s">
        <v>431</v>
      </c>
      <c r="X107" s="34" t="s">
        <v>101</v>
      </c>
      <c r="Y107" s="35">
        <v>107</v>
      </c>
      <c r="Z107" s="35" t="s">
        <v>102</v>
      </c>
      <c r="AA107" t="s">
        <v>430</v>
      </c>
      <c r="AB107">
        <v>45031.311000000002</v>
      </c>
      <c r="AC107">
        <v>360154.68</v>
      </c>
      <c r="AD107" s="38">
        <v>-315123</v>
      </c>
      <c r="AE107" t="s">
        <v>104</v>
      </c>
      <c r="AF107" t="s">
        <v>73</v>
      </c>
      <c r="AG107" s="3">
        <f t="shared" si="119"/>
        <v>1667.2659827499106</v>
      </c>
      <c r="AH107" s="3">
        <v>0</v>
      </c>
      <c r="AI107" s="3">
        <v>0</v>
      </c>
      <c r="AJ107" s="3">
        <f t="shared" si="67"/>
        <v>1667.2659827499106</v>
      </c>
      <c r="AK107" s="3">
        <f t="shared" si="120"/>
        <v>13.873812113055191</v>
      </c>
      <c r="AL107" s="3">
        <v>0</v>
      </c>
      <c r="AM107" s="3">
        <v>0</v>
      </c>
      <c r="AN107" s="3">
        <f t="shared" si="68"/>
        <v>13.873812113055191</v>
      </c>
      <c r="AO107" s="3">
        <f t="shared" si="121"/>
        <v>687.21369944776382</v>
      </c>
      <c r="AP107" s="3">
        <v>0</v>
      </c>
      <c r="AQ107" s="3">
        <v>0</v>
      </c>
      <c r="AR107" s="3">
        <f t="shared" si="69"/>
        <v>687.21369944776382</v>
      </c>
      <c r="AS107" s="3">
        <f t="shared" si="122"/>
        <v>601.73004953994803</v>
      </c>
      <c r="AT107" s="3">
        <v>0</v>
      </c>
      <c r="AU107" s="3">
        <v>0</v>
      </c>
      <c r="AV107" s="3">
        <f t="shared" si="70"/>
        <v>601.73004953994803</v>
      </c>
      <c r="AW107" s="3">
        <f t="shared" si="123"/>
        <v>70.582689898988434</v>
      </c>
      <c r="AX107" s="3">
        <v>0</v>
      </c>
      <c r="AY107" s="3">
        <v>0</v>
      </c>
      <c r="AZ107" s="3">
        <f t="shared" si="71"/>
        <v>70.582689898988434</v>
      </c>
      <c r="BA107" s="3">
        <f t="shared" si="124"/>
        <v>753.68497870182694</v>
      </c>
      <c r="BB107" s="3">
        <v>0</v>
      </c>
      <c r="BC107" s="3">
        <v>0</v>
      </c>
      <c r="BD107" s="3">
        <f t="shared" si="72"/>
        <v>753.68497870182694</v>
      </c>
      <c r="BE107" s="3">
        <f t="shared" si="125"/>
        <v>3269.0960346646989</v>
      </c>
      <c r="BF107" s="3">
        <f t="shared" si="126"/>
        <v>0</v>
      </c>
      <c r="BG107" s="3">
        <f t="shared" si="127"/>
        <v>0</v>
      </c>
      <c r="BH107" s="3">
        <f t="shared" si="64"/>
        <v>3269.0960346646989</v>
      </c>
      <c r="BI107" s="3">
        <f t="shared" si="128"/>
        <v>1896.1054504810638</v>
      </c>
      <c r="BJ107" s="3">
        <v>0</v>
      </c>
      <c r="BK107" s="3">
        <v>0</v>
      </c>
      <c r="BL107" s="3">
        <f t="shared" si="65"/>
        <v>1896.1054504810638</v>
      </c>
      <c r="BM107" s="3">
        <f t="shared" si="129"/>
        <v>8706.5474360254811</v>
      </c>
      <c r="BN107" s="3">
        <v>0</v>
      </c>
      <c r="BO107" s="3">
        <v>0</v>
      </c>
      <c r="BP107" s="3">
        <f t="shared" si="73"/>
        <v>8706.5474360254811</v>
      </c>
      <c r="BQ107" s="3">
        <f t="shared" si="130"/>
        <v>780.43133091444531</v>
      </c>
      <c r="BR107" s="3">
        <v>0</v>
      </c>
      <c r="BS107" s="3">
        <v>0</v>
      </c>
      <c r="BT107" s="3">
        <f t="shared" si="74"/>
        <v>780.43133091444531</v>
      </c>
      <c r="BU107" s="3">
        <f t="shared" si="131"/>
        <v>123.84125456321539</v>
      </c>
      <c r="BV107" s="3">
        <v>0</v>
      </c>
      <c r="BW107" s="3">
        <v>0</v>
      </c>
      <c r="BX107" s="3">
        <f t="shared" si="75"/>
        <v>123.84125456321539</v>
      </c>
      <c r="BY107" s="3">
        <f t="shared" si="132"/>
        <v>298.5188336149069</v>
      </c>
      <c r="BZ107" s="3">
        <v>0</v>
      </c>
      <c r="CA107" s="3">
        <v>0</v>
      </c>
      <c r="CB107" s="3">
        <f t="shared" si="76"/>
        <v>298.5188336149069</v>
      </c>
      <c r="CC107" s="3">
        <f t="shared" si="133"/>
        <v>247.14613559157229</v>
      </c>
      <c r="CD107" s="3">
        <v>0</v>
      </c>
      <c r="CE107" s="3">
        <v>0</v>
      </c>
      <c r="CF107" s="3">
        <f t="shared" si="77"/>
        <v>247.14613559157229</v>
      </c>
      <c r="CG107" s="3">
        <f t="shared" si="134"/>
        <v>283.14753834297619</v>
      </c>
      <c r="CH107" s="3">
        <v>0</v>
      </c>
      <c r="CI107" s="3">
        <v>0</v>
      </c>
      <c r="CJ107" s="3">
        <f t="shared" si="78"/>
        <v>283.14753834297619</v>
      </c>
      <c r="CK107" s="3">
        <f t="shared" si="135"/>
        <v>582.59817863699118</v>
      </c>
      <c r="CL107" s="3">
        <v>0</v>
      </c>
      <c r="CM107" s="3">
        <v>0</v>
      </c>
      <c r="CN107" s="3">
        <f t="shared" si="79"/>
        <v>582.59817863699118</v>
      </c>
      <c r="CO107" s="3">
        <f t="shared" si="136"/>
        <v>1136.3191612521291</v>
      </c>
      <c r="CP107" s="3">
        <v>0</v>
      </c>
      <c r="CQ107" s="3">
        <v>0</v>
      </c>
      <c r="CR107" s="3">
        <f t="shared" si="80"/>
        <v>1136.3191612521291</v>
      </c>
      <c r="CS107" s="3">
        <f t="shared" si="137"/>
        <v>3340.1729838356355</v>
      </c>
      <c r="CT107" s="3">
        <v>0</v>
      </c>
      <c r="CU107" s="3">
        <v>0</v>
      </c>
      <c r="CV107" s="3">
        <f t="shared" si="81"/>
        <v>3340.1729838356355</v>
      </c>
      <c r="CW107" s="3">
        <f t="shared" si="138"/>
        <v>11090.628860986082</v>
      </c>
      <c r="CX107" s="3">
        <v>0</v>
      </c>
      <c r="CY107" s="3">
        <v>0</v>
      </c>
      <c r="CZ107" s="3">
        <f t="shared" si="82"/>
        <v>11090.628860986082</v>
      </c>
      <c r="DA107" s="3">
        <f t="shared" si="139"/>
        <v>755.79723267632096</v>
      </c>
      <c r="DB107" s="3">
        <v>0</v>
      </c>
      <c r="DC107" s="3">
        <v>0</v>
      </c>
      <c r="DD107" s="3">
        <f t="shared" si="83"/>
        <v>755.79723267632096</v>
      </c>
      <c r="DE107" s="3">
        <f t="shared" si="140"/>
        <v>127.41009124437592</v>
      </c>
      <c r="DF107" s="3">
        <v>0</v>
      </c>
      <c r="DG107" s="3">
        <v>0</v>
      </c>
      <c r="DH107" s="3">
        <f t="shared" si="84"/>
        <v>127.41009124437592</v>
      </c>
      <c r="DI107" s="3">
        <f t="shared" si="141"/>
        <v>0</v>
      </c>
      <c r="DJ107" s="3">
        <v>0</v>
      </c>
      <c r="DK107" s="3">
        <v>0</v>
      </c>
      <c r="DL107" s="3">
        <f t="shared" si="63"/>
        <v>0</v>
      </c>
      <c r="DM107" s="3">
        <f t="shared" si="142"/>
        <v>629.84956447088712</v>
      </c>
      <c r="DN107" s="3">
        <v>0</v>
      </c>
      <c r="DO107" s="3">
        <v>0</v>
      </c>
      <c r="DP107" s="3">
        <f t="shared" si="85"/>
        <v>629.84956447088712</v>
      </c>
      <c r="DQ107" s="3">
        <f t="shared" si="143"/>
        <v>1329.3901362066649</v>
      </c>
      <c r="DR107" s="3">
        <v>0</v>
      </c>
      <c r="DS107" s="3">
        <v>0</v>
      </c>
      <c r="DT107" s="3">
        <f t="shared" si="89"/>
        <v>1329.3901362066649</v>
      </c>
      <c r="DU107" s="3">
        <f t="shared" si="144"/>
        <v>6617.2894625893305</v>
      </c>
      <c r="DV107" s="3">
        <v>0</v>
      </c>
      <c r="DW107" s="3">
        <v>0</v>
      </c>
      <c r="DX107" s="3">
        <f t="shared" si="86"/>
        <v>6617.2894625893305</v>
      </c>
      <c r="DY107" s="3">
        <f t="shared" si="145"/>
        <v>22.67010145171707</v>
      </c>
      <c r="DZ107" s="3">
        <v>0</v>
      </c>
      <c r="EA107" s="3">
        <v>0</v>
      </c>
      <c r="EB107" s="3">
        <f t="shared" si="87"/>
        <v>22.67010145171707</v>
      </c>
      <c r="EC107" s="4">
        <f t="shared" si="146"/>
        <v>45031.310999999994</v>
      </c>
      <c r="ED107" s="5">
        <f t="shared" si="88"/>
        <v>0</v>
      </c>
      <c r="EE107" s="6">
        <f t="shared" si="118"/>
        <v>45031.310999999994</v>
      </c>
      <c r="EF107" s="6">
        <f t="shared" si="118"/>
        <v>0</v>
      </c>
      <c r="EG107" s="6">
        <f t="shared" si="118"/>
        <v>0</v>
      </c>
    </row>
    <row r="108" spans="1:137" ht="12" customHeight="1" x14ac:dyDescent="0.35">
      <c r="A108" s="34" t="s">
        <v>347</v>
      </c>
      <c r="B108" s="35">
        <v>3785</v>
      </c>
      <c r="C108" s="35" t="s">
        <v>348</v>
      </c>
      <c r="D108" s="35" t="s">
        <v>361</v>
      </c>
      <c r="E108" s="34">
        <v>150906</v>
      </c>
      <c r="F108" s="35">
        <v>1204541</v>
      </c>
      <c r="G108" s="8">
        <v>46115</v>
      </c>
      <c r="H108" s="8">
        <v>46132</v>
      </c>
      <c r="I108" s="36">
        <v>18</v>
      </c>
      <c r="J108" s="36">
        <v>256361.09</v>
      </c>
      <c r="K108" s="36">
        <v>46144.996200000001</v>
      </c>
      <c r="L108" s="37"/>
      <c r="M108" s="37"/>
      <c r="N108" s="36">
        <v>46144.996200000001</v>
      </c>
      <c r="O108" s="36">
        <v>302506.08620000002</v>
      </c>
      <c r="P108" s="35" t="s">
        <v>95</v>
      </c>
      <c r="Q108" s="34" t="s">
        <v>185</v>
      </c>
      <c r="R108" s="35" t="s">
        <v>112</v>
      </c>
      <c r="S108" s="35" t="s">
        <v>252</v>
      </c>
      <c r="T108" s="35" t="s">
        <v>253</v>
      </c>
      <c r="U108" s="35" t="s">
        <v>278</v>
      </c>
      <c r="V108" s="34">
        <v>997331</v>
      </c>
      <c r="W108" s="35" t="s">
        <v>432</v>
      </c>
      <c r="X108" s="34" t="s">
        <v>101</v>
      </c>
      <c r="Y108" s="35">
        <v>107</v>
      </c>
      <c r="Z108" s="35" t="s">
        <v>102</v>
      </c>
      <c r="AA108" t="s">
        <v>430</v>
      </c>
      <c r="AB108">
        <v>46144.996200000001</v>
      </c>
      <c r="AC108">
        <v>360154.68</v>
      </c>
      <c r="AD108" s="38">
        <v>-314010</v>
      </c>
      <c r="AE108" t="s">
        <v>104</v>
      </c>
      <c r="AF108" t="s">
        <v>73</v>
      </c>
      <c r="AG108" s="3">
        <f t="shared" si="119"/>
        <v>1708.4997245224304</v>
      </c>
      <c r="AH108" s="3">
        <v>0</v>
      </c>
      <c r="AI108" s="3">
        <v>0</v>
      </c>
      <c r="AJ108" s="3">
        <f t="shared" si="67"/>
        <v>1708.4997245224304</v>
      </c>
      <c r="AK108" s="3">
        <f t="shared" si="120"/>
        <v>14.216930242969068</v>
      </c>
      <c r="AL108" s="3">
        <v>0</v>
      </c>
      <c r="AM108" s="3">
        <v>0</v>
      </c>
      <c r="AN108" s="3">
        <f t="shared" si="68"/>
        <v>14.216930242969068</v>
      </c>
      <c r="AO108" s="3">
        <f t="shared" si="121"/>
        <v>704.20942329671459</v>
      </c>
      <c r="AP108" s="3">
        <v>0</v>
      </c>
      <c r="AQ108" s="3">
        <v>0</v>
      </c>
      <c r="AR108" s="3">
        <f t="shared" si="69"/>
        <v>704.20942329671459</v>
      </c>
      <c r="AS108" s="3">
        <f t="shared" si="122"/>
        <v>616.61164715916698</v>
      </c>
      <c r="AT108" s="3">
        <v>0</v>
      </c>
      <c r="AU108" s="3">
        <v>0</v>
      </c>
      <c r="AV108" s="3">
        <f t="shared" si="70"/>
        <v>616.61164715916698</v>
      </c>
      <c r="AW108" s="3">
        <f t="shared" si="123"/>
        <v>72.328295242716763</v>
      </c>
      <c r="AX108" s="3">
        <v>0</v>
      </c>
      <c r="AY108" s="3">
        <v>0</v>
      </c>
      <c r="AZ108" s="3">
        <f t="shared" si="71"/>
        <v>72.328295242716763</v>
      </c>
      <c r="BA108" s="3">
        <f t="shared" si="124"/>
        <v>772.32462715093698</v>
      </c>
      <c r="BB108" s="3">
        <v>0</v>
      </c>
      <c r="BC108" s="3">
        <v>0</v>
      </c>
      <c r="BD108" s="3">
        <f t="shared" si="72"/>
        <v>772.32462715093698</v>
      </c>
      <c r="BE108" s="3">
        <f t="shared" si="125"/>
        <v>3349.9451991756932</v>
      </c>
      <c r="BF108" s="3">
        <f t="shared" si="126"/>
        <v>0</v>
      </c>
      <c r="BG108" s="3">
        <f t="shared" si="127"/>
        <v>0</v>
      </c>
      <c r="BH108" s="3">
        <f t="shared" si="64"/>
        <v>3349.9451991756932</v>
      </c>
      <c r="BI108" s="3">
        <f t="shared" si="128"/>
        <v>1942.9987016644479</v>
      </c>
      <c r="BJ108" s="3">
        <v>0</v>
      </c>
      <c r="BK108" s="3">
        <v>0</v>
      </c>
      <c r="BL108" s="3">
        <f t="shared" si="65"/>
        <v>1942.9987016644479</v>
      </c>
      <c r="BM108" s="3">
        <f t="shared" si="129"/>
        <v>8921.8721247204103</v>
      </c>
      <c r="BN108" s="3">
        <v>0</v>
      </c>
      <c r="BO108" s="3">
        <v>0</v>
      </c>
      <c r="BP108" s="3">
        <f t="shared" si="73"/>
        <v>8921.8721247204103</v>
      </c>
      <c r="BQ108" s="3">
        <f t="shared" si="130"/>
        <v>799.73245281284437</v>
      </c>
      <c r="BR108" s="3">
        <v>0</v>
      </c>
      <c r="BS108" s="3">
        <v>0</v>
      </c>
      <c r="BT108" s="3">
        <f t="shared" si="74"/>
        <v>799.73245281284437</v>
      </c>
      <c r="BU108" s="3">
        <f t="shared" si="131"/>
        <v>126.9040162126927</v>
      </c>
      <c r="BV108" s="3">
        <v>0</v>
      </c>
      <c r="BW108" s="3">
        <v>0</v>
      </c>
      <c r="BX108" s="3">
        <f t="shared" si="75"/>
        <v>126.9040162126927</v>
      </c>
      <c r="BY108" s="3">
        <f t="shared" si="132"/>
        <v>305.90160794537633</v>
      </c>
      <c r="BZ108" s="3">
        <v>0</v>
      </c>
      <c r="CA108" s="3">
        <v>0</v>
      </c>
      <c r="CB108" s="3">
        <f t="shared" si="76"/>
        <v>305.90160794537633</v>
      </c>
      <c r="CC108" s="3">
        <f t="shared" si="133"/>
        <v>253.25839364787288</v>
      </c>
      <c r="CD108" s="3">
        <v>0</v>
      </c>
      <c r="CE108" s="3">
        <v>0</v>
      </c>
      <c r="CF108" s="3">
        <f t="shared" si="77"/>
        <v>253.25839364787288</v>
      </c>
      <c r="CG108" s="3">
        <f t="shared" si="134"/>
        <v>290.15015976052723</v>
      </c>
      <c r="CH108" s="3">
        <v>0</v>
      </c>
      <c r="CI108" s="3">
        <v>0</v>
      </c>
      <c r="CJ108" s="3">
        <f t="shared" si="78"/>
        <v>290.15015976052723</v>
      </c>
      <c r="CK108" s="3">
        <f t="shared" si="135"/>
        <v>597.00661922391907</v>
      </c>
      <c r="CL108" s="3">
        <v>0</v>
      </c>
      <c r="CM108" s="3">
        <v>0</v>
      </c>
      <c r="CN108" s="3">
        <f t="shared" si="79"/>
        <v>597.00661922391907</v>
      </c>
      <c r="CO108" s="3">
        <f t="shared" si="136"/>
        <v>1164.4218703285517</v>
      </c>
      <c r="CP108" s="3">
        <v>0</v>
      </c>
      <c r="CQ108" s="3">
        <v>0</v>
      </c>
      <c r="CR108" s="3">
        <f t="shared" si="80"/>
        <v>1164.4218703285517</v>
      </c>
      <c r="CS108" s="3">
        <f t="shared" si="137"/>
        <v>3422.7799773903553</v>
      </c>
      <c r="CT108" s="3">
        <v>0</v>
      </c>
      <c r="CU108" s="3">
        <v>0</v>
      </c>
      <c r="CV108" s="3">
        <f t="shared" si="81"/>
        <v>3422.7799773903553</v>
      </c>
      <c r="CW108" s="3">
        <f t="shared" si="138"/>
        <v>11364.915106420354</v>
      </c>
      <c r="CX108" s="3">
        <v>0</v>
      </c>
      <c r="CY108" s="3">
        <v>0</v>
      </c>
      <c r="CZ108" s="3">
        <f t="shared" si="82"/>
        <v>11364.915106420354</v>
      </c>
      <c r="DA108" s="3">
        <f t="shared" si="139"/>
        <v>774.48912002182999</v>
      </c>
      <c r="DB108" s="3">
        <v>0</v>
      </c>
      <c r="DC108" s="3">
        <v>0</v>
      </c>
      <c r="DD108" s="3">
        <f t="shared" si="83"/>
        <v>774.48912002182999</v>
      </c>
      <c r="DE108" s="3">
        <f t="shared" si="140"/>
        <v>130.56111504977903</v>
      </c>
      <c r="DF108" s="3">
        <v>0</v>
      </c>
      <c r="DG108" s="3">
        <v>0</v>
      </c>
      <c r="DH108" s="3">
        <f t="shared" si="84"/>
        <v>130.56111504977903</v>
      </c>
      <c r="DI108" s="3">
        <f t="shared" si="141"/>
        <v>0</v>
      </c>
      <c r="DJ108" s="3">
        <v>0</v>
      </c>
      <c r="DK108" s="3">
        <v>0</v>
      </c>
      <c r="DL108" s="3">
        <f t="shared" si="63"/>
        <v>0</v>
      </c>
      <c r="DM108" s="3">
        <f t="shared" si="142"/>
        <v>645.42659570983267</v>
      </c>
      <c r="DN108" s="3">
        <v>0</v>
      </c>
      <c r="DO108" s="3">
        <v>0</v>
      </c>
      <c r="DP108" s="3">
        <f t="shared" si="85"/>
        <v>645.42659570983267</v>
      </c>
      <c r="DQ108" s="3">
        <f t="shared" si="143"/>
        <v>1362.2677515112546</v>
      </c>
      <c r="DR108" s="3">
        <v>0</v>
      </c>
      <c r="DS108" s="3">
        <v>0</v>
      </c>
      <c r="DT108" s="3">
        <f t="shared" si="89"/>
        <v>1362.2677515112546</v>
      </c>
      <c r="DU108" s="3">
        <f t="shared" si="144"/>
        <v>6780.9439770804074</v>
      </c>
      <c r="DV108" s="3">
        <v>0</v>
      </c>
      <c r="DW108" s="3">
        <v>0</v>
      </c>
      <c r="DX108" s="3">
        <f t="shared" si="86"/>
        <v>6780.9439770804074</v>
      </c>
      <c r="DY108" s="3">
        <f t="shared" si="145"/>
        <v>23.23076370890243</v>
      </c>
      <c r="DZ108" s="3">
        <v>0</v>
      </c>
      <c r="EA108" s="3">
        <v>0</v>
      </c>
      <c r="EB108" s="3">
        <f t="shared" si="87"/>
        <v>23.23076370890243</v>
      </c>
      <c r="EC108" s="4">
        <f t="shared" si="146"/>
        <v>46144.996199999987</v>
      </c>
      <c r="ED108" s="5">
        <f t="shared" si="88"/>
        <v>0</v>
      </c>
      <c r="EE108" s="6">
        <f t="shared" si="118"/>
        <v>46144.996199999987</v>
      </c>
      <c r="EF108" s="6">
        <f t="shared" si="118"/>
        <v>0</v>
      </c>
      <c r="EG108" s="6">
        <f t="shared" si="118"/>
        <v>0</v>
      </c>
    </row>
    <row r="109" spans="1:137" ht="12" customHeight="1" x14ac:dyDescent="0.35">
      <c r="A109" s="34" t="s">
        <v>347</v>
      </c>
      <c r="B109" s="35">
        <v>3785</v>
      </c>
      <c r="C109" s="35" t="s">
        <v>348</v>
      </c>
      <c r="D109" s="35" t="s">
        <v>433</v>
      </c>
      <c r="E109" s="34">
        <v>421402</v>
      </c>
      <c r="F109" s="35">
        <v>1204541</v>
      </c>
      <c r="G109" s="8">
        <v>46115</v>
      </c>
      <c r="H109" s="8">
        <v>46132</v>
      </c>
      <c r="I109" s="36">
        <v>18</v>
      </c>
      <c r="J109" s="36">
        <v>278789.82</v>
      </c>
      <c r="K109" s="36">
        <v>50182.167600000001</v>
      </c>
      <c r="L109" s="37"/>
      <c r="M109" s="37"/>
      <c r="N109" s="36">
        <v>50182.167600000001</v>
      </c>
      <c r="O109" s="36">
        <v>328971.98759999999</v>
      </c>
      <c r="P109" s="35" t="s">
        <v>95</v>
      </c>
      <c r="Q109" s="34" t="s">
        <v>185</v>
      </c>
      <c r="R109" s="35" t="s">
        <v>139</v>
      </c>
      <c r="S109" s="35" t="s">
        <v>252</v>
      </c>
      <c r="T109" s="35" t="s">
        <v>253</v>
      </c>
      <c r="U109" s="35" t="s">
        <v>278</v>
      </c>
      <c r="V109" s="34">
        <v>997331</v>
      </c>
      <c r="W109" s="35" t="s">
        <v>434</v>
      </c>
      <c r="X109" s="34" t="s">
        <v>101</v>
      </c>
      <c r="Y109" s="35">
        <v>107</v>
      </c>
      <c r="Z109" s="35" t="s">
        <v>102</v>
      </c>
      <c r="AA109" t="s">
        <v>430</v>
      </c>
      <c r="AB109">
        <v>50182.167600000001</v>
      </c>
      <c r="AC109">
        <v>360154.68</v>
      </c>
      <c r="AD109" s="38">
        <v>-309973</v>
      </c>
      <c r="AE109" t="s">
        <v>104</v>
      </c>
      <c r="AF109" t="s">
        <v>73</v>
      </c>
      <c r="AG109" s="3">
        <f t="shared" si="119"/>
        <v>1857.9743543361355</v>
      </c>
      <c r="AH109" s="3">
        <v>0</v>
      </c>
      <c r="AI109" s="3">
        <v>0</v>
      </c>
      <c r="AJ109" s="3">
        <f t="shared" si="67"/>
        <v>1857.9743543361355</v>
      </c>
      <c r="AK109" s="3">
        <f t="shared" si="120"/>
        <v>15.460752735096822</v>
      </c>
      <c r="AL109" s="3">
        <v>0</v>
      </c>
      <c r="AM109" s="3">
        <v>0</v>
      </c>
      <c r="AN109" s="3">
        <f t="shared" si="68"/>
        <v>15.460752735096822</v>
      </c>
      <c r="AO109" s="3">
        <f t="shared" si="121"/>
        <v>765.81987681201883</v>
      </c>
      <c r="AP109" s="3">
        <v>0</v>
      </c>
      <c r="AQ109" s="3">
        <v>0</v>
      </c>
      <c r="AR109" s="3">
        <f t="shared" si="69"/>
        <v>765.81987681201883</v>
      </c>
      <c r="AS109" s="3">
        <f t="shared" si="122"/>
        <v>670.55827435203867</v>
      </c>
      <c r="AT109" s="3">
        <v>0</v>
      </c>
      <c r="AU109" s="3">
        <v>0</v>
      </c>
      <c r="AV109" s="3">
        <f t="shared" si="70"/>
        <v>670.55827435203867</v>
      </c>
      <c r="AW109" s="3">
        <f t="shared" si="123"/>
        <v>78.656212655453544</v>
      </c>
      <c r="AX109" s="3">
        <v>0</v>
      </c>
      <c r="AY109" s="3">
        <v>0</v>
      </c>
      <c r="AZ109" s="3">
        <f t="shared" si="71"/>
        <v>78.656212655453544</v>
      </c>
      <c r="BA109" s="3">
        <f t="shared" si="124"/>
        <v>839.89439967265241</v>
      </c>
      <c r="BB109" s="3">
        <v>0</v>
      </c>
      <c r="BC109" s="3">
        <v>0</v>
      </c>
      <c r="BD109" s="3">
        <f t="shared" si="72"/>
        <v>839.89439967265241</v>
      </c>
      <c r="BE109" s="3">
        <f t="shared" si="125"/>
        <v>3643.02796141199</v>
      </c>
      <c r="BF109" s="3">
        <f t="shared" si="126"/>
        <v>0</v>
      </c>
      <c r="BG109" s="3">
        <f t="shared" si="127"/>
        <v>0</v>
      </c>
      <c r="BH109" s="3">
        <f t="shared" si="64"/>
        <v>3643.02796141199</v>
      </c>
      <c r="BI109" s="3">
        <f t="shared" si="128"/>
        <v>2112.9893709582261</v>
      </c>
      <c r="BJ109" s="3">
        <v>0</v>
      </c>
      <c r="BK109" s="3">
        <v>0</v>
      </c>
      <c r="BL109" s="3">
        <f t="shared" si="65"/>
        <v>2112.9893709582261</v>
      </c>
      <c r="BM109" s="3">
        <f t="shared" si="129"/>
        <v>9702.4362149256758</v>
      </c>
      <c r="BN109" s="3">
        <v>0</v>
      </c>
      <c r="BO109" s="3">
        <v>0</v>
      </c>
      <c r="BP109" s="3">
        <f t="shared" si="73"/>
        <v>9702.4362149256758</v>
      </c>
      <c r="BQ109" s="3">
        <f t="shared" si="130"/>
        <v>869.70010373981233</v>
      </c>
      <c r="BR109" s="3">
        <v>0</v>
      </c>
      <c r="BS109" s="3">
        <v>0</v>
      </c>
      <c r="BT109" s="3">
        <f t="shared" si="74"/>
        <v>869.70010373981233</v>
      </c>
      <c r="BU109" s="3">
        <f t="shared" si="131"/>
        <v>138.00669921170049</v>
      </c>
      <c r="BV109" s="3">
        <v>0</v>
      </c>
      <c r="BW109" s="3">
        <v>0</v>
      </c>
      <c r="BX109" s="3">
        <f t="shared" si="75"/>
        <v>138.00669921170049</v>
      </c>
      <c r="BY109" s="3">
        <f t="shared" si="132"/>
        <v>332.66457954599127</v>
      </c>
      <c r="BZ109" s="3">
        <v>0</v>
      </c>
      <c r="CA109" s="3">
        <v>0</v>
      </c>
      <c r="CB109" s="3">
        <f t="shared" si="76"/>
        <v>332.66457954599127</v>
      </c>
      <c r="CC109" s="3">
        <f t="shared" si="133"/>
        <v>275.41567239622685</v>
      </c>
      <c r="CD109" s="3">
        <v>0</v>
      </c>
      <c r="CE109" s="3">
        <v>0</v>
      </c>
      <c r="CF109" s="3">
        <f t="shared" si="77"/>
        <v>275.41567239622685</v>
      </c>
      <c r="CG109" s="3">
        <f t="shared" si="134"/>
        <v>315.53505570056922</v>
      </c>
      <c r="CH109" s="3">
        <v>0</v>
      </c>
      <c r="CI109" s="3">
        <v>0</v>
      </c>
      <c r="CJ109" s="3">
        <f t="shared" si="78"/>
        <v>315.53505570056922</v>
      </c>
      <c r="CK109" s="3">
        <f t="shared" si="135"/>
        <v>649.23802559992612</v>
      </c>
      <c r="CL109" s="3">
        <v>0</v>
      </c>
      <c r="CM109" s="3">
        <v>0</v>
      </c>
      <c r="CN109" s="3">
        <f t="shared" si="79"/>
        <v>649.23802559992612</v>
      </c>
      <c r="CO109" s="3">
        <f t="shared" si="136"/>
        <v>1266.2957691159772</v>
      </c>
      <c r="CP109" s="3">
        <v>0</v>
      </c>
      <c r="CQ109" s="3">
        <v>0</v>
      </c>
      <c r="CR109" s="3">
        <f t="shared" si="80"/>
        <v>1266.2957691159772</v>
      </c>
      <c r="CS109" s="3">
        <f t="shared" si="137"/>
        <v>3722.2349686384205</v>
      </c>
      <c r="CT109" s="3">
        <v>0</v>
      </c>
      <c r="CU109" s="3">
        <v>0</v>
      </c>
      <c r="CV109" s="3">
        <f t="shared" si="81"/>
        <v>3722.2349686384205</v>
      </c>
      <c r="CW109" s="3">
        <f t="shared" si="138"/>
        <v>12359.218151374733</v>
      </c>
      <c r="CX109" s="3">
        <v>0</v>
      </c>
      <c r="CY109" s="3">
        <v>0</v>
      </c>
      <c r="CZ109" s="3">
        <f t="shared" si="82"/>
        <v>12359.218151374733</v>
      </c>
      <c r="DA109" s="3">
        <f t="shared" si="139"/>
        <v>842.24826147698286</v>
      </c>
      <c r="DB109" s="3">
        <v>0</v>
      </c>
      <c r="DC109" s="3">
        <v>0</v>
      </c>
      <c r="DD109" s="3">
        <f t="shared" si="83"/>
        <v>842.24826147698286</v>
      </c>
      <c r="DE109" s="3">
        <f t="shared" si="140"/>
        <v>141.98375332125161</v>
      </c>
      <c r="DF109" s="3">
        <v>0</v>
      </c>
      <c r="DG109" s="3">
        <v>0</v>
      </c>
      <c r="DH109" s="3">
        <f t="shared" si="84"/>
        <v>141.98375332125161</v>
      </c>
      <c r="DI109" s="3">
        <f t="shared" si="141"/>
        <v>0</v>
      </c>
      <c r="DJ109" s="3">
        <v>0</v>
      </c>
      <c r="DK109" s="3">
        <v>0</v>
      </c>
      <c r="DL109" s="3">
        <f t="shared" si="63"/>
        <v>0</v>
      </c>
      <c r="DM109" s="3">
        <f t="shared" si="142"/>
        <v>701.894208833162</v>
      </c>
      <c r="DN109" s="3">
        <v>0</v>
      </c>
      <c r="DO109" s="3">
        <v>0</v>
      </c>
      <c r="DP109" s="3">
        <f t="shared" si="85"/>
        <v>701.894208833162</v>
      </c>
      <c r="DQ109" s="3">
        <f t="shared" si="143"/>
        <v>1481.4509535578406</v>
      </c>
      <c r="DR109" s="3">
        <v>0</v>
      </c>
      <c r="DS109" s="3">
        <v>0</v>
      </c>
      <c r="DT109" s="3">
        <f t="shared" si="89"/>
        <v>1481.4509535578406</v>
      </c>
      <c r="DU109" s="3">
        <f t="shared" si="144"/>
        <v>7374.2007837473739</v>
      </c>
      <c r="DV109" s="3">
        <v>0</v>
      </c>
      <c r="DW109" s="3">
        <v>0</v>
      </c>
      <c r="DX109" s="3">
        <f t="shared" si="86"/>
        <v>7374.2007837473739</v>
      </c>
      <c r="DY109" s="3">
        <f t="shared" si="145"/>
        <v>25.263195880729953</v>
      </c>
      <c r="DZ109" s="3">
        <v>0</v>
      </c>
      <c r="EA109" s="3">
        <v>0</v>
      </c>
      <c r="EB109" s="3">
        <f t="shared" si="87"/>
        <v>25.263195880729953</v>
      </c>
      <c r="EC109" s="4">
        <f t="shared" si="146"/>
        <v>50182.167599999979</v>
      </c>
      <c r="ED109" s="5">
        <f t="shared" si="88"/>
        <v>0</v>
      </c>
      <c r="EE109" s="6">
        <f t="shared" si="118"/>
        <v>50182.167599999979</v>
      </c>
      <c r="EF109" s="6">
        <f t="shared" si="118"/>
        <v>0</v>
      </c>
      <c r="EG109" s="6">
        <f t="shared" si="118"/>
        <v>0</v>
      </c>
    </row>
    <row r="110" spans="1:137" ht="12" customHeight="1" x14ac:dyDescent="0.35">
      <c r="A110" s="34" t="s">
        <v>347</v>
      </c>
      <c r="B110" s="35">
        <v>3785</v>
      </c>
      <c r="C110" s="35" t="s">
        <v>348</v>
      </c>
      <c r="D110" s="35" t="s">
        <v>361</v>
      </c>
      <c r="E110" s="34">
        <v>150906</v>
      </c>
      <c r="F110" s="35">
        <v>1204541</v>
      </c>
      <c r="G110" s="8">
        <v>46115</v>
      </c>
      <c r="H110" s="8">
        <v>46132</v>
      </c>
      <c r="I110" s="36">
        <v>18</v>
      </c>
      <c r="J110" s="36">
        <v>536087.04000000004</v>
      </c>
      <c r="K110" s="36">
        <v>96495.667199999996</v>
      </c>
      <c r="L110" s="37"/>
      <c r="M110" s="37"/>
      <c r="N110" s="36">
        <v>96495.667199999996</v>
      </c>
      <c r="O110" s="36">
        <v>632582.70719999995</v>
      </c>
      <c r="P110" s="35" t="s">
        <v>95</v>
      </c>
      <c r="Q110" s="34" t="s">
        <v>185</v>
      </c>
      <c r="R110" s="35" t="s">
        <v>112</v>
      </c>
      <c r="S110" s="35" t="s">
        <v>252</v>
      </c>
      <c r="T110" s="35" t="s">
        <v>253</v>
      </c>
      <c r="U110" s="35" t="s">
        <v>278</v>
      </c>
      <c r="V110" s="34">
        <v>997331</v>
      </c>
      <c r="W110" s="35" t="s">
        <v>435</v>
      </c>
      <c r="X110" s="34" t="s">
        <v>101</v>
      </c>
      <c r="Y110" s="35">
        <v>107</v>
      </c>
      <c r="Z110" s="35" t="s">
        <v>102</v>
      </c>
      <c r="AA110" t="s">
        <v>430</v>
      </c>
      <c r="AB110">
        <v>96495.667199999996</v>
      </c>
      <c r="AC110">
        <v>360154.68</v>
      </c>
      <c r="AD110" s="38">
        <v>-263659</v>
      </c>
      <c r="AE110" t="s">
        <v>104</v>
      </c>
      <c r="AF110" t="s">
        <v>73</v>
      </c>
      <c r="AG110" s="3">
        <f t="shared" si="119"/>
        <v>3572.7128487402088</v>
      </c>
      <c r="AH110" s="3">
        <v>0</v>
      </c>
      <c r="AI110" s="3">
        <v>0</v>
      </c>
      <c r="AJ110" s="3">
        <f t="shared" si="67"/>
        <v>3572.7128487402088</v>
      </c>
      <c r="AK110" s="3">
        <f t="shared" si="120"/>
        <v>29.729597622789669</v>
      </c>
      <c r="AL110" s="3">
        <v>0</v>
      </c>
      <c r="AM110" s="3">
        <v>0</v>
      </c>
      <c r="AN110" s="3">
        <f t="shared" si="68"/>
        <v>29.729597622789669</v>
      </c>
      <c r="AO110" s="3">
        <f t="shared" si="121"/>
        <v>1472.6007963035372</v>
      </c>
      <c r="AP110" s="3">
        <v>0</v>
      </c>
      <c r="AQ110" s="3">
        <v>0</v>
      </c>
      <c r="AR110" s="3">
        <f t="shared" si="69"/>
        <v>1472.6007963035372</v>
      </c>
      <c r="AS110" s="3">
        <f t="shared" si="122"/>
        <v>1289.4215450366601</v>
      </c>
      <c r="AT110" s="3">
        <v>0</v>
      </c>
      <c r="AU110" s="3">
        <v>0</v>
      </c>
      <c r="AV110" s="3">
        <f t="shared" si="70"/>
        <v>1289.4215450366601</v>
      </c>
      <c r="AW110" s="3">
        <f t="shared" si="123"/>
        <v>151.24862242126568</v>
      </c>
      <c r="AX110" s="3">
        <v>0</v>
      </c>
      <c r="AY110" s="3">
        <v>0</v>
      </c>
      <c r="AZ110" s="3">
        <f t="shared" si="71"/>
        <v>151.24862242126568</v>
      </c>
      <c r="BA110" s="3">
        <f t="shared" si="124"/>
        <v>1615.0392529866738</v>
      </c>
      <c r="BB110" s="3">
        <v>0</v>
      </c>
      <c r="BC110" s="3">
        <v>0</v>
      </c>
      <c r="BD110" s="3">
        <f t="shared" si="72"/>
        <v>1615.0392529866738</v>
      </c>
      <c r="BE110" s="3">
        <f t="shared" si="125"/>
        <v>7005.2058445698904</v>
      </c>
      <c r="BF110" s="3">
        <f t="shared" si="126"/>
        <v>0</v>
      </c>
      <c r="BG110" s="3">
        <f t="shared" si="127"/>
        <v>0</v>
      </c>
      <c r="BH110" s="3">
        <f t="shared" si="64"/>
        <v>7005.2058445698904</v>
      </c>
      <c r="BI110" s="3">
        <f t="shared" si="128"/>
        <v>4063.0831406557718</v>
      </c>
      <c r="BJ110" s="3">
        <v>0</v>
      </c>
      <c r="BK110" s="3">
        <v>0</v>
      </c>
      <c r="BL110" s="3">
        <f t="shared" si="65"/>
        <v>4063.0831406557718</v>
      </c>
      <c r="BM110" s="3">
        <f t="shared" si="129"/>
        <v>18656.887512063066</v>
      </c>
      <c r="BN110" s="3">
        <v>0</v>
      </c>
      <c r="BO110" s="3">
        <v>0</v>
      </c>
      <c r="BP110" s="3">
        <f t="shared" si="73"/>
        <v>18656.887512063066</v>
      </c>
      <c r="BQ110" s="3">
        <f t="shared" si="130"/>
        <v>1672.3528653290459</v>
      </c>
      <c r="BR110" s="3">
        <v>0</v>
      </c>
      <c r="BS110" s="3">
        <v>0</v>
      </c>
      <c r="BT110" s="3">
        <f t="shared" si="74"/>
        <v>1672.3528653290459</v>
      </c>
      <c r="BU110" s="3">
        <f t="shared" si="131"/>
        <v>265.3741190426926</v>
      </c>
      <c r="BV110" s="3">
        <v>0</v>
      </c>
      <c r="BW110" s="3">
        <v>0</v>
      </c>
      <c r="BX110" s="3">
        <f t="shared" si="75"/>
        <v>265.3741190426926</v>
      </c>
      <c r="BY110" s="3">
        <f t="shared" si="132"/>
        <v>639.68322000299361</v>
      </c>
      <c r="BZ110" s="3">
        <v>0</v>
      </c>
      <c r="CA110" s="3">
        <v>0</v>
      </c>
      <c r="CB110" s="3">
        <f t="shared" si="76"/>
        <v>639.68322000299361</v>
      </c>
      <c r="CC110" s="3">
        <f t="shared" si="133"/>
        <v>529.59886621578551</v>
      </c>
      <c r="CD110" s="3">
        <v>0</v>
      </c>
      <c r="CE110" s="3">
        <v>0</v>
      </c>
      <c r="CF110" s="3">
        <f t="shared" si="77"/>
        <v>529.59886621578551</v>
      </c>
      <c r="CG110" s="3">
        <f t="shared" si="134"/>
        <v>606.74472987124591</v>
      </c>
      <c r="CH110" s="3">
        <v>0</v>
      </c>
      <c r="CI110" s="3">
        <v>0</v>
      </c>
      <c r="CJ110" s="3">
        <f t="shared" si="78"/>
        <v>606.74472987124591</v>
      </c>
      <c r="CK110" s="3">
        <f t="shared" si="135"/>
        <v>1248.4246784882912</v>
      </c>
      <c r="CL110" s="3">
        <v>0</v>
      </c>
      <c r="CM110" s="3">
        <v>0</v>
      </c>
      <c r="CN110" s="3">
        <f t="shared" si="79"/>
        <v>1248.4246784882912</v>
      </c>
      <c r="CO110" s="3">
        <f t="shared" si="136"/>
        <v>2434.9696507207746</v>
      </c>
      <c r="CP110" s="3">
        <v>0</v>
      </c>
      <c r="CQ110" s="3">
        <v>0</v>
      </c>
      <c r="CR110" s="3">
        <f t="shared" si="80"/>
        <v>2434.9696507207746</v>
      </c>
      <c r="CS110" s="3">
        <f t="shared" si="137"/>
        <v>7157.5135940109412</v>
      </c>
      <c r="CT110" s="3">
        <v>0</v>
      </c>
      <c r="CU110" s="3">
        <v>0</v>
      </c>
      <c r="CV110" s="3">
        <f t="shared" si="81"/>
        <v>7157.5135940109412</v>
      </c>
      <c r="CW110" s="3">
        <f t="shared" si="138"/>
        <v>23765.633463534472</v>
      </c>
      <c r="CX110" s="3">
        <v>0</v>
      </c>
      <c r="CY110" s="3">
        <v>0</v>
      </c>
      <c r="CZ110" s="3">
        <f t="shared" si="82"/>
        <v>23765.633463534472</v>
      </c>
      <c r="DA110" s="3">
        <f t="shared" si="139"/>
        <v>1619.5655115396316</v>
      </c>
      <c r="DB110" s="3">
        <v>0</v>
      </c>
      <c r="DC110" s="3">
        <v>0</v>
      </c>
      <c r="DD110" s="3">
        <f t="shared" si="83"/>
        <v>1619.5655115396316</v>
      </c>
      <c r="DE110" s="3">
        <f t="shared" si="140"/>
        <v>273.0216262777455</v>
      </c>
      <c r="DF110" s="3">
        <v>0</v>
      </c>
      <c r="DG110" s="3">
        <v>0</v>
      </c>
      <c r="DH110" s="3">
        <f t="shared" si="84"/>
        <v>273.0216262777455</v>
      </c>
      <c r="DI110" s="3">
        <f t="shared" si="141"/>
        <v>0</v>
      </c>
      <c r="DJ110" s="3">
        <v>0</v>
      </c>
      <c r="DK110" s="3">
        <v>0</v>
      </c>
      <c r="DL110" s="3">
        <f t="shared" si="63"/>
        <v>0</v>
      </c>
      <c r="DM110" s="3">
        <f t="shared" si="142"/>
        <v>1349.6776489418144</v>
      </c>
      <c r="DN110" s="3">
        <v>0</v>
      </c>
      <c r="DO110" s="3">
        <v>0</v>
      </c>
      <c r="DP110" s="3">
        <f t="shared" si="85"/>
        <v>1349.6776489418144</v>
      </c>
      <c r="DQ110" s="3">
        <f t="shared" si="143"/>
        <v>2848.6931717879806</v>
      </c>
      <c r="DR110" s="3">
        <v>0</v>
      </c>
      <c r="DS110" s="3">
        <v>0</v>
      </c>
      <c r="DT110" s="3">
        <f t="shared" si="89"/>
        <v>2848.6931717879806</v>
      </c>
      <c r="DU110" s="3">
        <f t="shared" si="144"/>
        <v>14179.906104623222</v>
      </c>
      <c r="DV110" s="3">
        <v>0</v>
      </c>
      <c r="DW110" s="3">
        <v>0</v>
      </c>
      <c r="DX110" s="3">
        <f t="shared" si="86"/>
        <v>14179.906104623222</v>
      </c>
      <c r="DY110" s="3">
        <f t="shared" si="145"/>
        <v>48.578789213468092</v>
      </c>
      <c r="DZ110" s="3">
        <v>0</v>
      </c>
      <c r="EA110" s="3">
        <v>0</v>
      </c>
      <c r="EB110" s="3">
        <f t="shared" si="87"/>
        <v>48.578789213468092</v>
      </c>
      <c r="EC110" s="4">
        <f t="shared" si="146"/>
        <v>96495.667199999967</v>
      </c>
      <c r="ED110" s="5">
        <f t="shared" si="88"/>
        <v>0</v>
      </c>
      <c r="EE110" s="6">
        <f t="shared" si="118"/>
        <v>96495.667199999967</v>
      </c>
      <c r="EF110" s="6">
        <f t="shared" si="118"/>
        <v>0</v>
      </c>
      <c r="EG110" s="6">
        <f t="shared" si="118"/>
        <v>0</v>
      </c>
    </row>
    <row r="111" spans="1:137" ht="12" customHeight="1" x14ac:dyDescent="0.35">
      <c r="A111" s="34" t="s">
        <v>347</v>
      </c>
      <c r="B111" s="35">
        <v>3785</v>
      </c>
      <c r="C111" s="35" t="s">
        <v>348</v>
      </c>
      <c r="D111" s="35" t="s">
        <v>361</v>
      </c>
      <c r="E111" s="34">
        <v>150906</v>
      </c>
      <c r="F111" s="35">
        <v>1204541</v>
      </c>
      <c r="G111" s="8">
        <v>46115</v>
      </c>
      <c r="H111" s="8">
        <v>46132</v>
      </c>
      <c r="I111" s="36">
        <v>18</v>
      </c>
      <c r="J111" s="36">
        <v>549345.37</v>
      </c>
      <c r="K111" s="36">
        <v>98882.166599999997</v>
      </c>
      <c r="L111" s="37"/>
      <c r="M111" s="37"/>
      <c r="N111" s="36">
        <v>98882.166599999997</v>
      </c>
      <c r="O111" s="36">
        <v>648227.53659999999</v>
      </c>
      <c r="P111" s="35" t="s">
        <v>95</v>
      </c>
      <c r="Q111" s="34" t="s">
        <v>185</v>
      </c>
      <c r="R111" s="35" t="s">
        <v>112</v>
      </c>
      <c r="S111" s="35" t="s">
        <v>252</v>
      </c>
      <c r="T111" s="35" t="s">
        <v>253</v>
      </c>
      <c r="U111" s="35" t="s">
        <v>278</v>
      </c>
      <c r="V111" s="34">
        <v>997331</v>
      </c>
      <c r="W111" s="35" t="s">
        <v>436</v>
      </c>
      <c r="X111" s="34" t="s">
        <v>101</v>
      </c>
      <c r="Y111" s="35">
        <v>107</v>
      </c>
      <c r="Z111" s="35" t="s">
        <v>102</v>
      </c>
      <c r="AA111" t="s">
        <v>430</v>
      </c>
      <c r="AB111">
        <v>98882.166599999997</v>
      </c>
      <c r="AC111">
        <v>360154.68</v>
      </c>
      <c r="AD111" s="38">
        <v>-261273</v>
      </c>
      <c r="AE111" t="s">
        <v>104</v>
      </c>
      <c r="AF111" t="s">
        <v>73</v>
      </c>
      <c r="AG111" s="3">
        <f t="shared" si="119"/>
        <v>3661.0720188179594</v>
      </c>
      <c r="AH111" s="3">
        <v>0</v>
      </c>
      <c r="AI111" s="3">
        <v>0</v>
      </c>
      <c r="AJ111" s="3">
        <f t="shared" si="67"/>
        <v>3661.0720188179594</v>
      </c>
      <c r="AK111" s="3">
        <f t="shared" si="120"/>
        <v>30.464860344399504</v>
      </c>
      <c r="AL111" s="3">
        <v>0</v>
      </c>
      <c r="AM111" s="3">
        <v>0</v>
      </c>
      <c r="AN111" s="3">
        <f t="shared" si="68"/>
        <v>30.464860344399504</v>
      </c>
      <c r="AO111" s="3">
        <f t="shared" si="121"/>
        <v>1509.0206793800896</v>
      </c>
      <c r="AP111" s="3">
        <v>0</v>
      </c>
      <c r="AQ111" s="3">
        <v>0</v>
      </c>
      <c r="AR111" s="3">
        <f t="shared" si="69"/>
        <v>1509.0206793800896</v>
      </c>
      <c r="AS111" s="3">
        <f t="shared" si="122"/>
        <v>1321.3110985561891</v>
      </c>
      <c r="AT111" s="3">
        <v>0</v>
      </c>
      <c r="AU111" s="3">
        <v>0</v>
      </c>
      <c r="AV111" s="3">
        <f t="shared" si="70"/>
        <v>1321.3110985561891</v>
      </c>
      <c r="AW111" s="3">
        <f t="shared" si="123"/>
        <v>154.98925406963858</v>
      </c>
      <c r="AX111" s="3">
        <v>0</v>
      </c>
      <c r="AY111" s="3">
        <v>0</v>
      </c>
      <c r="AZ111" s="3">
        <f t="shared" si="71"/>
        <v>154.98925406963858</v>
      </c>
      <c r="BA111" s="3">
        <f t="shared" si="124"/>
        <v>1654.9818775631807</v>
      </c>
      <c r="BB111" s="3">
        <v>0</v>
      </c>
      <c r="BC111" s="3">
        <v>0</v>
      </c>
      <c r="BD111" s="3">
        <f t="shared" si="72"/>
        <v>1654.9818775631807</v>
      </c>
      <c r="BE111" s="3">
        <f t="shared" si="125"/>
        <v>7178.4563130110537</v>
      </c>
      <c r="BF111" s="3">
        <f t="shared" si="126"/>
        <v>0</v>
      </c>
      <c r="BG111" s="3">
        <f t="shared" si="127"/>
        <v>0</v>
      </c>
      <c r="BH111" s="3">
        <f t="shared" si="64"/>
        <v>7178.4563130110537</v>
      </c>
      <c r="BI111" s="3">
        <f t="shared" si="128"/>
        <v>4163.5699890157894</v>
      </c>
      <c r="BJ111" s="3">
        <v>0</v>
      </c>
      <c r="BK111" s="3">
        <v>0</v>
      </c>
      <c r="BL111" s="3">
        <f t="shared" si="65"/>
        <v>4163.5699890157894</v>
      </c>
      <c r="BM111" s="3">
        <f t="shared" si="129"/>
        <v>19118.303575036363</v>
      </c>
      <c r="BN111" s="3">
        <v>0</v>
      </c>
      <c r="BO111" s="3">
        <v>0</v>
      </c>
      <c r="BP111" s="3">
        <f t="shared" si="73"/>
        <v>19118.303575036363</v>
      </c>
      <c r="BQ111" s="3">
        <f t="shared" si="130"/>
        <v>1713.7129514915057</v>
      </c>
      <c r="BR111" s="3">
        <v>0</v>
      </c>
      <c r="BS111" s="3">
        <v>0</v>
      </c>
      <c r="BT111" s="3">
        <f t="shared" si="74"/>
        <v>1713.7129514915057</v>
      </c>
      <c r="BU111" s="3">
        <f t="shared" si="131"/>
        <v>271.9372652879876</v>
      </c>
      <c r="BV111" s="3">
        <v>0</v>
      </c>
      <c r="BW111" s="3">
        <v>0</v>
      </c>
      <c r="BX111" s="3">
        <f t="shared" si="75"/>
        <v>271.9372652879876</v>
      </c>
      <c r="BY111" s="3">
        <f t="shared" si="132"/>
        <v>655.50365697207667</v>
      </c>
      <c r="BZ111" s="3">
        <v>0</v>
      </c>
      <c r="CA111" s="3">
        <v>0</v>
      </c>
      <c r="CB111" s="3">
        <f t="shared" si="76"/>
        <v>655.50365697207667</v>
      </c>
      <c r="CC111" s="3">
        <f t="shared" si="133"/>
        <v>542.69673281579651</v>
      </c>
      <c r="CD111" s="3">
        <v>0</v>
      </c>
      <c r="CE111" s="3">
        <v>0</v>
      </c>
      <c r="CF111" s="3">
        <f t="shared" si="77"/>
        <v>542.69673281579651</v>
      </c>
      <c r="CG111" s="3">
        <f t="shared" si="134"/>
        <v>621.75054283474117</v>
      </c>
      <c r="CH111" s="3">
        <v>0</v>
      </c>
      <c r="CI111" s="3">
        <v>0</v>
      </c>
      <c r="CJ111" s="3">
        <f t="shared" si="78"/>
        <v>621.75054283474117</v>
      </c>
      <c r="CK111" s="3">
        <f t="shared" si="135"/>
        <v>1279.3003108623582</v>
      </c>
      <c r="CL111" s="3">
        <v>0</v>
      </c>
      <c r="CM111" s="3">
        <v>0</v>
      </c>
      <c r="CN111" s="3">
        <f t="shared" si="79"/>
        <v>1279.3003108623582</v>
      </c>
      <c r="CO111" s="3">
        <f t="shared" si="136"/>
        <v>2495.1905267360589</v>
      </c>
      <c r="CP111" s="3">
        <v>0</v>
      </c>
      <c r="CQ111" s="3">
        <v>0</v>
      </c>
      <c r="CR111" s="3">
        <f t="shared" si="80"/>
        <v>2495.1905267360589</v>
      </c>
      <c r="CS111" s="3">
        <f t="shared" si="137"/>
        <v>7334.5308880848343</v>
      </c>
      <c r="CT111" s="3">
        <v>0</v>
      </c>
      <c r="CU111" s="3">
        <v>0</v>
      </c>
      <c r="CV111" s="3">
        <f t="shared" si="81"/>
        <v>7334.5308880848343</v>
      </c>
      <c r="CW111" s="3">
        <f t="shared" si="138"/>
        <v>24353.397366796493</v>
      </c>
      <c r="CX111" s="3">
        <v>0</v>
      </c>
      <c r="CY111" s="3">
        <v>0</v>
      </c>
      <c r="CZ111" s="3">
        <f t="shared" si="82"/>
        <v>24353.397366796493</v>
      </c>
      <c r="DA111" s="3">
        <f t="shared" si="139"/>
        <v>1659.6200780678789</v>
      </c>
      <c r="DB111" s="3">
        <v>0</v>
      </c>
      <c r="DC111" s="3">
        <v>0</v>
      </c>
      <c r="DD111" s="3">
        <f t="shared" si="83"/>
        <v>1659.6200780678789</v>
      </c>
      <c r="DE111" s="3">
        <f t="shared" si="140"/>
        <v>279.77390818019001</v>
      </c>
      <c r="DF111" s="3">
        <v>0</v>
      </c>
      <c r="DG111" s="3">
        <v>0</v>
      </c>
      <c r="DH111" s="3">
        <f t="shared" si="84"/>
        <v>279.77390818019001</v>
      </c>
      <c r="DI111" s="3">
        <f t="shared" si="141"/>
        <v>0</v>
      </c>
      <c r="DJ111" s="3">
        <v>0</v>
      </c>
      <c r="DK111" s="3">
        <v>0</v>
      </c>
      <c r="DL111" s="3">
        <f t="shared" si="63"/>
        <v>0</v>
      </c>
      <c r="DM111" s="3">
        <f t="shared" si="142"/>
        <v>1383.0574367898751</v>
      </c>
      <c r="DN111" s="3">
        <v>0</v>
      </c>
      <c r="DO111" s="3">
        <v>0</v>
      </c>
      <c r="DP111" s="3">
        <f t="shared" si="85"/>
        <v>1383.0574367898751</v>
      </c>
      <c r="DQ111" s="3">
        <f t="shared" si="143"/>
        <v>2919.1461231227336</v>
      </c>
      <c r="DR111" s="3">
        <v>0</v>
      </c>
      <c r="DS111" s="3">
        <v>0</v>
      </c>
      <c r="DT111" s="3">
        <f t="shared" si="89"/>
        <v>2919.1461231227336</v>
      </c>
      <c r="DU111" s="3">
        <f t="shared" si="144"/>
        <v>14530.598922162904</v>
      </c>
      <c r="DV111" s="3">
        <v>0</v>
      </c>
      <c r="DW111" s="3">
        <v>0</v>
      </c>
      <c r="DX111" s="3">
        <f t="shared" si="86"/>
        <v>14530.598922162904</v>
      </c>
      <c r="DY111" s="3">
        <f t="shared" si="145"/>
        <v>49.780223999865093</v>
      </c>
      <c r="DZ111" s="3">
        <v>0</v>
      </c>
      <c r="EA111" s="3">
        <v>0</v>
      </c>
      <c r="EB111" s="3">
        <f t="shared" si="87"/>
        <v>49.780223999865093</v>
      </c>
      <c r="EC111" s="4">
        <f t="shared" si="146"/>
        <v>98882.166599999953</v>
      </c>
      <c r="ED111" s="5">
        <f t="shared" si="88"/>
        <v>0</v>
      </c>
      <c r="EE111" s="6">
        <f t="shared" si="118"/>
        <v>98882.166599999953</v>
      </c>
      <c r="EF111" s="6">
        <f t="shared" si="118"/>
        <v>0</v>
      </c>
      <c r="EG111" s="6">
        <f t="shared" si="118"/>
        <v>0</v>
      </c>
    </row>
    <row r="112" spans="1:137" ht="12" customHeight="1" x14ac:dyDescent="0.35">
      <c r="A112" s="34" t="s">
        <v>347</v>
      </c>
      <c r="B112" s="35">
        <v>3785</v>
      </c>
      <c r="C112" s="35" t="s">
        <v>348</v>
      </c>
      <c r="D112" s="35" t="s">
        <v>361</v>
      </c>
      <c r="E112" s="34">
        <v>150906</v>
      </c>
      <c r="F112" s="35">
        <v>1204847</v>
      </c>
      <c r="G112" s="8">
        <v>46115</v>
      </c>
      <c r="H112" s="8">
        <v>46132</v>
      </c>
      <c r="I112" s="36">
        <v>18</v>
      </c>
      <c r="J112" s="36">
        <v>208923.77</v>
      </c>
      <c r="K112" s="36">
        <v>37606.278599999998</v>
      </c>
      <c r="L112" s="37"/>
      <c r="M112" s="37"/>
      <c r="N112" s="36">
        <v>37606.278599999998</v>
      </c>
      <c r="O112" s="36">
        <v>246530.04860000001</v>
      </c>
      <c r="P112" s="35" t="s">
        <v>95</v>
      </c>
      <c r="Q112" s="34" t="s">
        <v>185</v>
      </c>
      <c r="R112" s="35" t="s">
        <v>112</v>
      </c>
      <c r="S112" s="35" t="s">
        <v>252</v>
      </c>
      <c r="T112" s="35" t="s">
        <v>253</v>
      </c>
      <c r="U112" s="35" t="s">
        <v>278</v>
      </c>
      <c r="V112" s="34">
        <v>997331</v>
      </c>
      <c r="W112" s="35" t="s">
        <v>437</v>
      </c>
      <c r="X112" s="34" t="s">
        <v>101</v>
      </c>
      <c r="Y112" s="35">
        <v>107</v>
      </c>
      <c r="Z112" s="35" t="s">
        <v>102</v>
      </c>
      <c r="AA112" t="s">
        <v>438</v>
      </c>
      <c r="AB112">
        <v>37606.278599999998</v>
      </c>
      <c r="AC112">
        <v>55155.88</v>
      </c>
      <c r="AD112" s="38">
        <v>-17550</v>
      </c>
      <c r="AE112" t="s">
        <v>104</v>
      </c>
      <c r="AF112" t="s">
        <v>73</v>
      </c>
      <c r="AG112" s="3">
        <f t="shared" si="119"/>
        <v>1392.357176711909</v>
      </c>
      <c r="AH112" s="3">
        <v>0</v>
      </c>
      <c r="AI112" s="3">
        <v>0</v>
      </c>
      <c r="AJ112" s="3">
        <f t="shared" si="67"/>
        <v>1392.357176711909</v>
      </c>
      <c r="AK112" s="3">
        <f t="shared" si="120"/>
        <v>11.586214835442124</v>
      </c>
      <c r="AL112" s="3">
        <v>0</v>
      </c>
      <c r="AM112" s="3">
        <v>0</v>
      </c>
      <c r="AN112" s="3">
        <f t="shared" si="68"/>
        <v>11.586214835442124</v>
      </c>
      <c r="AO112" s="3">
        <f t="shared" si="121"/>
        <v>573.90178667392718</v>
      </c>
      <c r="AP112" s="3">
        <v>0</v>
      </c>
      <c r="AQ112" s="3">
        <v>0</v>
      </c>
      <c r="AR112" s="3">
        <f t="shared" si="69"/>
        <v>573.90178667392718</v>
      </c>
      <c r="AS112" s="3">
        <f t="shared" si="122"/>
        <v>502.51319320885608</v>
      </c>
      <c r="AT112" s="3">
        <v>0</v>
      </c>
      <c r="AU112" s="3">
        <v>0</v>
      </c>
      <c r="AV112" s="3">
        <f t="shared" si="70"/>
        <v>502.51319320885608</v>
      </c>
      <c r="AW112" s="3">
        <f t="shared" si="123"/>
        <v>58.944593033917315</v>
      </c>
      <c r="AX112" s="3">
        <v>0</v>
      </c>
      <c r="AY112" s="3">
        <v>0</v>
      </c>
      <c r="AZ112" s="3">
        <f t="shared" si="71"/>
        <v>58.944593033917315</v>
      </c>
      <c r="BA112" s="3">
        <f t="shared" si="124"/>
        <v>629.4128830869696</v>
      </c>
      <c r="BB112" s="3">
        <v>0</v>
      </c>
      <c r="BC112" s="3">
        <v>0</v>
      </c>
      <c r="BD112" s="3">
        <f t="shared" si="72"/>
        <v>629.4128830869696</v>
      </c>
      <c r="BE112" s="3">
        <f t="shared" si="125"/>
        <v>2730.067890978255</v>
      </c>
      <c r="BF112" s="3">
        <f t="shared" si="126"/>
        <v>0</v>
      </c>
      <c r="BG112" s="3">
        <f t="shared" si="127"/>
        <v>0</v>
      </c>
      <c r="BH112" s="3">
        <f t="shared" si="64"/>
        <v>2730.067890978255</v>
      </c>
      <c r="BI112" s="3">
        <f t="shared" si="128"/>
        <v>1583.4642217227338</v>
      </c>
      <c r="BJ112" s="3">
        <v>0</v>
      </c>
      <c r="BK112" s="3">
        <v>0</v>
      </c>
      <c r="BL112" s="3">
        <f t="shared" si="65"/>
        <v>1583.4642217227338</v>
      </c>
      <c r="BM112" s="3">
        <f t="shared" si="129"/>
        <v>7270.959722298333</v>
      </c>
      <c r="BN112" s="3">
        <v>0</v>
      </c>
      <c r="BO112" s="3">
        <v>0</v>
      </c>
      <c r="BP112" s="3">
        <f t="shared" si="73"/>
        <v>7270.959722298333</v>
      </c>
      <c r="BQ112" s="3">
        <f t="shared" si="130"/>
        <v>651.74913647389519</v>
      </c>
      <c r="BR112" s="3">
        <v>0</v>
      </c>
      <c r="BS112" s="3">
        <v>0</v>
      </c>
      <c r="BT112" s="3">
        <f t="shared" si="74"/>
        <v>651.74913647389519</v>
      </c>
      <c r="BU112" s="3">
        <f t="shared" si="131"/>
        <v>103.42156641359607</v>
      </c>
      <c r="BV112" s="3">
        <v>0</v>
      </c>
      <c r="BW112" s="3">
        <v>0</v>
      </c>
      <c r="BX112" s="3">
        <f t="shared" si="75"/>
        <v>103.42156641359607</v>
      </c>
      <c r="BY112" s="3">
        <f t="shared" si="132"/>
        <v>249.29725950615193</v>
      </c>
      <c r="BZ112" s="3">
        <v>0</v>
      </c>
      <c r="CA112" s="3">
        <v>0</v>
      </c>
      <c r="CB112" s="3">
        <f t="shared" si="76"/>
        <v>249.29725950615193</v>
      </c>
      <c r="CC112" s="3">
        <f t="shared" si="133"/>
        <v>206.39519977488646</v>
      </c>
      <c r="CD112" s="3">
        <v>0</v>
      </c>
      <c r="CE112" s="3">
        <v>0</v>
      </c>
      <c r="CF112" s="3">
        <f t="shared" si="77"/>
        <v>206.39519977488646</v>
      </c>
      <c r="CG112" s="3">
        <f t="shared" si="134"/>
        <v>236.46047550847769</v>
      </c>
      <c r="CH112" s="3">
        <v>0</v>
      </c>
      <c r="CI112" s="3">
        <v>0</v>
      </c>
      <c r="CJ112" s="3">
        <f t="shared" si="78"/>
        <v>236.46047550847769</v>
      </c>
      <c r="CK112" s="3">
        <f t="shared" si="135"/>
        <v>486.53589982479656</v>
      </c>
      <c r="CL112" s="3">
        <v>0</v>
      </c>
      <c r="CM112" s="3">
        <v>0</v>
      </c>
      <c r="CN112" s="3">
        <f t="shared" si="79"/>
        <v>486.53589982479656</v>
      </c>
      <c r="CO112" s="3">
        <f t="shared" si="136"/>
        <v>948.95604874941102</v>
      </c>
      <c r="CP112" s="3">
        <v>0</v>
      </c>
      <c r="CQ112" s="3">
        <v>0</v>
      </c>
      <c r="CR112" s="3">
        <f t="shared" si="80"/>
        <v>948.95604874941102</v>
      </c>
      <c r="CS112" s="3">
        <f t="shared" si="137"/>
        <v>2789.4252468535992</v>
      </c>
      <c r="CT112" s="3">
        <v>0</v>
      </c>
      <c r="CU112" s="3">
        <v>0</v>
      </c>
      <c r="CV112" s="3">
        <f t="shared" si="81"/>
        <v>2789.4252468535992</v>
      </c>
      <c r="CW112" s="3">
        <f t="shared" si="138"/>
        <v>9261.9395157170366</v>
      </c>
      <c r="CX112" s="3">
        <v>0</v>
      </c>
      <c r="CY112" s="3">
        <v>0</v>
      </c>
      <c r="CZ112" s="3">
        <f t="shared" si="82"/>
        <v>9261.9395157170366</v>
      </c>
      <c r="DA112" s="3">
        <f t="shared" si="139"/>
        <v>631.17685596883348</v>
      </c>
      <c r="DB112" s="3">
        <v>0</v>
      </c>
      <c r="DC112" s="3">
        <v>0</v>
      </c>
      <c r="DD112" s="3">
        <f t="shared" si="83"/>
        <v>631.17685596883348</v>
      </c>
      <c r="DE112" s="3">
        <f t="shared" si="140"/>
        <v>106.40195191713207</v>
      </c>
      <c r="DF112" s="3">
        <v>0</v>
      </c>
      <c r="DG112" s="3">
        <v>0</v>
      </c>
      <c r="DH112" s="3">
        <f t="shared" si="84"/>
        <v>106.40195191713207</v>
      </c>
      <c r="DI112" s="3">
        <f t="shared" si="141"/>
        <v>0</v>
      </c>
      <c r="DJ112" s="3">
        <v>0</v>
      </c>
      <c r="DK112" s="3">
        <v>0</v>
      </c>
      <c r="DL112" s="3">
        <f t="shared" si="63"/>
        <v>0</v>
      </c>
      <c r="DM112" s="3">
        <f t="shared" si="142"/>
        <v>525.99619401666632</v>
      </c>
      <c r="DN112" s="3">
        <v>0</v>
      </c>
      <c r="DO112" s="3">
        <v>0</v>
      </c>
      <c r="DP112" s="3">
        <f t="shared" si="85"/>
        <v>525.99619401666632</v>
      </c>
      <c r="DQ112" s="3">
        <f t="shared" si="143"/>
        <v>1110.1923244091156</v>
      </c>
      <c r="DR112" s="3">
        <v>0</v>
      </c>
      <c r="DS112" s="3">
        <v>0</v>
      </c>
      <c r="DT112" s="3">
        <f t="shared" si="89"/>
        <v>1110.1923244091156</v>
      </c>
      <c r="DU112" s="3">
        <f t="shared" si="144"/>
        <v>5526.1911230383375</v>
      </c>
      <c r="DV112" s="3">
        <v>0</v>
      </c>
      <c r="DW112" s="3">
        <v>0</v>
      </c>
      <c r="DX112" s="3">
        <f t="shared" si="86"/>
        <v>5526.1911230383375</v>
      </c>
      <c r="DY112" s="3">
        <f t="shared" si="145"/>
        <v>18.932119277707383</v>
      </c>
      <c r="DZ112" s="3">
        <v>0</v>
      </c>
      <c r="EA112" s="3">
        <v>0</v>
      </c>
      <c r="EB112" s="3">
        <f t="shared" si="87"/>
        <v>18.932119277707383</v>
      </c>
      <c r="EC112" s="4">
        <f t="shared" si="146"/>
        <v>37606.278599999983</v>
      </c>
      <c r="ED112" s="5">
        <f t="shared" si="88"/>
        <v>0</v>
      </c>
      <c r="EE112" s="6">
        <f t="shared" si="118"/>
        <v>37606.278599999983</v>
      </c>
      <c r="EF112" s="6">
        <f t="shared" si="118"/>
        <v>0</v>
      </c>
      <c r="EG112" s="6">
        <f t="shared" si="118"/>
        <v>0</v>
      </c>
    </row>
    <row r="113" spans="1:137" ht="12" customHeight="1" x14ac:dyDescent="0.35">
      <c r="A113" s="34" t="s">
        <v>347</v>
      </c>
      <c r="B113" s="35">
        <v>3785</v>
      </c>
      <c r="C113" s="35" t="s">
        <v>348</v>
      </c>
      <c r="D113" s="35" t="s">
        <v>361</v>
      </c>
      <c r="E113" s="34">
        <v>150906</v>
      </c>
      <c r="F113" s="35">
        <v>1204847</v>
      </c>
      <c r="G113" s="8">
        <v>46115</v>
      </c>
      <c r="H113" s="8">
        <v>46132</v>
      </c>
      <c r="I113" s="36">
        <v>18</v>
      </c>
      <c r="J113" s="36">
        <v>97497.76</v>
      </c>
      <c r="K113" s="36">
        <v>17549.596799999999</v>
      </c>
      <c r="L113" s="37"/>
      <c r="M113" s="37"/>
      <c r="N113" s="36">
        <v>17549.596799999999</v>
      </c>
      <c r="O113" s="36">
        <v>115047.35679999999</v>
      </c>
      <c r="P113" s="35" t="s">
        <v>95</v>
      </c>
      <c r="Q113" s="34" t="s">
        <v>185</v>
      </c>
      <c r="R113" s="35" t="s">
        <v>112</v>
      </c>
      <c r="S113" s="35" t="s">
        <v>252</v>
      </c>
      <c r="T113" s="35" t="s">
        <v>253</v>
      </c>
      <c r="U113" s="35" t="s">
        <v>278</v>
      </c>
      <c r="V113" s="34">
        <v>997331</v>
      </c>
      <c r="W113" s="35" t="s">
        <v>439</v>
      </c>
      <c r="X113" s="34" t="s">
        <v>101</v>
      </c>
      <c r="Y113" s="35">
        <v>107</v>
      </c>
      <c r="Z113" s="35" t="s">
        <v>102</v>
      </c>
      <c r="AA113" t="s">
        <v>438</v>
      </c>
      <c r="AB113">
        <v>17549.596799999999</v>
      </c>
      <c r="AC113">
        <v>55155.88</v>
      </c>
      <c r="AD113" s="38">
        <v>-37606</v>
      </c>
      <c r="AE113" t="s">
        <v>104</v>
      </c>
      <c r="AF113" t="s">
        <v>73</v>
      </c>
      <c r="AG113" s="3">
        <f t="shared" si="119"/>
        <v>649.76668690850863</v>
      </c>
      <c r="AH113" s="3">
        <v>0</v>
      </c>
      <c r="AI113" s="3">
        <v>0</v>
      </c>
      <c r="AJ113" s="3">
        <f t="shared" si="67"/>
        <v>649.76668690850863</v>
      </c>
      <c r="AK113" s="3">
        <f t="shared" si="120"/>
        <v>5.4069002935107662</v>
      </c>
      <c r="AL113" s="3">
        <v>0</v>
      </c>
      <c r="AM113" s="3">
        <v>0</v>
      </c>
      <c r="AN113" s="3">
        <f t="shared" si="68"/>
        <v>5.4069002935107662</v>
      </c>
      <c r="AO113" s="3">
        <f t="shared" si="121"/>
        <v>267.82083561246168</v>
      </c>
      <c r="AP113" s="3">
        <v>0</v>
      </c>
      <c r="AQ113" s="3">
        <v>0</v>
      </c>
      <c r="AR113" s="3">
        <f t="shared" si="69"/>
        <v>267.82083561246168</v>
      </c>
      <c r="AS113" s="3">
        <f t="shared" si="122"/>
        <v>234.50615843429728</v>
      </c>
      <c r="AT113" s="3">
        <v>0</v>
      </c>
      <c r="AU113" s="3">
        <v>0</v>
      </c>
      <c r="AV113" s="3">
        <f t="shared" si="70"/>
        <v>234.50615843429728</v>
      </c>
      <c r="AW113" s="3">
        <f t="shared" si="123"/>
        <v>27.507476937251049</v>
      </c>
      <c r="AX113" s="3">
        <v>0</v>
      </c>
      <c r="AY113" s="3">
        <v>0</v>
      </c>
      <c r="AZ113" s="3">
        <f t="shared" si="71"/>
        <v>27.507476937251049</v>
      </c>
      <c r="BA113" s="3">
        <f t="shared" si="124"/>
        <v>293.72601411568166</v>
      </c>
      <c r="BB113" s="3">
        <v>0</v>
      </c>
      <c r="BC113" s="3">
        <v>0</v>
      </c>
      <c r="BD113" s="3">
        <f t="shared" si="72"/>
        <v>293.72601411568166</v>
      </c>
      <c r="BE113" s="3">
        <f t="shared" si="125"/>
        <v>1274.031691168047</v>
      </c>
      <c r="BF113" s="3">
        <f t="shared" si="126"/>
        <v>0</v>
      </c>
      <c r="BG113" s="3">
        <f t="shared" si="127"/>
        <v>0</v>
      </c>
      <c r="BH113" s="3">
        <f t="shared" si="64"/>
        <v>1274.031691168047</v>
      </c>
      <c r="BI113" s="3">
        <f t="shared" si="128"/>
        <v>738.9499751900413</v>
      </c>
      <c r="BJ113" s="3">
        <v>0</v>
      </c>
      <c r="BK113" s="3">
        <v>0</v>
      </c>
      <c r="BL113" s="3">
        <f t="shared" si="65"/>
        <v>738.9499751900413</v>
      </c>
      <c r="BM113" s="3">
        <f t="shared" si="129"/>
        <v>3393.114560273872</v>
      </c>
      <c r="BN113" s="3">
        <v>0</v>
      </c>
      <c r="BO113" s="3">
        <v>0</v>
      </c>
      <c r="BP113" s="3">
        <f t="shared" si="73"/>
        <v>3393.114560273872</v>
      </c>
      <c r="BQ113" s="3">
        <f t="shared" si="130"/>
        <v>304.14959910085423</v>
      </c>
      <c r="BR113" s="3">
        <v>0</v>
      </c>
      <c r="BS113" s="3">
        <v>0</v>
      </c>
      <c r="BT113" s="3">
        <f t="shared" si="74"/>
        <v>304.14959910085423</v>
      </c>
      <c r="BU113" s="3">
        <f t="shared" si="131"/>
        <v>48.263397989691882</v>
      </c>
      <c r="BV113" s="3">
        <v>0</v>
      </c>
      <c r="BW113" s="3">
        <v>0</v>
      </c>
      <c r="BX113" s="3">
        <f t="shared" si="75"/>
        <v>48.263397989691882</v>
      </c>
      <c r="BY113" s="3">
        <f t="shared" si="132"/>
        <v>116.33872189836762</v>
      </c>
      <c r="BZ113" s="3">
        <v>0</v>
      </c>
      <c r="CA113" s="3">
        <v>0</v>
      </c>
      <c r="CB113" s="3">
        <f t="shared" si="76"/>
        <v>116.33872189836762</v>
      </c>
      <c r="CC113" s="3">
        <f t="shared" si="133"/>
        <v>96.317760553545128</v>
      </c>
      <c r="CD113" s="3">
        <v>0</v>
      </c>
      <c r="CE113" s="3">
        <v>0</v>
      </c>
      <c r="CF113" s="3">
        <f t="shared" si="77"/>
        <v>96.317760553545128</v>
      </c>
      <c r="CG113" s="3">
        <f t="shared" si="134"/>
        <v>110.34822265849137</v>
      </c>
      <c r="CH113" s="3">
        <v>0</v>
      </c>
      <c r="CI113" s="3">
        <v>0</v>
      </c>
      <c r="CJ113" s="3">
        <f t="shared" si="78"/>
        <v>110.34822265849137</v>
      </c>
      <c r="CK113" s="3">
        <f t="shared" si="135"/>
        <v>227.05008813741998</v>
      </c>
      <c r="CL113" s="3">
        <v>0</v>
      </c>
      <c r="CM113" s="3">
        <v>0</v>
      </c>
      <c r="CN113" s="3">
        <f t="shared" si="79"/>
        <v>227.05008813741998</v>
      </c>
      <c r="CO113" s="3">
        <f t="shared" si="136"/>
        <v>442.84615911113593</v>
      </c>
      <c r="CP113" s="3">
        <v>0</v>
      </c>
      <c r="CQ113" s="3">
        <v>0</v>
      </c>
      <c r="CR113" s="3">
        <f t="shared" si="80"/>
        <v>442.84615911113593</v>
      </c>
      <c r="CS113" s="3">
        <f t="shared" si="137"/>
        <v>1301.7317907659476</v>
      </c>
      <c r="CT113" s="3">
        <v>0</v>
      </c>
      <c r="CU113" s="3">
        <v>0</v>
      </c>
      <c r="CV113" s="3">
        <f t="shared" si="81"/>
        <v>1301.7317907659476</v>
      </c>
      <c r="CW113" s="3">
        <f t="shared" si="138"/>
        <v>4322.2384702223962</v>
      </c>
      <c r="CX113" s="3">
        <v>0</v>
      </c>
      <c r="CY113" s="3">
        <v>0</v>
      </c>
      <c r="CZ113" s="3">
        <f t="shared" si="82"/>
        <v>4322.2384702223962</v>
      </c>
      <c r="DA113" s="3">
        <f t="shared" si="139"/>
        <v>294.54920146618025</v>
      </c>
      <c r="DB113" s="3">
        <v>0</v>
      </c>
      <c r="DC113" s="3">
        <v>0</v>
      </c>
      <c r="DD113" s="3">
        <f t="shared" si="83"/>
        <v>294.54920146618025</v>
      </c>
      <c r="DE113" s="3">
        <f t="shared" si="140"/>
        <v>49.654244567518973</v>
      </c>
      <c r="DF113" s="3">
        <v>0</v>
      </c>
      <c r="DG113" s="3">
        <v>0</v>
      </c>
      <c r="DH113" s="3">
        <f t="shared" si="84"/>
        <v>49.654244567518973</v>
      </c>
      <c r="DI113" s="3">
        <f t="shared" si="141"/>
        <v>0</v>
      </c>
      <c r="DJ113" s="3">
        <v>0</v>
      </c>
      <c r="DK113" s="3">
        <v>0</v>
      </c>
      <c r="DL113" s="3">
        <f t="shared" si="63"/>
        <v>0</v>
      </c>
      <c r="DM113" s="3">
        <f t="shared" si="142"/>
        <v>245.46489221954192</v>
      </c>
      <c r="DN113" s="3">
        <v>0</v>
      </c>
      <c r="DO113" s="3">
        <v>0</v>
      </c>
      <c r="DP113" s="3">
        <f t="shared" si="85"/>
        <v>245.46489221954192</v>
      </c>
      <c r="DQ113" s="3">
        <f t="shared" si="143"/>
        <v>518.08975493349612</v>
      </c>
      <c r="DR113" s="3">
        <v>0</v>
      </c>
      <c r="DS113" s="3">
        <v>0</v>
      </c>
      <c r="DT113" s="3">
        <f t="shared" si="89"/>
        <v>518.08975493349612</v>
      </c>
      <c r="DU113" s="3">
        <f t="shared" si="144"/>
        <v>2578.8892083850596</v>
      </c>
      <c r="DV113" s="3">
        <v>0</v>
      </c>
      <c r="DW113" s="3">
        <v>0</v>
      </c>
      <c r="DX113" s="3">
        <f t="shared" si="86"/>
        <v>2578.8892083850596</v>
      </c>
      <c r="DY113" s="3">
        <f t="shared" si="145"/>
        <v>8.8349890566750151</v>
      </c>
      <c r="DZ113" s="3">
        <v>0</v>
      </c>
      <c r="EA113" s="3">
        <v>0</v>
      </c>
      <c r="EB113" s="3">
        <f t="shared" si="87"/>
        <v>8.8349890566750151</v>
      </c>
      <c r="EC113" s="4">
        <f t="shared" si="146"/>
        <v>17549.596799999992</v>
      </c>
      <c r="ED113" s="5">
        <f t="shared" si="88"/>
        <v>0</v>
      </c>
      <c r="EE113" s="6">
        <f t="shared" si="118"/>
        <v>17549.596799999992</v>
      </c>
      <c r="EF113" s="6">
        <f t="shared" si="118"/>
        <v>0</v>
      </c>
      <c r="EG113" s="6">
        <f t="shared" si="118"/>
        <v>0</v>
      </c>
    </row>
    <row r="114" spans="1:137" ht="12" customHeight="1" x14ac:dyDescent="0.35">
      <c r="A114" s="34" t="s">
        <v>347</v>
      </c>
      <c r="B114" s="35">
        <v>3785</v>
      </c>
      <c r="C114" s="35" t="s">
        <v>348</v>
      </c>
      <c r="D114" s="35" t="s">
        <v>361</v>
      </c>
      <c r="E114" s="34">
        <v>150906</v>
      </c>
      <c r="F114" s="35">
        <v>1204846</v>
      </c>
      <c r="G114" s="8">
        <v>46115</v>
      </c>
      <c r="H114" s="8">
        <v>46132</v>
      </c>
      <c r="I114" s="36">
        <v>18</v>
      </c>
      <c r="J114" s="36">
        <v>238117.66</v>
      </c>
      <c r="K114" s="36">
        <v>42861.178800000002</v>
      </c>
      <c r="L114" s="37"/>
      <c r="M114" s="37"/>
      <c r="N114" s="36">
        <v>42861.178800000002</v>
      </c>
      <c r="O114" s="36">
        <v>280978.83880000003</v>
      </c>
      <c r="P114" s="35" t="s">
        <v>95</v>
      </c>
      <c r="Q114" s="34" t="s">
        <v>185</v>
      </c>
      <c r="R114" s="35" t="s">
        <v>112</v>
      </c>
      <c r="S114" s="35" t="s">
        <v>252</v>
      </c>
      <c r="T114" s="35" t="s">
        <v>253</v>
      </c>
      <c r="U114" s="35" t="s">
        <v>278</v>
      </c>
      <c r="V114" s="34">
        <v>997331</v>
      </c>
      <c r="W114" s="35" t="s">
        <v>419</v>
      </c>
      <c r="X114" s="34" t="s">
        <v>101</v>
      </c>
      <c r="Y114" s="35">
        <v>107</v>
      </c>
      <c r="Z114" s="35" t="s">
        <v>102</v>
      </c>
      <c r="AA114" t="s">
        <v>440</v>
      </c>
      <c r="AB114">
        <v>42861.178800000002</v>
      </c>
      <c r="AC114">
        <v>134706.57</v>
      </c>
      <c r="AD114" s="38">
        <v>-91845</v>
      </c>
      <c r="AE114" t="s">
        <v>104</v>
      </c>
      <c r="AF114" t="s">
        <v>73</v>
      </c>
      <c r="AG114" s="3">
        <f t="shared" si="119"/>
        <v>1586.9177202902583</v>
      </c>
      <c r="AH114" s="3">
        <v>0</v>
      </c>
      <c r="AI114" s="3">
        <v>0</v>
      </c>
      <c r="AJ114" s="3">
        <f t="shared" si="67"/>
        <v>1586.9177202902583</v>
      </c>
      <c r="AK114" s="3">
        <f t="shared" si="120"/>
        <v>13.205210517083643</v>
      </c>
      <c r="AL114" s="3">
        <v>0</v>
      </c>
      <c r="AM114" s="3">
        <v>0</v>
      </c>
      <c r="AN114" s="3">
        <f t="shared" si="68"/>
        <v>13.205210517083643</v>
      </c>
      <c r="AO114" s="3">
        <f t="shared" si="121"/>
        <v>654.09575230532516</v>
      </c>
      <c r="AP114" s="3">
        <v>0</v>
      </c>
      <c r="AQ114" s="3">
        <v>0</v>
      </c>
      <c r="AR114" s="3">
        <f t="shared" si="69"/>
        <v>654.09575230532516</v>
      </c>
      <c r="AS114" s="3">
        <f t="shared" si="122"/>
        <v>572.73169867660692</v>
      </c>
      <c r="AT114" s="3">
        <v>0</v>
      </c>
      <c r="AU114" s="3">
        <v>0</v>
      </c>
      <c r="AV114" s="3">
        <f t="shared" si="70"/>
        <v>572.73169867660692</v>
      </c>
      <c r="AW114" s="3">
        <f t="shared" si="123"/>
        <v>67.181195145428845</v>
      </c>
      <c r="AX114" s="3">
        <v>0</v>
      </c>
      <c r="AY114" s="3">
        <v>0</v>
      </c>
      <c r="AZ114" s="3">
        <f t="shared" si="71"/>
        <v>67.181195145428845</v>
      </c>
      <c r="BA114" s="3">
        <f t="shared" si="124"/>
        <v>717.36367237927402</v>
      </c>
      <c r="BB114" s="3">
        <v>0</v>
      </c>
      <c r="BC114" s="3">
        <v>0</v>
      </c>
      <c r="BD114" s="3">
        <f t="shared" si="72"/>
        <v>717.36367237927402</v>
      </c>
      <c r="BE114" s="3">
        <f t="shared" si="125"/>
        <v>3111.5529737993784</v>
      </c>
      <c r="BF114" s="3">
        <f t="shared" si="126"/>
        <v>0</v>
      </c>
      <c r="BG114" s="3">
        <f t="shared" si="127"/>
        <v>0</v>
      </c>
      <c r="BH114" s="3">
        <f t="shared" si="64"/>
        <v>3111.5529737993784</v>
      </c>
      <c r="BI114" s="3">
        <f t="shared" si="128"/>
        <v>1804.7290414601391</v>
      </c>
      <c r="BJ114" s="3">
        <v>0</v>
      </c>
      <c r="BK114" s="3">
        <v>0</v>
      </c>
      <c r="BL114" s="3">
        <f t="shared" si="65"/>
        <v>1804.7290414601391</v>
      </c>
      <c r="BM114" s="3">
        <f t="shared" si="129"/>
        <v>8286.9647385164899</v>
      </c>
      <c r="BN114" s="3">
        <v>0</v>
      </c>
      <c r="BO114" s="3">
        <v>0</v>
      </c>
      <c r="BP114" s="3">
        <f t="shared" si="73"/>
        <v>8286.9647385164899</v>
      </c>
      <c r="BQ114" s="3">
        <f t="shared" si="130"/>
        <v>742.82107432861562</v>
      </c>
      <c r="BR114" s="3">
        <v>0</v>
      </c>
      <c r="BS114" s="3">
        <v>0</v>
      </c>
      <c r="BT114" s="3">
        <f t="shared" si="74"/>
        <v>742.82107432861562</v>
      </c>
      <c r="BU114" s="3">
        <f t="shared" si="131"/>
        <v>117.87314285942709</v>
      </c>
      <c r="BV114" s="3">
        <v>0</v>
      </c>
      <c r="BW114" s="3">
        <v>0</v>
      </c>
      <c r="BX114" s="3">
        <f t="shared" si="75"/>
        <v>117.87314285942709</v>
      </c>
      <c r="BY114" s="3">
        <f t="shared" si="132"/>
        <v>284.13272495522006</v>
      </c>
      <c r="BZ114" s="3">
        <v>0</v>
      </c>
      <c r="CA114" s="3">
        <v>0</v>
      </c>
      <c r="CB114" s="3">
        <f t="shared" si="76"/>
        <v>284.13272495522006</v>
      </c>
      <c r="CC114" s="3">
        <f t="shared" si="133"/>
        <v>235.2357608979988</v>
      </c>
      <c r="CD114" s="3">
        <v>0</v>
      </c>
      <c r="CE114" s="3">
        <v>0</v>
      </c>
      <c r="CF114" s="3">
        <f t="shared" si="77"/>
        <v>235.2357608979988</v>
      </c>
      <c r="CG114" s="3">
        <f t="shared" si="134"/>
        <v>269.50219743098654</v>
      </c>
      <c r="CH114" s="3">
        <v>0</v>
      </c>
      <c r="CI114" s="3">
        <v>0</v>
      </c>
      <c r="CJ114" s="3">
        <f t="shared" si="78"/>
        <v>269.50219743098654</v>
      </c>
      <c r="CK114" s="3">
        <f t="shared" si="135"/>
        <v>554.52182378422026</v>
      </c>
      <c r="CL114" s="3">
        <v>0</v>
      </c>
      <c r="CM114" s="3">
        <v>0</v>
      </c>
      <c r="CN114" s="3">
        <f t="shared" si="79"/>
        <v>554.52182378422026</v>
      </c>
      <c r="CO114" s="3">
        <f t="shared" si="136"/>
        <v>1081.5580906426094</v>
      </c>
      <c r="CP114" s="3">
        <v>0</v>
      </c>
      <c r="CQ114" s="3">
        <v>0</v>
      </c>
      <c r="CR114" s="3">
        <f t="shared" si="80"/>
        <v>1081.5580906426094</v>
      </c>
      <c r="CS114" s="3">
        <f t="shared" si="137"/>
        <v>3179.204609057655</v>
      </c>
      <c r="CT114" s="3">
        <v>0</v>
      </c>
      <c r="CU114" s="3">
        <v>0</v>
      </c>
      <c r="CV114" s="3">
        <f t="shared" si="81"/>
        <v>3179.204609057655</v>
      </c>
      <c r="CW114" s="3">
        <f t="shared" si="138"/>
        <v>10556.153397691771</v>
      </c>
      <c r="CX114" s="3">
        <v>0</v>
      </c>
      <c r="CY114" s="3">
        <v>0</v>
      </c>
      <c r="CZ114" s="3">
        <f t="shared" si="82"/>
        <v>10556.153397691771</v>
      </c>
      <c r="DA114" s="3">
        <f t="shared" si="139"/>
        <v>719.37413339542786</v>
      </c>
      <c r="DB114" s="3">
        <v>0</v>
      </c>
      <c r="DC114" s="3">
        <v>0</v>
      </c>
      <c r="DD114" s="3">
        <f t="shared" si="83"/>
        <v>719.37413339542786</v>
      </c>
      <c r="DE114" s="3">
        <f t="shared" si="140"/>
        <v>121.26999148991045</v>
      </c>
      <c r="DF114" s="3">
        <v>0</v>
      </c>
      <c r="DG114" s="3">
        <v>0</v>
      </c>
      <c r="DH114" s="3">
        <f t="shared" si="84"/>
        <v>121.26999148991045</v>
      </c>
      <c r="DI114" s="3">
        <f t="shared" si="141"/>
        <v>0</v>
      </c>
      <c r="DJ114" s="3">
        <v>0</v>
      </c>
      <c r="DK114" s="3">
        <v>0</v>
      </c>
      <c r="DL114" s="3">
        <f t="shared" si="63"/>
        <v>0</v>
      </c>
      <c r="DM114" s="3">
        <f t="shared" si="142"/>
        <v>599.49608839700056</v>
      </c>
      <c r="DN114" s="3">
        <v>0</v>
      </c>
      <c r="DO114" s="3">
        <v>0</v>
      </c>
      <c r="DP114" s="3">
        <f t="shared" si="85"/>
        <v>599.49608839700056</v>
      </c>
      <c r="DQ114" s="3">
        <f t="shared" si="143"/>
        <v>1265.3246609433647</v>
      </c>
      <c r="DR114" s="3">
        <v>0</v>
      </c>
      <c r="DS114" s="3">
        <v>0</v>
      </c>
      <c r="DT114" s="3">
        <f t="shared" si="89"/>
        <v>1265.3246609433647</v>
      </c>
      <c r="DU114" s="3">
        <f t="shared" si="144"/>
        <v>6298.3915086859715</v>
      </c>
      <c r="DV114" s="3">
        <v>0</v>
      </c>
      <c r="DW114" s="3">
        <v>0</v>
      </c>
      <c r="DX114" s="3">
        <f t="shared" si="86"/>
        <v>6298.3915086859715</v>
      </c>
      <c r="DY114" s="3">
        <f t="shared" si="145"/>
        <v>21.577592349824879</v>
      </c>
      <c r="DZ114" s="3">
        <v>0</v>
      </c>
      <c r="EA114" s="3">
        <v>0</v>
      </c>
      <c r="EB114" s="3">
        <f t="shared" si="87"/>
        <v>21.577592349824879</v>
      </c>
      <c r="EC114" s="4">
        <f t="shared" si="146"/>
        <v>42861.17879999998</v>
      </c>
      <c r="ED114" s="5">
        <f t="shared" si="88"/>
        <v>0</v>
      </c>
      <c r="EE114" s="6">
        <f t="shared" si="118"/>
        <v>42861.17879999998</v>
      </c>
      <c r="EF114" s="6">
        <f t="shared" si="118"/>
        <v>0</v>
      </c>
      <c r="EG114" s="6">
        <f t="shared" si="118"/>
        <v>0</v>
      </c>
    </row>
    <row r="115" spans="1:137" ht="12" customHeight="1" x14ac:dyDescent="0.35">
      <c r="A115" s="34" t="s">
        <v>347</v>
      </c>
      <c r="B115" s="35">
        <v>3785</v>
      </c>
      <c r="C115" s="35" t="s">
        <v>348</v>
      </c>
      <c r="D115" s="35" t="s">
        <v>361</v>
      </c>
      <c r="E115" s="34">
        <v>150906</v>
      </c>
      <c r="F115" s="35">
        <v>1204846</v>
      </c>
      <c r="G115" s="8">
        <v>46115</v>
      </c>
      <c r="H115" s="8">
        <v>46132</v>
      </c>
      <c r="I115" s="36">
        <v>18</v>
      </c>
      <c r="J115" s="36">
        <v>510252.14</v>
      </c>
      <c r="K115" s="36">
        <v>91845.385200000004</v>
      </c>
      <c r="L115" s="37"/>
      <c r="M115" s="37"/>
      <c r="N115" s="36">
        <v>91845.385200000004</v>
      </c>
      <c r="O115" s="36">
        <v>602097.52520000003</v>
      </c>
      <c r="P115" s="35" t="s">
        <v>95</v>
      </c>
      <c r="Q115" s="34" t="s">
        <v>185</v>
      </c>
      <c r="R115" s="35" t="s">
        <v>112</v>
      </c>
      <c r="S115" s="35" t="s">
        <v>252</v>
      </c>
      <c r="T115" s="35" t="s">
        <v>253</v>
      </c>
      <c r="U115" s="35" t="s">
        <v>278</v>
      </c>
      <c r="V115" s="34">
        <v>997331</v>
      </c>
      <c r="W115" s="35" t="s">
        <v>437</v>
      </c>
      <c r="X115" s="34" t="s">
        <v>101</v>
      </c>
      <c r="Y115" s="35">
        <v>107</v>
      </c>
      <c r="Z115" s="35" t="s">
        <v>102</v>
      </c>
      <c r="AA115" t="s">
        <v>440</v>
      </c>
      <c r="AB115">
        <v>91845.385200000004</v>
      </c>
      <c r="AC115">
        <v>134706.57</v>
      </c>
      <c r="AD115" s="38">
        <v>-42861</v>
      </c>
      <c r="AE115" t="s">
        <v>104</v>
      </c>
      <c r="AF115" t="s">
        <v>73</v>
      </c>
      <c r="AG115" s="3">
        <f t="shared" si="119"/>
        <v>3400.5380482154314</v>
      </c>
      <c r="AH115" s="3">
        <v>0</v>
      </c>
      <c r="AI115" s="3">
        <v>0</v>
      </c>
      <c r="AJ115" s="3">
        <f t="shared" si="67"/>
        <v>3400.5380482154314</v>
      </c>
      <c r="AK115" s="3">
        <f t="shared" si="120"/>
        <v>28.296880313255368</v>
      </c>
      <c r="AL115" s="3">
        <v>0</v>
      </c>
      <c r="AM115" s="3">
        <v>0</v>
      </c>
      <c r="AN115" s="3">
        <f t="shared" si="68"/>
        <v>28.296880313255368</v>
      </c>
      <c r="AO115" s="3">
        <f t="shared" si="121"/>
        <v>1401.6337863336223</v>
      </c>
      <c r="AP115" s="3">
        <v>0</v>
      </c>
      <c r="AQ115" s="3">
        <v>0</v>
      </c>
      <c r="AR115" s="3">
        <f t="shared" si="69"/>
        <v>1401.6337863336223</v>
      </c>
      <c r="AS115" s="3">
        <f t="shared" si="122"/>
        <v>1227.2822389384048</v>
      </c>
      <c r="AT115" s="3">
        <v>0</v>
      </c>
      <c r="AU115" s="3">
        <v>0</v>
      </c>
      <c r="AV115" s="3">
        <f t="shared" si="70"/>
        <v>1227.2822389384048</v>
      </c>
      <c r="AW115" s="3">
        <f t="shared" si="123"/>
        <v>143.95970710745556</v>
      </c>
      <c r="AX115" s="3">
        <v>0</v>
      </c>
      <c r="AY115" s="3">
        <v>0</v>
      </c>
      <c r="AZ115" s="3">
        <f t="shared" si="71"/>
        <v>143.95970710745556</v>
      </c>
      <c r="BA115" s="3">
        <f t="shared" si="124"/>
        <v>1537.2079038143725</v>
      </c>
      <c r="BB115" s="3">
        <v>0</v>
      </c>
      <c r="BC115" s="3">
        <v>0</v>
      </c>
      <c r="BD115" s="3">
        <f t="shared" si="72"/>
        <v>1537.2079038143725</v>
      </c>
      <c r="BE115" s="3">
        <f t="shared" si="125"/>
        <v>6667.6136646248606</v>
      </c>
      <c r="BF115" s="3">
        <f t="shared" si="126"/>
        <v>0</v>
      </c>
      <c r="BG115" s="3">
        <f t="shared" si="127"/>
        <v>0</v>
      </c>
      <c r="BH115" s="3">
        <f t="shared" si="64"/>
        <v>6667.6136646248606</v>
      </c>
      <c r="BI115" s="3">
        <f t="shared" si="128"/>
        <v>3867.2766040334209</v>
      </c>
      <c r="BJ115" s="3">
        <v>0</v>
      </c>
      <c r="BK115" s="3">
        <v>0</v>
      </c>
      <c r="BL115" s="3">
        <f t="shared" si="65"/>
        <v>3867.2766040334209</v>
      </c>
      <c r="BM115" s="3">
        <f t="shared" si="129"/>
        <v>17757.781980272186</v>
      </c>
      <c r="BN115" s="3">
        <v>0</v>
      </c>
      <c r="BO115" s="3">
        <v>0</v>
      </c>
      <c r="BP115" s="3">
        <f t="shared" si="73"/>
        <v>17757.781980272186</v>
      </c>
      <c r="BQ115" s="3">
        <f t="shared" si="130"/>
        <v>1591.7594806419449</v>
      </c>
      <c r="BR115" s="3">
        <v>0</v>
      </c>
      <c r="BS115" s="3">
        <v>0</v>
      </c>
      <c r="BT115" s="3">
        <f t="shared" si="74"/>
        <v>1591.7594806419449</v>
      </c>
      <c r="BU115" s="3">
        <f t="shared" si="131"/>
        <v>252.58531178472188</v>
      </c>
      <c r="BV115" s="3">
        <v>0</v>
      </c>
      <c r="BW115" s="3">
        <v>0</v>
      </c>
      <c r="BX115" s="3">
        <f t="shared" si="75"/>
        <v>252.58531178472188</v>
      </c>
      <c r="BY115" s="3">
        <f t="shared" si="132"/>
        <v>608.85585282684383</v>
      </c>
      <c r="BZ115" s="3">
        <v>0</v>
      </c>
      <c r="CA115" s="3">
        <v>0</v>
      </c>
      <c r="CB115" s="3">
        <f t="shared" si="76"/>
        <v>608.85585282684383</v>
      </c>
      <c r="CC115" s="3">
        <f t="shared" si="133"/>
        <v>504.07664178596508</v>
      </c>
      <c r="CD115" s="3">
        <v>0</v>
      </c>
      <c r="CE115" s="3">
        <v>0</v>
      </c>
      <c r="CF115" s="3">
        <f t="shared" si="77"/>
        <v>504.07664178596508</v>
      </c>
      <c r="CG115" s="3">
        <f t="shared" si="134"/>
        <v>577.50472171557283</v>
      </c>
      <c r="CH115" s="3">
        <v>0</v>
      </c>
      <c r="CI115" s="3">
        <v>0</v>
      </c>
      <c r="CJ115" s="3">
        <f t="shared" si="78"/>
        <v>577.50472171557283</v>
      </c>
      <c r="CK115" s="3">
        <f t="shared" si="135"/>
        <v>1188.2610775807275</v>
      </c>
      <c r="CL115" s="3">
        <v>0</v>
      </c>
      <c r="CM115" s="3">
        <v>0</v>
      </c>
      <c r="CN115" s="3">
        <f t="shared" si="79"/>
        <v>1188.2610775807275</v>
      </c>
      <c r="CO115" s="3">
        <f t="shared" si="136"/>
        <v>2317.6245318583487</v>
      </c>
      <c r="CP115" s="3">
        <v>0</v>
      </c>
      <c r="CQ115" s="3">
        <v>0</v>
      </c>
      <c r="CR115" s="3">
        <f t="shared" si="80"/>
        <v>2317.6245318583487</v>
      </c>
      <c r="CS115" s="3">
        <f t="shared" si="137"/>
        <v>6812.5814577109986</v>
      </c>
      <c r="CT115" s="3">
        <v>0</v>
      </c>
      <c r="CU115" s="3">
        <v>0</v>
      </c>
      <c r="CV115" s="3">
        <f t="shared" si="81"/>
        <v>6812.5814577109986</v>
      </c>
      <c r="CW115" s="3">
        <f t="shared" si="138"/>
        <v>22620.32921598716</v>
      </c>
      <c r="CX115" s="3">
        <v>0</v>
      </c>
      <c r="CY115" s="3">
        <v>0</v>
      </c>
      <c r="CZ115" s="3">
        <f t="shared" si="82"/>
        <v>22620.32921598716</v>
      </c>
      <c r="DA115" s="3">
        <f t="shared" si="139"/>
        <v>1541.5160346597668</v>
      </c>
      <c r="DB115" s="3">
        <v>0</v>
      </c>
      <c r="DC115" s="3">
        <v>0</v>
      </c>
      <c r="DD115" s="3">
        <f t="shared" si="83"/>
        <v>1541.5160346597668</v>
      </c>
      <c r="DE115" s="3">
        <f t="shared" si="140"/>
        <v>259.86427329879098</v>
      </c>
      <c r="DF115" s="3">
        <v>0</v>
      </c>
      <c r="DG115" s="3">
        <v>0</v>
      </c>
      <c r="DH115" s="3">
        <f t="shared" si="84"/>
        <v>259.86427329879098</v>
      </c>
      <c r="DI115" s="3">
        <f t="shared" si="141"/>
        <v>0</v>
      </c>
      <c r="DJ115" s="3">
        <v>0</v>
      </c>
      <c r="DK115" s="3">
        <v>0</v>
      </c>
      <c r="DL115" s="3">
        <f t="shared" si="63"/>
        <v>0</v>
      </c>
      <c r="DM115" s="3">
        <f t="shared" si="142"/>
        <v>1284.6345039095322</v>
      </c>
      <c r="DN115" s="3">
        <v>0</v>
      </c>
      <c r="DO115" s="3">
        <v>0</v>
      </c>
      <c r="DP115" s="3">
        <f t="shared" si="85"/>
        <v>1284.6345039095322</v>
      </c>
      <c r="DQ115" s="3">
        <f t="shared" si="143"/>
        <v>2711.4100484656465</v>
      </c>
      <c r="DR115" s="3">
        <v>0</v>
      </c>
      <c r="DS115" s="3">
        <v>0</v>
      </c>
      <c r="DT115" s="3">
        <f t="shared" si="89"/>
        <v>2711.4100484656465</v>
      </c>
      <c r="DU115" s="3">
        <f t="shared" si="144"/>
        <v>13496.553535192837</v>
      </c>
      <c r="DV115" s="3">
        <v>0</v>
      </c>
      <c r="DW115" s="3">
        <v>0</v>
      </c>
      <c r="DX115" s="3">
        <f t="shared" si="86"/>
        <v>13496.553535192837</v>
      </c>
      <c r="DY115" s="3">
        <f t="shared" si="145"/>
        <v>46.237698928108792</v>
      </c>
      <c r="DZ115" s="3">
        <v>0</v>
      </c>
      <c r="EA115" s="3">
        <v>0</v>
      </c>
      <c r="EB115" s="3">
        <f t="shared" si="87"/>
        <v>46.237698928108792</v>
      </c>
      <c r="EC115" s="4">
        <f t="shared" si="146"/>
        <v>91845.385199999975</v>
      </c>
      <c r="ED115" s="5">
        <f t="shared" si="88"/>
        <v>0</v>
      </c>
      <c r="EE115" s="6">
        <f t="shared" si="118"/>
        <v>91845.385199999975</v>
      </c>
      <c r="EF115" s="6">
        <f t="shared" si="118"/>
        <v>0</v>
      </c>
      <c r="EG115" s="6">
        <f t="shared" si="118"/>
        <v>0</v>
      </c>
    </row>
    <row r="116" spans="1:137" ht="12" customHeight="1" x14ac:dyDescent="0.35">
      <c r="A116" s="34" t="s">
        <v>441</v>
      </c>
      <c r="B116" s="35">
        <v>39705</v>
      </c>
      <c r="C116" s="35" t="s">
        <v>442</v>
      </c>
      <c r="D116" s="35" t="s">
        <v>443</v>
      </c>
      <c r="E116" s="34">
        <v>421415</v>
      </c>
      <c r="F116" s="35">
        <v>3473445509</v>
      </c>
      <c r="G116" s="8">
        <v>46115</v>
      </c>
      <c r="H116" s="8">
        <v>46132</v>
      </c>
      <c r="I116" s="36">
        <v>18</v>
      </c>
      <c r="J116" s="36">
        <v>46250</v>
      </c>
      <c r="K116" s="37"/>
      <c r="L116" s="36">
        <v>4162.5</v>
      </c>
      <c r="M116" s="36">
        <v>4162.5</v>
      </c>
      <c r="N116" s="36">
        <v>8325</v>
      </c>
      <c r="O116" s="36">
        <v>54575</v>
      </c>
      <c r="P116" s="35" t="s">
        <v>95</v>
      </c>
      <c r="Q116" s="34" t="s">
        <v>185</v>
      </c>
      <c r="R116" s="35" t="s">
        <v>139</v>
      </c>
      <c r="S116" s="35" t="s">
        <v>252</v>
      </c>
      <c r="T116" s="35" t="s">
        <v>253</v>
      </c>
      <c r="U116" s="35" t="s">
        <v>278</v>
      </c>
      <c r="V116" s="34">
        <v>998421</v>
      </c>
      <c r="W116" s="35" t="s">
        <v>444</v>
      </c>
      <c r="X116" s="34" t="s">
        <v>101</v>
      </c>
      <c r="Y116" s="35">
        <v>107</v>
      </c>
      <c r="Z116" s="35" t="s">
        <v>102</v>
      </c>
      <c r="AA116" t="s">
        <v>445</v>
      </c>
      <c r="AB116">
        <v>8325</v>
      </c>
      <c r="AC116">
        <v>8325</v>
      </c>
      <c r="AD116" s="38">
        <v>0</v>
      </c>
      <c r="AE116" t="s">
        <v>104</v>
      </c>
      <c r="AF116" t="s">
        <v>73</v>
      </c>
      <c r="AG116" s="3">
        <f t="shared" si="119"/>
        <v>308.22974055525509</v>
      </c>
      <c r="AH116" s="3">
        <v>0</v>
      </c>
      <c r="AI116" s="3">
        <v>0</v>
      </c>
      <c r="AJ116" s="3">
        <f t="shared" si="67"/>
        <v>308.22974055525509</v>
      </c>
      <c r="AK116" s="3">
        <f t="shared" si="120"/>
        <v>2.5648706039489824</v>
      </c>
      <c r="AL116" s="3">
        <v>0</v>
      </c>
      <c r="AM116" s="3">
        <v>0</v>
      </c>
      <c r="AN116" s="3">
        <f t="shared" si="68"/>
        <v>2.5648706039489824</v>
      </c>
      <c r="AO116" s="3">
        <f t="shared" si="121"/>
        <v>127.04613569661859</v>
      </c>
      <c r="AP116" s="3">
        <v>0</v>
      </c>
      <c r="AQ116" s="3">
        <v>0</v>
      </c>
      <c r="AR116" s="3">
        <f t="shared" si="69"/>
        <v>127.04613569661859</v>
      </c>
      <c r="AS116" s="3">
        <f t="shared" si="122"/>
        <v>111.24265652448065</v>
      </c>
      <c r="AT116" s="3">
        <v>0</v>
      </c>
      <c r="AU116" s="3">
        <v>0</v>
      </c>
      <c r="AV116" s="3">
        <f t="shared" si="70"/>
        <v>111.24265652448065</v>
      </c>
      <c r="AW116" s="3">
        <f t="shared" si="123"/>
        <v>13.048718333096691</v>
      </c>
      <c r="AX116" s="3">
        <v>0</v>
      </c>
      <c r="AY116" s="3">
        <v>0</v>
      </c>
      <c r="AZ116" s="3">
        <f t="shared" si="71"/>
        <v>13.048718333096691</v>
      </c>
      <c r="BA116" s="3">
        <f t="shared" si="124"/>
        <v>139.33477192553221</v>
      </c>
      <c r="BB116" s="3">
        <v>0</v>
      </c>
      <c r="BC116" s="3">
        <v>0</v>
      </c>
      <c r="BD116" s="3">
        <f t="shared" si="72"/>
        <v>139.33477192553221</v>
      </c>
      <c r="BE116" s="3">
        <f t="shared" si="125"/>
        <v>0</v>
      </c>
      <c r="BF116" s="3">
        <f t="shared" si="126"/>
        <v>302.18112557930652</v>
      </c>
      <c r="BG116" s="3">
        <f t="shared" si="127"/>
        <v>302.18112557930652</v>
      </c>
      <c r="BH116" s="3">
        <f t="shared" si="64"/>
        <v>604.36225115861305</v>
      </c>
      <c r="BI116" s="3">
        <f t="shared" si="128"/>
        <v>350.53560566457543</v>
      </c>
      <c r="BJ116" s="3">
        <v>0</v>
      </c>
      <c r="BK116" s="3">
        <v>0</v>
      </c>
      <c r="BL116" s="3">
        <f t="shared" si="65"/>
        <v>350.53560566457543</v>
      </c>
      <c r="BM116" s="3">
        <f t="shared" si="129"/>
        <v>1609.5913220228506</v>
      </c>
      <c r="BN116" s="3">
        <v>0</v>
      </c>
      <c r="BO116" s="3">
        <v>0</v>
      </c>
      <c r="BP116" s="3">
        <f t="shared" si="73"/>
        <v>1609.5913220228506</v>
      </c>
      <c r="BQ116" s="3">
        <f t="shared" si="130"/>
        <v>144.2794066080545</v>
      </c>
      <c r="BR116" s="3">
        <v>0</v>
      </c>
      <c r="BS116" s="3">
        <v>0</v>
      </c>
      <c r="BT116" s="3">
        <f t="shared" si="74"/>
        <v>144.2794066080545</v>
      </c>
      <c r="BU116" s="3">
        <f t="shared" si="131"/>
        <v>22.894701960570679</v>
      </c>
      <c r="BV116" s="3">
        <v>0</v>
      </c>
      <c r="BW116" s="3">
        <v>0</v>
      </c>
      <c r="BX116" s="3">
        <f t="shared" si="75"/>
        <v>22.894701960570679</v>
      </c>
      <c r="BY116" s="3">
        <f t="shared" si="132"/>
        <v>55.187584697325377</v>
      </c>
      <c r="BZ116" s="3">
        <v>0</v>
      </c>
      <c r="CA116" s="3">
        <v>0</v>
      </c>
      <c r="CB116" s="3">
        <f t="shared" si="76"/>
        <v>55.187584697325377</v>
      </c>
      <c r="CC116" s="3">
        <f t="shared" si="133"/>
        <v>45.690243812795927</v>
      </c>
      <c r="CD116" s="3">
        <v>0</v>
      </c>
      <c r="CE116" s="3">
        <v>0</v>
      </c>
      <c r="CF116" s="3">
        <f t="shared" si="77"/>
        <v>45.690243812795927</v>
      </c>
      <c r="CG116" s="3">
        <f t="shared" si="134"/>
        <v>52.345872335479555</v>
      </c>
      <c r="CH116" s="3">
        <v>0</v>
      </c>
      <c r="CI116" s="3">
        <v>0</v>
      </c>
      <c r="CJ116" s="3">
        <f t="shared" si="78"/>
        <v>52.345872335479555</v>
      </c>
      <c r="CK116" s="3">
        <f t="shared" si="135"/>
        <v>107.70572140688846</v>
      </c>
      <c r="CL116" s="3">
        <v>0</v>
      </c>
      <c r="CM116" s="3">
        <v>0</v>
      </c>
      <c r="CN116" s="3">
        <f t="shared" si="79"/>
        <v>107.70572140688846</v>
      </c>
      <c r="CO116" s="3">
        <f t="shared" si="136"/>
        <v>210.07287612443648</v>
      </c>
      <c r="CP116" s="3">
        <v>0</v>
      </c>
      <c r="CQ116" s="3">
        <v>0</v>
      </c>
      <c r="CR116" s="3">
        <f t="shared" si="80"/>
        <v>210.07287612443648</v>
      </c>
      <c r="CS116" s="3">
        <f t="shared" si="137"/>
        <v>617.50234387872172</v>
      </c>
      <c r="CT116" s="3">
        <v>0</v>
      </c>
      <c r="CU116" s="3">
        <v>0</v>
      </c>
      <c r="CV116" s="3">
        <f t="shared" si="81"/>
        <v>617.50234387872172</v>
      </c>
      <c r="CW116" s="3">
        <f t="shared" si="138"/>
        <v>2050.3397129101822</v>
      </c>
      <c r="CX116" s="3">
        <v>0</v>
      </c>
      <c r="CY116" s="3">
        <v>0</v>
      </c>
      <c r="CZ116" s="3">
        <f t="shared" si="82"/>
        <v>2050.3397129101822</v>
      </c>
      <c r="DA116" s="3">
        <f t="shared" si="139"/>
        <v>139.7252672041987</v>
      </c>
      <c r="DB116" s="3">
        <v>0</v>
      </c>
      <c r="DC116" s="3">
        <v>0</v>
      </c>
      <c r="DD116" s="3">
        <f t="shared" si="83"/>
        <v>139.7252672041987</v>
      </c>
      <c r="DE116" s="3">
        <f t="shared" si="140"/>
        <v>23.554477674643525</v>
      </c>
      <c r="DF116" s="3">
        <v>0</v>
      </c>
      <c r="DG116" s="3">
        <v>0</v>
      </c>
      <c r="DH116" s="3">
        <f t="shared" si="84"/>
        <v>23.554477674643525</v>
      </c>
      <c r="DI116" s="3">
        <f t="shared" si="141"/>
        <v>0</v>
      </c>
      <c r="DJ116" s="3">
        <v>0</v>
      </c>
      <c r="DK116" s="3">
        <v>0</v>
      </c>
      <c r="DL116" s="3">
        <f t="shared" si="63"/>
        <v>0</v>
      </c>
      <c r="DM116" s="3">
        <f t="shared" si="142"/>
        <v>116.44114967517012</v>
      </c>
      <c r="DN116" s="3">
        <v>0</v>
      </c>
      <c r="DO116" s="3">
        <v>0</v>
      </c>
      <c r="DP116" s="3">
        <f t="shared" si="85"/>
        <v>116.44114967517012</v>
      </c>
      <c r="DQ116" s="3">
        <f t="shared" si="143"/>
        <v>245.76617109638411</v>
      </c>
      <c r="DR116" s="3">
        <v>0</v>
      </c>
      <c r="DS116" s="3">
        <v>0</v>
      </c>
      <c r="DT116" s="3">
        <f t="shared" si="89"/>
        <v>245.76617109638411</v>
      </c>
      <c r="DU116" s="3">
        <f t="shared" si="144"/>
        <v>1223.3473454960299</v>
      </c>
      <c r="DV116" s="3">
        <v>0</v>
      </c>
      <c r="DW116" s="3">
        <v>0</v>
      </c>
      <c r="DX116" s="3">
        <f t="shared" si="86"/>
        <v>1223.3473454960299</v>
      </c>
      <c r="DY116" s="3">
        <f t="shared" si="145"/>
        <v>4.1910526341448193</v>
      </c>
      <c r="DZ116" s="3">
        <v>0</v>
      </c>
      <c r="EA116" s="3">
        <v>0</v>
      </c>
      <c r="EB116" s="3">
        <f t="shared" si="87"/>
        <v>4.1910526341448193</v>
      </c>
      <c r="EC116" s="4">
        <f t="shared" si="146"/>
        <v>8324.9999999999982</v>
      </c>
      <c r="ED116" s="5">
        <f t="shared" si="88"/>
        <v>0</v>
      </c>
      <c r="EE116" s="6">
        <f t="shared" si="118"/>
        <v>7720.6377488413846</v>
      </c>
      <c r="EF116" s="6">
        <f t="shared" si="118"/>
        <v>302.18112557930652</v>
      </c>
      <c r="EG116" s="6">
        <f t="shared" si="118"/>
        <v>302.18112557930652</v>
      </c>
    </row>
    <row r="117" spans="1:137" ht="12" customHeight="1" x14ac:dyDescent="0.35">
      <c r="A117" s="34" t="s">
        <v>298</v>
      </c>
      <c r="B117" s="35">
        <v>40855</v>
      </c>
      <c r="C117" s="35" t="s">
        <v>299</v>
      </c>
      <c r="D117" s="35" t="s">
        <v>183</v>
      </c>
      <c r="E117" s="34">
        <v>234010</v>
      </c>
      <c r="F117" s="35" t="s">
        <v>446</v>
      </c>
      <c r="G117" s="8">
        <v>46120</v>
      </c>
      <c r="H117" s="8">
        <v>46142</v>
      </c>
      <c r="I117" s="36">
        <v>18</v>
      </c>
      <c r="J117" s="36">
        <v>6400</v>
      </c>
      <c r="K117" s="36">
        <v>1152</v>
      </c>
      <c r="L117" s="37"/>
      <c r="M117" s="37"/>
      <c r="N117" s="36">
        <v>1152</v>
      </c>
      <c r="O117" s="36">
        <v>7552</v>
      </c>
      <c r="P117" s="35" t="s">
        <v>95</v>
      </c>
      <c r="Q117" s="34" t="s">
        <v>185</v>
      </c>
      <c r="R117" s="35" t="s">
        <v>112</v>
      </c>
      <c r="S117" s="35" t="s">
        <v>252</v>
      </c>
      <c r="T117" s="35" t="s">
        <v>253</v>
      </c>
      <c r="U117" s="37"/>
      <c r="V117" s="34">
        <v>996812</v>
      </c>
      <c r="W117" s="35" t="s">
        <v>447</v>
      </c>
      <c r="X117" s="34" t="s">
        <v>101</v>
      </c>
      <c r="Y117" s="35">
        <v>107</v>
      </c>
      <c r="Z117" s="35" t="s">
        <v>102</v>
      </c>
      <c r="AA117" t="s">
        <v>448</v>
      </c>
      <c r="AB117">
        <v>1152</v>
      </c>
      <c r="AC117">
        <v>1152</v>
      </c>
      <c r="AD117" s="38">
        <v>0</v>
      </c>
      <c r="AE117" t="s">
        <v>104</v>
      </c>
      <c r="AF117" t="s">
        <v>73</v>
      </c>
      <c r="AG117" s="3">
        <f t="shared" si="119"/>
        <v>42.652331666024487</v>
      </c>
      <c r="AH117" s="3">
        <v>0</v>
      </c>
      <c r="AI117" s="3">
        <v>0</v>
      </c>
      <c r="AJ117" s="3">
        <f t="shared" si="67"/>
        <v>42.652331666024487</v>
      </c>
      <c r="AK117" s="3">
        <f t="shared" si="120"/>
        <v>0.35492263492483217</v>
      </c>
      <c r="AL117" s="3">
        <v>0</v>
      </c>
      <c r="AM117" s="3">
        <v>0</v>
      </c>
      <c r="AN117" s="3">
        <f t="shared" si="68"/>
        <v>0.35492263492483217</v>
      </c>
      <c r="AO117" s="3">
        <f t="shared" si="121"/>
        <v>17.580438236937493</v>
      </c>
      <c r="AP117" s="3">
        <v>0</v>
      </c>
      <c r="AQ117" s="3">
        <v>0</v>
      </c>
      <c r="AR117" s="3">
        <f t="shared" si="69"/>
        <v>17.580438236937493</v>
      </c>
      <c r="AS117" s="3">
        <f t="shared" si="122"/>
        <v>15.393578416360567</v>
      </c>
      <c r="AT117" s="3">
        <v>0</v>
      </c>
      <c r="AU117" s="3">
        <v>0</v>
      </c>
      <c r="AV117" s="3">
        <f t="shared" si="70"/>
        <v>15.393578416360567</v>
      </c>
      <c r="AW117" s="3">
        <f t="shared" si="123"/>
        <v>1.8056604828501364</v>
      </c>
      <c r="AX117" s="3">
        <v>0</v>
      </c>
      <c r="AY117" s="3">
        <v>0</v>
      </c>
      <c r="AZ117" s="3">
        <f t="shared" si="71"/>
        <v>1.8056604828501364</v>
      </c>
      <c r="BA117" s="3">
        <f t="shared" si="124"/>
        <v>19.280919790776348</v>
      </c>
      <c r="BB117" s="3">
        <v>0</v>
      </c>
      <c r="BC117" s="3">
        <v>0</v>
      </c>
      <c r="BD117" s="3">
        <f t="shared" si="72"/>
        <v>19.280919790776348</v>
      </c>
      <c r="BE117" s="3">
        <f t="shared" si="125"/>
        <v>83.630668268435102</v>
      </c>
      <c r="BF117" s="3">
        <f t="shared" si="126"/>
        <v>0</v>
      </c>
      <c r="BG117" s="3">
        <f t="shared" si="127"/>
        <v>0</v>
      </c>
      <c r="BH117" s="3">
        <f t="shared" si="64"/>
        <v>83.630668268435102</v>
      </c>
      <c r="BI117" s="3">
        <f t="shared" si="128"/>
        <v>48.50654867574665</v>
      </c>
      <c r="BJ117" s="3">
        <v>0</v>
      </c>
      <c r="BK117" s="3">
        <v>0</v>
      </c>
      <c r="BL117" s="3">
        <f t="shared" si="65"/>
        <v>48.50654867574665</v>
      </c>
      <c r="BM117" s="3">
        <f t="shared" si="129"/>
        <v>222.73263699343227</v>
      </c>
      <c r="BN117" s="3">
        <v>0</v>
      </c>
      <c r="BO117" s="3">
        <v>0</v>
      </c>
      <c r="BP117" s="3">
        <f t="shared" si="73"/>
        <v>222.73263699343227</v>
      </c>
      <c r="BQ117" s="3">
        <f t="shared" si="130"/>
        <v>19.965150319817269</v>
      </c>
      <c r="BR117" s="3">
        <v>0</v>
      </c>
      <c r="BS117" s="3">
        <v>0</v>
      </c>
      <c r="BT117" s="3">
        <f t="shared" si="74"/>
        <v>19.965150319817269</v>
      </c>
      <c r="BU117" s="3">
        <f t="shared" si="131"/>
        <v>3.1681317307600509</v>
      </c>
      <c r="BV117" s="3">
        <v>0</v>
      </c>
      <c r="BW117" s="3">
        <v>0</v>
      </c>
      <c r="BX117" s="3">
        <f t="shared" si="75"/>
        <v>3.1681317307600509</v>
      </c>
      <c r="BY117" s="3">
        <f t="shared" si="132"/>
        <v>7.6367684770352957</v>
      </c>
      <c r="BZ117" s="3">
        <v>0</v>
      </c>
      <c r="CA117" s="3">
        <v>0</v>
      </c>
      <c r="CB117" s="3">
        <f t="shared" si="76"/>
        <v>7.6367684770352957</v>
      </c>
      <c r="CC117" s="3">
        <f t="shared" si="133"/>
        <v>6.3225418465274368</v>
      </c>
      <c r="CD117" s="3">
        <v>0</v>
      </c>
      <c r="CE117" s="3">
        <v>0</v>
      </c>
      <c r="CF117" s="3">
        <f t="shared" si="77"/>
        <v>6.3225418465274368</v>
      </c>
      <c r="CG117" s="3">
        <f t="shared" si="134"/>
        <v>7.2435369285852804</v>
      </c>
      <c r="CH117" s="3">
        <v>0</v>
      </c>
      <c r="CI117" s="3">
        <v>0</v>
      </c>
      <c r="CJ117" s="3">
        <f t="shared" si="78"/>
        <v>7.2435369285852804</v>
      </c>
      <c r="CK117" s="3">
        <f t="shared" si="135"/>
        <v>14.904143070358618</v>
      </c>
      <c r="CL117" s="3">
        <v>0</v>
      </c>
      <c r="CM117" s="3">
        <v>0</v>
      </c>
      <c r="CN117" s="3">
        <f t="shared" si="79"/>
        <v>14.904143070358618</v>
      </c>
      <c r="CO117" s="3">
        <f t="shared" si="136"/>
        <v>29.069543939381482</v>
      </c>
      <c r="CP117" s="3">
        <v>0</v>
      </c>
      <c r="CQ117" s="3">
        <v>0</v>
      </c>
      <c r="CR117" s="3">
        <f t="shared" si="80"/>
        <v>29.069543939381482</v>
      </c>
      <c r="CS117" s="3">
        <f t="shared" si="137"/>
        <v>85.448972990785279</v>
      </c>
      <c r="CT117" s="3">
        <v>0</v>
      </c>
      <c r="CU117" s="3">
        <v>0</v>
      </c>
      <c r="CV117" s="3">
        <f t="shared" si="81"/>
        <v>85.448972990785279</v>
      </c>
      <c r="CW117" s="3">
        <f t="shared" si="138"/>
        <v>283.72268459730088</v>
      </c>
      <c r="CX117" s="3">
        <v>0</v>
      </c>
      <c r="CY117" s="3">
        <v>0</v>
      </c>
      <c r="CZ117" s="3">
        <f t="shared" si="82"/>
        <v>283.72268459730088</v>
      </c>
      <c r="DA117" s="3">
        <f t="shared" si="139"/>
        <v>19.334955894202629</v>
      </c>
      <c r="DB117" s="3">
        <v>0</v>
      </c>
      <c r="DC117" s="3">
        <v>0</v>
      </c>
      <c r="DD117" s="3">
        <f t="shared" si="83"/>
        <v>19.334955894202629</v>
      </c>
      <c r="DE117" s="3">
        <f t="shared" si="140"/>
        <v>3.2594304241668879</v>
      </c>
      <c r="DF117" s="3">
        <v>0</v>
      </c>
      <c r="DG117" s="3">
        <v>0</v>
      </c>
      <c r="DH117" s="3">
        <f t="shared" si="84"/>
        <v>3.2594304241668879</v>
      </c>
      <c r="DI117" s="3">
        <f t="shared" si="141"/>
        <v>0</v>
      </c>
      <c r="DJ117" s="3">
        <v>0</v>
      </c>
      <c r="DK117" s="3">
        <v>0</v>
      </c>
      <c r="DL117" s="3">
        <f t="shared" si="63"/>
        <v>0</v>
      </c>
      <c r="DM117" s="3">
        <f t="shared" si="142"/>
        <v>16.11293746856408</v>
      </c>
      <c r="DN117" s="3">
        <v>0</v>
      </c>
      <c r="DO117" s="3">
        <v>0</v>
      </c>
      <c r="DP117" s="3">
        <f t="shared" si="85"/>
        <v>16.11293746856408</v>
      </c>
      <c r="DQ117" s="3">
        <f t="shared" si="143"/>
        <v>34.008724216580717</v>
      </c>
      <c r="DR117" s="3">
        <v>0</v>
      </c>
      <c r="DS117" s="3">
        <v>0</v>
      </c>
      <c r="DT117" s="3">
        <f t="shared" si="89"/>
        <v>34.008724216580717</v>
      </c>
      <c r="DU117" s="3">
        <f t="shared" si="144"/>
        <v>169.28482186323444</v>
      </c>
      <c r="DV117" s="3">
        <v>0</v>
      </c>
      <c r="DW117" s="3">
        <v>0</v>
      </c>
      <c r="DX117" s="3">
        <f t="shared" si="86"/>
        <v>169.28482186323444</v>
      </c>
      <c r="DY117" s="3">
        <f t="shared" si="145"/>
        <v>0.57995106721139122</v>
      </c>
      <c r="DZ117" s="3">
        <v>0</v>
      </c>
      <c r="EA117" s="3">
        <v>0</v>
      </c>
      <c r="EB117" s="3">
        <f t="shared" si="87"/>
        <v>0.57995106721139122</v>
      </c>
      <c r="EC117" s="4">
        <f t="shared" si="146"/>
        <v>1151.9999999999993</v>
      </c>
      <c r="ED117" s="5">
        <f t="shared" si="88"/>
        <v>0</v>
      </c>
      <c r="EE117" s="6">
        <f t="shared" si="118"/>
        <v>1151.9999999999993</v>
      </c>
      <c r="EF117" s="6">
        <f t="shared" si="118"/>
        <v>0</v>
      </c>
      <c r="EG117" s="6">
        <f t="shared" si="118"/>
        <v>0</v>
      </c>
    </row>
    <row r="118" spans="1:137" ht="12" customHeight="1" x14ac:dyDescent="0.35">
      <c r="A118" s="34" t="s">
        <v>449</v>
      </c>
      <c r="B118" s="35">
        <v>3700</v>
      </c>
      <c r="C118" s="35" t="s">
        <v>450</v>
      </c>
      <c r="D118" s="35" t="s">
        <v>451</v>
      </c>
      <c r="E118" s="34">
        <v>414701</v>
      </c>
      <c r="F118" s="35" t="s">
        <v>452</v>
      </c>
      <c r="G118" s="8">
        <v>46125</v>
      </c>
      <c r="H118" s="8">
        <v>46142</v>
      </c>
      <c r="I118" s="36">
        <v>18</v>
      </c>
      <c r="J118" s="36">
        <v>612500</v>
      </c>
      <c r="K118" s="36">
        <v>110250</v>
      </c>
      <c r="L118" s="37"/>
      <c r="M118" s="37"/>
      <c r="N118" s="36">
        <v>110250</v>
      </c>
      <c r="O118" s="36">
        <v>722750</v>
      </c>
      <c r="P118" s="35" t="s">
        <v>95</v>
      </c>
      <c r="Q118" s="34" t="s">
        <v>35</v>
      </c>
      <c r="R118" s="35" t="s">
        <v>139</v>
      </c>
      <c r="S118" s="35" t="s">
        <v>252</v>
      </c>
      <c r="T118" s="35" t="s">
        <v>253</v>
      </c>
      <c r="U118" s="35" t="s">
        <v>278</v>
      </c>
      <c r="V118" s="34">
        <v>998313</v>
      </c>
      <c r="W118" s="35" t="s">
        <v>453</v>
      </c>
      <c r="X118" s="34" t="s">
        <v>101</v>
      </c>
      <c r="Y118" s="35">
        <v>107</v>
      </c>
      <c r="Z118" s="35" t="s">
        <v>102</v>
      </c>
      <c r="AA118" t="s">
        <v>454</v>
      </c>
      <c r="AB118">
        <v>110250</v>
      </c>
      <c r="AC118">
        <v>110250</v>
      </c>
      <c r="AD118" s="38">
        <v>0</v>
      </c>
      <c r="AE118" t="s">
        <v>104</v>
      </c>
      <c r="AF118" t="s">
        <v>73</v>
      </c>
      <c r="AG118" s="3"/>
      <c r="AH118" s="3"/>
      <c r="AI118" s="3"/>
      <c r="AJ118" s="3">
        <f t="shared" si="67"/>
        <v>0</v>
      </c>
      <c r="AK118" s="3"/>
      <c r="AL118" s="3"/>
      <c r="AM118" s="3"/>
      <c r="AN118" s="3">
        <f t="shared" si="68"/>
        <v>0</v>
      </c>
      <c r="AO118" s="3"/>
      <c r="AP118" s="3"/>
      <c r="AQ118" s="3"/>
      <c r="AR118" s="3">
        <f t="shared" si="69"/>
        <v>0</v>
      </c>
      <c r="AS118" s="3"/>
      <c r="AT118" s="3"/>
      <c r="AU118" s="3"/>
      <c r="AV118" s="3">
        <f t="shared" si="70"/>
        <v>0</v>
      </c>
      <c r="AW118" s="3"/>
      <c r="AX118" s="3"/>
      <c r="AY118" s="3"/>
      <c r="AZ118" s="3">
        <f t="shared" si="71"/>
        <v>0</v>
      </c>
      <c r="BA118" s="3">
        <f>SUM($K118:$M118)*BA$4/$BA$4</f>
        <v>110250.00000000001</v>
      </c>
      <c r="BB118" s="3">
        <v>0</v>
      </c>
      <c r="BC118" s="3">
        <v>0</v>
      </c>
      <c r="BD118" s="3">
        <f t="shared" si="72"/>
        <v>110250.00000000001</v>
      </c>
      <c r="BE118" s="3"/>
      <c r="BF118" s="3"/>
      <c r="BG118" s="3"/>
      <c r="BH118" s="3">
        <f t="shared" si="64"/>
        <v>0</v>
      </c>
      <c r="BI118" s="3"/>
      <c r="BJ118" s="3"/>
      <c r="BK118" s="3"/>
      <c r="BL118" s="3">
        <f t="shared" si="65"/>
        <v>0</v>
      </c>
      <c r="BM118" s="3"/>
      <c r="BN118" s="3"/>
      <c r="BO118" s="3"/>
      <c r="BP118" s="3">
        <f t="shared" si="73"/>
        <v>0</v>
      </c>
      <c r="BQ118" s="3"/>
      <c r="BR118" s="3"/>
      <c r="BS118" s="3"/>
      <c r="BT118" s="3">
        <f t="shared" si="74"/>
        <v>0</v>
      </c>
      <c r="BU118" s="3"/>
      <c r="BV118" s="3"/>
      <c r="BW118" s="3"/>
      <c r="BX118" s="3">
        <f t="shared" si="75"/>
        <v>0</v>
      </c>
      <c r="BY118" s="3"/>
      <c r="BZ118" s="3"/>
      <c r="CA118" s="3"/>
      <c r="CB118" s="3">
        <f t="shared" si="76"/>
        <v>0</v>
      </c>
      <c r="CC118" s="3"/>
      <c r="CD118" s="3"/>
      <c r="CE118" s="3"/>
      <c r="CF118" s="3">
        <f t="shared" si="77"/>
        <v>0</v>
      </c>
      <c r="CG118" s="3"/>
      <c r="CH118" s="3"/>
      <c r="CI118" s="3"/>
      <c r="CJ118" s="3">
        <f t="shared" si="78"/>
        <v>0</v>
      </c>
      <c r="CK118" s="3"/>
      <c r="CL118" s="3"/>
      <c r="CM118" s="3"/>
      <c r="CN118" s="3">
        <f t="shared" si="79"/>
        <v>0</v>
      </c>
      <c r="CO118" s="3"/>
      <c r="CP118" s="3"/>
      <c r="CQ118" s="3"/>
      <c r="CR118" s="3">
        <f t="shared" si="80"/>
        <v>0</v>
      </c>
      <c r="CS118" s="3"/>
      <c r="CT118" s="3"/>
      <c r="CU118" s="3"/>
      <c r="CV118" s="3">
        <f t="shared" si="81"/>
        <v>0</v>
      </c>
      <c r="CW118" s="3"/>
      <c r="CX118" s="3"/>
      <c r="CY118" s="3"/>
      <c r="CZ118" s="3">
        <f t="shared" si="82"/>
        <v>0</v>
      </c>
      <c r="DA118" s="3"/>
      <c r="DB118" s="3"/>
      <c r="DC118" s="3"/>
      <c r="DD118" s="3">
        <f t="shared" si="83"/>
        <v>0</v>
      </c>
      <c r="DE118" s="3"/>
      <c r="DF118" s="3"/>
      <c r="DG118" s="3"/>
      <c r="DH118" s="3">
        <f t="shared" si="84"/>
        <v>0</v>
      </c>
      <c r="DI118" s="3"/>
      <c r="DJ118" s="3"/>
      <c r="DK118" s="3"/>
      <c r="DL118" s="3">
        <f t="shared" si="63"/>
        <v>0</v>
      </c>
      <c r="DM118" s="3"/>
      <c r="DN118" s="3"/>
      <c r="DO118" s="3"/>
      <c r="DP118" s="3">
        <f t="shared" si="85"/>
        <v>0</v>
      </c>
      <c r="DQ118" s="3"/>
      <c r="DR118" s="3"/>
      <c r="DS118" s="3"/>
      <c r="DT118" s="3">
        <f t="shared" si="89"/>
        <v>0</v>
      </c>
      <c r="DU118" s="3"/>
      <c r="DV118" s="3"/>
      <c r="DW118" s="3"/>
      <c r="DX118" s="3">
        <f t="shared" si="86"/>
        <v>0</v>
      </c>
      <c r="DY118" s="3"/>
      <c r="DZ118" s="3"/>
      <c r="EA118" s="3"/>
      <c r="EB118" s="3">
        <f t="shared" si="87"/>
        <v>0</v>
      </c>
      <c r="EC118" s="4">
        <f>AJ118+AN118+AR118+AV118+AZ118+BD118+BH118+BL118+BP118+BT118+BX118+CB118+CF118+CJ118+CN118+CR118+CV118+CZ118+DD118+DH118+DL118+DP118+DT118+DX118+EB118</f>
        <v>110250.00000000001</v>
      </c>
      <c r="ED118" s="5">
        <f t="shared" si="88"/>
        <v>0</v>
      </c>
      <c r="EE118" s="6">
        <f t="shared" si="118"/>
        <v>110250.00000000001</v>
      </c>
      <c r="EF118" s="6">
        <f t="shared" si="118"/>
        <v>0</v>
      </c>
      <c r="EG118" s="6">
        <f t="shared" si="118"/>
        <v>0</v>
      </c>
    </row>
    <row r="119" spans="1:137" ht="12" customHeight="1" x14ac:dyDescent="0.35">
      <c r="A119" s="34" t="s">
        <v>455</v>
      </c>
      <c r="B119" s="35">
        <v>28979</v>
      </c>
      <c r="C119" s="35" t="s">
        <v>456</v>
      </c>
      <c r="D119" s="35" t="s">
        <v>457</v>
      </c>
      <c r="E119" s="34">
        <v>421421</v>
      </c>
      <c r="F119" s="35" t="s">
        <v>458</v>
      </c>
      <c r="G119" s="8">
        <v>46127</v>
      </c>
      <c r="H119" s="8">
        <v>46142</v>
      </c>
      <c r="I119" s="36">
        <v>18</v>
      </c>
      <c r="J119" s="36">
        <v>65257.5</v>
      </c>
      <c r="K119" s="36">
        <v>11746.35</v>
      </c>
      <c r="L119" s="37"/>
      <c r="M119" s="37"/>
      <c r="N119" s="36">
        <v>11746.35</v>
      </c>
      <c r="O119" s="36">
        <v>77003.850000000006</v>
      </c>
      <c r="P119" s="35" t="s">
        <v>95</v>
      </c>
      <c r="Q119" s="34" t="s">
        <v>185</v>
      </c>
      <c r="R119" s="35" t="s">
        <v>139</v>
      </c>
      <c r="S119" s="35" t="s">
        <v>252</v>
      </c>
      <c r="T119" s="35" t="s">
        <v>253</v>
      </c>
      <c r="U119" s="35" t="s">
        <v>278</v>
      </c>
      <c r="V119" s="34">
        <v>998313</v>
      </c>
      <c r="W119" s="35" t="s">
        <v>459</v>
      </c>
      <c r="X119" s="34" t="s">
        <v>101</v>
      </c>
      <c r="Y119" s="35">
        <v>107</v>
      </c>
      <c r="Z119" s="35" t="s">
        <v>102</v>
      </c>
      <c r="AA119" t="s">
        <v>460</v>
      </c>
      <c r="AB119">
        <v>11746.35</v>
      </c>
      <c r="AC119">
        <v>11746.35</v>
      </c>
      <c r="AD119" s="38">
        <v>0</v>
      </c>
      <c r="AE119" t="s">
        <v>104</v>
      </c>
      <c r="AF119" t="s">
        <v>73</v>
      </c>
      <c r="AG119" s="3">
        <f>SUM($K119:$M119)*AG$4/$AF$4</f>
        <v>434.90383338993644</v>
      </c>
      <c r="AH119" s="3">
        <v>0</v>
      </c>
      <c r="AI119" s="3">
        <v>0</v>
      </c>
      <c r="AJ119" s="3">
        <f t="shared" si="67"/>
        <v>434.90383338993644</v>
      </c>
      <c r="AK119" s="3">
        <f>SUM($K119:$M119)*AK$4/$AF$4</f>
        <v>3.6189631013448804</v>
      </c>
      <c r="AL119" s="3">
        <v>0</v>
      </c>
      <c r="AM119" s="3">
        <v>0</v>
      </c>
      <c r="AN119" s="3">
        <f t="shared" si="68"/>
        <v>3.6189631013448804</v>
      </c>
      <c r="AO119" s="3">
        <f>SUM($K119:$M119)*AO$4/$AF$4</f>
        <v>179.25866378858569</v>
      </c>
      <c r="AP119" s="3">
        <v>0</v>
      </c>
      <c r="AQ119" s="3">
        <v>0</v>
      </c>
      <c r="AR119" s="3">
        <f t="shared" si="69"/>
        <v>179.25866378858569</v>
      </c>
      <c r="AS119" s="3">
        <f>SUM($K119:$M119)*AS$4/$AF$4</f>
        <v>156.96038179775775</v>
      </c>
      <c r="AT119" s="3">
        <v>0</v>
      </c>
      <c r="AU119" s="3">
        <v>0</v>
      </c>
      <c r="AV119" s="3">
        <f t="shared" si="70"/>
        <v>156.96038179775775</v>
      </c>
      <c r="AW119" s="3">
        <f>SUM($K119:$M119)*AW$4/$AF$4</f>
        <v>18.411388899936373</v>
      </c>
      <c r="AX119" s="3">
        <v>0</v>
      </c>
      <c r="AY119" s="3">
        <v>0</v>
      </c>
      <c r="AZ119" s="3">
        <f t="shared" si="71"/>
        <v>18.411388899936373</v>
      </c>
      <c r="BA119" s="3">
        <f>SUM($K119:$M119)*BA$4/$AF$4</f>
        <v>196.5975973822793</v>
      </c>
      <c r="BB119" s="3">
        <v>0</v>
      </c>
      <c r="BC119" s="3">
        <v>0</v>
      </c>
      <c r="BD119" s="3">
        <f t="shared" si="72"/>
        <v>196.5975973822793</v>
      </c>
      <c r="BE119" s="3">
        <f>$K119*BE$4/$AF$4</f>
        <v>852.73880226990684</v>
      </c>
      <c r="BF119" s="3">
        <f>$L119*BE$4/$AF$4</f>
        <v>0</v>
      </c>
      <c r="BG119" s="3">
        <f>$M119*BE$4/$AF$4</f>
        <v>0</v>
      </c>
      <c r="BH119" s="3">
        <f t="shared" si="64"/>
        <v>852.73880226990684</v>
      </c>
      <c r="BI119" s="3">
        <f>SUM($K119:$M119)*BI$4/$AF$4</f>
        <v>494.59626565742764</v>
      </c>
      <c r="BJ119" s="3">
        <v>0</v>
      </c>
      <c r="BK119" s="3">
        <v>0</v>
      </c>
      <c r="BL119" s="3">
        <f t="shared" si="65"/>
        <v>494.59626565742764</v>
      </c>
      <c r="BM119" s="3">
        <f>SUM($K119:$M119)*BM$4/$AF$4</f>
        <v>2271.0898529060792</v>
      </c>
      <c r="BN119" s="3">
        <v>0</v>
      </c>
      <c r="BO119" s="3">
        <v>0</v>
      </c>
      <c r="BP119" s="3">
        <f t="shared" si="73"/>
        <v>2271.0898529060792</v>
      </c>
      <c r="BQ119" s="3">
        <f>SUM($K119:$M119)*BQ$4/$AF$4</f>
        <v>203.57434328054308</v>
      </c>
      <c r="BR119" s="3">
        <v>0</v>
      </c>
      <c r="BS119" s="3">
        <v>0</v>
      </c>
      <c r="BT119" s="3">
        <f t="shared" si="74"/>
        <v>203.57434328054308</v>
      </c>
      <c r="BU119" s="3">
        <f>SUM($K119:$M119)*BU$4/$AF$4</f>
        <v>32.303805690636572</v>
      </c>
      <c r="BV119" s="3">
        <v>0</v>
      </c>
      <c r="BW119" s="3">
        <v>0</v>
      </c>
      <c r="BX119" s="3">
        <f t="shared" si="75"/>
        <v>32.303805690636572</v>
      </c>
      <c r="BY119" s="3">
        <f>SUM($K119:$M119)*BY$4/$AF$4</f>
        <v>77.868190451582933</v>
      </c>
      <c r="BZ119" s="3">
        <v>0</v>
      </c>
      <c r="CA119" s="3">
        <v>0</v>
      </c>
      <c r="CB119" s="3">
        <f t="shared" si="76"/>
        <v>77.868190451582933</v>
      </c>
      <c r="CC119" s="3">
        <f>SUM($K119:$M119)*CC$4/$AF$4</f>
        <v>64.467699148400655</v>
      </c>
      <c r="CD119" s="3">
        <v>0</v>
      </c>
      <c r="CE119" s="3">
        <v>0</v>
      </c>
      <c r="CF119" s="3">
        <f t="shared" si="77"/>
        <v>64.467699148400655</v>
      </c>
      <c r="CG119" s="3">
        <f>SUM($K119:$M119)*CG$4/$AF$4</f>
        <v>73.858611112055286</v>
      </c>
      <c r="CH119" s="3">
        <v>0</v>
      </c>
      <c r="CI119" s="3">
        <v>0</v>
      </c>
      <c r="CJ119" s="3">
        <f t="shared" si="78"/>
        <v>73.858611112055286</v>
      </c>
      <c r="CK119" s="3">
        <f>SUM($K119:$M119)*CK$4/$AF$4</f>
        <v>151.96986193967618</v>
      </c>
      <c r="CL119" s="3">
        <v>0</v>
      </c>
      <c r="CM119" s="3">
        <v>0</v>
      </c>
      <c r="CN119" s="3">
        <f t="shared" si="79"/>
        <v>151.96986193967618</v>
      </c>
      <c r="CO119" s="3">
        <f>SUM($K119:$M119)*CO$4/$AF$4</f>
        <v>296.40715056627926</v>
      </c>
      <c r="CP119" s="3">
        <v>0</v>
      </c>
      <c r="CQ119" s="3">
        <v>0</v>
      </c>
      <c r="CR119" s="3">
        <f t="shared" si="80"/>
        <v>296.40715056627926</v>
      </c>
      <c r="CS119" s="3">
        <f>SUM($K119:$M119)*CS$4/$AF$4</f>
        <v>871.27911796033902</v>
      </c>
      <c r="CT119" s="3">
        <v>0</v>
      </c>
      <c r="CU119" s="3">
        <v>0</v>
      </c>
      <c r="CV119" s="3">
        <f t="shared" si="81"/>
        <v>871.27911796033902</v>
      </c>
      <c r="CW119" s="3">
        <f>SUM($K119:$M119)*CW$4/$AF$4</f>
        <v>2892.9739203294316</v>
      </c>
      <c r="CX119" s="3">
        <v>0</v>
      </c>
      <c r="CY119" s="3">
        <v>0</v>
      </c>
      <c r="CZ119" s="3">
        <f t="shared" si="82"/>
        <v>2892.9739203294316</v>
      </c>
      <c r="DA119" s="3">
        <f>SUM($K119:$M119)*DA$4/$AF$4</f>
        <v>197.1485756665513</v>
      </c>
      <c r="DB119" s="3">
        <v>0</v>
      </c>
      <c r="DC119" s="3">
        <v>0</v>
      </c>
      <c r="DD119" s="3">
        <f t="shared" si="83"/>
        <v>197.1485756665513</v>
      </c>
      <c r="DE119" s="3">
        <f>SUM($K119:$M119)*DE$4/$AF$4</f>
        <v>33.234731391417299</v>
      </c>
      <c r="DF119" s="3">
        <v>0</v>
      </c>
      <c r="DG119" s="3">
        <v>0</v>
      </c>
      <c r="DH119" s="3">
        <f t="shared" si="84"/>
        <v>33.234731391417299</v>
      </c>
      <c r="DI119" s="3">
        <f>SUM($K119:$M119)*DI$4/$AF$4</f>
        <v>0</v>
      </c>
      <c r="DJ119" s="3">
        <v>0</v>
      </c>
      <c r="DK119" s="3">
        <v>0</v>
      </c>
      <c r="DL119" s="3">
        <f t="shared" si="63"/>
        <v>0</v>
      </c>
      <c r="DM119" s="3">
        <f>SUM($K119:$M119)*DM$4/$AF$4</f>
        <v>164.29531513356574</v>
      </c>
      <c r="DN119" s="3">
        <v>0</v>
      </c>
      <c r="DO119" s="3">
        <v>0</v>
      </c>
      <c r="DP119" s="3">
        <f t="shared" si="85"/>
        <v>164.29531513356574</v>
      </c>
      <c r="DQ119" s="3">
        <f>SUM($K119:$M119)*DQ$4/$AF$4</f>
        <v>346.76942508804945</v>
      </c>
      <c r="DR119" s="3">
        <v>0</v>
      </c>
      <c r="DS119" s="3">
        <v>0</v>
      </c>
      <c r="DT119" s="3">
        <f t="shared" si="89"/>
        <v>346.76942508804945</v>
      </c>
      <c r="DU119" s="3">
        <f>SUM($K119:$M119)*DU$4/$AF$4</f>
        <v>1726.1100410531283</v>
      </c>
      <c r="DV119" s="3">
        <v>0</v>
      </c>
      <c r="DW119" s="3">
        <v>0</v>
      </c>
      <c r="DX119" s="3">
        <f t="shared" si="86"/>
        <v>1726.1100410531283</v>
      </c>
      <c r="DY119" s="3">
        <f>SUM($K119:$M119)*DY$4/$AF$4</f>
        <v>5.9134619950855267</v>
      </c>
      <c r="DZ119" s="3">
        <v>0</v>
      </c>
      <c r="EA119" s="3">
        <v>0</v>
      </c>
      <c r="EB119" s="3">
        <f t="shared" si="87"/>
        <v>5.9134619950855267</v>
      </c>
      <c r="EC119" s="4">
        <f>AJ119+AN119+AR119+AV119+AZ119+BD119+BH119+BL119+BP119+BT119+BX119+CB119+CF119+CJ119+CN119+CR119+CV119+CZ119+DD119+DH119+DP119+DT119+DX119+EB119</f>
        <v>11746.349999999997</v>
      </c>
      <c r="ED119" s="5">
        <f t="shared" si="88"/>
        <v>0</v>
      </c>
      <c r="EE119" s="6">
        <f t="shared" si="118"/>
        <v>11746.349999999997</v>
      </c>
      <c r="EF119" s="6">
        <f t="shared" si="118"/>
        <v>0</v>
      </c>
      <c r="EG119" s="6">
        <f t="shared" si="118"/>
        <v>0</v>
      </c>
    </row>
    <row r="120" spans="1:137" ht="12" customHeight="1" x14ac:dyDescent="0.35">
      <c r="A120" s="34" t="s">
        <v>461</v>
      </c>
      <c r="B120" s="35">
        <v>27404</v>
      </c>
      <c r="C120" s="35" t="s">
        <v>462</v>
      </c>
      <c r="D120" s="35" t="s">
        <v>183</v>
      </c>
      <c r="E120" s="34">
        <v>234010</v>
      </c>
      <c r="F120" s="35" t="s">
        <v>463</v>
      </c>
      <c r="G120" s="8">
        <v>46118</v>
      </c>
      <c r="H120" s="8">
        <v>46142</v>
      </c>
      <c r="I120" s="36">
        <v>18</v>
      </c>
      <c r="J120" s="36">
        <v>519492</v>
      </c>
      <c r="K120" s="37"/>
      <c r="L120" s="36">
        <v>46754.28</v>
      </c>
      <c r="M120" s="36">
        <v>46754.28</v>
      </c>
      <c r="N120" s="36">
        <v>93508.56</v>
      </c>
      <c r="O120" s="36">
        <v>613000.56000000006</v>
      </c>
      <c r="P120" s="35" t="s">
        <v>95</v>
      </c>
      <c r="Q120" s="34" t="s">
        <v>185</v>
      </c>
      <c r="R120" s="35" t="s">
        <v>112</v>
      </c>
      <c r="S120" s="35" t="s">
        <v>252</v>
      </c>
      <c r="T120" s="35" t="s">
        <v>253</v>
      </c>
      <c r="U120" s="37"/>
      <c r="V120" s="34">
        <v>9971</v>
      </c>
      <c r="W120" s="35" t="s">
        <v>464</v>
      </c>
      <c r="X120" s="34" t="s">
        <v>101</v>
      </c>
      <c r="Y120" s="35">
        <v>107</v>
      </c>
      <c r="Z120" s="35" t="s">
        <v>102</v>
      </c>
      <c r="AA120" t="s">
        <v>465</v>
      </c>
      <c r="AB120">
        <v>93508.56</v>
      </c>
      <c r="AC120">
        <v>93508.56</v>
      </c>
      <c r="AD120" s="38">
        <v>0</v>
      </c>
      <c r="AE120" t="s">
        <v>104</v>
      </c>
      <c r="AF120" t="s">
        <v>73</v>
      </c>
      <c r="AG120" s="3">
        <f>SUM($K120:$M120)*AG$4/$AF$4</f>
        <v>3462.1164190384993</v>
      </c>
      <c r="AH120" s="3">
        <v>0</v>
      </c>
      <c r="AI120" s="3">
        <v>0</v>
      </c>
      <c r="AJ120" s="3">
        <f t="shared" si="67"/>
        <v>3462.1164190384993</v>
      </c>
      <c r="AK120" s="3">
        <f>SUM($K120:$M120)*AK$4/$AF$4</f>
        <v>28.809292103495451</v>
      </c>
      <c r="AL120" s="3">
        <v>0</v>
      </c>
      <c r="AM120" s="3">
        <v>0</v>
      </c>
      <c r="AN120" s="3">
        <f t="shared" si="68"/>
        <v>28.809292103495451</v>
      </c>
      <c r="AO120" s="3">
        <f>SUM($K120:$M120)*AO$4/$AF$4</f>
        <v>1427.0151594661143</v>
      </c>
      <c r="AP120" s="3">
        <v>0</v>
      </c>
      <c r="AQ120" s="3">
        <v>0</v>
      </c>
      <c r="AR120" s="3">
        <f t="shared" si="69"/>
        <v>1427.0151594661143</v>
      </c>
      <c r="AS120" s="3">
        <f>SUM($K120:$M120)*AS$4/$AF$4</f>
        <v>1249.5063810424974</v>
      </c>
      <c r="AT120" s="3">
        <v>0</v>
      </c>
      <c r="AU120" s="3">
        <v>0</v>
      </c>
      <c r="AV120" s="3">
        <f t="shared" si="70"/>
        <v>1249.5063810424974</v>
      </c>
      <c r="AW120" s="3">
        <f>SUM($K120:$M120)*AW$4/$AF$4</f>
        <v>146.56658993074737</v>
      </c>
      <c r="AX120" s="3">
        <v>0</v>
      </c>
      <c r="AY120" s="3">
        <v>0</v>
      </c>
      <c r="AZ120" s="3">
        <f t="shared" si="71"/>
        <v>146.56658993074737</v>
      </c>
      <c r="BA120" s="3">
        <f>SUM($K120:$M120)*BA$4/$AF$4</f>
        <v>1565.0443099921854</v>
      </c>
      <c r="BB120" s="3">
        <v>0</v>
      </c>
      <c r="BC120" s="3">
        <v>0</v>
      </c>
      <c r="BD120" s="3">
        <f t="shared" si="72"/>
        <v>1565.0443099921854</v>
      </c>
      <c r="BE120" s="3">
        <f>$K120*BE$4/$AF$4</f>
        <v>0</v>
      </c>
      <c r="BF120" s="3">
        <f>$L120*BE$4/$AF$4</f>
        <v>3394.1768062582728</v>
      </c>
      <c r="BG120" s="3">
        <f>$M120*BE$4/$AF$4</f>
        <v>3394.1768062582728</v>
      </c>
      <c r="BH120" s="3">
        <f t="shared" si="64"/>
        <v>6788.3536125165456</v>
      </c>
      <c r="BI120" s="3">
        <f>SUM($K120:$M120)*BI$4/$AF$4</f>
        <v>3937.306872603278</v>
      </c>
      <c r="BJ120" s="3">
        <v>0</v>
      </c>
      <c r="BK120" s="3">
        <v>0</v>
      </c>
      <c r="BL120" s="3">
        <f t="shared" si="65"/>
        <v>3937.306872603278</v>
      </c>
      <c r="BM120" s="3">
        <f>SUM($K120:$M120)*BM$4/$AF$4</f>
        <v>18079.347352655019</v>
      </c>
      <c r="BN120" s="3">
        <v>0</v>
      </c>
      <c r="BO120" s="3">
        <v>0</v>
      </c>
      <c r="BP120" s="3">
        <f t="shared" si="73"/>
        <v>18079.347352655019</v>
      </c>
      <c r="BQ120" s="3">
        <f>SUM($K120:$M120)*BQ$4/$AF$4</f>
        <v>1620.5837296785176</v>
      </c>
      <c r="BR120" s="3">
        <v>0</v>
      </c>
      <c r="BS120" s="3">
        <v>0</v>
      </c>
      <c r="BT120" s="3">
        <f t="shared" si="74"/>
        <v>1620.5837296785176</v>
      </c>
      <c r="BU120" s="3">
        <f>SUM($K120:$M120)*BU$4/$AF$4</f>
        <v>257.15923266812507</v>
      </c>
      <c r="BV120" s="3">
        <v>0</v>
      </c>
      <c r="BW120" s="3">
        <v>0</v>
      </c>
      <c r="BX120" s="3">
        <f t="shared" si="75"/>
        <v>257.15923266812507</v>
      </c>
      <c r="BY120" s="3">
        <f>SUM($K120:$M120)*BY$4/$AF$4</f>
        <v>619.88127026125301</v>
      </c>
      <c r="BZ120" s="3">
        <v>0</v>
      </c>
      <c r="CA120" s="3">
        <v>0</v>
      </c>
      <c r="CB120" s="3">
        <f t="shared" si="76"/>
        <v>619.88127026125301</v>
      </c>
      <c r="CC120" s="3">
        <f>SUM($K120:$M120)*CC$4/$AF$4</f>
        <v>513.20467327128608</v>
      </c>
      <c r="CD120" s="3">
        <v>0</v>
      </c>
      <c r="CE120" s="3">
        <v>0</v>
      </c>
      <c r="CF120" s="3">
        <f t="shared" si="77"/>
        <v>513.20467327128608</v>
      </c>
      <c r="CG120" s="3">
        <f>SUM($K120:$M120)*CG$4/$AF$4</f>
        <v>587.96241970384756</v>
      </c>
      <c r="CH120" s="3">
        <v>0</v>
      </c>
      <c r="CI120" s="3">
        <v>0</v>
      </c>
      <c r="CJ120" s="3">
        <f t="shared" si="78"/>
        <v>587.96241970384756</v>
      </c>
      <c r="CK120" s="3">
        <f>SUM($K120:$M120)*CK$4/$AF$4</f>
        <v>1209.778608110428</v>
      </c>
      <c r="CL120" s="3">
        <v>0</v>
      </c>
      <c r="CM120" s="3">
        <v>0</v>
      </c>
      <c r="CN120" s="3">
        <f t="shared" si="79"/>
        <v>1209.778608110428</v>
      </c>
      <c r="CO120" s="3">
        <f>SUM($K120:$M120)*CO$4/$AF$4</f>
        <v>2359.5930500245568</v>
      </c>
      <c r="CP120" s="3">
        <v>0</v>
      </c>
      <c r="CQ120" s="3">
        <v>0</v>
      </c>
      <c r="CR120" s="3">
        <f t="shared" si="80"/>
        <v>2359.5930500245568</v>
      </c>
      <c r="CS120" s="3">
        <f>SUM($K120:$M120)*CS$4/$AF$4</f>
        <v>6935.9465432701591</v>
      </c>
      <c r="CT120" s="3">
        <v>0</v>
      </c>
      <c r="CU120" s="3">
        <v>0</v>
      </c>
      <c r="CV120" s="3">
        <f t="shared" si="81"/>
        <v>6935.9465432701591</v>
      </c>
      <c r="CW120" s="3">
        <f>SUM($K120:$M120)*CW$4/$AF$4</f>
        <v>23029.947635440785</v>
      </c>
      <c r="CX120" s="3">
        <v>0</v>
      </c>
      <c r="CY120" s="3">
        <v>0</v>
      </c>
      <c r="CZ120" s="3">
        <f t="shared" si="82"/>
        <v>23029.947635440785</v>
      </c>
      <c r="DA120" s="3">
        <f>SUM($K120:$M120)*DA$4/$AF$4</f>
        <v>1569.4304542798614</v>
      </c>
      <c r="DB120" s="3">
        <v>0</v>
      </c>
      <c r="DC120" s="3">
        <v>0</v>
      </c>
      <c r="DD120" s="3">
        <f t="shared" si="83"/>
        <v>1569.4304542798614</v>
      </c>
      <c r="DE120" s="3">
        <f>SUM($K120:$M120)*DE$4/$AF$4</f>
        <v>264.57000467364139</v>
      </c>
      <c r="DF120" s="3">
        <v>0</v>
      </c>
      <c r="DG120" s="3">
        <v>0</v>
      </c>
      <c r="DH120" s="3">
        <f t="shared" si="84"/>
        <v>264.57000467364139</v>
      </c>
      <c r="DI120" s="3">
        <f>SUM($K120:$M120)*DI$4/$AF$4</f>
        <v>0</v>
      </c>
      <c r="DJ120" s="3">
        <v>0</v>
      </c>
      <c r="DK120" s="3">
        <v>0</v>
      </c>
      <c r="DL120" s="3">
        <f t="shared" si="63"/>
        <v>0</v>
      </c>
      <c r="DM120" s="3">
        <f>SUM($K120:$M120)*DM$4/$AF$4</f>
        <v>1307.8972049092645</v>
      </c>
      <c r="DN120" s="3">
        <v>0</v>
      </c>
      <c r="DO120" s="3">
        <v>0</v>
      </c>
      <c r="DP120" s="3">
        <f t="shared" si="85"/>
        <v>1307.8972049092645</v>
      </c>
      <c r="DQ120" s="3">
        <f>SUM($K120:$M120)*DQ$4/$AF$4</f>
        <v>2760.5094001124921</v>
      </c>
      <c r="DR120" s="3">
        <v>0</v>
      </c>
      <c r="DS120" s="3">
        <v>0</v>
      </c>
      <c r="DT120" s="3">
        <f t="shared" si="89"/>
        <v>2760.5094001124921</v>
      </c>
      <c r="DU120" s="3">
        <f>SUM($K120:$M120)*DU$4/$AF$4</f>
        <v>13740.954793652401</v>
      </c>
      <c r="DV120" s="3">
        <v>0</v>
      </c>
      <c r="DW120" s="3">
        <v>0</v>
      </c>
      <c r="DX120" s="3">
        <f t="shared" si="86"/>
        <v>13740.954793652401</v>
      </c>
      <c r="DY120" s="3">
        <f>SUM($K120:$M120)*DY$4/$AF$4</f>
        <v>47.074990594965641</v>
      </c>
      <c r="DZ120" s="3">
        <v>0</v>
      </c>
      <c r="EA120" s="3">
        <v>0</v>
      </c>
      <c r="EB120" s="3">
        <f t="shared" si="87"/>
        <v>47.074990594965641</v>
      </c>
      <c r="EC120" s="4">
        <f>AJ120+AN120+AR120+AV120+AZ120+BD120+BH120+BL120+BP120+BT120+BX120+CB120+CF120+CJ120+CN120+CR120+CV120+CZ120+DD120+DH120+DP120+DT120+DX120+EB120</f>
        <v>93508.56</v>
      </c>
      <c r="ED120" s="5">
        <f t="shared" si="88"/>
        <v>0</v>
      </c>
      <c r="EE120" s="6">
        <f t="shared" si="118"/>
        <v>86720.206387483442</v>
      </c>
      <c r="EF120" s="6">
        <f t="shared" si="118"/>
        <v>3394.1768062582728</v>
      </c>
      <c r="EG120" s="6">
        <f t="shared" si="118"/>
        <v>3394.1768062582728</v>
      </c>
    </row>
    <row r="121" spans="1:137" ht="12" customHeight="1" x14ac:dyDescent="0.35">
      <c r="A121" s="34" t="s">
        <v>341</v>
      </c>
      <c r="B121" s="35">
        <v>41738</v>
      </c>
      <c r="C121" s="35" t="s">
        <v>342</v>
      </c>
      <c r="D121" s="35" t="s">
        <v>183</v>
      </c>
      <c r="E121" s="34">
        <v>234010</v>
      </c>
      <c r="F121" s="35" t="s">
        <v>466</v>
      </c>
      <c r="G121" s="8">
        <v>46132</v>
      </c>
      <c r="H121" s="8">
        <v>46141</v>
      </c>
      <c r="I121" s="36">
        <v>18</v>
      </c>
      <c r="J121" s="36">
        <v>358314.23999999999</v>
      </c>
      <c r="K121" s="37"/>
      <c r="L121" s="36">
        <v>32248.281599999998</v>
      </c>
      <c r="M121" s="36">
        <v>32248.281599999998</v>
      </c>
      <c r="N121" s="36">
        <v>64496.563199999997</v>
      </c>
      <c r="O121" s="36">
        <v>422810.80320000002</v>
      </c>
      <c r="P121" s="35" t="s">
        <v>95</v>
      </c>
      <c r="Q121" s="34" t="s">
        <v>185</v>
      </c>
      <c r="R121" s="35" t="s">
        <v>112</v>
      </c>
      <c r="S121" s="35" t="s">
        <v>252</v>
      </c>
      <c r="T121" s="35" t="s">
        <v>253</v>
      </c>
      <c r="U121" s="35" t="s">
        <v>278</v>
      </c>
      <c r="V121" s="34">
        <v>997331</v>
      </c>
      <c r="W121" s="35" t="s">
        <v>467</v>
      </c>
      <c r="X121" s="34" t="s">
        <v>101</v>
      </c>
      <c r="Y121" s="35">
        <v>107</v>
      </c>
      <c r="Z121" s="35" t="s">
        <v>102</v>
      </c>
      <c r="AA121" t="s">
        <v>468</v>
      </c>
      <c r="AB121">
        <v>64496.563199999997</v>
      </c>
      <c r="AC121">
        <v>64496.56</v>
      </c>
      <c r="AD121" s="38">
        <v>0</v>
      </c>
      <c r="AE121" t="s">
        <v>104</v>
      </c>
      <c r="AF121" t="s">
        <v>73</v>
      </c>
      <c r="AG121" s="3">
        <f>SUM($K121:$M121)*AG$4/$AF$4</f>
        <v>2387.9590320530465</v>
      </c>
      <c r="AH121" s="3">
        <v>0</v>
      </c>
      <c r="AI121" s="3">
        <v>0</v>
      </c>
      <c r="AJ121" s="3">
        <f t="shared" si="67"/>
        <v>2387.9590320530465</v>
      </c>
      <c r="AK121" s="3">
        <f>SUM($K121:$M121)*AK$4/$AF$4</f>
        <v>19.870911592482607</v>
      </c>
      <c r="AL121" s="3">
        <v>0</v>
      </c>
      <c r="AM121" s="3">
        <v>0</v>
      </c>
      <c r="AN121" s="3">
        <f t="shared" si="68"/>
        <v>19.870911592482607</v>
      </c>
      <c r="AO121" s="3">
        <f>SUM($K121:$M121)*AO$4/$AF$4</f>
        <v>984.26896339612449</v>
      </c>
      <c r="AP121" s="3">
        <v>0</v>
      </c>
      <c r="AQ121" s="3">
        <v>0</v>
      </c>
      <c r="AR121" s="3">
        <f t="shared" si="69"/>
        <v>984.26896339612449</v>
      </c>
      <c r="AS121" s="3">
        <f>SUM($K121:$M121)*AS$4/$AF$4</f>
        <v>861.83411736541257</v>
      </c>
      <c r="AT121" s="3">
        <v>0</v>
      </c>
      <c r="AU121" s="3">
        <v>0</v>
      </c>
      <c r="AV121" s="3">
        <f t="shared" si="70"/>
        <v>861.83411736541257</v>
      </c>
      <c r="AW121" s="3">
        <f>SUM($K121:$M121)*AW$4/$AF$4</f>
        <v>101.09279118913744</v>
      </c>
      <c r="AX121" s="3">
        <v>0</v>
      </c>
      <c r="AY121" s="3">
        <v>0</v>
      </c>
      <c r="AZ121" s="3">
        <f t="shared" si="71"/>
        <v>101.09279118913744</v>
      </c>
      <c r="BA121" s="3">
        <f>SUM($K121:$M121)*BA$4/$AF$4</f>
        <v>1079.473143958279</v>
      </c>
      <c r="BB121" s="3">
        <v>0</v>
      </c>
      <c r="BC121" s="3">
        <v>0</v>
      </c>
      <c r="BD121" s="3">
        <f t="shared" si="72"/>
        <v>1079.473143958279</v>
      </c>
      <c r="BE121" s="3">
        <f>$K121*BE$4/$AF$4</f>
        <v>0</v>
      </c>
      <c r="BF121" s="3">
        <f>$L121*BE$4/$AF$4</f>
        <v>2341.0983860387842</v>
      </c>
      <c r="BG121" s="3">
        <f>$M121*BE$4/$AF$4</f>
        <v>2341.0983860387842</v>
      </c>
      <c r="BH121" s="3">
        <f t="shared" si="64"/>
        <v>4682.1967720775683</v>
      </c>
      <c r="BI121" s="3">
        <f>SUM($K121:$M121)*BI$4/$AF$4</f>
        <v>2715.7167380895571</v>
      </c>
      <c r="BJ121" s="3">
        <v>0</v>
      </c>
      <c r="BK121" s="3">
        <v>0</v>
      </c>
      <c r="BL121" s="3">
        <f t="shared" si="65"/>
        <v>2715.7167380895571</v>
      </c>
      <c r="BM121" s="3">
        <f>SUM($K121:$M121)*BM$4/$AF$4</f>
        <v>12470.043054296495</v>
      </c>
      <c r="BN121" s="3">
        <v>0</v>
      </c>
      <c r="BO121" s="3">
        <v>0</v>
      </c>
      <c r="BP121" s="3">
        <f t="shared" si="73"/>
        <v>12470.043054296495</v>
      </c>
      <c r="BQ121" s="3">
        <f>SUM($K121:$M121)*BQ$4/$AF$4</f>
        <v>1117.7808848954814</v>
      </c>
      <c r="BR121" s="3">
        <v>0</v>
      </c>
      <c r="BS121" s="3">
        <v>0</v>
      </c>
      <c r="BT121" s="3">
        <f t="shared" si="74"/>
        <v>1117.7808848954814</v>
      </c>
      <c r="BU121" s="3">
        <f>SUM($K121:$M121)*BU$4/$AF$4</f>
        <v>177.37292395737066</v>
      </c>
      <c r="BV121" s="3">
        <v>0</v>
      </c>
      <c r="BW121" s="3">
        <v>0</v>
      </c>
      <c r="BX121" s="3">
        <f t="shared" si="75"/>
        <v>177.37292395737066</v>
      </c>
      <c r="BY121" s="3">
        <f>SUM($K121:$M121)*BY$4/$AF$4</f>
        <v>427.55670201638424</v>
      </c>
      <c r="BZ121" s="3">
        <v>0</v>
      </c>
      <c r="CA121" s="3">
        <v>0</v>
      </c>
      <c r="CB121" s="3">
        <f t="shared" si="76"/>
        <v>427.55670201638424</v>
      </c>
      <c r="CC121" s="3">
        <f>SUM($K121:$M121)*CC$4/$AF$4</f>
        <v>353.97762134479296</v>
      </c>
      <c r="CD121" s="3">
        <v>0</v>
      </c>
      <c r="CE121" s="3">
        <v>0</v>
      </c>
      <c r="CF121" s="3">
        <f t="shared" si="77"/>
        <v>353.97762134479296</v>
      </c>
      <c r="CG121" s="3">
        <f>SUM($K121:$M121)*CG$4/$AF$4</f>
        <v>405.54100460593259</v>
      </c>
      <c r="CH121" s="3">
        <v>0</v>
      </c>
      <c r="CI121" s="3">
        <v>0</v>
      </c>
      <c r="CJ121" s="3">
        <f t="shared" si="78"/>
        <v>405.54100460593259</v>
      </c>
      <c r="CK121" s="3">
        <f>SUM($K121:$M121)*CK$4/$AF$4</f>
        <v>834.43229642293988</v>
      </c>
      <c r="CL121" s="3">
        <v>0</v>
      </c>
      <c r="CM121" s="3">
        <v>0</v>
      </c>
      <c r="CN121" s="3">
        <f t="shared" si="79"/>
        <v>834.43229642293988</v>
      </c>
      <c r="CO121" s="3">
        <f>SUM($K121:$M121)*CO$4/$AF$4</f>
        <v>1627.5049287165753</v>
      </c>
      <c r="CP121" s="3">
        <v>0</v>
      </c>
      <c r="CQ121" s="3">
        <v>0</v>
      </c>
      <c r="CR121" s="3">
        <f t="shared" si="80"/>
        <v>1627.5049287165753</v>
      </c>
      <c r="CS121" s="3">
        <f>SUM($K121:$M121)*CS$4/$AF$4</f>
        <v>4783.9974712458989</v>
      </c>
      <c r="CT121" s="3">
        <v>0</v>
      </c>
      <c r="CU121" s="3">
        <v>0</v>
      </c>
      <c r="CV121" s="3">
        <f t="shared" si="81"/>
        <v>4783.9974712458989</v>
      </c>
      <c r="CW121" s="3">
        <f>SUM($K121:$M121)*CW$4/$AF$4</f>
        <v>15884.668453475246</v>
      </c>
      <c r="CX121" s="3">
        <v>0</v>
      </c>
      <c r="CY121" s="3">
        <v>0</v>
      </c>
      <c r="CZ121" s="3">
        <f t="shared" si="82"/>
        <v>15884.668453475246</v>
      </c>
      <c r="DA121" s="3">
        <f>SUM($K121:$M121)*DA$4/$AF$4</f>
        <v>1082.4984416663651</v>
      </c>
      <c r="DB121" s="3">
        <v>0</v>
      </c>
      <c r="DC121" s="3">
        <v>0</v>
      </c>
      <c r="DD121" s="3">
        <f t="shared" si="83"/>
        <v>1082.4984416663651</v>
      </c>
      <c r="DE121" s="3">
        <f>SUM($K121:$M121)*DE$4/$AF$4</f>
        <v>182.48442738566189</v>
      </c>
      <c r="DF121" s="3">
        <v>0</v>
      </c>
      <c r="DG121" s="3">
        <v>0</v>
      </c>
      <c r="DH121" s="3">
        <f t="shared" si="84"/>
        <v>182.48442738566189</v>
      </c>
      <c r="DI121" s="3">
        <f>SUM($K121:$M121)*DI$4/$AF$4</f>
        <v>0</v>
      </c>
      <c r="DJ121" s="3">
        <v>0</v>
      </c>
      <c r="DK121" s="3">
        <v>0</v>
      </c>
      <c r="DL121" s="3">
        <f t="shared" si="63"/>
        <v>0</v>
      </c>
      <c r="DM121" s="3">
        <f>SUM($K121:$M121)*DM$4/$AF$4</f>
        <v>902.10858487750977</v>
      </c>
      <c r="DN121" s="3">
        <v>0</v>
      </c>
      <c r="DO121" s="3">
        <v>0</v>
      </c>
      <c r="DP121" s="3">
        <f t="shared" si="85"/>
        <v>902.10858487750977</v>
      </c>
      <c r="DQ121" s="3">
        <f>SUM($K121:$M121)*DQ$4/$AF$4</f>
        <v>1904.0328392240181</v>
      </c>
      <c r="DR121" s="3">
        <v>0</v>
      </c>
      <c r="DS121" s="3">
        <v>0</v>
      </c>
      <c r="DT121" s="3">
        <f t="shared" si="89"/>
        <v>1904.0328392240181</v>
      </c>
      <c r="DU121" s="3">
        <f>SUM($K121:$M121)*DU$4/$AF$4</f>
        <v>9477.6816077281601</v>
      </c>
      <c r="DV121" s="3">
        <v>0</v>
      </c>
      <c r="DW121" s="3">
        <v>0</v>
      </c>
      <c r="DX121" s="3">
        <f t="shared" si="86"/>
        <v>9477.6816077281601</v>
      </c>
      <c r="DY121" s="3">
        <f>SUM($K121:$M121)*DY$4/$AF$4</f>
        <v>32.469488419537278</v>
      </c>
      <c r="DZ121" s="3">
        <v>0</v>
      </c>
      <c r="EA121" s="3">
        <v>0</v>
      </c>
      <c r="EB121" s="3">
        <f t="shared" si="87"/>
        <v>32.469488419537278</v>
      </c>
      <c r="EC121" s="4">
        <f>AJ121+AN121+AR121+AV121+AZ121+BD121+BH121+BL121+BP121+BT121+BX121+CB121+CF121+CJ121+CN121+CR121+CV121+CZ121+DD121+DH121+DP121+DT121+DX121+EB121</f>
        <v>64496.563199999975</v>
      </c>
      <c r="ED121" s="5">
        <f t="shared" si="88"/>
        <v>0</v>
      </c>
      <c r="EE121" s="6">
        <f t="shared" si="118"/>
        <v>59814.366427922403</v>
      </c>
      <c r="EF121" s="6">
        <f t="shared" si="118"/>
        <v>2341.0983860387842</v>
      </c>
      <c r="EG121" s="6">
        <f t="shared" si="118"/>
        <v>2341.0983860387842</v>
      </c>
    </row>
    <row r="122" spans="1:137" ht="12" customHeight="1" x14ac:dyDescent="0.35">
      <c r="A122" s="34" t="s">
        <v>469</v>
      </c>
      <c r="B122" s="35">
        <v>12078</v>
      </c>
      <c r="C122" s="35" t="s">
        <v>470</v>
      </c>
      <c r="D122" s="35" t="s">
        <v>183</v>
      </c>
      <c r="E122" s="34">
        <v>234010</v>
      </c>
      <c r="F122" s="35" t="s">
        <v>471</v>
      </c>
      <c r="G122" s="8">
        <v>46122</v>
      </c>
      <c r="H122" s="8">
        <v>46132</v>
      </c>
      <c r="I122" s="36">
        <v>5</v>
      </c>
      <c r="J122" s="36">
        <v>400000</v>
      </c>
      <c r="K122" s="36">
        <v>20000</v>
      </c>
      <c r="L122" s="37"/>
      <c r="M122" s="37"/>
      <c r="N122" s="36">
        <v>20000</v>
      </c>
      <c r="O122" s="36">
        <v>420000</v>
      </c>
      <c r="P122" s="35" t="s">
        <v>95</v>
      </c>
      <c r="Q122" s="34" t="s">
        <v>185</v>
      </c>
      <c r="R122" s="35" t="s">
        <v>112</v>
      </c>
      <c r="S122" s="35" t="s">
        <v>252</v>
      </c>
      <c r="T122" s="35" t="s">
        <v>253</v>
      </c>
      <c r="U122" s="35" t="s">
        <v>271</v>
      </c>
      <c r="V122" s="34">
        <v>998363</v>
      </c>
      <c r="W122" s="35" t="s">
        <v>472</v>
      </c>
      <c r="X122" s="34" t="s">
        <v>101</v>
      </c>
      <c r="Y122" s="35">
        <v>107</v>
      </c>
      <c r="Z122" s="35" t="s">
        <v>102</v>
      </c>
      <c r="AA122" t="s">
        <v>473</v>
      </c>
      <c r="AB122">
        <v>20000</v>
      </c>
      <c r="AC122">
        <v>20000</v>
      </c>
      <c r="AD122" s="38">
        <v>0</v>
      </c>
      <c r="AE122" t="s">
        <v>104</v>
      </c>
      <c r="AF122" t="s">
        <v>73</v>
      </c>
      <c r="AG122" s="3">
        <f>SUM($K122:$M122)*AG$4/$AF$4</f>
        <v>740.4918692018141</v>
      </c>
      <c r="AH122" s="3">
        <v>0</v>
      </c>
      <c r="AI122" s="3">
        <v>0</v>
      </c>
      <c r="AJ122" s="3">
        <f t="shared" si="67"/>
        <v>740.4918692018141</v>
      </c>
      <c r="AK122" s="3">
        <f>SUM($K122:$M122)*AK$4/$AF$4</f>
        <v>6.161851300778336</v>
      </c>
      <c r="AL122" s="3">
        <v>0</v>
      </c>
      <c r="AM122" s="3">
        <v>0</v>
      </c>
      <c r="AN122" s="3">
        <f t="shared" si="68"/>
        <v>6.161851300778336</v>
      </c>
      <c r="AO122" s="3">
        <f>SUM($K122:$M122)*AO$4/$AF$4</f>
        <v>305.2159416134981</v>
      </c>
      <c r="AP122" s="3">
        <v>0</v>
      </c>
      <c r="AQ122" s="3">
        <v>0</v>
      </c>
      <c r="AR122" s="3">
        <f t="shared" si="69"/>
        <v>305.2159416134981</v>
      </c>
      <c r="AS122" s="3">
        <f>SUM($K122:$M122)*AS$4/$AF$4</f>
        <v>267.24962528403762</v>
      </c>
      <c r="AT122" s="3">
        <v>0</v>
      </c>
      <c r="AU122" s="3">
        <v>0</v>
      </c>
      <c r="AV122" s="3">
        <f t="shared" si="70"/>
        <v>267.24962528403762</v>
      </c>
      <c r="AW122" s="3">
        <f>SUM($K122:$M122)*AW$4/$AF$4</f>
        <v>31.348272271703763</v>
      </c>
      <c r="AX122" s="3">
        <v>0</v>
      </c>
      <c r="AY122" s="3">
        <v>0</v>
      </c>
      <c r="AZ122" s="3">
        <f t="shared" si="71"/>
        <v>31.348272271703763</v>
      </c>
      <c r="BA122" s="3">
        <f>SUM($K122:$M122)*BA$4/$AF$4</f>
        <v>334.73819081208939</v>
      </c>
      <c r="BB122" s="3">
        <v>0</v>
      </c>
      <c r="BC122" s="3">
        <v>0</v>
      </c>
      <c r="BD122" s="3">
        <f t="shared" si="72"/>
        <v>334.73819081208939</v>
      </c>
      <c r="BE122" s="3">
        <f>$K122*BE$4/$AF$4</f>
        <v>1451.9213241047762</v>
      </c>
      <c r="BF122" s="3">
        <f>$L122*BE$4/$AF$4</f>
        <v>0</v>
      </c>
      <c r="BG122" s="3">
        <f>$M122*BE$4/$AF$4</f>
        <v>0</v>
      </c>
      <c r="BH122" s="3">
        <f t="shared" si="64"/>
        <v>1451.9213241047762</v>
      </c>
      <c r="BI122" s="3">
        <f>SUM($K122:$M122)*BI$4/$AF$4</f>
        <v>842.12758117615715</v>
      </c>
      <c r="BJ122" s="3">
        <v>0</v>
      </c>
      <c r="BK122" s="3">
        <v>0</v>
      </c>
      <c r="BL122" s="3">
        <f t="shared" si="65"/>
        <v>842.12758117615715</v>
      </c>
      <c r="BM122" s="3">
        <f>SUM($K122:$M122)*BM$4/$AF$4</f>
        <v>3866.8860589137544</v>
      </c>
      <c r="BN122" s="3">
        <v>0</v>
      </c>
      <c r="BO122" s="3">
        <v>0</v>
      </c>
      <c r="BP122" s="3">
        <f t="shared" si="73"/>
        <v>3866.8860589137544</v>
      </c>
      <c r="BQ122" s="3">
        <f>SUM($K122:$M122)*BQ$4/$AF$4</f>
        <v>346.61719305238319</v>
      </c>
      <c r="BR122" s="3">
        <v>0</v>
      </c>
      <c r="BS122" s="3">
        <v>0</v>
      </c>
      <c r="BT122" s="3">
        <f t="shared" si="74"/>
        <v>346.61719305238319</v>
      </c>
      <c r="BU122" s="3">
        <f>SUM($K122:$M122)*BU$4/$AF$4</f>
        <v>55.002286992361995</v>
      </c>
      <c r="BV122" s="3">
        <v>0</v>
      </c>
      <c r="BW122" s="3">
        <v>0</v>
      </c>
      <c r="BX122" s="3">
        <f t="shared" si="75"/>
        <v>55.002286992361995</v>
      </c>
      <c r="BY122" s="3">
        <f>SUM($K122:$M122)*BY$4/$AF$4</f>
        <v>132.58278605964054</v>
      </c>
      <c r="BZ122" s="3">
        <v>0</v>
      </c>
      <c r="CA122" s="3">
        <v>0</v>
      </c>
      <c r="CB122" s="3">
        <f t="shared" si="76"/>
        <v>132.58278605964054</v>
      </c>
      <c r="CC122" s="3">
        <f>SUM($K122:$M122)*CC$4/$AF$4</f>
        <v>109.76635150221244</v>
      </c>
      <c r="CD122" s="3">
        <v>0</v>
      </c>
      <c r="CE122" s="3">
        <v>0</v>
      </c>
      <c r="CF122" s="3">
        <f t="shared" si="77"/>
        <v>109.76635150221244</v>
      </c>
      <c r="CG122" s="3">
        <f>SUM($K122:$M122)*CG$4/$AF$4</f>
        <v>125.75584945460554</v>
      </c>
      <c r="CH122" s="3">
        <v>0</v>
      </c>
      <c r="CI122" s="3">
        <v>0</v>
      </c>
      <c r="CJ122" s="3">
        <f t="shared" si="78"/>
        <v>125.75584945460554</v>
      </c>
      <c r="CK122" s="3">
        <f>SUM($K122:$M122)*CK$4/$AF$4</f>
        <v>258.75248386039272</v>
      </c>
      <c r="CL122" s="3">
        <v>0</v>
      </c>
      <c r="CM122" s="3">
        <v>0</v>
      </c>
      <c r="CN122" s="3">
        <f t="shared" si="79"/>
        <v>258.75248386039272</v>
      </c>
      <c r="CO122" s="3">
        <f>SUM($K122:$M122)*CO$4/$AF$4</f>
        <v>504.67958228092851</v>
      </c>
      <c r="CP122" s="3">
        <v>0</v>
      </c>
      <c r="CQ122" s="3">
        <v>0</v>
      </c>
      <c r="CR122" s="3">
        <f t="shared" si="80"/>
        <v>504.67958228092851</v>
      </c>
      <c r="CS122" s="3">
        <f>SUM($K122:$M122)*CS$4/$AF$4</f>
        <v>1483.4891144233554</v>
      </c>
      <c r="CT122" s="3">
        <v>0</v>
      </c>
      <c r="CU122" s="3">
        <v>0</v>
      </c>
      <c r="CV122" s="3">
        <f t="shared" si="81"/>
        <v>1483.4891144233554</v>
      </c>
      <c r="CW122" s="3">
        <f>SUM($K122:$M122)*CW$4/$AF$4</f>
        <v>4925.7410520364747</v>
      </c>
      <c r="CX122" s="3">
        <v>0</v>
      </c>
      <c r="CY122" s="3">
        <v>0</v>
      </c>
      <c r="CZ122" s="3">
        <f t="shared" si="82"/>
        <v>4925.7410520364747</v>
      </c>
      <c r="DA122" s="3">
        <f>SUM($K122:$M122)*DA$4/$AF$4</f>
        <v>335.67631760768455</v>
      </c>
      <c r="DB122" s="3">
        <v>0</v>
      </c>
      <c r="DC122" s="3">
        <v>0</v>
      </c>
      <c r="DD122" s="3">
        <f t="shared" si="83"/>
        <v>335.67631760768455</v>
      </c>
      <c r="DE122" s="3">
        <f>SUM($K122:$M122)*DE$4/$AF$4</f>
        <v>56.587333752897351</v>
      </c>
      <c r="DF122" s="3">
        <v>0</v>
      </c>
      <c r="DG122" s="3">
        <v>0</v>
      </c>
      <c r="DH122" s="3">
        <f t="shared" si="84"/>
        <v>56.587333752897351</v>
      </c>
      <c r="DI122" s="3">
        <f>SUM($K122:$M122)*DI$4/$AF$4</f>
        <v>0</v>
      </c>
      <c r="DJ122" s="3">
        <v>0</v>
      </c>
      <c r="DK122" s="3">
        <v>0</v>
      </c>
      <c r="DL122" s="3">
        <f t="shared" si="63"/>
        <v>0</v>
      </c>
      <c r="DM122" s="3">
        <f>SUM($K122:$M122)*DM$4/$AF$4</f>
        <v>279.73849771812644</v>
      </c>
      <c r="DN122" s="3">
        <v>0</v>
      </c>
      <c r="DO122" s="3">
        <v>0</v>
      </c>
      <c r="DP122" s="3">
        <f t="shared" si="85"/>
        <v>279.73849771812644</v>
      </c>
      <c r="DQ122" s="3">
        <f>SUM($K122:$M122)*DQ$4/$AF$4</f>
        <v>590.42923987119309</v>
      </c>
      <c r="DR122" s="3">
        <v>0</v>
      </c>
      <c r="DS122" s="3">
        <v>0</v>
      </c>
      <c r="DT122" s="3">
        <f t="shared" si="89"/>
        <v>590.42923987119309</v>
      </c>
      <c r="DU122" s="3">
        <f>SUM($K122:$M122)*DU$4/$AF$4</f>
        <v>2938.9726017922644</v>
      </c>
      <c r="DV122" s="3">
        <v>0</v>
      </c>
      <c r="DW122" s="3">
        <v>0</v>
      </c>
      <c r="DX122" s="3">
        <f t="shared" si="86"/>
        <v>2938.9726017922644</v>
      </c>
      <c r="DY122" s="3">
        <f>SUM($K122:$M122)*DY$4/$AF$4</f>
        <v>10.068594916864432</v>
      </c>
      <c r="DZ122" s="3">
        <v>0</v>
      </c>
      <c r="EA122" s="3">
        <v>0</v>
      </c>
      <c r="EB122" s="3">
        <f t="shared" si="87"/>
        <v>10.068594916864432</v>
      </c>
      <c r="EC122" s="4">
        <f>AJ122+AN122+AR122+AV122+AZ122+BD122+BH122+BL122+BP122+BT122+BX122+CB122+CF122+CJ122+CN122+CR122+CV122+CZ122+DD122+DH122+DP122+DT122+DX122+EB122</f>
        <v>19999.999999999993</v>
      </c>
      <c r="ED122" s="5">
        <f t="shared" si="88"/>
        <v>0</v>
      </c>
      <c r="EE122" s="6">
        <f t="shared" si="118"/>
        <v>19999.999999999993</v>
      </c>
      <c r="EF122" s="6">
        <f t="shared" si="118"/>
        <v>0</v>
      </c>
      <c r="EG122" s="6">
        <f t="shared" si="118"/>
        <v>0</v>
      </c>
    </row>
    <row r="123" spans="1:137" ht="12" customHeight="1" x14ac:dyDescent="0.35">
      <c r="A123" s="34" t="s">
        <v>474</v>
      </c>
      <c r="B123" s="35">
        <v>33841</v>
      </c>
      <c r="C123" s="35" t="s">
        <v>475</v>
      </c>
      <c r="D123" s="35" t="s">
        <v>385</v>
      </c>
      <c r="E123" s="34">
        <v>236010</v>
      </c>
      <c r="F123" s="35" t="s">
        <v>476</v>
      </c>
      <c r="G123" s="8">
        <v>46116</v>
      </c>
      <c r="H123" s="8">
        <v>46132</v>
      </c>
      <c r="I123" s="36">
        <v>18</v>
      </c>
      <c r="J123" s="36">
        <v>339494</v>
      </c>
      <c r="K123" s="37"/>
      <c r="L123" s="36">
        <v>30554.46</v>
      </c>
      <c r="M123" s="36">
        <v>30554.46</v>
      </c>
      <c r="N123" s="36">
        <v>61108.92</v>
      </c>
      <c r="O123" s="36">
        <v>400602.92</v>
      </c>
      <c r="P123" s="35" t="s">
        <v>95</v>
      </c>
      <c r="Q123" s="34" t="s">
        <v>185</v>
      </c>
      <c r="R123" s="35" t="s">
        <v>112</v>
      </c>
      <c r="S123" s="35" t="s">
        <v>252</v>
      </c>
      <c r="T123" s="35" t="s">
        <v>253</v>
      </c>
      <c r="U123" s="35" t="s">
        <v>387</v>
      </c>
      <c r="V123" s="34">
        <v>998422</v>
      </c>
      <c r="W123" s="35" t="s">
        <v>477</v>
      </c>
      <c r="X123" s="34" t="s">
        <v>101</v>
      </c>
      <c r="Y123" s="35">
        <v>107</v>
      </c>
      <c r="Z123" s="35" t="s">
        <v>102</v>
      </c>
      <c r="AA123" t="s">
        <v>478</v>
      </c>
      <c r="AB123">
        <v>61108.92</v>
      </c>
      <c r="AC123">
        <v>61108.92</v>
      </c>
      <c r="AD123" s="38">
        <v>0</v>
      </c>
      <c r="AE123" t="s">
        <v>104</v>
      </c>
      <c r="AF123" t="s">
        <v>73</v>
      </c>
      <c r="AG123" s="3">
        <f>SUM($K123:$M123)*AG$4/$AF$4</f>
        <v>2262.5329197852061</v>
      </c>
      <c r="AH123" s="3">
        <v>0</v>
      </c>
      <c r="AI123" s="3">
        <v>0</v>
      </c>
      <c r="AJ123" s="3">
        <f t="shared" si="67"/>
        <v>2262.5329197852061</v>
      </c>
      <c r="AK123" s="3">
        <f>SUM($K123:$M123)*AK$4/$AF$4</f>
        <v>18.827203909557962</v>
      </c>
      <c r="AL123" s="3">
        <v>0</v>
      </c>
      <c r="AM123" s="3">
        <v>0</v>
      </c>
      <c r="AN123" s="3">
        <f t="shared" si="68"/>
        <v>18.827203909557962</v>
      </c>
      <c r="AO123" s="3">
        <f>SUM($K123:$M123)*AO$4/$AF$4</f>
        <v>932.57082793919642</v>
      </c>
      <c r="AP123" s="3">
        <v>0</v>
      </c>
      <c r="AQ123" s="3">
        <v>0</v>
      </c>
      <c r="AR123" s="3">
        <f t="shared" si="69"/>
        <v>932.57082793919642</v>
      </c>
      <c r="AS123" s="3">
        <f>SUM($K123:$M123)*AS$4/$AF$4</f>
        <v>816.56679857561164</v>
      </c>
      <c r="AT123" s="3">
        <v>0</v>
      </c>
      <c r="AU123" s="3">
        <v>0</v>
      </c>
      <c r="AV123" s="3">
        <f t="shared" si="70"/>
        <v>816.56679857561164</v>
      </c>
      <c r="AW123" s="3">
        <f>SUM($K123:$M123)*AW$4/$AF$4</f>
        <v>95.78295311948817</v>
      </c>
      <c r="AX123" s="3">
        <v>0</v>
      </c>
      <c r="AY123" s="3">
        <v>0</v>
      </c>
      <c r="AZ123" s="3">
        <f t="shared" si="71"/>
        <v>95.78295311948817</v>
      </c>
      <c r="BA123" s="3">
        <f>SUM($K123:$M123)*BA$4/$AF$4</f>
        <v>1022.7744661640352</v>
      </c>
      <c r="BB123" s="3">
        <v>0</v>
      </c>
      <c r="BC123" s="3">
        <v>0</v>
      </c>
      <c r="BD123" s="3">
        <f t="shared" si="72"/>
        <v>1022.7744661640352</v>
      </c>
      <c r="BE123" s="3">
        <f>$K123*BE$4/$AF$4</f>
        <v>0</v>
      </c>
      <c r="BF123" s="3">
        <f>$L123*BE$4/$AF$4</f>
        <v>2218.1336010253208</v>
      </c>
      <c r="BG123" s="3">
        <f>$M123*BE$4/$AF$4</f>
        <v>2218.1336010253208</v>
      </c>
      <c r="BH123" s="3">
        <f t="shared" si="64"/>
        <v>4436.2672020506416</v>
      </c>
      <c r="BI123" s="3">
        <f>SUM($K123:$M123)*BI$4/$AF$4</f>
        <v>2573.0753493943644</v>
      </c>
      <c r="BJ123" s="3">
        <v>0</v>
      </c>
      <c r="BK123" s="3">
        <v>0</v>
      </c>
      <c r="BL123" s="3">
        <f t="shared" si="65"/>
        <v>2573.0753493943644</v>
      </c>
      <c r="BM123" s="3">
        <f>SUM($K123:$M123)*BM$4/$AF$4</f>
        <v>11815.061541163795</v>
      </c>
      <c r="BN123" s="3">
        <v>0</v>
      </c>
      <c r="BO123" s="3">
        <v>0</v>
      </c>
      <c r="BP123" s="3">
        <f t="shared" si="73"/>
        <v>11815.061541163795</v>
      </c>
      <c r="BQ123" s="3">
        <f>SUM($K123:$M123)*BQ$4/$AF$4</f>
        <v>1059.070116043132</v>
      </c>
      <c r="BR123" s="3">
        <v>0</v>
      </c>
      <c r="BS123" s="3">
        <v>0</v>
      </c>
      <c r="BT123" s="3">
        <f t="shared" si="74"/>
        <v>1059.070116043132</v>
      </c>
      <c r="BU123" s="3">
        <f>SUM($K123:$M123)*BU$4/$AF$4</f>
        <v>168.0565177816645</v>
      </c>
      <c r="BV123" s="3">
        <v>0</v>
      </c>
      <c r="BW123" s="3">
        <v>0</v>
      </c>
      <c r="BX123" s="3">
        <f t="shared" si="75"/>
        <v>168.0565177816645</v>
      </c>
      <c r="BY123" s="3">
        <f>SUM($K123:$M123)*BY$4/$AF$4</f>
        <v>405.09954333478447</v>
      </c>
      <c r="BZ123" s="3">
        <v>0</v>
      </c>
      <c r="CA123" s="3">
        <v>0</v>
      </c>
      <c r="CB123" s="3">
        <f t="shared" si="76"/>
        <v>405.09954333478447</v>
      </c>
      <c r="CC123" s="3">
        <f>SUM($K123:$M123)*CC$4/$AF$4</f>
        <v>335.385159632029</v>
      </c>
      <c r="CD123" s="3">
        <v>0</v>
      </c>
      <c r="CE123" s="3">
        <v>0</v>
      </c>
      <c r="CF123" s="3">
        <f t="shared" si="77"/>
        <v>335.385159632029</v>
      </c>
      <c r="CG123" s="3">
        <f>SUM($K123:$M123)*CG$4/$AF$4</f>
        <v>384.24020719267668</v>
      </c>
      <c r="CH123" s="3">
        <v>0</v>
      </c>
      <c r="CI123" s="3">
        <v>0</v>
      </c>
      <c r="CJ123" s="3">
        <f t="shared" si="78"/>
        <v>384.24020719267668</v>
      </c>
      <c r="CK123" s="3">
        <f>SUM($K123:$M123)*CK$4/$AF$4</f>
        <v>790.60424180130144</v>
      </c>
      <c r="CL123" s="3">
        <v>0</v>
      </c>
      <c r="CM123" s="3">
        <v>0</v>
      </c>
      <c r="CN123" s="3">
        <f t="shared" si="79"/>
        <v>790.60424180130144</v>
      </c>
      <c r="CO123" s="3">
        <f>SUM($K123:$M123)*CO$4/$AF$4</f>
        <v>1542.0212109619338</v>
      </c>
      <c r="CP123" s="3">
        <v>0</v>
      </c>
      <c r="CQ123" s="3">
        <v>0</v>
      </c>
      <c r="CR123" s="3">
        <f t="shared" si="80"/>
        <v>1542.0212109619338</v>
      </c>
      <c r="CS123" s="3">
        <f>SUM($K123:$M123)*CS$4/$AF$4</f>
        <v>4532.7208807083834</v>
      </c>
      <c r="CT123" s="3">
        <v>0</v>
      </c>
      <c r="CU123" s="3">
        <v>0</v>
      </c>
      <c r="CV123" s="3">
        <f t="shared" si="81"/>
        <v>4532.7208807083834</v>
      </c>
      <c r="CW123" s="3">
        <f>SUM($K123:$M123)*CW$4/$AF$4</f>
        <v>15050.335794480634</v>
      </c>
      <c r="CX123" s="3">
        <v>0</v>
      </c>
      <c r="CY123" s="3">
        <v>0</v>
      </c>
      <c r="CZ123" s="3">
        <f t="shared" si="82"/>
        <v>15050.335794480634</v>
      </c>
      <c r="DA123" s="3">
        <f>SUM($K123:$M123)*DA$4/$AF$4</f>
        <v>1025.6408619291294</v>
      </c>
      <c r="DB123" s="3">
        <v>0</v>
      </c>
      <c r="DC123" s="3">
        <v>0</v>
      </c>
      <c r="DD123" s="3">
        <f t="shared" si="83"/>
        <v>1025.6408619291294</v>
      </c>
      <c r="DE123" s="3">
        <f>SUM($K123:$M123)*DE$4/$AF$4</f>
        <v>172.89954256595522</v>
      </c>
      <c r="DF123" s="3">
        <v>0</v>
      </c>
      <c r="DG123" s="3">
        <v>0</v>
      </c>
      <c r="DH123" s="3">
        <f t="shared" si="84"/>
        <v>172.89954256595522</v>
      </c>
      <c r="DI123" s="3">
        <f>SUM($K123:$M123)*DI$4/$AF$4</f>
        <v>0</v>
      </c>
      <c r="DJ123" s="3">
        <v>0</v>
      </c>
      <c r="DK123" s="3">
        <v>0</v>
      </c>
      <c r="DL123" s="3">
        <f t="shared" si="63"/>
        <v>0</v>
      </c>
      <c r="DM123" s="3">
        <f>SUM($K123:$M123)*DM$4/$AF$4</f>
        <v>854.72587389885859</v>
      </c>
      <c r="DN123" s="3">
        <v>0</v>
      </c>
      <c r="DO123" s="3">
        <v>0</v>
      </c>
      <c r="DP123" s="3">
        <f t="shared" si="85"/>
        <v>854.72587389885859</v>
      </c>
      <c r="DQ123" s="3">
        <f>SUM($K123:$M123)*DQ$4/$AF$4</f>
        <v>1804.0246592474773</v>
      </c>
      <c r="DR123" s="3">
        <v>0</v>
      </c>
      <c r="DS123" s="3">
        <v>0</v>
      </c>
      <c r="DT123" s="3">
        <f t="shared" si="89"/>
        <v>1804.0246592474773</v>
      </c>
      <c r="DU123" s="3">
        <f>SUM($K123:$M123)*DU$4/$AF$4</f>
        <v>8979.8720802557673</v>
      </c>
      <c r="DV123" s="3">
        <v>0</v>
      </c>
      <c r="DW123" s="3">
        <v>0</v>
      </c>
      <c r="DX123" s="3">
        <f t="shared" si="86"/>
        <v>8979.8720802557673</v>
      </c>
      <c r="DY123" s="3">
        <f>SUM($K123:$M123)*DY$4/$AF$4</f>
        <v>30.764048064353762</v>
      </c>
      <c r="DZ123" s="3">
        <v>0</v>
      </c>
      <c r="EA123" s="3">
        <v>0</v>
      </c>
      <c r="EB123" s="3">
        <f t="shared" si="87"/>
        <v>30.764048064353762</v>
      </c>
      <c r="EC123" s="4">
        <f>AJ123+AN123+AR123+AV123+AZ123+BD123+BH123+BL123+BP123+BT123+BX123+CB123+CF123+CJ123+CN123+CR123+CV123+CZ123+DD123+DH123+DP123+DT123+DX123+EB123</f>
        <v>61108.919999999976</v>
      </c>
      <c r="ED123" s="5">
        <f t="shared" si="88"/>
        <v>0</v>
      </c>
      <c r="EE123" s="6">
        <f t="shared" si="118"/>
        <v>56672.65279794934</v>
      </c>
      <c r="EF123" s="6">
        <f t="shared" si="118"/>
        <v>2218.1336010253208</v>
      </c>
      <c r="EG123" s="6">
        <f t="shared" si="118"/>
        <v>2218.1336010253208</v>
      </c>
    </row>
    <row r="124" spans="1:137" ht="12" customHeight="1" x14ac:dyDescent="0.35">
      <c r="A124" s="34" t="s">
        <v>479</v>
      </c>
      <c r="B124" s="35">
        <v>37999</v>
      </c>
      <c r="C124" s="35" t="s">
        <v>480</v>
      </c>
      <c r="D124" s="35" t="s">
        <v>183</v>
      </c>
      <c r="E124" s="34">
        <v>234010</v>
      </c>
      <c r="F124" s="35" t="s">
        <v>481</v>
      </c>
      <c r="G124" s="8">
        <v>46122</v>
      </c>
      <c r="H124" s="8">
        <v>46133</v>
      </c>
      <c r="I124" s="36">
        <v>18</v>
      </c>
      <c r="J124" s="36">
        <v>138616</v>
      </c>
      <c r="K124" s="37"/>
      <c r="L124" s="36">
        <v>12475.44</v>
      </c>
      <c r="M124" s="36">
        <v>12475.44</v>
      </c>
      <c r="N124" s="36">
        <v>24950.880000000001</v>
      </c>
      <c r="O124" s="36">
        <v>163566.88</v>
      </c>
      <c r="P124" s="35" t="s">
        <v>95</v>
      </c>
      <c r="Q124" s="34" t="s">
        <v>36</v>
      </c>
      <c r="R124" s="35" t="s">
        <v>112</v>
      </c>
      <c r="S124" s="35" t="s">
        <v>252</v>
      </c>
      <c r="T124" s="35" t="s">
        <v>253</v>
      </c>
      <c r="U124" s="35" t="s">
        <v>278</v>
      </c>
      <c r="V124" s="34">
        <v>998313</v>
      </c>
      <c r="W124" s="35" t="s">
        <v>482</v>
      </c>
      <c r="X124" s="34" t="s">
        <v>101</v>
      </c>
      <c r="Y124" s="35">
        <v>107</v>
      </c>
      <c r="Z124" s="35" t="s">
        <v>102</v>
      </c>
      <c r="AA124" t="s">
        <v>483</v>
      </c>
      <c r="AB124">
        <v>24950.880000000001</v>
      </c>
      <c r="AC124">
        <v>24950.880000000001</v>
      </c>
      <c r="AD124" s="38">
        <v>0</v>
      </c>
      <c r="AE124" t="s">
        <v>104</v>
      </c>
      <c r="AF124" t="s">
        <v>73</v>
      </c>
      <c r="AG124" s="3"/>
      <c r="AH124" s="3"/>
      <c r="AI124" s="3"/>
      <c r="AJ124" s="3">
        <f t="shared" si="67"/>
        <v>0</v>
      </c>
      <c r="AK124" s="3"/>
      <c r="AL124" s="3"/>
      <c r="AM124" s="3"/>
      <c r="AN124" s="3">
        <f t="shared" si="68"/>
        <v>0</v>
      </c>
      <c r="AO124" s="3"/>
      <c r="AP124" s="3"/>
      <c r="AQ124" s="3"/>
      <c r="AR124" s="3">
        <f t="shared" si="69"/>
        <v>0</v>
      </c>
      <c r="AS124" s="3"/>
      <c r="AT124" s="3"/>
      <c r="AU124" s="3"/>
      <c r="AV124" s="3">
        <f t="shared" si="70"/>
        <v>0</v>
      </c>
      <c r="AW124" s="3"/>
      <c r="AX124" s="3"/>
      <c r="AY124" s="3"/>
      <c r="AZ124" s="3">
        <f t="shared" si="71"/>
        <v>0</v>
      </c>
      <c r="BA124" s="3"/>
      <c r="BB124" s="3"/>
      <c r="BC124" s="3"/>
      <c r="BD124" s="3">
        <f t="shared" si="72"/>
        <v>0</v>
      </c>
      <c r="BE124" s="3">
        <f>$K124*BE$4/$BE$4</f>
        <v>0</v>
      </c>
      <c r="BF124" s="3">
        <f>$L124*BE$4/$BE$4</f>
        <v>12475.439999999999</v>
      </c>
      <c r="BG124" s="3">
        <f>$M124*BE$4/$BE$4</f>
        <v>12475.439999999999</v>
      </c>
      <c r="BH124" s="3">
        <f t="shared" si="64"/>
        <v>24950.879999999997</v>
      </c>
      <c r="BI124" s="3"/>
      <c r="BJ124" s="3"/>
      <c r="BK124" s="3"/>
      <c r="BL124" s="3">
        <f t="shared" si="65"/>
        <v>0</v>
      </c>
      <c r="BM124" s="3"/>
      <c r="BN124" s="3"/>
      <c r="BO124" s="3"/>
      <c r="BP124" s="3">
        <f t="shared" si="73"/>
        <v>0</v>
      </c>
      <c r="BQ124" s="3"/>
      <c r="BR124" s="3"/>
      <c r="BS124" s="3"/>
      <c r="BT124" s="3">
        <f t="shared" si="74"/>
        <v>0</v>
      </c>
      <c r="BU124" s="3"/>
      <c r="BV124" s="3"/>
      <c r="BW124" s="3"/>
      <c r="BX124" s="3">
        <f t="shared" si="75"/>
        <v>0</v>
      </c>
      <c r="BY124" s="3"/>
      <c r="BZ124" s="3"/>
      <c r="CA124" s="3"/>
      <c r="CB124" s="3">
        <f t="shared" si="76"/>
        <v>0</v>
      </c>
      <c r="CC124" s="3"/>
      <c r="CD124" s="3"/>
      <c r="CE124" s="3"/>
      <c r="CF124" s="3">
        <f t="shared" si="77"/>
        <v>0</v>
      </c>
      <c r="CG124" s="3"/>
      <c r="CH124" s="3"/>
      <c r="CI124" s="3"/>
      <c r="CJ124" s="3">
        <f t="shared" si="78"/>
        <v>0</v>
      </c>
      <c r="CK124" s="3"/>
      <c r="CL124" s="3"/>
      <c r="CM124" s="3"/>
      <c r="CN124" s="3">
        <f t="shared" si="79"/>
        <v>0</v>
      </c>
      <c r="CO124" s="3"/>
      <c r="CP124" s="3"/>
      <c r="CQ124" s="3"/>
      <c r="CR124" s="3">
        <f t="shared" si="80"/>
        <v>0</v>
      </c>
      <c r="CS124" s="3"/>
      <c r="CT124" s="3"/>
      <c r="CU124" s="3"/>
      <c r="CV124" s="3">
        <f t="shared" si="81"/>
        <v>0</v>
      </c>
      <c r="CW124" s="3"/>
      <c r="CX124" s="3"/>
      <c r="CY124" s="3"/>
      <c r="CZ124" s="3">
        <f t="shared" si="82"/>
        <v>0</v>
      </c>
      <c r="DA124" s="3"/>
      <c r="DB124" s="3"/>
      <c r="DC124" s="3"/>
      <c r="DD124" s="3">
        <f t="shared" si="83"/>
        <v>0</v>
      </c>
      <c r="DE124" s="3"/>
      <c r="DF124" s="3"/>
      <c r="DG124" s="3"/>
      <c r="DH124" s="3">
        <f t="shared" si="84"/>
        <v>0</v>
      </c>
      <c r="DI124" s="3"/>
      <c r="DJ124" s="3"/>
      <c r="DK124" s="3"/>
      <c r="DL124" s="3">
        <f t="shared" si="63"/>
        <v>0</v>
      </c>
      <c r="DM124" s="3"/>
      <c r="DN124" s="3"/>
      <c r="DO124" s="3"/>
      <c r="DP124" s="3">
        <f t="shared" si="85"/>
        <v>0</v>
      </c>
      <c r="DQ124" s="3"/>
      <c r="DR124" s="3"/>
      <c r="DS124" s="3"/>
      <c r="DT124" s="3">
        <f t="shared" si="89"/>
        <v>0</v>
      </c>
      <c r="DU124" s="3"/>
      <c r="DV124" s="3"/>
      <c r="DW124" s="3"/>
      <c r="DX124" s="3">
        <f t="shared" si="86"/>
        <v>0</v>
      </c>
      <c r="DY124" s="3"/>
      <c r="DZ124" s="3"/>
      <c r="EA124" s="3"/>
      <c r="EB124" s="3">
        <f t="shared" si="87"/>
        <v>0</v>
      </c>
      <c r="EC124" s="4">
        <f>AJ124+AN124+AR124+AV124+AZ124+BD124+BH124+BL124+BP124+BT124+BX124+CB124+CF124+CJ124+CN124+CR124+CV124+CZ124+DD124+DH124+DL124+DP124+DT124+DX124+EB124</f>
        <v>24950.879999999997</v>
      </c>
      <c r="ED124" s="5">
        <f t="shared" si="88"/>
        <v>0</v>
      </c>
      <c r="EE124" s="6">
        <f t="shared" si="118"/>
        <v>0</v>
      </c>
      <c r="EF124" s="6">
        <f t="shared" si="118"/>
        <v>12475.439999999999</v>
      </c>
      <c r="EG124" s="6">
        <f t="shared" si="118"/>
        <v>12475.439999999999</v>
      </c>
    </row>
    <row r="125" spans="1:137" ht="12" customHeight="1" x14ac:dyDescent="0.35">
      <c r="A125" s="34" t="s">
        <v>181</v>
      </c>
      <c r="B125" s="35">
        <v>28862</v>
      </c>
      <c r="C125" s="35" t="s">
        <v>182</v>
      </c>
      <c r="D125" s="35" t="s">
        <v>183</v>
      </c>
      <c r="E125" s="34">
        <v>234010</v>
      </c>
      <c r="F125" s="35" t="s">
        <v>484</v>
      </c>
      <c r="G125" s="8">
        <v>46120</v>
      </c>
      <c r="H125" s="8">
        <v>46133</v>
      </c>
      <c r="I125" s="36">
        <v>18</v>
      </c>
      <c r="J125" s="36">
        <v>1397216.3</v>
      </c>
      <c r="K125" s="37"/>
      <c r="L125" s="36">
        <v>125749.467</v>
      </c>
      <c r="M125" s="36">
        <v>125749.467</v>
      </c>
      <c r="N125" s="36">
        <v>251498.93400000001</v>
      </c>
      <c r="O125" s="36">
        <v>1648715.2339999999</v>
      </c>
      <c r="P125" s="35" t="s">
        <v>95</v>
      </c>
      <c r="Q125" s="34" t="s">
        <v>185</v>
      </c>
      <c r="R125" s="35" t="s">
        <v>112</v>
      </c>
      <c r="S125" s="35" t="s">
        <v>252</v>
      </c>
      <c r="T125" s="35" t="s">
        <v>253</v>
      </c>
      <c r="U125" s="35" t="s">
        <v>278</v>
      </c>
      <c r="V125" s="34">
        <v>998314</v>
      </c>
      <c r="W125" s="35" t="s">
        <v>485</v>
      </c>
      <c r="X125" s="34" t="s">
        <v>101</v>
      </c>
      <c r="Y125" s="35">
        <v>107</v>
      </c>
      <c r="Z125" s="35" t="s">
        <v>102</v>
      </c>
      <c r="AA125" t="s">
        <v>486</v>
      </c>
      <c r="AB125">
        <v>251498.93400000001</v>
      </c>
      <c r="AC125">
        <v>251498.94</v>
      </c>
      <c r="AD125" s="38">
        <v>0</v>
      </c>
      <c r="AE125" t="s">
        <v>104</v>
      </c>
      <c r="AF125" t="s">
        <v>73</v>
      </c>
      <c r="AG125" s="3">
        <f>SUM($K125:$M125)*AG$4/$AF$4</f>
        <v>9311.6457869961832</v>
      </c>
      <c r="AH125" s="3">
        <v>0</v>
      </c>
      <c r="AI125" s="3">
        <v>0</v>
      </c>
      <c r="AJ125" s="3">
        <f t="shared" si="67"/>
        <v>9311.6457869961832</v>
      </c>
      <c r="AK125" s="3">
        <f>SUM($K125:$M125)*AK$4/$AF$4</f>
        <v>77.48495168061325</v>
      </c>
      <c r="AL125" s="3">
        <v>0</v>
      </c>
      <c r="AM125" s="3">
        <v>0</v>
      </c>
      <c r="AN125" s="3">
        <f t="shared" si="68"/>
        <v>77.48495168061325</v>
      </c>
      <c r="AO125" s="3">
        <f>SUM($K125:$M125)*AO$4/$AF$4</f>
        <v>3838.0741977800512</v>
      </c>
      <c r="AP125" s="3">
        <v>0</v>
      </c>
      <c r="AQ125" s="3">
        <v>0</v>
      </c>
      <c r="AR125" s="3">
        <f t="shared" si="69"/>
        <v>3838.0741977800512</v>
      </c>
      <c r="AS125" s="3">
        <f>SUM($K125:$M125)*AS$4/$AF$4</f>
        <v>3360.6497935417456</v>
      </c>
      <c r="AT125" s="3">
        <v>0</v>
      </c>
      <c r="AU125" s="3">
        <v>0</v>
      </c>
      <c r="AV125" s="3">
        <f t="shared" si="70"/>
        <v>3360.6497935417456</v>
      </c>
      <c r="AW125" s="3">
        <f>SUM($K125:$M125)*AW$4/$AF$4</f>
        <v>394.20285295376272</v>
      </c>
      <c r="AX125" s="3">
        <v>0</v>
      </c>
      <c r="AY125" s="3">
        <v>0</v>
      </c>
      <c r="AZ125" s="3">
        <f t="shared" si="71"/>
        <v>394.20285295376272</v>
      </c>
      <c r="BA125" s="3">
        <f>SUM($K125:$M125)*BA$4/$AF$4</f>
        <v>4209.3149079164532</v>
      </c>
      <c r="BB125" s="3">
        <v>0</v>
      </c>
      <c r="BC125" s="3">
        <v>0</v>
      </c>
      <c r="BD125" s="3">
        <f t="shared" si="72"/>
        <v>4209.3149079164532</v>
      </c>
      <c r="BE125" s="3">
        <f>$K125*BE$4/$AF$4</f>
        <v>0</v>
      </c>
      <c r="BF125" s="3">
        <f>$L125*BE$4/$AF$4</f>
        <v>9128.9166316054925</v>
      </c>
      <c r="BG125" s="3">
        <f>$M125*BE$4/$AF$4</f>
        <v>9128.9166316054925</v>
      </c>
      <c r="BH125" s="3">
        <f t="shared" si="64"/>
        <v>18257.833263210985</v>
      </c>
      <c r="BI125" s="3">
        <f>SUM($K125:$M125)*BI$4/$AF$4</f>
        <v>10589.7094478901</v>
      </c>
      <c r="BJ125" s="3">
        <v>0</v>
      </c>
      <c r="BK125" s="3">
        <v>0</v>
      </c>
      <c r="BL125" s="3">
        <f t="shared" si="65"/>
        <v>10589.7094478901</v>
      </c>
      <c r="BM125" s="3">
        <f>SUM($K125:$M125)*BM$4/$AF$4</f>
        <v>48625.88608581353</v>
      </c>
      <c r="BN125" s="3">
        <v>0</v>
      </c>
      <c r="BO125" s="3">
        <v>0</v>
      </c>
      <c r="BP125" s="3">
        <f t="shared" si="73"/>
        <v>48625.88608581353</v>
      </c>
      <c r="BQ125" s="3">
        <f>SUM($K125:$M125)*BQ$4/$AF$4</f>
        <v>4358.6927279373285</v>
      </c>
      <c r="BR125" s="3">
        <v>0</v>
      </c>
      <c r="BS125" s="3">
        <v>0</v>
      </c>
      <c r="BT125" s="3">
        <f t="shared" si="74"/>
        <v>4358.6927279373285</v>
      </c>
      <c r="BU125" s="3">
        <f>SUM($K125:$M125)*BU$4/$AF$4</f>
        <v>691.65082730705535</v>
      </c>
      <c r="BV125" s="3">
        <v>0</v>
      </c>
      <c r="BW125" s="3">
        <v>0</v>
      </c>
      <c r="BX125" s="3">
        <f t="shared" si="75"/>
        <v>691.65082730705535</v>
      </c>
      <c r="BY125" s="3">
        <f>SUM($K125:$M125)*BY$4/$AF$4</f>
        <v>1667.221468037483</v>
      </c>
      <c r="BZ125" s="3">
        <v>0</v>
      </c>
      <c r="CA125" s="3">
        <v>0</v>
      </c>
      <c r="CB125" s="3">
        <f t="shared" si="76"/>
        <v>1667.221468037483</v>
      </c>
      <c r="CC125" s="3">
        <f>SUM($K125:$M125)*CC$4/$AF$4</f>
        <v>1380.3060195937865</v>
      </c>
      <c r="CD125" s="3">
        <v>0</v>
      </c>
      <c r="CE125" s="3">
        <v>0</v>
      </c>
      <c r="CF125" s="3">
        <f t="shared" si="77"/>
        <v>1380.3060195937865</v>
      </c>
      <c r="CG125" s="3">
        <f>SUM($K125:$M125)*CG$4/$AF$4</f>
        <v>1581.3731041048889</v>
      </c>
      <c r="CH125" s="3">
        <v>0</v>
      </c>
      <c r="CI125" s="3">
        <v>0</v>
      </c>
      <c r="CJ125" s="3">
        <f t="shared" si="78"/>
        <v>1581.3731041048889</v>
      </c>
      <c r="CK125" s="3">
        <f>SUM($K125:$M125)*CK$4/$AF$4</f>
        <v>3253.7986930370485</v>
      </c>
      <c r="CL125" s="3">
        <v>0</v>
      </c>
      <c r="CM125" s="3">
        <v>0</v>
      </c>
      <c r="CN125" s="3">
        <f t="shared" si="79"/>
        <v>3253.7986930370485</v>
      </c>
      <c r="CO125" s="3">
        <f>SUM($K125:$M125)*CO$4/$AF$4</f>
        <v>6346.3188477609401</v>
      </c>
      <c r="CP125" s="3">
        <v>0</v>
      </c>
      <c r="CQ125" s="3">
        <v>0</v>
      </c>
      <c r="CR125" s="3">
        <f t="shared" si="80"/>
        <v>6346.3188477609401</v>
      </c>
      <c r="CS125" s="3">
        <f>SUM($K125:$M125)*CS$4/$AF$4</f>
        <v>18654.796543903896</v>
      </c>
      <c r="CT125" s="3">
        <v>0</v>
      </c>
      <c r="CU125" s="3">
        <v>0</v>
      </c>
      <c r="CV125" s="3">
        <f t="shared" si="81"/>
        <v>18654.796543903896</v>
      </c>
      <c r="CW125" s="3">
        <f>SUM($K125:$M125)*CW$4/$AF$4</f>
        <v>61940.931187360591</v>
      </c>
      <c r="CX125" s="3">
        <v>0</v>
      </c>
      <c r="CY125" s="3">
        <v>0</v>
      </c>
      <c r="CZ125" s="3">
        <f t="shared" si="82"/>
        <v>61940.931187360591</v>
      </c>
      <c r="DA125" s="3">
        <f>SUM($K125:$M125)*DA$4/$AF$4</f>
        <v>4221.111802368905</v>
      </c>
      <c r="DB125" s="3">
        <v>0</v>
      </c>
      <c r="DC125" s="3">
        <v>0</v>
      </c>
      <c r="DD125" s="3">
        <f t="shared" si="83"/>
        <v>4221.111802368905</v>
      </c>
      <c r="DE125" s="3">
        <f>SUM($K125:$M125)*DE$4/$AF$4</f>
        <v>711.58270583779517</v>
      </c>
      <c r="DF125" s="3">
        <v>0</v>
      </c>
      <c r="DG125" s="3">
        <v>0</v>
      </c>
      <c r="DH125" s="3">
        <f t="shared" si="84"/>
        <v>711.58270583779517</v>
      </c>
      <c r="DI125" s="3">
        <f>SUM($K125:$M125)*DI$4/$AF$4</f>
        <v>0</v>
      </c>
      <c r="DJ125" s="3">
        <v>0</v>
      </c>
      <c r="DK125" s="3">
        <v>0</v>
      </c>
      <c r="DL125" s="3">
        <f t="shared" si="63"/>
        <v>0</v>
      </c>
      <c r="DM125" s="3">
        <f>SUM($K125:$M125)*DM$4/$AF$4</f>
        <v>3517.6966987435121</v>
      </c>
      <c r="DN125" s="3">
        <v>0</v>
      </c>
      <c r="DO125" s="3">
        <v>0</v>
      </c>
      <c r="DP125" s="3">
        <f t="shared" si="85"/>
        <v>3517.6966987435121</v>
      </c>
      <c r="DQ125" s="3">
        <f>SUM($K125:$M125)*DQ$4/$AF$4</f>
        <v>7424.6162215017675</v>
      </c>
      <c r="DR125" s="3">
        <v>0</v>
      </c>
      <c r="DS125" s="3">
        <v>0</v>
      </c>
      <c r="DT125" s="3">
        <f t="shared" si="89"/>
        <v>7424.6162215017675</v>
      </c>
      <c r="DU125" s="3">
        <f>SUM($K125:$M125)*DU$4/$AF$4</f>
        <v>36957.423820298049</v>
      </c>
      <c r="DV125" s="3">
        <v>0</v>
      </c>
      <c r="DW125" s="3">
        <v>0</v>
      </c>
      <c r="DX125" s="3">
        <f t="shared" si="86"/>
        <v>36957.423820298049</v>
      </c>
      <c r="DY125" s="3">
        <f>SUM($K125:$M125)*DY$4/$AF$4</f>
        <v>126.61204442346117</v>
      </c>
      <c r="DZ125" s="3">
        <v>0</v>
      </c>
      <c r="EA125" s="3">
        <v>0</v>
      </c>
      <c r="EB125" s="3">
        <f t="shared" si="87"/>
        <v>126.61204442346117</v>
      </c>
      <c r="EC125" s="4">
        <f>AJ125+AN125+AR125+AV125+AZ125+BD125+BH125+BL125+BP125+BT125+BX125+CB125+CF125+CJ125+CN125+CR125+CV125+CZ125+DD125+DH125+DP125+DT125+DX125+EB125</f>
        <v>251498.93399999992</v>
      </c>
      <c r="ED125" s="5">
        <f t="shared" si="88"/>
        <v>0</v>
      </c>
      <c r="EE125" s="6">
        <f t="shared" si="118"/>
        <v>233241.10073678891</v>
      </c>
      <c r="EF125" s="6">
        <f t="shared" si="118"/>
        <v>9128.9166316054925</v>
      </c>
      <c r="EG125" s="6">
        <f t="shared" si="118"/>
        <v>9128.9166316054925</v>
      </c>
    </row>
    <row r="126" spans="1:137" ht="12" customHeight="1" x14ac:dyDescent="0.35">
      <c r="A126" s="34" t="s">
        <v>181</v>
      </c>
      <c r="B126" s="35">
        <v>28862</v>
      </c>
      <c r="C126" s="35" t="s">
        <v>182</v>
      </c>
      <c r="D126" s="35" t="s">
        <v>361</v>
      </c>
      <c r="E126" s="34">
        <v>150906</v>
      </c>
      <c r="F126" s="35" t="s">
        <v>487</v>
      </c>
      <c r="G126" s="8">
        <v>46121</v>
      </c>
      <c r="H126" s="8">
        <v>46133</v>
      </c>
      <c r="I126" s="36">
        <v>18</v>
      </c>
      <c r="J126" s="36">
        <v>397997</v>
      </c>
      <c r="K126" s="37"/>
      <c r="L126" s="36">
        <v>35819.730000000003</v>
      </c>
      <c r="M126" s="36">
        <v>35819.730000000003</v>
      </c>
      <c r="N126" s="36">
        <v>71639.460000000006</v>
      </c>
      <c r="O126" s="36">
        <v>469636.46</v>
      </c>
      <c r="P126" s="35" t="s">
        <v>95</v>
      </c>
      <c r="Q126" s="34" t="s">
        <v>185</v>
      </c>
      <c r="R126" s="35" t="s">
        <v>112</v>
      </c>
      <c r="S126" s="35" t="s">
        <v>252</v>
      </c>
      <c r="T126" s="35" t="s">
        <v>253</v>
      </c>
      <c r="U126" s="35" t="s">
        <v>278</v>
      </c>
      <c r="V126" s="34">
        <v>998713</v>
      </c>
      <c r="W126" s="35" t="s">
        <v>488</v>
      </c>
      <c r="X126" s="34" t="s">
        <v>101</v>
      </c>
      <c r="Y126" s="35">
        <v>107</v>
      </c>
      <c r="Z126" s="35" t="s">
        <v>102</v>
      </c>
      <c r="AA126" t="s">
        <v>489</v>
      </c>
      <c r="AB126">
        <v>71639.460000000006</v>
      </c>
      <c r="AC126">
        <v>71639.460000000006</v>
      </c>
      <c r="AD126" s="38">
        <v>0</v>
      </c>
      <c r="AE126" t="s">
        <v>104</v>
      </c>
      <c r="AF126" t="s">
        <v>73</v>
      </c>
      <c r="AG126" s="3">
        <f>SUM($K126:$M126)*AG$4/$AF$4</f>
        <v>2652.42188220043</v>
      </c>
      <c r="AH126" s="3">
        <v>0</v>
      </c>
      <c r="AI126" s="3">
        <v>0</v>
      </c>
      <c r="AJ126" s="3">
        <f t="shared" si="67"/>
        <v>2652.42188220043</v>
      </c>
      <c r="AK126" s="3">
        <f>SUM($K126:$M126)*AK$4/$AF$4</f>
        <v>22.071584989402883</v>
      </c>
      <c r="AL126" s="3">
        <v>0</v>
      </c>
      <c r="AM126" s="3">
        <v>0</v>
      </c>
      <c r="AN126" s="3">
        <f t="shared" si="68"/>
        <v>22.071584989402883</v>
      </c>
      <c r="AO126" s="3">
        <f>SUM($K126:$M126)*AO$4/$AF$4</f>
        <v>1093.2752620291269</v>
      </c>
      <c r="AP126" s="3">
        <v>0</v>
      </c>
      <c r="AQ126" s="3">
        <v>0</v>
      </c>
      <c r="AR126" s="3">
        <f t="shared" si="69"/>
        <v>1093.2752620291269</v>
      </c>
      <c r="AS126" s="3">
        <f>SUM($K126:$M126)*AS$4/$AF$4</f>
        <v>957.28094202754016</v>
      </c>
      <c r="AT126" s="3">
        <v>0</v>
      </c>
      <c r="AU126" s="3">
        <v>0</v>
      </c>
      <c r="AV126" s="3">
        <f t="shared" si="70"/>
        <v>957.28094202754016</v>
      </c>
      <c r="AW126" s="3">
        <f>SUM($K126:$M126)*AW$4/$AF$4</f>
        <v>112.28866487389153</v>
      </c>
      <c r="AX126" s="3">
        <v>0</v>
      </c>
      <c r="AY126" s="3">
        <v>0</v>
      </c>
      <c r="AZ126" s="3">
        <f t="shared" si="71"/>
        <v>112.28866487389153</v>
      </c>
      <c r="BA126" s="3">
        <f>SUM($K126:$M126)*BA$4/$AF$4</f>
        <v>1199.0231615577522</v>
      </c>
      <c r="BB126" s="3">
        <v>0</v>
      </c>
      <c r="BC126" s="3">
        <v>0</v>
      </c>
      <c r="BD126" s="3">
        <f t="shared" si="72"/>
        <v>1199.0231615577522</v>
      </c>
      <c r="BE126" s="3">
        <f>$K126*BE$4/$AF$4</f>
        <v>0</v>
      </c>
      <c r="BF126" s="3">
        <f>$L126*BE$4/$AF$4</f>
        <v>2600.3714905337788</v>
      </c>
      <c r="BG126" s="3">
        <f>$M126*BE$4/$AF$4</f>
        <v>2600.3714905337788</v>
      </c>
      <c r="BH126" s="3">
        <f t="shared" si="64"/>
        <v>5200.7429810675576</v>
      </c>
      <c r="BI126" s="3">
        <f>SUM($K126:$M126)*BI$4/$AF$4</f>
        <v>3016.4782583283031</v>
      </c>
      <c r="BJ126" s="3">
        <v>0</v>
      </c>
      <c r="BK126" s="3">
        <v>0</v>
      </c>
      <c r="BL126" s="3">
        <f t="shared" si="65"/>
        <v>3016.4782583283031</v>
      </c>
      <c r="BM126" s="3">
        <f>SUM($K126:$M126)*BM$4/$AF$4</f>
        <v>13851.081457105482</v>
      </c>
      <c r="BN126" s="3">
        <v>0</v>
      </c>
      <c r="BO126" s="3">
        <v>0</v>
      </c>
      <c r="BP126" s="3">
        <f t="shared" si="73"/>
        <v>13851.081457105482</v>
      </c>
      <c r="BQ126" s="3">
        <f>SUM($K126:$M126)*BQ$4/$AF$4</f>
        <v>1241.5734268494241</v>
      </c>
      <c r="BR126" s="3">
        <v>0</v>
      </c>
      <c r="BS126" s="3">
        <v>0</v>
      </c>
      <c r="BT126" s="3">
        <f t="shared" si="74"/>
        <v>1241.5734268494241</v>
      </c>
      <c r="BU126" s="3">
        <f>SUM($K126:$M126)*BU$4/$AF$4</f>
        <v>197.01670694489189</v>
      </c>
      <c r="BV126" s="3">
        <v>0</v>
      </c>
      <c r="BW126" s="3">
        <v>0</v>
      </c>
      <c r="BX126" s="3">
        <f t="shared" si="75"/>
        <v>197.01670694489189</v>
      </c>
      <c r="BY126" s="3">
        <f>SUM($K126:$M126)*BY$4/$AF$4</f>
        <v>474.90795993040882</v>
      </c>
      <c r="BZ126" s="3">
        <v>0</v>
      </c>
      <c r="CA126" s="3">
        <v>0</v>
      </c>
      <c r="CB126" s="3">
        <f t="shared" si="76"/>
        <v>474.90795993040882</v>
      </c>
      <c r="CC126" s="3">
        <f>SUM($K126:$M126)*CC$4/$AF$4</f>
        <v>393.1801073894344</v>
      </c>
      <c r="CD126" s="3">
        <v>0</v>
      </c>
      <c r="CE126" s="3">
        <v>0</v>
      </c>
      <c r="CF126" s="3">
        <f t="shared" si="77"/>
        <v>393.1801073894344</v>
      </c>
      <c r="CG126" s="3">
        <f>SUM($K126:$M126)*CG$4/$AF$4</f>
        <v>450.45405733846184</v>
      </c>
      <c r="CH126" s="3">
        <v>0</v>
      </c>
      <c r="CI126" s="3">
        <v>0</v>
      </c>
      <c r="CJ126" s="3">
        <f t="shared" si="78"/>
        <v>450.45405733846184</v>
      </c>
      <c r="CK126" s="3">
        <f>SUM($K126:$M126)*CK$4/$AF$4</f>
        <v>926.84441087086248</v>
      </c>
      <c r="CL126" s="3">
        <v>0</v>
      </c>
      <c r="CM126" s="3">
        <v>0</v>
      </c>
      <c r="CN126" s="3">
        <f t="shared" si="79"/>
        <v>926.84441087086248</v>
      </c>
      <c r="CO126" s="3">
        <f>SUM($K126:$M126)*CO$4/$AF$4</f>
        <v>1807.7486373815645</v>
      </c>
      <c r="CP126" s="3">
        <v>0</v>
      </c>
      <c r="CQ126" s="3">
        <v>0</v>
      </c>
      <c r="CR126" s="3">
        <f t="shared" si="80"/>
        <v>1807.7486373815645</v>
      </c>
      <c r="CS126" s="3">
        <f>SUM($K126:$M126)*CS$4/$AF$4</f>
        <v>5313.8179536583702</v>
      </c>
      <c r="CT126" s="3">
        <v>0</v>
      </c>
      <c r="CU126" s="3">
        <v>0</v>
      </c>
      <c r="CV126" s="3">
        <f t="shared" si="81"/>
        <v>5313.8179536583702</v>
      </c>
      <c r="CW126" s="3">
        <f>SUM($K126:$M126)*CW$4/$AF$4</f>
        <v>17643.871453386244</v>
      </c>
      <c r="CX126" s="3">
        <v>0</v>
      </c>
      <c r="CY126" s="3">
        <v>0</v>
      </c>
      <c r="CZ126" s="3">
        <f t="shared" si="82"/>
        <v>17643.871453386244</v>
      </c>
      <c r="DA126" s="3">
        <f>SUM($K126:$M126)*DA$4/$AF$4</f>
        <v>1202.3835064101509</v>
      </c>
      <c r="DB126" s="3">
        <v>0</v>
      </c>
      <c r="DC126" s="3">
        <v>0</v>
      </c>
      <c r="DD126" s="3">
        <f t="shared" si="83"/>
        <v>1202.3835064101509</v>
      </c>
      <c r="DE126" s="3">
        <f>SUM($K126:$M126)*DE$4/$AF$4</f>
        <v>202.69430164486701</v>
      </c>
      <c r="DF126" s="3">
        <v>0</v>
      </c>
      <c r="DG126" s="3">
        <v>0</v>
      </c>
      <c r="DH126" s="3">
        <f t="shared" si="84"/>
        <v>202.69430164486701</v>
      </c>
      <c r="DI126" s="3">
        <f>SUM($K126:$M126)*DI$4/$AF$4</f>
        <v>0</v>
      </c>
      <c r="DJ126" s="3">
        <v>0</v>
      </c>
      <c r="DK126" s="3">
        <v>0</v>
      </c>
      <c r="DL126" s="3">
        <f t="shared" si="63"/>
        <v>0</v>
      </c>
      <c r="DM126" s="3">
        <f>SUM($K126:$M126)*DM$4/$AF$4</f>
        <v>1002.0157458868906</v>
      </c>
      <c r="DN126" s="3">
        <v>0</v>
      </c>
      <c r="DO126" s="3">
        <v>0</v>
      </c>
      <c r="DP126" s="3">
        <f t="shared" si="85"/>
        <v>1002.0157458868906</v>
      </c>
      <c r="DQ126" s="3">
        <f>SUM($K126:$M126)*DQ$4/$AF$4</f>
        <v>2114.9015956291373</v>
      </c>
      <c r="DR126" s="3">
        <v>0</v>
      </c>
      <c r="DS126" s="3">
        <v>0</v>
      </c>
      <c r="DT126" s="3">
        <f t="shared" si="89"/>
        <v>2114.9015956291373</v>
      </c>
      <c r="DU126" s="3">
        <f>SUM($K126:$M126)*DU$4/$AF$4</f>
        <v>10527.320507359644</v>
      </c>
      <c r="DV126" s="3">
        <v>0</v>
      </c>
      <c r="DW126" s="3">
        <v>0</v>
      </c>
      <c r="DX126" s="3">
        <f t="shared" si="86"/>
        <v>10527.320507359644</v>
      </c>
      <c r="DY126" s="3">
        <f>SUM($K126:$M126)*DY$4/$AF$4</f>
        <v>36.065435140145645</v>
      </c>
      <c r="DZ126" s="3">
        <v>0</v>
      </c>
      <c r="EA126" s="3">
        <v>0</v>
      </c>
      <c r="EB126" s="3">
        <f t="shared" si="87"/>
        <v>36.065435140145645</v>
      </c>
      <c r="EC126" s="4">
        <f>AJ126+AN126+AR126+AV126+AZ126+BD126+BH126+BL126+BP126+BT126+BX126+CB126+CF126+CJ126+CN126+CR126+CV126+CZ126+DD126+DH126+DP126+DT126+DX126+EB126</f>
        <v>71639.459999999977</v>
      </c>
      <c r="ED126" s="5">
        <f t="shared" si="88"/>
        <v>0</v>
      </c>
      <c r="EE126" s="6">
        <f t="shared" si="118"/>
        <v>66438.717018932424</v>
      </c>
      <c r="EF126" s="6">
        <f t="shared" si="118"/>
        <v>2600.3714905337788</v>
      </c>
      <c r="EG126" s="6">
        <f t="shared" si="118"/>
        <v>2600.3714905337788</v>
      </c>
    </row>
    <row r="127" spans="1:137" ht="12" customHeight="1" x14ac:dyDescent="0.35">
      <c r="A127" s="34" t="s">
        <v>181</v>
      </c>
      <c r="B127" s="35">
        <v>28862</v>
      </c>
      <c r="C127" s="35" t="s">
        <v>182</v>
      </c>
      <c r="D127" s="35" t="s">
        <v>490</v>
      </c>
      <c r="E127" s="34">
        <v>421401</v>
      </c>
      <c r="F127" s="35" t="s">
        <v>491</v>
      </c>
      <c r="G127" s="8">
        <v>46121</v>
      </c>
      <c r="H127" s="8">
        <v>46133</v>
      </c>
      <c r="I127" s="36">
        <v>18</v>
      </c>
      <c r="J127" s="36">
        <v>167229</v>
      </c>
      <c r="K127" s="37"/>
      <c r="L127" s="36">
        <v>15050.61</v>
      </c>
      <c r="M127" s="36">
        <v>15050.61</v>
      </c>
      <c r="N127" s="36">
        <v>30101.22</v>
      </c>
      <c r="O127" s="36">
        <v>197330.22</v>
      </c>
      <c r="P127" s="35" t="s">
        <v>95</v>
      </c>
      <c r="Q127" s="34" t="s">
        <v>36</v>
      </c>
      <c r="R127" s="35" t="s">
        <v>139</v>
      </c>
      <c r="S127" s="35" t="s">
        <v>252</v>
      </c>
      <c r="T127" s="35" t="s">
        <v>253</v>
      </c>
      <c r="U127" s="35" t="s">
        <v>278</v>
      </c>
      <c r="V127" s="34">
        <v>998513</v>
      </c>
      <c r="W127" s="35" t="s">
        <v>492</v>
      </c>
      <c r="X127" s="34" t="s">
        <v>101</v>
      </c>
      <c r="Y127" s="35">
        <v>107</v>
      </c>
      <c r="Z127" s="35" t="s">
        <v>102</v>
      </c>
      <c r="AA127" t="s">
        <v>493</v>
      </c>
      <c r="AB127">
        <v>30101.22</v>
      </c>
      <c r="AC127">
        <v>30101.22</v>
      </c>
      <c r="AD127" s="38">
        <v>0</v>
      </c>
      <c r="AE127" t="s">
        <v>104</v>
      </c>
      <c r="AF127" t="s">
        <v>73</v>
      </c>
      <c r="AG127" s="3"/>
      <c r="AH127" s="3"/>
      <c r="AI127" s="3"/>
      <c r="AJ127" s="3">
        <f t="shared" si="67"/>
        <v>0</v>
      </c>
      <c r="AK127" s="3"/>
      <c r="AL127" s="3"/>
      <c r="AM127" s="3"/>
      <c r="AN127" s="3">
        <f t="shared" si="68"/>
        <v>0</v>
      </c>
      <c r="AO127" s="3"/>
      <c r="AP127" s="3"/>
      <c r="AQ127" s="3"/>
      <c r="AR127" s="3">
        <f t="shared" si="69"/>
        <v>0</v>
      </c>
      <c r="AS127" s="3"/>
      <c r="AT127" s="3"/>
      <c r="AU127" s="3"/>
      <c r="AV127" s="3">
        <f t="shared" si="70"/>
        <v>0</v>
      </c>
      <c r="AW127" s="3"/>
      <c r="AX127" s="3"/>
      <c r="AY127" s="3"/>
      <c r="AZ127" s="3">
        <f t="shared" si="71"/>
        <v>0</v>
      </c>
      <c r="BA127" s="3"/>
      <c r="BB127" s="3"/>
      <c r="BC127" s="3"/>
      <c r="BD127" s="3">
        <f t="shared" si="72"/>
        <v>0</v>
      </c>
      <c r="BE127" s="3">
        <f>$K127*BE$4/$BE$4</f>
        <v>0</v>
      </c>
      <c r="BF127" s="3">
        <f>$L127*BE$4/$BE$4</f>
        <v>15050.61</v>
      </c>
      <c r="BG127" s="3">
        <f>$M127*BE$4/$BE$4</f>
        <v>15050.61</v>
      </c>
      <c r="BH127" s="3">
        <f t="shared" si="64"/>
        <v>30101.22</v>
      </c>
      <c r="BI127" s="3"/>
      <c r="BJ127" s="3"/>
      <c r="BK127" s="3"/>
      <c r="BL127" s="3">
        <f t="shared" si="65"/>
        <v>0</v>
      </c>
      <c r="BM127" s="3"/>
      <c r="BN127" s="3"/>
      <c r="BO127" s="3"/>
      <c r="BP127" s="3">
        <f t="shared" si="73"/>
        <v>0</v>
      </c>
      <c r="BQ127" s="3"/>
      <c r="BR127" s="3"/>
      <c r="BS127" s="3"/>
      <c r="BT127" s="3">
        <f t="shared" si="74"/>
        <v>0</v>
      </c>
      <c r="BU127" s="3"/>
      <c r="BV127" s="3"/>
      <c r="BW127" s="3"/>
      <c r="BX127" s="3">
        <f t="shared" si="75"/>
        <v>0</v>
      </c>
      <c r="BY127" s="3"/>
      <c r="BZ127" s="3"/>
      <c r="CA127" s="3"/>
      <c r="CB127" s="3">
        <f t="shared" si="76"/>
        <v>0</v>
      </c>
      <c r="CC127" s="3"/>
      <c r="CD127" s="3"/>
      <c r="CE127" s="3"/>
      <c r="CF127" s="3">
        <f t="shared" si="77"/>
        <v>0</v>
      </c>
      <c r="CG127" s="3"/>
      <c r="CH127" s="3"/>
      <c r="CI127" s="3"/>
      <c r="CJ127" s="3">
        <f t="shared" si="78"/>
        <v>0</v>
      </c>
      <c r="CK127" s="3"/>
      <c r="CL127" s="3"/>
      <c r="CM127" s="3"/>
      <c r="CN127" s="3">
        <f t="shared" si="79"/>
        <v>0</v>
      </c>
      <c r="CO127" s="3"/>
      <c r="CP127" s="3"/>
      <c r="CQ127" s="3"/>
      <c r="CR127" s="3">
        <f t="shared" si="80"/>
        <v>0</v>
      </c>
      <c r="CS127" s="3"/>
      <c r="CT127" s="3"/>
      <c r="CU127" s="3"/>
      <c r="CV127" s="3">
        <f t="shared" si="81"/>
        <v>0</v>
      </c>
      <c r="CW127" s="3"/>
      <c r="CX127" s="3"/>
      <c r="CY127" s="3"/>
      <c r="CZ127" s="3">
        <f t="shared" si="82"/>
        <v>0</v>
      </c>
      <c r="DA127" s="3"/>
      <c r="DB127" s="3"/>
      <c r="DC127" s="3"/>
      <c r="DD127" s="3">
        <f t="shared" si="83"/>
        <v>0</v>
      </c>
      <c r="DE127" s="3"/>
      <c r="DF127" s="3"/>
      <c r="DG127" s="3"/>
      <c r="DH127" s="3">
        <f t="shared" si="84"/>
        <v>0</v>
      </c>
      <c r="DI127" s="3"/>
      <c r="DJ127" s="3"/>
      <c r="DK127" s="3"/>
      <c r="DL127" s="3">
        <f t="shared" si="63"/>
        <v>0</v>
      </c>
      <c r="DM127" s="3"/>
      <c r="DN127" s="3"/>
      <c r="DO127" s="3"/>
      <c r="DP127" s="3">
        <f t="shared" si="85"/>
        <v>0</v>
      </c>
      <c r="DQ127" s="3"/>
      <c r="DR127" s="3"/>
      <c r="DS127" s="3"/>
      <c r="DT127" s="3">
        <f t="shared" si="89"/>
        <v>0</v>
      </c>
      <c r="DU127" s="3"/>
      <c r="DV127" s="3"/>
      <c r="DW127" s="3"/>
      <c r="DX127" s="3">
        <f t="shared" si="86"/>
        <v>0</v>
      </c>
      <c r="DY127" s="3"/>
      <c r="DZ127" s="3"/>
      <c r="EA127" s="3"/>
      <c r="EB127" s="3">
        <f t="shared" si="87"/>
        <v>0</v>
      </c>
      <c r="EC127" s="4">
        <f>AJ127+AN127+AR127+AV127+AZ127+BD127+BH127+BL127+BP127+BT127+BX127+CB127+CF127+CJ127+CN127+CR127+CV127+CZ127+DD127+DH127+DL127+DP127+DT127+DX127+EB127</f>
        <v>30101.22</v>
      </c>
      <c r="ED127" s="5">
        <f t="shared" si="88"/>
        <v>0</v>
      </c>
      <c r="EE127" s="6">
        <f t="shared" si="118"/>
        <v>0</v>
      </c>
      <c r="EF127" s="6">
        <f t="shared" si="118"/>
        <v>15050.61</v>
      </c>
      <c r="EG127" s="6">
        <f t="shared" si="118"/>
        <v>15050.61</v>
      </c>
    </row>
    <row r="128" spans="1:137" ht="12" customHeight="1" x14ac:dyDescent="0.35">
      <c r="A128" s="34" t="s">
        <v>494</v>
      </c>
      <c r="B128" s="35">
        <v>38934</v>
      </c>
      <c r="C128" s="35" t="s">
        <v>495</v>
      </c>
      <c r="D128" s="35" t="s">
        <v>490</v>
      </c>
      <c r="E128" s="34">
        <v>421401</v>
      </c>
      <c r="F128" s="35">
        <v>20260027</v>
      </c>
      <c r="G128" s="8">
        <v>46119</v>
      </c>
      <c r="H128" s="8">
        <v>46133</v>
      </c>
      <c r="I128" s="36">
        <v>18</v>
      </c>
      <c r="J128" s="36">
        <v>111500</v>
      </c>
      <c r="K128" s="37"/>
      <c r="L128" s="36">
        <v>10035</v>
      </c>
      <c r="M128" s="36">
        <v>10035</v>
      </c>
      <c r="N128" s="36">
        <v>20070</v>
      </c>
      <c r="O128" s="36">
        <v>131570</v>
      </c>
      <c r="P128" s="35" t="s">
        <v>95</v>
      </c>
      <c r="Q128" s="34" t="s">
        <v>36</v>
      </c>
      <c r="R128" s="35" t="s">
        <v>139</v>
      </c>
      <c r="S128" s="35" t="s">
        <v>252</v>
      </c>
      <c r="T128" s="35" t="s">
        <v>253</v>
      </c>
      <c r="U128" s="35" t="s">
        <v>278</v>
      </c>
      <c r="V128" s="34">
        <v>998713</v>
      </c>
      <c r="W128" s="35" t="s">
        <v>496</v>
      </c>
      <c r="X128" s="34" t="s">
        <v>101</v>
      </c>
      <c r="Y128" s="35">
        <v>107</v>
      </c>
      <c r="Z128" s="35" t="s">
        <v>102</v>
      </c>
      <c r="AA128" t="s">
        <v>497</v>
      </c>
      <c r="AB128">
        <v>20070</v>
      </c>
      <c r="AC128">
        <v>20070</v>
      </c>
      <c r="AD128" s="38">
        <v>0</v>
      </c>
      <c r="AE128" t="s">
        <v>104</v>
      </c>
      <c r="AF128" t="s">
        <v>73</v>
      </c>
      <c r="AG128" s="3"/>
      <c r="AH128" s="3"/>
      <c r="AI128" s="3"/>
      <c r="AJ128" s="3">
        <f t="shared" si="67"/>
        <v>0</v>
      </c>
      <c r="AK128" s="3"/>
      <c r="AL128" s="3"/>
      <c r="AM128" s="3"/>
      <c r="AN128" s="3">
        <f t="shared" si="68"/>
        <v>0</v>
      </c>
      <c r="AO128" s="3"/>
      <c r="AP128" s="3"/>
      <c r="AQ128" s="3"/>
      <c r="AR128" s="3">
        <f t="shared" si="69"/>
        <v>0</v>
      </c>
      <c r="AS128" s="3"/>
      <c r="AT128" s="3"/>
      <c r="AU128" s="3"/>
      <c r="AV128" s="3">
        <f t="shared" si="70"/>
        <v>0</v>
      </c>
      <c r="AW128" s="3"/>
      <c r="AX128" s="3"/>
      <c r="AY128" s="3"/>
      <c r="AZ128" s="3">
        <f t="shared" si="71"/>
        <v>0</v>
      </c>
      <c r="BA128" s="3"/>
      <c r="BB128" s="3"/>
      <c r="BC128" s="3"/>
      <c r="BD128" s="3">
        <f t="shared" si="72"/>
        <v>0</v>
      </c>
      <c r="BE128" s="3">
        <f>$K128*BE$4/$BE$4</f>
        <v>0</v>
      </c>
      <c r="BF128" s="3">
        <f>$L128*BE$4/$BE$4</f>
        <v>10035</v>
      </c>
      <c r="BG128" s="3">
        <f>$M128*BE$4/$BE$4</f>
        <v>10035</v>
      </c>
      <c r="BH128" s="3">
        <f t="shared" si="64"/>
        <v>20070</v>
      </c>
      <c r="BI128" s="3"/>
      <c r="BJ128" s="3"/>
      <c r="BK128" s="3"/>
      <c r="BL128" s="3">
        <f t="shared" si="65"/>
        <v>0</v>
      </c>
      <c r="BM128" s="3"/>
      <c r="BN128" s="3"/>
      <c r="BO128" s="3"/>
      <c r="BP128" s="3">
        <f t="shared" si="73"/>
        <v>0</v>
      </c>
      <c r="BQ128" s="3"/>
      <c r="BR128" s="3"/>
      <c r="BS128" s="3"/>
      <c r="BT128" s="3">
        <f t="shared" si="74"/>
        <v>0</v>
      </c>
      <c r="BU128" s="3"/>
      <c r="BV128" s="3"/>
      <c r="BW128" s="3"/>
      <c r="BX128" s="3">
        <f t="shared" si="75"/>
        <v>0</v>
      </c>
      <c r="BY128" s="3"/>
      <c r="BZ128" s="3"/>
      <c r="CA128" s="3"/>
      <c r="CB128" s="3">
        <f t="shared" si="76"/>
        <v>0</v>
      </c>
      <c r="CC128" s="3"/>
      <c r="CD128" s="3"/>
      <c r="CE128" s="3"/>
      <c r="CF128" s="3">
        <f t="shared" si="77"/>
        <v>0</v>
      </c>
      <c r="CG128" s="3"/>
      <c r="CH128" s="3"/>
      <c r="CI128" s="3"/>
      <c r="CJ128" s="3">
        <f t="shared" si="78"/>
        <v>0</v>
      </c>
      <c r="CK128" s="3"/>
      <c r="CL128" s="3"/>
      <c r="CM128" s="3"/>
      <c r="CN128" s="3">
        <f t="shared" si="79"/>
        <v>0</v>
      </c>
      <c r="CO128" s="3"/>
      <c r="CP128" s="3"/>
      <c r="CQ128" s="3"/>
      <c r="CR128" s="3">
        <f t="shared" si="80"/>
        <v>0</v>
      </c>
      <c r="CS128" s="3"/>
      <c r="CT128" s="3"/>
      <c r="CU128" s="3"/>
      <c r="CV128" s="3">
        <f t="shared" si="81"/>
        <v>0</v>
      </c>
      <c r="CW128" s="3"/>
      <c r="CX128" s="3"/>
      <c r="CY128" s="3"/>
      <c r="CZ128" s="3">
        <f t="shared" si="82"/>
        <v>0</v>
      </c>
      <c r="DA128" s="3"/>
      <c r="DB128" s="3"/>
      <c r="DC128" s="3"/>
      <c r="DD128" s="3">
        <f t="shared" si="83"/>
        <v>0</v>
      </c>
      <c r="DE128" s="3"/>
      <c r="DF128" s="3"/>
      <c r="DG128" s="3"/>
      <c r="DH128" s="3">
        <f t="shared" si="84"/>
        <v>0</v>
      </c>
      <c r="DI128" s="3"/>
      <c r="DJ128" s="3"/>
      <c r="DK128" s="3"/>
      <c r="DL128" s="3">
        <f t="shared" si="63"/>
        <v>0</v>
      </c>
      <c r="DM128" s="3"/>
      <c r="DN128" s="3"/>
      <c r="DO128" s="3"/>
      <c r="DP128" s="3">
        <f t="shared" si="85"/>
        <v>0</v>
      </c>
      <c r="DQ128" s="3"/>
      <c r="DR128" s="3"/>
      <c r="DS128" s="3"/>
      <c r="DT128" s="3">
        <f t="shared" si="89"/>
        <v>0</v>
      </c>
      <c r="DU128" s="3"/>
      <c r="DV128" s="3"/>
      <c r="DW128" s="3"/>
      <c r="DX128" s="3">
        <f t="shared" si="86"/>
        <v>0</v>
      </c>
      <c r="DY128" s="3"/>
      <c r="DZ128" s="3"/>
      <c r="EA128" s="3"/>
      <c r="EB128" s="3">
        <f t="shared" si="87"/>
        <v>0</v>
      </c>
      <c r="EC128" s="4">
        <f>AJ128+AN128+AR128+AV128+AZ128+BD128+BH128+BL128+BP128+BT128+BX128+CB128+CF128+CJ128+CN128+CR128+CV128+CZ128+DD128+DH128+DL128+DP128+DT128+DX128+EB128</f>
        <v>20070</v>
      </c>
      <c r="ED128" s="5">
        <f t="shared" si="88"/>
        <v>0</v>
      </c>
      <c r="EE128" s="6">
        <f t="shared" si="118"/>
        <v>0</v>
      </c>
      <c r="EF128" s="6">
        <f t="shared" si="118"/>
        <v>10035</v>
      </c>
      <c r="EG128" s="6">
        <f t="shared" si="118"/>
        <v>10035</v>
      </c>
    </row>
    <row r="129" spans="1:137" ht="12" customHeight="1" x14ac:dyDescent="0.35">
      <c r="A129" s="34" t="s">
        <v>498</v>
      </c>
      <c r="B129" s="35">
        <v>30572</v>
      </c>
      <c r="C129" s="35" t="s">
        <v>499</v>
      </c>
      <c r="D129" s="35" t="s">
        <v>361</v>
      </c>
      <c r="E129" s="34">
        <v>150906</v>
      </c>
      <c r="F129" s="35" t="s">
        <v>500</v>
      </c>
      <c r="G129" s="8">
        <v>46120</v>
      </c>
      <c r="H129" s="8">
        <v>46133</v>
      </c>
      <c r="I129" s="36">
        <v>18</v>
      </c>
      <c r="J129" s="36">
        <v>868396</v>
      </c>
      <c r="K129" s="36">
        <v>156311.28</v>
      </c>
      <c r="L129" s="37"/>
      <c r="M129" s="37"/>
      <c r="N129" s="36">
        <v>156311.28</v>
      </c>
      <c r="O129" s="36">
        <v>1024707.28</v>
      </c>
      <c r="P129" s="35" t="s">
        <v>95</v>
      </c>
      <c r="Q129" s="34" t="s">
        <v>185</v>
      </c>
      <c r="R129" s="35" t="s">
        <v>112</v>
      </c>
      <c r="S129" s="35" t="s">
        <v>252</v>
      </c>
      <c r="T129" s="35" t="s">
        <v>253</v>
      </c>
      <c r="U129" s="35" t="s">
        <v>278</v>
      </c>
      <c r="V129" s="34">
        <v>998313</v>
      </c>
      <c r="W129" s="35" t="s">
        <v>501</v>
      </c>
      <c r="X129" s="34" t="s">
        <v>101</v>
      </c>
      <c r="Y129" s="35">
        <v>107</v>
      </c>
      <c r="Z129" s="35" t="s">
        <v>102</v>
      </c>
      <c r="AA129" t="s">
        <v>502</v>
      </c>
      <c r="AB129">
        <v>156311.28</v>
      </c>
      <c r="AC129">
        <v>156311.28</v>
      </c>
      <c r="AD129" s="38">
        <v>0</v>
      </c>
      <c r="AE129" t="s">
        <v>104</v>
      </c>
      <c r="AF129" t="s">
        <v>73</v>
      </c>
      <c r="AG129" s="3">
        <f>SUM($K129:$M129)*AG$4/$AF$4</f>
        <v>5787.3615952264063</v>
      </c>
      <c r="AH129" s="3">
        <v>0</v>
      </c>
      <c r="AI129" s="3">
        <v>0</v>
      </c>
      <c r="AJ129" s="3">
        <f t="shared" si="67"/>
        <v>5787.3615952264063</v>
      </c>
      <c r="AK129" s="3">
        <f>SUM($K129:$M129)*AK$4/$AF$4</f>
        <v>48.158343199716334</v>
      </c>
      <c r="AL129" s="3">
        <v>0</v>
      </c>
      <c r="AM129" s="3">
        <v>0</v>
      </c>
      <c r="AN129" s="3">
        <f t="shared" si="68"/>
        <v>48.158343199716334</v>
      </c>
      <c r="AO129" s="3">
        <f>SUM($K129:$M129)*AO$4/$AF$4</f>
        <v>2385.4347255005578</v>
      </c>
      <c r="AP129" s="3">
        <v>0</v>
      </c>
      <c r="AQ129" s="3">
        <v>0</v>
      </c>
      <c r="AR129" s="3">
        <f t="shared" si="69"/>
        <v>2385.4347255005578</v>
      </c>
      <c r="AS129" s="3">
        <f>SUM($K129:$M129)*AS$4/$AF$4</f>
        <v>2088.7065503834142</v>
      </c>
      <c r="AT129" s="3">
        <v>0</v>
      </c>
      <c r="AU129" s="3">
        <v>0</v>
      </c>
      <c r="AV129" s="3">
        <f t="shared" si="70"/>
        <v>2088.7065503834142</v>
      </c>
      <c r="AW129" s="3">
        <f>SUM($K129:$M129)*AW$4/$AF$4</f>
        <v>245.00442822892612</v>
      </c>
      <c r="AX129" s="3">
        <v>0</v>
      </c>
      <c r="AY129" s="3">
        <v>0</v>
      </c>
      <c r="AZ129" s="3">
        <f t="shared" si="71"/>
        <v>245.00442822892612</v>
      </c>
      <c r="BA129" s="3">
        <f>SUM($K129:$M129)*BA$4/$AF$4</f>
        <v>2616.1677535360964</v>
      </c>
      <c r="BB129" s="3">
        <v>0</v>
      </c>
      <c r="BC129" s="3">
        <v>0</v>
      </c>
      <c r="BD129" s="3">
        <f t="shared" si="72"/>
        <v>2616.1677535360964</v>
      </c>
      <c r="BE129" s="3">
        <f>$K129*BE$4/$AF$4</f>
        <v>11347.584031505621</v>
      </c>
      <c r="BF129" s="3">
        <f>$L129*BE$4/$AF$4</f>
        <v>0</v>
      </c>
      <c r="BG129" s="3">
        <f>$M129*BE$4/$AF$4</f>
        <v>0</v>
      </c>
      <c r="BH129" s="3">
        <f t="shared" si="64"/>
        <v>11347.584031505621</v>
      </c>
      <c r="BI129" s="3">
        <f>SUM($K129:$M129)*BI$4/$AF$4</f>
        <v>6581.7020068474512</v>
      </c>
      <c r="BJ129" s="3">
        <v>0</v>
      </c>
      <c r="BK129" s="3">
        <v>0</v>
      </c>
      <c r="BL129" s="3">
        <f t="shared" si="65"/>
        <v>6581.7020068474512</v>
      </c>
      <c r="BM129" s="3">
        <f>SUM($K129:$M129)*BM$4/$AF$4</f>
        <v>30221.895474148219</v>
      </c>
      <c r="BN129" s="3">
        <v>0</v>
      </c>
      <c r="BO129" s="3">
        <v>0</v>
      </c>
      <c r="BP129" s="3">
        <f t="shared" si="73"/>
        <v>30221.895474148219</v>
      </c>
      <c r="BQ129" s="3">
        <f>SUM($K129:$M129)*BQ$4/$AF$4</f>
        <v>2709.0088558012558</v>
      </c>
      <c r="BR129" s="3">
        <v>0</v>
      </c>
      <c r="BS129" s="3">
        <v>0</v>
      </c>
      <c r="BT129" s="3">
        <f t="shared" si="74"/>
        <v>2709.0088558012558</v>
      </c>
      <c r="BU129" s="3">
        <f>SUM($K129:$M129)*BU$4/$AF$4</f>
        <v>429.87389413517263</v>
      </c>
      <c r="BV129" s="3">
        <v>0</v>
      </c>
      <c r="BW129" s="3">
        <v>0</v>
      </c>
      <c r="BX129" s="3">
        <f t="shared" si="75"/>
        <v>429.87389413517263</v>
      </c>
      <c r="BY129" s="3">
        <f>SUM($K129:$M129)*BY$4/$AF$4</f>
        <v>1036.2092497474287</v>
      </c>
      <c r="BZ129" s="3">
        <v>0</v>
      </c>
      <c r="CA129" s="3">
        <v>0</v>
      </c>
      <c r="CB129" s="3">
        <f t="shared" si="76"/>
        <v>1036.2092497474287</v>
      </c>
      <c r="CC129" s="3">
        <f>SUM($K129:$M129)*CC$4/$AF$4</f>
        <v>857.88594521203743</v>
      </c>
      <c r="CD129" s="3">
        <v>0</v>
      </c>
      <c r="CE129" s="3">
        <v>0</v>
      </c>
      <c r="CF129" s="3">
        <f t="shared" si="77"/>
        <v>857.88594521203743</v>
      </c>
      <c r="CG129" s="3">
        <f>SUM($K129:$M129)*CG$4/$AF$4</f>
        <v>982.85288978683479</v>
      </c>
      <c r="CH129" s="3">
        <v>0</v>
      </c>
      <c r="CI129" s="3">
        <v>0</v>
      </c>
      <c r="CJ129" s="3">
        <f t="shared" si="78"/>
        <v>982.85288978683479</v>
      </c>
      <c r="CK129" s="3">
        <f>SUM($K129:$M129)*CK$4/$AF$4</f>
        <v>2022.2965977698661</v>
      </c>
      <c r="CL129" s="3">
        <v>0</v>
      </c>
      <c r="CM129" s="3">
        <v>0</v>
      </c>
      <c r="CN129" s="3">
        <f t="shared" si="79"/>
        <v>2022.2965977698661</v>
      </c>
      <c r="CO129" s="3">
        <f>SUM($K129:$M129)*CO$4/$AF$4</f>
        <v>3944.3555748098629</v>
      </c>
      <c r="CP129" s="3">
        <v>0</v>
      </c>
      <c r="CQ129" s="3">
        <v>0</v>
      </c>
      <c r="CR129" s="3">
        <f t="shared" si="80"/>
        <v>3944.3555748098629</v>
      </c>
      <c r="CS129" s="3">
        <f>SUM($K129:$M129)*CS$4/$AF$4</f>
        <v>11594.304117079057</v>
      </c>
      <c r="CT129" s="3">
        <v>0</v>
      </c>
      <c r="CU129" s="3">
        <v>0</v>
      </c>
      <c r="CV129" s="3">
        <f t="shared" si="81"/>
        <v>11594.304117079057</v>
      </c>
      <c r="CW129" s="3">
        <f>SUM($K129:$M129)*CW$4/$AF$4</f>
        <v>38497.44443961839</v>
      </c>
      <c r="CX129" s="3">
        <v>0</v>
      </c>
      <c r="CY129" s="3">
        <v>0</v>
      </c>
      <c r="CZ129" s="3">
        <f t="shared" si="82"/>
        <v>38497.44443961839</v>
      </c>
      <c r="DA129" s="3">
        <f>SUM($K129:$M129)*DA$4/$AF$4</f>
        <v>2623.4997435471855</v>
      </c>
      <c r="DB129" s="3">
        <v>0</v>
      </c>
      <c r="DC129" s="3">
        <v>0</v>
      </c>
      <c r="DD129" s="3">
        <f t="shared" si="83"/>
        <v>2623.4997435471855</v>
      </c>
      <c r="DE129" s="3">
        <f>SUM($K129:$M129)*DE$4/$AF$4</f>
        <v>442.26192853512953</v>
      </c>
      <c r="DF129" s="3">
        <v>0</v>
      </c>
      <c r="DG129" s="3">
        <v>0</v>
      </c>
      <c r="DH129" s="3">
        <f t="shared" si="84"/>
        <v>442.26192853512953</v>
      </c>
      <c r="DI129" s="3">
        <f>SUM($K129:$M129)*DI$4/$AF$4</f>
        <v>0</v>
      </c>
      <c r="DJ129" s="3">
        <v>0</v>
      </c>
      <c r="DK129" s="3">
        <v>0</v>
      </c>
      <c r="DL129" s="3">
        <f t="shared" si="63"/>
        <v>0</v>
      </c>
      <c r="DM129" s="3">
        <f>SUM($K129:$M129)*DM$4/$AF$4</f>
        <v>2186.3141321798712</v>
      </c>
      <c r="DN129" s="3">
        <v>0</v>
      </c>
      <c r="DO129" s="3">
        <v>0</v>
      </c>
      <c r="DP129" s="3">
        <f t="shared" si="85"/>
        <v>2186.3141321798712</v>
      </c>
      <c r="DQ129" s="3">
        <f>SUM($K129:$M129)*DQ$4/$AF$4</f>
        <v>4614.5375116846608</v>
      </c>
      <c r="DR129" s="3">
        <v>0</v>
      </c>
      <c r="DS129" s="3">
        <v>0</v>
      </c>
      <c r="DT129" s="3">
        <f t="shared" si="89"/>
        <v>4614.5375116846608</v>
      </c>
      <c r="DU129" s="3">
        <f>SUM($K129:$M129)*DU$4/$AF$4</f>
        <v>22969.728463553954</v>
      </c>
      <c r="DV129" s="3">
        <v>0</v>
      </c>
      <c r="DW129" s="3">
        <v>0</v>
      </c>
      <c r="DX129" s="3">
        <f t="shared" si="86"/>
        <v>22969.728463553954</v>
      </c>
      <c r="DY129" s="3">
        <f>SUM($K129:$M129)*DY$4/$AF$4</f>
        <v>78.691747962828657</v>
      </c>
      <c r="DZ129" s="3">
        <v>0</v>
      </c>
      <c r="EA129" s="3">
        <v>0</v>
      </c>
      <c r="EB129" s="3">
        <f t="shared" si="87"/>
        <v>78.691747962828657</v>
      </c>
      <c r="EC129" s="4">
        <f>AJ129+AN129+AR129+AV129+AZ129+BD129+BH129+BL129+BP129+BT129+BX129+CB129+CF129+CJ129+CN129+CR129+CV129+CZ129+DD129+DH129+DP129+DT129+DX129+EB129</f>
        <v>156311.27999999994</v>
      </c>
      <c r="ED129" s="5">
        <f t="shared" si="88"/>
        <v>0</v>
      </c>
      <c r="EE129" s="6">
        <f t="shared" si="118"/>
        <v>156311.27999999994</v>
      </c>
      <c r="EF129" s="6">
        <f t="shared" si="118"/>
        <v>0</v>
      </c>
      <c r="EG129" s="6">
        <f t="shared" si="118"/>
        <v>0</v>
      </c>
    </row>
    <row r="130" spans="1:137" ht="12" customHeight="1" x14ac:dyDescent="0.35">
      <c r="A130" s="34" t="s">
        <v>341</v>
      </c>
      <c r="B130" s="35">
        <v>41738</v>
      </c>
      <c r="C130" s="35" t="s">
        <v>342</v>
      </c>
      <c r="D130" s="35" t="s">
        <v>283</v>
      </c>
      <c r="E130" s="34">
        <v>416101</v>
      </c>
      <c r="F130" s="35" t="s">
        <v>503</v>
      </c>
      <c r="G130" s="8">
        <v>46112</v>
      </c>
      <c r="H130" s="8">
        <v>46133</v>
      </c>
      <c r="I130" s="36">
        <v>18</v>
      </c>
      <c r="J130" s="36">
        <v>1168125</v>
      </c>
      <c r="K130" s="37"/>
      <c r="L130" s="36">
        <v>105131.25</v>
      </c>
      <c r="M130" s="36">
        <v>105131.25</v>
      </c>
      <c r="N130" s="36">
        <v>210262.5</v>
      </c>
      <c r="O130" s="36">
        <v>1378387.5</v>
      </c>
      <c r="P130" s="35" t="s">
        <v>95</v>
      </c>
      <c r="Q130" s="34" t="s">
        <v>36</v>
      </c>
      <c r="R130" s="35" t="s">
        <v>139</v>
      </c>
      <c r="S130" s="35" t="s">
        <v>252</v>
      </c>
      <c r="T130" s="35" t="s">
        <v>253</v>
      </c>
      <c r="U130" s="35" t="s">
        <v>278</v>
      </c>
      <c r="V130" s="34">
        <v>998313</v>
      </c>
      <c r="W130" s="35" t="s">
        <v>504</v>
      </c>
      <c r="X130" s="34" t="s">
        <v>101</v>
      </c>
      <c r="Y130" s="35">
        <v>107</v>
      </c>
      <c r="Z130" s="35" t="s">
        <v>102</v>
      </c>
      <c r="AA130" t="s">
        <v>505</v>
      </c>
      <c r="AB130">
        <v>210262.5</v>
      </c>
      <c r="AC130">
        <v>210262.5</v>
      </c>
      <c r="AD130" s="38">
        <v>0</v>
      </c>
      <c r="AE130" t="s">
        <v>104</v>
      </c>
      <c r="AF130" t="s">
        <v>73</v>
      </c>
      <c r="AG130" s="3"/>
      <c r="AH130" s="3"/>
      <c r="AI130" s="3"/>
      <c r="AJ130" s="3">
        <f t="shared" si="67"/>
        <v>0</v>
      </c>
      <c r="AK130" s="3"/>
      <c r="AL130" s="3"/>
      <c r="AM130" s="3"/>
      <c r="AN130" s="3">
        <f t="shared" si="68"/>
        <v>0</v>
      </c>
      <c r="AO130" s="3"/>
      <c r="AP130" s="3"/>
      <c r="AQ130" s="3"/>
      <c r="AR130" s="3">
        <f t="shared" si="69"/>
        <v>0</v>
      </c>
      <c r="AS130" s="3"/>
      <c r="AT130" s="3"/>
      <c r="AU130" s="3"/>
      <c r="AV130" s="3">
        <f t="shared" si="70"/>
        <v>0</v>
      </c>
      <c r="AW130" s="3"/>
      <c r="AX130" s="3"/>
      <c r="AY130" s="3"/>
      <c r="AZ130" s="3">
        <f t="shared" si="71"/>
        <v>0</v>
      </c>
      <c r="BA130" s="3"/>
      <c r="BB130" s="3"/>
      <c r="BC130" s="3"/>
      <c r="BD130" s="3">
        <f t="shared" si="72"/>
        <v>0</v>
      </c>
      <c r="BE130" s="3">
        <f>$K130*BE$4/$BE$4</f>
        <v>0</v>
      </c>
      <c r="BF130" s="3">
        <f>$L130*BE$4/$BE$4</f>
        <v>105131.25</v>
      </c>
      <c r="BG130" s="3">
        <f>$M130*BE$4/$BE$4</f>
        <v>105131.25</v>
      </c>
      <c r="BH130" s="3">
        <f t="shared" si="64"/>
        <v>210262.5</v>
      </c>
      <c r="BI130" s="3"/>
      <c r="BJ130" s="3"/>
      <c r="BK130" s="3"/>
      <c r="BL130" s="3">
        <f t="shared" si="65"/>
        <v>0</v>
      </c>
      <c r="BM130" s="3"/>
      <c r="BN130" s="3"/>
      <c r="BO130" s="3"/>
      <c r="BP130" s="3">
        <f t="shared" si="73"/>
        <v>0</v>
      </c>
      <c r="BQ130" s="3"/>
      <c r="BR130" s="3"/>
      <c r="BS130" s="3"/>
      <c r="BT130" s="3">
        <f t="shared" si="74"/>
        <v>0</v>
      </c>
      <c r="BU130" s="3"/>
      <c r="BV130" s="3"/>
      <c r="BW130" s="3"/>
      <c r="BX130" s="3">
        <f t="shared" si="75"/>
        <v>0</v>
      </c>
      <c r="BY130" s="3"/>
      <c r="BZ130" s="3"/>
      <c r="CA130" s="3"/>
      <c r="CB130" s="3">
        <f t="shared" si="76"/>
        <v>0</v>
      </c>
      <c r="CC130" s="3"/>
      <c r="CD130" s="3"/>
      <c r="CE130" s="3"/>
      <c r="CF130" s="3">
        <f t="shared" si="77"/>
        <v>0</v>
      </c>
      <c r="CG130" s="3"/>
      <c r="CH130" s="3"/>
      <c r="CI130" s="3"/>
      <c r="CJ130" s="3">
        <f t="shared" si="78"/>
        <v>0</v>
      </c>
      <c r="CK130" s="3"/>
      <c r="CL130" s="3"/>
      <c r="CM130" s="3"/>
      <c r="CN130" s="3">
        <f t="shared" si="79"/>
        <v>0</v>
      </c>
      <c r="CO130" s="3"/>
      <c r="CP130" s="3"/>
      <c r="CQ130" s="3"/>
      <c r="CR130" s="3">
        <f t="shared" si="80"/>
        <v>0</v>
      </c>
      <c r="CS130" s="3"/>
      <c r="CT130" s="3"/>
      <c r="CU130" s="3"/>
      <c r="CV130" s="3">
        <f t="shared" si="81"/>
        <v>0</v>
      </c>
      <c r="CW130" s="3"/>
      <c r="CX130" s="3"/>
      <c r="CY130" s="3"/>
      <c r="CZ130" s="3">
        <f t="shared" si="82"/>
        <v>0</v>
      </c>
      <c r="DA130" s="3"/>
      <c r="DB130" s="3"/>
      <c r="DC130" s="3"/>
      <c r="DD130" s="3">
        <f t="shared" si="83"/>
        <v>0</v>
      </c>
      <c r="DE130" s="3"/>
      <c r="DF130" s="3"/>
      <c r="DG130" s="3"/>
      <c r="DH130" s="3">
        <f t="shared" si="84"/>
        <v>0</v>
      </c>
      <c r="DI130" s="3"/>
      <c r="DJ130" s="3"/>
      <c r="DK130" s="3"/>
      <c r="DL130" s="3">
        <f t="shared" si="63"/>
        <v>0</v>
      </c>
      <c r="DM130" s="3"/>
      <c r="DN130" s="3"/>
      <c r="DO130" s="3"/>
      <c r="DP130" s="3">
        <f t="shared" si="85"/>
        <v>0</v>
      </c>
      <c r="DQ130" s="3"/>
      <c r="DR130" s="3"/>
      <c r="DS130" s="3"/>
      <c r="DT130" s="3">
        <f t="shared" si="89"/>
        <v>0</v>
      </c>
      <c r="DU130" s="3"/>
      <c r="DV130" s="3"/>
      <c r="DW130" s="3"/>
      <c r="DX130" s="3">
        <f t="shared" si="86"/>
        <v>0</v>
      </c>
      <c r="DY130" s="3"/>
      <c r="DZ130" s="3"/>
      <c r="EA130" s="3"/>
      <c r="EB130" s="3">
        <f t="shared" si="87"/>
        <v>0</v>
      </c>
      <c r="EC130" s="4">
        <f>AJ130+AN130+AR130+AV130+AZ130+BD130+BH130+BL130+BP130+BT130+BX130+CB130+CF130+CJ130+CN130+CR130+CV130+CZ130+DD130+DH130+DL130+DP130+DT130+DX130+EB130</f>
        <v>210262.5</v>
      </c>
      <c r="ED130" s="5">
        <f t="shared" si="88"/>
        <v>0</v>
      </c>
      <c r="EE130" s="6">
        <f t="shared" si="118"/>
        <v>0</v>
      </c>
      <c r="EF130" s="6">
        <f t="shared" si="118"/>
        <v>105131.25</v>
      </c>
      <c r="EG130" s="6">
        <f t="shared" si="118"/>
        <v>105131.25</v>
      </c>
    </row>
    <row r="131" spans="1:137" ht="12" customHeight="1" x14ac:dyDescent="0.35">
      <c r="A131" s="34" t="s">
        <v>506</v>
      </c>
      <c r="B131" s="35">
        <v>41024</v>
      </c>
      <c r="C131" s="35" t="s">
        <v>507</v>
      </c>
      <c r="D131" s="35" t="s">
        <v>258</v>
      </c>
      <c r="E131" s="34">
        <v>421801</v>
      </c>
      <c r="F131" s="35" t="s">
        <v>508</v>
      </c>
      <c r="G131" s="8">
        <v>46114</v>
      </c>
      <c r="H131" s="8">
        <v>46133</v>
      </c>
      <c r="I131" s="36">
        <v>18</v>
      </c>
      <c r="J131" s="36">
        <v>52944</v>
      </c>
      <c r="K131" s="36">
        <v>9529.92</v>
      </c>
      <c r="L131" s="37"/>
      <c r="M131" s="37"/>
      <c r="N131" s="36">
        <v>9529.92</v>
      </c>
      <c r="O131" s="36">
        <v>62473.919999999998</v>
      </c>
      <c r="P131" s="35" t="s">
        <v>95</v>
      </c>
      <c r="Q131" s="34" t="s">
        <v>185</v>
      </c>
      <c r="R131" s="35" t="s">
        <v>260</v>
      </c>
      <c r="S131" s="35" t="s">
        <v>252</v>
      </c>
      <c r="T131" s="35" t="s">
        <v>253</v>
      </c>
      <c r="U131" s="35" t="s">
        <v>261</v>
      </c>
      <c r="V131" s="34">
        <v>998399</v>
      </c>
      <c r="W131" s="35" t="s">
        <v>509</v>
      </c>
      <c r="X131" s="34" t="s">
        <v>101</v>
      </c>
      <c r="Y131" s="35">
        <v>107</v>
      </c>
      <c r="Z131" s="35" t="s">
        <v>102</v>
      </c>
      <c r="AA131" t="s">
        <v>510</v>
      </c>
      <c r="AB131">
        <v>9529.92</v>
      </c>
      <c r="AC131">
        <v>9529.92</v>
      </c>
      <c r="AD131" s="38">
        <v>0</v>
      </c>
      <c r="AE131" t="s">
        <v>104</v>
      </c>
      <c r="AF131" t="s">
        <v>73</v>
      </c>
      <c r="AG131" s="3">
        <f>SUM($K131:$M131)*AG$4/$AF$4</f>
        <v>352.84141370718754</v>
      </c>
      <c r="AH131" s="3">
        <v>0</v>
      </c>
      <c r="AI131" s="3">
        <v>0</v>
      </c>
      <c r="AJ131" s="3">
        <f t="shared" si="67"/>
        <v>352.84141370718754</v>
      </c>
      <c r="AK131" s="3">
        <f>SUM($K131:$M131)*AK$4/$AF$4</f>
        <v>2.9360974974156742</v>
      </c>
      <c r="AL131" s="3">
        <v>0</v>
      </c>
      <c r="AM131" s="3">
        <v>0</v>
      </c>
      <c r="AN131" s="3">
        <f t="shared" si="68"/>
        <v>2.9360974974156742</v>
      </c>
      <c r="AO131" s="3">
        <f>SUM($K131:$M131)*AO$4/$AF$4</f>
        <v>145.4341753150654</v>
      </c>
      <c r="AP131" s="3">
        <v>0</v>
      </c>
      <c r="AQ131" s="3">
        <v>0</v>
      </c>
      <c r="AR131" s="3">
        <f t="shared" si="69"/>
        <v>145.4341753150654</v>
      </c>
      <c r="AS131" s="3">
        <f>SUM($K131:$M131)*AS$4/$AF$4</f>
        <v>127.3433774493428</v>
      </c>
      <c r="AT131" s="3">
        <v>0</v>
      </c>
      <c r="AU131" s="3">
        <v>0</v>
      </c>
      <c r="AV131" s="3">
        <f t="shared" si="70"/>
        <v>127.3433774493428</v>
      </c>
      <c r="AW131" s="3">
        <f>SUM($K131:$M131)*AW$4/$AF$4</f>
        <v>14.937326344377755</v>
      </c>
      <c r="AX131" s="3">
        <v>0</v>
      </c>
      <c r="AY131" s="3">
        <v>0</v>
      </c>
      <c r="AZ131" s="3">
        <f t="shared" si="71"/>
        <v>14.937326344377755</v>
      </c>
      <c r="BA131" s="3">
        <f>SUM($K131:$M131)*BA$4/$AF$4</f>
        <v>159.50140896919734</v>
      </c>
      <c r="BB131" s="3">
        <v>0</v>
      </c>
      <c r="BC131" s="3">
        <v>0</v>
      </c>
      <c r="BD131" s="3">
        <f t="shared" si="72"/>
        <v>159.50140896919734</v>
      </c>
      <c r="BE131" s="3">
        <f>$K131*BE$4/$AF$4</f>
        <v>691.83470325062945</v>
      </c>
      <c r="BF131" s="3">
        <f>$L131*BE$4/$AF$4</f>
        <v>0</v>
      </c>
      <c r="BG131" s="3">
        <f>$M131*BE$4/$AF$4</f>
        <v>0</v>
      </c>
      <c r="BH131" s="3">
        <f t="shared" si="64"/>
        <v>691.83470325062945</v>
      </c>
      <c r="BI131" s="3">
        <f>SUM($K131:$M131)*BI$4/$AF$4</f>
        <v>401.27042392011413</v>
      </c>
      <c r="BJ131" s="3">
        <v>0</v>
      </c>
      <c r="BK131" s="3">
        <v>0</v>
      </c>
      <c r="BL131" s="3">
        <f t="shared" si="65"/>
        <v>401.27042392011413</v>
      </c>
      <c r="BM131" s="3">
        <f>SUM($K131:$M131)*BM$4/$AF$4</f>
        <v>1842.5557395281687</v>
      </c>
      <c r="BN131" s="3">
        <v>0</v>
      </c>
      <c r="BO131" s="3">
        <v>0</v>
      </c>
      <c r="BP131" s="3">
        <f t="shared" si="73"/>
        <v>1842.5557395281687</v>
      </c>
      <c r="BQ131" s="3">
        <f>SUM($K131:$M131)*BQ$4/$AF$4</f>
        <v>165.16170602068837</v>
      </c>
      <c r="BR131" s="3">
        <v>0</v>
      </c>
      <c r="BS131" s="3">
        <v>0</v>
      </c>
      <c r="BT131" s="3">
        <f t="shared" si="74"/>
        <v>165.16170602068837</v>
      </c>
      <c r="BU131" s="3">
        <f>SUM($K131:$M131)*BU$4/$AF$4</f>
        <v>26.20836974271252</v>
      </c>
      <c r="BV131" s="3">
        <v>0</v>
      </c>
      <c r="BW131" s="3">
        <v>0</v>
      </c>
      <c r="BX131" s="3">
        <f t="shared" si="75"/>
        <v>26.20836974271252</v>
      </c>
      <c r="BY131" s="3">
        <f>SUM($K131:$M131)*BY$4/$AF$4</f>
        <v>63.175167226274489</v>
      </c>
      <c r="BZ131" s="3">
        <v>0</v>
      </c>
      <c r="CA131" s="3">
        <v>0</v>
      </c>
      <c r="CB131" s="3">
        <f t="shared" si="76"/>
        <v>63.175167226274489</v>
      </c>
      <c r="CC131" s="3">
        <f>SUM($K131:$M131)*CC$4/$AF$4</f>
        <v>52.303227425398227</v>
      </c>
      <c r="CD131" s="3">
        <v>0</v>
      </c>
      <c r="CE131" s="3">
        <v>0</v>
      </c>
      <c r="CF131" s="3">
        <f t="shared" si="77"/>
        <v>52.303227425398227</v>
      </c>
      <c r="CG131" s="3">
        <f>SUM($K131:$M131)*CG$4/$AF$4</f>
        <v>59.922159241721729</v>
      </c>
      <c r="CH131" s="3">
        <v>0</v>
      </c>
      <c r="CI131" s="3">
        <v>0</v>
      </c>
      <c r="CJ131" s="3">
        <f t="shared" si="78"/>
        <v>59.922159241721729</v>
      </c>
      <c r="CK131" s="3">
        <f>SUM($K131:$M131)*CK$4/$AF$4</f>
        <v>123.29452354954168</v>
      </c>
      <c r="CL131" s="3">
        <v>0</v>
      </c>
      <c r="CM131" s="3">
        <v>0</v>
      </c>
      <c r="CN131" s="3">
        <f t="shared" si="79"/>
        <v>123.29452354954168</v>
      </c>
      <c r="CO131" s="3">
        <f>SUM($K131:$M131)*CO$4/$AF$4</f>
        <v>240.47780223853331</v>
      </c>
      <c r="CP131" s="3">
        <v>0</v>
      </c>
      <c r="CQ131" s="3">
        <v>0</v>
      </c>
      <c r="CR131" s="3">
        <f t="shared" si="80"/>
        <v>240.47780223853331</v>
      </c>
      <c r="CS131" s="3">
        <f>SUM($K131:$M131)*CS$4/$AF$4</f>
        <v>706.87662906627122</v>
      </c>
      <c r="CT131" s="3">
        <v>0</v>
      </c>
      <c r="CU131" s="3">
        <v>0</v>
      </c>
      <c r="CV131" s="3">
        <f t="shared" si="81"/>
        <v>706.87662906627122</v>
      </c>
      <c r="CW131" s="3">
        <f>SUM($K131:$M131)*CW$4/$AF$4</f>
        <v>2347.0959083311718</v>
      </c>
      <c r="CX131" s="3">
        <v>0</v>
      </c>
      <c r="CY131" s="3">
        <v>0</v>
      </c>
      <c r="CZ131" s="3">
        <f t="shared" si="82"/>
        <v>2347.0959083311718</v>
      </c>
      <c r="DA131" s="3">
        <f>SUM($K131:$M131)*DA$4/$AF$4</f>
        <v>159.94842263479126</v>
      </c>
      <c r="DB131" s="3">
        <v>0</v>
      </c>
      <c r="DC131" s="3">
        <v>0</v>
      </c>
      <c r="DD131" s="3">
        <f t="shared" si="83"/>
        <v>159.94842263479126</v>
      </c>
      <c r="DE131" s="3">
        <f>SUM($K131:$M131)*DE$4/$AF$4</f>
        <v>26.963638183920576</v>
      </c>
      <c r="DF131" s="3">
        <v>0</v>
      </c>
      <c r="DG131" s="3">
        <v>0</v>
      </c>
      <c r="DH131" s="3">
        <f t="shared" si="84"/>
        <v>26.963638183920576</v>
      </c>
      <c r="DI131" s="3">
        <f>SUM($K131:$M131)*DI$4/$AF$4</f>
        <v>0</v>
      </c>
      <c r="DJ131" s="3">
        <v>0</v>
      </c>
      <c r="DK131" s="3">
        <v>0</v>
      </c>
      <c r="DL131" s="3">
        <f t="shared" si="63"/>
        <v>0</v>
      </c>
      <c r="DM131" s="3">
        <f>SUM($K131:$M131)*DM$4/$AF$4</f>
        <v>133.29427520869638</v>
      </c>
      <c r="DN131" s="3">
        <v>0</v>
      </c>
      <c r="DO131" s="3">
        <v>0</v>
      </c>
      <c r="DP131" s="3">
        <f t="shared" si="85"/>
        <v>133.29427520869638</v>
      </c>
      <c r="DQ131" s="3">
        <f>SUM($K131:$M131)*DQ$4/$AF$4</f>
        <v>281.33717108166405</v>
      </c>
      <c r="DR131" s="3">
        <v>0</v>
      </c>
      <c r="DS131" s="3">
        <v>0</v>
      </c>
      <c r="DT131" s="3">
        <f t="shared" si="89"/>
        <v>281.33717108166405</v>
      </c>
      <c r="DU131" s="3">
        <f>SUM($K131:$M131)*DU$4/$AF$4</f>
        <v>1400.4086888636068</v>
      </c>
      <c r="DV131" s="3">
        <v>0</v>
      </c>
      <c r="DW131" s="3">
        <v>0</v>
      </c>
      <c r="DX131" s="3">
        <f t="shared" si="86"/>
        <v>1400.4086888636068</v>
      </c>
      <c r="DY131" s="3">
        <f>SUM($K131:$M131)*DY$4/$AF$4</f>
        <v>4.7976452035062351</v>
      </c>
      <c r="DZ131" s="3">
        <v>0</v>
      </c>
      <c r="EA131" s="3">
        <v>0</v>
      </c>
      <c r="EB131" s="3">
        <f t="shared" si="87"/>
        <v>4.7976452035062351</v>
      </c>
      <c r="EC131" s="4">
        <f>AJ131+AN131+AR131+AV131+AZ131+BD131+BH131+BL131+BP131+BT131+BX131+CB131+CF131+CJ131+CN131+CR131+CV131+CZ131+DD131+DH131+DP131+DT131+DX131+EB131</f>
        <v>9529.9199999999983</v>
      </c>
      <c r="ED131" s="5">
        <f t="shared" si="88"/>
        <v>0</v>
      </c>
      <c r="EE131" s="6">
        <f t="shared" si="118"/>
        <v>9529.9199999999983</v>
      </c>
      <c r="EF131" s="6">
        <f t="shared" si="118"/>
        <v>0</v>
      </c>
      <c r="EG131" s="6">
        <f t="shared" si="118"/>
        <v>0</v>
      </c>
    </row>
    <row r="132" spans="1:137" ht="12" customHeight="1" x14ac:dyDescent="0.35">
      <c r="A132" s="34" t="s">
        <v>341</v>
      </c>
      <c r="B132" s="35">
        <v>41738</v>
      </c>
      <c r="C132" s="35" t="s">
        <v>342</v>
      </c>
      <c r="D132" s="35" t="s">
        <v>183</v>
      </c>
      <c r="E132" s="34">
        <v>234010</v>
      </c>
      <c r="F132" s="35" t="s">
        <v>511</v>
      </c>
      <c r="G132" s="8">
        <v>45924</v>
      </c>
      <c r="H132" s="8">
        <v>46133</v>
      </c>
      <c r="I132" s="36">
        <v>18</v>
      </c>
      <c r="J132" s="36">
        <v>198500</v>
      </c>
      <c r="K132" s="37"/>
      <c r="L132" s="36">
        <v>17865</v>
      </c>
      <c r="M132" s="36">
        <v>17865</v>
      </c>
      <c r="N132" s="36">
        <v>35730</v>
      </c>
      <c r="O132" s="36">
        <v>234230</v>
      </c>
      <c r="P132" s="35" t="s">
        <v>95</v>
      </c>
      <c r="Q132" s="34" t="s">
        <v>185</v>
      </c>
      <c r="R132" s="35" t="s">
        <v>112</v>
      </c>
      <c r="S132" s="35" t="s">
        <v>252</v>
      </c>
      <c r="T132" s="35" t="s">
        <v>253</v>
      </c>
      <c r="U132" s="35" t="s">
        <v>344</v>
      </c>
      <c r="V132" s="34">
        <v>998313</v>
      </c>
      <c r="W132" s="35" t="s">
        <v>512</v>
      </c>
      <c r="X132" s="34" t="s">
        <v>101</v>
      </c>
      <c r="Y132" s="35">
        <v>107</v>
      </c>
      <c r="Z132" s="35" t="s">
        <v>102</v>
      </c>
      <c r="AA132" t="s">
        <v>513</v>
      </c>
      <c r="AB132">
        <v>35730</v>
      </c>
      <c r="AC132">
        <v>35730</v>
      </c>
      <c r="AD132" s="38">
        <v>0</v>
      </c>
      <c r="AE132" t="s">
        <v>104</v>
      </c>
      <c r="AF132" t="s">
        <v>73</v>
      </c>
      <c r="AG132" s="3">
        <f>SUM($K132:$M132)*AG$4/$AF$4</f>
        <v>1322.8887243290408</v>
      </c>
      <c r="AH132" s="3">
        <v>0</v>
      </c>
      <c r="AI132" s="3">
        <v>0</v>
      </c>
      <c r="AJ132" s="3">
        <f t="shared" si="67"/>
        <v>1322.8887243290408</v>
      </c>
      <c r="AK132" s="3">
        <f>SUM($K132:$M132)*AK$4/$AF$4</f>
        <v>11.008147348840497</v>
      </c>
      <c r="AL132" s="3">
        <v>0</v>
      </c>
      <c r="AM132" s="3">
        <v>0</v>
      </c>
      <c r="AN132" s="3">
        <f t="shared" si="68"/>
        <v>11.008147348840497</v>
      </c>
      <c r="AO132" s="3">
        <f>SUM($K132:$M132)*AO$4/$AF$4</f>
        <v>545.2682796925144</v>
      </c>
      <c r="AP132" s="3">
        <v>0</v>
      </c>
      <c r="AQ132" s="3">
        <v>0</v>
      </c>
      <c r="AR132" s="3">
        <f t="shared" si="69"/>
        <v>545.2682796925144</v>
      </c>
      <c r="AS132" s="3">
        <f>SUM($K132:$M132)*AS$4/$AF$4</f>
        <v>477.44145556993323</v>
      </c>
      <c r="AT132" s="3">
        <v>0</v>
      </c>
      <c r="AU132" s="3">
        <v>0</v>
      </c>
      <c r="AV132" s="3">
        <f t="shared" si="70"/>
        <v>477.44145556993323</v>
      </c>
      <c r="AW132" s="3">
        <f>SUM($K132:$M132)*AW$4/$AF$4</f>
        <v>56.003688413398763</v>
      </c>
      <c r="AX132" s="3">
        <v>0</v>
      </c>
      <c r="AY132" s="3">
        <v>0</v>
      </c>
      <c r="AZ132" s="3">
        <f t="shared" si="71"/>
        <v>56.003688413398763</v>
      </c>
      <c r="BA132" s="3">
        <f>SUM($K132:$M132)*BA$4/$AF$4</f>
        <v>598.00977788579769</v>
      </c>
      <c r="BB132" s="3">
        <v>0</v>
      </c>
      <c r="BC132" s="3">
        <v>0</v>
      </c>
      <c r="BD132" s="3">
        <f t="shared" si="72"/>
        <v>598.00977788579769</v>
      </c>
      <c r="BE132" s="3">
        <f>$K132*BE$4/$AF$4</f>
        <v>0</v>
      </c>
      <c r="BF132" s="3">
        <f>$L132*BE$4/$AF$4</f>
        <v>1296.9287227565912</v>
      </c>
      <c r="BG132" s="3">
        <f>$M132*BE$4/$AF$4</f>
        <v>1296.9287227565912</v>
      </c>
      <c r="BH132" s="3">
        <f t="shared" si="64"/>
        <v>2593.8574455131825</v>
      </c>
      <c r="BI132" s="3">
        <f>SUM($K132:$M132)*BI$4/$AF$4</f>
        <v>1504.4609237712048</v>
      </c>
      <c r="BJ132" s="3">
        <v>0</v>
      </c>
      <c r="BK132" s="3">
        <v>0</v>
      </c>
      <c r="BL132" s="3">
        <f t="shared" si="65"/>
        <v>1504.4609237712048</v>
      </c>
      <c r="BM132" s="3">
        <f>SUM($K132:$M132)*BM$4/$AF$4</f>
        <v>6908.1919442494227</v>
      </c>
      <c r="BN132" s="3">
        <v>0</v>
      </c>
      <c r="BO132" s="3">
        <v>0</v>
      </c>
      <c r="BP132" s="3">
        <f t="shared" si="73"/>
        <v>6908.1919442494227</v>
      </c>
      <c r="BQ132" s="3">
        <f>SUM($K132:$M132)*BQ$4/$AF$4</f>
        <v>619.23161538808256</v>
      </c>
      <c r="BR132" s="3">
        <v>0</v>
      </c>
      <c r="BS132" s="3">
        <v>0</v>
      </c>
      <c r="BT132" s="3">
        <f t="shared" si="74"/>
        <v>619.23161538808256</v>
      </c>
      <c r="BU132" s="3">
        <f>SUM($K132:$M132)*BU$4/$AF$4</f>
        <v>98.261585711854707</v>
      </c>
      <c r="BV132" s="3">
        <v>0</v>
      </c>
      <c r="BW132" s="3">
        <v>0</v>
      </c>
      <c r="BX132" s="3">
        <f t="shared" si="75"/>
        <v>98.261585711854707</v>
      </c>
      <c r="BY132" s="3">
        <f>SUM($K132:$M132)*BY$4/$AF$4</f>
        <v>236.85914729554784</v>
      </c>
      <c r="BZ132" s="3">
        <v>0</v>
      </c>
      <c r="CA132" s="3">
        <v>0</v>
      </c>
      <c r="CB132" s="3">
        <f t="shared" si="76"/>
        <v>236.85914729554784</v>
      </c>
      <c r="CC132" s="3">
        <f>SUM($K132:$M132)*CC$4/$AF$4</f>
        <v>196.09758695870252</v>
      </c>
      <c r="CD132" s="3">
        <v>0</v>
      </c>
      <c r="CE132" s="3">
        <v>0</v>
      </c>
      <c r="CF132" s="3">
        <f t="shared" si="77"/>
        <v>196.09758695870252</v>
      </c>
      <c r="CG132" s="3">
        <f>SUM($K132:$M132)*CG$4/$AF$4</f>
        <v>224.6628250506528</v>
      </c>
      <c r="CH132" s="3">
        <v>0</v>
      </c>
      <c r="CI132" s="3">
        <v>0</v>
      </c>
      <c r="CJ132" s="3">
        <f t="shared" si="78"/>
        <v>224.6628250506528</v>
      </c>
      <c r="CK132" s="3">
        <f>SUM($K132:$M132)*CK$4/$AF$4</f>
        <v>462.26131241659158</v>
      </c>
      <c r="CL132" s="3">
        <v>0</v>
      </c>
      <c r="CM132" s="3">
        <v>0</v>
      </c>
      <c r="CN132" s="3">
        <f t="shared" si="79"/>
        <v>462.26131241659158</v>
      </c>
      <c r="CO132" s="3">
        <f>SUM($K132:$M132)*CO$4/$AF$4</f>
        <v>901.61007374487872</v>
      </c>
      <c r="CP132" s="3">
        <v>0</v>
      </c>
      <c r="CQ132" s="3">
        <v>0</v>
      </c>
      <c r="CR132" s="3">
        <f t="shared" si="80"/>
        <v>901.61007374487872</v>
      </c>
      <c r="CS132" s="3">
        <f>SUM($K132:$M132)*CS$4/$AF$4</f>
        <v>2650.2533029173246</v>
      </c>
      <c r="CT132" s="3">
        <v>0</v>
      </c>
      <c r="CU132" s="3">
        <v>0</v>
      </c>
      <c r="CV132" s="3">
        <f t="shared" si="81"/>
        <v>2650.2533029173246</v>
      </c>
      <c r="CW132" s="3">
        <f>SUM($K132:$M132)*CW$4/$AF$4</f>
        <v>8799.8363894631602</v>
      </c>
      <c r="CX132" s="3">
        <v>0</v>
      </c>
      <c r="CY132" s="3">
        <v>0</v>
      </c>
      <c r="CZ132" s="3">
        <f t="shared" si="82"/>
        <v>8799.8363894631602</v>
      </c>
      <c r="DA132" s="3">
        <f>SUM($K132:$M132)*DA$4/$AF$4</f>
        <v>599.6857414061285</v>
      </c>
      <c r="DB132" s="3">
        <v>0</v>
      </c>
      <c r="DC132" s="3">
        <v>0</v>
      </c>
      <c r="DD132" s="3">
        <f t="shared" si="83"/>
        <v>599.6857414061285</v>
      </c>
      <c r="DE132" s="3">
        <f>SUM($K132:$M132)*DE$4/$AF$4</f>
        <v>101.09327174955114</v>
      </c>
      <c r="DF132" s="3">
        <v>0</v>
      </c>
      <c r="DG132" s="3">
        <v>0</v>
      </c>
      <c r="DH132" s="3">
        <f t="shared" si="84"/>
        <v>101.09327174955114</v>
      </c>
      <c r="DI132" s="3">
        <f>SUM($K132:$M132)*DI$4/$AF$4</f>
        <v>0</v>
      </c>
      <c r="DJ132" s="3">
        <v>0</v>
      </c>
      <c r="DK132" s="3">
        <v>0</v>
      </c>
      <c r="DL132" s="3">
        <f t="shared" si="63"/>
        <v>0</v>
      </c>
      <c r="DM132" s="3">
        <f>SUM($K132:$M132)*DM$4/$AF$4</f>
        <v>499.75282617343294</v>
      </c>
      <c r="DN132" s="3">
        <v>0</v>
      </c>
      <c r="DO132" s="3">
        <v>0</v>
      </c>
      <c r="DP132" s="3">
        <f t="shared" si="85"/>
        <v>499.75282617343294</v>
      </c>
      <c r="DQ132" s="3">
        <f>SUM($K132:$M132)*DQ$4/$AF$4</f>
        <v>1054.8018370298864</v>
      </c>
      <c r="DR132" s="3">
        <v>0</v>
      </c>
      <c r="DS132" s="3">
        <v>0</v>
      </c>
      <c r="DT132" s="3">
        <f t="shared" si="89"/>
        <v>1054.8018370298864</v>
      </c>
      <c r="DU132" s="3">
        <f>SUM($K132:$M132)*DU$4/$AF$4</f>
        <v>5250.4745531018798</v>
      </c>
      <c r="DV132" s="3">
        <v>0</v>
      </c>
      <c r="DW132" s="3">
        <v>0</v>
      </c>
      <c r="DX132" s="3">
        <f t="shared" si="86"/>
        <v>5250.4745531018798</v>
      </c>
      <c r="DY132" s="3">
        <f>SUM($K132:$M132)*DY$4/$AF$4</f>
        <v>17.987544818978307</v>
      </c>
      <c r="DZ132" s="3">
        <v>0</v>
      </c>
      <c r="EA132" s="3">
        <v>0</v>
      </c>
      <c r="EB132" s="3">
        <f t="shared" si="87"/>
        <v>17.987544818978307</v>
      </c>
      <c r="EC132" s="4">
        <f>AJ132+AN132+AR132+AV132+AZ132+BD132+BH132+BL132+BP132+BT132+BX132+CB132+CF132+CJ132+CN132+CR132+CV132+CZ132+DD132+DH132+DP132+DT132+DX132+EB132</f>
        <v>35729.999999999985</v>
      </c>
      <c r="ED132" s="5">
        <f t="shared" si="88"/>
        <v>0</v>
      </c>
      <c r="EE132" s="6">
        <f t="shared" si="118"/>
        <v>33136.142554486803</v>
      </c>
      <c r="EF132" s="6">
        <f t="shared" si="118"/>
        <v>1296.9287227565912</v>
      </c>
      <c r="EG132" s="6">
        <f t="shared" si="118"/>
        <v>1296.9287227565912</v>
      </c>
    </row>
    <row r="133" spans="1:137" ht="12" customHeight="1" x14ac:dyDescent="0.35">
      <c r="A133" s="34" t="s">
        <v>514</v>
      </c>
      <c r="B133" s="35">
        <v>36030</v>
      </c>
      <c r="C133" s="35" t="s">
        <v>515</v>
      </c>
      <c r="D133" s="35" t="s">
        <v>361</v>
      </c>
      <c r="E133" s="34">
        <v>150906</v>
      </c>
      <c r="F133" s="35" t="s">
        <v>516</v>
      </c>
      <c r="G133" s="8">
        <v>46113</v>
      </c>
      <c r="H133" s="8">
        <v>46126</v>
      </c>
      <c r="I133" s="36">
        <v>18</v>
      </c>
      <c r="J133" s="36">
        <v>2750000</v>
      </c>
      <c r="K133" s="36">
        <v>495000</v>
      </c>
      <c r="L133" s="37"/>
      <c r="M133" s="37"/>
      <c r="N133" s="36">
        <v>495000</v>
      </c>
      <c r="O133" s="36">
        <v>3245000</v>
      </c>
      <c r="P133" s="35" t="s">
        <v>95</v>
      </c>
      <c r="Q133" s="34" t="s">
        <v>47</v>
      </c>
      <c r="R133" s="35" t="s">
        <v>112</v>
      </c>
      <c r="S133" s="35" t="s">
        <v>252</v>
      </c>
      <c r="T133" s="35" t="s">
        <v>253</v>
      </c>
      <c r="U133" s="35" t="s">
        <v>278</v>
      </c>
      <c r="V133" s="34">
        <v>997331</v>
      </c>
      <c r="W133" s="35" t="s">
        <v>517</v>
      </c>
      <c r="X133" s="34" t="s">
        <v>101</v>
      </c>
      <c r="Y133" s="35">
        <v>107</v>
      </c>
      <c r="Z133" s="35" t="s">
        <v>102</v>
      </c>
      <c r="AA133" t="s">
        <v>518</v>
      </c>
      <c r="AB133">
        <v>495000</v>
      </c>
      <c r="AC133">
        <v>495000</v>
      </c>
      <c r="AD133" s="38">
        <v>0</v>
      </c>
      <c r="AE133" t="s">
        <v>104</v>
      </c>
      <c r="AF133" t="s">
        <v>73</v>
      </c>
      <c r="AG133" s="3"/>
      <c r="AH133" s="3"/>
      <c r="AI133" s="3"/>
      <c r="AJ133" s="3">
        <f t="shared" si="67"/>
        <v>0</v>
      </c>
      <c r="AK133" s="3"/>
      <c r="AL133" s="3"/>
      <c r="AM133" s="3"/>
      <c r="AN133" s="3">
        <f t="shared" si="68"/>
        <v>0</v>
      </c>
      <c r="AO133" s="3"/>
      <c r="AP133" s="3"/>
      <c r="AQ133" s="3"/>
      <c r="AR133" s="3">
        <f t="shared" si="69"/>
        <v>0</v>
      </c>
      <c r="AS133" s="3"/>
      <c r="AT133" s="3"/>
      <c r="AU133" s="3"/>
      <c r="AV133" s="3">
        <f t="shared" si="70"/>
        <v>0</v>
      </c>
      <c r="AW133" s="3"/>
      <c r="AX133" s="3"/>
      <c r="AY133" s="3"/>
      <c r="AZ133" s="3">
        <f t="shared" si="71"/>
        <v>0</v>
      </c>
      <c r="BA133" s="3"/>
      <c r="BB133" s="3"/>
      <c r="BC133" s="3"/>
      <c r="BD133" s="3">
        <f t="shared" si="72"/>
        <v>0</v>
      </c>
      <c r="BE133" s="3"/>
      <c r="BF133" s="3"/>
      <c r="BG133" s="3"/>
      <c r="BH133" s="3">
        <f t="shared" si="64"/>
        <v>0</v>
      </c>
      <c r="BI133" s="3"/>
      <c r="BJ133" s="3"/>
      <c r="BK133" s="3"/>
      <c r="BL133" s="3">
        <f t="shared" si="65"/>
        <v>0</v>
      </c>
      <c r="BM133" s="3"/>
      <c r="BN133" s="3"/>
      <c r="BO133" s="3"/>
      <c r="BP133" s="3">
        <f t="shared" si="73"/>
        <v>0</v>
      </c>
      <c r="BQ133" s="3"/>
      <c r="BR133" s="3"/>
      <c r="BS133" s="3"/>
      <c r="BT133" s="3">
        <f t="shared" si="74"/>
        <v>0</v>
      </c>
      <c r="BU133" s="3"/>
      <c r="BV133" s="3"/>
      <c r="BW133" s="3"/>
      <c r="BX133" s="3">
        <f t="shared" si="75"/>
        <v>0</v>
      </c>
      <c r="BY133" s="3"/>
      <c r="BZ133" s="3"/>
      <c r="CA133" s="3"/>
      <c r="CB133" s="3">
        <f t="shared" si="76"/>
        <v>0</v>
      </c>
      <c r="CC133" s="3"/>
      <c r="CD133" s="3"/>
      <c r="CE133" s="3"/>
      <c r="CF133" s="3">
        <f t="shared" si="77"/>
        <v>0</v>
      </c>
      <c r="CG133" s="3"/>
      <c r="CH133" s="3"/>
      <c r="CI133" s="3"/>
      <c r="CJ133" s="3">
        <f t="shared" si="78"/>
        <v>0</v>
      </c>
      <c r="CK133" s="3"/>
      <c r="CL133" s="3"/>
      <c r="CM133" s="3"/>
      <c r="CN133" s="3">
        <f t="shared" si="79"/>
        <v>0</v>
      </c>
      <c r="CO133" s="3"/>
      <c r="CP133" s="3"/>
      <c r="CQ133" s="3"/>
      <c r="CR133" s="3">
        <f t="shared" si="80"/>
        <v>0</v>
      </c>
      <c r="CS133" s="3"/>
      <c r="CT133" s="3"/>
      <c r="CU133" s="3"/>
      <c r="CV133" s="3">
        <f t="shared" si="81"/>
        <v>0</v>
      </c>
      <c r="CW133" s="3">
        <f>SUM($K133:$M133)*CW$4/$CW$4</f>
        <v>495000.00000000006</v>
      </c>
      <c r="CX133" s="3">
        <v>0</v>
      </c>
      <c r="CY133" s="3">
        <v>0</v>
      </c>
      <c r="CZ133" s="3">
        <f t="shared" si="82"/>
        <v>495000.00000000006</v>
      </c>
      <c r="DA133" s="3"/>
      <c r="DB133" s="3"/>
      <c r="DC133" s="3"/>
      <c r="DD133" s="3">
        <f t="shared" si="83"/>
        <v>0</v>
      </c>
      <c r="DE133" s="3"/>
      <c r="DF133" s="3"/>
      <c r="DG133" s="3"/>
      <c r="DH133" s="3">
        <f t="shared" si="84"/>
        <v>0</v>
      </c>
      <c r="DI133" s="3"/>
      <c r="DJ133" s="3"/>
      <c r="DK133" s="3"/>
      <c r="DL133" s="3">
        <f t="shared" si="63"/>
        <v>0</v>
      </c>
      <c r="DM133" s="3"/>
      <c r="DN133" s="3"/>
      <c r="DO133" s="3"/>
      <c r="DP133" s="3">
        <f t="shared" si="85"/>
        <v>0</v>
      </c>
      <c r="DQ133" s="3"/>
      <c r="DR133" s="3"/>
      <c r="DS133" s="3"/>
      <c r="DT133" s="3">
        <f t="shared" si="89"/>
        <v>0</v>
      </c>
      <c r="DU133" s="3"/>
      <c r="DV133" s="3"/>
      <c r="DW133" s="3"/>
      <c r="DX133" s="3">
        <f t="shared" si="86"/>
        <v>0</v>
      </c>
      <c r="DY133" s="3"/>
      <c r="DZ133" s="3"/>
      <c r="EA133" s="3"/>
      <c r="EB133" s="3">
        <f t="shared" si="87"/>
        <v>0</v>
      </c>
      <c r="EC133" s="4">
        <f>AJ133+AN133+AR133+AV133+AZ133+BD133+BH133+BL133+BP133+BT133+BX133+CB133+CF133+CJ133+CN133+CR133+CV133+CZ133+DD133+DH133+DL133+DP133+DT133+DX133+EB133</f>
        <v>495000.00000000006</v>
      </c>
      <c r="ED133" s="5">
        <f t="shared" si="88"/>
        <v>0</v>
      </c>
      <c r="EE133" s="6">
        <f t="shared" si="118"/>
        <v>495000.00000000006</v>
      </c>
      <c r="EF133" s="6">
        <f t="shared" si="118"/>
        <v>0</v>
      </c>
      <c r="EG133" s="6">
        <f t="shared" si="118"/>
        <v>0</v>
      </c>
    </row>
    <row r="134" spans="1:137" ht="12" customHeight="1" x14ac:dyDescent="0.35">
      <c r="A134" s="34" t="s">
        <v>519</v>
      </c>
      <c r="B134" s="35">
        <v>14052</v>
      </c>
      <c r="C134" s="35" t="s">
        <v>520</v>
      </c>
      <c r="D134" s="35" t="s">
        <v>361</v>
      </c>
      <c r="E134" s="34">
        <v>150906</v>
      </c>
      <c r="F134" s="35" t="s">
        <v>521</v>
      </c>
      <c r="G134" s="8">
        <v>46113</v>
      </c>
      <c r="H134" s="8">
        <v>46126</v>
      </c>
      <c r="I134" s="36">
        <v>18</v>
      </c>
      <c r="J134" s="36">
        <v>1049760</v>
      </c>
      <c r="K134" s="37"/>
      <c r="L134" s="36">
        <v>94478.399999999994</v>
      </c>
      <c r="M134" s="36">
        <v>94478.399999999994</v>
      </c>
      <c r="N134" s="36">
        <v>188956.79999999999</v>
      </c>
      <c r="O134" s="36">
        <v>1238716.8</v>
      </c>
      <c r="P134" s="35" t="s">
        <v>95</v>
      </c>
      <c r="Q134" s="34" t="s">
        <v>36</v>
      </c>
      <c r="R134" s="35" t="s">
        <v>112</v>
      </c>
      <c r="S134" s="35" t="s">
        <v>252</v>
      </c>
      <c r="T134" s="35" t="s">
        <v>253</v>
      </c>
      <c r="U134" s="35" t="s">
        <v>278</v>
      </c>
      <c r="V134" s="34">
        <v>998313</v>
      </c>
      <c r="W134" s="35" t="s">
        <v>522</v>
      </c>
      <c r="X134" s="34" t="s">
        <v>101</v>
      </c>
      <c r="Y134" s="35">
        <v>107</v>
      </c>
      <c r="Z134" s="35" t="s">
        <v>102</v>
      </c>
      <c r="AA134" t="s">
        <v>523</v>
      </c>
      <c r="AB134">
        <v>188956.79999999999</v>
      </c>
      <c r="AC134">
        <v>188956.79999999999</v>
      </c>
      <c r="AD134" s="38">
        <v>0</v>
      </c>
      <c r="AE134" t="s">
        <v>104</v>
      </c>
      <c r="AF134" t="s">
        <v>73</v>
      </c>
      <c r="AG134" s="3"/>
      <c r="AH134" s="3"/>
      <c r="AI134" s="3"/>
      <c r="AJ134" s="3">
        <f t="shared" si="67"/>
        <v>0</v>
      </c>
      <c r="AK134" s="3"/>
      <c r="AL134" s="3"/>
      <c r="AM134" s="3"/>
      <c r="AN134" s="3">
        <f t="shared" si="68"/>
        <v>0</v>
      </c>
      <c r="AO134" s="3"/>
      <c r="AP134" s="3"/>
      <c r="AQ134" s="3"/>
      <c r="AR134" s="3">
        <f t="shared" si="69"/>
        <v>0</v>
      </c>
      <c r="AS134" s="3"/>
      <c r="AT134" s="3"/>
      <c r="AU134" s="3"/>
      <c r="AV134" s="3">
        <f t="shared" si="70"/>
        <v>0</v>
      </c>
      <c r="AW134" s="3"/>
      <c r="AX134" s="3"/>
      <c r="AY134" s="3"/>
      <c r="AZ134" s="3">
        <f t="shared" si="71"/>
        <v>0</v>
      </c>
      <c r="BA134" s="3"/>
      <c r="BB134" s="3"/>
      <c r="BC134" s="3"/>
      <c r="BD134" s="3">
        <f t="shared" si="72"/>
        <v>0</v>
      </c>
      <c r="BE134" s="3">
        <f>$K134*BE$4/$BE$4</f>
        <v>0</v>
      </c>
      <c r="BF134" s="3">
        <f>$L134*BE$4/$BE$4</f>
        <v>94478.399999999994</v>
      </c>
      <c r="BG134" s="3">
        <f>$M134*BE$4/$BE$4</f>
        <v>94478.399999999994</v>
      </c>
      <c r="BH134" s="3">
        <f t="shared" si="64"/>
        <v>188956.79999999999</v>
      </c>
      <c r="BI134" s="3"/>
      <c r="BJ134" s="3"/>
      <c r="BK134" s="3"/>
      <c r="BL134" s="3">
        <f t="shared" si="65"/>
        <v>0</v>
      </c>
      <c r="BM134" s="3"/>
      <c r="BN134" s="3"/>
      <c r="BO134" s="3"/>
      <c r="BP134" s="3">
        <f t="shared" si="73"/>
        <v>0</v>
      </c>
      <c r="BQ134" s="3"/>
      <c r="BR134" s="3"/>
      <c r="BS134" s="3"/>
      <c r="BT134" s="3">
        <f t="shared" si="74"/>
        <v>0</v>
      </c>
      <c r="BU134" s="3"/>
      <c r="BV134" s="3"/>
      <c r="BW134" s="3"/>
      <c r="BX134" s="3">
        <f t="shared" si="75"/>
        <v>0</v>
      </c>
      <c r="BY134" s="3"/>
      <c r="BZ134" s="3"/>
      <c r="CA134" s="3"/>
      <c r="CB134" s="3">
        <f t="shared" si="76"/>
        <v>0</v>
      </c>
      <c r="CC134" s="3"/>
      <c r="CD134" s="3"/>
      <c r="CE134" s="3"/>
      <c r="CF134" s="3">
        <f t="shared" si="77"/>
        <v>0</v>
      </c>
      <c r="CG134" s="3"/>
      <c r="CH134" s="3"/>
      <c r="CI134" s="3"/>
      <c r="CJ134" s="3">
        <f t="shared" si="78"/>
        <v>0</v>
      </c>
      <c r="CK134" s="3"/>
      <c r="CL134" s="3"/>
      <c r="CM134" s="3"/>
      <c r="CN134" s="3">
        <f t="shared" si="79"/>
        <v>0</v>
      </c>
      <c r="CO134" s="3"/>
      <c r="CP134" s="3"/>
      <c r="CQ134" s="3"/>
      <c r="CR134" s="3">
        <f t="shared" si="80"/>
        <v>0</v>
      </c>
      <c r="CS134" s="3"/>
      <c r="CT134" s="3"/>
      <c r="CU134" s="3"/>
      <c r="CV134" s="3">
        <f t="shared" si="81"/>
        <v>0</v>
      </c>
      <c r="CW134" s="3"/>
      <c r="CX134" s="3"/>
      <c r="CY134" s="3"/>
      <c r="CZ134" s="3">
        <f t="shared" si="82"/>
        <v>0</v>
      </c>
      <c r="DA134" s="3"/>
      <c r="DB134" s="3"/>
      <c r="DC134" s="3"/>
      <c r="DD134" s="3">
        <f t="shared" si="83"/>
        <v>0</v>
      </c>
      <c r="DE134" s="3"/>
      <c r="DF134" s="3"/>
      <c r="DG134" s="3"/>
      <c r="DH134" s="3">
        <f t="shared" si="84"/>
        <v>0</v>
      </c>
      <c r="DI134" s="3"/>
      <c r="DJ134" s="3"/>
      <c r="DK134" s="3"/>
      <c r="DL134" s="3">
        <f t="shared" si="63"/>
        <v>0</v>
      </c>
      <c r="DM134" s="3"/>
      <c r="DN134" s="3"/>
      <c r="DO134" s="3"/>
      <c r="DP134" s="3">
        <f t="shared" si="85"/>
        <v>0</v>
      </c>
      <c r="DQ134" s="3"/>
      <c r="DR134" s="3"/>
      <c r="DS134" s="3"/>
      <c r="DT134" s="3">
        <f t="shared" si="89"/>
        <v>0</v>
      </c>
      <c r="DU134" s="3"/>
      <c r="DV134" s="3"/>
      <c r="DW134" s="3"/>
      <c r="DX134" s="3">
        <f t="shared" si="86"/>
        <v>0</v>
      </c>
      <c r="DY134" s="3"/>
      <c r="DZ134" s="3"/>
      <c r="EA134" s="3"/>
      <c r="EB134" s="3">
        <f t="shared" si="87"/>
        <v>0</v>
      </c>
      <c r="EC134" s="4">
        <f>AJ134+AN134+AR134+AV134+AZ134+BD134+BH134+BL134+BP134+BT134+BX134+CB134+CF134+CJ134+CN134+CR134+CV134+CZ134+DD134+DH134+DL134+DP134+DT134+DX134+EB134</f>
        <v>188956.79999999999</v>
      </c>
      <c r="ED134" s="5">
        <f t="shared" si="88"/>
        <v>0</v>
      </c>
      <c r="EE134" s="6">
        <f t="shared" si="118"/>
        <v>0</v>
      </c>
      <c r="EF134" s="6">
        <f t="shared" si="118"/>
        <v>94478.399999999994</v>
      </c>
      <c r="EG134" s="6">
        <f t="shared" si="118"/>
        <v>94478.399999999994</v>
      </c>
    </row>
    <row r="135" spans="1:137" ht="12" customHeight="1" x14ac:dyDescent="0.35">
      <c r="A135" s="34" t="s">
        <v>519</v>
      </c>
      <c r="B135" s="35">
        <v>14052</v>
      </c>
      <c r="C135" s="35" t="s">
        <v>520</v>
      </c>
      <c r="D135" s="35" t="s">
        <v>361</v>
      </c>
      <c r="E135" s="34">
        <v>150906</v>
      </c>
      <c r="F135" s="35" t="s">
        <v>524</v>
      </c>
      <c r="G135" s="8">
        <v>46113</v>
      </c>
      <c r="H135" s="8">
        <v>46126</v>
      </c>
      <c r="I135" s="36">
        <v>18</v>
      </c>
      <c r="J135" s="36">
        <v>700422</v>
      </c>
      <c r="K135" s="37"/>
      <c r="L135" s="36">
        <v>63037.98</v>
      </c>
      <c r="M135" s="36">
        <v>63037.98</v>
      </c>
      <c r="N135" s="36">
        <v>126075.96</v>
      </c>
      <c r="O135" s="36">
        <v>826497.96</v>
      </c>
      <c r="P135" s="35" t="s">
        <v>95</v>
      </c>
      <c r="Q135" s="34" t="s">
        <v>36</v>
      </c>
      <c r="R135" s="35" t="s">
        <v>112</v>
      </c>
      <c r="S135" s="35" t="s">
        <v>252</v>
      </c>
      <c r="T135" s="35" t="s">
        <v>253</v>
      </c>
      <c r="U135" s="35" t="s">
        <v>278</v>
      </c>
      <c r="V135" s="34">
        <v>998313</v>
      </c>
      <c r="W135" s="35" t="s">
        <v>525</v>
      </c>
      <c r="X135" s="34" t="s">
        <v>101</v>
      </c>
      <c r="Y135" s="35">
        <v>107</v>
      </c>
      <c r="Z135" s="35" t="s">
        <v>102</v>
      </c>
      <c r="AA135" t="s">
        <v>526</v>
      </c>
      <c r="AB135">
        <v>126075.96</v>
      </c>
      <c r="AC135">
        <v>358185.96</v>
      </c>
      <c r="AD135" s="38">
        <v>-232110</v>
      </c>
      <c r="AE135" t="s">
        <v>104</v>
      </c>
      <c r="AF135" t="s">
        <v>73</v>
      </c>
      <c r="AG135" s="3"/>
      <c r="AH135" s="3"/>
      <c r="AI135" s="3"/>
      <c r="AJ135" s="3">
        <f t="shared" si="67"/>
        <v>0</v>
      </c>
      <c r="AK135" s="3"/>
      <c r="AL135" s="3"/>
      <c r="AM135" s="3"/>
      <c r="AN135" s="3">
        <f t="shared" si="68"/>
        <v>0</v>
      </c>
      <c r="AO135" s="3"/>
      <c r="AP135" s="3"/>
      <c r="AQ135" s="3"/>
      <c r="AR135" s="3">
        <f t="shared" si="69"/>
        <v>0</v>
      </c>
      <c r="AS135" s="3"/>
      <c r="AT135" s="3"/>
      <c r="AU135" s="3"/>
      <c r="AV135" s="3">
        <f t="shared" si="70"/>
        <v>0</v>
      </c>
      <c r="AW135" s="3"/>
      <c r="AX135" s="3"/>
      <c r="AY135" s="3"/>
      <c r="AZ135" s="3">
        <f t="shared" si="71"/>
        <v>0</v>
      </c>
      <c r="BA135" s="3"/>
      <c r="BB135" s="3"/>
      <c r="BC135" s="3"/>
      <c r="BD135" s="3">
        <f t="shared" si="72"/>
        <v>0</v>
      </c>
      <c r="BE135" s="3">
        <f>$K135*BE$4/$BE$4</f>
        <v>0</v>
      </c>
      <c r="BF135" s="3">
        <f>$L135*BE$4/$BE$4</f>
        <v>63037.98</v>
      </c>
      <c r="BG135" s="3">
        <f>$M135*BE$4/$BE$4</f>
        <v>63037.98</v>
      </c>
      <c r="BH135" s="3">
        <f t="shared" si="64"/>
        <v>126075.96</v>
      </c>
      <c r="BI135" s="3"/>
      <c r="BJ135" s="3"/>
      <c r="BK135" s="3"/>
      <c r="BL135" s="3">
        <f t="shared" si="65"/>
        <v>0</v>
      </c>
      <c r="BM135" s="3"/>
      <c r="BN135" s="3"/>
      <c r="BO135" s="3"/>
      <c r="BP135" s="3">
        <f t="shared" si="73"/>
        <v>0</v>
      </c>
      <c r="BQ135" s="3"/>
      <c r="BR135" s="3"/>
      <c r="BS135" s="3"/>
      <c r="BT135" s="3">
        <f t="shared" si="74"/>
        <v>0</v>
      </c>
      <c r="BU135" s="3"/>
      <c r="BV135" s="3"/>
      <c r="BW135" s="3"/>
      <c r="BX135" s="3">
        <f t="shared" si="75"/>
        <v>0</v>
      </c>
      <c r="BY135" s="3"/>
      <c r="BZ135" s="3"/>
      <c r="CA135" s="3"/>
      <c r="CB135" s="3">
        <f t="shared" si="76"/>
        <v>0</v>
      </c>
      <c r="CC135" s="3"/>
      <c r="CD135" s="3"/>
      <c r="CE135" s="3"/>
      <c r="CF135" s="3">
        <f t="shared" si="77"/>
        <v>0</v>
      </c>
      <c r="CG135" s="3"/>
      <c r="CH135" s="3"/>
      <c r="CI135" s="3"/>
      <c r="CJ135" s="3">
        <f t="shared" si="78"/>
        <v>0</v>
      </c>
      <c r="CK135" s="3"/>
      <c r="CL135" s="3"/>
      <c r="CM135" s="3"/>
      <c r="CN135" s="3">
        <f t="shared" si="79"/>
        <v>0</v>
      </c>
      <c r="CO135" s="3"/>
      <c r="CP135" s="3"/>
      <c r="CQ135" s="3"/>
      <c r="CR135" s="3">
        <f t="shared" si="80"/>
        <v>0</v>
      </c>
      <c r="CS135" s="3"/>
      <c r="CT135" s="3"/>
      <c r="CU135" s="3"/>
      <c r="CV135" s="3">
        <f t="shared" si="81"/>
        <v>0</v>
      </c>
      <c r="CW135" s="3"/>
      <c r="CX135" s="3"/>
      <c r="CY135" s="3"/>
      <c r="CZ135" s="3">
        <f t="shared" si="82"/>
        <v>0</v>
      </c>
      <c r="DA135" s="3"/>
      <c r="DB135" s="3"/>
      <c r="DC135" s="3"/>
      <c r="DD135" s="3">
        <f t="shared" si="83"/>
        <v>0</v>
      </c>
      <c r="DE135" s="3"/>
      <c r="DF135" s="3"/>
      <c r="DG135" s="3"/>
      <c r="DH135" s="3">
        <f t="shared" si="84"/>
        <v>0</v>
      </c>
      <c r="DI135" s="3"/>
      <c r="DJ135" s="3"/>
      <c r="DK135" s="3"/>
      <c r="DL135" s="3">
        <f t="shared" si="63"/>
        <v>0</v>
      </c>
      <c r="DM135" s="3"/>
      <c r="DN135" s="3"/>
      <c r="DO135" s="3"/>
      <c r="DP135" s="3">
        <f t="shared" si="85"/>
        <v>0</v>
      </c>
      <c r="DQ135" s="3"/>
      <c r="DR135" s="3"/>
      <c r="DS135" s="3"/>
      <c r="DT135" s="3">
        <f t="shared" si="89"/>
        <v>0</v>
      </c>
      <c r="DU135" s="3"/>
      <c r="DV135" s="3"/>
      <c r="DW135" s="3"/>
      <c r="DX135" s="3">
        <f t="shared" si="86"/>
        <v>0</v>
      </c>
      <c r="DY135" s="3"/>
      <c r="DZ135" s="3"/>
      <c r="EA135" s="3"/>
      <c r="EB135" s="3">
        <f t="shared" si="87"/>
        <v>0</v>
      </c>
      <c r="EC135" s="4">
        <f>AJ135+AN135+AR135+AV135+AZ135+BD135+BH135+BL135+BP135+BT135+BX135+CB135+CF135+CJ135+CN135+CR135+CV135+CZ135+DD135+DH135+DL135+DP135+DT135+DX135+EB135</f>
        <v>126075.96</v>
      </c>
      <c r="ED135" s="5">
        <f t="shared" si="88"/>
        <v>0</v>
      </c>
      <c r="EE135" s="6">
        <f t="shared" si="118"/>
        <v>0</v>
      </c>
      <c r="EF135" s="6">
        <f t="shared" si="118"/>
        <v>63037.98</v>
      </c>
      <c r="EG135" s="6">
        <f t="shared" si="118"/>
        <v>63037.98</v>
      </c>
    </row>
    <row r="136" spans="1:137" ht="12" customHeight="1" x14ac:dyDescent="0.35">
      <c r="A136" s="34" t="s">
        <v>519</v>
      </c>
      <c r="B136" s="35">
        <v>14052</v>
      </c>
      <c r="C136" s="35" t="s">
        <v>520</v>
      </c>
      <c r="D136" s="35" t="s">
        <v>361</v>
      </c>
      <c r="E136" s="34">
        <v>150906</v>
      </c>
      <c r="F136" s="35" t="s">
        <v>524</v>
      </c>
      <c r="G136" s="8">
        <v>46113</v>
      </c>
      <c r="H136" s="8">
        <v>46126</v>
      </c>
      <c r="I136" s="36">
        <v>18</v>
      </c>
      <c r="J136" s="36">
        <v>1289500</v>
      </c>
      <c r="K136" s="37"/>
      <c r="L136" s="36">
        <v>116055</v>
      </c>
      <c r="M136" s="36">
        <v>116055</v>
      </c>
      <c r="N136" s="36">
        <v>232110</v>
      </c>
      <c r="O136" s="36">
        <v>1521610</v>
      </c>
      <c r="P136" s="35" t="s">
        <v>95</v>
      </c>
      <c r="Q136" s="34" t="s">
        <v>36</v>
      </c>
      <c r="R136" s="35" t="s">
        <v>112</v>
      </c>
      <c r="S136" s="35" t="s">
        <v>252</v>
      </c>
      <c r="T136" s="35" t="s">
        <v>253</v>
      </c>
      <c r="U136" s="35" t="s">
        <v>278</v>
      </c>
      <c r="V136" s="34">
        <v>998313</v>
      </c>
      <c r="W136" s="35" t="s">
        <v>525</v>
      </c>
      <c r="X136" s="34" t="s">
        <v>101</v>
      </c>
      <c r="Y136" s="35">
        <v>107</v>
      </c>
      <c r="Z136" s="35" t="s">
        <v>102</v>
      </c>
      <c r="AA136" t="s">
        <v>526</v>
      </c>
      <c r="AB136">
        <v>232110</v>
      </c>
      <c r="AC136">
        <v>358185.96</v>
      </c>
      <c r="AD136" s="38">
        <v>-126076</v>
      </c>
      <c r="AE136" t="s">
        <v>104</v>
      </c>
      <c r="AF136" t="s">
        <v>73</v>
      </c>
      <c r="AG136" s="3"/>
      <c r="AH136" s="3"/>
      <c r="AI136" s="3"/>
      <c r="AJ136" s="3">
        <f t="shared" si="67"/>
        <v>0</v>
      </c>
      <c r="AK136" s="3"/>
      <c r="AL136" s="3"/>
      <c r="AM136" s="3"/>
      <c r="AN136" s="3">
        <f t="shared" si="68"/>
        <v>0</v>
      </c>
      <c r="AO136" s="3"/>
      <c r="AP136" s="3"/>
      <c r="AQ136" s="3"/>
      <c r="AR136" s="3">
        <f t="shared" si="69"/>
        <v>0</v>
      </c>
      <c r="AS136" s="3"/>
      <c r="AT136" s="3"/>
      <c r="AU136" s="3"/>
      <c r="AV136" s="3">
        <f t="shared" si="70"/>
        <v>0</v>
      </c>
      <c r="AW136" s="3"/>
      <c r="AX136" s="3"/>
      <c r="AY136" s="3"/>
      <c r="AZ136" s="3">
        <f t="shared" si="71"/>
        <v>0</v>
      </c>
      <c r="BA136" s="3"/>
      <c r="BB136" s="3"/>
      <c r="BC136" s="3"/>
      <c r="BD136" s="3">
        <f t="shared" si="72"/>
        <v>0</v>
      </c>
      <c r="BE136" s="3">
        <f>$K136*BE$4/$BE$4</f>
        <v>0</v>
      </c>
      <c r="BF136" s="3">
        <f>$L136*BE$4/$BE$4</f>
        <v>116054.99999999999</v>
      </c>
      <c r="BG136" s="3">
        <f>$M136*BE$4/$BE$4</f>
        <v>116054.99999999999</v>
      </c>
      <c r="BH136" s="3">
        <f t="shared" si="64"/>
        <v>232109.99999999997</v>
      </c>
      <c r="BI136" s="3"/>
      <c r="BJ136" s="3"/>
      <c r="BK136" s="3"/>
      <c r="BL136" s="3">
        <f t="shared" si="65"/>
        <v>0</v>
      </c>
      <c r="BM136" s="3"/>
      <c r="BN136" s="3"/>
      <c r="BO136" s="3"/>
      <c r="BP136" s="3">
        <f t="shared" si="73"/>
        <v>0</v>
      </c>
      <c r="BQ136" s="3"/>
      <c r="BR136" s="3"/>
      <c r="BS136" s="3"/>
      <c r="BT136" s="3">
        <f t="shared" si="74"/>
        <v>0</v>
      </c>
      <c r="BU136" s="3"/>
      <c r="BV136" s="3"/>
      <c r="BW136" s="3"/>
      <c r="BX136" s="3">
        <f t="shared" si="75"/>
        <v>0</v>
      </c>
      <c r="BY136" s="3"/>
      <c r="BZ136" s="3"/>
      <c r="CA136" s="3"/>
      <c r="CB136" s="3">
        <f t="shared" si="76"/>
        <v>0</v>
      </c>
      <c r="CC136" s="3"/>
      <c r="CD136" s="3"/>
      <c r="CE136" s="3"/>
      <c r="CF136" s="3">
        <f t="shared" si="77"/>
        <v>0</v>
      </c>
      <c r="CG136" s="3"/>
      <c r="CH136" s="3"/>
      <c r="CI136" s="3"/>
      <c r="CJ136" s="3">
        <f t="shared" si="78"/>
        <v>0</v>
      </c>
      <c r="CK136" s="3"/>
      <c r="CL136" s="3"/>
      <c r="CM136" s="3"/>
      <c r="CN136" s="3">
        <f t="shared" si="79"/>
        <v>0</v>
      </c>
      <c r="CO136" s="3"/>
      <c r="CP136" s="3"/>
      <c r="CQ136" s="3"/>
      <c r="CR136" s="3">
        <f t="shared" si="80"/>
        <v>0</v>
      </c>
      <c r="CS136" s="3"/>
      <c r="CT136" s="3"/>
      <c r="CU136" s="3"/>
      <c r="CV136" s="3">
        <f t="shared" si="81"/>
        <v>0</v>
      </c>
      <c r="CW136" s="3"/>
      <c r="CX136" s="3"/>
      <c r="CY136" s="3"/>
      <c r="CZ136" s="3">
        <f t="shared" si="82"/>
        <v>0</v>
      </c>
      <c r="DA136" s="3"/>
      <c r="DB136" s="3"/>
      <c r="DC136" s="3"/>
      <c r="DD136" s="3">
        <f t="shared" si="83"/>
        <v>0</v>
      </c>
      <c r="DE136" s="3"/>
      <c r="DF136" s="3"/>
      <c r="DG136" s="3"/>
      <c r="DH136" s="3">
        <f t="shared" si="84"/>
        <v>0</v>
      </c>
      <c r="DI136" s="3"/>
      <c r="DJ136" s="3"/>
      <c r="DK136" s="3"/>
      <c r="DL136" s="3">
        <f t="shared" si="63"/>
        <v>0</v>
      </c>
      <c r="DM136" s="3"/>
      <c r="DN136" s="3"/>
      <c r="DO136" s="3"/>
      <c r="DP136" s="3">
        <f t="shared" si="85"/>
        <v>0</v>
      </c>
      <c r="DQ136" s="3"/>
      <c r="DR136" s="3"/>
      <c r="DS136" s="3"/>
      <c r="DT136" s="3">
        <f t="shared" si="89"/>
        <v>0</v>
      </c>
      <c r="DU136" s="3"/>
      <c r="DV136" s="3"/>
      <c r="DW136" s="3"/>
      <c r="DX136" s="3">
        <f t="shared" si="86"/>
        <v>0</v>
      </c>
      <c r="DY136" s="3"/>
      <c r="DZ136" s="3"/>
      <c r="EA136" s="3"/>
      <c r="EB136" s="3">
        <f t="shared" si="87"/>
        <v>0</v>
      </c>
      <c r="EC136" s="4">
        <f>AJ136+AN136+AR136+AV136+AZ136+BD136+BH136+BL136+BP136+BT136+BX136+CB136+CF136+CJ136+CN136+CR136+CV136+CZ136+DD136+DH136+DL136+DP136+DT136+DX136+EB136</f>
        <v>232109.99999999997</v>
      </c>
      <c r="ED136" s="5">
        <f t="shared" si="88"/>
        <v>0</v>
      </c>
      <c r="EE136" s="6">
        <f t="shared" si="118"/>
        <v>0</v>
      </c>
      <c r="EF136" s="6">
        <f t="shared" si="118"/>
        <v>116054.99999999999</v>
      </c>
      <c r="EG136" s="6">
        <f t="shared" si="118"/>
        <v>116054.99999999999</v>
      </c>
    </row>
    <row r="137" spans="1:137" ht="12" customHeight="1" x14ac:dyDescent="0.35">
      <c r="A137" s="34" t="s">
        <v>527</v>
      </c>
      <c r="B137" s="35">
        <v>41415</v>
      </c>
      <c r="C137" s="35" t="s">
        <v>528</v>
      </c>
      <c r="D137" s="35" t="s">
        <v>529</v>
      </c>
      <c r="E137" s="34">
        <v>421403</v>
      </c>
      <c r="F137" s="35" t="s">
        <v>530</v>
      </c>
      <c r="G137" s="8">
        <v>46119</v>
      </c>
      <c r="H137" s="8">
        <v>46126</v>
      </c>
      <c r="I137" s="36">
        <v>18</v>
      </c>
      <c r="J137" s="36">
        <v>50000</v>
      </c>
      <c r="K137" s="36">
        <v>9000</v>
      </c>
      <c r="L137" s="37"/>
      <c r="M137" s="37"/>
      <c r="N137" s="36">
        <v>9000</v>
      </c>
      <c r="O137" s="36">
        <v>59000</v>
      </c>
      <c r="P137" s="35" t="s">
        <v>95</v>
      </c>
      <c r="Q137" s="34" t="s">
        <v>185</v>
      </c>
      <c r="R137" s="35" t="s">
        <v>139</v>
      </c>
      <c r="S137" s="35" t="s">
        <v>252</v>
      </c>
      <c r="T137" s="35" t="s">
        <v>253</v>
      </c>
      <c r="U137" s="35" t="s">
        <v>278</v>
      </c>
      <c r="V137" s="34">
        <v>998314</v>
      </c>
      <c r="W137" s="35" t="s">
        <v>531</v>
      </c>
      <c r="X137" s="34" t="s">
        <v>101</v>
      </c>
      <c r="Y137" s="35">
        <v>107</v>
      </c>
      <c r="Z137" s="35" t="s">
        <v>102</v>
      </c>
      <c r="AA137" t="s">
        <v>532</v>
      </c>
      <c r="AB137">
        <v>9000</v>
      </c>
      <c r="AC137">
        <v>9000</v>
      </c>
      <c r="AD137" s="38">
        <v>0</v>
      </c>
      <c r="AE137" t="s">
        <v>104</v>
      </c>
      <c r="AF137" t="s">
        <v>73</v>
      </c>
      <c r="AG137" s="3">
        <f>SUM($K137:$M137)*AG$4/$AF$4</f>
        <v>333.22134114081632</v>
      </c>
      <c r="AH137" s="3">
        <v>0</v>
      </c>
      <c r="AI137" s="3">
        <v>0</v>
      </c>
      <c r="AJ137" s="3">
        <f t="shared" si="67"/>
        <v>333.22134114081632</v>
      </c>
      <c r="AK137" s="3">
        <f>SUM($K137:$M137)*AK$4/$AF$4</f>
        <v>2.7728330853502512</v>
      </c>
      <c r="AL137" s="3">
        <v>0</v>
      </c>
      <c r="AM137" s="3">
        <v>0</v>
      </c>
      <c r="AN137" s="3">
        <f t="shared" si="68"/>
        <v>2.7728330853502512</v>
      </c>
      <c r="AO137" s="3">
        <f>SUM($K137:$M137)*AO$4/$AF$4</f>
        <v>137.34717372607415</v>
      </c>
      <c r="AP137" s="3">
        <v>0</v>
      </c>
      <c r="AQ137" s="3">
        <v>0</v>
      </c>
      <c r="AR137" s="3">
        <f t="shared" si="69"/>
        <v>137.34717372607415</v>
      </c>
      <c r="AS137" s="3">
        <f>SUM($K137:$M137)*AS$4/$AF$4</f>
        <v>120.26233137781692</v>
      </c>
      <c r="AT137" s="3">
        <v>0</v>
      </c>
      <c r="AU137" s="3">
        <v>0</v>
      </c>
      <c r="AV137" s="3">
        <f t="shared" si="70"/>
        <v>120.26233137781692</v>
      </c>
      <c r="AW137" s="3">
        <f>SUM($K137:$M137)*AW$4/$AF$4</f>
        <v>14.10672252226669</v>
      </c>
      <c r="AX137" s="3">
        <v>0</v>
      </c>
      <c r="AY137" s="3">
        <v>0</v>
      </c>
      <c r="AZ137" s="3">
        <f t="shared" si="71"/>
        <v>14.10672252226669</v>
      </c>
      <c r="BA137" s="3">
        <f>SUM($K137:$M137)*BA$4/$AF$4</f>
        <v>150.63218586544022</v>
      </c>
      <c r="BB137" s="3">
        <v>0</v>
      </c>
      <c r="BC137" s="3">
        <v>0</v>
      </c>
      <c r="BD137" s="3">
        <f t="shared" si="72"/>
        <v>150.63218586544022</v>
      </c>
      <c r="BE137" s="3">
        <f>$K137*BE$4/$AF$4</f>
        <v>653.3645958471493</v>
      </c>
      <c r="BF137" s="3">
        <f>$L137*BE$4/$AF$4</f>
        <v>0</v>
      </c>
      <c r="BG137" s="3">
        <f>$M137*BE$4/$AF$4</f>
        <v>0</v>
      </c>
      <c r="BH137" s="3">
        <f t="shared" si="64"/>
        <v>653.3645958471493</v>
      </c>
      <c r="BI137" s="3">
        <f>SUM($K137:$M137)*BI$4/$AF$4</f>
        <v>378.9574115292707</v>
      </c>
      <c r="BJ137" s="3">
        <v>0</v>
      </c>
      <c r="BK137" s="3">
        <v>0</v>
      </c>
      <c r="BL137" s="3">
        <f t="shared" si="65"/>
        <v>378.9574115292707</v>
      </c>
      <c r="BM137" s="3">
        <f>SUM($K137:$M137)*BM$4/$AF$4</f>
        <v>1740.0987265111896</v>
      </c>
      <c r="BN137" s="3">
        <v>0</v>
      </c>
      <c r="BO137" s="3">
        <v>0</v>
      </c>
      <c r="BP137" s="3">
        <f t="shared" si="73"/>
        <v>1740.0987265111896</v>
      </c>
      <c r="BQ137" s="3">
        <f>SUM($K137:$M137)*BQ$4/$AF$4</f>
        <v>155.97773687357244</v>
      </c>
      <c r="BR137" s="3">
        <v>0</v>
      </c>
      <c r="BS137" s="3">
        <v>0</v>
      </c>
      <c r="BT137" s="3">
        <f t="shared" si="74"/>
        <v>155.97773687357244</v>
      </c>
      <c r="BU137" s="3">
        <f>SUM($K137:$M137)*BU$4/$AF$4</f>
        <v>24.751029146562896</v>
      </c>
      <c r="BV137" s="3">
        <v>0</v>
      </c>
      <c r="BW137" s="3">
        <v>0</v>
      </c>
      <c r="BX137" s="3">
        <f t="shared" si="75"/>
        <v>24.751029146562896</v>
      </c>
      <c r="BY137" s="3">
        <f>SUM($K137:$M137)*BY$4/$AF$4</f>
        <v>59.662253726838244</v>
      </c>
      <c r="BZ137" s="3">
        <v>0</v>
      </c>
      <c r="CA137" s="3">
        <v>0</v>
      </c>
      <c r="CB137" s="3">
        <f t="shared" si="76"/>
        <v>59.662253726838244</v>
      </c>
      <c r="CC137" s="3">
        <f>SUM($K137:$M137)*CC$4/$AF$4</f>
        <v>49.394858175995601</v>
      </c>
      <c r="CD137" s="3">
        <v>0</v>
      </c>
      <c r="CE137" s="3">
        <v>0</v>
      </c>
      <c r="CF137" s="3">
        <f t="shared" si="77"/>
        <v>49.394858175995601</v>
      </c>
      <c r="CG137" s="3">
        <f>SUM($K137:$M137)*CG$4/$AF$4</f>
        <v>56.590132254572495</v>
      </c>
      <c r="CH137" s="3">
        <v>0</v>
      </c>
      <c r="CI137" s="3">
        <v>0</v>
      </c>
      <c r="CJ137" s="3">
        <f t="shared" si="78"/>
        <v>56.590132254572495</v>
      </c>
      <c r="CK137" s="3">
        <f>SUM($K137:$M137)*CK$4/$AF$4</f>
        <v>116.43861773717671</v>
      </c>
      <c r="CL137" s="3">
        <v>0</v>
      </c>
      <c r="CM137" s="3">
        <v>0</v>
      </c>
      <c r="CN137" s="3">
        <f t="shared" si="79"/>
        <v>116.43861773717671</v>
      </c>
      <c r="CO137" s="3">
        <f>SUM($K137:$M137)*CO$4/$AF$4</f>
        <v>227.10581202641782</v>
      </c>
      <c r="CP137" s="3">
        <v>0</v>
      </c>
      <c r="CQ137" s="3">
        <v>0</v>
      </c>
      <c r="CR137" s="3">
        <f t="shared" si="80"/>
        <v>227.10581202641782</v>
      </c>
      <c r="CS137" s="3">
        <f>SUM($K137:$M137)*CS$4/$AF$4</f>
        <v>667.57010149050996</v>
      </c>
      <c r="CT137" s="3">
        <v>0</v>
      </c>
      <c r="CU137" s="3">
        <v>0</v>
      </c>
      <c r="CV137" s="3">
        <f t="shared" si="81"/>
        <v>667.57010149050996</v>
      </c>
      <c r="CW137" s="3">
        <f>SUM($K137:$M137)*CW$4/$AF$4</f>
        <v>2216.5834734164132</v>
      </c>
      <c r="CX137" s="3">
        <v>0</v>
      </c>
      <c r="CY137" s="3">
        <v>0</v>
      </c>
      <c r="CZ137" s="3">
        <f t="shared" si="82"/>
        <v>2216.5834734164132</v>
      </c>
      <c r="DA137" s="3">
        <f>SUM($K137:$M137)*DA$4/$AF$4</f>
        <v>151.05434292345805</v>
      </c>
      <c r="DB137" s="3">
        <v>0</v>
      </c>
      <c r="DC137" s="3">
        <v>0</v>
      </c>
      <c r="DD137" s="3">
        <f t="shared" si="83"/>
        <v>151.05434292345805</v>
      </c>
      <c r="DE137" s="3">
        <f>SUM($K137:$M137)*DE$4/$AF$4</f>
        <v>25.464300188803811</v>
      </c>
      <c r="DF137" s="3">
        <v>0</v>
      </c>
      <c r="DG137" s="3">
        <v>0</v>
      </c>
      <c r="DH137" s="3">
        <f t="shared" si="84"/>
        <v>25.464300188803811</v>
      </c>
      <c r="DI137" s="3">
        <f>SUM($K137:$M137)*DI$4/$AF$4</f>
        <v>0</v>
      </c>
      <c r="DJ137" s="3">
        <v>0</v>
      </c>
      <c r="DK137" s="3">
        <v>0</v>
      </c>
      <c r="DL137" s="3">
        <f t="shared" ref="DL137:DL200" si="147">SUBTOTAL(9,DI137:DK137)</f>
        <v>0</v>
      </c>
      <c r="DM137" s="3">
        <f>SUM($K137:$M137)*DM$4/$AF$4</f>
        <v>125.8823239731569</v>
      </c>
      <c r="DN137" s="3">
        <v>0</v>
      </c>
      <c r="DO137" s="3">
        <v>0</v>
      </c>
      <c r="DP137" s="3">
        <f t="shared" si="85"/>
        <v>125.8823239731569</v>
      </c>
      <c r="DQ137" s="3">
        <f>SUM($K137:$M137)*DQ$4/$AF$4</f>
        <v>265.69315794203686</v>
      </c>
      <c r="DR137" s="3">
        <v>0</v>
      </c>
      <c r="DS137" s="3">
        <v>0</v>
      </c>
      <c r="DT137" s="3">
        <f t="shared" si="89"/>
        <v>265.69315794203686</v>
      </c>
      <c r="DU137" s="3">
        <f>SUM($K137:$M137)*DU$4/$AF$4</f>
        <v>1322.5376708065189</v>
      </c>
      <c r="DV137" s="3">
        <v>0</v>
      </c>
      <c r="DW137" s="3">
        <v>0</v>
      </c>
      <c r="DX137" s="3">
        <f t="shared" si="86"/>
        <v>1322.5376708065189</v>
      </c>
      <c r="DY137" s="3">
        <f>SUM($K137:$M137)*DY$4/$AF$4</f>
        <v>4.5308677125889947</v>
      </c>
      <c r="DZ137" s="3">
        <v>0</v>
      </c>
      <c r="EA137" s="3">
        <v>0</v>
      </c>
      <c r="EB137" s="3">
        <f t="shared" si="87"/>
        <v>4.5308677125889947</v>
      </c>
      <c r="EC137" s="4">
        <f>AJ137+AN137+AR137+AV137+AZ137+BD137+BH137+BL137+BP137+BT137+BX137+CB137+CF137+CJ137+CN137+CR137+CV137+CZ137+DD137+DH137+DP137+DT137+DX137+EB137</f>
        <v>8999.9999999999964</v>
      </c>
      <c r="ED137" s="5">
        <f t="shared" si="88"/>
        <v>0</v>
      </c>
      <c r="EE137" s="6">
        <f t="shared" si="118"/>
        <v>8999.9999999999964</v>
      </c>
      <c r="EF137" s="6">
        <f t="shared" si="118"/>
        <v>0</v>
      </c>
      <c r="EG137" s="6">
        <f t="shared" si="118"/>
        <v>0</v>
      </c>
    </row>
    <row r="138" spans="1:137" ht="12" customHeight="1" x14ac:dyDescent="0.35">
      <c r="A138" s="34" t="s">
        <v>181</v>
      </c>
      <c r="B138" s="35">
        <v>28862</v>
      </c>
      <c r="C138" s="35" t="s">
        <v>182</v>
      </c>
      <c r="D138" s="35" t="s">
        <v>533</v>
      </c>
      <c r="E138" s="34">
        <v>414702</v>
      </c>
      <c r="F138" s="35" t="s">
        <v>534</v>
      </c>
      <c r="G138" s="8">
        <v>46118</v>
      </c>
      <c r="H138" s="8">
        <v>46126</v>
      </c>
      <c r="I138" s="36">
        <v>18</v>
      </c>
      <c r="J138" s="36">
        <v>34666.67</v>
      </c>
      <c r="K138" s="37"/>
      <c r="L138" s="36">
        <v>3120.0003000000002</v>
      </c>
      <c r="M138" s="36">
        <v>3120.0003000000002</v>
      </c>
      <c r="N138" s="36">
        <v>6240.0006000000003</v>
      </c>
      <c r="O138" s="36">
        <v>40906.670599999998</v>
      </c>
      <c r="P138" s="35" t="s">
        <v>95</v>
      </c>
      <c r="Q138" s="34" t="s">
        <v>185</v>
      </c>
      <c r="R138" s="35" t="s">
        <v>139</v>
      </c>
      <c r="S138" s="35" t="s">
        <v>252</v>
      </c>
      <c r="T138" s="35" t="s">
        <v>253</v>
      </c>
      <c r="U138" s="35" t="s">
        <v>278</v>
      </c>
      <c r="V138" s="34">
        <v>998313</v>
      </c>
      <c r="W138" s="35" t="s">
        <v>535</v>
      </c>
      <c r="X138" s="34" t="s">
        <v>101</v>
      </c>
      <c r="Y138" s="35">
        <v>107</v>
      </c>
      <c r="Z138" s="35" t="s">
        <v>102</v>
      </c>
      <c r="AA138" t="s">
        <v>536</v>
      </c>
      <c r="AB138">
        <v>6240.0006000000003</v>
      </c>
      <c r="AC138">
        <v>6240</v>
      </c>
      <c r="AD138" s="38">
        <v>0</v>
      </c>
      <c r="AE138" t="s">
        <v>104</v>
      </c>
      <c r="AF138" t="s">
        <v>73</v>
      </c>
      <c r="AG138" s="3">
        <f>SUM($K138:$M138)*AG$4/$AF$4</f>
        <v>231.03348540572208</v>
      </c>
      <c r="AH138" s="3">
        <v>0</v>
      </c>
      <c r="AI138" s="3">
        <v>0</v>
      </c>
      <c r="AJ138" s="3">
        <f t="shared" si="67"/>
        <v>231.03348540572208</v>
      </c>
      <c r="AK138" s="3">
        <f>SUM($K138:$M138)*AK$4/$AF$4</f>
        <v>1.92249779069838</v>
      </c>
      <c r="AL138" s="3">
        <v>0</v>
      </c>
      <c r="AM138" s="3">
        <v>0</v>
      </c>
      <c r="AN138" s="3">
        <f t="shared" si="68"/>
        <v>1.92249779069838</v>
      </c>
      <c r="AO138" s="3">
        <f>SUM($K138:$M138)*AO$4/$AF$4</f>
        <v>95.227382939889665</v>
      </c>
      <c r="AP138" s="3">
        <v>0</v>
      </c>
      <c r="AQ138" s="3">
        <v>0</v>
      </c>
      <c r="AR138" s="3">
        <f t="shared" si="69"/>
        <v>95.227382939889665</v>
      </c>
      <c r="AS138" s="3">
        <f>SUM($K138:$M138)*AS$4/$AF$4</f>
        <v>83.381891106108498</v>
      </c>
      <c r="AT138" s="3">
        <v>0</v>
      </c>
      <c r="AU138" s="3">
        <v>0</v>
      </c>
      <c r="AV138" s="3">
        <f t="shared" si="70"/>
        <v>83.381891106108498</v>
      </c>
      <c r="AW138" s="3">
        <f>SUM($K138:$M138)*AW$4/$AF$4</f>
        <v>9.7806618892197417</v>
      </c>
      <c r="AX138" s="3">
        <v>0</v>
      </c>
      <c r="AY138" s="3">
        <v>0</v>
      </c>
      <c r="AZ138" s="3">
        <f t="shared" si="71"/>
        <v>9.7806618892197417</v>
      </c>
      <c r="BA138" s="3">
        <f>SUM($K138:$M138)*BA$4/$AF$4</f>
        <v>104.43832557551762</v>
      </c>
      <c r="BB138" s="3">
        <v>0</v>
      </c>
      <c r="BC138" s="3">
        <v>0</v>
      </c>
      <c r="BD138" s="3">
        <f t="shared" si="72"/>
        <v>104.43832557551762</v>
      </c>
      <c r="BE138" s="3">
        <f>$K138*BE$4/$AF$4</f>
        <v>0</v>
      </c>
      <c r="BF138" s="3">
        <f>$L138*BE$4/$AF$4</f>
        <v>226.49974833916497</v>
      </c>
      <c r="BG138" s="3">
        <f>$M138*BE$4/$AF$4</f>
        <v>226.49974833916497</v>
      </c>
      <c r="BH138" s="3">
        <f>SUBTOTAL(9,BE138:BG138)</f>
        <v>452.99949667832993</v>
      </c>
      <c r="BI138" s="3">
        <f>SUM($K138:$M138)*BI$4/$AF$4</f>
        <v>262.74383059078843</v>
      </c>
      <c r="BJ138" s="3">
        <v>0</v>
      </c>
      <c r="BK138" s="3">
        <v>0</v>
      </c>
      <c r="BL138" s="3">
        <f>SUBTOTAL(9,BI138:BK138)</f>
        <v>262.74383059078843</v>
      </c>
      <c r="BM138" s="3">
        <f>SUM($K138:$M138)*BM$4/$AF$4</f>
        <v>1206.4685663876733</v>
      </c>
      <c r="BN138" s="3">
        <v>0</v>
      </c>
      <c r="BO138" s="3">
        <v>0</v>
      </c>
      <c r="BP138" s="3">
        <f t="shared" si="73"/>
        <v>1206.4685663876733</v>
      </c>
      <c r="BQ138" s="3">
        <f>SUM($K138:$M138)*BQ$4/$AF$4</f>
        <v>108.14457463085934</v>
      </c>
      <c r="BR138" s="3">
        <v>0</v>
      </c>
      <c r="BS138" s="3">
        <v>0</v>
      </c>
      <c r="BT138" s="3">
        <f t="shared" si="74"/>
        <v>108.14457463085934</v>
      </c>
      <c r="BU138" s="3">
        <f>SUM($K138:$M138)*BU$4/$AF$4</f>
        <v>17.160715191685554</v>
      </c>
      <c r="BV138" s="3">
        <v>0</v>
      </c>
      <c r="BW138" s="3">
        <v>0</v>
      </c>
      <c r="BX138" s="3">
        <f t="shared" si="75"/>
        <v>17.160715191685554</v>
      </c>
      <c r="BY138" s="3">
        <f>SUM($K138:$M138)*BY$4/$AF$4</f>
        <v>41.365833228091432</v>
      </c>
      <c r="BZ138" s="3">
        <v>0</v>
      </c>
      <c r="CA138" s="3">
        <v>0</v>
      </c>
      <c r="CB138" s="3">
        <f t="shared" si="76"/>
        <v>41.365833228091432</v>
      </c>
      <c r="CC138" s="3">
        <f>SUM($K138:$M138)*CC$4/$AF$4</f>
        <v>34.247104961680826</v>
      </c>
      <c r="CD138" s="3">
        <v>0</v>
      </c>
      <c r="CE138" s="3">
        <v>0</v>
      </c>
      <c r="CF138" s="3">
        <f t="shared" si="77"/>
        <v>34.247104961680826</v>
      </c>
      <c r="CG138" s="3">
        <f>SUM($K138:$M138)*CG$4/$AF$4</f>
        <v>39.235828802512415</v>
      </c>
      <c r="CH138" s="3">
        <v>0</v>
      </c>
      <c r="CI138" s="3">
        <v>0</v>
      </c>
      <c r="CJ138" s="3">
        <f t="shared" si="78"/>
        <v>39.235828802512415</v>
      </c>
      <c r="CK138" s="3">
        <f>SUM($K138:$M138)*CK$4/$AF$4</f>
        <v>80.730782727017043</v>
      </c>
      <c r="CL138" s="3">
        <v>0</v>
      </c>
      <c r="CM138" s="3">
        <v>0</v>
      </c>
      <c r="CN138" s="3">
        <f t="shared" si="79"/>
        <v>80.730782727017043</v>
      </c>
      <c r="CO138" s="3">
        <f>SUM($K138:$M138)*CO$4/$AF$4</f>
        <v>157.46004481203715</v>
      </c>
      <c r="CP138" s="3">
        <v>0</v>
      </c>
      <c r="CQ138" s="3">
        <v>0</v>
      </c>
      <c r="CR138" s="3">
        <f t="shared" si="80"/>
        <v>157.46004481203715</v>
      </c>
      <c r="CS138" s="3">
        <f>SUM($K138:$M138)*CS$4/$AF$4</f>
        <v>462.84864820476031</v>
      </c>
      <c r="CT138" s="3">
        <v>0</v>
      </c>
      <c r="CU138" s="3">
        <v>0</v>
      </c>
      <c r="CV138" s="3">
        <f t="shared" si="81"/>
        <v>462.84864820476031</v>
      </c>
      <c r="CW138" s="3">
        <f>SUM($K138:$M138)*CW$4/$AF$4</f>
        <v>1536.8313560076115</v>
      </c>
      <c r="CX138" s="3">
        <v>0</v>
      </c>
      <c r="CY138" s="3">
        <v>0</v>
      </c>
      <c r="CZ138" s="3">
        <f t="shared" si="82"/>
        <v>1536.8313560076115</v>
      </c>
      <c r="DA138" s="3">
        <f>SUM($K138:$M138)*DA$4/$AF$4</f>
        <v>104.73102116388712</v>
      </c>
      <c r="DB138" s="3">
        <v>0</v>
      </c>
      <c r="DC138" s="3">
        <v>0</v>
      </c>
      <c r="DD138" s="3">
        <f t="shared" si="83"/>
        <v>104.73102116388712</v>
      </c>
      <c r="DE138" s="3">
        <f>SUM($K138:$M138)*DE$4/$AF$4</f>
        <v>17.655249828523988</v>
      </c>
      <c r="DF138" s="3">
        <v>0</v>
      </c>
      <c r="DG138" s="3">
        <v>0</v>
      </c>
      <c r="DH138" s="3">
        <f t="shared" si="84"/>
        <v>17.655249828523988</v>
      </c>
      <c r="DI138" s="3">
        <f>SUM($K138:$M138)*DI$4/$AF$4</f>
        <v>0</v>
      </c>
      <c r="DJ138" s="3">
        <v>0</v>
      </c>
      <c r="DK138" s="3">
        <v>0</v>
      </c>
      <c r="DL138" s="3">
        <f t="shared" si="147"/>
        <v>0</v>
      </c>
      <c r="DM138" s="3">
        <f>SUM($K138:$M138)*DM$4/$AF$4</f>
        <v>87.278419680210391</v>
      </c>
      <c r="DN138" s="3">
        <v>0</v>
      </c>
      <c r="DO138" s="3">
        <v>0</v>
      </c>
      <c r="DP138" s="3">
        <f t="shared" si="85"/>
        <v>87.278419680210391</v>
      </c>
      <c r="DQ138" s="3">
        <f>SUM($K138:$M138)*DQ$4/$AF$4</f>
        <v>184.21394055268945</v>
      </c>
      <c r="DR138" s="3">
        <v>0</v>
      </c>
      <c r="DS138" s="3">
        <v>0</v>
      </c>
      <c r="DT138" s="3">
        <f t="shared" si="89"/>
        <v>184.21394055268945</v>
      </c>
      <c r="DU138" s="3">
        <f>SUM($K138:$M138)*DU$4/$AF$4</f>
        <v>916.95953992836462</v>
      </c>
      <c r="DV138" s="3">
        <v>0</v>
      </c>
      <c r="DW138" s="3">
        <v>0</v>
      </c>
      <c r="DX138" s="3">
        <f t="shared" si="86"/>
        <v>916.95953992836462</v>
      </c>
      <c r="DY138" s="3">
        <f>SUM($K138:$M138)*DY$4/$AF$4</f>
        <v>3.1414019161195506</v>
      </c>
      <c r="DZ138" s="3">
        <v>0</v>
      </c>
      <c r="EA138" s="3">
        <v>0</v>
      </c>
      <c r="EB138" s="3">
        <f t="shared" si="87"/>
        <v>3.1414019161195506</v>
      </c>
      <c r="EC138" s="4">
        <f>AJ138+AN138+AR138+AV138+AZ138+BD138+BH138+BL138+BP138+BT138+BX138+CB138+CF138+CJ138+CN138+CR138+CV138+CZ138+DD138+DH138+DP138+DT138+DX138+EB138</f>
        <v>6240.0005999999976</v>
      </c>
      <c r="ED138" s="5">
        <f t="shared" si="88"/>
        <v>0</v>
      </c>
      <c r="EE138" s="6">
        <f t="shared" si="118"/>
        <v>5787.0011033216679</v>
      </c>
      <c r="EF138" s="6">
        <f t="shared" si="118"/>
        <v>226.49974833916497</v>
      </c>
      <c r="EG138" s="6">
        <f t="shared" si="118"/>
        <v>226.49974833916497</v>
      </c>
    </row>
    <row r="139" spans="1:137" ht="12" customHeight="1" x14ac:dyDescent="0.35">
      <c r="A139" s="43" t="s">
        <v>115</v>
      </c>
      <c r="B139" s="43">
        <v>28324</v>
      </c>
      <c r="C139" s="43" t="s">
        <v>116</v>
      </c>
      <c r="D139" s="43" t="s">
        <v>537</v>
      </c>
      <c r="E139" s="43">
        <v>150782</v>
      </c>
      <c r="F139" s="43" t="s">
        <v>538</v>
      </c>
      <c r="G139" s="44">
        <v>46003</v>
      </c>
      <c r="H139" s="44">
        <v>46090</v>
      </c>
      <c r="I139" s="45">
        <v>5</v>
      </c>
      <c r="J139" s="45">
        <v>-11481</v>
      </c>
      <c r="K139" s="46"/>
      <c r="L139" s="45">
        <v>-287.02499999999998</v>
      </c>
      <c r="M139" s="45">
        <v>-287.02499999999998</v>
      </c>
      <c r="N139" s="45">
        <v>-574.04999999999995</v>
      </c>
      <c r="O139" s="45">
        <v>-12055.06</v>
      </c>
      <c r="P139" s="43" t="s">
        <v>95</v>
      </c>
      <c r="Q139" s="43" t="s">
        <v>47</v>
      </c>
      <c r="R139" s="43" t="s">
        <v>112</v>
      </c>
      <c r="S139" s="43" t="s">
        <v>97</v>
      </c>
      <c r="T139" s="43" t="s">
        <v>98</v>
      </c>
      <c r="U139" s="43" t="s">
        <v>99</v>
      </c>
      <c r="V139" s="43">
        <v>996311</v>
      </c>
      <c r="W139" s="43" t="s">
        <v>539</v>
      </c>
      <c r="X139" s="43" t="s">
        <v>101</v>
      </c>
      <c r="Y139" s="43">
        <v>107</v>
      </c>
      <c r="Z139" s="43" t="s">
        <v>102</v>
      </c>
      <c r="AA139" t="s">
        <v>540</v>
      </c>
      <c r="AB139">
        <v>-574.04999999999995</v>
      </c>
      <c r="AC139">
        <v>-574</v>
      </c>
      <c r="AD139" s="38">
        <v>0</v>
      </c>
      <c r="AE139" t="s">
        <v>104</v>
      </c>
      <c r="AF139" t="s">
        <v>73</v>
      </c>
      <c r="AG139" s="3"/>
      <c r="AH139" s="3"/>
      <c r="AI139" s="3"/>
      <c r="AJ139" s="3">
        <f t="shared" si="67"/>
        <v>0</v>
      </c>
      <c r="AK139" s="3"/>
      <c r="AL139" s="3"/>
      <c r="AM139" s="3"/>
      <c r="AN139" s="3">
        <f t="shared" si="68"/>
        <v>0</v>
      </c>
      <c r="AO139" s="3"/>
      <c r="AP139" s="3"/>
      <c r="AQ139" s="3"/>
      <c r="AR139" s="3">
        <f t="shared" si="69"/>
        <v>0</v>
      </c>
      <c r="AS139" s="3"/>
      <c r="AT139" s="3"/>
      <c r="AU139" s="3"/>
      <c r="AV139" s="3">
        <f t="shared" si="70"/>
        <v>0</v>
      </c>
      <c r="AW139" s="3"/>
      <c r="AX139" s="3"/>
      <c r="AY139" s="3"/>
      <c r="AZ139" s="3">
        <f t="shared" si="71"/>
        <v>0</v>
      </c>
      <c r="BA139" s="3"/>
      <c r="BB139" s="3"/>
      <c r="BC139" s="3"/>
      <c r="BD139" s="3">
        <f t="shared" si="72"/>
        <v>0</v>
      </c>
      <c r="BE139" s="3"/>
      <c r="BF139" s="3"/>
      <c r="BG139" s="3"/>
      <c r="BH139" s="3">
        <f t="shared" ref="BH139:BH202" si="148">SUBTOTAL(9,BE139:BG139)</f>
        <v>0</v>
      </c>
      <c r="BI139" s="3"/>
      <c r="BJ139" s="3"/>
      <c r="BK139" s="3"/>
      <c r="BL139" s="3">
        <f t="shared" ref="BL139:BL202" si="149">SUBTOTAL(9,BI139:BK139)</f>
        <v>0</v>
      </c>
      <c r="BM139" s="3"/>
      <c r="BN139" s="3"/>
      <c r="BO139" s="3"/>
      <c r="BP139" s="3">
        <f t="shared" si="73"/>
        <v>0</v>
      </c>
      <c r="BQ139" s="3"/>
      <c r="BR139" s="3"/>
      <c r="BS139" s="3"/>
      <c r="BT139" s="3">
        <f t="shared" si="74"/>
        <v>0</v>
      </c>
      <c r="BU139" s="3"/>
      <c r="BV139" s="3"/>
      <c r="BW139" s="3"/>
      <c r="BX139" s="3">
        <f t="shared" si="75"/>
        <v>0</v>
      </c>
      <c r="BY139" s="3"/>
      <c r="BZ139" s="3"/>
      <c r="CA139" s="3"/>
      <c r="CB139" s="3">
        <f t="shared" si="76"/>
        <v>0</v>
      </c>
      <c r="CC139" s="3"/>
      <c r="CD139" s="3"/>
      <c r="CE139" s="3"/>
      <c r="CF139" s="3">
        <f t="shared" si="77"/>
        <v>0</v>
      </c>
      <c r="CG139" s="3"/>
      <c r="CH139" s="3"/>
      <c r="CI139" s="3"/>
      <c r="CJ139" s="3">
        <f t="shared" si="78"/>
        <v>0</v>
      </c>
      <c r="CK139" s="3"/>
      <c r="CL139" s="3"/>
      <c r="CM139" s="3"/>
      <c r="CN139" s="3">
        <f t="shared" si="79"/>
        <v>0</v>
      </c>
      <c r="CO139" s="3"/>
      <c r="CP139" s="3"/>
      <c r="CQ139" s="3"/>
      <c r="CR139" s="3">
        <f t="shared" si="80"/>
        <v>0</v>
      </c>
      <c r="CS139" s="3"/>
      <c r="CT139" s="3"/>
      <c r="CU139" s="3"/>
      <c r="CV139" s="3">
        <f t="shared" si="81"/>
        <v>0</v>
      </c>
      <c r="CW139" s="3">
        <f>SUM($K139:$M139)*CW$4/$CW$4</f>
        <v>-574.04999999999995</v>
      </c>
      <c r="CX139" s="3">
        <v>0</v>
      </c>
      <c r="CY139" s="3">
        <v>0</v>
      </c>
      <c r="CZ139" s="3">
        <f t="shared" si="82"/>
        <v>-574.04999999999995</v>
      </c>
      <c r="DA139" s="3"/>
      <c r="DB139" s="3"/>
      <c r="DC139" s="3"/>
      <c r="DD139" s="3">
        <f t="shared" si="83"/>
        <v>0</v>
      </c>
      <c r="DE139" s="3"/>
      <c r="DF139" s="3"/>
      <c r="DG139" s="3"/>
      <c r="DH139" s="3">
        <f t="shared" si="84"/>
        <v>0</v>
      </c>
      <c r="DI139" s="3"/>
      <c r="DJ139" s="3"/>
      <c r="DK139" s="3"/>
      <c r="DL139" s="3">
        <f t="shared" si="147"/>
        <v>0</v>
      </c>
      <c r="DM139" s="3"/>
      <c r="DN139" s="3"/>
      <c r="DO139" s="3"/>
      <c r="DP139" s="3">
        <f t="shared" si="85"/>
        <v>0</v>
      </c>
      <c r="DQ139" s="3"/>
      <c r="DR139" s="3"/>
      <c r="DS139" s="3"/>
      <c r="DT139" s="3">
        <f t="shared" si="89"/>
        <v>0</v>
      </c>
      <c r="DU139" s="3"/>
      <c r="DV139" s="3"/>
      <c r="DW139" s="3"/>
      <c r="DX139" s="3">
        <f t="shared" si="86"/>
        <v>0</v>
      </c>
      <c r="DY139" s="3"/>
      <c r="DZ139" s="3"/>
      <c r="EA139" s="3"/>
      <c r="EB139" s="3">
        <f t="shared" si="87"/>
        <v>0</v>
      </c>
      <c r="EC139" s="4">
        <f t="shared" ref="EC139:EC202" si="150">AJ139+AN139+AR139+AV139+AZ139+BD139+BH139+BL139+BP139+BT139+BX139+CB139+CF139+CJ139+CN139+CR139+CV139+CZ139+DD139+DH139+DL139+DP139+DT139+DX139+EB139</f>
        <v>-574.04999999999995</v>
      </c>
      <c r="ED139" s="5">
        <f t="shared" si="88"/>
        <v>0</v>
      </c>
      <c r="EE139" s="6">
        <f t="shared" si="118"/>
        <v>-574.04999999999995</v>
      </c>
      <c r="EF139" s="6">
        <f t="shared" si="118"/>
        <v>0</v>
      </c>
      <c r="EG139" s="6">
        <f t="shared" si="118"/>
        <v>0</v>
      </c>
    </row>
    <row r="140" spans="1:137" ht="12" customHeight="1" x14ac:dyDescent="0.35">
      <c r="A140" s="43" t="s">
        <v>541</v>
      </c>
      <c r="B140" s="43">
        <v>44756</v>
      </c>
      <c r="C140" s="43" t="s">
        <v>542</v>
      </c>
      <c r="D140" s="43" t="s">
        <v>543</v>
      </c>
      <c r="E140" s="43">
        <v>150783</v>
      </c>
      <c r="F140" s="43" t="s">
        <v>544</v>
      </c>
      <c r="G140" s="44">
        <v>46038</v>
      </c>
      <c r="H140" s="44">
        <v>46104</v>
      </c>
      <c r="I140" s="45">
        <v>5</v>
      </c>
      <c r="J140" s="45">
        <v>-47.62</v>
      </c>
      <c r="K140" s="46"/>
      <c r="L140" s="45">
        <v>-1.1904999999999999</v>
      </c>
      <c r="M140" s="45">
        <v>-1.1904999999999999</v>
      </c>
      <c r="N140" s="45">
        <v>-2.3809999999999998</v>
      </c>
      <c r="O140" s="45">
        <v>-50</v>
      </c>
      <c r="P140" s="43" t="s">
        <v>95</v>
      </c>
      <c r="Q140" s="43" t="s">
        <v>39</v>
      </c>
      <c r="R140" s="43" t="s">
        <v>112</v>
      </c>
      <c r="S140" s="43" t="s">
        <v>97</v>
      </c>
      <c r="T140" s="43" t="s">
        <v>98</v>
      </c>
      <c r="U140" s="43" t="s">
        <v>99</v>
      </c>
      <c r="V140" s="43">
        <v>996311</v>
      </c>
      <c r="W140" s="43" t="s">
        <v>545</v>
      </c>
      <c r="X140" s="43" t="s">
        <v>101</v>
      </c>
      <c r="Y140" s="43">
        <v>107</v>
      </c>
      <c r="Z140" s="43" t="s">
        <v>102</v>
      </c>
      <c r="AA140" t="s">
        <v>546</v>
      </c>
      <c r="AB140">
        <v>-2.3809999999999998</v>
      </c>
      <c r="AC140">
        <v>-2.38</v>
      </c>
      <c r="AD140" s="38">
        <v>0</v>
      </c>
      <c r="AE140" t="s">
        <v>104</v>
      </c>
      <c r="AF140" t="s">
        <v>73</v>
      </c>
      <c r="AG140" s="3"/>
      <c r="AH140" s="3"/>
      <c r="AI140" s="3"/>
      <c r="AJ140" s="3">
        <f t="shared" si="67"/>
        <v>0</v>
      </c>
      <c r="AK140" s="3"/>
      <c r="AL140" s="3"/>
      <c r="AM140" s="3"/>
      <c r="AN140" s="3">
        <f t="shared" si="68"/>
        <v>0</v>
      </c>
      <c r="AO140" s="3"/>
      <c r="AP140" s="3"/>
      <c r="AQ140" s="3"/>
      <c r="AR140" s="3">
        <f t="shared" si="69"/>
        <v>0</v>
      </c>
      <c r="AS140" s="3"/>
      <c r="AT140" s="3"/>
      <c r="AU140" s="3"/>
      <c r="AV140" s="3">
        <f t="shared" si="70"/>
        <v>0</v>
      </c>
      <c r="AW140" s="3"/>
      <c r="AX140" s="3"/>
      <c r="AY140" s="3"/>
      <c r="AZ140" s="3">
        <f t="shared" si="71"/>
        <v>0</v>
      </c>
      <c r="BA140" s="3"/>
      <c r="BB140" s="3"/>
      <c r="BC140" s="3"/>
      <c r="BD140" s="3">
        <f t="shared" si="72"/>
        <v>0</v>
      </c>
      <c r="BE140" s="3"/>
      <c r="BF140" s="3"/>
      <c r="BG140" s="3"/>
      <c r="BH140" s="3">
        <f t="shared" si="148"/>
        <v>0</v>
      </c>
      <c r="BI140" s="3"/>
      <c r="BJ140" s="3"/>
      <c r="BK140" s="3"/>
      <c r="BL140" s="3">
        <f t="shared" si="149"/>
        <v>0</v>
      </c>
      <c r="BM140" s="3"/>
      <c r="BN140" s="3"/>
      <c r="BO140" s="3"/>
      <c r="BP140" s="3">
        <f t="shared" si="73"/>
        <v>0</v>
      </c>
      <c r="BQ140" s="3">
        <f>SUM($K140:$M140)*BQ$4/$BQ$4</f>
        <v>-2.3809999999999998</v>
      </c>
      <c r="BR140" s="3">
        <v>0</v>
      </c>
      <c r="BS140" s="3">
        <v>0</v>
      </c>
      <c r="BT140" s="3">
        <f t="shared" si="74"/>
        <v>-2.3809999999999998</v>
      </c>
      <c r="BU140" s="3"/>
      <c r="BV140" s="3"/>
      <c r="BW140" s="3"/>
      <c r="BX140" s="3">
        <f t="shared" si="75"/>
        <v>0</v>
      </c>
      <c r="BY140" s="3"/>
      <c r="BZ140" s="3"/>
      <c r="CA140" s="3"/>
      <c r="CB140" s="3">
        <f t="shared" si="76"/>
        <v>0</v>
      </c>
      <c r="CC140" s="3"/>
      <c r="CD140" s="3"/>
      <c r="CE140" s="3"/>
      <c r="CF140" s="3">
        <f t="shared" si="77"/>
        <v>0</v>
      </c>
      <c r="CG140" s="3"/>
      <c r="CH140" s="3"/>
      <c r="CI140" s="3"/>
      <c r="CJ140" s="3">
        <f t="shared" si="78"/>
        <v>0</v>
      </c>
      <c r="CK140" s="3"/>
      <c r="CL140" s="3"/>
      <c r="CM140" s="3"/>
      <c r="CN140" s="3">
        <f t="shared" si="79"/>
        <v>0</v>
      </c>
      <c r="CO140" s="3"/>
      <c r="CP140" s="3"/>
      <c r="CQ140" s="3"/>
      <c r="CR140" s="3">
        <f t="shared" si="80"/>
        <v>0</v>
      </c>
      <c r="CS140" s="3"/>
      <c r="CT140" s="3"/>
      <c r="CU140" s="3"/>
      <c r="CV140" s="3">
        <f t="shared" si="81"/>
        <v>0</v>
      </c>
      <c r="CW140" s="3"/>
      <c r="CX140" s="3"/>
      <c r="CY140" s="3"/>
      <c r="CZ140" s="3">
        <f t="shared" si="82"/>
        <v>0</v>
      </c>
      <c r="DA140" s="3"/>
      <c r="DB140" s="3"/>
      <c r="DC140" s="3"/>
      <c r="DD140" s="3">
        <f t="shared" si="83"/>
        <v>0</v>
      </c>
      <c r="DE140" s="3"/>
      <c r="DF140" s="3"/>
      <c r="DG140" s="3"/>
      <c r="DH140" s="3">
        <f t="shared" si="84"/>
        <v>0</v>
      </c>
      <c r="DI140" s="3"/>
      <c r="DJ140" s="3"/>
      <c r="DK140" s="3"/>
      <c r="DL140" s="3">
        <f t="shared" si="147"/>
        <v>0</v>
      </c>
      <c r="DM140" s="3"/>
      <c r="DN140" s="3"/>
      <c r="DO140" s="3"/>
      <c r="DP140" s="3">
        <f t="shared" si="85"/>
        <v>0</v>
      </c>
      <c r="DQ140" s="3"/>
      <c r="DR140" s="3"/>
      <c r="DS140" s="3"/>
      <c r="DT140" s="3">
        <f t="shared" si="89"/>
        <v>0</v>
      </c>
      <c r="DU140" s="3"/>
      <c r="DV140" s="3"/>
      <c r="DW140" s="3"/>
      <c r="DX140" s="3">
        <f t="shared" si="86"/>
        <v>0</v>
      </c>
      <c r="DY140" s="3"/>
      <c r="DZ140" s="3"/>
      <c r="EA140" s="3"/>
      <c r="EB140" s="3">
        <f t="shared" si="87"/>
        <v>0</v>
      </c>
      <c r="EC140" s="4">
        <f t="shared" si="150"/>
        <v>-2.3809999999999998</v>
      </c>
      <c r="ED140" s="5">
        <f t="shared" si="88"/>
        <v>0</v>
      </c>
      <c r="EE140" s="6">
        <f t="shared" si="118"/>
        <v>-2.3809999999999998</v>
      </c>
      <c r="EF140" s="6">
        <f t="shared" si="118"/>
        <v>0</v>
      </c>
      <c r="EG140" s="6">
        <f t="shared" si="118"/>
        <v>0</v>
      </c>
    </row>
    <row r="141" spans="1:137" ht="12" customHeight="1" x14ac:dyDescent="0.35">
      <c r="A141" s="43" t="s">
        <v>115</v>
      </c>
      <c r="B141" s="43">
        <v>28324</v>
      </c>
      <c r="C141" s="43" t="s">
        <v>116</v>
      </c>
      <c r="D141" s="43" t="s">
        <v>537</v>
      </c>
      <c r="E141" s="43">
        <v>150782</v>
      </c>
      <c r="F141" s="43" t="s">
        <v>547</v>
      </c>
      <c r="G141" s="44">
        <v>46048</v>
      </c>
      <c r="H141" s="44">
        <v>46104</v>
      </c>
      <c r="I141" s="45">
        <v>18</v>
      </c>
      <c r="J141" s="45">
        <v>-42759</v>
      </c>
      <c r="K141" s="46"/>
      <c r="L141" s="45">
        <v>-3848.31</v>
      </c>
      <c r="M141" s="45">
        <v>-3848.31</v>
      </c>
      <c r="N141" s="45">
        <v>-7696.62</v>
      </c>
      <c r="O141" s="45">
        <v>-50455.62</v>
      </c>
      <c r="P141" s="43" t="s">
        <v>95</v>
      </c>
      <c r="Q141" s="43" t="s">
        <v>47</v>
      </c>
      <c r="R141" s="43" t="s">
        <v>112</v>
      </c>
      <c r="S141" s="43" t="s">
        <v>97</v>
      </c>
      <c r="T141" s="43" t="s">
        <v>98</v>
      </c>
      <c r="U141" s="43" t="s">
        <v>99</v>
      </c>
      <c r="V141" s="43">
        <v>996311</v>
      </c>
      <c r="W141" s="43" t="s">
        <v>548</v>
      </c>
      <c r="X141" s="43" t="s">
        <v>101</v>
      </c>
      <c r="Y141" s="43">
        <v>107</v>
      </c>
      <c r="Z141" s="43" t="s">
        <v>102</v>
      </c>
      <c r="AA141" t="s">
        <v>549</v>
      </c>
      <c r="AB141">
        <v>-7696.62</v>
      </c>
      <c r="AC141">
        <v>-7697</v>
      </c>
      <c r="AD141" s="38">
        <v>0</v>
      </c>
      <c r="AE141" t="s">
        <v>104</v>
      </c>
      <c r="AF141" t="s">
        <v>73</v>
      </c>
      <c r="AG141" s="3"/>
      <c r="AH141" s="3"/>
      <c r="AI141" s="3"/>
      <c r="AJ141" s="3">
        <f t="shared" ref="AJ141:AJ204" si="151">SUBTOTAL(9,AG141:AI141)</f>
        <v>0</v>
      </c>
      <c r="AK141" s="3"/>
      <c r="AL141" s="3"/>
      <c r="AM141" s="3"/>
      <c r="AN141" s="3">
        <f t="shared" ref="AN141:AN204" si="152">SUBTOTAL(9,AK141:AM141)</f>
        <v>0</v>
      </c>
      <c r="AO141" s="3"/>
      <c r="AP141" s="3"/>
      <c r="AQ141" s="3"/>
      <c r="AR141" s="3">
        <f t="shared" ref="AR141:AR204" si="153">SUBTOTAL(9,AO141:AQ141)</f>
        <v>0</v>
      </c>
      <c r="AS141" s="3"/>
      <c r="AT141" s="3"/>
      <c r="AU141" s="3"/>
      <c r="AV141" s="3">
        <f t="shared" ref="AV141:AV204" si="154">SUBTOTAL(9,AS141:AU141)</f>
        <v>0</v>
      </c>
      <c r="AW141" s="3"/>
      <c r="AX141" s="3"/>
      <c r="AY141" s="3"/>
      <c r="AZ141" s="3">
        <f t="shared" ref="AZ141:AZ204" si="155">SUBTOTAL(9,AW141:AY141)</f>
        <v>0</v>
      </c>
      <c r="BA141" s="3"/>
      <c r="BB141" s="3"/>
      <c r="BC141" s="3"/>
      <c r="BD141" s="3">
        <f t="shared" ref="BD141:BD204" si="156">SUBTOTAL(9,BA141:BC141)</f>
        <v>0</v>
      </c>
      <c r="BE141" s="3"/>
      <c r="BF141" s="3"/>
      <c r="BG141" s="3"/>
      <c r="BH141" s="3">
        <f t="shared" si="148"/>
        <v>0</v>
      </c>
      <c r="BI141" s="3"/>
      <c r="BJ141" s="3"/>
      <c r="BK141" s="3"/>
      <c r="BL141" s="3">
        <f t="shared" si="149"/>
        <v>0</v>
      </c>
      <c r="BM141" s="3"/>
      <c r="BN141" s="3"/>
      <c r="BO141" s="3"/>
      <c r="BP141" s="3">
        <f t="shared" ref="BP141:BP204" si="157">SUBTOTAL(9,BM141:BO141)</f>
        <v>0</v>
      </c>
      <c r="BQ141" s="3"/>
      <c r="BR141" s="3"/>
      <c r="BS141" s="3"/>
      <c r="BT141" s="3">
        <f t="shared" ref="BT141:BT204" si="158">SUBTOTAL(9,BQ141:BS141)</f>
        <v>0</v>
      </c>
      <c r="BU141" s="3"/>
      <c r="BV141" s="3"/>
      <c r="BW141" s="3"/>
      <c r="BX141" s="3">
        <f t="shared" ref="BX141:BX204" si="159">SUBTOTAL(9,BU141:BW141)</f>
        <v>0</v>
      </c>
      <c r="BY141" s="3"/>
      <c r="BZ141" s="3"/>
      <c r="CA141" s="3"/>
      <c r="CB141" s="3">
        <f t="shared" ref="CB141:CB204" si="160">SUBTOTAL(9,BY141:CA141)</f>
        <v>0</v>
      </c>
      <c r="CC141" s="3"/>
      <c r="CD141" s="3"/>
      <c r="CE141" s="3"/>
      <c r="CF141" s="3">
        <f t="shared" ref="CF141:CF204" si="161">SUBTOTAL(9,CC141:CE141)</f>
        <v>0</v>
      </c>
      <c r="CG141" s="3"/>
      <c r="CH141" s="3"/>
      <c r="CI141" s="3"/>
      <c r="CJ141" s="3">
        <f t="shared" ref="CJ141:CJ204" si="162">SUBTOTAL(9,CG141:CI141)</f>
        <v>0</v>
      </c>
      <c r="CK141" s="3"/>
      <c r="CL141" s="3"/>
      <c r="CM141" s="3"/>
      <c r="CN141" s="3">
        <f t="shared" ref="CN141:CN204" si="163">SUBTOTAL(9,CK141:CM141)</f>
        <v>0</v>
      </c>
      <c r="CO141" s="3"/>
      <c r="CP141" s="3"/>
      <c r="CQ141" s="3"/>
      <c r="CR141" s="3">
        <f t="shared" ref="CR141:CR204" si="164">SUBTOTAL(9,CO141:CQ141)</f>
        <v>0</v>
      </c>
      <c r="CS141" s="3"/>
      <c r="CT141" s="3"/>
      <c r="CU141" s="3"/>
      <c r="CV141" s="3">
        <f t="shared" ref="CV141:CV204" si="165">SUBTOTAL(9,CS141:CU141)</f>
        <v>0</v>
      </c>
      <c r="CW141" s="3">
        <f>SUM($K141:$M141)*CW$4/$CW$4</f>
        <v>-7696.6200000000008</v>
      </c>
      <c r="CX141" s="3">
        <v>0</v>
      </c>
      <c r="CY141" s="3">
        <v>0</v>
      </c>
      <c r="CZ141" s="3">
        <f>SUBTOTAL(9,CW141:CY141)</f>
        <v>-7696.6200000000008</v>
      </c>
      <c r="DA141" s="3"/>
      <c r="DB141" s="3"/>
      <c r="DC141" s="3"/>
      <c r="DD141" s="3">
        <f t="shared" ref="DD141:DD204" si="166">SUBTOTAL(9,DA141:DC141)</f>
        <v>0</v>
      </c>
      <c r="DE141" s="3"/>
      <c r="DF141" s="3"/>
      <c r="DG141" s="3"/>
      <c r="DH141" s="3">
        <f t="shared" ref="DH141:DH204" si="167">SUBTOTAL(9,DE141:DG141)</f>
        <v>0</v>
      </c>
      <c r="DI141" s="3"/>
      <c r="DJ141" s="3"/>
      <c r="DK141" s="3"/>
      <c r="DL141" s="3">
        <f t="shared" si="147"/>
        <v>0</v>
      </c>
      <c r="DM141" s="3"/>
      <c r="DN141" s="3"/>
      <c r="DO141" s="3"/>
      <c r="DP141" s="3">
        <f t="shared" ref="DP141:DP204" si="168">SUBTOTAL(9,DM141:DO141)</f>
        <v>0</v>
      </c>
      <c r="DQ141" s="3"/>
      <c r="DR141" s="3"/>
      <c r="DS141" s="3"/>
      <c r="DT141" s="3">
        <f t="shared" si="89"/>
        <v>0</v>
      </c>
      <c r="DU141" s="3"/>
      <c r="DV141" s="3"/>
      <c r="DW141" s="3"/>
      <c r="DX141" s="3">
        <f t="shared" ref="DX141:DX204" si="169">SUBTOTAL(9,DU141:DW141)</f>
        <v>0</v>
      </c>
      <c r="DY141" s="3"/>
      <c r="DZ141" s="3"/>
      <c r="EA141" s="3"/>
      <c r="EB141" s="3">
        <f t="shared" ref="EB141:EB204" si="170">SUBTOTAL(9,DY141:EA141)</f>
        <v>0</v>
      </c>
      <c r="EC141" s="4">
        <f t="shared" si="150"/>
        <v>-7696.6200000000008</v>
      </c>
      <c r="ED141" s="5">
        <f t="shared" ref="ED141:ED204" si="171">EC141-SUM(K141:M141)</f>
        <v>0</v>
      </c>
      <c r="EE141" s="6">
        <f t="shared" si="118"/>
        <v>-7696.6200000000008</v>
      </c>
      <c r="EF141" s="6">
        <f t="shared" si="118"/>
        <v>0</v>
      </c>
      <c r="EG141" s="6">
        <f t="shared" si="118"/>
        <v>0</v>
      </c>
    </row>
    <row r="142" spans="1:137" ht="12" customHeight="1" x14ac:dyDescent="0.35">
      <c r="A142" s="43" t="s">
        <v>115</v>
      </c>
      <c r="B142" s="43">
        <v>28324</v>
      </c>
      <c r="C142" s="43" t="s">
        <v>116</v>
      </c>
      <c r="D142" s="43" t="s">
        <v>543</v>
      </c>
      <c r="E142" s="43">
        <v>150783</v>
      </c>
      <c r="F142" s="43" t="s">
        <v>550</v>
      </c>
      <c r="G142" s="44">
        <v>46045</v>
      </c>
      <c r="H142" s="44">
        <v>46104</v>
      </c>
      <c r="I142" s="45">
        <v>5</v>
      </c>
      <c r="J142" s="45">
        <v>-10760</v>
      </c>
      <c r="K142" s="46"/>
      <c r="L142" s="45">
        <v>-269</v>
      </c>
      <c r="M142" s="45">
        <v>-269</v>
      </c>
      <c r="N142" s="45">
        <v>-538</v>
      </c>
      <c r="O142" s="45">
        <v>-11298</v>
      </c>
      <c r="P142" s="43" t="s">
        <v>95</v>
      </c>
      <c r="Q142" s="43" t="s">
        <v>46</v>
      </c>
      <c r="R142" s="43" t="s">
        <v>112</v>
      </c>
      <c r="S142" s="43" t="s">
        <v>97</v>
      </c>
      <c r="T142" s="43" t="s">
        <v>98</v>
      </c>
      <c r="U142" s="43" t="s">
        <v>99</v>
      </c>
      <c r="V142" s="43">
        <v>996311</v>
      </c>
      <c r="W142" s="43" t="s">
        <v>551</v>
      </c>
      <c r="X142" s="43" t="s">
        <v>101</v>
      </c>
      <c r="Y142" s="43">
        <v>107</v>
      </c>
      <c r="Z142" s="43" t="s">
        <v>102</v>
      </c>
      <c r="AA142" t="s">
        <v>552</v>
      </c>
      <c r="AB142">
        <v>-538</v>
      </c>
      <c r="AC142">
        <v>-538</v>
      </c>
      <c r="AD142" s="38">
        <v>0</v>
      </c>
      <c r="AE142" t="s">
        <v>104</v>
      </c>
      <c r="AF142" t="s">
        <v>73</v>
      </c>
      <c r="AG142" s="3"/>
      <c r="AH142" s="3"/>
      <c r="AI142" s="3"/>
      <c r="AJ142" s="3">
        <f t="shared" si="151"/>
        <v>0</v>
      </c>
      <c r="AK142" s="3"/>
      <c r="AL142" s="3"/>
      <c r="AM142" s="3"/>
      <c r="AN142" s="3">
        <f t="shared" si="152"/>
        <v>0</v>
      </c>
      <c r="AO142" s="3"/>
      <c r="AP142" s="3"/>
      <c r="AQ142" s="3"/>
      <c r="AR142" s="3">
        <f t="shared" si="153"/>
        <v>0</v>
      </c>
      <c r="AS142" s="3"/>
      <c r="AT142" s="3"/>
      <c r="AU142" s="3"/>
      <c r="AV142" s="3">
        <f t="shared" si="154"/>
        <v>0</v>
      </c>
      <c r="AW142" s="3"/>
      <c r="AX142" s="3"/>
      <c r="AY142" s="3"/>
      <c r="AZ142" s="3">
        <f t="shared" si="155"/>
        <v>0</v>
      </c>
      <c r="BA142" s="3"/>
      <c r="BB142" s="3"/>
      <c r="BC142" s="3"/>
      <c r="BD142" s="3">
        <f t="shared" si="156"/>
        <v>0</v>
      </c>
      <c r="BE142" s="3"/>
      <c r="BF142" s="3"/>
      <c r="BG142" s="3"/>
      <c r="BH142" s="3">
        <f t="shared" si="148"/>
        <v>0</v>
      </c>
      <c r="BI142" s="3"/>
      <c r="BJ142" s="3"/>
      <c r="BK142" s="3"/>
      <c r="BL142" s="3">
        <f t="shared" si="149"/>
        <v>0</v>
      </c>
      <c r="BM142" s="3"/>
      <c r="BN142" s="3"/>
      <c r="BO142" s="3"/>
      <c r="BP142" s="3">
        <f t="shared" si="157"/>
        <v>0</v>
      </c>
      <c r="BQ142" s="3"/>
      <c r="BR142" s="3"/>
      <c r="BS142" s="3"/>
      <c r="BT142" s="3">
        <f t="shared" si="158"/>
        <v>0</v>
      </c>
      <c r="BU142" s="3"/>
      <c r="BV142" s="3"/>
      <c r="BW142" s="3"/>
      <c r="BX142" s="3">
        <f t="shared" si="159"/>
        <v>0</v>
      </c>
      <c r="BY142" s="3"/>
      <c r="BZ142" s="3"/>
      <c r="CA142" s="3"/>
      <c r="CB142" s="3">
        <f t="shared" si="160"/>
        <v>0</v>
      </c>
      <c r="CC142" s="3"/>
      <c r="CD142" s="3"/>
      <c r="CE142" s="3"/>
      <c r="CF142" s="3">
        <f t="shared" si="161"/>
        <v>0</v>
      </c>
      <c r="CG142" s="3"/>
      <c r="CH142" s="3"/>
      <c r="CI142" s="3"/>
      <c r="CJ142" s="3">
        <f t="shared" si="162"/>
        <v>0</v>
      </c>
      <c r="CK142" s="3"/>
      <c r="CL142" s="3"/>
      <c r="CM142" s="3"/>
      <c r="CN142" s="3">
        <f t="shared" si="163"/>
        <v>0</v>
      </c>
      <c r="CO142" s="3"/>
      <c r="CP142" s="3"/>
      <c r="CQ142" s="3"/>
      <c r="CR142" s="3">
        <f t="shared" si="164"/>
        <v>0</v>
      </c>
      <c r="CS142" s="3">
        <f>SUM($K142:$M142)*CS$4/$CS$4</f>
        <v>-538</v>
      </c>
      <c r="CT142" s="3">
        <v>0</v>
      </c>
      <c r="CU142" s="3">
        <v>0</v>
      </c>
      <c r="CV142" s="3">
        <f t="shared" si="165"/>
        <v>-538</v>
      </c>
      <c r="CW142" s="3"/>
      <c r="CX142" s="3"/>
      <c r="CY142" s="3"/>
      <c r="CZ142" s="3">
        <f>SUBTOTAL(9,CW142:CY142)</f>
        <v>0</v>
      </c>
      <c r="DA142" s="3"/>
      <c r="DB142" s="3"/>
      <c r="DC142" s="3"/>
      <c r="DD142" s="3">
        <f t="shared" si="166"/>
        <v>0</v>
      </c>
      <c r="DE142" s="3"/>
      <c r="DF142" s="3"/>
      <c r="DG142" s="3"/>
      <c r="DH142" s="3">
        <f t="shared" si="167"/>
        <v>0</v>
      </c>
      <c r="DI142" s="3"/>
      <c r="DJ142" s="3"/>
      <c r="DK142" s="3"/>
      <c r="DL142" s="3">
        <f t="shared" si="147"/>
        <v>0</v>
      </c>
      <c r="DM142" s="3"/>
      <c r="DN142" s="3"/>
      <c r="DO142" s="3"/>
      <c r="DP142" s="3">
        <f t="shared" si="168"/>
        <v>0</v>
      </c>
      <c r="DQ142" s="3"/>
      <c r="DR142" s="3"/>
      <c r="DS142" s="3"/>
      <c r="DT142" s="3">
        <f t="shared" ref="DT142:DT205" si="172">SUBTOTAL(9,DQ142:DS142)</f>
        <v>0</v>
      </c>
      <c r="DU142" s="3"/>
      <c r="DV142" s="3"/>
      <c r="DW142" s="3"/>
      <c r="DX142" s="3">
        <f t="shared" si="169"/>
        <v>0</v>
      </c>
      <c r="DY142" s="3"/>
      <c r="DZ142" s="3"/>
      <c r="EA142" s="3"/>
      <c r="EB142" s="3">
        <f t="shared" si="170"/>
        <v>0</v>
      </c>
      <c r="EC142" s="4">
        <f t="shared" si="150"/>
        <v>-538</v>
      </c>
      <c r="ED142" s="5">
        <f t="shared" si="171"/>
        <v>0</v>
      </c>
      <c r="EE142" s="6">
        <f t="shared" si="118"/>
        <v>-538</v>
      </c>
      <c r="EF142" s="6">
        <f t="shared" si="118"/>
        <v>0</v>
      </c>
      <c r="EG142" s="6">
        <f t="shared" si="118"/>
        <v>0</v>
      </c>
    </row>
    <row r="143" spans="1:137" ht="12" customHeight="1" x14ac:dyDescent="0.35">
      <c r="A143" s="43" t="s">
        <v>115</v>
      </c>
      <c r="B143" s="43">
        <v>28324</v>
      </c>
      <c r="C143" s="43" t="s">
        <v>553</v>
      </c>
      <c r="D143" s="43" t="s">
        <v>110</v>
      </c>
      <c r="E143" s="43">
        <v>150781</v>
      </c>
      <c r="F143" s="43" t="s">
        <v>554</v>
      </c>
      <c r="G143" s="44">
        <v>46051</v>
      </c>
      <c r="H143" s="44">
        <v>46104</v>
      </c>
      <c r="I143" s="45">
        <v>5</v>
      </c>
      <c r="J143" s="45">
        <v>-3645</v>
      </c>
      <c r="K143" s="46">
        <v>-182.25</v>
      </c>
      <c r="L143" s="45"/>
      <c r="M143" s="45"/>
      <c r="N143" s="45">
        <v>-182.25</v>
      </c>
      <c r="O143" s="45">
        <v>-3827.25</v>
      </c>
      <c r="P143" s="43" t="s">
        <v>95</v>
      </c>
      <c r="Q143" s="43" t="s">
        <v>47</v>
      </c>
      <c r="R143" s="43" t="s">
        <v>112</v>
      </c>
      <c r="S143" s="43" t="s">
        <v>97</v>
      </c>
      <c r="T143" s="43" t="s">
        <v>98</v>
      </c>
      <c r="U143" s="43" t="s">
        <v>99</v>
      </c>
      <c r="V143" s="43">
        <v>996311</v>
      </c>
      <c r="W143" s="43" t="s">
        <v>555</v>
      </c>
      <c r="X143" s="43" t="s">
        <v>101</v>
      </c>
      <c r="Y143" s="43">
        <v>107</v>
      </c>
      <c r="Z143" s="43" t="s">
        <v>102</v>
      </c>
      <c r="AA143" t="s">
        <v>556</v>
      </c>
      <c r="AB143">
        <v>-182.25</v>
      </c>
      <c r="AC143">
        <v>-183</v>
      </c>
      <c r="AD143" s="38">
        <v>1</v>
      </c>
      <c r="AE143" t="s">
        <v>104</v>
      </c>
      <c r="AF143" t="s">
        <v>73</v>
      </c>
      <c r="AG143" s="3"/>
      <c r="AH143" s="3"/>
      <c r="AI143" s="3"/>
      <c r="AJ143" s="3">
        <f t="shared" si="151"/>
        <v>0</v>
      </c>
      <c r="AK143" s="3"/>
      <c r="AL143" s="3"/>
      <c r="AM143" s="3"/>
      <c r="AN143" s="3">
        <f t="shared" si="152"/>
        <v>0</v>
      </c>
      <c r="AO143" s="3"/>
      <c r="AP143" s="3"/>
      <c r="AQ143" s="3"/>
      <c r="AR143" s="3">
        <f t="shared" si="153"/>
        <v>0</v>
      </c>
      <c r="AS143" s="3"/>
      <c r="AT143" s="3"/>
      <c r="AU143" s="3"/>
      <c r="AV143" s="3">
        <f t="shared" si="154"/>
        <v>0</v>
      </c>
      <c r="AW143" s="3"/>
      <c r="AX143" s="3"/>
      <c r="AY143" s="3"/>
      <c r="AZ143" s="3">
        <f t="shared" si="155"/>
        <v>0</v>
      </c>
      <c r="BA143" s="3"/>
      <c r="BB143" s="3"/>
      <c r="BC143" s="3"/>
      <c r="BD143" s="3">
        <f t="shared" si="156"/>
        <v>0</v>
      </c>
      <c r="BE143" s="3"/>
      <c r="BF143" s="3"/>
      <c r="BG143" s="3"/>
      <c r="BH143" s="3">
        <f t="shared" si="148"/>
        <v>0</v>
      </c>
      <c r="BI143" s="3"/>
      <c r="BJ143" s="3"/>
      <c r="BK143" s="3"/>
      <c r="BL143" s="3">
        <f t="shared" si="149"/>
        <v>0</v>
      </c>
      <c r="BM143" s="3"/>
      <c r="BN143" s="3"/>
      <c r="BO143" s="3"/>
      <c r="BP143" s="3">
        <f t="shared" si="157"/>
        <v>0</v>
      </c>
      <c r="BQ143" s="3"/>
      <c r="BR143" s="3"/>
      <c r="BS143" s="3"/>
      <c r="BT143" s="3">
        <f t="shared" si="158"/>
        <v>0</v>
      </c>
      <c r="BU143" s="3"/>
      <c r="BV143" s="3"/>
      <c r="BW143" s="3"/>
      <c r="BX143" s="3">
        <f t="shared" si="159"/>
        <v>0</v>
      </c>
      <c r="BY143" s="3"/>
      <c r="BZ143" s="3"/>
      <c r="CA143" s="3"/>
      <c r="CB143" s="3">
        <f t="shared" si="160"/>
        <v>0</v>
      </c>
      <c r="CC143" s="3"/>
      <c r="CD143" s="3"/>
      <c r="CE143" s="3"/>
      <c r="CF143" s="3">
        <f t="shared" si="161"/>
        <v>0</v>
      </c>
      <c r="CG143" s="3"/>
      <c r="CH143" s="3"/>
      <c r="CI143" s="3"/>
      <c r="CJ143" s="3">
        <f t="shared" si="162"/>
        <v>0</v>
      </c>
      <c r="CK143" s="3"/>
      <c r="CL143" s="3"/>
      <c r="CM143" s="3"/>
      <c r="CN143" s="3">
        <f t="shared" si="163"/>
        <v>0</v>
      </c>
      <c r="CO143" s="3"/>
      <c r="CP143" s="3"/>
      <c r="CQ143" s="3"/>
      <c r="CR143" s="3">
        <f t="shared" si="164"/>
        <v>0</v>
      </c>
      <c r="CS143" s="3"/>
      <c r="CT143" s="3"/>
      <c r="CU143" s="3"/>
      <c r="CV143" s="3">
        <f t="shared" si="165"/>
        <v>0</v>
      </c>
      <c r="CW143" s="3">
        <f>SUM($K143:$M143)*CW$4/$CW$4</f>
        <v>-182.25</v>
      </c>
      <c r="CX143" s="3">
        <v>0</v>
      </c>
      <c r="CY143" s="3">
        <v>0</v>
      </c>
      <c r="CZ143" s="3">
        <f t="shared" ref="CZ143:CZ204" si="173">SUBTOTAL(9,CW143:CY143)</f>
        <v>-182.25</v>
      </c>
      <c r="DA143" s="3"/>
      <c r="DB143" s="3"/>
      <c r="DC143" s="3"/>
      <c r="DD143" s="3">
        <f t="shared" si="166"/>
        <v>0</v>
      </c>
      <c r="DE143" s="3"/>
      <c r="DF143" s="3"/>
      <c r="DG143" s="3"/>
      <c r="DH143" s="3">
        <f t="shared" si="167"/>
        <v>0</v>
      </c>
      <c r="DI143" s="3"/>
      <c r="DJ143" s="3"/>
      <c r="DK143" s="3"/>
      <c r="DL143" s="3">
        <f t="shared" si="147"/>
        <v>0</v>
      </c>
      <c r="DM143" s="3"/>
      <c r="DN143" s="3"/>
      <c r="DO143" s="3"/>
      <c r="DP143" s="3">
        <f t="shared" si="168"/>
        <v>0</v>
      </c>
      <c r="DQ143" s="3"/>
      <c r="DR143" s="3"/>
      <c r="DS143" s="3"/>
      <c r="DT143" s="3">
        <f t="shared" si="172"/>
        <v>0</v>
      </c>
      <c r="DU143" s="3"/>
      <c r="DV143" s="3"/>
      <c r="DW143" s="3"/>
      <c r="DX143" s="3">
        <f t="shared" si="169"/>
        <v>0</v>
      </c>
      <c r="DY143" s="3"/>
      <c r="DZ143" s="3"/>
      <c r="EA143" s="3"/>
      <c r="EB143" s="3">
        <f t="shared" si="170"/>
        <v>0</v>
      </c>
      <c r="EC143" s="4">
        <f t="shared" si="150"/>
        <v>-182.25</v>
      </c>
      <c r="ED143" s="5">
        <f t="shared" si="171"/>
        <v>0</v>
      </c>
      <c r="EE143" s="6">
        <f t="shared" si="118"/>
        <v>-182.25</v>
      </c>
      <c r="EF143" s="6">
        <f t="shared" si="118"/>
        <v>0</v>
      </c>
      <c r="EG143" s="6">
        <f t="shared" si="118"/>
        <v>0</v>
      </c>
    </row>
    <row r="144" spans="1:137" ht="12" customHeight="1" x14ac:dyDescent="0.35">
      <c r="A144" s="43" t="s">
        <v>115</v>
      </c>
      <c r="B144" s="43">
        <v>28324</v>
      </c>
      <c r="C144" s="43" t="s">
        <v>203</v>
      </c>
      <c r="D144" s="43" t="s">
        <v>110</v>
      </c>
      <c r="E144" s="43">
        <v>150781</v>
      </c>
      <c r="F144" s="43" t="s">
        <v>557</v>
      </c>
      <c r="G144" s="44">
        <v>46051</v>
      </c>
      <c r="H144" s="44">
        <v>46104</v>
      </c>
      <c r="I144" s="45">
        <v>18</v>
      </c>
      <c r="J144" s="45">
        <v>-36000</v>
      </c>
      <c r="K144" s="46">
        <v>-6480</v>
      </c>
      <c r="L144" s="45"/>
      <c r="M144" s="45"/>
      <c r="N144" s="45">
        <v>-6480</v>
      </c>
      <c r="O144" s="45">
        <v>-42480</v>
      </c>
      <c r="P144" s="43" t="s">
        <v>95</v>
      </c>
      <c r="Q144" s="43" t="s">
        <v>36</v>
      </c>
      <c r="R144" s="43" t="s">
        <v>112</v>
      </c>
      <c r="S144" s="43" t="s">
        <v>97</v>
      </c>
      <c r="T144" s="43" t="s">
        <v>98</v>
      </c>
      <c r="U144" s="43" t="s">
        <v>99</v>
      </c>
      <c r="V144" s="43">
        <v>996311</v>
      </c>
      <c r="W144" s="43" t="s">
        <v>558</v>
      </c>
      <c r="X144" s="43" t="s">
        <v>101</v>
      </c>
      <c r="Y144" s="43">
        <v>107</v>
      </c>
      <c r="Z144" s="43" t="s">
        <v>102</v>
      </c>
      <c r="AA144" t="s">
        <v>559</v>
      </c>
      <c r="AB144">
        <v>-6480</v>
      </c>
      <c r="AC144">
        <v>-6480</v>
      </c>
      <c r="AD144" s="38">
        <v>0</v>
      </c>
      <c r="AE144" t="s">
        <v>104</v>
      </c>
      <c r="AF144" t="s">
        <v>73</v>
      </c>
      <c r="AG144" s="3"/>
      <c r="AH144" s="3"/>
      <c r="AI144" s="3"/>
      <c r="AJ144" s="3">
        <f t="shared" si="151"/>
        <v>0</v>
      </c>
      <c r="AK144" s="3"/>
      <c r="AL144" s="3"/>
      <c r="AM144" s="3"/>
      <c r="AN144" s="3">
        <f t="shared" si="152"/>
        <v>0</v>
      </c>
      <c r="AO144" s="3"/>
      <c r="AP144" s="3"/>
      <c r="AQ144" s="3"/>
      <c r="AR144" s="3">
        <f t="shared" si="153"/>
        <v>0</v>
      </c>
      <c r="AS144" s="3"/>
      <c r="AT144" s="3"/>
      <c r="AU144" s="3"/>
      <c r="AV144" s="3">
        <f t="shared" si="154"/>
        <v>0</v>
      </c>
      <c r="AW144" s="3"/>
      <c r="AX144" s="3"/>
      <c r="AY144" s="3"/>
      <c r="AZ144" s="3">
        <f t="shared" si="155"/>
        <v>0</v>
      </c>
      <c r="BA144" s="3"/>
      <c r="BB144" s="3"/>
      <c r="BC144" s="3"/>
      <c r="BD144" s="3">
        <f t="shared" si="156"/>
        <v>0</v>
      </c>
      <c r="BE144" s="3">
        <f>$K144*BE$4/$BE$4</f>
        <v>-6479.9999999999991</v>
      </c>
      <c r="BF144" s="3">
        <f>$L144*BE$4/$BE$4</f>
        <v>0</v>
      </c>
      <c r="BG144" s="3">
        <f>$M144*BE$4/$BE$4</f>
        <v>0</v>
      </c>
      <c r="BH144" s="3">
        <f t="shared" si="148"/>
        <v>-6479.9999999999991</v>
      </c>
      <c r="BI144" s="3"/>
      <c r="BJ144" s="3"/>
      <c r="BK144" s="3"/>
      <c r="BL144" s="3">
        <f t="shared" si="149"/>
        <v>0</v>
      </c>
      <c r="BM144" s="3"/>
      <c r="BN144" s="3"/>
      <c r="BO144" s="3"/>
      <c r="BP144" s="3">
        <f t="shared" si="157"/>
        <v>0</v>
      </c>
      <c r="BQ144" s="3"/>
      <c r="BR144" s="3"/>
      <c r="BS144" s="3"/>
      <c r="BT144" s="3">
        <f t="shared" si="158"/>
        <v>0</v>
      </c>
      <c r="BU144" s="3"/>
      <c r="BV144" s="3"/>
      <c r="BW144" s="3"/>
      <c r="BX144" s="3">
        <f t="shared" si="159"/>
        <v>0</v>
      </c>
      <c r="BY144" s="3"/>
      <c r="BZ144" s="3"/>
      <c r="CA144" s="3"/>
      <c r="CB144" s="3">
        <f t="shared" si="160"/>
        <v>0</v>
      </c>
      <c r="CC144" s="3"/>
      <c r="CD144" s="3"/>
      <c r="CE144" s="3"/>
      <c r="CF144" s="3">
        <f t="shared" si="161"/>
        <v>0</v>
      </c>
      <c r="CG144" s="3"/>
      <c r="CH144" s="3"/>
      <c r="CI144" s="3"/>
      <c r="CJ144" s="3">
        <f t="shared" si="162"/>
        <v>0</v>
      </c>
      <c r="CK144" s="3"/>
      <c r="CL144" s="3"/>
      <c r="CM144" s="3"/>
      <c r="CN144" s="3">
        <f t="shared" si="163"/>
        <v>0</v>
      </c>
      <c r="CO144" s="3"/>
      <c r="CP144" s="3"/>
      <c r="CQ144" s="3"/>
      <c r="CR144" s="3">
        <f t="shared" si="164"/>
        <v>0</v>
      </c>
      <c r="CS144" s="3"/>
      <c r="CT144" s="3"/>
      <c r="CU144" s="3"/>
      <c r="CV144" s="3">
        <f t="shared" si="165"/>
        <v>0</v>
      </c>
      <c r="CW144" s="3"/>
      <c r="CX144" s="3"/>
      <c r="CY144" s="3"/>
      <c r="CZ144" s="3">
        <f t="shared" si="173"/>
        <v>0</v>
      </c>
      <c r="DA144" s="3"/>
      <c r="DB144" s="3"/>
      <c r="DC144" s="3"/>
      <c r="DD144" s="3">
        <f t="shared" si="166"/>
        <v>0</v>
      </c>
      <c r="DE144" s="3"/>
      <c r="DF144" s="3"/>
      <c r="DG144" s="3"/>
      <c r="DH144" s="3">
        <f t="shared" si="167"/>
        <v>0</v>
      </c>
      <c r="DI144" s="3"/>
      <c r="DJ144" s="3"/>
      <c r="DK144" s="3"/>
      <c r="DL144" s="3">
        <f t="shared" si="147"/>
        <v>0</v>
      </c>
      <c r="DM144" s="3"/>
      <c r="DN144" s="3"/>
      <c r="DO144" s="3"/>
      <c r="DP144" s="3">
        <f t="shared" si="168"/>
        <v>0</v>
      </c>
      <c r="DQ144" s="3"/>
      <c r="DR144" s="3"/>
      <c r="DS144" s="3"/>
      <c r="DT144" s="3">
        <f t="shared" si="172"/>
        <v>0</v>
      </c>
      <c r="DU144" s="3"/>
      <c r="DV144" s="3"/>
      <c r="DW144" s="3"/>
      <c r="DX144" s="3">
        <f t="shared" si="169"/>
        <v>0</v>
      </c>
      <c r="DY144" s="3"/>
      <c r="DZ144" s="3"/>
      <c r="EA144" s="3"/>
      <c r="EB144" s="3">
        <f t="shared" si="170"/>
        <v>0</v>
      </c>
      <c r="EC144" s="4">
        <f t="shared" si="150"/>
        <v>-6479.9999999999991</v>
      </c>
      <c r="ED144" s="5">
        <f t="shared" si="171"/>
        <v>0</v>
      </c>
      <c r="EE144" s="6">
        <f t="shared" si="118"/>
        <v>-6479.9999999999991</v>
      </c>
      <c r="EF144" s="6">
        <f t="shared" si="118"/>
        <v>0</v>
      </c>
      <c r="EG144" s="6">
        <f t="shared" si="118"/>
        <v>0</v>
      </c>
    </row>
    <row r="145" spans="1:137" ht="12" customHeight="1" x14ac:dyDescent="0.35">
      <c r="A145" s="43" t="s">
        <v>91</v>
      </c>
      <c r="B145" s="43">
        <v>30450</v>
      </c>
      <c r="C145" s="43" t="s">
        <v>109</v>
      </c>
      <c r="D145" s="43" t="s">
        <v>110</v>
      </c>
      <c r="E145" s="43">
        <v>150781</v>
      </c>
      <c r="F145" s="43" t="s">
        <v>560</v>
      </c>
      <c r="G145" s="44">
        <v>46001</v>
      </c>
      <c r="H145" s="44">
        <v>46090</v>
      </c>
      <c r="I145" s="45">
        <v>5</v>
      </c>
      <c r="J145" s="45">
        <v>-5500</v>
      </c>
      <c r="K145" s="46">
        <v>-275</v>
      </c>
      <c r="L145" s="45"/>
      <c r="M145" s="45"/>
      <c r="N145" s="45">
        <v>-275</v>
      </c>
      <c r="O145" s="45">
        <v>-5775</v>
      </c>
      <c r="P145" s="43" t="s">
        <v>95</v>
      </c>
      <c r="Q145" s="43" t="s">
        <v>43</v>
      </c>
      <c r="R145" s="43" t="s">
        <v>112</v>
      </c>
      <c r="S145" s="43" t="s">
        <v>97</v>
      </c>
      <c r="T145" s="43" t="s">
        <v>98</v>
      </c>
      <c r="U145" s="43" t="s">
        <v>99</v>
      </c>
      <c r="V145" s="43">
        <v>996311</v>
      </c>
      <c r="W145" s="43" t="s">
        <v>561</v>
      </c>
      <c r="X145" s="43" t="s">
        <v>101</v>
      </c>
      <c r="Y145" s="43">
        <v>107</v>
      </c>
      <c r="Z145" s="43" t="s">
        <v>102</v>
      </c>
      <c r="AA145" t="s">
        <v>562</v>
      </c>
      <c r="AB145">
        <v>-275</v>
      </c>
      <c r="AC145">
        <v>-275</v>
      </c>
      <c r="AD145" s="38">
        <v>0</v>
      </c>
      <c r="AE145" t="s">
        <v>104</v>
      </c>
      <c r="AF145" t="s">
        <v>73</v>
      </c>
      <c r="AG145" s="3"/>
      <c r="AH145" s="3"/>
      <c r="AI145" s="3"/>
      <c r="AJ145" s="3">
        <f t="shared" si="151"/>
        <v>0</v>
      </c>
      <c r="AK145" s="3"/>
      <c r="AL145" s="3"/>
      <c r="AM145" s="3"/>
      <c r="AN145" s="3">
        <f t="shared" si="152"/>
        <v>0</v>
      </c>
      <c r="AO145" s="3"/>
      <c r="AP145" s="3"/>
      <c r="AQ145" s="3"/>
      <c r="AR145" s="3">
        <f t="shared" si="153"/>
        <v>0</v>
      </c>
      <c r="AS145" s="3"/>
      <c r="AT145" s="3"/>
      <c r="AU145" s="3"/>
      <c r="AV145" s="3">
        <f t="shared" si="154"/>
        <v>0</v>
      </c>
      <c r="AW145" s="3"/>
      <c r="AX145" s="3"/>
      <c r="AY145" s="3"/>
      <c r="AZ145" s="3">
        <f t="shared" si="155"/>
        <v>0</v>
      </c>
      <c r="BA145" s="3"/>
      <c r="BB145" s="3"/>
      <c r="BC145" s="3"/>
      <c r="BD145" s="3">
        <f t="shared" si="156"/>
        <v>0</v>
      </c>
      <c r="BE145" s="3"/>
      <c r="BF145" s="3"/>
      <c r="BG145" s="3"/>
      <c r="BH145" s="3">
        <f t="shared" si="148"/>
        <v>0</v>
      </c>
      <c r="BI145" s="3"/>
      <c r="BJ145" s="3"/>
      <c r="BK145" s="3"/>
      <c r="BL145" s="3">
        <f t="shared" si="149"/>
        <v>0</v>
      </c>
      <c r="BM145" s="3"/>
      <c r="BN145" s="3"/>
      <c r="BO145" s="3"/>
      <c r="BP145" s="3">
        <f t="shared" si="157"/>
        <v>0</v>
      </c>
      <c r="BQ145" s="3"/>
      <c r="BR145" s="3"/>
      <c r="BS145" s="3"/>
      <c r="BT145" s="3">
        <f t="shared" si="158"/>
        <v>0</v>
      </c>
      <c r="BU145" s="3"/>
      <c r="BV145" s="3"/>
      <c r="BW145" s="3"/>
      <c r="BX145" s="3">
        <f t="shared" si="159"/>
        <v>0</v>
      </c>
      <c r="BY145" s="3"/>
      <c r="BZ145" s="3"/>
      <c r="CA145" s="3"/>
      <c r="CB145" s="3">
        <f t="shared" si="160"/>
        <v>0</v>
      </c>
      <c r="CC145" s="3"/>
      <c r="CD145" s="3"/>
      <c r="CE145" s="3"/>
      <c r="CF145" s="3">
        <f t="shared" si="161"/>
        <v>0</v>
      </c>
      <c r="CG145" s="3">
        <f>SUM($K145:$M145)*CG$4/$CG$4</f>
        <v>-275</v>
      </c>
      <c r="CH145" s="3">
        <v>0</v>
      </c>
      <c r="CI145" s="3">
        <v>0</v>
      </c>
      <c r="CJ145" s="3">
        <f t="shared" si="162"/>
        <v>-275</v>
      </c>
      <c r="CK145" s="3"/>
      <c r="CL145" s="3"/>
      <c r="CM145" s="3"/>
      <c r="CN145" s="3">
        <f t="shared" si="163"/>
        <v>0</v>
      </c>
      <c r="CO145" s="3"/>
      <c r="CP145" s="3"/>
      <c r="CQ145" s="3"/>
      <c r="CR145" s="3">
        <f t="shared" si="164"/>
        <v>0</v>
      </c>
      <c r="CS145" s="3"/>
      <c r="CT145" s="3"/>
      <c r="CU145" s="3"/>
      <c r="CV145" s="3">
        <f t="shared" si="165"/>
        <v>0</v>
      </c>
      <c r="CW145" s="3"/>
      <c r="CX145" s="3"/>
      <c r="CY145" s="3"/>
      <c r="CZ145" s="3">
        <f t="shared" si="173"/>
        <v>0</v>
      </c>
      <c r="DA145" s="3"/>
      <c r="DB145" s="3"/>
      <c r="DC145" s="3"/>
      <c r="DD145" s="3">
        <f t="shared" si="166"/>
        <v>0</v>
      </c>
      <c r="DE145" s="3"/>
      <c r="DF145" s="3"/>
      <c r="DG145" s="3"/>
      <c r="DH145" s="3">
        <f t="shared" si="167"/>
        <v>0</v>
      </c>
      <c r="DI145" s="3"/>
      <c r="DJ145" s="3"/>
      <c r="DK145" s="3"/>
      <c r="DL145" s="3">
        <f t="shared" si="147"/>
        <v>0</v>
      </c>
      <c r="DM145" s="3"/>
      <c r="DN145" s="3"/>
      <c r="DO145" s="3"/>
      <c r="DP145" s="3">
        <f t="shared" si="168"/>
        <v>0</v>
      </c>
      <c r="DQ145" s="3"/>
      <c r="DR145" s="3"/>
      <c r="DS145" s="3"/>
      <c r="DT145" s="3">
        <f t="shared" si="172"/>
        <v>0</v>
      </c>
      <c r="DU145" s="3"/>
      <c r="DV145" s="3"/>
      <c r="DW145" s="3"/>
      <c r="DX145" s="3">
        <f t="shared" si="169"/>
        <v>0</v>
      </c>
      <c r="DY145" s="3"/>
      <c r="DZ145" s="3"/>
      <c r="EA145" s="3"/>
      <c r="EB145" s="3">
        <f t="shared" si="170"/>
        <v>0</v>
      </c>
      <c r="EC145" s="4">
        <f t="shared" si="150"/>
        <v>-275</v>
      </c>
      <c r="ED145" s="5">
        <f t="shared" si="171"/>
        <v>0</v>
      </c>
      <c r="EE145" s="6">
        <f t="shared" si="118"/>
        <v>-275</v>
      </c>
      <c r="EF145" s="6">
        <f t="shared" si="118"/>
        <v>0</v>
      </c>
      <c r="EG145" s="6">
        <f t="shared" si="118"/>
        <v>0</v>
      </c>
    </row>
    <row r="146" spans="1:137" ht="12" customHeight="1" x14ac:dyDescent="0.35">
      <c r="A146" s="43" t="s">
        <v>115</v>
      </c>
      <c r="B146" s="43">
        <v>28324</v>
      </c>
      <c r="C146" s="43" t="s">
        <v>116</v>
      </c>
      <c r="D146" s="43" t="s">
        <v>543</v>
      </c>
      <c r="E146" s="43">
        <v>150783</v>
      </c>
      <c r="F146" s="43" t="s">
        <v>563</v>
      </c>
      <c r="G146" s="44">
        <v>46031</v>
      </c>
      <c r="H146" s="44">
        <v>46090</v>
      </c>
      <c r="I146" s="45">
        <v>18</v>
      </c>
      <c r="J146" s="45">
        <v>-18771</v>
      </c>
      <c r="K146" s="46"/>
      <c r="L146" s="45">
        <v>-1689.39</v>
      </c>
      <c r="M146" s="45">
        <v>-1689.39</v>
      </c>
      <c r="N146" s="45">
        <v>-3378.78</v>
      </c>
      <c r="O146" s="45">
        <v>-22149.78</v>
      </c>
      <c r="P146" s="43" t="s">
        <v>95</v>
      </c>
      <c r="Q146" s="43" t="s">
        <v>47</v>
      </c>
      <c r="R146" s="43" t="s">
        <v>112</v>
      </c>
      <c r="S146" s="43" t="s">
        <v>97</v>
      </c>
      <c r="T146" s="43" t="s">
        <v>98</v>
      </c>
      <c r="U146" s="43" t="s">
        <v>99</v>
      </c>
      <c r="V146" s="43">
        <v>996311</v>
      </c>
      <c r="W146" s="43" t="s">
        <v>564</v>
      </c>
      <c r="X146" s="43" t="s">
        <v>101</v>
      </c>
      <c r="Y146" s="43">
        <v>107</v>
      </c>
      <c r="Z146" s="43" t="s">
        <v>102</v>
      </c>
      <c r="AA146" t="s">
        <v>565</v>
      </c>
      <c r="AB146">
        <v>-3378.78</v>
      </c>
      <c r="AC146">
        <v>-3379</v>
      </c>
      <c r="AD146" s="38">
        <v>0</v>
      </c>
      <c r="AE146" t="s">
        <v>104</v>
      </c>
      <c r="AF146" t="s">
        <v>73</v>
      </c>
      <c r="AG146" s="3"/>
      <c r="AH146" s="3"/>
      <c r="AI146" s="3"/>
      <c r="AJ146" s="3">
        <f t="shared" si="151"/>
        <v>0</v>
      </c>
      <c r="AK146" s="3"/>
      <c r="AL146" s="3"/>
      <c r="AM146" s="3"/>
      <c r="AN146" s="3">
        <f t="shared" si="152"/>
        <v>0</v>
      </c>
      <c r="AO146" s="3"/>
      <c r="AP146" s="3"/>
      <c r="AQ146" s="3"/>
      <c r="AR146" s="3">
        <f t="shared" si="153"/>
        <v>0</v>
      </c>
      <c r="AS146" s="3"/>
      <c r="AT146" s="3"/>
      <c r="AU146" s="3"/>
      <c r="AV146" s="3">
        <f t="shared" si="154"/>
        <v>0</v>
      </c>
      <c r="AW146" s="3"/>
      <c r="AX146" s="3"/>
      <c r="AY146" s="3"/>
      <c r="AZ146" s="3">
        <f t="shared" si="155"/>
        <v>0</v>
      </c>
      <c r="BA146" s="3"/>
      <c r="BB146" s="3"/>
      <c r="BC146" s="3"/>
      <c r="BD146" s="3">
        <f t="shared" si="156"/>
        <v>0</v>
      </c>
      <c r="BE146" s="3"/>
      <c r="BF146" s="3"/>
      <c r="BG146" s="3"/>
      <c r="BH146" s="3">
        <f t="shared" si="148"/>
        <v>0</v>
      </c>
      <c r="BI146" s="3"/>
      <c r="BJ146" s="3"/>
      <c r="BK146" s="3"/>
      <c r="BL146" s="3">
        <f t="shared" si="149"/>
        <v>0</v>
      </c>
      <c r="BM146" s="3"/>
      <c r="BN146" s="3"/>
      <c r="BO146" s="3"/>
      <c r="BP146" s="3">
        <f t="shared" si="157"/>
        <v>0</v>
      </c>
      <c r="BQ146" s="3"/>
      <c r="BR146" s="3"/>
      <c r="BS146" s="3"/>
      <c r="BT146" s="3">
        <f t="shared" si="158"/>
        <v>0</v>
      </c>
      <c r="BU146" s="3"/>
      <c r="BV146" s="3"/>
      <c r="BW146" s="3"/>
      <c r="BX146" s="3">
        <f t="shared" si="159"/>
        <v>0</v>
      </c>
      <c r="BY146" s="3"/>
      <c r="BZ146" s="3"/>
      <c r="CA146" s="3"/>
      <c r="CB146" s="3">
        <f t="shared" si="160"/>
        <v>0</v>
      </c>
      <c r="CC146" s="3"/>
      <c r="CD146" s="3"/>
      <c r="CE146" s="3"/>
      <c r="CF146" s="3">
        <f t="shared" si="161"/>
        <v>0</v>
      </c>
      <c r="CG146" s="3"/>
      <c r="CH146" s="3"/>
      <c r="CI146" s="3"/>
      <c r="CJ146" s="3">
        <f t="shared" si="162"/>
        <v>0</v>
      </c>
      <c r="CK146" s="3"/>
      <c r="CL146" s="3"/>
      <c r="CM146" s="3"/>
      <c r="CN146" s="3">
        <f t="shared" si="163"/>
        <v>0</v>
      </c>
      <c r="CO146" s="3"/>
      <c r="CP146" s="3"/>
      <c r="CQ146" s="3"/>
      <c r="CR146" s="3">
        <f t="shared" si="164"/>
        <v>0</v>
      </c>
      <c r="CS146" s="3"/>
      <c r="CT146" s="3"/>
      <c r="CU146" s="3"/>
      <c r="CV146" s="3">
        <f t="shared" si="165"/>
        <v>0</v>
      </c>
      <c r="CW146" s="3">
        <f>SUM($K146:$M146)*CW$4/$CW$4</f>
        <v>-3378.78</v>
      </c>
      <c r="CX146" s="3">
        <v>0</v>
      </c>
      <c r="CY146" s="3">
        <v>0</v>
      </c>
      <c r="CZ146" s="3">
        <f t="shared" si="173"/>
        <v>-3378.78</v>
      </c>
      <c r="DA146" s="3"/>
      <c r="DB146" s="3"/>
      <c r="DC146" s="3"/>
      <c r="DD146" s="3">
        <f t="shared" si="166"/>
        <v>0</v>
      </c>
      <c r="DE146" s="3"/>
      <c r="DF146" s="3"/>
      <c r="DG146" s="3"/>
      <c r="DH146" s="3">
        <f t="shared" si="167"/>
        <v>0</v>
      </c>
      <c r="DI146" s="3"/>
      <c r="DJ146" s="3"/>
      <c r="DK146" s="3"/>
      <c r="DL146" s="3">
        <f t="shared" si="147"/>
        <v>0</v>
      </c>
      <c r="DM146" s="3"/>
      <c r="DN146" s="3"/>
      <c r="DO146" s="3"/>
      <c r="DP146" s="3">
        <f t="shared" si="168"/>
        <v>0</v>
      </c>
      <c r="DQ146" s="3"/>
      <c r="DR146" s="3"/>
      <c r="DS146" s="3"/>
      <c r="DT146" s="3">
        <f t="shared" si="172"/>
        <v>0</v>
      </c>
      <c r="DU146" s="3"/>
      <c r="DV146" s="3"/>
      <c r="DW146" s="3"/>
      <c r="DX146" s="3">
        <f t="shared" si="169"/>
        <v>0</v>
      </c>
      <c r="DY146" s="3"/>
      <c r="DZ146" s="3"/>
      <c r="EA146" s="3"/>
      <c r="EB146" s="3">
        <f t="shared" si="170"/>
        <v>0</v>
      </c>
      <c r="EC146" s="4">
        <f t="shared" si="150"/>
        <v>-3378.78</v>
      </c>
      <c r="ED146" s="5">
        <f t="shared" si="171"/>
        <v>0</v>
      </c>
      <c r="EE146" s="6">
        <f t="shared" si="118"/>
        <v>-3378.78</v>
      </c>
      <c r="EF146" s="6">
        <f t="shared" si="118"/>
        <v>0</v>
      </c>
      <c r="EG146" s="6">
        <f t="shared" si="118"/>
        <v>0</v>
      </c>
    </row>
    <row r="147" spans="1:137" ht="12" customHeight="1" x14ac:dyDescent="0.35">
      <c r="A147" s="43" t="s">
        <v>541</v>
      </c>
      <c r="B147" s="43">
        <v>44756</v>
      </c>
      <c r="C147" s="43" t="s">
        <v>566</v>
      </c>
      <c r="D147" s="43" t="s">
        <v>110</v>
      </c>
      <c r="E147" s="43">
        <v>150781</v>
      </c>
      <c r="F147" s="43" t="s">
        <v>567</v>
      </c>
      <c r="G147" s="44">
        <v>45967</v>
      </c>
      <c r="H147" s="44">
        <v>46090</v>
      </c>
      <c r="I147" s="45">
        <v>5</v>
      </c>
      <c r="J147" s="45">
        <v>-87.62</v>
      </c>
      <c r="K147" s="46">
        <v>-4.3810000000000002</v>
      </c>
      <c r="L147" s="45"/>
      <c r="M147" s="45"/>
      <c r="N147" s="45">
        <v>-4.3810000000000002</v>
      </c>
      <c r="O147" s="45">
        <v>-92</v>
      </c>
      <c r="P147" s="43" t="s">
        <v>95</v>
      </c>
      <c r="Q147" s="43" t="s">
        <v>36</v>
      </c>
      <c r="R147" s="43" t="s">
        <v>112</v>
      </c>
      <c r="S147" s="43" t="s">
        <v>97</v>
      </c>
      <c r="T147" s="43" t="s">
        <v>98</v>
      </c>
      <c r="U147" s="43" t="s">
        <v>99</v>
      </c>
      <c r="V147" s="43">
        <v>996311</v>
      </c>
      <c r="W147" s="43" t="s">
        <v>568</v>
      </c>
      <c r="X147" s="43" t="s">
        <v>101</v>
      </c>
      <c r="Y147" s="43">
        <v>107</v>
      </c>
      <c r="Z147" s="43" t="s">
        <v>102</v>
      </c>
      <c r="AA147" t="s">
        <v>569</v>
      </c>
      <c r="AB147">
        <v>-4.3810000000000002</v>
      </c>
      <c r="AC147">
        <v>-4.38</v>
      </c>
      <c r="AD147" s="38">
        <v>0</v>
      </c>
      <c r="AE147" t="s">
        <v>104</v>
      </c>
      <c r="AF147" t="s">
        <v>73</v>
      </c>
      <c r="AG147" s="3"/>
      <c r="AH147" s="3"/>
      <c r="AI147" s="3"/>
      <c r="AJ147" s="3">
        <f t="shared" si="151"/>
        <v>0</v>
      </c>
      <c r="AK147" s="3"/>
      <c r="AL147" s="3"/>
      <c r="AM147" s="3"/>
      <c r="AN147" s="3">
        <f t="shared" si="152"/>
        <v>0</v>
      </c>
      <c r="AO147" s="3"/>
      <c r="AP147" s="3"/>
      <c r="AQ147" s="3"/>
      <c r="AR147" s="3">
        <f t="shared" si="153"/>
        <v>0</v>
      </c>
      <c r="AS147" s="3"/>
      <c r="AT147" s="3"/>
      <c r="AU147" s="3"/>
      <c r="AV147" s="3">
        <f t="shared" si="154"/>
        <v>0</v>
      </c>
      <c r="AW147" s="3"/>
      <c r="AX147" s="3"/>
      <c r="AY147" s="3"/>
      <c r="AZ147" s="3">
        <f t="shared" si="155"/>
        <v>0</v>
      </c>
      <c r="BA147" s="3"/>
      <c r="BB147" s="3"/>
      <c r="BC147" s="3"/>
      <c r="BD147" s="3">
        <f t="shared" si="156"/>
        <v>0</v>
      </c>
      <c r="BE147" s="3">
        <f>$K147*BE$4/$BE$4</f>
        <v>-4.3810000000000002</v>
      </c>
      <c r="BF147" s="3">
        <f>$L147*BE$4/$BE$4</f>
        <v>0</v>
      </c>
      <c r="BG147" s="3">
        <f>$M147*BE$4/$BE$4</f>
        <v>0</v>
      </c>
      <c r="BH147" s="3">
        <f t="shared" si="148"/>
        <v>-4.3810000000000002</v>
      </c>
      <c r="BI147" s="3"/>
      <c r="BJ147" s="3"/>
      <c r="BK147" s="3"/>
      <c r="BL147" s="3">
        <f t="shared" si="149"/>
        <v>0</v>
      </c>
      <c r="BM147" s="3"/>
      <c r="BN147" s="3"/>
      <c r="BO147" s="3"/>
      <c r="BP147" s="3">
        <f t="shared" si="157"/>
        <v>0</v>
      </c>
      <c r="BQ147" s="3"/>
      <c r="BR147" s="3"/>
      <c r="BS147" s="3"/>
      <c r="BT147" s="3">
        <f t="shared" si="158"/>
        <v>0</v>
      </c>
      <c r="BU147" s="3"/>
      <c r="BV147" s="3"/>
      <c r="BW147" s="3"/>
      <c r="BX147" s="3">
        <f t="shared" si="159"/>
        <v>0</v>
      </c>
      <c r="BY147" s="3"/>
      <c r="BZ147" s="3"/>
      <c r="CA147" s="3"/>
      <c r="CB147" s="3">
        <f t="shared" si="160"/>
        <v>0</v>
      </c>
      <c r="CC147" s="3"/>
      <c r="CD147" s="3"/>
      <c r="CE147" s="3"/>
      <c r="CF147" s="3">
        <f t="shared" si="161"/>
        <v>0</v>
      </c>
      <c r="CG147" s="3"/>
      <c r="CH147" s="3"/>
      <c r="CI147" s="3"/>
      <c r="CJ147" s="3">
        <f t="shared" si="162"/>
        <v>0</v>
      </c>
      <c r="CK147" s="3"/>
      <c r="CL147" s="3"/>
      <c r="CM147" s="3"/>
      <c r="CN147" s="3">
        <f t="shared" si="163"/>
        <v>0</v>
      </c>
      <c r="CO147" s="3"/>
      <c r="CP147" s="3"/>
      <c r="CQ147" s="3"/>
      <c r="CR147" s="3">
        <f t="shared" si="164"/>
        <v>0</v>
      </c>
      <c r="CS147" s="3"/>
      <c r="CT147" s="3"/>
      <c r="CU147" s="3"/>
      <c r="CV147" s="3">
        <f t="shared" si="165"/>
        <v>0</v>
      </c>
      <c r="CW147" s="3"/>
      <c r="CX147" s="3"/>
      <c r="CY147" s="3"/>
      <c r="CZ147" s="3">
        <f t="shared" si="173"/>
        <v>0</v>
      </c>
      <c r="DA147" s="3"/>
      <c r="DB147" s="3"/>
      <c r="DC147" s="3"/>
      <c r="DD147" s="3">
        <f t="shared" si="166"/>
        <v>0</v>
      </c>
      <c r="DE147" s="3"/>
      <c r="DF147" s="3"/>
      <c r="DG147" s="3"/>
      <c r="DH147" s="3">
        <f t="shared" si="167"/>
        <v>0</v>
      </c>
      <c r="DI147" s="3"/>
      <c r="DJ147" s="3"/>
      <c r="DK147" s="3"/>
      <c r="DL147" s="3">
        <f t="shared" si="147"/>
        <v>0</v>
      </c>
      <c r="DM147" s="3"/>
      <c r="DN147" s="3"/>
      <c r="DO147" s="3"/>
      <c r="DP147" s="3">
        <f t="shared" si="168"/>
        <v>0</v>
      </c>
      <c r="DQ147" s="3"/>
      <c r="DR147" s="3"/>
      <c r="DS147" s="3"/>
      <c r="DT147" s="3">
        <f t="shared" si="172"/>
        <v>0</v>
      </c>
      <c r="DU147" s="3"/>
      <c r="DV147" s="3"/>
      <c r="DW147" s="3"/>
      <c r="DX147" s="3">
        <f t="shared" si="169"/>
        <v>0</v>
      </c>
      <c r="DY147" s="3"/>
      <c r="DZ147" s="3"/>
      <c r="EA147" s="3"/>
      <c r="EB147" s="3">
        <f t="shared" si="170"/>
        <v>0</v>
      </c>
      <c r="EC147" s="4">
        <f t="shared" si="150"/>
        <v>-4.3810000000000002</v>
      </c>
      <c r="ED147" s="5">
        <f t="shared" si="171"/>
        <v>0</v>
      </c>
      <c r="EE147" s="6">
        <f t="shared" si="118"/>
        <v>-4.3810000000000002</v>
      </c>
      <c r="EF147" s="6">
        <f t="shared" si="118"/>
        <v>0</v>
      </c>
      <c r="EG147" s="6">
        <f t="shared" si="118"/>
        <v>0</v>
      </c>
    </row>
    <row r="148" spans="1:137" ht="12" customHeight="1" x14ac:dyDescent="0.35">
      <c r="A148" s="43" t="s">
        <v>115</v>
      </c>
      <c r="B148" s="43">
        <v>28324</v>
      </c>
      <c r="C148" s="43" t="s">
        <v>570</v>
      </c>
      <c r="D148" s="43" t="s">
        <v>110</v>
      </c>
      <c r="E148" s="43">
        <v>150781</v>
      </c>
      <c r="F148" s="43" t="s">
        <v>571</v>
      </c>
      <c r="G148" s="44">
        <v>46038</v>
      </c>
      <c r="H148" s="44">
        <v>46104</v>
      </c>
      <c r="I148" s="45">
        <v>18</v>
      </c>
      <c r="J148" s="45">
        <v>-6000</v>
      </c>
      <c r="K148" s="46">
        <v>-1080</v>
      </c>
      <c r="L148" s="45"/>
      <c r="M148" s="45"/>
      <c r="N148" s="45">
        <v>-1080</v>
      </c>
      <c r="O148" s="45">
        <v>-7080</v>
      </c>
      <c r="P148" s="43" t="s">
        <v>95</v>
      </c>
      <c r="Q148" s="43" t="s">
        <v>36</v>
      </c>
      <c r="R148" s="43" t="s">
        <v>112</v>
      </c>
      <c r="S148" s="43" t="s">
        <v>97</v>
      </c>
      <c r="T148" s="43" t="s">
        <v>98</v>
      </c>
      <c r="U148" s="43" t="s">
        <v>99</v>
      </c>
      <c r="V148" s="43">
        <v>996311</v>
      </c>
      <c r="W148" s="43" t="s">
        <v>572</v>
      </c>
      <c r="X148" s="43" t="s">
        <v>101</v>
      </c>
      <c r="Y148" s="43">
        <v>107</v>
      </c>
      <c r="Z148" s="43" t="s">
        <v>102</v>
      </c>
      <c r="AA148" t="s">
        <v>573</v>
      </c>
      <c r="AB148">
        <v>-1080</v>
      </c>
      <c r="AC148">
        <v>-1080</v>
      </c>
      <c r="AD148" s="38">
        <v>0</v>
      </c>
      <c r="AE148" t="s">
        <v>104</v>
      </c>
      <c r="AF148" t="s">
        <v>73</v>
      </c>
      <c r="AG148" s="3"/>
      <c r="AH148" s="3"/>
      <c r="AI148" s="3"/>
      <c r="AJ148" s="3">
        <f t="shared" si="151"/>
        <v>0</v>
      </c>
      <c r="AK148" s="3"/>
      <c r="AL148" s="3"/>
      <c r="AM148" s="3"/>
      <c r="AN148" s="3">
        <f t="shared" si="152"/>
        <v>0</v>
      </c>
      <c r="AO148" s="3"/>
      <c r="AP148" s="3"/>
      <c r="AQ148" s="3"/>
      <c r="AR148" s="3">
        <f t="shared" si="153"/>
        <v>0</v>
      </c>
      <c r="AS148" s="3"/>
      <c r="AT148" s="3"/>
      <c r="AU148" s="3"/>
      <c r="AV148" s="3">
        <f t="shared" si="154"/>
        <v>0</v>
      </c>
      <c r="AW148" s="3"/>
      <c r="AX148" s="3"/>
      <c r="AY148" s="3"/>
      <c r="AZ148" s="3">
        <f t="shared" si="155"/>
        <v>0</v>
      </c>
      <c r="BA148" s="3"/>
      <c r="BB148" s="3"/>
      <c r="BC148" s="3"/>
      <c r="BD148" s="3">
        <f t="shared" si="156"/>
        <v>0</v>
      </c>
      <c r="BE148" s="3">
        <f>$K148*BE$4/$BE$4</f>
        <v>-1080</v>
      </c>
      <c r="BF148" s="3">
        <f>$L148*BE$4/$BE$4</f>
        <v>0</v>
      </c>
      <c r="BG148" s="3">
        <f>$M148*BE$4/$BE$4</f>
        <v>0</v>
      </c>
      <c r="BH148" s="3">
        <f t="shared" si="148"/>
        <v>-1080</v>
      </c>
      <c r="BI148" s="3"/>
      <c r="BJ148" s="3"/>
      <c r="BK148" s="3"/>
      <c r="BL148" s="3">
        <f t="shared" si="149"/>
        <v>0</v>
      </c>
      <c r="BM148" s="3"/>
      <c r="BN148" s="3"/>
      <c r="BO148" s="3"/>
      <c r="BP148" s="3">
        <f t="shared" si="157"/>
        <v>0</v>
      </c>
      <c r="BQ148" s="3"/>
      <c r="BR148" s="3"/>
      <c r="BS148" s="3"/>
      <c r="BT148" s="3">
        <f t="shared" si="158"/>
        <v>0</v>
      </c>
      <c r="BU148" s="3"/>
      <c r="BV148" s="3"/>
      <c r="BW148" s="3"/>
      <c r="BX148" s="3">
        <f t="shared" si="159"/>
        <v>0</v>
      </c>
      <c r="BY148" s="3"/>
      <c r="BZ148" s="3"/>
      <c r="CA148" s="3"/>
      <c r="CB148" s="3">
        <f t="shared" si="160"/>
        <v>0</v>
      </c>
      <c r="CC148" s="3"/>
      <c r="CD148" s="3"/>
      <c r="CE148" s="3"/>
      <c r="CF148" s="3">
        <f t="shared" si="161"/>
        <v>0</v>
      </c>
      <c r="CG148" s="3"/>
      <c r="CH148" s="3"/>
      <c r="CI148" s="3"/>
      <c r="CJ148" s="3">
        <f t="shared" si="162"/>
        <v>0</v>
      </c>
      <c r="CK148" s="3"/>
      <c r="CL148" s="3"/>
      <c r="CM148" s="3"/>
      <c r="CN148" s="3">
        <f t="shared" si="163"/>
        <v>0</v>
      </c>
      <c r="CO148" s="3"/>
      <c r="CP148" s="3"/>
      <c r="CQ148" s="3"/>
      <c r="CR148" s="3">
        <f t="shared" si="164"/>
        <v>0</v>
      </c>
      <c r="CS148" s="3"/>
      <c r="CT148" s="3"/>
      <c r="CU148" s="3"/>
      <c r="CV148" s="3">
        <f t="shared" si="165"/>
        <v>0</v>
      </c>
      <c r="CW148" s="3"/>
      <c r="CX148" s="3"/>
      <c r="CY148" s="3"/>
      <c r="CZ148" s="3">
        <f t="shared" si="173"/>
        <v>0</v>
      </c>
      <c r="DA148" s="3"/>
      <c r="DB148" s="3"/>
      <c r="DC148" s="3"/>
      <c r="DD148" s="3">
        <f t="shared" si="166"/>
        <v>0</v>
      </c>
      <c r="DE148" s="3"/>
      <c r="DF148" s="3"/>
      <c r="DG148" s="3"/>
      <c r="DH148" s="3">
        <f t="shared" si="167"/>
        <v>0</v>
      </c>
      <c r="DI148" s="3"/>
      <c r="DJ148" s="3"/>
      <c r="DK148" s="3"/>
      <c r="DL148" s="3">
        <f t="shared" si="147"/>
        <v>0</v>
      </c>
      <c r="DM148" s="3"/>
      <c r="DN148" s="3"/>
      <c r="DO148" s="3"/>
      <c r="DP148" s="3">
        <f t="shared" si="168"/>
        <v>0</v>
      </c>
      <c r="DQ148" s="3"/>
      <c r="DR148" s="3"/>
      <c r="DS148" s="3"/>
      <c r="DT148" s="3">
        <f t="shared" si="172"/>
        <v>0</v>
      </c>
      <c r="DU148" s="3"/>
      <c r="DV148" s="3"/>
      <c r="DW148" s="3"/>
      <c r="DX148" s="3">
        <f t="shared" si="169"/>
        <v>0</v>
      </c>
      <c r="DY148" s="3"/>
      <c r="DZ148" s="3"/>
      <c r="EA148" s="3"/>
      <c r="EB148" s="3">
        <f t="shared" si="170"/>
        <v>0</v>
      </c>
      <c r="EC148" s="4">
        <f t="shared" si="150"/>
        <v>-1080</v>
      </c>
      <c r="ED148" s="5">
        <f t="shared" si="171"/>
        <v>0</v>
      </c>
      <c r="EE148" s="6">
        <f t="shared" si="118"/>
        <v>-1080</v>
      </c>
      <c r="EF148" s="6">
        <f t="shared" si="118"/>
        <v>0</v>
      </c>
      <c r="EG148" s="6">
        <f t="shared" si="118"/>
        <v>0</v>
      </c>
    </row>
    <row r="149" spans="1:137" ht="12" customHeight="1" x14ac:dyDescent="0.35">
      <c r="A149" s="43" t="s">
        <v>115</v>
      </c>
      <c r="B149" s="43">
        <v>28324</v>
      </c>
      <c r="C149" s="43" t="s">
        <v>574</v>
      </c>
      <c r="D149" s="43" t="s">
        <v>110</v>
      </c>
      <c r="E149" s="43">
        <v>150781</v>
      </c>
      <c r="F149" s="43" t="s">
        <v>575</v>
      </c>
      <c r="G149" s="44">
        <v>46076</v>
      </c>
      <c r="H149" s="44">
        <v>46104</v>
      </c>
      <c r="I149" s="45">
        <v>5</v>
      </c>
      <c r="J149" s="45">
        <v>-3918</v>
      </c>
      <c r="K149" s="46">
        <v>-195.9</v>
      </c>
      <c r="L149" s="45"/>
      <c r="M149" s="45"/>
      <c r="N149" s="45">
        <v>-195.9</v>
      </c>
      <c r="O149" s="45">
        <v>-4113.8999999999996</v>
      </c>
      <c r="P149" s="43" t="s">
        <v>95</v>
      </c>
      <c r="Q149" s="43" t="s">
        <v>36</v>
      </c>
      <c r="R149" s="43" t="s">
        <v>112</v>
      </c>
      <c r="S149" s="43" t="s">
        <v>97</v>
      </c>
      <c r="T149" s="43" t="s">
        <v>98</v>
      </c>
      <c r="U149" s="43" t="s">
        <v>99</v>
      </c>
      <c r="V149" s="43">
        <v>996311</v>
      </c>
      <c r="W149" s="43" t="s">
        <v>576</v>
      </c>
      <c r="X149" s="43" t="s">
        <v>101</v>
      </c>
      <c r="Y149" s="43">
        <v>107</v>
      </c>
      <c r="Z149" s="43" t="s">
        <v>102</v>
      </c>
      <c r="AA149" t="s">
        <v>577</v>
      </c>
      <c r="AB149">
        <v>-195.9</v>
      </c>
      <c r="AC149">
        <v>-196</v>
      </c>
      <c r="AD149" s="38">
        <v>0</v>
      </c>
      <c r="AE149" t="s">
        <v>104</v>
      </c>
      <c r="AF149" t="s">
        <v>73</v>
      </c>
      <c r="AG149" s="3"/>
      <c r="AH149" s="3"/>
      <c r="AI149" s="3"/>
      <c r="AJ149" s="3">
        <f t="shared" si="151"/>
        <v>0</v>
      </c>
      <c r="AK149" s="3"/>
      <c r="AL149" s="3"/>
      <c r="AM149" s="3"/>
      <c r="AN149" s="3">
        <f t="shared" si="152"/>
        <v>0</v>
      </c>
      <c r="AO149" s="3"/>
      <c r="AP149" s="3"/>
      <c r="AQ149" s="3"/>
      <c r="AR149" s="3">
        <f t="shared" si="153"/>
        <v>0</v>
      </c>
      <c r="AS149" s="3"/>
      <c r="AT149" s="3"/>
      <c r="AU149" s="3"/>
      <c r="AV149" s="3">
        <f t="shared" si="154"/>
        <v>0</v>
      </c>
      <c r="AW149" s="3"/>
      <c r="AX149" s="3"/>
      <c r="AY149" s="3"/>
      <c r="AZ149" s="3">
        <f t="shared" si="155"/>
        <v>0</v>
      </c>
      <c r="BA149" s="3"/>
      <c r="BB149" s="3"/>
      <c r="BC149" s="3"/>
      <c r="BD149" s="3">
        <f t="shared" si="156"/>
        <v>0</v>
      </c>
      <c r="BE149" s="3">
        <f>$K149*BE$4/$BE$4</f>
        <v>-195.9</v>
      </c>
      <c r="BF149" s="3">
        <f>$L149*BE$4/$BE$4</f>
        <v>0</v>
      </c>
      <c r="BG149" s="3">
        <f>$M149*BE$4/$BE$4</f>
        <v>0</v>
      </c>
      <c r="BH149" s="3">
        <f t="shared" si="148"/>
        <v>-195.9</v>
      </c>
      <c r="BI149" s="3"/>
      <c r="BJ149" s="3"/>
      <c r="BK149" s="3"/>
      <c r="BL149" s="3">
        <f t="shared" si="149"/>
        <v>0</v>
      </c>
      <c r="BM149" s="3"/>
      <c r="BN149" s="3"/>
      <c r="BO149" s="3"/>
      <c r="BP149" s="3">
        <f t="shared" si="157"/>
        <v>0</v>
      </c>
      <c r="BQ149" s="3"/>
      <c r="BR149" s="3"/>
      <c r="BS149" s="3"/>
      <c r="BT149" s="3">
        <f t="shared" si="158"/>
        <v>0</v>
      </c>
      <c r="BU149" s="3"/>
      <c r="BV149" s="3"/>
      <c r="BW149" s="3"/>
      <c r="BX149" s="3">
        <f t="shared" si="159"/>
        <v>0</v>
      </c>
      <c r="BY149" s="3"/>
      <c r="BZ149" s="3"/>
      <c r="CA149" s="3"/>
      <c r="CB149" s="3">
        <f t="shared" si="160"/>
        <v>0</v>
      </c>
      <c r="CC149" s="3"/>
      <c r="CD149" s="3"/>
      <c r="CE149" s="3"/>
      <c r="CF149" s="3">
        <f t="shared" si="161"/>
        <v>0</v>
      </c>
      <c r="CG149" s="3"/>
      <c r="CH149" s="3"/>
      <c r="CI149" s="3"/>
      <c r="CJ149" s="3">
        <f t="shared" si="162"/>
        <v>0</v>
      </c>
      <c r="CK149" s="3"/>
      <c r="CL149" s="3"/>
      <c r="CM149" s="3"/>
      <c r="CN149" s="3">
        <f t="shared" si="163"/>
        <v>0</v>
      </c>
      <c r="CO149" s="3"/>
      <c r="CP149" s="3"/>
      <c r="CQ149" s="3"/>
      <c r="CR149" s="3">
        <f t="shared" si="164"/>
        <v>0</v>
      </c>
      <c r="CS149" s="3"/>
      <c r="CT149" s="3"/>
      <c r="CU149" s="3"/>
      <c r="CV149" s="3">
        <f t="shared" si="165"/>
        <v>0</v>
      </c>
      <c r="CW149" s="3"/>
      <c r="CX149" s="3"/>
      <c r="CY149" s="3"/>
      <c r="CZ149" s="3">
        <f t="shared" si="173"/>
        <v>0</v>
      </c>
      <c r="DA149" s="3"/>
      <c r="DB149" s="3"/>
      <c r="DC149" s="3"/>
      <c r="DD149" s="3">
        <f t="shared" si="166"/>
        <v>0</v>
      </c>
      <c r="DE149" s="3"/>
      <c r="DF149" s="3"/>
      <c r="DG149" s="3"/>
      <c r="DH149" s="3">
        <f t="shared" si="167"/>
        <v>0</v>
      </c>
      <c r="DI149" s="3"/>
      <c r="DJ149" s="3"/>
      <c r="DK149" s="3"/>
      <c r="DL149" s="3">
        <f t="shared" si="147"/>
        <v>0</v>
      </c>
      <c r="DM149" s="3"/>
      <c r="DN149" s="3"/>
      <c r="DO149" s="3"/>
      <c r="DP149" s="3">
        <f t="shared" si="168"/>
        <v>0</v>
      </c>
      <c r="DQ149" s="3"/>
      <c r="DR149" s="3"/>
      <c r="DS149" s="3"/>
      <c r="DT149" s="3">
        <f t="shared" si="172"/>
        <v>0</v>
      </c>
      <c r="DU149" s="3"/>
      <c r="DV149" s="3"/>
      <c r="DW149" s="3"/>
      <c r="DX149" s="3">
        <f t="shared" si="169"/>
        <v>0</v>
      </c>
      <c r="DY149" s="3"/>
      <c r="DZ149" s="3"/>
      <c r="EA149" s="3"/>
      <c r="EB149" s="3">
        <f t="shared" si="170"/>
        <v>0</v>
      </c>
      <c r="EC149" s="4">
        <f t="shared" si="150"/>
        <v>-195.9</v>
      </c>
      <c r="ED149" s="5">
        <f t="shared" si="171"/>
        <v>0</v>
      </c>
      <c r="EE149" s="6">
        <f t="shared" si="118"/>
        <v>-195.9</v>
      </c>
      <c r="EF149" s="6">
        <f t="shared" si="118"/>
        <v>0</v>
      </c>
      <c r="EG149" s="6">
        <f t="shared" si="118"/>
        <v>0</v>
      </c>
    </row>
    <row r="150" spans="1:137" ht="12" customHeight="1" x14ac:dyDescent="0.35">
      <c r="A150" s="43" t="s">
        <v>91</v>
      </c>
      <c r="B150" s="43">
        <v>30450</v>
      </c>
      <c r="C150" s="43" t="s">
        <v>105</v>
      </c>
      <c r="D150" s="43" t="s">
        <v>110</v>
      </c>
      <c r="E150" s="43">
        <v>150781</v>
      </c>
      <c r="F150" s="43" t="s">
        <v>578</v>
      </c>
      <c r="G150" s="44">
        <v>45961</v>
      </c>
      <c r="H150" s="44">
        <v>46104</v>
      </c>
      <c r="I150" s="45">
        <v>5</v>
      </c>
      <c r="J150" s="45">
        <v>-5183</v>
      </c>
      <c r="K150" s="46">
        <v>-259.14999999999998</v>
      </c>
      <c r="L150" s="45"/>
      <c r="M150" s="45"/>
      <c r="N150" s="45">
        <v>-259.14999999999998</v>
      </c>
      <c r="O150" s="45">
        <v>-5442.15</v>
      </c>
      <c r="P150" s="43" t="s">
        <v>95</v>
      </c>
      <c r="Q150" s="43" t="s">
        <v>36</v>
      </c>
      <c r="R150" s="43" t="s">
        <v>112</v>
      </c>
      <c r="S150" s="43" t="s">
        <v>97</v>
      </c>
      <c r="T150" s="43" t="s">
        <v>98</v>
      </c>
      <c r="U150" s="43" t="s">
        <v>99</v>
      </c>
      <c r="V150" s="43">
        <v>996311</v>
      </c>
      <c r="W150" s="43" t="s">
        <v>579</v>
      </c>
      <c r="X150" s="43" t="s">
        <v>101</v>
      </c>
      <c r="Y150" s="43">
        <v>107</v>
      </c>
      <c r="Z150" s="43" t="s">
        <v>102</v>
      </c>
      <c r="AA150" t="s">
        <v>580</v>
      </c>
      <c r="AB150">
        <v>-259.14999999999998</v>
      </c>
      <c r="AC150">
        <v>-259</v>
      </c>
      <c r="AD150" s="38">
        <v>0</v>
      </c>
      <c r="AE150" t="s">
        <v>104</v>
      </c>
      <c r="AF150" t="s">
        <v>73</v>
      </c>
      <c r="AG150" s="3"/>
      <c r="AH150" s="3"/>
      <c r="AI150" s="3"/>
      <c r="AJ150" s="3">
        <f t="shared" si="151"/>
        <v>0</v>
      </c>
      <c r="AK150" s="3"/>
      <c r="AL150" s="3"/>
      <c r="AM150" s="3"/>
      <c r="AN150" s="3">
        <f t="shared" si="152"/>
        <v>0</v>
      </c>
      <c r="AO150" s="3"/>
      <c r="AP150" s="3"/>
      <c r="AQ150" s="3"/>
      <c r="AR150" s="3">
        <f t="shared" si="153"/>
        <v>0</v>
      </c>
      <c r="AS150" s="3"/>
      <c r="AT150" s="3"/>
      <c r="AU150" s="3"/>
      <c r="AV150" s="3">
        <f t="shared" si="154"/>
        <v>0</v>
      </c>
      <c r="AW150" s="3"/>
      <c r="AX150" s="3"/>
      <c r="AY150" s="3"/>
      <c r="AZ150" s="3">
        <f t="shared" si="155"/>
        <v>0</v>
      </c>
      <c r="BA150" s="3"/>
      <c r="BB150" s="3"/>
      <c r="BC150" s="3"/>
      <c r="BD150" s="3">
        <f t="shared" si="156"/>
        <v>0</v>
      </c>
      <c r="BE150" s="3">
        <f>$K150*BE$4/$BE$4</f>
        <v>-259.14999999999998</v>
      </c>
      <c r="BF150" s="3">
        <f>$L150*BE$4/$BE$4</f>
        <v>0</v>
      </c>
      <c r="BG150" s="3">
        <f>$M150*BE$4/$BE$4</f>
        <v>0</v>
      </c>
      <c r="BH150" s="3">
        <f t="shared" si="148"/>
        <v>-259.14999999999998</v>
      </c>
      <c r="BI150" s="3"/>
      <c r="BJ150" s="3"/>
      <c r="BK150" s="3"/>
      <c r="BL150" s="3">
        <f t="shared" si="149"/>
        <v>0</v>
      </c>
      <c r="BM150" s="3"/>
      <c r="BN150" s="3"/>
      <c r="BO150" s="3"/>
      <c r="BP150" s="3">
        <f t="shared" si="157"/>
        <v>0</v>
      </c>
      <c r="BQ150" s="3"/>
      <c r="BR150" s="3"/>
      <c r="BS150" s="3"/>
      <c r="BT150" s="3">
        <f t="shared" si="158"/>
        <v>0</v>
      </c>
      <c r="BU150" s="3"/>
      <c r="BV150" s="3"/>
      <c r="BW150" s="3"/>
      <c r="BX150" s="3">
        <f t="shared" si="159"/>
        <v>0</v>
      </c>
      <c r="BY150" s="3"/>
      <c r="BZ150" s="3"/>
      <c r="CA150" s="3"/>
      <c r="CB150" s="3">
        <f t="shared" si="160"/>
        <v>0</v>
      </c>
      <c r="CC150" s="3"/>
      <c r="CD150" s="3"/>
      <c r="CE150" s="3"/>
      <c r="CF150" s="3">
        <f t="shared" si="161"/>
        <v>0</v>
      </c>
      <c r="CG150" s="3"/>
      <c r="CH150" s="3"/>
      <c r="CI150" s="3"/>
      <c r="CJ150" s="3">
        <f t="shared" si="162"/>
        <v>0</v>
      </c>
      <c r="CK150" s="3"/>
      <c r="CL150" s="3"/>
      <c r="CM150" s="3"/>
      <c r="CN150" s="3">
        <f t="shared" si="163"/>
        <v>0</v>
      </c>
      <c r="CO150" s="3"/>
      <c r="CP150" s="3"/>
      <c r="CQ150" s="3"/>
      <c r="CR150" s="3">
        <f t="shared" si="164"/>
        <v>0</v>
      </c>
      <c r="CS150" s="3"/>
      <c r="CT150" s="3"/>
      <c r="CU150" s="3"/>
      <c r="CV150" s="3">
        <f t="shared" si="165"/>
        <v>0</v>
      </c>
      <c r="CW150" s="3"/>
      <c r="CX150" s="3"/>
      <c r="CY150" s="3"/>
      <c r="CZ150" s="3">
        <f t="shared" si="173"/>
        <v>0</v>
      </c>
      <c r="DA150" s="3"/>
      <c r="DB150" s="3"/>
      <c r="DC150" s="3"/>
      <c r="DD150" s="3">
        <f t="shared" si="166"/>
        <v>0</v>
      </c>
      <c r="DE150" s="3"/>
      <c r="DF150" s="3"/>
      <c r="DG150" s="3"/>
      <c r="DH150" s="3">
        <f t="shared" si="167"/>
        <v>0</v>
      </c>
      <c r="DI150" s="3"/>
      <c r="DJ150" s="3"/>
      <c r="DK150" s="3"/>
      <c r="DL150" s="3">
        <f t="shared" si="147"/>
        <v>0</v>
      </c>
      <c r="DM150" s="3"/>
      <c r="DN150" s="3"/>
      <c r="DO150" s="3"/>
      <c r="DP150" s="3">
        <f t="shared" si="168"/>
        <v>0</v>
      </c>
      <c r="DQ150" s="3"/>
      <c r="DR150" s="3"/>
      <c r="DS150" s="3"/>
      <c r="DT150" s="3">
        <f t="shared" si="172"/>
        <v>0</v>
      </c>
      <c r="DU150" s="3"/>
      <c r="DV150" s="3"/>
      <c r="DW150" s="3"/>
      <c r="DX150" s="3">
        <f t="shared" si="169"/>
        <v>0</v>
      </c>
      <c r="DY150" s="3"/>
      <c r="DZ150" s="3"/>
      <c r="EA150" s="3"/>
      <c r="EB150" s="3">
        <f t="shared" si="170"/>
        <v>0</v>
      </c>
      <c r="EC150" s="4">
        <f t="shared" si="150"/>
        <v>-259.14999999999998</v>
      </c>
      <c r="ED150" s="5">
        <f t="shared" si="171"/>
        <v>0</v>
      </c>
      <c r="EE150" s="6">
        <f t="shared" si="118"/>
        <v>-259.14999999999998</v>
      </c>
      <c r="EF150" s="6">
        <f t="shared" si="118"/>
        <v>0</v>
      </c>
      <c r="EG150" s="6">
        <f t="shared" si="118"/>
        <v>0</v>
      </c>
    </row>
    <row r="151" spans="1:137" ht="12" customHeight="1" x14ac:dyDescent="0.35">
      <c r="A151" s="43" t="s">
        <v>115</v>
      </c>
      <c r="B151" s="43">
        <v>28324</v>
      </c>
      <c r="C151" s="43" t="s">
        <v>120</v>
      </c>
      <c r="D151" s="43" t="s">
        <v>110</v>
      </c>
      <c r="E151" s="43">
        <v>150781</v>
      </c>
      <c r="F151" s="43" t="s">
        <v>581</v>
      </c>
      <c r="G151" s="44">
        <v>46007</v>
      </c>
      <c r="H151" s="44">
        <v>46104</v>
      </c>
      <c r="I151" s="45">
        <v>18</v>
      </c>
      <c r="J151" s="45">
        <v>-45000</v>
      </c>
      <c r="K151" s="46">
        <v>-8100</v>
      </c>
      <c r="L151" s="45"/>
      <c r="M151" s="45"/>
      <c r="N151" s="45">
        <v>-8100</v>
      </c>
      <c r="O151" s="45">
        <v>-53100</v>
      </c>
      <c r="P151" s="43" t="s">
        <v>95</v>
      </c>
      <c r="Q151" s="43" t="s">
        <v>36</v>
      </c>
      <c r="R151" s="43" t="s">
        <v>112</v>
      </c>
      <c r="S151" s="43" t="s">
        <v>97</v>
      </c>
      <c r="T151" s="43" t="s">
        <v>98</v>
      </c>
      <c r="U151" s="43" t="s">
        <v>99</v>
      </c>
      <c r="V151" s="43">
        <v>996311</v>
      </c>
      <c r="W151" s="43" t="s">
        <v>582</v>
      </c>
      <c r="X151" s="43" t="s">
        <v>101</v>
      </c>
      <c r="Y151" s="43">
        <v>107</v>
      </c>
      <c r="Z151" s="43" t="s">
        <v>102</v>
      </c>
      <c r="AA151" t="s">
        <v>583</v>
      </c>
      <c r="AB151">
        <v>-8100</v>
      </c>
      <c r="AC151">
        <v>-8100</v>
      </c>
      <c r="AD151" s="38">
        <v>0</v>
      </c>
      <c r="AE151" t="s">
        <v>104</v>
      </c>
      <c r="AF151" t="s">
        <v>73</v>
      </c>
      <c r="AG151" s="3"/>
      <c r="AH151" s="3"/>
      <c r="AI151" s="3"/>
      <c r="AJ151" s="3">
        <f t="shared" si="151"/>
        <v>0</v>
      </c>
      <c r="AK151" s="3"/>
      <c r="AL151" s="3"/>
      <c r="AM151" s="3"/>
      <c r="AN151" s="3">
        <f t="shared" si="152"/>
        <v>0</v>
      </c>
      <c r="AO151" s="3"/>
      <c r="AP151" s="3"/>
      <c r="AQ151" s="3"/>
      <c r="AR151" s="3">
        <f t="shared" si="153"/>
        <v>0</v>
      </c>
      <c r="AS151" s="3"/>
      <c r="AT151" s="3"/>
      <c r="AU151" s="3"/>
      <c r="AV151" s="3">
        <f t="shared" si="154"/>
        <v>0</v>
      </c>
      <c r="AW151" s="3"/>
      <c r="AX151" s="3"/>
      <c r="AY151" s="3"/>
      <c r="AZ151" s="3">
        <f t="shared" si="155"/>
        <v>0</v>
      </c>
      <c r="BA151" s="3"/>
      <c r="BB151" s="3"/>
      <c r="BC151" s="3"/>
      <c r="BD151" s="3">
        <f t="shared" si="156"/>
        <v>0</v>
      </c>
      <c r="BE151" s="3">
        <f>$K151*BE$4/$BE$4</f>
        <v>-8100</v>
      </c>
      <c r="BF151" s="3">
        <f>$L151*BE$4/$BE$4</f>
        <v>0</v>
      </c>
      <c r="BG151" s="3">
        <f>$M151*BE$4/$BE$4</f>
        <v>0</v>
      </c>
      <c r="BH151" s="3">
        <f t="shared" si="148"/>
        <v>-8100</v>
      </c>
      <c r="BI151" s="3"/>
      <c r="BJ151" s="3"/>
      <c r="BK151" s="3"/>
      <c r="BL151" s="3">
        <f t="shared" si="149"/>
        <v>0</v>
      </c>
      <c r="BM151" s="3"/>
      <c r="BN151" s="3"/>
      <c r="BO151" s="3"/>
      <c r="BP151" s="3">
        <f t="shared" si="157"/>
        <v>0</v>
      </c>
      <c r="BQ151" s="3"/>
      <c r="BR151" s="3"/>
      <c r="BS151" s="3"/>
      <c r="BT151" s="3">
        <f t="shared" si="158"/>
        <v>0</v>
      </c>
      <c r="BU151" s="3"/>
      <c r="BV151" s="3"/>
      <c r="BW151" s="3"/>
      <c r="BX151" s="3">
        <f t="shared" si="159"/>
        <v>0</v>
      </c>
      <c r="BY151" s="3"/>
      <c r="BZ151" s="3"/>
      <c r="CA151" s="3"/>
      <c r="CB151" s="3">
        <f t="shared" si="160"/>
        <v>0</v>
      </c>
      <c r="CC151" s="3"/>
      <c r="CD151" s="3"/>
      <c r="CE151" s="3"/>
      <c r="CF151" s="3">
        <f t="shared" si="161"/>
        <v>0</v>
      </c>
      <c r="CG151" s="3"/>
      <c r="CH151" s="3"/>
      <c r="CI151" s="3"/>
      <c r="CJ151" s="3">
        <f t="shared" si="162"/>
        <v>0</v>
      </c>
      <c r="CK151" s="3"/>
      <c r="CL151" s="3"/>
      <c r="CM151" s="3"/>
      <c r="CN151" s="3">
        <f t="shared" si="163"/>
        <v>0</v>
      </c>
      <c r="CO151" s="3"/>
      <c r="CP151" s="3"/>
      <c r="CQ151" s="3"/>
      <c r="CR151" s="3">
        <f t="shared" si="164"/>
        <v>0</v>
      </c>
      <c r="CS151" s="3"/>
      <c r="CT151" s="3"/>
      <c r="CU151" s="3"/>
      <c r="CV151" s="3">
        <f t="shared" si="165"/>
        <v>0</v>
      </c>
      <c r="CW151" s="3"/>
      <c r="CX151" s="3"/>
      <c r="CY151" s="3"/>
      <c r="CZ151" s="3">
        <f t="shared" si="173"/>
        <v>0</v>
      </c>
      <c r="DA151" s="3"/>
      <c r="DB151" s="3"/>
      <c r="DC151" s="3"/>
      <c r="DD151" s="3">
        <f t="shared" si="166"/>
        <v>0</v>
      </c>
      <c r="DE151" s="3"/>
      <c r="DF151" s="3"/>
      <c r="DG151" s="3"/>
      <c r="DH151" s="3">
        <f t="shared" si="167"/>
        <v>0</v>
      </c>
      <c r="DI151" s="3"/>
      <c r="DJ151" s="3"/>
      <c r="DK151" s="3"/>
      <c r="DL151" s="3">
        <f t="shared" si="147"/>
        <v>0</v>
      </c>
      <c r="DM151" s="3"/>
      <c r="DN151" s="3"/>
      <c r="DO151" s="3"/>
      <c r="DP151" s="3">
        <f t="shared" si="168"/>
        <v>0</v>
      </c>
      <c r="DQ151" s="3"/>
      <c r="DR151" s="3"/>
      <c r="DS151" s="3"/>
      <c r="DT151" s="3">
        <f t="shared" si="172"/>
        <v>0</v>
      </c>
      <c r="DU151" s="3"/>
      <c r="DV151" s="3"/>
      <c r="DW151" s="3"/>
      <c r="DX151" s="3">
        <f t="shared" si="169"/>
        <v>0</v>
      </c>
      <c r="DY151" s="3"/>
      <c r="DZ151" s="3"/>
      <c r="EA151" s="3"/>
      <c r="EB151" s="3">
        <f t="shared" si="170"/>
        <v>0</v>
      </c>
      <c r="EC151" s="4">
        <f t="shared" si="150"/>
        <v>-8100</v>
      </c>
      <c r="ED151" s="5">
        <f t="shared" si="171"/>
        <v>0</v>
      </c>
      <c r="EE151" s="6">
        <f t="shared" si="118"/>
        <v>-8100</v>
      </c>
      <c r="EF151" s="6">
        <f t="shared" si="118"/>
        <v>0</v>
      </c>
      <c r="EG151" s="6">
        <f t="shared" si="118"/>
        <v>0</v>
      </c>
    </row>
    <row r="152" spans="1:137" ht="12" customHeight="1" x14ac:dyDescent="0.35">
      <c r="A152" s="43" t="s">
        <v>115</v>
      </c>
      <c r="B152" s="43">
        <v>28324</v>
      </c>
      <c r="C152" s="43" t="s">
        <v>116</v>
      </c>
      <c r="D152" s="43" t="s">
        <v>543</v>
      </c>
      <c r="E152" s="43">
        <v>150783</v>
      </c>
      <c r="F152" s="43" t="s">
        <v>584</v>
      </c>
      <c r="G152" s="44">
        <v>46003</v>
      </c>
      <c r="H152" s="44">
        <v>46090</v>
      </c>
      <c r="I152" s="45">
        <v>5</v>
      </c>
      <c r="J152" s="45">
        <v>-11481</v>
      </c>
      <c r="K152" s="46"/>
      <c r="L152" s="45">
        <v>-287.02499999999998</v>
      </c>
      <c r="M152" s="45">
        <v>-287.02499999999998</v>
      </c>
      <c r="N152" s="45">
        <v>-574.04999999999995</v>
      </c>
      <c r="O152" s="45">
        <v>-12055.06</v>
      </c>
      <c r="P152" s="43" t="s">
        <v>95</v>
      </c>
      <c r="Q152" s="43" t="s">
        <v>47</v>
      </c>
      <c r="R152" s="43" t="s">
        <v>112</v>
      </c>
      <c r="S152" s="43" t="s">
        <v>97</v>
      </c>
      <c r="T152" s="43" t="s">
        <v>98</v>
      </c>
      <c r="U152" s="43" t="s">
        <v>99</v>
      </c>
      <c r="V152" s="43">
        <v>996311</v>
      </c>
      <c r="W152" s="43" t="s">
        <v>585</v>
      </c>
      <c r="X152" s="43" t="s">
        <v>101</v>
      </c>
      <c r="Y152" s="43">
        <v>107</v>
      </c>
      <c r="Z152" s="43" t="s">
        <v>102</v>
      </c>
      <c r="AA152" t="s">
        <v>586</v>
      </c>
      <c r="AB152">
        <v>-574.04999999999995</v>
      </c>
      <c r="AC152">
        <v>-574</v>
      </c>
      <c r="AD152" s="38">
        <v>0</v>
      </c>
      <c r="AE152" t="s">
        <v>104</v>
      </c>
      <c r="AF152" t="s">
        <v>73</v>
      </c>
      <c r="AG152" s="3"/>
      <c r="AH152" s="3"/>
      <c r="AI152" s="3"/>
      <c r="AJ152" s="3">
        <f t="shared" si="151"/>
        <v>0</v>
      </c>
      <c r="AK152" s="3"/>
      <c r="AL152" s="3"/>
      <c r="AM152" s="3"/>
      <c r="AN152" s="3">
        <f t="shared" si="152"/>
        <v>0</v>
      </c>
      <c r="AO152" s="3"/>
      <c r="AP152" s="3"/>
      <c r="AQ152" s="3"/>
      <c r="AR152" s="3">
        <f t="shared" si="153"/>
        <v>0</v>
      </c>
      <c r="AS152" s="3"/>
      <c r="AT152" s="3"/>
      <c r="AU152" s="3"/>
      <c r="AV152" s="3">
        <f t="shared" si="154"/>
        <v>0</v>
      </c>
      <c r="AW152" s="3"/>
      <c r="AX152" s="3"/>
      <c r="AY152" s="3"/>
      <c r="AZ152" s="3">
        <f t="shared" si="155"/>
        <v>0</v>
      </c>
      <c r="BA152" s="3"/>
      <c r="BB152" s="3"/>
      <c r="BC152" s="3"/>
      <c r="BD152" s="3">
        <f t="shared" si="156"/>
        <v>0</v>
      </c>
      <c r="BE152" s="3"/>
      <c r="BF152" s="3"/>
      <c r="BG152" s="3"/>
      <c r="BH152" s="3">
        <f t="shared" si="148"/>
        <v>0</v>
      </c>
      <c r="BI152" s="3"/>
      <c r="BJ152" s="3"/>
      <c r="BK152" s="3"/>
      <c r="BL152" s="3">
        <f t="shared" si="149"/>
        <v>0</v>
      </c>
      <c r="BM152" s="3"/>
      <c r="BN152" s="3"/>
      <c r="BO152" s="3"/>
      <c r="BP152" s="3">
        <f t="shared" si="157"/>
        <v>0</v>
      </c>
      <c r="BQ152" s="3"/>
      <c r="BR152" s="3"/>
      <c r="BS152" s="3"/>
      <c r="BT152" s="3">
        <f t="shared" si="158"/>
        <v>0</v>
      </c>
      <c r="BU152" s="3"/>
      <c r="BV152" s="3"/>
      <c r="BW152" s="3"/>
      <c r="BX152" s="3">
        <f t="shared" si="159"/>
        <v>0</v>
      </c>
      <c r="BY152" s="3"/>
      <c r="BZ152" s="3"/>
      <c r="CA152" s="3"/>
      <c r="CB152" s="3">
        <f t="shared" si="160"/>
        <v>0</v>
      </c>
      <c r="CC152" s="3"/>
      <c r="CD152" s="3"/>
      <c r="CE152" s="3"/>
      <c r="CF152" s="3">
        <f t="shared" si="161"/>
        <v>0</v>
      </c>
      <c r="CG152" s="3"/>
      <c r="CH152" s="3"/>
      <c r="CI152" s="3"/>
      <c r="CJ152" s="3">
        <f t="shared" si="162"/>
        <v>0</v>
      </c>
      <c r="CK152" s="3"/>
      <c r="CL152" s="3"/>
      <c r="CM152" s="3"/>
      <c r="CN152" s="3">
        <f t="shared" si="163"/>
        <v>0</v>
      </c>
      <c r="CO152" s="3"/>
      <c r="CP152" s="3"/>
      <c r="CQ152" s="3"/>
      <c r="CR152" s="3">
        <f t="shared" si="164"/>
        <v>0</v>
      </c>
      <c r="CS152" s="3"/>
      <c r="CT152" s="3"/>
      <c r="CU152" s="3"/>
      <c r="CV152" s="3">
        <f t="shared" si="165"/>
        <v>0</v>
      </c>
      <c r="CW152" s="3">
        <f>SUM($K152:$M152)*CW$4/$CW$4</f>
        <v>-574.04999999999995</v>
      </c>
      <c r="CX152" s="3">
        <v>0</v>
      </c>
      <c r="CY152" s="3">
        <v>0</v>
      </c>
      <c r="CZ152" s="3">
        <f t="shared" si="173"/>
        <v>-574.04999999999995</v>
      </c>
      <c r="DA152" s="3"/>
      <c r="DB152" s="3"/>
      <c r="DC152" s="3"/>
      <c r="DD152" s="3">
        <f t="shared" si="166"/>
        <v>0</v>
      </c>
      <c r="DE152" s="3"/>
      <c r="DF152" s="3"/>
      <c r="DG152" s="3"/>
      <c r="DH152" s="3">
        <f t="shared" si="167"/>
        <v>0</v>
      </c>
      <c r="DI152" s="3"/>
      <c r="DJ152" s="3"/>
      <c r="DK152" s="3"/>
      <c r="DL152" s="3">
        <f t="shared" si="147"/>
        <v>0</v>
      </c>
      <c r="DM152" s="3"/>
      <c r="DN152" s="3"/>
      <c r="DO152" s="3"/>
      <c r="DP152" s="3">
        <f t="shared" si="168"/>
        <v>0</v>
      </c>
      <c r="DQ152" s="3"/>
      <c r="DR152" s="3"/>
      <c r="DS152" s="3"/>
      <c r="DT152" s="3">
        <f t="shared" si="172"/>
        <v>0</v>
      </c>
      <c r="DU152" s="3"/>
      <c r="DV152" s="3"/>
      <c r="DW152" s="3"/>
      <c r="DX152" s="3">
        <f t="shared" si="169"/>
        <v>0</v>
      </c>
      <c r="DY152" s="3"/>
      <c r="DZ152" s="3"/>
      <c r="EA152" s="3"/>
      <c r="EB152" s="3">
        <f t="shared" si="170"/>
        <v>0</v>
      </c>
      <c r="EC152" s="4">
        <f t="shared" si="150"/>
        <v>-574.04999999999995</v>
      </c>
      <c r="ED152" s="5">
        <f t="shared" si="171"/>
        <v>0</v>
      </c>
      <c r="EE152" s="6">
        <f t="shared" si="118"/>
        <v>-574.04999999999995</v>
      </c>
      <c r="EF152" s="6">
        <f t="shared" si="118"/>
        <v>0</v>
      </c>
      <c r="EG152" s="6">
        <f t="shared" si="118"/>
        <v>0</v>
      </c>
    </row>
    <row r="153" spans="1:137" ht="12" customHeight="1" x14ac:dyDescent="0.35">
      <c r="A153" s="43" t="s">
        <v>115</v>
      </c>
      <c r="B153" s="43">
        <v>28324</v>
      </c>
      <c r="C153" s="43" t="s">
        <v>120</v>
      </c>
      <c r="D153" s="43" t="s">
        <v>110</v>
      </c>
      <c r="E153" s="43">
        <v>150781</v>
      </c>
      <c r="F153" s="43" t="s">
        <v>587</v>
      </c>
      <c r="G153" s="44">
        <v>46003</v>
      </c>
      <c r="H153" s="44">
        <v>46090</v>
      </c>
      <c r="I153" s="45">
        <v>5</v>
      </c>
      <c r="J153" s="45">
        <v>-8481</v>
      </c>
      <c r="K153" s="46">
        <v>-424.05</v>
      </c>
      <c r="L153" s="45"/>
      <c r="M153" s="45"/>
      <c r="N153" s="45">
        <v>-424.05</v>
      </c>
      <c r="O153" s="45">
        <v>-8905.0499999999993</v>
      </c>
      <c r="P153" s="43" t="s">
        <v>95</v>
      </c>
      <c r="Q153" s="43" t="s">
        <v>36</v>
      </c>
      <c r="R153" s="43" t="s">
        <v>112</v>
      </c>
      <c r="S153" s="43" t="s">
        <v>97</v>
      </c>
      <c r="T153" s="43" t="s">
        <v>98</v>
      </c>
      <c r="U153" s="43" t="s">
        <v>99</v>
      </c>
      <c r="V153" s="43">
        <v>996311</v>
      </c>
      <c r="W153" s="43" t="s">
        <v>588</v>
      </c>
      <c r="X153" s="43" t="s">
        <v>101</v>
      </c>
      <c r="Y153" s="43">
        <v>107</v>
      </c>
      <c r="Z153" s="43" t="s">
        <v>102</v>
      </c>
      <c r="AA153" t="s">
        <v>589</v>
      </c>
      <c r="AB153">
        <v>-424.05</v>
      </c>
      <c r="AC153">
        <v>-424</v>
      </c>
      <c r="AD153" s="38">
        <v>0</v>
      </c>
      <c r="AE153" t="s">
        <v>104</v>
      </c>
      <c r="AF153" t="s">
        <v>73</v>
      </c>
      <c r="AG153" s="3"/>
      <c r="AH153" s="3"/>
      <c r="AI153" s="3"/>
      <c r="AJ153" s="3">
        <f t="shared" si="151"/>
        <v>0</v>
      </c>
      <c r="AK153" s="3"/>
      <c r="AL153" s="3"/>
      <c r="AM153" s="3"/>
      <c r="AN153" s="3">
        <f t="shared" si="152"/>
        <v>0</v>
      </c>
      <c r="AO153" s="3"/>
      <c r="AP153" s="3"/>
      <c r="AQ153" s="3"/>
      <c r="AR153" s="3">
        <f t="shared" si="153"/>
        <v>0</v>
      </c>
      <c r="AS153" s="3"/>
      <c r="AT153" s="3"/>
      <c r="AU153" s="3"/>
      <c r="AV153" s="3">
        <f t="shared" si="154"/>
        <v>0</v>
      </c>
      <c r="AW153" s="3"/>
      <c r="AX153" s="3"/>
      <c r="AY153" s="3"/>
      <c r="AZ153" s="3">
        <f t="shared" si="155"/>
        <v>0</v>
      </c>
      <c r="BA153" s="3"/>
      <c r="BB153" s="3"/>
      <c r="BC153" s="3"/>
      <c r="BD153" s="3">
        <f t="shared" si="156"/>
        <v>0</v>
      </c>
      <c r="BE153" s="3">
        <f>$K153*BE$4/$BE$4</f>
        <v>-424.05</v>
      </c>
      <c r="BF153" s="3">
        <f>$L153*BE$4/$BE$4</f>
        <v>0</v>
      </c>
      <c r="BG153" s="3">
        <f>$M153*BE$4/$BE$4</f>
        <v>0</v>
      </c>
      <c r="BH153" s="3">
        <f t="shared" si="148"/>
        <v>-424.05</v>
      </c>
      <c r="BI153" s="3"/>
      <c r="BJ153" s="3"/>
      <c r="BK153" s="3"/>
      <c r="BL153" s="3">
        <f t="shared" si="149"/>
        <v>0</v>
      </c>
      <c r="BM153" s="3"/>
      <c r="BN153" s="3"/>
      <c r="BO153" s="3"/>
      <c r="BP153" s="3">
        <f t="shared" si="157"/>
        <v>0</v>
      </c>
      <c r="BQ153" s="3"/>
      <c r="BR153" s="3"/>
      <c r="BS153" s="3"/>
      <c r="BT153" s="3">
        <f t="shared" si="158"/>
        <v>0</v>
      </c>
      <c r="BU153" s="3"/>
      <c r="BV153" s="3"/>
      <c r="BW153" s="3"/>
      <c r="BX153" s="3">
        <f t="shared" si="159"/>
        <v>0</v>
      </c>
      <c r="BY153" s="3"/>
      <c r="BZ153" s="3"/>
      <c r="CA153" s="3"/>
      <c r="CB153" s="3">
        <f t="shared" si="160"/>
        <v>0</v>
      </c>
      <c r="CC153" s="3"/>
      <c r="CD153" s="3"/>
      <c r="CE153" s="3"/>
      <c r="CF153" s="3">
        <f t="shared" si="161"/>
        <v>0</v>
      </c>
      <c r="CG153" s="3"/>
      <c r="CH153" s="3"/>
      <c r="CI153" s="3"/>
      <c r="CJ153" s="3">
        <f t="shared" si="162"/>
        <v>0</v>
      </c>
      <c r="CK153" s="3"/>
      <c r="CL153" s="3"/>
      <c r="CM153" s="3"/>
      <c r="CN153" s="3">
        <f t="shared" si="163"/>
        <v>0</v>
      </c>
      <c r="CO153" s="3"/>
      <c r="CP153" s="3"/>
      <c r="CQ153" s="3"/>
      <c r="CR153" s="3">
        <f t="shared" si="164"/>
        <v>0</v>
      </c>
      <c r="CS153" s="3"/>
      <c r="CT153" s="3"/>
      <c r="CU153" s="3"/>
      <c r="CV153" s="3">
        <f t="shared" si="165"/>
        <v>0</v>
      </c>
      <c r="CW153" s="3"/>
      <c r="CX153" s="3"/>
      <c r="CY153" s="3"/>
      <c r="CZ153" s="3">
        <f t="shared" si="173"/>
        <v>0</v>
      </c>
      <c r="DA153" s="3"/>
      <c r="DB153" s="3"/>
      <c r="DC153" s="3"/>
      <c r="DD153" s="3">
        <f t="shared" si="166"/>
        <v>0</v>
      </c>
      <c r="DE153" s="3"/>
      <c r="DF153" s="3"/>
      <c r="DG153" s="3"/>
      <c r="DH153" s="3">
        <f t="shared" si="167"/>
        <v>0</v>
      </c>
      <c r="DI153" s="3"/>
      <c r="DJ153" s="3"/>
      <c r="DK153" s="3"/>
      <c r="DL153" s="3">
        <f t="shared" si="147"/>
        <v>0</v>
      </c>
      <c r="DM153" s="3"/>
      <c r="DN153" s="3"/>
      <c r="DO153" s="3"/>
      <c r="DP153" s="3">
        <f t="shared" si="168"/>
        <v>0</v>
      </c>
      <c r="DQ153" s="3"/>
      <c r="DR153" s="3"/>
      <c r="DS153" s="3"/>
      <c r="DT153" s="3">
        <f t="shared" si="172"/>
        <v>0</v>
      </c>
      <c r="DU153" s="3"/>
      <c r="DV153" s="3"/>
      <c r="DW153" s="3"/>
      <c r="DX153" s="3">
        <f t="shared" si="169"/>
        <v>0</v>
      </c>
      <c r="DY153" s="3"/>
      <c r="DZ153" s="3"/>
      <c r="EA153" s="3"/>
      <c r="EB153" s="3">
        <f t="shared" si="170"/>
        <v>0</v>
      </c>
      <c r="EC153" s="4">
        <f t="shared" si="150"/>
        <v>-424.05</v>
      </c>
      <c r="ED153" s="5">
        <f t="shared" si="171"/>
        <v>0</v>
      </c>
      <c r="EE153" s="6">
        <f t="shared" ref="EE153:EG216" si="174">AG153+AK153+AO153+AS153+AW153+BA153+BE153+BI153+BM153+BQ153+BU153+BY153+CC153+CG153+CK153+CO153+CS153+CW153+DA153+DE153+DM153+DQ153+DU153+DY153</f>
        <v>-424.05</v>
      </c>
      <c r="EF153" s="6">
        <f t="shared" si="174"/>
        <v>0</v>
      </c>
      <c r="EG153" s="6">
        <f t="shared" si="174"/>
        <v>0</v>
      </c>
    </row>
    <row r="154" spans="1:137" ht="12" customHeight="1" x14ac:dyDescent="0.35">
      <c r="A154" s="43" t="s">
        <v>115</v>
      </c>
      <c r="B154" s="43">
        <v>28324</v>
      </c>
      <c r="C154" s="43" t="s">
        <v>116</v>
      </c>
      <c r="D154" s="43" t="s">
        <v>543</v>
      </c>
      <c r="E154" s="43">
        <v>150783</v>
      </c>
      <c r="F154" s="43" t="s">
        <v>590</v>
      </c>
      <c r="G154" s="44">
        <v>46003</v>
      </c>
      <c r="H154" s="44">
        <v>46090</v>
      </c>
      <c r="I154" s="45">
        <v>5</v>
      </c>
      <c r="J154" s="45">
        <v>-11481</v>
      </c>
      <c r="K154" s="46"/>
      <c r="L154" s="45">
        <v>-287.02499999999998</v>
      </c>
      <c r="M154" s="45">
        <v>-287.02499999999998</v>
      </c>
      <c r="N154" s="45">
        <v>-574.04999999999995</v>
      </c>
      <c r="O154" s="45">
        <v>-12055.06</v>
      </c>
      <c r="P154" s="43" t="s">
        <v>95</v>
      </c>
      <c r="Q154" s="43" t="s">
        <v>47</v>
      </c>
      <c r="R154" s="43" t="s">
        <v>112</v>
      </c>
      <c r="S154" s="43" t="s">
        <v>97</v>
      </c>
      <c r="T154" s="43" t="s">
        <v>98</v>
      </c>
      <c r="U154" s="43" t="s">
        <v>99</v>
      </c>
      <c r="V154" s="43">
        <v>996311</v>
      </c>
      <c r="W154" s="43" t="s">
        <v>591</v>
      </c>
      <c r="X154" s="43" t="s">
        <v>101</v>
      </c>
      <c r="Y154" s="43">
        <v>107</v>
      </c>
      <c r="Z154" s="43" t="s">
        <v>102</v>
      </c>
      <c r="AA154" t="s">
        <v>592</v>
      </c>
      <c r="AB154">
        <v>-574.04999999999995</v>
      </c>
      <c r="AC154">
        <v>-574</v>
      </c>
      <c r="AD154" s="38">
        <v>0</v>
      </c>
      <c r="AE154" t="s">
        <v>104</v>
      </c>
      <c r="AF154" t="s">
        <v>73</v>
      </c>
      <c r="AG154" s="3"/>
      <c r="AH154" s="3"/>
      <c r="AI154" s="3"/>
      <c r="AJ154" s="3">
        <f t="shared" si="151"/>
        <v>0</v>
      </c>
      <c r="AK154" s="3"/>
      <c r="AL154" s="3"/>
      <c r="AM154" s="3"/>
      <c r="AN154" s="3">
        <f t="shared" si="152"/>
        <v>0</v>
      </c>
      <c r="AO154" s="3"/>
      <c r="AP154" s="3"/>
      <c r="AQ154" s="3"/>
      <c r="AR154" s="3">
        <f t="shared" si="153"/>
        <v>0</v>
      </c>
      <c r="AS154" s="3"/>
      <c r="AT154" s="3"/>
      <c r="AU154" s="3"/>
      <c r="AV154" s="3">
        <f t="shared" si="154"/>
        <v>0</v>
      </c>
      <c r="AW154" s="3"/>
      <c r="AX154" s="3"/>
      <c r="AY154" s="3"/>
      <c r="AZ154" s="3">
        <f t="shared" si="155"/>
        <v>0</v>
      </c>
      <c r="BA154" s="3"/>
      <c r="BB154" s="3"/>
      <c r="BC154" s="3"/>
      <c r="BD154" s="3">
        <f t="shared" si="156"/>
        <v>0</v>
      </c>
      <c r="BE154" s="3"/>
      <c r="BF154" s="3"/>
      <c r="BG154" s="3"/>
      <c r="BH154" s="3">
        <f t="shared" si="148"/>
        <v>0</v>
      </c>
      <c r="BI154" s="3"/>
      <c r="BJ154" s="3"/>
      <c r="BK154" s="3"/>
      <c r="BL154" s="3">
        <f t="shared" si="149"/>
        <v>0</v>
      </c>
      <c r="BM154" s="3"/>
      <c r="BN154" s="3"/>
      <c r="BO154" s="3"/>
      <c r="BP154" s="3">
        <f t="shared" si="157"/>
        <v>0</v>
      </c>
      <c r="BQ154" s="3"/>
      <c r="BR154" s="3"/>
      <c r="BS154" s="3"/>
      <c r="BT154" s="3">
        <f t="shared" si="158"/>
        <v>0</v>
      </c>
      <c r="BU154" s="3"/>
      <c r="BV154" s="3"/>
      <c r="BW154" s="3"/>
      <c r="BX154" s="3">
        <f t="shared" si="159"/>
        <v>0</v>
      </c>
      <c r="BY154" s="3"/>
      <c r="BZ154" s="3"/>
      <c r="CA154" s="3"/>
      <c r="CB154" s="3">
        <f t="shared" si="160"/>
        <v>0</v>
      </c>
      <c r="CC154" s="3"/>
      <c r="CD154" s="3"/>
      <c r="CE154" s="3"/>
      <c r="CF154" s="3">
        <f t="shared" si="161"/>
        <v>0</v>
      </c>
      <c r="CG154" s="3"/>
      <c r="CH154" s="3"/>
      <c r="CI154" s="3"/>
      <c r="CJ154" s="3">
        <f t="shared" si="162"/>
        <v>0</v>
      </c>
      <c r="CK154" s="3"/>
      <c r="CL154" s="3"/>
      <c r="CM154" s="3"/>
      <c r="CN154" s="3">
        <f t="shared" si="163"/>
        <v>0</v>
      </c>
      <c r="CO154" s="3"/>
      <c r="CP154" s="3"/>
      <c r="CQ154" s="3"/>
      <c r="CR154" s="3">
        <f t="shared" si="164"/>
        <v>0</v>
      </c>
      <c r="CS154" s="3"/>
      <c r="CT154" s="3"/>
      <c r="CU154" s="3"/>
      <c r="CV154" s="3">
        <f t="shared" si="165"/>
        <v>0</v>
      </c>
      <c r="CW154" s="3">
        <f>SUM($K154:$M154)*CW$4/$CW$4</f>
        <v>-574.04999999999995</v>
      </c>
      <c r="CX154" s="3">
        <v>0</v>
      </c>
      <c r="CY154" s="3">
        <v>0</v>
      </c>
      <c r="CZ154" s="3">
        <f t="shared" si="173"/>
        <v>-574.04999999999995</v>
      </c>
      <c r="DA154" s="3"/>
      <c r="DB154" s="3"/>
      <c r="DC154" s="3"/>
      <c r="DD154" s="3">
        <f t="shared" si="166"/>
        <v>0</v>
      </c>
      <c r="DE154" s="3"/>
      <c r="DF154" s="3"/>
      <c r="DG154" s="3"/>
      <c r="DH154" s="3">
        <f t="shared" si="167"/>
        <v>0</v>
      </c>
      <c r="DI154" s="3"/>
      <c r="DJ154" s="3"/>
      <c r="DK154" s="3"/>
      <c r="DL154" s="3">
        <f t="shared" si="147"/>
        <v>0</v>
      </c>
      <c r="DM154" s="3"/>
      <c r="DN154" s="3"/>
      <c r="DO154" s="3"/>
      <c r="DP154" s="3">
        <f t="shared" si="168"/>
        <v>0</v>
      </c>
      <c r="DQ154" s="3"/>
      <c r="DR154" s="3"/>
      <c r="DS154" s="3"/>
      <c r="DT154" s="3">
        <f t="shared" si="172"/>
        <v>0</v>
      </c>
      <c r="DU154" s="3"/>
      <c r="DV154" s="3"/>
      <c r="DW154" s="3"/>
      <c r="DX154" s="3">
        <f t="shared" si="169"/>
        <v>0</v>
      </c>
      <c r="DY154" s="3"/>
      <c r="DZ154" s="3"/>
      <c r="EA154" s="3"/>
      <c r="EB154" s="3">
        <f t="shared" si="170"/>
        <v>0</v>
      </c>
      <c r="EC154" s="4">
        <f t="shared" si="150"/>
        <v>-574.04999999999995</v>
      </c>
      <c r="ED154" s="5">
        <f t="shared" si="171"/>
        <v>0</v>
      </c>
      <c r="EE154" s="6">
        <f t="shared" si="174"/>
        <v>-574.04999999999995</v>
      </c>
      <c r="EF154" s="6">
        <f t="shared" si="174"/>
        <v>0</v>
      </c>
      <c r="EG154" s="6">
        <f t="shared" si="174"/>
        <v>0</v>
      </c>
    </row>
    <row r="155" spans="1:137" ht="12" customHeight="1" x14ac:dyDescent="0.35">
      <c r="A155" s="43" t="s">
        <v>115</v>
      </c>
      <c r="B155" s="43">
        <v>28324</v>
      </c>
      <c r="C155" s="43" t="s">
        <v>116</v>
      </c>
      <c r="D155" s="43" t="s">
        <v>543</v>
      </c>
      <c r="E155" s="43">
        <v>150783</v>
      </c>
      <c r="F155" s="43" t="s">
        <v>593</v>
      </c>
      <c r="G155" s="44">
        <v>46008</v>
      </c>
      <c r="H155" s="44">
        <v>46090</v>
      </c>
      <c r="I155" s="45">
        <v>18</v>
      </c>
      <c r="J155" s="45">
        <v>-18771</v>
      </c>
      <c r="K155" s="46"/>
      <c r="L155" s="45">
        <v>-1689.39</v>
      </c>
      <c r="M155" s="45">
        <v>-1689.39</v>
      </c>
      <c r="N155" s="45">
        <v>-3378.78</v>
      </c>
      <c r="O155" s="45">
        <v>-22149.78</v>
      </c>
      <c r="P155" s="43" t="s">
        <v>95</v>
      </c>
      <c r="Q155" s="43" t="s">
        <v>47</v>
      </c>
      <c r="R155" s="43" t="s">
        <v>112</v>
      </c>
      <c r="S155" s="43" t="s">
        <v>97</v>
      </c>
      <c r="T155" s="43" t="s">
        <v>98</v>
      </c>
      <c r="U155" s="43" t="s">
        <v>99</v>
      </c>
      <c r="V155" s="43">
        <v>996311</v>
      </c>
      <c r="W155" s="43" t="s">
        <v>594</v>
      </c>
      <c r="X155" s="43" t="s">
        <v>101</v>
      </c>
      <c r="Y155" s="43">
        <v>107</v>
      </c>
      <c r="Z155" s="43" t="s">
        <v>102</v>
      </c>
      <c r="AA155" t="s">
        <v>595</v>
      </c>
      <c r="AB155">
        <v>-3378.78</v>
      </c>
      <c r="AC155">
        <v>-3379</v>
      </c>
      <c r="AD155" s="38">
        <v>0</v>
      </c>
      <c r="AE155" t="s">
        <v>104</v>
      </c>
      <c r="AF155" t="s">
        <v>73</v>
      </c>
      <c r="AG155" s="3"/>
      <c r="AH155" s="3"/>
      <c r="AI155" s="3"/>
      <c r="AJ155" s="3">
        <f t="shared" si="151"/>
        <v>0</v>
      </c>
      <c r="AK155" s="3"/>
      <c r="AL155" s="3"/>
      <c r="AM155" s="3"/>
      <c r="AN155" s="3">
        <f t="shared" si="152"/>
        <v>0</v>
      </c>
      <c r="AO155" s="3"/>
      <c r="AP155" s="3"/>
      <c r="AQ155" s="3"/>
      <c r="AR155" s="3">
        <f t="shared" si="153"/>
        <v>0</v>
      </c>
      <c r="AS155" s="3"/>
      <c r="AT155" s="3"/>
      <c r="AU155" s="3"/>
      <c r="AV155" s="3">
        <f t="shared" si="154"/>
        <v>0</v>
      </c>
      <c r="AW155" s="3"/>
      <c r="AX155" s="3"/>
      <c r="AY155" s="3"/>
      <c r="AZ155" s="3">
        <f t="shared" si="155"/>
        <v>0</v>
      </c>
      <c r="BA155" s="3"/>
      <c r="BB155" s="3"/>
      <c r="BC155" s="3"/>
      <c r="BD155" s="3">
        <f t="shared" si="156"/>
        <v>0</v>
      </c>
      <c r="BE155" s="3"/>
      <c r="BF155" s="3"/>
      <c r="BG155" s="3"/>
      <c r="BH155" s="3">
        <f t="shared" si="148"/>
        <v>0</v>
      </c>
      <c r="BI155" s="3"/>
      <c r="BJ155" s="3"/>
      <c r="BK155" s="3"/>
      <c r="BL155" s="3">
        <f t="shared" si="149"/>
        <v>0</v>
      </c>
      <c r="BM155" s="3"/>
      <c r="BN155" s="3"/>
      <c r="BO155" s="3"/>
      <c r="BP155" s="3">
        <f t="shared" si="157"/>
        <v>0</v>
      </c>
      <c r="BQ155" s="3"/>
      <c r="BR155" s="3"/>
      <c r="BS155" s="3"/>
      <c r="BT155" s="3">
        <f t="shared" si="158"/>
        <v>0</v>
      </c>
      <c r="BU155" s="3"/>
      <c r="BV155" s="3"/>
      <c r="BW155" s="3"/>
      <c r="BX155" s="3">
        <f t="shared" si="159"/>
        <v>0</v>
      </c>
      <c r="BY155" s="3"/>
      <c r="BZ155" s="3"/>
      <c r="CA155" s="3"/>
      <c r="CB155" s="3">
        <f t="shared" si="160"/>
        <v>0</v>
      </c>
      <c r="CC155" s="3"/>
      <c r="CD155" s="3"/>
      <c r="CE155" s="3"/>
      <c r="CF155" s="3">
        <f t="shared" si="161"/>
        <v>0</v>
      </c>
      <c r="CG155" s="3"/>
      <c r="CH155" s="3"/>
      <c r="CI155" s="3"/>
      <c r="CJ155" s="3">
        <f t="shared" si="162"/>
        <v>0</v>
      </c>
      <c r="CK155" s="3"/>
      <c r="CL155" s="3"/>
      <c r="CM155" s="3"/>
      <c r="CN155" s="3">
        <f t="shared" si="163"/>
        <v>0</v>
      </c>
      <c r="CO155" s="3"/>
      <c r="CP155" s="3"/>
      <c r="CQ155" s="3"/>
      <c r="CR155" s="3">
        <f t="shared" si="164"/>
        <v>0</v>
      </c>
      <c r="CS155" s="3"/>
      <c r="CT155" s="3"/>
      <c r="CU155" s="3"/>
      <c r="CV155" s="3">
        <f t="shared" si="165"/>
        <v>0</v>
      </c>
      <c r="CW155" s="3">
        <f>SUM($K155:$M155)*CW$4/$CW$4</f>
        <v>-3378.78</v>
      </c>
      <c r="CX155" s="3">
        <v>0</v>
      </c>
      <c r="CY155" s="3">
        <v>0</v>
      </c>
      <c r="CZ155" s="3">
        <f t="shared" si="173"/>
        <v>-3378.78</v>
      </c>
      <c r="DA155" s="3"/>
      <c r="DB155" s="3"/>
      <c r="DC155" s="3"/>
      <c r="DD155" s="3">
        <f t="shared" si="166"/>
        <v>0</v>
      </c>
      <c r="DE155" s="3"/>
      <c r="DF155" s="3"/>
      <c r="DG155" s="3"/>
      <c r="DH155" s="3">
        <f t="shared" si="167"/>
        <v>0</v>
      </c>
      <c r="DI155" s="3"/>
      <c r="DJ155" s="3"/>
      <c r="DK155" s="3"/>
      <c r="DL155" s="3">
        <f t="shared" si="147"/>
        <v>0</v>
      </c>
      <c r="DM155" s="3"/>
      <c r="DN155" s="3"/>
      <c r="DO155" s="3"/>
      <c r="DP155" s="3">
        <f t="shared" si="168"/>
        <v>0</v>
      </c>
      <c r="DQ155" s="3"/>
      <c r="DR155" s="3"/>
      <c r="DS155" s="3"/>
      <c r="DT155" s="3">
        <f t="shared" si="172"/>
        <v>0</v>
      </c>
      <c r="DU155" s="3"/>
      <c r="DV155" s="3"/>
      <c r="DW155" s="3"/>
      <c r="DX155" s="3">
        <f t="shared" si="169"/>
        <v>0</v>
      </c>
      <c r="DY155" s="3"/>
      <c r="DZ155" s="3"/>
      <c r="EA155" s="3"/>
      <c r="EB155" s="3">
        <f t="shared" si="170"/>
        <v>0</v>
      </c>
      <c r="EC155" s="4">
        <f t="shared" si="150"/>
        <v>-3378.78</v>
      </c>
      <c r="ED155" s="5">
        <f t="shared" si="171"/>
        <v>0</v>
      </c>
      <c r="EE155" s="6">
        <f t="shared" si="174"/>
        <v>-3378.78</v>
      </c>
      <c r="EF155" s="6">
        <f t="shared" si="174"/>
        <v>0</v>
      </c>
      <c r="EG155" s="6">
        <f t="shared" si="174"/>
        <v>0</v>
      </c>
    </row>
    <row r="156" spans="1:137" ht="12" customHeight="1" x14ac:dyDescent="0.35">
      <c r="A156" s="43" t="s">
        <v>91</v>
      </c>
      <c r="B156" s="43">
        <v>30450</v>
      </c>
      <c r="C156" s="43" t="s">
        <v>596</v>
      </c>
      <c r="D156" s="43" t="s">
        <v>110</v>
      </c>
      <c r="E156" s="43">
        <v>150781</v>
      </c>
      <c r="F156" s="43" t="s">
        <v>597</v>
      </c>
      <c r="G156" s="44">
        <v>46000</v>
      </c>
      <c r="H156" s="44">
        <v>46090</v>
      </c>
      <c r="I156" s="45">
        <v>5</v>
      </c>
      <c r="J156" s="45">
        <v>-8143</v>
      </c>
      <c r="K156" s="46">
        <v>-407.15</v>
      </c>
      <c r="L156" s="45"/>
      <c r="M156" s="45"/>
      <c r="N156" s="45">
        <v>-407.15</v>
      </c>
      <c r="O156" s="45">
        <v>-8550.15</v>
      </c>
      <c r="P156" s="43" t="s">
        <v>95</v>
      </c>
      <c r="Q156" s="43" t="s">
        <v>36</v>
      </c>
      <c r="R156" s="43" t="s">
        <v>112</v>
      </c>
      <c r="S156" s="43" t="s">
        <v>97</v>
      </c>
      <c r="T156" s="43" t="s">
        <v>98</v>
      </c>
      <c r="U156" s="43" t="s">
        <v>99</v>
      </c>
      <c r="V156" s="43">
        <v>996311</v>
      </c>
      <c r="W156" s="43" t="s">
        <v>598</v>
      </c>
      <c r="X156" s="43" t="s">
        <v>101</v>
      </c>
      <c r="Y156" s="43">
        <v>107</v>
      </c>
      <c r="Z156" s="43" t="s">
        <v>102</v>
      </c>
      <c r="AA156" t="s">
        <v>599</v>
      </c>
      <c r="AB156">
        <v>-407.15</v>
      </c>
      <c r="AC156">
        <v>-408</v>
      </c>
      <c r="AD156" s="38">
        <v>1</v>
      </c>
      <c r="AE156" t="s">
        <v>104</v>
      </c>
      <c r="AF156" t="s">
        <v>73</v>
      </c>
      <c r="AG156" s="3"/>
      <c r="AH156" s="3"/>
      <c r="AI156" s="3"/>
      <c r="AJ156" s="3">
        <f t="shared" si="151"/>
        <v>0</v>
      </c>
      <c r="AK156" s="3"/>
      <c r="AL156" s="3"/>
      <c r="AM156" s="3"/>
      <c r="AN156" s="3">
        <f t="shared" si="152"/>
        <v>0</v>
      </c>
      <c r="AO156" s="3"/>
      <c r="AP156" s="3"/>
      <c r="AQ156" s="3"/>
      <c r="AR156" s="3">
        <f t="shared" si="153"/>
        <v>0</v>
      </c>
      <c r="AS156" s="3"/>
      <c r="AT156" s="3"/>
      <c r="AU156" s="3"/>
      <c r="AV156" s="3">
        <f t="shared" si="154"/>
        <v>0</v>
      </c>
      <c r="AW156" s="3"/>
      <c r="AX156" s="3"/>
      <c r="AY156" s="3"/>
      <c r="AZ156" s="3">
        <f t="shared" si="155"/>
        <v>0</v>
      </c>
      <c r="BA156" s="3"/>
      <c r="BB156" s="3"/>
      <c r="BC156" s="3"/>
      <c r="BD156" s="3">
        <f t="shared" si="156"/>
        <v>0</v>
      </c>
      <c r="BE156" s="3">
        <f>$K156*BE$4/$BE$4</f>
        <v>-407.15</v>
      </c>
      <c r="BF156" s="3">
        <f>$L156*BE$4/$BE$4</f>
        <v>0</v>
      </c>
      <c r="BG156" s="3">
        <f>$M156*BE$4/$BE$4</f>
        <v>0</v>
      </c>
      <c r="BH156" s="3">
        <f t="shared" si="148"/>
        <v>-407.15</v>
      </c>
      <c r="BI156" s="3"/>
      <c r="BJ156" s="3"/>
      <c r="BK156" s="3"/>
      <c r="BL156" s="3">
        <f t="shared" si="149"/>
        <v>0</v>
      </c>
      <c r="BM156" s="3"/>
      <c r="BN156" s="3"/>
      <c r="BO156" s="3"/>
      <c r="BP156" s="3">
        <f t="shared" si="157"/>
        <v>0</v>
      </c>
      <c r="BQ156" s="3"/>
      <c r="BR156" s="3"/>
      <c r="BS156" s="3"/>
      <c r="BT156" s="3">
        <f t="shared" si="158"/>
        <v>0</v>
      </c>
      <c r="BU156" s="3"/>
      <c r="BV156" s="3"/>
      <c r="BW156" s="3"/>
      <c r="BX156" s="3">
        <f t="shared" si="159"/>
        <v>0</v>
      </c>
      <c r="BY156" s="3"/>
      <c r="BZ156" s="3"/>
      <c r="CA156" s="3"/>
      <c r="CB156" s="3">
        <f t="shared" si="160"/>
        <v>0</v>
      </c>
      <c r="CC156" s="3"/>
      <c r="CD156" s="3"/>
      <c r="CE156" s="3"/>
      <c r="CF156" s="3">
        <f t="shared" si="161"/>
        <v>0</v>
      </c>
      <c r="CG156" s="3"/>
      <c r="CH156" s="3"/>
      <c r="CI156" s="3"/>
      <c r="CJ156" s="3">
        <f t="shared" si="162"/>
        <v>0</v>
      </c>
      <c r="CK156" s="3"/>
      <c r="CL156" s="3"/>
      <c r="CM156" s="3"/>
      <c r="CN156" s="3">
        <f t="shared" si="163"/>
        <v>0</v>
      </c>
      <c r="CO156" s="3"/>
      <c r="CP156" s="3"/>
      <c r="CQ156" s="3"/>
      <c r="CR156" s="3">
        <f t="shared" si="164"/>
        <v>0</v>
      </c>
      <c r="CS156" s="3"/>
      <c r="CT156" s="3"/>
      <c r="CU156" s="3"/>
      <c r="CV156" s="3">
        <f t="shared" si="165"/>
        <v>0</v>
      </c>
      <c r="CW156" s="3"/>
      <c r="CX156" s="3"/>
      <c r="CY156" s="3"/>
      <c r="CZ156" s="3">
        <f t="shared" si="173"/>
        <v>0</v>
      </c>
      <c r="DA156" s="3"/>
      <c r="DB156" s="3"/>
      <c r="DC156" s="3"/>
      <c r="DD156" s="3">
        <f t="shared" si="166"/>
        <v>0</v>
      </c>
      <c r="DE156" s="3"/>
      <c r="DF156" s="3"/>
      <c r="DG156" s="3"/>
      <c r="DH156" s="3">
        <f t="shared" si="167"/>
        <v>0</v>
      </c>
      <c r="DI156" s="3"/>
      <c r="DJ156" s="3"/>
      <c r="DK156" s="3"/>
      <c r="DL156" s="3">
        <f t="shared" si="147"/>
        <v>0</v>
      </c>
      <c r="DM156" s="3"/>
      <c r="DN156" s="3"/>
      <c r="DO156" s="3"/>
      <c r="DP156" s="3">
        <f t="shared" si="168"/>
        <v>0</v>
      </c>
      <c r="DQ156" s="3"/>
      <c r="DR156" s="3"/>
      <c r="DS156" s="3"/>
      <c r="DT156" s="3">
        <f t="shared" si="172"/>
        <v>0</v>
      </c>
      <c r="DU156" s="3"/>
      <c r="DV156" s="3"/>
      <c r="DW156" s="3"/>
      <c r="DX156" s="3">
        <f t="shared" si="169"/>
        <v>0</v>
      </c>
      <c r="DY156" s="3"/>
      <c r="DZ156" s="3"/>
      <c r="EA156" s="3"/>
      <c r="EB156" s="3">
        <f t="shared" si="170"/>
        <v>0</v>
      </c>
      <c r="EC156" s="4">
        <f t="shared" si="150"/>
        <v>-407.15</v>
      </c>
      <c r="ED156" s="5">
        <f t="shared" si="171"/>
        <v>0</v>
      </c>
      <c r="EE156" s="6">
        <f t="shared" si="174"/>
        <v>-407.15</v>
      </c>
      <c r="EF156" s="6">
        <f t="shared" si="174"/>
        <v>0</v>
      </c>
      <c r="EG156" s="6">
        <f t="shared" si="174"/>
        <v>0</v>
      </c>
    </row>
    <row r="157" spans="1:137" ht="12" customHeight="1" x14ac:dyDescent="0.35">
      <c r="A157" s="43" t="s">
        <v>91</v>
      </c>
      <c r="B157" s="43">
        <v>30450</v>
      </c>
      <c r="C157" s="43" t="s">
        <v>232</v>
      </c>
      <c r="D157" s="43" t="s">
        <v>93</v>
      </c>
      <c r="E157" s="43">
        <v>418801</v>
      </c>
      <c r="F157" s="43" t="s">
        <v>600</v>
      </c>
      <c r="G157" s="44">
        <v>46079</v>
      </c>
      <c r="H157" s="44">
        <v>46104</v>
      </c>
      <c r="I157" s="45">
        <v>5</v>
      </c>
      <c r="J157" s="45">
        <v>9333</v>
      </c>
      <c r="K157" s="46">
        <v>466.65</v>
      </c>
      <c r="L157" s="45"/>
      <c r="M157" s="45"/>
      <c r="N157" s="45">
        <v>466.65</v>
      </c>
      <c r="O157" s="45">
        <v>9799.65</v>
      </c>
      <c r="P157" s="43" t="s">
        <v>95</v>
      </c>
      <c r="Q157" s="43" t="s">
        <v>36</v>
      </c>
      <c r="R157" s="43" t="s">
        <v>126</v>
      </c>
      <c r="S157" s="43" t="s">
        <v>97</v>
      </c>
      <c r="T157" s="43" t="s">
        <v>98</v>
      </c>
      <c r="U157" s="43" t="s">
        <v>99</v>
      </c>
      <c r="V157" s="43">
        <v>996311</v>
      </c>
      <c r="W157" s="43" t="s">
        <v>601</v>
      </c>
      <c r="X157" s="43" t="s">
        <v>101</v>
      </c>
      <c r="Y157" s="43">
        <v>107</v>
      </c>
      <c r="Z157" s="43" t="s">
        <v>102</v>
      </c>
      <c r="AA157" t="s">
        <v>602</v>
      </c>
      <c r="AB157">
        <v>466.65</v>
      </c>
      <c r="AC157">
        <v>445</v>
      </c>
      <c r="AD157" s="38">
        <v>22</v>
      </c>
      <c r="AE157" t="s">
        <v>104</v>
      </c>
      <c r="AF157" t="s">
        <v>73</v>
      </c>
      <c r="AG157" s="3"/>
      <c r="AH157" s="3"/>
      <c r="AI157" s="3"/>
      <c r="AJ157" s="3">
        <f t="shared" si="151"/>
        <v>0</v>
      </c>
      <c r="AK157" s="3"/>
      <c r="AL157" s="3"/>
      <c r="AM157" s="3"/>
      <c r="AN157" s="3">
        <f t="shared" si="152"/>
        <v>0</v>
      </c>
      <c r="AO157" s="3"/>
      <c r="AP157" s="3"/>
      <c r="AQ157" s="3"/>
      <c r="AR157" s="3">
        <f t="shared" si="153"/>
        <v>0</v>
      </c>
      <c r="AS157" s="3"/>
      <c r="AT157" s="3"/>
      <c r="AU157" s="3"/>
      <c r="AV157" s="3">
        <f t="shared" si="154"/>
        <v>0</v>
      </c>
      <c r="AW157" s="3"/>
      <c r="AX157" s="3"/>
      <c r="AY157" s="3"/>
      <c r="AZ157" s="3">
        <f t="shared" si="155"/>
        <v>0</v>
      </c>
      <c r="BA157" s="3"/>
      <c r="BB157" s="3"/>
      <c r="BC157" s="3"/>
      <c r="BD157" s="3">
        <f t="shared" si="156"/>
        <v>0</v>
      </c>
      <c r="BE157" s="3">
        <f>$K157*BE$4/$BE$4</f>
        <v>466.64999999999992</v>
      </c>
      <c r="BF157" s="3">
        <f>$L157*BE$4/$BE$4</f>
        <v>0</v>
      </c>
      <c r="BG157" s="3">
        <f>$M157*BE$4/$BE$4</f>
        <v>0</v>
      </c>
      <c r="BH157" s="3">
        <f t="shared" si="148"/>
        <v>466.64999999999992</v>
      </c>
      <c r="BI157" s="3"/>
      <c r="BJ157" s="3"/>
      <c r="BK157" s="3"/>
      <c r="BL157" s="3">
        <f t="shared" si="149"/>
        <v>0</v>
      </c>
      <c r="BM157" s="3"/>
      <c r="BN157" s="3"/>
      <c r="BO157" s="3"/>
      <c r="BP157" s="3">
        <f t="shared" si="157"/>
        <v>0</v>
      </c>
      <c r="BQ157" s="3"/>
      <c r="BR157" s="3"/>
      <c r="BS157" s="3"/>
      <c r="BT157" s="3">
        <f t="shared" si="158"/>
        <v>0</v>
      </c>
      <c r="BU157" s="3"/>
      <c r="BV157" s="3"/>
      <c r="BW157" s="3"/>
      <c r="BX157" s="3">
        <f t="shared" si="159"/>
        <v>0</v>
      </c>
      <c r="BY157" s="3"/>
      <c r="BZ157" s="3"/>
      <c r="CA157" s="3"/>
      <c r="CB157" s="3">
        <f t="shared" si="160"/>
        <v>0</v>
      </c>
      <c r="CC157" s="3"/>
      <c r="CD157" s="3"/>
      <c r="CE157" s="3"/>
      <c r="CF157" s="3">
        <f t="shared" si="161"/>
        <v>0</v>
      </c>
      <c r="CG157" s="3"/>
      <c r="CH157" s="3"/>
      <c r="CI157" s="3"/>
      <c r="CJ157" s="3">
        <f t="shared" si="162"/>
        <v>0</v>
      </c>
      <c r="CK157" s="3"/>
      <c r="CL157" s="3"/>
      <c r="CM157" s="3"/>
      <c r="CN157" s="3">
        <f t="shared" si="163"/>
        <v>0</v>
      </c>
      <c r="CO157" s="3"/>
      <c r="CP157" s="3"/>
      <c r="CQ157" s="3"/>
      <c r="CR157" s="3">
        <f t="shared" si="164"/>
        <v>0</v>
      </c>
      <c r="CS157" s="3"/>
      <c r="CT157" s="3"/>
      <c r="CU157" s="3"/>
      <c r="CV157" s="3">
        <f t="shared" si="165"/>
        <v>0</v>
      </c>
      <c r="CW157" s="3"/>
      <c r="CX157" s="3"/>
      <c r="CY157" s="3"/>
      <c r="CZ157" s="3">
        <f t="shared" si="173"/>
        <v>0</v>
      </c>
      <c r="DA157" s="3"/>
      <c r="DB157" s="3"/>
      <c r="DC157" s="3"/>
      <c r="DD157" s="3">
        <f t="shared" si="166"/>
        <v>0</v>
      </c>
      <c r="DE157" s="3"/>
      <c r="DF157" s="3"/>
      <c r="DG157" s="3"/>
      <c r="DH157" s="3">
        <f t="shared" si="167"/>
        <v>0</v>
      </c>
      <c r="DI157" s="3"/>
      <c r="DJ157" s="3"/>
      <c r="DK157" s="3"/>
      <c r="DL157" s="3">
        <f t="shared" si="147"/>
        <v>0</v>
      </c>
      <c r="DM157" s="3"/>
      <c r="DN157" s="3"/>
      <c r="DO157" s="3"/>
      <c r="DP157" s="3">
        <f t="shared" si="168"/>
        <v>0</v>
      </c>
      <c r="DQ157" s="3"/>
      <c r="DR157" s="3"/>
      <c r="DS157" s="3"/>
      <c r="DT157" s="3">
        <f t="shared" si="172"/>
        <v>0</v>
      </c>
      <c r="DU157" s="3"/>
      <c r="DV157" s="3"/>
      <c r="DW157" s="3"/>
      <c r="DX157" s="3">
        <f t="shared" si="169"/>
        <v>0</v>
      </c>
      <c r="DY157" s="3"/>
      <c r="DZ157" s="3"/>
      <c r="EA157" s="3"/>
      <c r="EB157" s="3">
        <f t="shared" si="170"/>
        <v>0</v>
      </c>
      <c r="EC157" s="4">
        <f t="shared" si="150"/>
        <v>466.64999999999992</v>
      </c>
      <c r="ED157" s="5">
        <f t="shared" si="171"/>
        <v>0</v>
      </c>
      <c r="EE157" s="6">
        <f t="shared" si="174"/>
        <v>466.64999999999992</v>
      </c>
      <c r="EF157" s="6">
        <f t="shared" si="174"/>
        <v>0</v>
      </c>
      <c r="EG157" s="6">
        <f t="shared" si="174"/>
        <v>0</v>
      </c>
    </row>
    <row r="158" spans="1:137" ht="12" customHeight="1" x14ac:dyDescent="0.35">
      <c r="A158" s="43" t="s">
        <v>115</v>
      </c>
      <c r="B158" s="43">
        <v>28324</v>
      </c>
      <c r="C158" s="43" t="s">
        <v>120</v>
      </c>
      <c r="D158" s="43" t="s">
        <v>110</v>
      </c>
      <c r="E158" s="43">
        <v>150781</v>
      </c>
      <c r="F158" s="43" t="s">
        <v>603</v>
      </c>
      <c r="G158" s="44">
        <v>46091</v>
      </c>
      <c r="H158" s="44">
        <v>46104</v>
      </c>
      <c r="I158" s="45">
        <v>5</v>
      </c>
      <c r="J158" s="45">
        <v>-367</v>
      </c>
      <c r="K158" s="46">
        <v>-18.350000000000001</v>
      </c>
      <c r="L158" s="45"/>
      <c r="M158" s="45"/>
      <c r="N158" s="45">
        <v>-18.350000000000001</v>
      </c>
      <c r="O158" s="45">
        <v>-385.35</v>
      </c>
      <c r="P158" s="43" t="s">
        <v>95</v>
      </c>
      <c r="Q158" s="43" t="s">
        <v>36</v>
      </c>
      <c r="R158" s="43" t="s">
        <v>112</v>
      </c>
      <c r="S158" s="43" t="s">
        <v>97</v>
      </c>
      <c r="T158" s="43" t="s">
        <v>98</v>
      </c>
      <c r="U158" s="43" t="s">
        <v>99</v>
      </c>
      <c r="V158" s="43">
        <v>996311</v>
      </c>
      <c r="W158" s="43" t="s">
        <v>604</v>
      </c>
      <c r="X158" s="43" t="s">
        <v>101</v>
      </c>
      <c r="Y158" s="43">
        <v>107</v>
      </c>
      <c r="Z158" s="43" t="s">
        <v>102</v>
      </c>
      <c r="AA158" t="s">
        <v>605</v>
      </c>
      <c r="AB158">
        <v>-18.350000000000001</v>
      </c>
      <c r="AC158">
        <v>-19</v>
      </c>
      <c r="AD158" s="38">
        <v>1</v>
      </c>
      <c r="AE158" t="s">
        <v>104</v>
      </c>
      <c r="AF158" t="s">
        <v>73</v>
      </c>
      <c r="AG158" s="3"/>
      <c r="AH158" s="3"/>
      <c r="AI158" s="3"/>
      <c r="AJ158" s="3">
        <f t="shared" si="151"/>
        <v>0</v>
      </c>
      <c r="AK158" s="3"/>
      <c r="AL158" s="3"/>
      <c r="AM158" s="3"/>
      <c r="AN158" s="3">
        <f t="shared" si="152"/>
        <v>0</v>
      </c>
      <c r="AO158" s="3"/>
      <c r="AP158" s="3"/>
      <c r="AQ158" s="3"/>
      <c r="AR158" s="3">
        <f t="shared" si="153"/>
        <v>0</v>
      </c>
      <c r="AS158" s="3"/>
      <c r="AT158" s="3"/>
      <c r="AU158" s="3"/>
      <c r="AV158" s="3">
        <f t="shared" si="154"/>
        <v>0</v>
      </c>
      <c r="AW158" s="3"/>
      <c r="AX158" s="3"/>
      <c r="AY158" s="3"/>
      <c r="AZ158" s="3">
        <f t="shared" si="155"/>
        <v>0</v>
      </c>
      <c r="BA158" s="3"/>
      <c r="BB158" s="3"/>
      <c r="BC158" s="3"/>
      <c r="BD158" s="3">
        <f t="shared" si="156"/>
        <v>0</v>
      </c>
      <c r="BE158" s="3">
        <f>$K158*BE$4/$BE$4</f>
        <v>-18.350000000000001</v>
      </c>
      <c r="BF158" s="3">
        <f>$L158*BE$4/$BE$4</f>
        <v>0</v>
      </c>
      <c r="BG158" s="3">
        <f>$M158*BE$4/$BE$4</f>
        <v>0</v>
      </c>
      <c r="BH158" s="3">
        <f t="shared" si="148"/>
        <v>-18.350000000000001</v>
      </c>
      <c r="BI158" s="3"/>
      <c r="BJ158" s="3"/>
      <c r="BK158" s="3"/>
      <c r="BL158" s="3">
        <f t="shared" si="149"/>
        <v>0</v>
      </c>
      <c r="BM158" s="3"/>
      <c r="BN158" s="3"/>
      <c r="BO158" s="3"/>
      <c r="BP158" s="3">
        <f t="shared" si="157"/>
        <v>0</v>
      </c>
      <c r="BQ158" s="3"/>
      <c r="BR158" s="3"/>
      <c r="BS158" s="3"/>
      <c r="BT158" s="3">
        <f t="shared" si="158"/>
        <v>0</v>
      </c>
      <c r="BU158" s="3"/>
      <c r="BV158" s="3"/>
      <c r="BW158" s="3"/>
      <c r="BX158" s="3">
        <f t="shared" si="159"/>
        <v>0</v>
      </c>
      <c r="BY158" s="3"/>
      <c r="BZ158" s="3"/>
      <c r="CA158" s="3"/>
      <c r="CB158" s="3">
        <f t="shared" si="160"/>
        <v>0</v>
      </c>
      <c r="CC158" s="3"/>
      <c r="CD158" s="3"/>
      <c r="CE158" s="3"/>
      <c r="CF158" s="3">
        <f t="shared" si="161"/>
        <v>0</v>
      </c>
      <c r="CG158" s="3"/>
      <c r="CH158" s="3"/>
      <c r="CI158" s="3"/>
      <c r="CJ158" s="3">
        <f t="shared" si="162"/>
        <v>0</v>
      </c>
      <c r="CK158" s="3"/>
      <c r="CL158" s="3"/>
      <c r="CM158" s="3"/>
      <c r="CN158" s="3">
        <f t="shared" si="163"/>
        <v>0</v>
      </c>
      <c r="CO158" s="3"/>
      <c r="CP158" s="3"/>
      <c r="CQ158" s="3"/>
      <c r="CR158" s="3">
        <f t="shared" si="164"/>
        <v>0</v>
      </c>
      <c r="CS158" s="3"/>
      <c r="CT158" s="3"/>
      <c r="CU158" s="3"/>
      <c r="CV158" s="3">
        <f t="shared" si="165"/>
        <v>0</v>
      </c>
      <c r="CW158" s="3"/>
      <c r="CX158" s="3"/>
      <c r="CY158" s="3"/>
      <c r="CZ158" s="3">
        <f t="shared" si="173"/>
        <v>0</v>
      </c>
      <c r="DA158" s="3"/>
      <c r="DB158" s="3"/>
      <c r="DC158" s="3"/>
      <c r="DD158" s="3">
        <f t="shared" si="166"/>
        <v>0</v>
      </c>
      <c r="DE158" s="3"/>
      <c r="DF158" s="3"/>
      <c r="DG158" s="3"/>
      <c r="DH158" s="3">
        <f t="shared" si="167"/>
        <v>0</v>
      </c>
      <c r="DI158" s="3"/>
      <c r="DJ158" s="3"/>
      <c r="DK158" s="3"/>
      <c r="DL158" s="3">
        <f t="shared" si="147"/>
        <v>0</v>
      </c>
      <c r="DM158" s="3"/>
      <c r="DN158" s="3"/>
      <c r="DO158" s="3"/>
      <c r="DP158" s="3">
        <f t="shared" si="168"/>
        <v>0</v>
      </c>
      <c r="DQ158" s="3"/>
      <c r="DR158" s="3"/>
      <c r="DS158" s="3"/>
      <c r="DT158" s="3">
        <f t="shared" si="172"/>
        <v>0</v>
      </c>
      <c r="DU158" s="3"/>
      <c r="DV158" s="3"/>
      <c r="DW158" s="3"/>
      <c r="DX158" s="3">
        <f t="shared" si="169"/>
        <v>0</v>
      </c>
      <c r="DY158" s="3"/>
      <c r="DZ158" s="3"/>
      <c r="EA158" s="3"/>
      <c r="EB158" s="3">
        <f t="shared" si="170"/>
        <v>0</v>
      </c>
      <c r="EC158" s="4">
        <f t="shared" si="150"/>
        <v>-18.350000000000001</v>
      </c>
      <c r="ED158" s="5">
        <f t="shared" si="171"/>
        <v>0</v>
      </c>
      <c r="EE158" s="6">
        <f t="shared" si="174"/>
        <v>-18.350000000000001</v>
      </c>
      <c r="EF158" s="6">
        <f t="shared" si="174"/>
        <v>0</v>
      </c>
      <c r="EG158" s="6">
        <f t="shared" si="174"/>
        <v>0</v>
      </c>
    </row>
    <row r="159" spans="1:137" ht="12" customHeight="1" x14ac:dyDescent="0.35">
      <c r="A159" s="43" t="s">
        <v>115</v>
      </c>
      <c r="B159" s="43">
        <v>28324</v>
      </c>
      <c r="C159" s="43" t="s">
        <v>120</v>
      </c>
      <c r="D159" s="43" t="s">
        <v>110</v>
      </c>
      <c r="E159" s="43">
        <v>150781</v>
      </c>
      <c r="F159" s="43" t="s">
        <v>606</v>
      </c>
      <c r="G159" s="44">
        <v>46060</v>
      </c>
      <c r="H159" s="44">
        <v>46104</v>
      </c>
      <c r="I159" s="45">
        <v>5</v>
      </c>
      <c r="J159" s="45">
        <v>-6679</v>
      </c>
      <c r="K159" s="46">
        <v>-333.95</v>
      </c>
      <c r="L159" s="45"/>
      <c r="M159" s="45"/>
      <c r="N159" s="45">
        <v>-333.95</v>
      </c>
      <c r="O159" s="45">
        <v>-7012.95</v>
      </c>
      <c r="P159" s="43" t="s">
        <v>95</v>
      </c>
      <c r="Q159" s="43" t="s">
        <v>36</v>
      </c>
      <c r="R159" s="43" t="s">
        <v>112</v>
      </c>
      <c r="S159" s="43" t="s">
        <v>97</v>
      </c>
      <c r="T159" s="43" t="s">
        <v>98</v>
      </c>
      <c r="U159" s="43" t="s">
        <v>99</v>
      </c>
      <c r="V159" s="43">
        <v>996311</v>
      </c>
      <c r="W159" s="43" t="s">
        <v>607</v>
      </c>
      <c r="X159" s="43" t="s">
        <v>101</v>
      </c>
      <c r="Y159" s="43">
        <v>107</v>
      </c>
      <c r="Z159" s="43" t="s">
        <v>102</v>
      </c>
      <c r="AA159" t="s">
        <v>608</v>
      </c>
      <c r="AB159">
        <v>-333.95</v>
      </c>
      <c r="AC159">
        <v>-334</v>
      </c>
      <c r="AD159" s="38">
        <v>0</v>
      </c>
      <c r="AE159" t="s">
        <v>104</v>
      </c>
      <c r="AF159" t="s">
        <v>73</v>
      </c>
      <c r="AG159" s="3"/>
      <c r="AH159" s="3"/>
      <c r="AI159" s="3"/>
      <c r="AJ159" s="3">
        <f t="shared" si="151"/>
        <v>0</v>
      </c>
      <c r="AK159" s="3"/>
      <c r="AL159" s="3"/>
      <c r="AM159" s="3"/>
      <c r="AN159" s="3">
        <f t="shared" si="152"/>
        <v>0</v>
      </c>
      <c r="AO159" s="3"/>
      <c r="AP159" s="3"/>
      <c r="AQ159" s="3"/>
      <c r="AR159" s="3">
        <f t="shared" si="153"/>
        <v>0</v>
      </c>
      <c r="AS159" s="3"/>
      <c r="AT159" s="3"/>
      <c r="AU159" s="3"/>
      <c r="AV159" s="3">
        <f t="shared" si="154"/>
        <v>0</v>
      </c>
      <c r="AW159" s="3"/>
      <c r="AX159" s="3"/>
      <c r="AY159" s="3"/>
      <c r="AZ159" s="3">
        <f t="shared" si="155"/>
        <v>0</v>
      </c>
      <c r="BA159" s="3"/>
      <c r="BB159" s="3"/>
      <c r="BC159" s="3"/>
      <c r="BD159" s="3">
        <f t="shared" si="156"/>
        <v>0</v>
      </c>
      <c r="BE159" s="3">
        <f>$K159*BE$4/$BE$4</f>
        <v>-333.95</v>
      </c>
      <c r="BF159" s="3">
        <f>$L159*BE$4/$BE$4</f>
        <v>0</v>
      </c>
      <c r="BG159" s="3">
        <f>$M159*BE$4/$BE$4</f>
        <v>0</v>
      </c>
      <c r="BH159" s="3">
        <f t="shared" si="148"/>
        <v>-333.95</v>
      </c>
      <c r="BI159" s="3"/>
      <c r="BJ159" s="3"/>
      <c r="BK159" s="3"/>
      <c r="BL159" s="3">
        <f t="shared" si="149"/>
        <v>0</v>
      </c>
      <c r="BM159" s="3"/>
      <c r="BN159" s="3"/>
      <c r="BO159" s="3"/>
      <c r="BP159" s="3">
        <f t="shared" si="157"/>
        <v>0</v>
      </c>
      <c r="BQ159" s="3"/>
      <c r="BR159" s="3"/>
      <c r="BS159" s="3"/>
      <c r="BT159" s="3">
        <f t="shared" si="158"/>
        <v>0</v>
      </c>
      <c r="BU159" s="3"/>
      <c r="BV159" s="3"/>
      <c r="BW159" s="3"/>
      <c r="BX159" s="3">
        <f t="shared" si="159"/>
        <v>0</v>
      </c>
      <c r="BY159" s="3"/>
      <c r="BZ159" s="3"/>
      <c r="CA159" s="3"/>
      <c r="CB159" s="3">
        <f t="shared" si="160"/>
        <v>0</v>
      </c>
      <c r="CC159" s="3"/>
      <c r="CD159" s="3"/>
      <c r="CE159" s="3"/>
      <c r="CF159" s="3">
        <f t="shared" si="161"/>
        <v>0</v>
      </c>
      <c r="CG159" s="3"/>
      <c r="CH159" s="3"/>
      <c r="CI159" s="3"/>
      <c r="CJ159" s="3">
        <f t="shared" si="162"/>
        <v>0</v>
      </c>
      <c r="CK159" s="3"/>
      <c r="CL159" s="3"/>
      <c r="CM159" s="3"/>
      <c r="CN159" s="3">
        <f t="shared" si="163"/>
        <v>0</v>
      </c>
      <c r="CO159" s="3"/>
      <c r="CP159" s="3"/>
      <c r="CQ159" s="3"/>
      <c r="CR159" s="3">
        <f t="shared" si="164"/>
        <v>0</v>
      </c>
      <c r="CS159" s="3"/>
      <c r="CT159" s="3"/>
      <c r="CU159" s="3"/>
      <c r="CV159" s="3">
        <f t="shared" si="165"/>
        <v>0</v>
      </c>
      <c r="CW159" s="3"/>
      <c r="CX159" s="3"/>
      <c r="CY159" s="3"/>
      <c r="CZ159" s="3">
        <f t="shared" si="173"/>
        <v>0</v>
      </c>
      <c r="DA159" s="3"/>
      <c r="DB159" s="3"/>
      <c r="DC159" s="3"/>
      <c r="DD159" s="3">
        <f t="shared" si="166"/>
        <v>0</v>
      </c>
      <c r="DE159" s="3"/>
      <c r="DF159" s="3"/>
      <c r="DG159" s="3"/>
      <c r="DH159" s="3">
        <f t="shared" si="167"/>
        <v>0</v>
      </c>
      <c r="DI159" s="3"/>
      <c r="DJ159" s="3"/>
      <c r="DK159" s="3"/>
      <c r="DL159" s="3">
        <f t="shared" si="147"/>
        <v>0</v>
      </c>
      <c r="DM159" s="3"/>
      <c r="DN159" s="3"/>
      <c r="DO159" s="3"/>
      <c r="DP159" s="3">
        <f t="shared" si="168"/>
        <v>0</v>
      </c>
      <c r="DQ159" s="3"/>
      <c r="DR159" s="3"/>
      <c r="DS159" s="3"/>
      <c r="DT159" s="3">
        <f t="shared" si="172"/>
        <v>0</v>
      </c>
      <c r="DU159" s="3"/>
      <c r="DV159" s="3"/>
      <c r="DW159" s="3"/>
      <c r="DX159" s="3">
        <f t="shared" si="169"/>
        <v>0</v>
      </c>
      <c r="DY159" s="3"/>
      <c r="DZ159" s="3"/>
      <c r="EA159" s="3"/>
      <c r="EB159" s="3">
        <f t="shared" si="170"/>
        <v>0</v>
      </c>
      <c r="EC159" s="4">
        <f t="shared" si="150"/>
        <v>-333.95</v>
      </c>
      <c r="ED159" s="5">
        <f t="shared" si="171"/>
        <v>0</v>
      </c>
      <c r="EE159" s="6">
        <f t="shared" si="174"/>
        <v>-333.95</v>
      </c>
      <c r="EF159" s="6">
        <f t="shared" si="174"/>
        <v>0</v>
      </c>
      <c r="EG159" s="6">
        <f t="shared" si="174"/>
        <v>0</v>
      </c>
    </row>
    <row r="160" spans="1:137" ht="12" customHeight="1" x14ac:dyDescent="0.35">
      <c r="A160" s="43" t="s">
        <v>115</v>
      </c>
      <c r="B160" s="43">
        <v>28324</v>
      </c>
      <c r="C160" s="43" t="s">
        <v>144</v>
      </c>
      <c r="D160" s="43" t="s">
        <v>93</v>
      </c>
      <c r="E160" s="43">
        <v>418801</v>
      </c>
      <c r="F160" s="43" t="s">
        <v>609</v>
      </c>
      <c r="G160" s="44">
        <v>46066</v>
      </c>
      <c r="H160" s="44">
        <v>46104</v>
      </c>
      <c r="I160" s="45">
        <v>5</v>
      </c>
      <c r="J160" s="45">
        <v>7714</v>
      </c>
      <c r="K160" s="46">
        <v>385.7</v>
      </c>
      <c r="L160" s="45"/>
      <c r="M160" s="45"/>
      <c r="N160" s="45">
        <v>385.7</v>
      </c>
      <c r="O160" s="45">
        <v>8099.7</v>
      </c>
      <c r="P160" s="43" t="s">
        <v>95</v>
      </c>
      <c r="Q160" s="43" t="s">
        <v>36</v>
      </c>
      <c r="R160" s="43" t="s">
        <v>126</v>
      </c>
      <c r="S160" s="43" t="s">
        <v>97</v>
      </c>
      <c r="T160" s="43" t="s">
        <v>98</v>
      </c>
      <c r="U160" s="43" t="s">
        <v>99</v>
      </c>
      <c r="V160" s="43">
        <v>996311</v>
      </c>
      <c r="W160" s="43" t="s">
        <v>610</v>
      </c>
      <c r="X160" s="43" t="s">
        <v>101</v>
      </c>
      <c r="Y160" s="43">
        <v>107</v>
      </c>
      <c r="Z160" s="43" t="s">
        <v>102</v>
      </c>
      <c r="AA160" t="s">
        <v>611</v>
      </c>
      <c r="AB160">
        <v>385.7</v>
      </c>
      <c r="AC160">
        <v>395</v>
      </c>
      <c r="AD160" s="38">
        <v>-9</v>
      </c>
      <c r="AE160" t="s">
        <v>104</v>
      </c>
      <c r="AF160" t="s">
        <v>73</v>
      </c>
      <c r="AG160" s="3"/>
      <c r="AH160" s="3"/>
      <c r="AI160" s="3"/>
      <c r="AJ160" s="3">
        <f t="shared" si="151"/>
        <v>0</v>
      </c>
      <c r="AK160" s="3"/>
      <c r="AL160" s="3"/>
      <c r="AM160" s="3"/>
      <c r="AN160" s="3">
        <f t="shared" si="152"/>
        <v>0</v>
      </c>
      <c r="AO160" s="3"/>
      <c r="AP160" s="3"/>
      <c r="AQ160" s="3"/>
      <c r="AR160" s="3">
        <f t="shared" si="153"/>
        <v>0</v>
      </c>
      <c r="AS160" s="3"/>
      <c r="AT160" s="3"/>
      <c r="AU160" s="3"/>
      <c r="AV160" s="3">
        <f t="shared" si="154"/>
        <v>0</v>
      </c>
      <c r="AW160" s="3"/>
      <c r="AX160" s="3"/>
      <c r="AY160" s="3"/>
      <c r="AZ160" s="3">
        <f t="shared" si="155"/>
        <v>0</v>
      </c>
      <c r="BA160" s="3"/>
      <c r="BB160" s="3"/>
      <c r="BC160" s="3"/>
      <c r="BD160" s="3">
        <f t="shared" si="156"/>
        <v>0</v>
      </c>
      <c r="BE160" s="3">
        <f>$K160*BE$4/$BE$4</f>
        <v>385.70000000000005</v>
      </c>
      <c r="BF160" s="3">
        <f>$L160*BE$4/$BE$4</f>
        <v>0</v>
      </c>
      <c r="BG160" s="3">
        <f>$M160*BE$4/$BE$4</f>
        <v>0</v>
      </c>
      <c r="BH160" s="3">
        <f t="shared" si="148"/>
        <v>385.70000000000005</v>
      </c>
      <c r="BI160" s="3"/>
      <c r="BJ160" s="3"/>
      <c r="BK160" s="3"/>
      <c r="BL160" s="3">
        <f t="shared" si="149"/>
        <v>0</v>
      </c>
      <c r="BM160" s="3"/>
      <c r="BN160" s="3"/>
      <c r="BO160" s="3"/>
      <c r="BP160" s="3">
        <f t="shared" si="157"/>
        <v>0</v>
      </c>
      <c r="BQ160" s="3"/>
      <c r="BR160" s="3"/>
      <c r="BS160" s="3"/>
      <c r="BT160" s="3">
        <f t="shared" si="158"/>
        <v>0</v>
      </c>
      <c r="BU160" s="3"/>
      <c r="BV160" s="3"/>
      <c r="BW160" s="3"/>
      <c r="BX160" s="3">
        <f t="shared" si="159"/>
        <v>0</v>
      </c>
      <c r="BY160" s="3"/>
      <c r="BZ160" s="3"/>
      <c r="CA160" s="3"/>
      <c r="CB160" s="3">
        <f t="shared" si="160"/>
        <v>0</v>
      </c>
      <c r="CC160" s="3"/>
      <c r="CD160" s="3"/>
      <c r="CE160" s="3"/>
      <c r="CF160" s="3">
        <f t="shared" si="161"/>
        <v>0</v>
      </c>
      <c r="CG160" s="3"/>
      <c r="CH160" s="3"/>
      <c r="CI160" s="3"/>
      <c r="CJ160" s="3">
        <f t="shared" si="162"/>
        <v>0</v>
      </c>
      <c r="CK160" s="3"/>
      <c r="CL160" s="3"/>
      <c r="CM160" s="3"/>
      <c r="CN160" s="3">
        <f t="shared" si="163"/>
        <v>0</v>
      </c>
      <c r="CO160" s="3"/>
      <c r="CP160" s="3"/>
      <c r="CQ160" s="3"/>
      <c r="CR160" s="3">
        <f t="shared" si="164"/>
        <v>0</v>
      </c>
      <c r="CS160" s="3"/>
      <c r="CT160" s="3"/>
      <c r="CU160" s="3"/>
      <c r="CV160" s="3">
        <f t="shared" si="165"/>
        <v>0</v>
      </c>
      <c r="CW160" s="3"/>
      <c r="CX160" s="3"/>
      <c r="CY160" s="3"/>
      <c r="CZ160" s="3">
        <f t="shared" si="173"/>
        <v>0</v>
      </c>
      <c r="DA160" s="3"/>
      <c r="DB160" s="3"/>
      <c r="DC160" s="3"/>
      <c r="DD160" s="3">
        <f t="shared" si="166"/>
        <v>0</v>
      </c>
      <c r="DE160" s="3"/>
      <c r="DF160" s="3"/>
      <c r="DG160" s="3"/>
      <c r="DH160" s="3">
        <f t="shared" si="167"/>
        <v>0</v>
      </c>
      <c r="DI160" s="3"/>
      <c r="DJ160" s="3"/>
      <c r="DK160" s="3"/>
      <c r="DL160" s="3">
        <f t="shared" si="147"/>
        <v>0</v>
      </c>
      <c r="DM160" s="3"/>
      <c r="DN160" s="3"/>
      <c r="DO160" s="3"/>
      <c r="DP160" s="3">
        <f t="shared" si="168"/>
        <v>0</v>
      </c>
      <c r="DQ160" s="3"/>
      <c r="DR160" s="3"/>
      <c r="DS160" s="3"/>
      <c r="DT160" s="3">
        <f t="shared" si="172"/>
        <v>0</v>
      </c>
      <c r="DU160" s="3"/>
      <c r="DV160" s="3"/>
      <c r="DW160" s="3"/>
      <c r="DX160" s="3">
        <f t="shared" si="169"/>
        <v>0</v>
      </c>
      <c r="DY160" s="3"/>
      <c r="DZ160" s="3"/>
      <c r="EA160" s="3"/>
      <c r="EB160" s="3">
        <f t="shared" si="170"/>
        <v>0</v>
      </c>
      <c r="EC160" s="4">
        <f t="shared" si="150"/>
        <v>385.70000000000005</v>
      </c>
      <c r="ED160" s="5">
        <f t="shared" si="171"/>
        <v>0</v>
      </c>
      <c r="EE160" s="6">
        <f t="shared" si="174"/>
        <v>385.70000000000005</v>
      </c>
      <c r="EF160" s="6">
        <f t="shared" si="174"/>
        <v>0</v>
      </c>
      <c r="EG160" s="6">
        <f t="shared" si="174"/>
        <v>0</v>
      </c>
    </row>
    <row r="161" spans="1:137" ht="12" customHeight="1" x14ac:dyDescent="0.35">
      <c r="A161" s="43" t="s">
        <v>115</v>
      </c>
      <c r="B161" s="43">
        <v>28324</v>
      </c>
      <c r="C161" s="43" t="s">
        <v>116</v>
      </c>
      <c r="D161" s="43" t="s">
        <v>537</v>
      </c>
      <c r="E161" s="43">
        <v>150782</v>
      </c>
      <c r="F161" s="43" t="s">
        <v>612</v>
      </c>
      <c r="G161" s="44">
        <v>46051</v>
      </c>
      <c r="H161" s="44">
        <v>46104</v>
      </c>
      <c r="I161" s="45">
        <v>5</v>
      </c>
      <c r="J161" s="45">
        <v>-4963</v>
      </c>
      <c r="K161" s="46"/>
      <c r="L161" s="45">
        <v>-124.075</v>
      </c>
      <c r="M161" s="45">
        <v>-124.075</v>
      </c>
      <c r="N161" s="45">
        <v>-248.15</v>
      </c>
      <c r="O161" s="45">
        <v>-5211.16</v>
      </c>
      <c r="P161" s="43" t="s">
        <v>95</v>
      </c>
      <c r="Q161" s="43" t="s">
        <v>52</v>
      </c>
      <c r="R161" s="43" t="s">
        <v>112</v>
      </c>
      <c r="S161" s="43" t="s">
        <v>97</v>
      </c>
      <c r="T161" s="43" t="s">
        <v>98</v>
      </c>
      <c r="U161" s="43" t="s">
        <v>99</v>
      </c>
      <c r="V161" s="43">
        <v>996311</v>
      </c>
      <c r="W161" s="43" t="s">
        <v>613</v>
      </c>
      <c r="X161" s="43" t="s">
        <v>101</v>
      </c>
      <c r="Y161" s="43">
        <v>107</v>
      </c>
      <c r="Z161" s="43" t="s">
        <v>102</v>
      </c>
      <c r="AA161" t="s">
        <v>614</v>
      </c>
      <c r="AB161">
        <v>-248.15</v>
      </c>
      <c r="AC161">
        <v>-249</v>
      </c>
      <c r="AD161" s="38">
        <v>1</v>
      </c>
      <c r="AE161" t="s">
        <v>104</v>
      </c>
      <c r="AF161" t="s">
        <v>73</v>
      </c>
      <c r="AG161" s="3"/>
      <c r="AH161" s="3"/>
      <c r="AI161" s="3"/>
      <c r="AJ161" s="3">
        <f t="shared" si="151"/>
        <v>0</v>
      </c>
      <c r="AK161" s="3"/>
      <c r="AL161" s="3"/>
      <c r="AM161" s="3"/>
      <c r="AN161" s="3">
        <f t="shared" si="152"/>
        <v>0</v>
      </c>
      <c r="AO161" s="3"/>
      <c r="AP161" s="3"/>
      <c r="AQ161" s="3"/>
      <c r="AR161" s="3">
        <f t="shared" si="153"/>
        <v>0</v>
      </c>
      <c r="AS161" s="3"/>
      <c r="AT161" s="3"/>
      <c r="AU161" s="3"/>
      <c r="AV161" s="3">
        <f t="shared" si="154"/>
        <v>0</v>
      </c>
      <c r="AW161" s="3"/>
      <c r="AX161" s="3"/>
      <c r="AY161" s="3"/>
      <c r="AZ161" s="3">
        <f t="shared" si="155"/>
        <v>0</v>
      </c>
      <c r="BA161" s="3"/>
      <c r="BB161" s="3"/>
      <c r="BC161" s="3"/>
      <c r="BD161" s="3">
        <f t="shared" si="156"/>
        <v>0</v>
      </c>
      <c r="BE161" s="3"/>
      <c r="BF161" s="3"/>
      <c r="BG161" s="3"/>
      <c r="BH161" s="3">
        <f t="shared" si="148"/>
        <v>0</v>
      </c>
      <c r="BI161" s="3"/>
      <c r="BJ161" s="3"/>
      <c r="BK161" s="3"/>
      <c r="BL161" s="3">
        <f t="shared" si="149"/>
        <v>0</v>
      </c>
      <c r="BM161" s="3"/>
      <c r="BN161" s="3"/>
      <c r="BO161" s="3"/>
      <c r="BP161" s="3">
        <f t="shared" si="157"/>
        <v>0</v>
      </c>
      <c r="BQ161" s="3"/>
      <c r="BR161" s="3"/>
      <c r="BS161" s="3"/>
      <c r="BT161" s="3">
        <f t="shared" si="158"/>
        <v>0</v>
      </c>
      <c r="BU161" s="3"/>
      <c r="BV161" s="3"/>
      <c r="BW161" s="3"/>
      <c r="BX161" s="3">
        <f t="shared" si="159"/>
        <v>0</v>
      </c>
      <c r="BY161" s="3"/>
      <c r="BZ161" s="3"/>
      <c r="CA161" s="3"/>
      <c r="CB161" s="3">
        <f t="shared" si="160"/>
        <v>0</v>
      </c>
      <c r="CC161" s="3"/>
      <c r="CD161" s="3"/>
      <c r="CE161" s="3"/>
      <c r="CF161" s="3">
        <f t="shared" si="161"/>
        <v>0</v>
      </c>
      <c r="CG161" s="3"/>
      <c r="CH161" s="3"/>
      <c r="CI161" s="3"/>
      <c r="CJ161" s="3">
        <f t="shared" si="162"/>
        <v>0</v>
      </c>
      <c r="CK161" s="3"/>
      <c r="CL161" s="3"/>
      <c r="CM161" s="3"/>
      <c r="CN161" s="3">
        <f t="shared" si="163"/>
        <v>0</v>
      </c>
      <c r="CO161" s="3"/>
      <c r="CP161" s="3"/>
      <c r="CQ161" s="3"/>
      <c r="CR161" s="3">
        <f t="shared" si="164"/>
        <v>0</v>
      </c>
      <c r="CS161" s="3"/>
      <c r="CT161" s="3"/>
      <c r="CU161" s="3"/>
      <c r="CV161" s="3">
        <f t="shared" si="165"/>
        <v>0</v>
      </c>
      <c r="CW161" s="3"/>
      <c r="CX161" s="3"/>
      <c r="CY161" s="3"/>
      <c r="CZ161" s="3">
        <f t="shared" si="173"/>
        <v>0</v>
      </c>
      <c r="DA161" s="3"/>
      <c r="DB161" s="3"/>
      <c r="DC161" s="3"/>
      <c r="DD161" s="3">
        <f t="shared" si="166"/>
        <v>0</v>
      </c>
      <c r="DE161" s="3"/>
      <c r="DF161" s="3"/>
      <c r="DG161" s="3"/>
      <c r="DH161" s="3">
        <f t="shared" si="167"/>
        <v>0</v>
      </c>
      <c r="DI161" s="3"/>
      <c r="DJ161" s="3"/>
      <c r="DK161" s="3"/>
      <c r="DL161" s="3">
        <f t="shared" si="147"/>
        <v>0</v>
      </c>
      <c r="DM161" s="3"/>
      <c r="DN161" s="3"/>
      <c r="DO161" s="3"/>
      <c r="DP161" s="3">
        <f t="shared" si="168"/>
        <v>0</v>
      </c>
      <c r="DQ161" s="3">
        <f>SUM($K161:$M161)*DQ$4/$DQ$4</f>
        <v>-248.15</v>
      </c>
      <c r="DR161" s="3">
        <v>0</v>
      </c>
      <c r="DS161" s="3">
        <v>0</v>
      </c>
      <c r="DT161" s="3">
        <f t="shared" si="172"/>
        <v>-248.15</v>
      </c>
      <c r="DU161" s="3"/>
      <c r="DV161" s="3"/>
      <c r="DW161" s="3"/>
      <c r="DX161" s="3">
        <f t="shared" si="169"/>
        <v>0</v>
      </c>
      <c r="DY161" s="3"/>
      <c r="DZ161" s="3"/>
      <c r="EA161" s="3"/>
      <c r="EB161" s="3">
        <f t="shared" si="170"/>
        <v>0</v>
      </c>
      <c r="EC161" s="4">
        <f t="shared" si="150"/>
        <v>-248.15</v>
      </c>
      <c r="ED161" s="5">
        <f t="shared" si="171"/>
        <v>0</v>
      </c>
      <c r="EE161" s="6">
        <f t="shared" si="174"/>
        <v>-248.15</v>
      </c>
      <c r="EF161" s="6">
        <f t="shared" si="174"/>
        <v>0</v>
      </c>
      <c r="EG161" s="6">
        <f t="shared" si="174"/>
        <v>0</v>
      </c>
    </row>
    <row r="162" spans="1:137" ht="12" customHeight="1" x14ac:dyDescent="0.35">
      <c r="A162" s="43" t="s">
        <v>115</v>
      </c>
      <c r="B162" s="43">
        <v>28324</v>
      </c>
      <c r="C162" s="43" t="s">
        <v>615</v>
      </c>
      <c r="D162" s="43" t="s">
        <v>110</v>
      </c>
      <c r="E162" s="43">
        <v>150781</v>
      </c>
      <c r="F162" s="43" t="s">
        <v>616</v>
      </c>
      <c r="G162" s="44">
        <v>46030</v>
      </c>
      <c r="H162" s="44">
        <v>46104</v>
      </c>
      <c r="I162" s="45">
        <v>5</v>
      </c>
      <c r="J162" s="45">
        <v>-5553</v>
      </c>
      <c r="K162" s="46">
        <v>-277.64999999999998</v>
      </c>
      <c r="L162" s="45"/>
      <c r="M162" s="45"/>
      <c r="N162" s="45">
        <v>-277.64999999999998</v>
      </c>
      <c r="O162" s="45">
        <v>-5830.65</v>
      </c>
      <c r="P162" s="43" t="s">
        <v>95</v>
      </c>
      <c r="Q162" s="43" t="s">
        <v>36</v>
      </c>
      <c r="R162" s="43" t="s">
        <v>112</v>
      </c>
      <c r="S162" s="43" t="s">
        <v>97</v>
      </c>
      <c r="T162" s="43" t="s">
        <v>98</v>
      </c>
      <c r="U162" s="43" t="s">
        <v>99</v>
      </c>
      <c r="V162" s="43">
        <v>996311</v>
      </c>
      <c r="W162" s="43" t="s">
        <v>617</v>
      </c>
      <c r="X162" s="43" t="s">
        <v>101</v>
      </c>
      <c r="Y162" s="43">
        <v>107</v>
      </c>
      <c r="Z162" s="43" t="s">
        <v>102</v>
      </c>
      <c r="AA162" t="s">
        <v>618</v>
      </c>
      <c r="AB162">
        <v>-277.64999999999998</v>
      </c>
      <c r="AC162">
        <v>-278</v>
      </c>
      <c r="AD162" s="38">
        <v>0</v>
      </c>
      <c r="AE162" t="s">
        <v>104</v>
      </c>
      <c r="AF162" t="s">
        <v>73</v>
      </c>
      <c r="AG162" s="3"/>
      <c r="AH162" s="3"/>
      <c r="AI162" s="3"/>
      <c r="AJ162" s="3">
        <f t="shared" si="151"/>
        <v>0</v>
      </c>
      <c r="AK162" s="3"/>
      <c r="AL162" s="3"/>
      <c r="AM162" s="3"/>
      <c r="AN162" s="3">
        <f t="shared" si="152"/>
        <v>0</v>
      </c>
      <c r="AO162" s="3"/>
      <c r="AP162" s="3"/>
      <c r="AQ162" s="3"/>
      <c r="AR162" s="3">
        <f t="shared" si="153"/>
        <v>0</v>
      </c>
      <c r="AS162" s="3"/>
      <c r="AT162" s="3"/>
      <c r="AU162" s="3"/>
      <c r="AV162" s="3">
        <f t="shared" si="154"/>
        <v>0</v>
      </c>
      <c r="AW162" s="3"/>
      <c r="AX162" s="3"/>
      <c r="AY162" s="3"/>
      <c r="AZ162" s="3">
        <f t="shared" si="155"/>
        <v>0</v>
      </c>
      <c r="BA162" s="3"/>
      <c r="BB162" s="3"/>
      <c r="BC162" s="3"/>
      <c r="BD162" s="3">
        <f t="shared" si="156"/>
        <v>0</v>
      </c>
      <c r="BE162" s="3">
        <f>$K162*BE$4/$BE$4</f>
        <v>-277.64999999999998</v>
      </c>
      <c r="BF162" s="3">
        <f>$L162*BE$4/$BE$4</f>
        <v>0</v>
      </c>
      <c r="BG162" s="3">
        <f>$M162*BE$4/$BE$4</f>
        <v>0</v>
      </c>
      <c r="BH162" s="3">
        <f t="shared" si="148"/>
        <v>-277.64999999999998</v>
      </c>
      <c r="BI162" s="3"/>
      <c r="BJ162" s="3"/>
      <c r="BK162" s="3"/>
      <c r="BL162" s="3">
        <f t="shared" si="149"/>
        <v>0</v>
      </c>
      <c r="BM162" s="3"/>
      <c r="BN162" s="3"/>
      <c r="BO162" s="3"/>
      <c r="BP162" s="3">
        <f t="shared" si="157"/>
        <v>0</v>
      </c>
      <c r="BQ162" s="3"/>
      <c r="BR162" s="3"/>
      <c r="BS162" s="3"/>
      <c r="BT162" s="3">
        <f t="shared" si="158"/>
        <v>0</v>
      </c>
      <c r="BU162" s="3"/>
      <c r="BV162" s="3"/>
      <c r="BW162" s="3"/>
      <c r="BX162" s="3">
        <f t="shared" si="159"/>
        <v>0</v>
      </c>
      <c r="BY162" s="3"/>
      <c r="BZ162" s="3"/>
      <c r="CA162" s="3"/>
      <c r="CB162" s="3">
        <f t="shared" si="160"/>
        <v>0</v>
      </c>
      <c r="CC162" s="3"/>
      <c r="CD162" s="3"/>
      <c r="CE162" s="3"/>
      <c r="CF162" s="3">
        <f t="shared" si="161"/>
        <v>0</v>
      </c>
      <c r="CG162" s="3"/>
      <c r="CH162" s="3"/>
      <c r="CI162" s="3"/>
      <c r="CJ162" s="3">
        <f t="shared" si="162"/>
        <v>0</v>
      </c>
      <c r="CK162" s="3"/>
      <c r="CL162" s="3"/>
      <c r="CM162" s="3"/>
      <c r="CN162" s="3">
        <f t="shared" si="163"/>
        <v>0</v>
      </c>
      <c r="CO162" s="3"/>
      <c r="CP162" s="3"/>
      <c r="CQ162" s="3"/>
      <c r="CR162" s="3">
        <f t="shared" si="164"/>
        <v>0</v>
      </c>
      <c r="CS162" s="3"/>
      <c r="CT162" s="3"/>
      <c r="CU162" s="3"/>
      <c r="CV162" s="3">
        <f t="shared" si="165"/>
        <v>0</v>
      </c>
      <c r="CW162" s="3"/>
      <c r="CX162" s="3"/>
      <c r="CY162" s="3"/>
      <c r="CZ162" s="3">
        <f t="shared" si="173"/>
        <v>0</v>
      </c>
      <c r="DA162" s="3"/>
      <c r="DB162" s="3"/>
      <c r="DC162" s="3"/>
      <c r="DD162" s="3">
        <f t="shared" si="166"/>
        <v>0</v>
      </c>
      <c r="DE162" s="3"/>
      <c r="DF162" s="3"/>
      <c r="DG162" s="3"/>
      <c r="DH162" s="3">
        <f t="shared" si="167"/>
        <v>0</v>
      </c>
      <c r="DI162" s="3"/>
      <c r="DJ162" s="3"/>
      <c r="DK162" s="3"/>
      <c r="DL162" s="3">
        <f t="shared" si="147"/>
        <v>0</v>
      </c>
      <c r="DM162" s="3"/>
      <c r="DN162" s="3"/>
      <c r="DO162" s="3"/>
      <c r="DP162" s="3">
        <f t="shared" si="168"/>
        <v>0</v>
      </c>
      <c r="DQ162" s="3"/>
      <c r="DR162" s="3"/>
      <c r="DS162" s="3"/>
      <c r="DT162" s="3">
        <f t="shared" si="172"/>
        <v>0</v>
      </c>
      <c r="DU162" s="3"/>
      <c r="DV162" s="3"/>
      <c r="DW162" s="3"/>
      <c r="DX162" s="3">
        <f t="shared" si="169"/>
        <v>0</v>
      </c>
      <c r="DY162" s="3"/>
      <c r="DZ162" s="3"/>
      <c r="EA162" s="3"/>
      <c r="EB162" s="3">
        <f t="shared" si="170"/>
        <v>0</v>
      </c>
      <c r="EC162" s="4">
        <f t="shared" si="150"/>
        <v>-277.64999999999998</v>
      </c>
      <c r="ED162" s="5">
        <f t="shared" si="171"/>
        <v>0</v>
      </c>
      <c r="EE162" s="6">
        <f t="shared" si="174"/>
        <v>-277.64999999999998</v>
      </c>
      <c r="EF162" s="6">
        <f t="shared" si="174"/>
        <v>0</v>
      </c>
      <c r="EG162" s="6">
        <f t="shared" si="174"/>
        <v>0</v>
      </c>
    </row>
    <row r="163" spans="1:137" ht="12" customHeight="1" x14ac:dyDescent="0.35">
      <c r="A163" s="43" t="s">
        <v>115</v>
      </c>
      <c r="B163" s="43">
        <v>28324</v>
      </c>
      <c r="C163" s="43" t="s">
        <v>116</v>
      </c>
      <c r="D163" s="43" t="s">
        <v>537</v>
      </c>
      <c r="E163" s="43">
        <v>150782</v>
      </c>
      <c r="F163" s="43" t="s">
        <v>619</v>
      </c>
      <c r="G163" s="44">
        <v>45996</v>
      </c>
      <c r="H163" s="44">
        <v>46104</v>
      </c>
      <c r="I163" s="45">
        <v>18</v>
      </c>
      <c r="J163" s="45">
        <v>-33168</v>
      </c>
      <c r="K163" s="46"/>
      <c r="L163" s="45">
        <v>-2985.12</v>
      </c>
      <c r="M163" s="45">
        <v>-2985.12</v>
      </c>
      <c r="N163" s="45">
        <v>-5970.24</v>
      </c>
      <c r="O163" s="45">
        <v>-39138.239999999998</v>
      </c>
      <c r="P163" s="43" t="s">
        <v>95</v>
      </c>
      <c r="Q163" s="43" t="s">
        <v>47</v>
      </c>
      <c r="R163" s="43" t="s">
        <v>112</v>
      </c>
      <c r="S163" s="43" t="s">
        <v>97</v>
      </c>
      <c r="T163" s="43" t="s">
        <v>98</v>
      </c>
      <c r="U163" s="43" t="s">
        <v>99</v>
      </c>
      <c r="V163" s="43">
        <v>996311</v>
      </c>
      <c r="W163" s="43" t="s">
        <v>620</v>
      </c>
      <c r="X163" s="43" t="s">
        <v>101</v>
      </c>
      <c r="Y163" s="43">
        <v>107</v>
      </c>
      <c r="Z163" s="43" t="s">
        <v>102</v>
      </c>
      <c r="AA163" t="s">
        <v>621</v>
      </c>
      <c r="AB163">
        <v>-5970.24</v>
      </c>
      <c r="AC163">
        <v>-5971</v>
      </c>
      <c r="AD163" s="38">
        <v>1</v>
      </c>
      <c r="AE163" t="s">
        <v>104</v>
      </c>
      <c r="AF163" t="s">
        <v>73</v>
      </c>
      <c r="AG163" s="3"/>
      <c r="AH163" s="3"/>
      <c r="AI163" s="3"/>
      <c r="AJ163" s="3">
        <f t="shared" si="151"/>
        <v>0</v>
      </c>
      <c r="AK163" s="3"/>
      <c r="AL163" s="3"/>
      <c r="AM163" s="3"/>
      <c r="AN163" s="3">
        <f t="shared" si="152"/>
        <v>0</v>
      </c>
      <c r="AO163" s="3"/>
      <c r="AP163" s="3"/>
      <c r="AQ163" s="3"/>
      <c r="AR163" s="3">
        <f t="shared" si="153"/>
        <v>0</v>
      </c>
      <c r="AS163" s="3"/>
      <c r="AT163" s="3"/>
      <c r="AU163" s="3"/>
      <c r="AV163" s="3">
        <f t="shared" si="154"/>
        <v>0</v>
      </c>
      <c r="AW163" s="3"/>
      <c r="AX163" s="3"/>
      <c r="AY163" s="3"/>
      <c r="AZ163" s="3">
        <f t="shared" si="155"/>
        <v>0</v>
      </c>
      <c r="BA163" s="3"/>
      <c r="BB163" s="3"/>
      <c r="BC163" s="3"/>
      <c r="BD163" s="3">
        <f t="shared" si="156"/>
        <v>0</v>
      </c>
      <c r="BE163" s="3"/>
      <c r="BF163" s="3"/>
      <c r="BG163" s="3"/>
      <c r="BH163" s="3">
        <f t="shared" si="148"/>
        <v>0</v>
      </c>
      <c r="BI163" s="3"/>
      <c r="BJ163" s="3"/>
      <c r="BK163" s="3"/>
      <c r="BL163" s="3">
        <f t="shared" si="149"/>
        <v>0</v>
      </c>
      <c r="BM163" s="3"/>
      <c r="BN163" s="3"/>
      <c r="BO163" s="3"/>
      <c r="BP163" s="3">
        <f t="shared" si="157"/>
        <v>0</v>
      </c>
      <c r="BQ163" s="3"/>
      <c r="BR163" s="3"/>
      <c r="BS163" s="3"/>
      <c r="BT163" s="3">
        <f t="shared" si="158"/>
        <v>0</v>
      </c>
      <c r="BU163" s="3"/>
      <c r="BV163" s="3"/>
      <c r="BW163" s="3"/>
      <c r="BX163" s="3">
        <f t="shared" si="159"/>
        <v>0</v>
      </c>
      <c r="BY163" s="3"/>
      <c r="BZ163" s="3"/>
      <c r="CA163" s="3"/>
      <c r="CB163" s="3">
        <f t="shared" si="160"/>
        <v>0</v>
      </c>
      <c r="CC163" s="3"/>
      <c r="CD163" s="3"/>
      <c r="CE163" s="3"/>
      <c r="CF163" s="3">
        <f t="shared" si="161"/>
        <v>0</v>
      </c>
      <c r="CG163" s="3"/>
      <c r="CH163" s="3"/>
      <c r="CI163" s="3"/>
      <c r="CJ163" s="3">
        <f t="shared" si="162"/>
        <v>0</v>
      </c>
      <c r="CK163" s="3"/>
      <c r="CL163" s="3"/>
      <c r="CM163" s="3"/>
      <c r="CN163" s="3">
        <f t="shared" si="163"/>
        <v>0</v>
      </c>
      <c r="CO163" s="3"/>
      <c r="CP163" s="3"/>
      <c r="CQ163" s="3"/>
      <c r="CR163" s="3">
        <f t="shared" si="164"/>
        <v>0</v>
      </c>
      <c r="CS163" s="3"/>
      <c r="CT163" s="3"/>
      <c r="CU163" s="3"/>
      <c r="CV163" s="3">
        <f t="shared" si="165"/>
        <v>0</v>
      </c>
      <c r="CW163" s="3">
        <f>SUM($K163:$M163)*CW$4/$CW$4</f>
        <v>-5970.24</v>
      </c>
      <c r="CX163" s="3">
        <v>0</v>
      </c>
      <c r="CY163" s="3">
        <v>0</v>
      </c>
      <c r="CZ163" s="3">
        <f t="shared" si="173"/>
        <v>-5970.24</v>
      </c>
      <c r="DA163" s="3"/>
      <c r="DB163" s="3"/>
      <c r="DC163" s="3"/>
      <c r="DD163" s="3">
        <f t="shared" si="166"/>
        <v>0</v>
      </c>
      <c r="DE163" s="3"/>
      <c r="DF163" s="3"/>
      <c r="DG163" s="3"/>
      <c r="DH163" s="3">
        <f t="shared" si="167"/>
        <v>0</v>
      </c>
      <c r="DI163" s="3"/>
      <c r="DJ163" s="3"/>
      <c r="DK163" s="3"/>
      <c r="DL163" s="3">
        <f t="shared" si="147"/>
        <v>0</v>
      </c>
      <c r="DM163" s="3"/>
      <c r="DN163" s="3"/>
      <c r="DO163" s="3"/>
      <c r="DP163" s="3">
        <f t="shared" si="168"/>
        <v>0</v>
      </c>
      <c r="DQ163" s="3"/>
      <c r="DR163" s="3"/>
      <c r="DS163" s="3"/>
      <c r="DT163" s="3">
        <f t="shared" si="172"/>
        <v>0</v>
      </c>
      <c r="DU163" s="3"/>
      <c r="DV163" s="3"/>
      <c r="DW163" s="3"/>
      <c r="DX163" s="3">
        <f t="shared" si="169"/>
        <v>0</v>
      </c>
      <c r="DY163" s="3"/>
      <c r="DZ163" s="3"/>
      <c r="EA163" s="3"/>
      <c r="EB163" s="3">
        <f t="shared" si="170"/>
        <v>0</v>
      </c>
      <c r="EC163" s="4">
        <f t="shared" si="150"/>
        <v>-5970.24</v>
      </c>
      <c r="ED163" s="5">
        <f t="shared" si="171"/>
        <v>0</v>
      </c>
      <c r="EE163" s="6">
        <f t="shared" si="174"/>
        <v>-5970.24</v>
      </c>
      <c r="EF163" s="6">
        <f t="shared" si="174"/>
        <v>0</v>
      </c>
      <c r="EG163" s="6">
        <f t="shared" si="174"/>
        <v>0</v>
      </c>
    </row>
    <row r="164" spans="1:137" ht="12" customHeight="1" x14ac:dyDescent="0.35">
      <c r="A164" s="43" t="s">
        <v>91</v>
      </c>
      <c r="B164" s="43">
        <v>30450</v>
      </c>
      <c r="C164" s="43" t="s">
        <v>92</v>
      </c>
      <c r="D164" s="43" t="s">
        <v>543</v>
      </c>
      <c r="E164" s="43">
        <v>150783</v>
      </c>
      <c r="F164" s="43" t="s">
        <v>622</v>
      </c>
      <c r="G164" s="44">
        <v>46000</v>
      </c>
      <c r="H164" s="44">
        <v>46090</v>
      </c>
      <c r="I164" s="45">
        <v>5</v>
      </c>
      <c r="J164" s="45">
        <v>-7352</v>
      </c>
      <c r="K164" s="46"/>
      <c r="L164" s="45">
        <v>-183.8</v>
      </c>
      <c r="M164" s="45">
        <v>-183.8</v>
      </c>
      <c r="N164" s="45">
        <v>-367.6</v>
      </c>
      <c r="O164" s="45">
        <v>-7719.6</v>
      </c>
      <c r="P164" s="43" t="s">
        <v>95</v>
      </c>
      <c r="Q164" s="43" t="s">
        <v>38</v>
      </c>
      <c r="R164" s="43" t="s">
        <v>112</v>
      </c>
      <c r="S164" s="43" t="s">
        <v>97</v>
      </c>
      <c r="T164" s="43" t="s">
        <v>98</v>
      </c>
      <c r="U164" s="43" t="s">
        <v>99</v>
      </c>
      <c r="V164" s="43">
        <v>996311</v>
      </c>
      <c r="W164" s="43" t="s">
        <v>623</v>
      </c>
      <c r="X164" s="43" t="s">
        <v>101</v>
      </c>
      <c r="Y164" s="43">
        <v>107</v>
      </c>
      <c r="Z164" s="43" t="s">
        <v>102</v>
      </c>
      <c r="AA164" t="s">
        <v>624</v>
      </c>
      <c r="AB164">
        <v>-367.6</v>
      </c>
      <c r="AC164">
        <v>-368</v>
      </c>
      <c r="AD164" s="38">
        <v>0</v>
      </c>
      <c r="AE164" t="s">
        <v>104</v>
      </c>
      <c r="AF164" t="s">
        <v>73</v>
      </c>
      <c r="AG164" s="3"/>
      <c r="AH164" s="3"/>
      <c r="AI164" s="3"/>
      <c r="AJ164" s="3">
        <f t="shared" si="151"/>
        <v>0</v>
      </c>
      <c r="AK164" s="3"/>
      <c r="AL164" s="3"/>
      <c r="AM164" s="3"/>
      <c r="AN164" s="3">
        <f t="shared" si="152"/>
        <v>0</v>
      </c>
      <c r="AO164" s="3"/>
      <c r="AP164" s="3"/>
      <c r="AQ164" s="3"/>
      <c r="AR164" s="3">
        <f t="shared" si="153"/>
        <v>0</v>
      </c>
      <c r="AS164" s="3"/>
      <c r="AT164" s="3"/>
      <c r="AU164" s="3"/>
      <c r="AV164" s="3">
        <f t="shared" si="154"/>
        <v>0</v>
      </c>
      <c r="AW164" s="3"/>
      <c r="AX164" s="3"/>
      <c r="AY164" s="3"/>
      <c r="AZ164" s="3">
        <f t="shared" si="155"/>
        <v>0</v>
      </c>
      <c r="BA164" s="3"/>
      <c r="BB164" s="3"/>
      <c r="BC164" s="3"/>
      <c r="BD164" s="3">
        <f t="shared" si="156"/>
        <v>0</v>
      </c>
      <c r="BE164" s="3"/>
      <c r="BF164" s="3"/>
      <c r="BG164" s="3"/>
      <c r="BH164" s="3">
        <f t="shared" si="148"/>
        <v>0</v>
      </c>
      <c r="BI164" s="3"/>
      <c r="BJ164" s="3"/>
      <c r="BK164" s="3"/>
      <c r="BL164" s="3">
        <f t="shared" si="149"/>
        <v>0</v>
      </c>
      <c r="BM164" s="3">
        <f>SUM($K164:$M164)*BM$4/$BM$4</f>
        <v>-367.6</v>
      </c>
      <c r="BN164" s="3">
        <v>0</v>
      </c>
      <c r="BO164" s="3">
        <v>0</v>
      </c>
      <c r="BP164" s="3">
        <f t="shared" si="157"/>
        <v>-367.6</v>
      </c>
      <c r="BQ164" s="3"/>
      <c r="BR164" s="3"/>
      <c r="BS164" s="3"/>
      <c r="BT164" s="3">
        <f t="shared" si="158"/>
        <v>0</v>
      </c>
      <c r="BU164" s="3"/>
      <c r="BV164" s="3"/>
      <c r="BW164" s="3"/>
      <c r="BX164" s="3">
        <f t="shared" si="159"/>
        <v>0</v>
      </c>
      <c r="BY164" s="3"/>
      <c r="BZ164" s="3"/>
      <c r="CA164" s="3"/>
      <c r="CB164" s="3">
        <f t="shared" si="160"/>
        <v>0</v>
      </c>
      <c r="CC164" s="3"/>
      <c r="CD164" s="3"/>
      <c r="CE164" s="3"/>
      <c r="CF164" s="3">
        <f t="shared" si="161"/>
        <v>0</v>
      </c>
      <c r="CG164" s="3"/>
      <c r="CH164" s="3"/>
      <c r="CI164" s="3"/>
      <c r="CJ164" s="3">
        <f t="shared" si="162"/>
        <v>0</v>
      </c>
      <c r="CK164" s="3"/>
      <c r="CL164" s="3"/>
      <c r="CM164" s="3"/>
      <c r="CN164" s="3">
        <f t="shared" si="163"/>
        <v>0</v>
      </c>
      <c r="CO164" s="3"/>
      <c r="CP164" s="3"/>
      <c r="CQ164" s="3"/>
      <c r="CR164" s="3">
        <f t="shared" si="164"/>
        <v>0</v>
      </c>
      <c r="CS164" s="3"/>
      <c r="CT164" s="3"/>
      <c r="CU164" s="3"/>
      <c r="CV164" s="3">
        <f t="shared" si="165"/>
        <v>0</v>
      </c>
      <c r="CW164" s="3"/>
      <c r="CX164" s="3"/>
      <c r="CY164" s="3"/>
      <c r="CZ164" s="3">
        <f t="shared" si="173"/>
        <v>0</v>
      </c>
      <c r="DA164" s="3"/>
      <c r="DB164" s="3"/>
      <c r="DC164" s="3"/>
      <c r="DD164" s="3">
        <f t="shared" si="166"/>
        <v>0</v>
      </c>
      <c r="DE164" s="3"/>
      <c r="DF164" s="3"/>
      <c r="DG164" s="3"/>
      <c r="DH164" s="3">
        <f t="shared" si="167"/>
        <v>0</v>
      </c>
      <c r="DI164" s="3"/>
      <c r="DJ164" s="3"/>
      <c r="DK164" s="3"/>
      <c r="DL164" s="3">
        <f t="shared" si="147"/>
        <v>0</v>
      </c>
      <c r="DM164" s="3"/>
      <c r="DN164" s="3"/>
      <c r="DO164" s="3"/>
      <c r="DP164" s="3">
        <f t="shared" si="168"/>
        <v>0</v>
      </c>
      <c r="DQ164" s="3"/>
      <c r="DR164" s="3"/>
      <c r="DS164" s="3"/>
      <c r="DT164" s="3">
        <f t="shared" si="172"/>
        <v>0</v>
      </c>
      <c r="DU164" s="3"/>
      <c r="DV164" s="3"/>
      <c r="DW164" s="3"/>
      <c r="DX164" s="3">
        <f t="shared" si="169"/>
        <v>0</v>
      </c>
      <c r="DY164" s="3"/>
      <c r="DZ164" s="3"/>
      <c r="EA164" s="3"/>
      <c r="EB164" s="3">
        <f t="shared" si="170"/>
        <v>0</v>
      </c>
      <c r="EC164" s="4">
        <f t="shared" si="150"/>
        <v>-367.6</v>
      </c>
      <c r="ED164" s="5">
        <f t="shared" si="171"/>
        <v>0</v>
      </c>
      <c r="EE164" s="6">
        <f t="shared" si="174"/>
        <v>-367.6</v>
      </c>
      <c r="EF164" s="6">
        <f t="shared" si="174"/>
        <v>0</v>
      </c>
      <c r="EG164" s="6">
        <f t="shared" si="174"/>
        <v>0</v>
      </c>
    </row>
    <row r="165" spans="1:137" ht="12" customHeight="1" x14ac:dyDescent="0.35">
      <c r="A165" s="43" t="s">
        <v>91</v>
      </c>
      <c r="B165" s="43">
        <v>30450</v>
      </c>
      <c r="C165" s="43" t="s">
        <v>92</v>
      </c>
      <c r="D165" s="43" t="s">
        <v>543</v>
      </c>
      <c r="E165" s="43">
        <v>150783</v>
      </c>
      <c r="F165" s="43" t="s">
        <v>625</v>
      </c>
      <c r="G165" s="44">
        <v>46031</v>
      </c>
      <c r="H165" s="44">
        <v>46104</v>
      </c>
      <c r="I165" s="45">
        <v>5</v>
      </c>
      <c r="J165" s="45">
        <v>-4830</v>
      </c>
      <c r="K165" s="46"/>
      <c r="L165" s="45">
        <v>-120.75</v>
      </c>
      <c r="M165" s="45">
        <v>-120.75</v>
      </c>
      <c r="N165" s="45">
        <v>-241.5</v>
      </c>
      <c r="O165" s="45">
        <v>-5071.5</v>
      </c>
      <c r="P165" s="43" t="s">
        <v>95</v>
      </c>
      <c r="Q165" s="43" t="s">
        <v>45</v>
      </c>
      <c r="R165" s="43" t="s">
        <v>112</v>
      </c>
      <c r="S165" s="43" t="s">
        <v>97</v>
      </c>
      <c r="T165" s="43" t="s">
        <v>98</v>
      </c>
      <c r="U165" s="43" t="s">
        <v>99</v>
      </c>
      <c r="V165" s="43">
        <v>996311</v>
      </c>
      <c r="W165" s="43" t="s">
        <v>626</v>
      </c>
      <c r="X165" s="43" t="s">
        <v>101</v>
      </c>
      <c r="Y165" s="43">
        <v>107</v>
      </c>
      <c r="Z165" s="43" t="s">
        <v>102</v>
      </c>
      <c r="AA165" t="s">
        <v>627</v>
      </c>
      <c r="AB165">
        <v>-241.5</v>
      </c>
      <c r="AC165">
        <v>-242</v>
      </c>
      <c r="AD165" s="38">
        <v>1</v>
      </c>
      <c r="AE165" t="s">
        <v>104</v>
      </c>
      <c r="AF165" t="s">
        <v>73</v>
      </c>
      <c r="AG165" s="3"/>
      <c r="AH165" s="3"/>
      <c r="AI165" s="3"/>
      <c r="AJ165" s="3">
        <f t="shared" si="151"/>
        <v>0</v>
      </c>
      <c r="AK165" s="3"/>
      <c r="AL165" s="3"/>
      <c r="AM165" s="3"/>
      <c r="AN165" s="3">
        <f t="shared" si="152"/>
        <v>0</v>
      </c>
      <c r="AO165" s="3"/>
      <c r="AP165" s="3"/>
      <c r="AQ165" s="3"/>
      <c r="AR165" s="3">
        <f t="shared" si="153"/>
        <v>0</v>
      </c>
      <c r="AS165" s="3"/>
      <c r="AT165" s="3"/>
      <c r="AU165" s="3"/>
      <c r="AV165" s="3">
        <f t="shared" si="154"/>
        <v>0</v>
      </c>
      <c r="AW165" s="3"/>
      <c r="AX165" s="3"/>
      <c r="AY165" s="3"/>
      <c r="AZ165" s="3">
        <f t="shared" si="155"/>
        <v>0</v>
      </c>
      <c r="BA165" s="3"/>
      <c r="BB165" s="3"/>
      <c r="BC165" s="3"/>
      <c r="BD165" s="3">
        <f t="shared" si="156"/>
        <v>0</v>
      </c>
      <c r="BE165" s="3"/>
      <c r="BF165" s="3"/>
      <c r="BG165" s="3"/>
      <c r="BH165" s="3">
        <f t="shared" si="148"/>
        <v>0</v>
      </c>
      <c r="BI165" s="3"/>
      <c r="BJ165" s="3"/>
      <c r="BK165" s="3"/>
      <c r="BL165" s="3">
        <f t="shared" si="149"/>
        <v>0</v>
      </c>
      <c r="BM165" s="3"/>
      <c r="BN165" s="3"/>
      <c r="BO165" s="3"/>
      <c r="BP165" s="3">
        <f t="shared" si="157"/>
        <v>0</v>
      </c>
      <c r="BQ165" s="3"/>
      <c r="BR165" s="3"/>
      <c r="BS165" s="3"/>
      <c r="BT165" s="3">
        <f t="shared" si="158"/>
        <v>0</v>
      </c>
      <c r="BU165" s="3"/>
      <c r="BV165" s="3"/>
      <c r="BW165" s="3"/>
      <c r="BX165" s="3">
        <f t="shared" si="159"/>
        <v>0</v>
      </c>
      <c r="BY165" s="3"/>
      <c r="BZ165" s="3"/>
      <c r="CA165" s="3"/>
      <c r="CB165" s="3">
        <f t="shared" si="160"/>
        <v>0</v>
      </c>
      <c r="CC165" s="3"/>
      <c r="CD165" s="3"/>
      <c r="CE165" s="3"/>
      <c r="CF165" s="3">
        <f t="shared" si="161"/>
        <v>0</v>
      </c>
      <c r="CG165" s="3"/>
      <c r="CH165" s="3"/>
      <c r="CI165" s="3"/>
      <c r="CJ165" s="3">
        <f t="shared" si="162"/>
        <v>0</v>
      </c>
      <c r="CK165" s="3"/>
      <c r="CL165" s="3"/>
      <c r="CM165" s="3"/>
      <c r="CN165" s="3">
        <f t="shared" si="163"/>
        <v>0</v>
      </c>
      <c r="CO165" s="3">
        <f>SUM($K165:$M165)*CO$4/$CO$4</f>
        <v>-241.5</v>
      </c>
      <c r="CP165" s="3">
        <v>0</v>
      </c>
      <c r="CQ165" s="3">
        <v>0</v>
      </c>
      <c r="CR165" s="3">
        <f t="shared" si="164"/>
        <v>-241.5</v>
      </c>
      <c r="CS165" s="3"/>
      <c r="CT165" s="3"/>
      <c r="CU165" s="3"/>
      <c r="CV165" s="3">
        <f t="shared" si="165"/>
        <v>0</v>
      </c>
      <c r="CW165" s="3"/>
      <c r="CX165" s="3"/>
      <c r="CY165" s="3"/>
      <c r="CZ165" s="3">
        <f t="shared" si="173"/>
        <v>0</v>
      </c>
      <c r="DA165" s="3"/>
      <c r="DB165" s="3"/>
      <c r="DC165" s="3"/>
      <c r="DD165" s="3">
        <f t="shared" si="166"/>
        <v>0</v>
      </c>
      <c r="DE165" s="3"/>
      <c r="DF165" s="3"/>
      <c r="DG165" s="3"/>
      <c r="DH165" s="3">
        <f t="shared" si="167"/>
        <v>0</v>
      </c>
      <c r="DI165" s="3"/>
      <c r="DJ165" s="3"/>
      <c r="DK165" s="3"/>
      <c r="DL165" s="3">
        <f t="shared" si="147"/>
        <v>0</v>
      </c>
      <c r="DM165" s="3"/>
      <c r="DN165" s="3"/>
      <c r="DO165" s="3"/>
      <c r="DP165" s="3">
        <f t="shared" si="168"/>
        <v>0</v>
      </c>
      <c r="DQ165" s="3"/>
      <c r="DR165" s="3"/>
      <c r="DS165" s="3"/>
      <c r="DT165" s="3">
        <f t="shared" si="172"/>
        <v>0</v>
      </c>
      <c r="DU165" s="3"/>
      <c r="DV165" s="3"/>
      <c r="DW165" s="3"/>
      <c r="DX165" s="3">
        <f t="shared" si="169"/>
        <v>0</v>
      </c>
      <c r="DY165" s="3"/>
      <c r="DZ165" s="3"/>
      <c r="EA165" s="3"/>
      <c r="EB165" s="3">
        <f t="shared" si="170"/>
        <v>0</v>
      </c>
      <c r="EC165" s="4">
        <f t="shared" si="150"/>
        <v>-241.5</v>
      </c>
      <c r="ED165" s="5">
        <f t="shared" si="171"/>
        <v>0</v>
      </c>
      <c r="EE165" s="6">
        <f t="shared" si="174"/>
        <v>-241.5</v>
      </c>
      <c r="EF165" s="6">
        <f t="shared" si="174"/>
        <v>0</v>
      </c>
      <c r="EG165" s="6">
        <f t="shared" si="174"/>
        <v>0</v>
      </c>
    </row>
    <row r="166" spans="1:137" ht="12" customHeight="1" x14ac:dyDescent="0.35">
      <c r="A166" s="43" t="s">
        <v>91</v>
      </c>
      <c r="B166" s="43">
        <v>30450</v>
      </c>
      <c r="C166" s="43" t="s">
        <v>169</v>
      </c>
      <c r="D166" s="43" t="s">
        <v>110</v>
      </c>
      <c r="E166" s="43">
        <v>150781</v>
      </c>
      <c r="F166" s="43" t="s">
        <v>628</v>
      </c>
      <c r="G166" s="44">
        <v>46032</v>
      </c>
      <c r="H166" s="44">
        <v>46104</v>
      </c>
      <c r="I166" s="45">
        <v>5</v>
      </c>
      <c r="J166" s="45">
        <v>-4953</v>
      </c>
      <c r="K166" s="46">
        <v>-247.65</v>
      </c>
      <c r="L166" s="45"/>
      <c r="M166" s="45"/>
      <c r="N166" s="45">
        <v>-247.65</v>
      </c>
      <c r="O166" s="45">
        <v>-5200.6499999999996</v>
      </c>
      <c r="P166" s="43" t="s">
        <v>95</v>
      </c>
      <c r="Q166" s="43" t="s">
        <v>47</v>
      </c>
      <c r="R166" s="43" t="s">
        <v>112</v>
      </c>
      <c r="S166" s="43" t="s">
        <v>97</v>
      </c>
      <c r="T166" s="43" t="s">
        <v>98</v>
      </c>
      <c r="U166" s="43" t="s">
        <v>99</v>
      </c>
      <c r="V166" s="43">
        <v>996311</v>
      </c>
      <c r="W166" s="43" t="s">
        <v>629</v>
      </c>
      <c r="X166" s="43" t="s">
        <v>101</v>
      </c>
      <c r="Y166" s="43">
        <v>107</v>
      </c>
      <c r="Z166" s="43" t="s">
        <v>102</v>
      </c>
      <c r="AA166" t="s">
        <v>630</v>
      </c>
      <c r="AB166">
        <v>-247.65</v>
      </c>
      <c r="AC166">
        <v>-248</v>
      </c>
      <c r="AD166" s="38">
        <v>0</v>
      </c>
      <c r="AE166" t="s">
        <v>104</v>
      </c>
      <c r="AF166" t="s">
        <v>73</v>
      </c>
      <c r="AG166" s="3"/>
      <c r="AH166" s="3"/>
      <c r="AI166" s="3"/>
      <c r="AJ166" s="3">
        <f t="shared" si="151"/>
        <v>0</v>
      </c>
      <c r="AK166" s="3"/>
      <c r="AL166" s="3"/>
      <c r="AM166" s="3"/>
      <c r="AN166" s="3">
        <f t="shared" si="152"/>
        <v>0</v>
      </c>
      <c r="AO166" s="3"/>
      <c r="AP166" s="3"/>
      <c r="AQ166" s="3"/>
      <c r="AR166" s="3">
        <f t="shared" si="153"/>
        <v>0</v>
      </c>
      <c r="AS166" s="3"/>
      <c r="AT166" s="3"/>
      <c r="AU166" s="3"/>
      <c r="AV166" s="3">
        <f t="shared" si="154"/>
        <v>0</v>
      </c>
      <c r="AW166" s="3"/>
      <c r="AX166" s="3"/>
      <c r="AY166" s="3"/>
      <c r="AZ166" s="3">
        <f t="shared" si="155"/>
        <v>0</v>
      </c>
      <c r="BA166" s="3"/>
      <c r="BB166" s="3"/>
      <c r="BC166" s="3"/>
      <c r="BD166" s="3">
        <f t="shared" si="156"/>
        <v>0</v>
      </c>
      <c r="BE166" s="3"/>
      <c r="BF166" s="3"/>
      <c r="BG166" s="3"/>
      <c r="BH166" s="3">
        <f t="shared" si="148"/>
        <v>0</v>
      </c>
      <c r="BI166" s="3"/>
      <c r="BJ166" s="3"/>
      <c r="BK166" s="3"/>
      <c r="BL166" s="3">
        <f t="shared" si="149"/>
        <v>0</v>
      </c>
      <c r="BM166" s="3"/>
      <c r="BN166" s="3"/>
      <c r="BO166" s="3"/>
      <c r="BP166" s="3">
        <f t="shared" si="157"/>
        <v>0</v>
      </c>
      <c r="BQ166" s="3"/>
      <c r="BR166" s="3"/>
      <c r="BS166" s="3"/>
      <c r="BT166" s="3">
        <f t="shared" si="158"/>
        <v>0</v>
      </c>
      <c r="BU166" s="3"/>
      <c r="BV166" s="3"/>
      <c r="BW166" s="3"/>
      <c r="BX166" s="3">
        <f t="shared" si="159"/>
        <v>0</v>
      </c>
      <c r="BY166" s="3"/>
      <c r="BZ166" s="3"/>
      <c r="CA166" s="3"/>
      <c r="CB166" s="3">
        <f t="shared" si="160"/>
        <v>0</v>
      </c>
      <c r="CC166" s="3"/>
      <c r="CD166" s="3"/>
      <c r="CE166" s="3"/>
      <c r="CF166" s="3">
        <f t="shared" si="161"/>
        <v>0</v>
      </c>
      <c r="CG166" s="3"/>
      <c r="CH166" s="3"/>
      <c r="CI166" s="3"/>
      <c r="CJ166" s="3">
        <f t="shared" si="162"/>
        <v>0</v>
      </c>
      <c r="CK166" s="3"/>
      <c r="CL166" s="3"/>
      <c r="CM166" s="3"/>
      <c r="CN166" s="3">
        <f t="shared" si="163"/>
        <v>0</v>
      </c>
      <c r="CO166" s="3"/>
      <c r="CP166" s="3"/>
      <c r="CQ166" s="3"/>
      <c r="CR166" s="3">
        <f t="shared" si="164"/>
        <v>0</v>
      </c>
      <c r="CS166" s="3"/>
      <c r="CT166" s="3"/>
      <c r="CU166" s="3"/>
      <c r="CV166" s="3">
        <f t="shared" si="165"/>
        <v>0</v>
      </c>
      <c r="CW166" s="3">
        <f>SUM($K166:$M166)*CW$4/$CW$4</f>
        <v>-247.65</v>
      </c>
      <c r="CX166" s="3">
        <v>0</v>
      </c>
      <c r="CY166" s="3">
        <v>0</v>
      </c>
      <c r="CZ166" s="3">
        <f t="shared" si="173"/>
        <v>-247.65</v>
      </c>
      <c r="DA166" s="3"/>
      <c r="DB166" s="3"/>
      <c r="DC166" s="3"/>
      <c r="DD166" s="3">
        <f t="shared" si="166"/>
        <v>0</v>
      </c>
      <c r="DE166" s="3"/>
      <c r="DF166" s="3"/>
      <c r="DG166" s="3"/>
      <c r="DH166" s="3">
        <f t="shared" si="167"/>
        <v>0</v>
      </c>
      <c r="DI166" s="3"/>
      <c r="DJ166" s="3"/>
      <c r="DK166" s="3"/>
      <c r="DL166" s="3">
        <f t="shared" si="147"/>
        <v>0</v>
      </c>
      <c r="DM166" s="3"/>
      <c r="DN166" s="3"/>
      <c r="DO166" s="3"/>
      <c r="DP166" s="3">
        <f t="shared" si="168"/>
        <v>0</v>
      </c>
      <c r="DQ166" s="3"/>
      <c r="DR166" s="3"/>
      <c r="DS166" s="3"/>
      <c r="DT166" s="3">
        <f t="shared" si="172"/>
        <v>0</v>
      </c>
      <c r="DU166" s="3"/>
      <c r="DV166" s="3"/>
      <c r="DW166" s="3"/>
      <c r="DX166" s="3">
        <f t="shared" si="169"/>
        <v>0</v>
      </c>
      <c r="DY166" s="3"/>
      <c r="DZ166" s="3"/>
      <c r="EA166" s="3"/>
      <c r="EB166" s="3">
        <f t="shared" si="170"/>
        <v>0</v>
      </c>
      <c r="EC166" s="4">
        <f t="shared" si="150"/>
        <v>-247.65</v>
      </c>
      <c r="ED166" s="5">
        <f t="shared" si="171"/>
        <v>0</v>
      </c>
      <c r="EE166" s="6">
        <f t="shared" si="174"/>
        <v>-247.65</v>
      </c>
      <c r="EF166" s="6">
        <f t="shared" si="174"/>
        <v>0</v>
      </c>
      <c r="EG166" s="6">
        <f t="shared" si="174"/>
        <v>0</v>
      </c>
    </row>
    <row r="167" spans="1:137" ht="12" customHeight="1" x14ac:dyDescent="0.35">
      <c r="A167" s="43" t="s">
        <v>115</v>
      </c>
      <c r="B167" s="43">
        <v>28324</v>
      </c>
      <c r="C167" s="43" t="s">
        <v>116</v>
      </c>
      <c r="D167" s="43" t="s">
        <v>543</v>
      </c>
      <c r="E167" s="43">
        <v>150783</v>
      </c>
      <c r="F167" s="43" t="s">
        <v>631</v>
      </c>
      <c r="G167" s="44">
        <v>46077</v>
      </c>
      <c r="H167" s="44">
        <v>46104</v>
      </c>
      <c r="I167" s="45">
        <v>5</v>
      </c>
      <c r="J167" s="45">
        <v>-14701</v>
      </c>
      <c r="K167" s="46"/>
      <c r="L167" s="45">
        <v>-367.52499999999998</v>
      </c>
      <c r="M167" s="45">
        <v>-367.52499999999998</v>
      </c>
      <c r="N167" s="45">
        <v>-735.05</v>
      </c>
      <c r="O167" s="45">
        <v>-15436.06</v>
      </c>
      <c r="P167" s="43" t="s">
        <v>95</v>
      </c>
      <c r="Q167" s="43" t="s">
        <v>52</v>
      </c>
      <c r="R167" s="43" t="s">
        <v>112</v>
      </c>
      <c r="S167" s="43" t="s">
        <v>97</v>
      </c>
      <c r="T167" s="43" t="s">
        <v>98</v>
      </c>
      <c r="U167" s="43" t="s">
        <v>99</v>
      </c>
      <c r="V167" s="43">
        <v>996311</v>
      </c>
      <c r="W167" s="43" t="s">
        <v>632</v>
      </c>
      <c r="X167" s="43" t="s">
        <v>101</v>
      </c>
      <c r="Y167" s="43">
        <v>107</v>
      </c>
      <c r="Z167" s="43" t="s">
        <v>102</v>
      </c>
      <c r="AA167" t="s">
        <v>633</v>
      </c>
      <c r="AB167">
        <v>-735.05</v>
      </c>
      <c r="AC167">
        <v>-735</v>
      </c>
      <c r="AD167" s="38">
        <v>0</v>
      </c>
      <c r="AE167" t="s">
        <v>104</v>
      </c>
      <c r="AF167" t="s">
        <v>73</v>
      </c>
      <c r="AG167" s="3"/>
      <c r="AH167" s="3"/>
      <c r="AI167" s="3"/>
      <c r="AJ167" s="3">
        <f t="shared" si="151"/>
        <v>0</v>
      </c>
      <c r="AK167" s="3"/>
      <c r="AL167" s="3"/>
      <c r="AM167" s="3"/>
      <c r="AN167" s="3">
        <f t="shared" si="152"/>
        <v>0</v>
      </c>
      <c r="AO167" s="3"/>
      <c r="AP167" s="3"/>
      <c r="AQ167" s="3"/>
      <c r="AR167" s="3">
        <f t="shared" si="153"/>
        <v>0</v>
      </c>
      <c r="AS167" s="3"/>
      <c r="AT167" s="3"/>
      <c r="AU167" s="3"/>
      <c r="AV167" s="3">
        <f t="shared" si="154"/>
        <v>0</v>
      </c>
      <c r="AW167" s="3"/>
      <c r="AX167" s="3"/>
      <c r="AY167" s="3"/>
      <c r="AZ167" s="3">
        <f t="shared" si="155"/>
        <v>0</v>
      </c>
      <c r="BA167" s="3"/>
      <c r="BB167" s="3"/>
      <c r="BC167" s="3"/>
      <c r="BD167" s="3">
        <f t="shared" si="156"/>
        <v>0</v>
      </c>
      <c r="BE167" s="3"/>
      <c r="BF167" s="3"/>
      <c r="BG167" s="3"/>
      <c r="BH167" s="3">
        <f t="shared" si="148"/>
        <v>0</v>
      </c>
      <c r="BI167" s="3"/>
      <c r="BJ167" s="3"/>
      <c r="BK167" s="3"/>
      <c r="BL167" s="3">
        <f t="shared" si="149"/>
        <v>0</v>
      </c>
      <c r="BM167" s="3"/>
      <c r="BN167" s="3"/>
      <c r="BO167" s="3"/>
      <c r="BP167" s="3">
        <f t="shared" si="157"/>
        <v>0</v>
      </c>
      <c r="BQ167" s="3"/>
      <c r="BR167" s="3"/>
      <c r="BS167" s="3"/>
      <c r="BT167" s="3">
        <f t="shared" si="158"/>
        <v>0</v>
      </c>
      <c r="BU167" s="3"/>
      <c r="BV167" s="3"/>
      <c r="BW167" s="3"/>
      <c r="BX167" s="3">
        <f t="shared" si="159"/>
        <v>0</v>
      </c>
      <c r="BY167" s="3"/>
      <c r="BZ167" s="3"/>
      <c r="CA167" s="3"/>
      <c r="CB167" s="3">
        <f t="shared" si="160"/>
        <v>0</v>
      </c>
      <c r="CC167" s="3"/>
      <c r="CD167" s="3"/>
      <c r="CE167" s="3"/>
      <c r="CF167" s="3">
        <f t="shared" si="161"/>
        <v>0</v>
      </c>
      <c r="CG167" s="3"/>
      <c r="CH167" s="3"/>
      <c r="CI167" s="3"/>
      <c r="CJ167" s="3">
        <f t="shared" si="162"/>
        <v>0</v>
      </c>
      <c r="CK167" s="3"/>
      <c r="CL167" s="3"/>
      <c r="CM167" s="3"/>
      <c r="CN167" s="3">
        <f t="shared" si="163"/>
        <v>0</v>
      </c>
      <c r="CO167" s="3"/>
      <c r="CP167" s="3"/>
      <c r="CQ167" s="3"/>
      <c r="CR167" s="3">
        <f t="shared" si="164"/>
        <v>0</v>
      </c>
      <c r="CS167" s="3"/>
      <c r="CT167" s="3"/>
      <c r="CU167" s="3"/>
      <c r="CV167" s="3">
        <f t="shared" si="165"/>
        <v>0</v>
      </c>
      <c r="CW167" s="3"/>
      <c r="CX167" s="3"/>
      <c r="CY167" s="3"/>
      <c r="CZ167" s="3">
        <f t="shared" si="173"/>
        <v>0</v>
      </c>
      <c r="DA167" s="3"/>
      <c r="DB167" s="3"/>
      <c r="DC167" s="3"/>
      <c r="DD167" s="3">
        <f t="shared" si="166"/>
        <v>0</v>
      </c>
      <c r="DE167" s="3"/>
      <c r="DF167" s="3"/>
      <c r="DG167" s="3"/>
      <c r="DH167" s="3">
        <f t="shared" si="167"/>
        <v>0</v>
      </c>
      <c r="DI167" s="3"/>
      <c r="DJ167" s="3"/>
      <c r="DK167" s="3"/>
      <c r="DL167" s="3">
        <f t="shared" si="147"/>
        <v>0</v>
      </c>
      <c r="DM167" s="3"/>
      <c r="DN167" s="3"/>
      <c r="DO167" s="3"/>
      <c r="DP167" s="3">
        <f t="shared" si="168"/>
        <v>0</v>
      </c>
      <c r="DQ167" s="3">
        <f>SUM($K167:$M167)*DQ$4/$DQ$4</f>
        <v>-735.05</v>
      </c>
      <c r="DR167" s="3">
        <v>0</v>
      </c>
      <c r="DS167" s="3">
        <v>0</v>
      </c>
      <c r="DT167" s="3">
        <f t="shared" si="172"/>
        <v>-735.05</v>
      </c>
      <c r="DU167" s="3"/>
      <c r="DV167" s="3"/>
      <c r="DW167" s="3"/>
      <c r="DX167" s="3">
        <f t="shared" si="169"/>
        <v>0</v>
      </c>
      <c r="DY167" s="3"/>
      <c r="DZ167" s="3"/>
      <c r="EA167" s="3"/>
      <c r="EB167" s="3">
        <f t="shared" si="170"/>
        <v>0</v>
      </c>
      <c r="EC167" s="4">
        <f t="shared" si="150"/>
        <v>-735.05</v>
      </c>
      <c r="ED167" s="5">
        <f t="shared" si="171"/>
        <v>0</v>
      </c>
      <c r="EE167" s="6">
        <f t="shared" si="174"/>
        <v>-735.05</v>
      </c>
      <c r="EF167" s="6">
        <f t="shared" si="174"/>
        <v>0</v>
      </c>
      <c r="EG167" s="6">
        <f t="shared" si="174"/>
        <v>0</v>
      </c>
    </row>
    <row r="168" spans="1:137" ht="12" customHeight="1" x14ac:dyDescent="0.35">
      <c r="A168" s="43" t="s">
        <v>115</v>
      </c>
      <c r="B168" s="43">
        <v>28324</v>
      </c>
      <c r="C168" s="43" t="s">
        <v>120</v>
      </c>
      <c r="D168" s="43" t="s">
        <v>110</v>
      </c>
      <c r="E168" s="43">
        <v>150781</v>
      </c>
      <c r="F168" s="43" t="s">
        <v>634</v>
      </c>
      <c r="G168" s="44">
        <v>46003</v>
      </c>
      <c r="H168" s="44">
        <v>46090</v>
      </c>
      <c r="I168" s="45">
        <v>5</v>
      </c>
      <c r="J168" s="45">
        <v>-8481</v>
      </c>
      <c r="K168" s="46">
        <v>-424.05</v>
      </c>
      <c r="L168" s="45"/>
      <c r="M168" s="45"/>
      <c r="N168" s="45">
        <v>-424.05</v>
      </c>
      <c r="O168" s="45">
        <v>-8905.0499999999993</v>
      </c>
      <c r="P168" s="43" t="s">
        <v>95</v>
      </c>
      <c r="Q168" s="43" t="s">
        <v>36</v>
      </c>
      <c r="R168" s="43" t="s">
        <v>112</v>
      </c>
      <c r="S168" s="43" t="s">
        <v>97</v>
      </c>
      <c r="T168" s="43" t="s">
        <v>98</v>
      </c>
      <c r="U168" s="43" t="s">
        <v>99</v>
      </c>
      <c r="V168" s="43">
        <v>996311</v>
      </c>
      <c r="W168" s="43" t="s">
        <v>635</v>
      </c>
      <c r="X168" s="43" t="s">
        <v>101</v>
      </c>
      <c r="Y168" s="43">
        <v>107</v>
      </c>
      <c r="Z168" s="43" t="s">
        <v>102</v>
      </c>
      <c r="AA168" t="s">
        <v>636</v>
      </c>
      <c r="AB168">
        <v>-424.05</v>
      </c>
      <c r="AC168">
        <v>-424</v>
      </c>
      <c r="AD168" s="38">
        <v>0</v>
      </c>
      <c r="AE168" t="s">
        <v>104</v>
      </c>
      <c r="AF168" t="s">
        <v>73</v>
      </c>
      <c r="AG168" s="3"/>
      <c r="AH168" s="3"/>
      <c r="AI168" s="3"/>
      <c r="AJ168" s="3">
        <f t="shared" si="151"/>
        <v>0</v>
      </c>
      <c r="AK168" s="3"/>
      <c r="AL168" s="3"/>
      <c r="AM168" s="3"/>
      <c r="AN168" s="3">
        <f t="shared" si="152"/>
        <v>0</v>
      </c>
      <c r="AO168" s="3"/>
      <c r="AP168" s="3"/>
      <c r="AQ168" s="3"/>
      <c r="AR168" s="3">
        <f t="shared" si="153"/>
        <v>0</v>
      </c>
      <c r="AS168" s="3"/>
      <c r="AT168" s="3"/>
      <c r="AU168" s="3"/>
      <c r="AV168" s="3">
        <f t="shared" si="154"/>
        <v>0</v>
      </c>
      <c r="AW168" s="3"/>
      <c r="AX168" s="3"/>
      <c r="AY168" s="3"/>
      <c r="AZ168" s="3">
        <f t="shared" si="155"/>
        <v>0</v>
      </c>
      <c r="BA168" s="3"/>
      <c r="BB168" s="3"/>
      <c r="BC168" s="3"/>
      <c r="BD168" s="3">
        <f t="shared" si="156"/>
        <v>0</v>
      </c>
      <c r="BE168" s="3">
        <f>$K168*BE$4/$BE$4</f>
        <v>-424.05</v>
      </c>
      <c r="BF168" s="3">
        <f>$L168*BE$4/$BE$4</f>
        <v>0</v>
      </c>
      <c r="BG168" s="3">
        <f>$M168*BE$4/$BE$4</f>
        <v>0</v>
      </c>
      <c r="BH168" s="3">
        <f t="shared" si="148"/>
        <v>-424.05</v>
      </c>
      <c r="BI168" s="3"/>
      <c r="BJ168" s="3"/>
      <c r="BK168" s="3"/>
      <c r="BL168" s="3">
        <f t="shared" si="149"/>
        <v>0</v>
      </c>
      <c r="BM168" s="3"/>
      <c r="BN168" s="3"/>
      <c r="BO168" s="3"/>
      <c r="BP168" s="3">
        <f t="shared" si="157"/>
        <v>0</v>
      </c>
      <c r="BQ168" s="3"/>
      <c r="BR168" s="3"/>
      <c r="BS168" s="3"/>
      <c r="BT168" s="3">
        <f t="shared" si="158"/>
        <v>0</v>
      </c>
      <c r="BU168" s="3"/>
      <c r="BV168" s="3"/>
      <c r="BW168" s="3"/>
      <c r="BX168" s="3">
        <f t="shared" si="159"/>
        <v>0</v>
      </c>
      <c r="BY168" s="3"/>
      <c r="BZ168" s="3"/>
      <c r="CA168" s="3"/>
      <c r="CB168" s="3">
        <f t="shared" si="160"/>
        <v>0</v>
      </c>
      <c r="CC168" s="3"/>
      <c r="CD168" s="3"/>
      <c r="CE168" s="3"/>
      <c r="CF168" s="3">
        <f t="shared" si="161"/>
        <v>0</v>
      </c>
      <c r="CG168" s="3"/>
      <c r="CH168" s="3"/>
      <c r="CI168" s="3"/>
      <c r="CJ168" s="3">
        <f t="shared" si="162"/>
        <v>0</v>
      </c>
      <c r="CK168" s="3"/>
      <c r="CL168" s="3"/>
      <c r="CM168" s="3"/>
      <c r="CN168" s="3">
        <f t="shared" si="163"/>
        <v>0</v>
      </c>
      <c r="CO168" s="3"/>
      <c r="CP168" s="3"/>
      <c r="CQ168" s="3"/>
      <c r="CR168" s="3">
        <f t="shared" si="164"/>
        <v>0</v>
      </c>
      <c r="CS168" s="3"/>
      <c r="CT168" s="3"/>
      <c r="CU168" s="3"/>
      <c r="CV168" s="3">
        <f t="shared" si="165"/>
        <v>0</v>
      </c>
      <c r="CW168" s="3"/>
      <c r="CX168" s="3"/>
      <c r="CY168" s="3"/>
      <c r="CZ168" s="3">
        <f t="shared" si="173"/>
        <v>0</v>
      </c>
      <c r="DA168" s="3"/>
      <c r="DB168" s="3"/>
      <c r="DC168" s="3"/>
      <c r="DD168" s="3">
        <f t="shared" si="166"/>
        <v>0</v>
      </c>
      <c r="DE168" s="3"/>
      <c r="DF168" s="3"/>
      <c r="DG168" s="3"/>
      <c r="DH168" s="3">
        <f t="shared" si="167"/>
        <v>0</v>
      </c>
      <c r="DI168" s="3"/>
      <c r="DJ168" s="3"/>
      <c r="DK168" s="3"/>
      <c r="DL168" s="3">
        <f t="shared" si="147"/>
        <v>0</v>
      </c>
      <c r="DM168" s="3"/>
      <c r="DN168" s="3"/>
      <c r="DO168" s="3"/>
      <c r="DP168" s="3">
        <f t="shared" si="168"/>
        <v>0</v>
      </c>
      <c r="DQ168" s="3"/>
      <c r="DR168" s="3"/>
      <c r="DS168" s="3"/>
      <c r="DT168" s="3">
        <f t="shared" si="172"/>
        <v>0</v>
      </c>
      <c r="DU168" s="3"/>
      <c r="DV168" s="3"/>
      <c r="DW168" s="3"/>
      <c r="DX168" s="3">
        <f t="shared" si="169"/>
        <v>0</v>
      </c>
      <c r="DY168" s="3"/>
      <c r="DZ168" s="3"/>
      <c r="EA168" s="3"/>
      <c r="EB168" s="3">
        <f t="shared" si="170"/>
        <v>0</v>
      </c>
      <c r="EC168" s="4">
        <f t="shared" si="150"/>
        <v>-424.05</v>
      </c>
      <c r="ED168" s="5">
        <f t="shared" si="171"/>
        <v>0</v>
      </c>
      <c r="EE168" s="6">
        <f t="shared" si="174"/>
        <v>-424.05</v>
      </c>
      <c r="EF168" s="6">
        <f t="shared" si="174"/>
        <v>0</v>
      </c>
      <c r="EG168" s="6">
        <f t="shared" si="174"/>
        <v>0</v>
      </c>
    </row>
    <row r="169" spans="1:137" ht="12" customHeight="1" x14ac:dyDescent="0.35">
      <c r="A169" s="43" t="s">
        <v>115</v>
      </c>
      <c r="B169" s="43">
        <v>28324</v>
      </c>
      <c r="C169" s="43" t="s">
        <v>116</v>
      </c>
      <c r="D169" s="43" t="s">
        <v>93</v>
      </c>
      <c r="E169" s="43">
        <v>418801</v>
      </c>
      <c r="F169" s="43" t="s">
        <v>637</v>
      </c>
      <c r="G169" s="44">
        <v>45993</v>
      </c>
      <c r="H169" s="44">
        <v>46090</v>
      </c>
      <c r="I169" s="45">
        <v>5</v>
      </c>
      <c r="J169" s="45">
        <v>7831</v>
      </c>
      <c r="K169" s="46"/>
      <c r="L169" s="45">
        <v>195.77500000000001</v>
      </c>
      <c r="M169" s="45">
        <v>195.77500000000001</v>
      </c>
      <c r="N169" s="45">
        <v>391.55</v>
      </c>
      <c r="O169" s="45">
        <v>8222.56</v>
      </c>
      <c r="P169" s="43" t="s">
        <v>95</v>
      </c>
      <c r="Q169" s="43" t="s">
        <v>45</v>
      </c>
      <c r="R169" s="43" t="s">
        <v>196</v>
      </c>
      <c r="S169" s="43" t="s">
        <v>97</v>
      </c>
      <c r="T169" s="43" t="s">
        <v>98</v>
      </c>
      <c r="U169" s="43" t="s">
        <v>99</v>
      </c>
      <c r="V169" s="43">
        <v>996311</v>
      </c>
      <c r="W169" s="43" t="s">
        <v>638</v>
      </c>
      <c r="X169" s="43" t="s">
        <v>101</v>
      </c>
      <c r="Y169" s="43">
        <v>107</v>
      </c>
      <c r="Z169" s="43" t="s">
        <v>102</v>
      </c>
      <c r="AA169" t="s">
        <v>639</v>
      </c>
      <c r="AB169">
        <v>391.55</v>
      </c>
      <c r="AC169">
        <v>400</v>
      </c>
      <c r="AD169" s="38">
        <v>-8</v>
      </c>
      <c r="AE169" t="s">
        <v>104</v>
      </c>
      <c r="AF169" t="s">
        <v>73</v>
      </c>
      <c r="AG169" s="3"/>
      <c r="AH169" s="3"/>
      <c r="AI169" s="3"/>
      <c r="AJ169" s="3">
        <f t="shared" si="151"/>
        <v>0</v>
      </c>
      <c r="AK169" s="3"/>
      <c r="AL169" s="3"/>
      <c r="AM169" s="3"/>
      <c r="AN169" s="3">
        <f t="shared" si="152"/>
        <v>0</v>
      </c>
      <c r="AO169" s="3"/>
      <c r="AP169" s="3"/>
      <c r="AQ169" s="3"/>
      <c r="AR169" s="3">
        <f t="shared" si="153"/>
        <v>0</v>
      </c>
      <c r="AS169" s="3"/>
      <c r="AT169" s="3"/>
      <c r="AU169" s="3"/>
      <c r="AV169" s="3">
        <f t="shared" si="154"/>
        <v>0</v>
      </c>
      <c r="AW169" s="3"/>
      <c r="AX169" s="3"/>
      <c r="AY169" s="3"/>
      <c r="AZ169" s="3">
        <f t="shared" si="155"/>
        <v>0</v>
      </c>
      <c r="BA169" s="3"/>
      <c r="BB169" s="3"/>
      <c r="BC169" s="3"/>
      <c r="BD169" s="3">
        <f t="shared" si="156"/>
        <v>0</v>
      </c>
      <c r="BE169" s="3"/>
      <c r="BF169" s="3"/>
      <c r="BG169" s="3"/>
      <c r="BH169" s="3">
        <f t="shared" si="148"/>
        <v>0</v>
      </c>
      <c r="BI169" s="3"/>
      <c r="BJ169" s="3"/>
      <c r="BK169" s="3"/>
      <c r="BL169" s="3">
        <f t="shared" si="149"/>
        <v>0</v>
      </c>
      <c r="BM169" s="3"/>
      <c r="BN169" s="3"/>
      <c r="BO169" s="3"/>
      <c r="BP169" s="3">
        <f t="shared" si="157"/>
        <v>0</v>
      </c>
      <c r="BQ169" s="3"/>
      <c r="BR169" s="3"/>
      <c r="BS169" s="3"/>
      <c r="BT169" s="3">
        <f t="shared" si="158"/>
        <v>0</v>
      </c>
      <c r="BU169" s="3"/>
      <c r="BV169" s="3"/>
      <c r="BW169" s="3"/>
      <c r="BX169" s="3">
        <f t="shared" si="159"/>
        <v>0</v>
      </c>
      <c r="BY169" s="3"/>
      <c r="BZ169" s="3"/>
      <c r="CA169" s="3"/>
      <c r="CB169" s="3">
        <f t="shared" si="160"/>
        <v>0</v>
      </c>
      <c r="CC169" s="3"/>
      <c r="CD169" s="3"/>
      <c r="CE169" s="3"/>
      <c r="CF169" s="3">
        <f t="shared" si="161"/>
        <v>0</v>
      </c>
      <c r="CG169" s="3"/>
      <c r="CH169" s="3"/>
      <c r="CI169" s="3"/>
      <c r="CJ169" s="3">
        <f t="shared" si="162"/>
        <v>0</v>
      </c>
      <c r="CK169" s="3"/>
      <c r="CL169" s="3"/>
      <c r="CM169" s="3"/>
      <c r="CN169" s="3">
        <f t="shared" si="163"/>
        <v>0</v>
      </c>
      <c r="CO169" s="3">
        <f>SUM($K169:$M169)*CO$4/$CO$4</f>
        <v>391.55</v>
      </c>
      <c r="CP169" s="3">
        <v>0</v>
      </c>
      <c r="CQ169" s="3">
        <v>0</v>
      </c>
      <c r="CR169" s="3">
        <f t="shared" si="164"/>
        <v>391.55</v>
      </c>
      <c r="CS169" s="3"/>
      <c r="CT169" s="3"/>
      <c r="CU169" s="3"/>
      <c r="CV169" s="3">
        <f t="shared" si="165"/>
        <v>0</v>
      </c>
      <c r="CW169" s="3"/>
      <c r="CX169" s="3"/>
      <c r="CY169" s="3"/>
      <c r="CZ169" s="3">
        <f t="shared" si="173"/>
        <v>0</v>
      </c>
      <c r="DA169" s="3"/>
      <c r="DB169" s="3"/>
      <c r="DC169" s="3"/>
      <c r="DD169" s="3">
        <f t="shared" si="166"/>
        <v>0</v>
      </c>
      <c r="DE169" s="3"/>
      <c r="DF169" s="3"/>
      <c r="DG169" s="3"/>
      <c r="DH169" s="3">
        <f t="shared" si="167"/>
        <v>0</v>
      </c>
      <c r="DI169" s="3"/>
      <c r="DJ169" s="3"/>
      <c r="DK169" s="3"/>
      <c r="DL169" s="3">
        <f t="shared" si="147"/>
        <v>0</v>
      </c>
      <c r="DM169" s="3"/>
      <c r="DN169" s="3"/>
      <c r="DO169" s="3"/>
      <c r="DP169" s="3">
        <f t="shared" si="168"/>
        <v>0</v>
      </c>
      <c r="DQ169" s="3"/>
      <c r="DR169" s="3"/>
      <c r="DS169" s="3"/>
      <c r="DT169" s="3">
        <f t="shared" si="172"/>
        <v>0</v>
      </c>
      <c r="DU169" s="3"/>
      <c r="DV169" s="3"/>
      <c r="DW169" s="3"/>
      <c r="DX169" s="3">
        <f t="shared" si="169"/>
        <v>0</v>
      </c>
      <c r="DY169" s="3"/>
      <c r="DZ169" s="3"/>
      <c r="EA169" s="3"/>
      <c r="EB169" s="3">
        <f t="shared" si="170"/>
        <v>0</v>
      </c>
      <c r="EC169" s="4">
        <f t="shared" si="150"/>
        <v>391.55</v>
      </c>
      <c r="ED169" s="5">
        <f t="shared" si="171"/>
        <v>0</v>
      </c>
      <c r="EE169" s="6">
        <f t="shared" si="174"/>
        <v>391.55</v>
      </c>
      <c r="EF169" s="6">
        <f t="shared" si="174"/>
        <v>0</v>
      </c>
      <c r="EG169" s="6">
        <f t="shared" si="174"/>
        <v>0</v>
      </c>
    </row>
    <row r="170" spans="1:137" ht="12" customHeight="1" x14ac:dyDescent="0.35">
      <c r="A170" s="43" t="s">
        <v>91</v>
      </c>
      <c r="B170" s="43">
        <v>30450</v>
      </c>
      <c r="C170" s="43" t="s">
        <v>105</v>
      </c>
      <c r="D170" s="43" t="s">
        <v>110</v>
      </c>
      <c r="E170" s="43">
        <v>150781</v>
      </c>
      <c r="F170" s="43" t="s">
        <v>640</v>
      </c>
      <c r="G170" s="44">
        <v>46044</v>
      </c>
      <c r="H170" s="44">
        <v>46104</v>
      </c>
      <c r="I170" s="45">
        <v>18</v>
      </c>
      <c r="J170" s="45">
        <v>-23020</v>
      </c>
      <c r="K170" s="46">
        <v>-4143.6000000000004</v>
      </c>
      <c r="L170" s="45"/>
      <c r="M170" s="45"/>
      <c r="N170" s="45">
        <v>-4143.6000000000004</v>
      </c>
      <c r="O170" s="45">
        <v>-27163.599999999999</v>
      </c>
      <c r="P170" s="43" t="s">
        <v>95</v>
      </c>
      <c r="Q170" s="43" t="s">
        <v>36</v>
      </c>
      <c r="R170" s="43" t="s">
        <v>112</v>
      </c>
      <c r="S170" s="43" t="s">
        <v>97</v>
      </c>
      <c r="T170" s="43" t="s">
        <v>98</v>
      </c>
      <c r="U170" s="43" t="s">
        <v>99</v>
      </c>
      <c r="V170" s="43">
        <v>996311</v>
      </c>
      <c r="W170" s="43" t="s">
        <v>641</v>
      </c>
      <c r="X170" s="43" t="s">
        <v>101</v>
      </c>
      <c r="Y170" s="43">
        <v>107</v>
      </c>
      <c r="Z170" s="43" t="s">
        <v>102</v>
      </c>
      <c r="AA170" t="s">
        <v>642</v>
      </c>
      <c r="AB170">
        <v>-4143.6000000000004</v>
      </c>
      <c r="AC170">
        <v>-4144</v>
      </c>
      <c r="AD170" s="38">
        <v>0</v>
      </c>
      <c r="AE170" t="s">
        <v>104</v>
      </c>
      <c r="AF170" t="s">
        <v>73</v>
      </c>
      <c r="AG170" s="3"/>
      <c r="AH170" s="3"/>
      <c r="AI170" s="3"/>
      <c r="AJ170" s="3">
        <f t="shared" si="151"/>
        <v>0</v>
      </c>
      <c r="AK170" s="3"/>
      <c r="AL170" s="3"/>
      <c r="AM170" s="3"/>
      <c r="AN170" s="3">
        <f t="shared" si="152"/>
        <v>0</v>
      </c>
      <c r="AO170" s="3"/>
      <c r="AP170" s="3"/>
      <c r="AQ170" s="3"/>
      <c r="AR170" s="3">
        <f t="shared" si="153"/>
        <v>0</v>
      </c>
      <c r="AS170" s="3"/>
      <c r="AT170" s="3"/>
      <c r="AU170" s="3"/>
      <c r="AV170" s="3">
        <f t="shared" si="154"/>
        <v>0</v>
      </c>
      <c r="AW170" s="3"/>
      <c r="AX170" s="3"/>
      <c r="AY170" s="3"/>
      <c r="AZ170" s="3">
        <f t="shared" si="155"/>
        <v>0</v>
      </c>
      <c r="BA170" s="3"/>
      <c r="BB170" s="3"/>
      <c r="BC170" s="3"/>
      <c r="BD170" s="3">
        <f t="shared" si="156"/>
        <v>0</v>
      </c>
      <c r="BE170" s="3">
        <f>$K170*BE$4/$BE$4</f>
        <v>-4143.6000000000004</v>
      </c>
      <c r="BF170" s="3">
        <f>$L170*BE$4/$BE$4</f>
        <v>0</v>
      </c>
      <c r="BG170" s="3">
        <f>$M170*BE$4/$BE$4</f>
        <v>0</v>
      </c>
      <c r="BH170" s="3">
        <f t="shared" si="148"/>
        <v>-4143.6000000000004</v>
      </c>
      <c r="BI170" s="3"/>
      <c r="BJ170" s="3"/>
      <c r="BK170" s="3"/>
      <c r="BL170" s="3">
        <f t="shared" si="149"/>
        <v>0</v>
      </c>
      <c r="BM170" s="3"/>
      <c r="BN170" s="3"/>
      <c r="BO170" s="3"/>
      <c r="BP170" s="3">
        <f t="shared" si="157"/>
        <v>0</v>
      </c>
      <c r="BQ170" s="3"/>
      <c r="BR170" s="3"/>
      <c r="BS170" s="3"/>
      <c r="BT170" s="3">
        <f t="shared" si="158"/>
        <v>0</v>
      </c>
      <c r="BU170" s="3"/>
      <c r="BV170" s="3"/>
      <c r="BW170" s="3"/>
      <c r="BX170" s="3">
        <f t="shared" si="159"/>
        <v>0</v>
      </c>
      <c r="BY170" s="3"/>
      <c r="BZ170" s="3"/>
      <c r="CA170" s="3"/>
      <c r="CB170" s="3">
        <f t="shared" si="160"/>
        <v>0</v>
      </c>
      <c r="CC170" s="3"/>
      <c r="CD170" s="3"/>
      <c r="CE170" s="3"/>
      <c r="CF170" s="3">
        <f t="shared" si="161"/>
        <v>0</v>
      </c>
      <c r="CG170" s="3"/>
      <c r="CH170" s="3"/>
      <c r="CI170" s="3"/>
      <c r="CJ170" s="3">
        <f t="shared" si="162"/>
        <v>0</v>
      </c>
      <c r="CK170" s="3"/>
      <c r="CL170" s="3"/>
      <c r="CM170" s="3"/>
      <c r="CN170" s="3">
        <f t="shared" si="163"/>
        <v>0</v>
      </c>
      <c r="CO170" s="3"/>
      <c r="CP170" s="3"/>
      <c r="CQ170" s="3"/>
      <c r="CR170" s="3">
        <f t="shared" si="164"/>
        <v>0</v>
      </c>
      <c r="CS170" s="3"/>
      <c r="CT170" s="3"/>
      <c r="CU170" s="3"/>
      <c r="CV170" s="3">
        <f t="shared" si="165"/>
        <v>0</v>
      </c>
      <c r="CW170" s="3"/>
      <c r="CX170" s="3"/>
      <c r="CY170" s="3"/>
      <c r="CZ170" s="3">
        <f t="shared" si="173"/>
        <v>0</v>
      </c>
      <c r="DA170" s="3"/>
      <c r="DB170" s="3"/>
      <c r="DC170" s="3"/>
      <c r="DD170" s="3">
        <f t="shared" si="166"/>
        <v>0</v>
      </c>
      <c r="DE170" s="3"/>
      <c r="DF170" s="3"/>
      <c r="DG170" s="3"/>
      <c r="DH170" s="3">
        <f t="shared" si="167"/>
        <v>0</v>
      </c>
      <c r="DI170" s="3"/>
      <c r="DJ170" s="3"/>
      <c r="DK170" s="3"/>
      <c r="DL170" s="3">
        <f t="shared" si="147"/>
        <v>0</v>
      </c>
      <c r="DM170" s="3"/>
      <c r="DN170" s="3"/>
      <c r="DO170" s="3"/>
      <c r="DP170" s="3">
        <f t="shared" si="168"/>
        <v>0</v>
      </c>
      <c r="DQ170" s="3"/>
      <c r="DR170" s="3"/>
      <c r="DS170" s="3"/>
      <c r="DT170" s="3">
        <f t="shared" si="172"/>
        <v>0</v>
      </c>
      <c r="DU170" s="3"/>
      <c r="DV170" s="3"/>
      <c r="DW170" s="3"/>
      <c r="DX170" s="3">
        <f t="shared" si="169"/>
        <v>0</v>
      </c>
      <c r="DY170" s="3"/>
      <c r="DZ170" s="3"/>
      <c r="EA170" s="3"/>
      <c r="EB170" s="3">
        <f t="shared" si="170"/>
        <v>0</v>
      </c>
      <c r="EC170" s="4">
        <f t="shared" si="150"/>
        <v>-4143.6000000000004</v>
      </c>
      <c r="ED170" s="5">
        <f t="shared" si="171"/>
        <v>0</v>
      </c>
      <c r="EE170" s="6">
        <f t="shared" si="174"/>
        <v>-4143.6000000000004</v>
      </c>
      <c r="EF170" s="6">
        <f t="shared" si="174"/>
        <v>0</v>
      </c>
      <c r="EG170" s="6">
        <f t="shared" si="174"/>
        <v>0</v>
      </c>
    </row>
    <row r="171" spans="1:137" ht="12" customHeight="1" x14ac:dyDescent="0.35">
      <c r="A171" s="43" t="s">
        <v>115</v>
      </c>
      <c r="B171" s="43">
        <v>28324</v>
      </c>
      <c r="C171" s="43" t="s">
        <v>116</v>
      </c>
      <c r="D171" s="43" t="s">
        <v>543</v>
      </c>
      <c r="E171" s="43">
        <v>150783</v>
      </c>
      <c r="F171" s="43" t="s">
        <v>643</v>
      </c>
      <c r="G171" s="44">
        <v>46060</v>
      </c>
      <c r="H171" s="44">
        <v>46104</v>
      </c>
      <c r="I171" s="45">
        <v>5</v>
      </c>
      <c r="J171" s="45">
        <v>-9676</v>
      </c>
      <c r="K171" s="46"/>
      <c r="L171" s="45">
        <v>-241.9</v>
      </c>
      <c r="M171" s="45">
        <v>-241.9</v>
      </c>
      <c r="N171" s="45">
        <v>-483.8</v>
      </c>
      <c r="O171" s="45">
        <v>-10159.799999999999</v>
      </c>
      <c r="P171" s="43" t="s">
        <v>95</v>
      </c>
      <c r="Q171" s="43" t="s">
        <v>47</v>
      </c>
      <c r="R171" s="43" t="s">
        <v>112</v>
      </c>
      <c r="S171" s="43" t="s">
        <v>97</v>
      </c>
      <c r="T171" s="43" t="s">
        <v>98</v>
      </c>
      <c r="U171" s="43" t="s">
        <v>99</v>
      </c>
      <c r="V171" s="43">
        <v>996311</v>
      </c>
      <c r="W171" s="43" t="s">
        <v>644</v>
      </c>
      <c r="X171" s="43" t="s">
        <v>101</v>
      </c>
      <c r="Y171" s="43">
        <v>107</v>
      </c>
      <c r="Z171" s="43" t="s">
        <v>102</v>
      </c>
      <c r="AA171" t="s">
        <v>645</v>
      </c>
      <c r="AB171">
        <v>-483.8</v>
      </c>
      <c r="AC171">
        <v>-484</v>
      </c>
      <c r="AD171" s="38">
        <v>0</v>
      </c>
      <c r="AE171" t="s">
        <v>104</v>
      </c>
      <c r="AF171" t="s">
        <v>73</v>
      </c>
      <c r="AG171" s="3"/>
      <c r="AH171" s="3"/>
      <c r="AI171" s="3"/>
      <c r="AJ171" s="3">
        <f t="shared" si="151"/>
        <v>0</v>
      </c>
      <c r="AK171" s="3"/>
      <c r="AL171" s="3"/>
      <c r="AM171" s="3"/>
      <c r="AN171" s="3">
        <f t="shared" si="152"/>
        <v>0</v>
      </c>
      <c r="AO171" s="3"/>
      <c r="AP171" s="3"/>
      <c r="AQ171" s="3"/>
      <c r="AR171" s="3">
        <f t="shared" si="153"/>
        <v>0</v>
      </c>
      <c r="AS171" s="3"/>
      <c r="AT171" s="3"/>
      <c r="AU171" s="3"/>
      <c r="AV171" s="3">
        <f t="shared" si="154"/>
        <v>0</v>
      </c>
      <c r="AW171" s="3"/>
      <c r="AX171" s="3"/>
      <c r="AY171" s="3"/>
      <c r="AZ171" s="3">
        <f t="shared" si="155"/>
        <v>0</v>
      </c>
      <c r="BA171" s="3"/>
      <c r="BB171" s="3"/>
      <c r="BC171" s="3"/>
      <c r="BD171" s="3">
        <f t="shared" si="156"/>
        <v>0</v>
      </c>
      <c r="BE171" s="3"/>
      <c r="BF171" s="3"/>
      <c r="BG171" s="3"/>
      <c r="BH171" s="3">
        <f t="shared" si="148"/>
        <v>0</v>
      </c>
      <c r="BI171" s="3"/>
      <c r="BJ171" s="3"/>
      <c r="BK171" s="3"/>
      <c r="BL171" s="3">
        <f t="shared" si="149"/>
        <v>0</v>
      </c>
      <c r="BM171" s="3"/>
      <c r="BN171" s="3"/>
      <c r="BO171" s="3"/>
      <c r="BP171" s="3">
        <f t="shared" si="157"/>
        <v>0</v>
      </c>
      <c r="BQ171" s="3"/>
      <c r="BR171" s="3"/>
      <c r="BS171" s="3"/>
      <c r="BT171" s="3">
        <f t="shared" si="158"/>
        <v>0</v>
      </c>
      <c r="BU171" s="3"/>
      <c r="BV171" s="3"/>
      <c r="BW171" s="3"/>
      <c r="BX171" s="3">
        <f t="shared" si="159"/>
        <v>0</v>
      </c>
      <c r="BY171" s="3"/>
      <c r="BZ171" s="3"/>
      <c r="CA171" s="3"/>
      <c r="CB171" s="3">
        <f t="shared" si="160"/>
        <v>0</v>
      </c>
      <c r="CC171" s="3"/>
      <c r="CD171" s="3"/>
      <c r="CE171" s="3"/>
      <c r="CF171" s="3">
        <f t="shared" si="161"/>
        <v>0</v>
      </c>
      <c r="CG171" s="3"/>
      <c r="CH171" s="3"/>
      <c r="CI171" s="3"/>
      <c r="CJ171" s="3">
        <f t="shared" si="162"/>
        <v>0</v>
      </c>
      <c r="CK171" s="3"/>
      <c r="CL171" s="3"/>
      <c r="CM171" s="3"/>
      <c r="CN171" s="3">
        <f t="shared" si="163"/>
        <v>0</v>
      </c>
      <c r="CO171" s="3"/>
      <c r="CP171" s="3"/>
      <c r="CQ171" s="3"/>
      <c r="CR171" s="3">
        <f t="shared" si="164"/>
        <v>0</v>
      </c>
      <c r="CS171" s="3"/>
      <c r="CT171" s="3"/>
      <c r="CU171" s="3"/>
      <c r="CV171" s="3">
        <f t="shared" si="165"/>
        <v>0</v>
      </c>
      <c r="CW171" s="3">
        <f>SUM($K171:$M171)*CW$4/$CW$4</f>
        <v>-483.8</v>
      </c>
      <c r="CX171" s="3">
        <v>0</v>
      </c>
      <c r="CY171" s="3">
        <v>0</v>
      </c>
      <c r="CZ171" s="3">
        <f t="shared" si="173"/>
        <v>-483.8</v>
      </c>
      <c r="DA171" s="3"/>
      <c r="DB171" s="3"/>
      <c r="DC171" s="3"/>
      <c r="DD171" s="3">
        <f t="shared" si="166"/>
        <v>0</v>
      </c>
      <c r="DE171" s="3"/>
      <c r="DF171" s="3"/>
      <c r="DG171" s="3"/>
      <c r="DH171" s="3">
        <f t="shared" si="167"/>
        <v>0</v>
      </c>
      <c r="DI171" s="3"/>
      <c r="DJ171" s="3"/>
      <c r="DK171" s="3"/>
      <c r="DL171" s="3">
        <f t="shared" si="147"/>
        <v>0</v>
      </c>
      <c r="DM171" s="3"/>
      <c r="DN171" s="3"/>
      <c r="DO171" s="3"/>
      <c r="DP171" s="3">
        <f t="shared" si="168"/>
        <v>0</v>
      </c>
      <c r="DQ171" s="3"/>
      <c r="DR171" s="3"/>
      <c r="DS171" s="3"/>
      <c r="DT171" s="3">
        <f t="shared" si="172"/>
        <v>0</v>
      </c>
      <c r="DU171" s="3"/>
      <c r="DV171" s="3"/>
      <c r="DW171" s="3"/>
      <c r="DX171" s="3">
        <f t="shared" si="169"/>
        <v>0</v>
      </c>
      <c r="DY171" s="3"/>
      <c r="DZ171" s="3"/>
      <c r="EA171" s="3"/>
      <c r="EB171" s="3">
        <f t="shared" si="170"/>
        <v>0</v>
      </c>
      <c r="EC171" s="4">
        <f t="shared" si="150"/>
        <v>-483.8</v>
      </c>
      <c r="ED171" s="5">
        <f t="shared" si="171"/>
        <v>0</v>
      </c>
      <c r="EE171" s="6">
        <f t="shared" si="174"/>
        <v>-483.8</v>
      </c>
      <c r="EF171" s="6">
        <f t="shared" si="174"/>
        <v>0</v>
      </c>
      <c r="EG171" s="6">
        <f t="shared" si="174"/>
        <v>0</v>
      </c>
    </row>
    <row r="172" spans="1:137" ht="12" customHeight="1" x14ac:dyDescent="0.35">
      <c r="A172" s="43" t="s">
        <v>91</v>
      </c>
      <c r="B172" s="43">
        <v>30450</v>
      </c>
      <c r="C172" s="43" t="s">
        <v>92</v>
      </c>
      <c r="D172" s="43" t="s">
        <v>537</v>
      </c>
      <c r="E172" s="43">
        <v>150782</v>
      </c>
      <c r="F172" s="43" t="s">
        <v>646</v>
      </c>
      <c r="G172" s="44">
        <v>46061</v>
      </c>
      <c r="H172" s="44">
        <v>46104</v>
      </c>
      <c r="I172" s="45">
        <v>18</v>
      </c>
      <c r="J172" s="45">
        <v>-20657</v>
      </c>
      <c r="K172" s="46"/>
      <c r="L172" s="45">
        <v>-1859.13</v>
      </c>
      <c r="M172" s="45">
        <v>-1859.13</v>
      </c>
      <c r="N172" s="45">
        <v>-3718.26</v>
      </c>
      <c r="O172" s="45">
        <v>-24375.26</v>
      </c>
      <c r="P172" s="43" t="s">
        <v>95</v>
      </c>
      <c r="Q172" s="43" t="s">
        <v>47</v>
      </c>
      <c r="R172" s="43" t="s">
        <v>112</v>
      </c>
      <c r="S172" s="43" t="s">
        <v>97</v>
      </c>
      <c r="T172" s="43" t="s">
        <v>98</v>
      </c>
      <c r="U172" s="43" t="s">
        <v>99</v>
      </c>
      <c r="V172" s="43">
        <v>996311</v>
      </c>
      <c r="W172" s="43" t="s">
        <v>647</v>
      </c>
      <c r="X172" s="43" t="s">
        <v>101</v>
      </c>
      <c r="Y172" s="43">
        <v>107</v>
      </c>
      <c r="Z172" s="43" t="s">
        <v>102</v>
      </c>
      <c r="AA172" t="s">
        <v>648</v>
      </c>
      <c r="AB172">
        <v>-3718.26</v>
      </c>
      <c r="AC172">
        <v>-3779</v>
      </c>
      <c r="AD172" s="38">
        <v>61</v>
      </c>
      <c r="AE172" t="s">
        <v>104</v>
      </c>
      <c r="AF172" t="s">
        <v>73</v>
      </c>
      <c r="AG172" s="3"/>
      <c r="AH172" s="3"/>
      <c r="AI172" s="3"/>
      <c r="AJ172" s="3">
        <f t="shared" si="151"/>
        <v>0</v>
      </c>
      <c r="AK172" s="3"/>
      <c r="AL172" s="3"/>
      <c r="AM172" s="3"/>
      <c r="AN172" s="3">
        <f t="shared" si="152"/>
        <v>0</v>
      </c>
      <c r="AO172" s="3"/>
      <c r="AP172" s="3"/>
      <c r="AQ172" s="3"/>
      <c r="AR172" s="3">
        <f t="shared" si="153"/>
        <v>0</v>
      </c>
      <c r="AS172" s="3"/>
      <c r="AT172" s="3"/>
      <c r="AU172" s="3"/>
      <c r="AV172" s="3">
        <f t="shared" si="154"/>
        <v>0</v>
      </c>
      <c r="AW172" s="3"/>
      <c r="AX172" s="3"/>
      <c r="AY172" s="3"/>
      <c r="AZ172" s="3">
        <f t="shared" si="155"/>
        <v>0</v>
      </c>
      <c r="BA172" s="3"/>
      <c r="BB172" s="3"/>
      <c r="BC172" s="3"/>
      <c r="BD172" s="3">
        <f t="shared" si="156"/>
        <v>0</v>
      </c>
      <c r="BE172" s="3"/>
      <c r="BF172" s="3"/>
      <c r="BG172" s="3"/>
      <c r="BH172" s="3">
        <f t="shared" si="148"/>
        <v>0</v>
      </c>
      <c r="BI172" s="3"/>
      <c r="BJ172" s="3"/>
      <c r="BK172" s="3"/>
      <c r="BL172" s="3">
        <f t="shared" si="149"/>
        <v>0</v>
      </c>
      <c r="BM172" s="3"/>
      <c r="BN172" s="3"/>
      <c r="BO172" s="3"/>
      <c r="BP172" s="3">
        <f t="shared" si="157"/>
        <v>0</v>
      </c>
      <c r="BQ172" s="3"/>
      <c r="BR172" s="3"/>
      <c r="BS172" s="3"/>
      <c r="BT172" s="3">
        <f t="shared" si="158"/>
        <v>0</v>
      </c>
      <c r="BU172" s="3"/>
      <c r="BV172" s="3"/>
      <c r="BW172" s="3"/>
      <c r="BX172" s="3">
        <f t="shared" si="159"/>
        <v>0</v>
      </c>
      <c r="BY172" s="3"/>
      <c r="BZ172" s="3"/>
      <c r="CA172" s="3"/>
      <c r="CB172" s="3">
        <f t="shared" si="160"/>
        <v>0</v>
      </c>
      <c r="CC172" s="3"/>
      <c r="CD172" s="3"/>
      <c r="CE172" s="3"/>
      <c r="CF172" s="3">
        <f t="shared" si="161"/>
        <v>0</v>
      </c>
      <c r="CG172" s="3"/>
      <c r="CH172" s="3"/>
      <c r="CI172" s="3"/>
      <c r="CJ172" s="3">
        <f t="shared" si="162"/>
        <v>0</v>
      </c>
      <c r="CK172" s="3"/>
      <c r="CL172" s="3"/>
      <c r="CM172" s="3"/>
      <c r="CN172" s="3">
        <f t="shared" si="163"/>
        <v>0</v>
      </c>
      <c r="CO172" s="3"/>
      <c r="CP172" s="3"/>
      <c r="CQ172" s="3"/>
      <c r="CR172" s="3">
        <f t="shared" si="164"/>
        <v>0</v>
      </c>
      <c r="CS172" s="3"/>
      <c r="CT172" s="3"/>
      <c r="CU172" s="3"/>
      <c r="CV172" s="3">
        <f t="shared" si="165"/>
        <v>0</v>
      </c>
      <c r="CW172" s="3">
        <f>SUM($K172:$M172)*CW$4/$CW$4</f>
        <v>-3718.26</v>
      </c>
      <c r="CX172" s="3">
        <v>0</v>
      </c>
      <c r="CY172" s="3">
        <v>0</v>
      </c>
      <c r="CZ172" s="3">
        <f t="shared" si="173"/>
        <v>-3718.26</v>
      </c>
      <c r="DA172" s="3"/>
      <c r="DB172" s="3"/>
      <c r="DC172" s="3"/>
      <c r="DD172" s="3">
        <f t="shared" si="166"/>
        <v>0</v>
      </c>
      <c r="DE172" s="3"/>
      <c r="DF172" s="3"/>
      <c r="DG172" s="3"/>
      <c r="DH172" s="3">
        <f t="shared" si="167"/>
        <v>0</v>
      </c>
      <c r="DI172" s="3"/>
      <c r="DJ172" s="3"/>
      <c r="DK172" s="3"/>
      <c r="DL172" s="3">
        <f t="shared" si="147"/>
        <v>0</v>
      </c>
      <c r="DM172" s="3"/>
      <c r="DN172" s="3"/>
      <c r="DO172" s="3"/>
      <c r="DP172" s="3">
        <f t="shared" si="168"/>
        <v>0</v>
      </c>
      <c r="DQ172" s="3"/>
      <c r="DR172" s="3"/>
      <c r="DS172" s="3"/>
      <c r="DT172" s="3">
        <f t="shared" si="172"/>
        <v>0</v>
      </c>
      <c r="DU172" s="3"/>
      <c r="DV172" s="3"/>
      <c r="DW172" s="3"/>
      <c r="DX172" s="3">
        <f t="shared" si="169"/>
        <v>0</v>
      </c>
      <c r="DY172" s="3"/>
      <c r="DZ172" s="3"/>
      <c r="EA172" s="3"/>
      <c r="EB172" s="3">
        <f t="shared" si="170"/>
        <v>0</v>
      </c>
      <c r="EC172" s="4">
        <f t="shared" si="150"/>
        <v>-3718.26</v>
      </c>
      <c r="ED172" s="5">
        <f t="shared" si="171"/>
        <v>0</v>
      </c>
      <c r="EE172" s="6">
        <f t="shared" si="174"/>
        <v>-3718.26</v>
      </c>
      <c r="EF172" s="6">
        <f t="shared" si="174"/>
        <v>0</v>
      </c>
      <c r="EG172" s="6">
        <f t="shared" si="174"/>
        <v>0</v>
      </c>
    </row>
    <row r="173" spans="1:137" ht="12" customHeight="1" x14ac:dyDescent="0.35">
      <c r="A173" s="43" t="s">
        <v>115</v>
      </c>
      <c r="B173" s="43">
        <v>28324</v>
      </c>
      <c r="C173" s="43" t="s">
        <v>116</v>
      </c>
      <c r="D173" s="43" t="s">
        <v>543</v>
      </c>
      <c r="E173" s="43">
        <v>150783</v>
      </c>
      <c r="F173" s="43" t="s">
        <v>649</v>
      </c>
      <c r="G173" s="44">
        <v>46056</v>
      </c>
      <c r="H173" s="44">
        <v>46104</v>
      </c>
      <c r="I173" s="45">
        <v>18</v>
      </c>
      <c r="J173" s="45">
        <v>-34541</v>
      </c>
      <c r="K173" s="46"/>
      <c r="L173" s="45">
        <v>-3108.69</v>
      </c>
      <c r="M173" s="45">
        <v>-3108.69</v>
      </c>
      <c r="N173" s="45">
        <v>-6217.38</v>
      </c>
      <c r="O173" s="45">
        <v>-40758.379999999997</v>
      </c>
      <c r="P173" s="43" t="s">
        <v>95</v>
      </c>
      <c r="Q173" s="43" t="s">
        <v>47</v>
      </c>
      <c r="R173" s="43" t="s">
        <v>112</v>
      </c>
      <c r="S173" s="43" t="s">
        <v>97</v>
      </c>
      <c r="T173" s="43" t="s">
        <v>98</v>
      </c>
      <c r="U173" s="43" t="s">
        <v>99</v>
      </c>
      <c r="V173" s="43">
        <v>996311</v>
      </c>
      <c r="W173" s="43" t="s">
        <v>650</v>
      </c>
      <c r="X173" s="43" t="s">
        <v>101</v>
      </c>
      <c r="Y173" s="43">
        <v>107</v>
      </c>
      <c r="Z173" s="43" t="s">
        <v>102</v>
      </c>
      <c r="AA173" t="s">
        <v>651</v>
      </c>
      <c r="AB173">
        <v>-6217.38</v>
      </c>
      <c r="AC173">
        <v>-6218</v>
      </c>
      <c r="AD173" s="38">
        <v>1</v>
      </c>
      <c r="AE173" t="s">
        <v>104</v>
      </c>
      <c r="AF173" t="s">
        <v>73</v>
      </c>
      <c r="AG173" s="3"/>
      <c r="AH173" s="3"/>
      <c r="AI173" s="3"/>
      <c r="AJ173" s="3">
        <f t="shared" si="151"/>
        <v>0</v>
      </c>
      <c r="AK173" s="3"/>
      <c r="AL173" s="3"/>
      <c r="AM173" s="3"/>
      <c r="AN173" s="3">
        <f t="shared" si="152"/>
        <v>0</v>
      </c>
      <c r="AO173" s="3"/>
      <c r="AP173" s="3"/>
      <c r="AQ173" s="3"/>
      <c r="AR173" s="3">
        <f t="shared" si="153"/>
        <v>0</v>
      </c>
      <c r="AS173" s="3"/>
      <c r="AT173" s="3"/>
      <c r="AU173" s="3"/>
      <c r="AV173" s="3">
        <f t="shared" si="154"/>
        <v>0</v>
      </c>
      <c r="AW173" s="3"/>
      <c r="AX173" s="3"/>
      <c r="AY173" s="3"/>
      <c r="AZ173" s="3">
        <f t="shared" si="155"/>
        <v>0</v>
      </c>
      <c r="BA173" s="3"/>
      <c r="BB173" s="3"/>
      <c r="BC173" s="3"/>
      <c r="BD173" s="3">
        <f t="shared" si="156"/>
        <v>0</v>
      </c>
      <c r="BE173" s="3"/>
      <c r="BF173" s="3"/>
      <c r="BG173" s="3"/>
      <c r="BH173" s="3">
        <f t="shared" si="148"/>
        <v>0</v>
      </c>
      <c r="BI173" s="3"/>
      <c r="BJ173" s="3"/>
      <c r="BK173" s="3"/>
      <c r="BL173" s="3">
        <f t="shared" si="149"/>
        <v>0</v>
      </c>
      <c r="BM173" s="3"/>
      <c r="BN173" s="3"/>
      <c r="BO173" s="3"/>
      <c r="BP173" s="3">
        <f t="shared" si="157"/>
        <v>0</v>
      </c>
      <c r="BQ173" s="3"/>
      <c r="BR173" s="3"/>
      <c r="BS173" s="3"/>
      <c r="BT173" s="3">
        <f t="shared" si="158"/>
        <v>0</v>
      </c>
      <c r="BU173" s="3"/>
      <c r="BV173" s="3"/>
      <c r="BW173" s="3"/>
      <c r="BX173" s="3">
        <f t="shared" si="159"/>
        <v>0</v>
      </c>
      <c r="BY173" s="3"/>
      <c r="BZ173" s="3"/>
      <c r="CA173" s="3"/>
      <c r="CB173" s="3">
        <f t="shared" si="160"/>
        <v>0</v>
      </c>
      <c r="CC173" s="3"/>
      <c r="CD173" s="3"/>
      <c r="CE173" s="3"/>
      <c r="CF173" s="3">
        <f t="shared" si="161"/>
        <v>0</v>
      </c>
      <c r="CG173" s="3"/>
      <c r="CH173" s="3"/>
      <c r="CI173" s="3"/>
      <c r="CJ173" s="3">
        <f t="shared" si="162"/>
        <v>0</v>
      </c>
      <c r="CK173" s="3"/>
      <c r="CL173" s="3"/>
      <c r="CM173" s="3"/>
      <c r="CN173" s="3">
        <f t="shared" si="163"/>
        <v>0</v>
      </c>
      <c r="CO173" s="3"/>
      <c r="CP173" s="3"/>
      <c r="CQ173" s="3"/>
      <c r="CR173" s="3">
        <f t="shared" si="164"/>
        <v>0</v>
      </c>
      <c r="CS173" s="3"/>
      <c r="CT173" s="3"/>
      <c r="CU173" s="3"/>
      <c r="CV173" s="3">
        <f t="shared" si="165"/>
        <v>0</v>
      </c>
      <c r="CW173" s="3">
        <f>SUM($K173:$M173)*CW$4/$CW$4</f>
        <v>-6217.38</v>
      </c>
      <c r="CX173" s="3">
        <v>0</v>
      </c>
      <c r="CY173" s="3">
        <v>0</v>
      </c>
      <c r="CZ173" s="3">
        <f t="shared" si="173"/>
        <v>-6217.38</v>
      </c>
      <c r="DA173" s="3"/>
      <c r="DB173" s="3"/>
      <c r="DC173" s="3"/>
      <c r="DD173" s="3">
        <f t="shared" si="166"/>
        <v>0</v>
      </c>
      <c r="DE173" s="3"/>
      <c r="DF173" s="3"/>
      <c r="DG173" s="3"/>
      <c r="DH173" s="3">
        <f t="shared" si="167"/>
        <v>0</v>
      </c>
      <c r="DI173" s="3"/>
      <c r="DJ173" s="3"/>
      <c r="DK173" s="3"/>
      <c r="DL173" s="3">
        <f t="shared" si="147"/>
        <v>0</v>
      </c>
      <c r="DM173" s="3"/>
      <c r="DN173" s="3"/>
      <c r="DO173" s="3"/>
      <c r="DP173" s="3">
        <f t="shared" si="168"/>
        <v>0</v>
      </c>
      <c r="DQ173" s="3"/>
      <c r="DR173" s="3"/>
      <c r="DS173" s="3"/>
      <c r="DT173" s="3">
        <f t="shared" si="172"/>
        <v>0</v>
      </c>
      <c r="DU173" s="3"/>
      <c r="DV173" s="3"/>
      <c r="DW173" s="3"/>
      <c r="DX173" s="3">
        <f t="shared" si="169"/>
        <v>0</v>
      </c>
      <c r="DY173" s="3"/>
      <c r="DZ173" s="3"/>
      <c r="EA173" s="3"/>
      <c r="EB173" s="3">
        <f t="shared" si="170"/>
        <v>0</v>
      </c>
      <c r="EC173" s="4">
        <f t="shared" si="150"/>
        <v>-6217.38</v>
      </c>
      <c r="ED173" s="5">
        <f t="shared" si="171"/>
        <v>0</v>
      </c>
      <c r="EE173" s="6">
        <f t="shared" si="174"/>
        <v>-6217.38</v>
      </c>
      <c r="EF173" s="6">
        <f t="shared" si="174"/>
        <v>0</v>
      </c>
      <c r="EG173" s="6">
        <f t="shared" si="174"/>
        <v>0</v>
      </c>
    </row>
    <row r="174" spans="1:137" ht="12" customHeight="1" x14ac:dyDescent="0.35">
      <c r="A174" s="43" t="s">
        <v>115</v>
      </c>
      <c r="B174" s="43">
        <v>28324</v>
      </c>
      <c r="C174" s="43" t="s">
        <v>574</v>
      </c>
      <c r="D174" s="43" t="s">
        <v>110</v>
      </c>
      <c r="E174" s="43">
        <v>150781</v>
      </c>
      <c r="F174" s="43" t="s">
        <v>652</v>
      </c>
      <c r="G174" s="44">
        <v>46080</v>
      </c>
      <c r="H174" s="44">
        <v>46104</v>
      </c>
      <c r="I174" s="45">
        <v>5</v>
      </c>
      <c r="J174" s="45">
        <v>-6994</v>
      </c>
      <c r="K174" s="46">
        <v>-349.7</v>
      </c>
      <c r="L174" s="45"/>
      <c r="M174" s="45"/>
      <c r="N174" s="45">
        <v>-349.7</v>
      </c>
      <c r="O174" s="45">
        <v>-7343.7</v>
      </c>
      <c r="P174" s="43" t="s">
        <v>95</v>
      </c>
      <c r="Q174" s="43" t="s">
        <v>36</v>
      </c>
      <c r="R174" s="43" t="s">
        <v>112</v>
      </c>
      <c r="S174" s="43" t="s">
        <v>97</v>
      </c>
      <c r="T174" s="43" t="s">
        <v>98</v>
      </c>
      <c r="U174" s="43" t="s">
        <v>99</v>
      </c>
      <c r="V174" s="43">
        <v>996311</v>
      </c>
      <c r="W174" s="43" t="s">
        <v>653</v>
      </c>
      <c r="X174" s="43" t="s">
        <v>101</v>
      </c>
      <c r="Y174" s="43">
        <v>107</v>
      </c>
      <c r="Z174" s="43" t="s">
        <v>102</v>
      </c>
      <c r="AA174" t="s">
        <v>654</v>
      </c>
      <c r="AB174">
        <v>-349.7</v>
      </c>
      <c r="AC174">
        <v>-350</v>
      </c>
      <c r="AD174" s="38">
        <v>0</v>
      </c>
      <c r="AE174" t="s">
        <v>104</v>
      </c>
      <c r="AF174" t="s">
        <v>73</v>
      </c>
      <c r="AG174" s="3"/>
      <c r="AH174" s="3"/>
      <c r="AI174" s="3"/>
      <c r="AJ174" s="3">
        <f t="shared" si="151"/>
        <v>0</v>
      </c>
      <c r="AK174" s="3"/>
      <c r="AL174" s="3"/>
      <c r="AM174" s="3"/>
      <c r="AN174" s="3">
        <f t="shared" si="152"/>
        <v>0</v>
      </c>
      <c r="AO174" s="3"/>
      <c r="AP174" s="3"/>
      <c r="AQ174" s="3"/>
      <c r="AR174" s="3">
        <f t="shared" si="153"/>
        <v>0</v>
      </c>
      <c r="AS174" s="3"/>
      <c r="AT174" s="3"/>
      <c r="AU174" s="3"/>
      <c r="AV174" s="3">
        <f t="shared" si="154"/>
        <v>0</v>
      </c>
      <c r="AW174" s="3"/>
      <c r="AX174" s="3"/>
      <c r="AY174" s="3"/>
      <c r="AZ174" s="3">
        <f t="shared" si="155"/>
        <v>0</v>
      </c>
      <c r="BA174" s="3"/>
      <c r="BB174" s="3"/>
      <c r="BC174" s="3"/>
      <c r="BD174" s="3">
        <f t="shared" si="156"/>
        <v>0</v>
      </c>
      <c r="BE174" s="3">
        <f>$K174*BE$4/$BE$4</f>
        <v>-349.7</v>
      </c>
      <c r="BF174" s="3">
        <f>$L174*BE$4/$BE$4</f>
        <v>0</v>
      </c>
      <c r="BG174" s="3">
        <f>$M174*BE$4/$BE$4</f>
        <v>0</v>
      </c>
      <c r="BH174" s="3">
        <f t="shared" si="148"/>
        <v>-349.7</v>
      </c>
      <c r="BI174" s="3"/>
      <c r="BJ174" s="3"/>
      <c r="BK174" s="3"/>
      <c r="BL174" s="3">
        <f t="shared" si="149"/>
        <v>0</v>
      </c>
      <c r="BM174" s="3"/>
      <c r="BN174" s="3"/>
      <c r="BO174" s="3"/>
      <c r="BP174" s="3">
        <f t="shared" si="157"/>
        <v>0</v>
      </c>
      <c r="BQ174" s="3"/>
      <c r="BR174" s="3"/>
      <c r="BS174" s="3"/>
      <c r="BT174" s="3">
        <f t="shared" si="158"/>
        <v>0</v>
      </c>
      <c r="BU174" s="3"/>
      <c r="BV174" s="3"/>
      <c r="BW174" s="3"/>
      <c r="BX174" s="3">
        <f t="shared" si="159"/>
        <v>0</v>
      </c>
      <c r="BY174" s="3"/>
      <c r="BZ174" s="3"/>
      <c r="CA174" s="3"/>
      <c r="CB174" s="3">
        <f t="shared" si="160"/>
        <v>0</v>
      </c>
      <c r="CC174" s="3"/>
      <c r="CD174" s="3"/>
      <c r="CE174" s="3"/>
      <c r="CF174" s="3">
        <f t="shared" si="161"/>
        <v>0</v>
      </c>
      <c r="CG174" s="3"/>
      <c r="CH174" s="3"/>
      <c r="CI174" s="3"/>
      <c r="CJ174" s="3">
        <f t="shared" si="162"/>
        <v>0</v>
      </c>
      <c r="CK174" s="3"/>
      <c r="CL174" s="3"/>
      <c r="CM174" s="3"/>
      <c r="CN174" s="3">
        <f t="shared" si="163"/>
        <v>0</v>
      </c>
      <c r="CO174" s="3"/>
      <c r="CP174" s="3"/>
      <c r="CQ174" s="3"/>
      <c r="CR174" s="3">
        <f t="shared" si="164"/>
        <v>0</v>
      </c>
      <c r="CS174" s="3"/>
      <c r="CT174" s="3"/>
      <c r="CU174" s="3"/>
      <c r="CV174" s="3">
        <f t="shared" si="165"/>
        <v>0</v>
      </c>
      <c r="CW174" s="3"/>
      <c r="CX174" s="3"/>
      <c r="CY174" s="3"/>
      <c r="CZ174" s="3">
        <f t="shared" si="173"/>
        <v>0</v>
      </c>
      <c r="DA174" s="3"/>
      <c r="DB174" s="3"/>
      <c r="DC174" s="3"/>
      <c r="DD174" s="3">
        <f t="shared" si="166"/>
        <v>0</v>
      </c>
      <c r="DE174" s="3"/>
      <c r="DF174" s="3"/>
      <c r="DG174" s="3"/>
      <c r="DH174" s="3">
        <f t="shared" si="167"/>
        <v>0</v>
      </c>
      <c r="DI174" s="3"/>
      <c r="DJ174" s="3"/>
      <c r="DK174" s="3"/>
      <c r="DL174" s="3">
        <f t="shared" si="147"/>
        <v>0</v>
      </c>
      <c r="DM174" s="3"/>
      <c r="DN174" s="3"/>
      <c r="DO174" s="3"/>
      <c r="DP174" s="3">
        <f t="shared" si="168"/>
        <v>0</v>
      </c>
      <c r="DQ174" s="3"/>
      <c r="DR174" s="3"/>
      <c r="DS174" s="3"/>
      <c r="DT174" s="3">
        <f t="shared" si="172"/>
        <v>0</v>
      </c>
      <c r="DU174" s="3"/>
      <c r="DV174" s="3"/>
      <c r="DW174" s="3"/>
      <c r="DX174" s="3">
        <f t="shared" si="169"/>
        <v>0</v>
      </c>
      <c r="DY174" s="3"/>
      <c r="DZ174" s="3"/>
      <c r="EA174" s="3"/>
      <c r="EB174" s="3">
        <f t="shared" si="170"/>
        <v>0</v>
      </c>
      <c r="EC174" s="4">
        <f t="shared" si="150"/>
        <v>-349.7</v>
      </c>
      <c r="ED174" s="5">
        <f t="shared" si="171"/>
        <v>0</v>
      </c>
      <c r="EE174" s="6">
        <f t="shared" si="174"/>
        <v>-349.7</v>
      </c>
      <c r="EF174" s="6">
        <f t="shared" si="174"/>
        <v>0</v>
      </c>
      <c r="EG174" s="6">
        <f t="shared" si="174"/>
        <v>0</v>
      </c>
    </row>
    <row r="175" spans="1:137" ht="12" customHeight="1" x14ac:dyDescent="0.35">
      <c r="A175" s="43" t="s">
        <v>91</v>
      </c>
      <c r="B175" s="43">
        <v>30450</v>
      </c>
      <c r="C175" s="43" t="s">
        <v>92</v>
      </c>
      <c r="D175" s="43" t="s">
        <v>543</v>
      </c>
      <c r="E175" s="43">
        <v>150783</v>
      </c>
      <c r="F175" s="43" t="s">
        <v>646</v>
      </c>
      <c r="G175" s="44">
        <v>46061</v>
      </c>
      <c r="H175" s="44">
        <v>46104</v>
      </c>
      <c r="I175" s="45">
        <v>18</v>
      </c>
      <c r="J175" s="45">
        <v>-339</v>
      </c>
      <c r="K175" s="46"/>
      <c r="L175" s="45">
        <v>-30.51</v>
      </c>
      <c r="M175" s="45">
        <v>-30.51</v>
      </c>
      <c r="N175" s="45">
        <v>-61.02</v>
      </c>
      <c r="O175" s="45">
        <v>-400.02</v>
      </c>
      <c r="P175" s="43" t="s">
        <v>95</v>
      </c>
      <c r="Q175" s="43" t="s">
        <v>47</v>
      </c>
      <c r="R175" s="43" t="s">
        <v>112</v>
      </c>
      <c r="S175" s="43" t="s">
        <v>97</v>
      </c>
      <c r="T175" s="43" t="s">
        <v>98</v>
      </c>
      <c r="U175" s="43" t="s">
        <v>655</v>
      </c>
      <c r="V175" s="43">
        <v>996311</v>
      </c>
      <c r="W175" s="43" t="s">
        <v>647</v>
      </c>
      <c r="X175" s="43" t="s">
        <v>101</v>
      </c>
      <c r="Y175" s="43">
        <v>107</v>
      </c>
      <c r="Z175" s="43" t="s">
        <v>102</v>
      </c>
      <c r="AA175" t="s">
        <v>648</v>
      </c>
      <c r="AB175">
        <v>-61.02</v>
      </c>
      <c r="AC175">
        <v>-3779</v>
      </c>
      <c r="AD175" s="38">
        <v>3718</v>
      </c>
      <c r="AE175" t="s">
        <v>104</v>
      </c>
      <c r="AF175" t="s">
        <v>73</v>
      </c>
      <c r="AG175" s="3"/>
      <c r="AH175" s="3"/>
      <c r="AI175" s="3"/>
      <c r="AJ175" s="3">
        <f t="shared" si="151"/>
        <v>0</v>
      </c>
      <c r="AK175" s="3"/>
      <c r="AL175" s="3"/>
      <c r="AM175" s="3"/>
      <c r="AN175" s="3">
        <f t="shared" si="152"/>
        <v>0</v>
      </c>
      <c r="AO175" s="3"/>
      <c r="AP175" s="3"/>
      <c r="AQ175" s="3"/>
      <c r="AR175" s="3">
        <f t="shared" si="153"/>
        <v>0</v>
      </c>
      <c r="AS175" s="3"/>
      <c r="AT175" s="3"/>
      <c r="AU175" s="3"/>
      <c r="AV175" s="3">
        <f t="shared" si="154"/>
        <v>0</v>
      </c>
      <c r="AW175" s="3"/>
      <c r="AX175" s="3"/>
      <c r="AY175" s="3"/>
      <c r="AZ175" s="3">
        <f t="shared" si="155"/>
        <v>0</v>
      </c>
      <c r="BA175" s="3"/>
      <c r="BB175" s="3"/>
      <c r="BC175" s="3"/>
      <c r="BD175" s="3">
        <f t="shared" si="156"/>
        <v>0</v>
      </c>
      <c r="BE175" s="3"/>
      <c r="BF175" s="3"/>
      <c r="BG175" s="3"/>
      <c r="BH175" s="3">
        <f t="shared" si="148"/>
        <v>0</v>
      </c>
      <c r="BI175" s="3"/>
      <c r="BJ175" s="3"/>
      <c r="BK175" s="3"/>
      <c r="BL175" s="3">
        <f t="shared" si="149"/>
        <v>0</v>
      </c>
      <c r="BM175" s="3"/>
      <c r="BN175" s="3"/>
      <c r="BO175" s="3"/>
      <c r="BP175" s="3">
        <f t="shared" si="157"/>
        <v>0</v>
      </c>
      <c r="BQ175" s="3"/>
      <c r="BR175" s="3"/>
      <c r="BS175" s="3"/>
      <c r="BT175" s="3">
        <f t="shared" si="158"/>
        <v>0</v>
      </c>
      <c r="BU175" s="3"/>
      <c r="BV175" s="3"/>
      <c r="BW175" s="3"/>
      <c r="BX175" s="3">
        <f t="shared" si="159"/>
        <v>0</v>
      </c>
      <c r="BY175" s="3"/>
      <c r="BZ175" s="3"/>
      <c r="CA175" s="3"/>
      <c r="CB175" s="3">
        <f t="shared" si="160"/>
        <v>0</v>
      </c>
      <c r="CC175" s="3"/>
      <c r="CD175" s="3"/>
      <c r="CE175" s="3"/>
      <c r="CF175" s="3">
        <f t="shared" si="161"/>
        <v>0</v>
      </c>
      <c r="CG175" s="3"/>
      <c r="CH175" s="3"/>
      <c r="CI175" s="3"/>
      <c r="CJ175" s="3">
        <f t="shared" si="162"/>
        <v>0</v>
      </c>
      <c r="CK175" s="3"/>
      <c r="CL175" s="3"/>
      <c r="CM175" s="3"/>
      <c r="CN175" s="3">
        <f t="shared" si="163"/>
        <v>0</v>
      </c>
      <c r="CO175" s="3"/>
      <c r="CP175" s="3"/>
      <c r="CQ175" s="3"/>
      <c r="CR175" s="3">
        <f t="shared" si="164"/>
        <v>0</v>
      </c>
      <c r="CS175" s="3"/>
      <c r="CT175" s="3"/>
      <c r="CU175" s="3"/>
      <c r="CV175" s="3">
        <f t="shared" si="165"/>
        <v>0</v>
      </c>
      <c r="CW175" s="3">
        <f>SUM($K175:$M175)*CW$4/$CW$4</f>
        <v>-61.019999999999996</v>
      </c>
      <c r="CX175" s="3">
        <v>0</v>
      </c>
      <c r="CY175" s="3">
        <v>0</v>
      </c>
      <c r="CZ175" s="3">
        <f t="shared" si="173"/>
        <v>-61.019999999999996</v>
      </c>
      <c r="DA175" s="3"/>
      <c r="DB175" s="3"/>
      <c r="DC175" s="3"/>
      <c r="DD175" s="3">
        <f t="shared" si="166"/>
        <v>0</v>
      </c>
      <c r="DE175" s="3"/>
      <c r="DF175" s="3"/>
      <c r="DG175" s="3"/>
      <c r="DH175" s="3">
        <f t="shared" si="167"/>
        <v>0</v>
      </c>
      <c r="DI175" s="3"/>
      <c r="DJ175" s="3"/>
      <c r="DK175" s="3"/>
      <c r="DL175" s="3">
        <f t="shared" si="147"/>
        <v>0</v>
      </c>
      <c r="DM175" s="3"/>
      <c r="DN175" s="3"/>
      <c r="DO175" s="3"/>
      <c r="DP175" s="3">
        <f t="shared" si="168"/>
        <v>0</v>
      </c>
      <c r="DQ175" s="3"/>
      <c r="DR175" s="3"/>
      <c r="DS175" s="3"/>
      <c r="DT175" s="3">
        <f t="shared" si="172"/>
        <v>0</v>
      </c>
      <c r="DU175" s="3"/>
      <c r="DV175" s="3"/>
      <c r="DW175" s="3"/>
      <c r="DX175" s="3">
        <f t="shared" si="169"/>
        <v>0</v>
      </c>
      <c r="DY175" s="3"/>
      <c r="DZ175" s="3"/>
      <c r="EA175" s="3"/>
      <c r="EB175" s="3">
        <f t="shared" si="170"/>
        <v>0</v>
      </c>
      <c r="EC175" s="4">
        <f t="shared" si="150"/>
        <v>-61.019999999999996</v>
      </c>
      <c r="ED175" s="5">
        <f t="shared" si="171"/>
        <v>0</v>
      </c>
      <c r="EE175" s="6">
        <f t="shared" si="174"/>
        <v>-61.019999999999996</v>
      </c>
      <c r="EF175" s="6">
        <f t="shared" si="174"/>
        <v>0</v>
      </c>
      <c r="EG175" s="6">
        <f t="shared" si="174"/>
        <v>0</v>
      </c>
    </row>
    <row r="176" spans="1:137" ht="12" customHeight="1" x14ac:dyDescent="0.35">
      <c r="A176" s="43" t="s">
        <v>148</v>
      </c>
      <c r="B176" s="43">
        <v>44781</v>
      </c>
      <c r="C176" s="43" t="s">
        <v>656</v>
      </c>
      <c r="D176" s="43" t="s">
        <v>93</v>
      </c>
      <c r="E176" s="43">
        <v>418801</v>
      </c>
      <c r="F176" s="43" t="s">
        <v>657</v>
      </c>
      <c r="G176" s="44">
        <v>46072</v>
      </c>
      <c r="H176" s="44">
        <v>46104</v>
      </c>
      <c r="I176" s="45">
        <v>5</v>
      </c>
      <c r="J176" s="45">
        <v>10468</v>
      </c>
      <c r="K176" s="46">
        <v>523.4</v>
      </c>
      <c r="L176" s="45"/>
      <c r="M176" s="45"/>
      <c r="N176" s="45">
        <v>523.4</v>
      </c>
      <c r="O176" s="45">
        <v>10991.4</v>
      </c>
      <c r="P176" s="43" t="s">
        <v>95</v>
      </c>
      <c r="Q176" s="43" t="s">
        <v>36</v>
      </c>
      <c r="R176" s="43" t="s">
        <v>126</v>
      </c>
      <c r="S176" s="43" t="s">
        <v>97</v>
      </c>
      <c r="T176" s="43" t="s">
        <v>98</v>
      </c>
      <c r="U176" s="43" t="s">
        <v>99</v>
      </c>
      <c r="V176" s="43">
        <v>996311</v>
      </c>
      <c r="W176" s="43" t="s">
        <v>658</v>
      </c>
      <c r="X176" s="43" t="s">
        <v>101</v>
      </c>
      <c r="Y176" s="43">
        <v>107</v>
      </c>
      <c r="Z176" s="43" t="s">
        <v>102</v>
      </c>
      <c r="AA176" t="s">
        <v>659</v>
      </c>
      <c r="AB176">
        <v>523.4</v>
      </c>
      <c r="AC176">
        <v>502.7</v>
      </c>
      <c r="AD176" s="38">
        <v>21</v>
      </c>
      <c r="AE176" t="s">
        <v>104</v>
      </c>
      <c r="AF176" t="s">
        <v>73</v>
      </c>
      <c r="AG176" s="3"/>
      <c r="AH176" s="3"/>
      <c r="AI176" s="3"/>
      <c r="AJ176" s="3">
        <f t="shared" si="151"/>
        <v>0</v>
      </c>
      <c r="AK176" s="3"/>
      <c r="AL176" s="3"/>
      <c r="AM176" s="3"/>
      <c r="AN176" s="3">
        <f t="shared" si="152"/>
        <v>0</v>
      </c>
      <c r="AO176" s="3"/>
      <c r="AP176" s="3"/>
      <c r="AQ176" s="3"/>
      <c r="AR176" s="3">
        <f t="shared" si="153"/>
        <v>0</v>
      </c>
      <c r="AS176" s="3"/>
      <c r="AT176" s="3"/>
      <c r="AU176" s="3"/>
      <c r="AV176" s="3">
        <f t="shared" si="154"/>
        <v>0</v>
      </c>
      <c r="AW176" s="3"/>
      <c r="AX176" s="3"/>
      <c r="AY176" s="3"/>
      <c r="AZ176" s="3">
        <f t="shared" si="155"/>
        <v>0</v>
      </c>
      <c r="BA176" s="3"/>
      <c r="BB176" s="3"/>
      <c r="BC176" s="3"/>
      <c r="BD176" s="3">
        <f t="shared" si="156"/>
        <v>0</v>
      </c>
      <c r="BE176" s="3">
        <f>$K176*BE$4/$BE$4</f>
        <v>523.4</v>
      </c>
      <c r="BF176" s="3">
        <f>$L176*BE$4/$BE$4</f>
        <v>0</v>
      </c>
      <c r="BG176" s="3">
        <f>$M176*BE$4/$BE$4</f>
        <v>0</v>
      </c>
      <c r="BH176" s="3">
        <f t="shared" si="148"/>
        <v>523.4</v>
      </c>
      <c r="BI176" s="3"/>
      <c r="BJ176" s="3"/>
      <c r="BK176" s="3"/>
      <c r="BL176" s="3">
        <f t="shared" si="149"/>
        <v>0</v>
      </c>
      <c r="BM176" s="3"/>
      <c r="BN176" s="3"/>
      <c r="BO176" s="3"/>
      <c r="BP176" s="3">
        <f t="shared" si="157"/>
        <v>0</v>
      </c>
      <c r="BQ176" s="3"/>
      <c r="BR176" s="3"/>
      <c r="BS176" s="3"/>
      <c r="BT176" s="3">
        <f t="shared" si="158"/>
        <v>0</v>
      </c>
      <c r="BU176" s="3"/>
      <c r="BV176" s="3"/>
      <c r="BW176" s="3"/>
      <c r="BX176" s="3">
        <f t="shared" si="159"/>
        <v>0</v>
      </c>
      <c r="BY176" s="3"/>
      <c r="BZ176" s="3"/>
      <c r="CA176" s="3"/>
      <c r="CB176" s="3">
        <f t="shared" si="160"/>
        <v>0</v>
      </c>
      <c r="CC176" s="3"/>
      <c r="CD176" s="3"/>
      <c r="CE176" s="3"/>
      <c r="CF176" s="3">
        <f t="shared" si="161"/>
        <v>0</v>
      </c>
      <c r="CG176" s="3"/>
      <c r="CH176" s="3"/>
      <c r="CI176" s="3"/>
      <c r="CJ176" s="3">
        <f t="shared" si="162"/>
        <v>0</v>
      </c>
      <c r="CK176" s="3"/>
      <c r="CL176" s="3"/>
      <c r="CM176" s="3"/>
      <c r="CN176" s="3">
        <f t="shared" si="163"/>
        <v>0</v>
      </c>
      <c r="CO176" s="3"/>
      <c r="CP176" s="3"/>
      <c r="CQ176" s="3"/>
      <c r="CR176" s="3">
        <f t="shared" si="164"/>
        <v>0</v>
      </c>
      <c r="CS176" s="3"/>
      <c r="CT176" s="3"/>
      <c r="CU176" s="3"/>
      <c r="CV176" s="3">
        <f t="shared" si="165"/>
        <v>0</v>
      </c>
      <c r="CW176" s="3"/>
      <c r="CX176" s="3"/>
      <c r="CY176" s="3"/>
      <c r="CZ176" s="3">
        <f t="shared" si="173"/>
        <v>0</v>
      </c>
      <c r="DA176" s="3"/>
      <c r="DB176" s="3"/>
      <c r="DC176" s="3"/>
      <c r="DD176" s="3">
        <f t="shared" si="166"/>
        <v>0</v>
      </c>
      <c r="DE176" s="3"/>
      <c r="DF176" s="3"/>
      <c r="DG176" s="3"/>
      <c r="DH176" s="3">
        <f t="shared" si="167"/>
        <v>0</v>
      </c>
      <c r="DI176" s="3"/>
      <c r="DJ176" s="3"/>
      <c r="DK176" s="3"/>
      <c r="DL176" s="3">
        <f t="shared" si="147"/>
        <v>0</v>
      </c>
      <c r="DM176" s="3"/>
      <c r="DN176" s="3"/>
      <c r="DO176" s="3"/>
      <c r="DP176" s="3">
        <f t="shared" si="168"/>
        <v>0</v>
      </c>
      <c r="DQ176" s="3"/>
      <c r="DR176" s="3"/>
      <c r="DS176" s="3"/>
      <c r="DT176" s="3">
        <f t="shared" si="172"/>
        <v>0</v>
      </c>
      <c r="DU176" s="3"/>
      <c r="DV176" s="3"/>
      <c r="DW176" s="3"/>
      <c r="DX176" s="3">
        <f t="shared" si="169"/>
        <v>0</v>
      </c>
      <c r="DY176" s="3"/>
      <c r="DZ176" s="3"/>
      <c r="EA176" s="3"/>
      <c r="EB176" s="3">
        <f t="shared" si="170"/>
        <v>0</v>
      </c>
      <c r="EC176" s="4">
        <f t="shared" si="150"/>
        <v>523.4</v>
      </c>
      <c r="ED176" s="5">
        <f t="shared" si="171"/>
        <v>0</v>
      </c>
      <c r="EE176" s="6">
        <f t="shared" si="174"/>
        <v>523.4</v>
      </c>
      <c r="EF176" s="6">
        <f t="shared" si="174"/>
        <v>0</v>
      </c>
      <c r="EG176" s="6">
        <f t="shared" si="174"/>
        <v>0</v>
      </c>
    </row>
    <row r="177" spans="1:137" ht="12" customHeight="1" x14ac:dyDescent="0.35">
      <c r="A177" s="43" t="s">
        <v>115</v>
      </c>
      <c r="B177" s="43">
        <v>28324</v>
      </c>
      <c r="C177" s="43" t="s">
        <v>120</v>
      </c>
      <c r="D177" s="43" t="s">
        <v>110</v>
      </c>
      <c r="E177" s="43">
        <v>150781</v>
      </c>
      <c r="F177" s="43" t="s">
        <v>660</v>
      </c>
      <c r="G177" s="44">
        <v>46003</v>
      </c>
      <c r="H177" s="44">
        <v>46090</v>
      </c>
      <c r="I177" s="45">
        <v>5</v>
      </c>
      <c r="J177" s="45">
        <v>-8481</v>
      </c>
      <c r="K177" s="46">
        <v>-424.05</v>
      </c>
      <c r="L177" s="45"/>
      <c r="M177" s="45"/>
      <c r="N177" s="45">
        <v>-424.05</v>
      </c>
      <c r="O177" s="45">
        <v>-8905.0499999999993</v>
      </c>
      <c r="P177" s="43" t="s">
        <v>95</v>
      </c>
      <c r="Q177" s="43" t="s">
        <v>36</v>
      </c>
      <c r="R177" s="43" t="s">
        <v>112</v>
      </c>
      <c r="S177" s="43" t="s">
        <v>97</v>
      </c>
      <c r="T177" s="43" t="s">
        <v>98</v>
      </c>
      <c r="U177" s="43" t="s">
        <v>99</v>
      </c>
      <c r="V177" s="43">
        <v>996311</v>
      </c>
      <c r="W177" s="43" t="s">
        <v>661</v>
      </c>
      <c r="X177" s="43" t="s">
        <v>101</v>
      </c>
      <c r="Y177" s="43">
        <v>107</v>
      </c>
      <c r="Z177" s="43" t="s">
        <v>102</v>
      </c>
      <c r="AA177" t="s">
        <v>662</v>
      </c>
      <c r="AB177">
        <v>-424.05</v>
      </c>
      <c r="AC177">
        <v>-424</v>
      </c>
      <c r="AD177" s="38">
        <v>0</v>
      </c>
      <c r="AE177" t="s">
        <v>104</v>
      </c>
      <c r="AF177" t="s">
        <v>73</v>
      </c>
      <c r="AG177" s="3"/>
      <c r="AH177" s="3"/>
      <c r="AI177" s="3"/>
      <c r="AJ177" s="3">
        <f t="shared" si="151"/>
        <v>0</v>
      </c>
      <c r="AK177" s="3"/>
      <c r="AL177" s="3"/>
      <c r="AM177" s="3"/>
      <c r="AN177" s="3">
        <f t="shared" si="152"/>
        <v>0</v>
      </c>
      <c r="AO177" s="3"/>
      <c r="AP177" s="3"/>
      <c r="AQ177" s="3"/>
      <c r="AR177" s="3">
        <f t="shared" si="153"/>
        <v>0</v>
      </c>
      <c r="AS177" s="3"/>
      <c r="AT177" s="3"/>
      <c r="AU177" s="3"/>
      <c r="AV177" s="3">
        <f t="shared" si="154"/>
        <v>0</v>
      </c>
      <c r="AW177" s="3"/>
      <c r="AX177" s="3"/>
      <c r="AY177" s="3"/>
      <c r="AZ177" s="3">
        <f t="shared" si="155"/>
        <v>0</v>
      </c>
      <c r="BA177" s="3"/>
      <c r="BB177" s="3"/>
      <c r="BC177" s="3"/>
      <c r="BD177" s="3">
        <f t="shared" si="156"/>
        <v>0</v>
      </c>
      <c r="BE177" s="3">
        <f>$K177*BE$4/$BE$4</f>
        <v>-424.05</v>
      </c>
      <c r="BF177" s="3">
        <f>$L177*BE$4/$BE$4</f>
        <v>0</v>
      </c>
      <c r="BG177" s="3">
        <f>$M177*BE$4/$BE$4</f>
        <v>0</v>
      </c>
      <c r="BH177" s="3">
        <f t="shared" si="148"/>
        <v>-424.05</v>
      </c>
      <c r="BI177" s="3"/>
      <c r="BJ177" s="3"/>
      <c r="BK177" s="3"/>
      <c r="BL177" s="3">
        <f t="shared" si="149"/>
        <v>0</v>
      </c>
      <c r="BM177" s="3"/>
      <c r="BN177" s="3"/>
      <c r="BO177" s="3"/>
      <c r="BP177" s="3">
        <f t="shared" si="157"/>
        <v>0</v>
      </c>
      <c r="BQ177" s="3"/>
      <c r="BR177" s="3"/>
      <c r="BS177" s="3"/>
      <c r="BT177" s="3">
        <f t="shared" si="158"/>
        <v>0</v>
      </c>
      <c r="BU177" s="3"/>
      <c r="BV177" s="3"/>
      <c r="BW177" s="3"/>
      <c r="BX177" s="3">
        <f t="shared" si="159"/>
        <v>0</v>
      </c>
      <c r="BY177" s="3"/>
      <c r="BZ177" s="3"/>
      <c r="CA177" s="3"/>
      <c r="CB177" s="3">
        <f t="shared" si="160"/>
        <v>0</v>
      </c>
      <c r="CC177" s="3"/>
      <c r="CD177" s="3"/>
      <c r="CE177" s="3"/>
      <c r="CF177" s="3">
        <f t="shared" si="161"/>
        <v>0</v>
      </c>
      <c r="CG177" s="3"/>
      <c r="CH177" s="3"/>
      <c r="CI177" s="3"/>
      <c r="CJ177" s="3">
        <f t="shared" si="162"/>
        <v>0</v>
      </c>
      <c r="CK177" s="3"/>
      <c r="CL177" s="3"/>
      <c r="CM177" s="3"/>
      <c r="CN177" s="3">
        <f t="shared" si="163"/>
        <v>0</v>
      </c>
      <c r="CO177" s="3"/>
      <c r="CP177" s="3"/>
      <c r="CQ177" s="3"/>
      <c r="CR177" s="3">
        <f t="shared" si="164"/>
        <v>0</v>
      </c>
      <c r="CS177" s="3"/>
      <c r="CT177" s="3"/>
      <c r="CU177" s="3"/>
      <c r="CV177" s="3">
        <f t="shared" si="165"/>
        <v>0</v>
      </c>
      <c r="CW177" s="3"/>
      <c r="CX177" s="3"/>
      <c r="CY177" s="3"/>
      <c r="CZ177" s="3">
        <f t="shared" si="173"/>
        <v>0</v>
      </c>
      <c r="DA177" s="3"/>
      <c r="DB177" s="3"/>
      <c r="DC177" s="3"/>
      <c r="DD177" s="3">
        <f t="shared" si="166"/>
        <v>0</v>
      </c>
      <c r="DE177" s="3"/>
      <c r="DF177" s="3"/>
      <c r="DG177" s="3"/>
      <c r="DH177" s="3">
        <f t="shared" si="167"/>
        <v>0</v>
      </c>
      <c r="DI177" s="3"/>
      <c r="DJ177" s="3"/>
      <c r="DK177" s="3"/>
      <c r="DL177" s="3">
        <f t="shared" si="147"/>
        <v>0</v>
      </c>
      <c r="DM177" s="3"/>
      <c r="DN177" s="3"/>
      <c r="DO177" s="3"/>
      <c r="DP177" s="3">
        <f t="shared" si="168"/>
        <v>0</v>
      </c>
      <c r="DQ177" s="3"/>
      <c r="DR177" s="3"/>
      <c r="DS177" s="3"/>
      <c r="DT177" s="3">
        <f t="shared" si="172"/>
        <v>0</v>
      </c>
      <c r="DU177" s="3"/>
      <c r="DV177" s="3"/>
      <c r="DW177" s="3"/>
      <c r="DX177" s="3">
        <f t="shared" si="169"/>
        <v>0</v>
      </c>
      <c r="DY177" s="3"/>
      <c r="DZ177" s="3"/>
      <c r="EA177" s="3"/>
      <c r="EB177" s="3">
        <f t="shared" si="170"/>
        <v>0</v>
      </c>
      <c r="EC177" s="4">
        <f t="shared" si="150"/>
        <v>-424.05</v>
      </c>
      <c r="ED177" s="5">
        <f t="shared" si="171"/>
        <v>0</v>
      </c>
      <c r="EE177" s="6">
        <f t="shared" si="174"/>
        <v>-424.05</v>
      </c>
      <c r="EF177" s="6">
        <f t="shared" si="174"/>
        <v>0</v>
      </c>
      <c r="EG177" s="6">
        <f t="shared" si="174"/>
        <v>0</v>
      </c>
    </row>
    <row r="178" spans="1:137" ht="12" customHeight="1" x14ac:dyDescent="0.35">
      <c r="A178" s="43" t="s">
        <v>541</v>
      </c>
      <c r="B178" s="43">
        <v>44756</v>
      </c>
      <c r="C178" s="43" t="s">
        <v>663</v>
      </c>
      <c r="D178" s="43" t="s">
        <v>110</v>
      </c>
      <c r="E178" s="43">
        <v>150781</v>
      </c>
      <c r="F178" s="43" t="s">
        <v>664</v>
      </c>
      <c r="G178" s="44">
        <v>46032</v>
      </c>
      <c r="H178" s="44">
        <v>46104</v>
      </c>
      <c r="I178" s="45">
        <v>18</v>
      </c>
      <c r="J178" s="45">
        <v>-1906.78</v>
      </c>
      <c r="K178" s="46">
        <v>-343.22039999999998</v>
      </c>
      <c r="L178" s="45"/>
      <c r="M178" s="45"/>
      <c r="N178" s="45">
        <v>-343.22039999999998</v>
      </c>
      <c r="O178" s="45">
        <v>-2250</v>
      </c>
      <c r="P178" s="43" t="s">
        <v>95</v>
      </c>
      <c r="Q178" s="43" t="s">
        <v>36</v>
      </c>
      <c r="R178" s="43" t="s">
        <v>112</v>
      </c>
      <c r="S178" s="43" t="s">
        <v>97</v>
      </c>
      <c r="T178" s="43" t="s">
        <v>98</v>
      </c>
      <c r="U178" s="43" t="s">
        <v>99</v>
      </c>
      <c r="V178" s="43">
        <v>996311</v>
      </c>
      <c r="W178" s="43" t="s">
        <v>665</v>
      </c>
      <c r="X178" s="43" t="s">
        <v>101</v>
      </c>
      <c r="Y178" s="43">
        <v>107</v>
      </c>
      <c r="Z178" s="43" t="s">
        <v>102</v>
      </c>
      <c r="AA178" t="s">
        <v>666</v>
      </c>
      <c r="AB178">
        <v>-343.22039999999998</v>
      </c>
      <c r="AC178">
        <v>-343.22</v>
      </c>
      <c r="AD178" s="38">
        <v>0</v>
      </c>
      <c r="AE178" t="s">
        <v>104</v>
      </c>
      <c r="AF178" t="s">
        <v>73</v>
      </c>
      <c r="AG178" s="3"/>
      <c r="AH178" s="3"/>
      <c r="AI178" s="3"/>
      <c r="AJ178" s="3">
        <f t="shared" si="151"/>
        <v>0</v>
      </c>
      <c r="AK178" s="3"/>
      <c r="AL178" s="3"/>
      <c r="AM178" s="3"/>
      <c r="AN178" s="3">
        <f t="shared" si="152"/>
        <v>0</v>
      </c>
      <c r="AO178" s="3"/>
      <c r="AP178" s="3"/>
      <c r="AQ178" s="3"/>
      <c r="AR178" s="3">
        <f t="shared" si="153"/>
        <v>0</v>
      </c>
      <c r="AS178" s="3"/>
      <c r="AT178" s="3"/>
      <c r="AU178" s="3"/>
      <c r="AV178" s="3">
        <f t="shared" si="154"/>
        <v>0</v>
      </c>
      <c r="AW178" s="3"/>
      <c r="AX178" s="3"/>
      <c r="AY178" s="3"/>
      <c r="AZ178" s="3">
        <f t="shared" si="155"/>
        <v>0</v>
      </c>
      <c r="BA178" s="3"/>
      <c r="BB178" s="3"/>
      <c r="BC178" s="3"/>
      <c r="BD178" s="3">
        <f t="shared" si="156"/>
        <v>0</v>
      </c>
      <c r="BE178" s="3">
        <f>$K178*BE$4/$BE$4</f>
        <v>-343.22039999999998</v>
      </c>
      <c r="BF178" s="3">
        <f>$L178*BE$4/$BE$4</f>
        <v>0</v>
      </c>
      <c r="BG178" s="3">
        <f>$M178*BE$4/$BE$4</f>
        <v>0</v>
      </c>
      <c r="BH178" s="3">
        <f t="shared" si="148"/>
        <v>-343.22039999999998</v>
      </c>
      <c r="BI178" s="3"/>
      <c r="BJ178" s="3"/>
      <c r="BK178" s="3"/>
      <c r="BL178" s="3">
        <f t="shared" si="149"/>
        <v>0</v>
      </c>
      <c r="BM178" s="3"/>
      <c r="BN178" s="3"/>
      <c r="BO178" s="3"/>
      <c r="BP178" s="3">
        <f t="shared" si="157"/>
        <v>0</v>
      </c>
      <c r="BQ178" s="3"/>
      <c r="BR178" s="3"/>
      <c r="BS178" s="3"/>
      <c r="BT178" s="3">
        <f t="shared" si="158"/>
        <v>0</v>
      </c>
      <c r="BU178" s="3"/>
      <c r="BV178" s="3"/>
      <c r="BW178" s="3"/>
      <c r="BX178" s="3">
        <f t="shared" si="159"/>
        <v>0</v>
      </c>
      <c r="BY178" s="3"/>
      <c r="BZ178" s="3"/>
      <c r="CA178" s="3"/>
      <c r="CB178" s="3">
        <f t="shared" si="160"/>
        <v>0</v>
      </c>
      <c r="CC178" s="3"/>
      <c r="CD178" s="3"/>
      <c r="CE178" s="3"/>
      <c r="CF178" s="3">
        <f t="shared" si="161"/>
        <v>0</v>
      </c>
      <c r="CG178" s="3"/>
      <c r="CH178" s="3"/>
      <c r="CI178" s="3"/>
      <c r="CJ178" s="3">
        <f t="shared" si="162"/>
        <v>0</v>
      </c>
      <c r="CK178" s="3"/>
      <c r="CL178" s="3"/>
      <c r="CM178" s="3"/>
      <c r="CN178" s="3">
        <f t="shared" si="163"/>
        <v>0</v>
      </c>
      <c r="CO178" s="3"/>
      <c r="CP178" s="3"/>
      <c r="CQ178" s="3"/>
      <c r="CR178" s="3">
        <f t="shared" si="164"/>
        <v>0</v>
      </c>
      <c r="CS178" s="3"/>
      <c r="CT178" s="3"/>
      <c r="CU178" s="3"/>
      <c r="CV178" s="3">
        <f t="shared" si="165"/>
        <v>0</v>
      </c>
      <c r="CW178" s="3"/>
      <c r="CX178" s="3"/>
      <c r="CY178" s="3"/>
      <c r="CZ178" s="3">
        <f t="shared" si="173"/>
        <v>0</v>
      </c>
      <c r="DA178" s="3"/>
      <c r="DB178" s="3"/>
      <c r="DC178" s="3"/>
      <c r="DD178" s="3">
        <f t="shared" si="166"/>
        <v>0</v>
      </c>
      <c r="DE178" s="3"/>
      <c r="DF178" s="3"/>
      <c r="DG178" s="3"/>
      <c r="DH178" s="3">
        <f t="shared" si="167"/>
        <v>0</v>
      </c>
      <c r="DI178" s="3"/>
      <c r="DJ178" s="3"/>
      <c r="DK178" s="3"/>
      <c r="DL178" s="3">
        <f t="shared" si="147"/>
        <v>0</v>
      </c>
      <c r="DM178" s="3"/>
      <c r="DN178" s="3"/>
      <c r="DO178" s="3"/>
      <c r="DP178" s="3">
        <f t="shared" si="168"/>
        <v>0</v>
      </c>
      <c r="DQ178" s="3"/>
      <c r="DR178" s="3"/>
      <c r="DS178" s="3"/>
      <c r="DT178" s="3">
        <f t="shared" si="172"/>
        <v>0</v>
      </c>
      <c r="DU178" s="3"/>
      <c r="DV178" s="3"/>
      <c r="DW178" s="3"/>
      <c r="DX178" s="3">
        <f t="shared" si="169"/>
        <v>0</v>
      </c>
      <c r="DY178" s="3"/>
      <c r="DZ178" s="3"/>
      <c r="EA178" s="3"/>
      <c r="EB178" s="3">
        <f t="shared" si="170"/>
        <v>0</v>
      </c>
      <c r="EC178" s="4">
        <f t="shared" si="150"/>
        <v>-343.22039999999998</v>
      </c>
      <c r="ED178" s="5">
        <f t="shared" si="171"/>
        <v>0</v>
      </c>
      <c r="EE178" s="6">
        <f t="shared" si="174"/>
        <v>-343.22039999999998</v>
      </c>
      <c r="EF178" s="6">
        <f t="shared" si="174"/>
        <v>0</v>
      </c>
      <c r="EG178" s="6">
        <f t="shared" si="174"/>
        <v>0</v>
      </c>
    </row>
    <row r="179" spans="1:137" ht="12" customHeight="1" x14ac:dyDescent="0.35">
      <c r="A179" s="43" t="s">
        <v>115</v>
      </c>
      <c r="B179" s="43">
        <v>28324</v>
      </c>
      <c r="C179" s="43" t="s">
        <v>570</v>
      </c>
      <c r="D179" s="43" t="s">
        <v>110</v>
      </c>
      <c r="E179" s="43">
        <v>150781</v>
      </c>
      <c r="F179" s="43" t="s">
        <v>667</v>
      </c>
      <c r="G179" s="44">
        <v>46038</v>
      </c>
      <c r="H179" s="44">
        <v>46104</v>
      </c>
      <c r="I179" s="45">
        <v>18</v>
      </c>
      <c r="J179" s="45">
        <v>-6000</v>
      </c>
      <c r="K179" s="46">
        <v>-1080</v>
      </c>
      <c r="L179" s="45"/>
      <c r="M179" s="45"/>
      <c r="N179" s="45">
        <v>-1080</v>
      </c>
      <c r="O179" s="45">
        <v>-7080</v>
      </c>
      <c r="P179" s="43" t="s">
        <v>95</v>
      </c>
      <c r="Q179" s="43" t="s">
        <v>36</v>
      </c>
      <c r="R179" s="43" t="s">
        <v>112</v>
      </c>
      <c r="S179" s="43" t="s">
        <v>97</v>
      </c>
      <c r="T179" s="43" t="s">
        <v>98</v>
      </c>
      <c r="U179" s="43" t="s">
        <v>99</v>
      </c>
      <c r="V179" s="43">
        <v>996311</v>
      </c>
      <c r="W179" s="43" t="s">
        <v>668</v>
      </c>
      <c r="X179" s="43" t="s">
        <v>101</v>
      </c>
      <c r="Y179" s="43">
        <v>107</v>
      </c>
      <c r="Z179" s="43" t="s">
        <v>102</v>
      </c>
      <c r="AA179" t="s">
        <v>669</v>
      </c>
      <c r="AB179">
        <v>-1080</v>
      </c>
      <c r="AC179">
        <v>-1080</v>
      </c>
      <c r="AD179" s="38">
        <v>0</v>
      </c>
      <c r="AE179" t="s">
        <v>104</v>
      </c>
      <c r="AF179" t="s">
        <v>73</v>
      </c>
      <c r="AG179" s="3"/>
      <c r="AH179" s="3"/>
      <c r="AI179" s="3"/>
      <c r="AJ179" s="3">
        <f t="shared" si="151"/>
        <v>0</v>
      </c>
      <c r="AK179" s="3"/>
      <c r="AL179" s="3"/>
      <c r="AM179" s="3"/>
      <c r="AN179" s="3">
        <f t="shared" si="152"/>
        <v>0</v>
      </c>
      <c r="AO179" s="3"/>
      <c r="AP179" s="3"/>
      <c r="AQ179" s="3"/>
      <c r="AR179" s="3">
        <f t="shared" si="153"/>
        <v>0</v>
      </c>
      <c r="AS179" s="3"/>
      <c r="AT179" s="3"/>
      <c r="AU179" s="3"/>
      <c r="AV179" s="3">
        <f t="shared" si="154"/>
        <v>0</v>
      </c>
      <c r="AW179" s="3"/>
      <c r="AX179" s="3"/>
      <c r="AY179" s="3"/>
      <c r="AZ179" s="3">
        <f t="shared" si="155"/>
        <v>0</v>
      </c>
      <c r="BA179" s="3"/>
      <c r="BB179" s="3"/>
      <c r="BC179" s="3"/>
      <c r="BD179" s="3">
        <f t="shared" si="156"/>
        <v>0</v>
      </c>
      <c r="BE179" s="3">
        <f>$K179*BE$4/$BE$4</f>
        <v>-1080</v>
      </c>
      <c r="BF179" s="3">
        <f>$L179*BE$4/$BE$4</f>
        <v>0</v>
      </c>
      <c r="BG179" s="3">
        <f>$M179*BE$4/$BE$4</f>
        <v>0</v>
      </c>
      <c r="BH179" s="3">
        <f t="shared" si="148"/>
        <v>-1080</v>
      </c>
      <c r="BI179" s="3"/>
      <c r="BJ179" s="3"/>
      <c r="BK179" s="3"/>
      <c r="BL179" s="3">
        <f t="shared" si="149"/>
        <v>0</v>
      </c>
      <c r="BM179" s="3"/>
      <c r="BN179" s="3"/>
      <c r="BO179" s="3"/>
      <c r="BP179" s="3">
        <f t="shared" si="157"/>
        <v>0</v>
      </c>
      <c r="BQ179" s="3"/>
      <c r="BR179" s="3"/>
      <c r="BS179" s="3"/>
      <c r="BT179" s="3">
        <f t="shared" si="158"/>
        <v>0</v>
      </c>
      <c r="BU179" s="3"/>
      <c r="BV179" s="3"/>
      <c r="BW179" s="3"/>
      <c r="BX179" s="3">
        <f t="shared" si="159"/>
        <v>0</v>
      </c>
      <c r="BY179" s="3"/>
      <c r="BZ179" s="3"/>
      <c r="CA179" s="3"/>
      <c r="CB179" s="3">
        <f t="shared" si="160"/>
        <v>0</v>
      </c>
      <c r="CC179" s="3"/>
      <c r="CD179" s="3"/>
      <c r="CE179" s="3"/>
      <c r="CF179" s="3">
        <f t="shared" si="161"/>
        <v>0</v>
      </c>
      <c r="CG179" s="3"/>
      <c r="CH179" s="3"/>
      <c r="CI179" s="3"/>
      <c r="CJ179" s="3">
        <f t="shared" si="162"/>
        <v>0</v>
      </c>
      <c r="CK179" s="3"/>
      <c r="CL179" s="3"/>
      <c r="CM179" s="3"/>
      <c r="CN179" s="3">
        <f t="shared" si="163"/>
        <v>0</v>
      </c>
      <c r="CO179" s="3"/>
      <c r="CP179" s="3"/>
      <c r="CQ179" s="3"/>
      <c r="CR179" s="3">
        <f t="shared" si="164"/>
        <v>0</v>
      </c>
      <c r="CS179" s="3"/>
      <c r="CT179" s="3"/>
      <c r="CU179" s="3"/>
      <c r="CV179" s="3">
        <f t="shared" si="165"/>
        <v>0</v>
      </c>
      <c r="CW179" s="3"/>
      <c r="CX179" s="3"/>
      <c r="CY179" s="3"/>
      <c r="CZ179" s="3">
        <f t="shared" si="173"/>
        <v>0</v>
      </c>
      <c r="DA179" s="3"/>
      <c r="DB179" s="3"/>
      <c r="DC179" s="3"/>
      <c r="DD179" s="3">
        <f t="shared" si="166"/>
        <v>0</v>
      </c>
      <c r="DE179" s="3"/>
      <c r="DF179" s="3"/>
      <c r="DG179" s="3"/>
      <c r="DH179" s="3">
        <f t="shared" si="167"/>
        <v>0</v>
      </c>
      <c r="DI179" s="3"/>
      <c r="DJ179" s="3"/>
      <c r="DK179" s="3"/>
      <c r="DL179" s="3">
        <f t="shared" si="147"/>
        <v>0</v>
      </c>
      <c r="DM179" s="3"/>
      <c r="DN179" s="3"/>
      <c r="DO179" s="3"/>
      <c r="DP179" s="3">
        <f t="shared" si="168"/>
        <v>0</v>
      </c>
      <c r="DQ179" s="3"/>
      <c r="DR179" s="3"/>
      <c r="DS179" s="3"/>
      <c r="DT179" s="3">
        <f t="shared" si="172"/>
        <v>0</v>
      </c>
      <c r="DU179" s="3"/>
      <c r="DV179" s="3"/>
      <c r="DW179" s="3"/>
      <c r="DX179" s="3">
        <f t="shared" si="169"/>
        <v>0</v>
      </c>
      <c r="DY179" s="3"/>
      <c r="DZ179" s="3"/>
      <c r="EA179" s="3"/>
      <c r="EB179" s="3">
        <f t="shared" si="170"/>
        <v>0</v>
      </c>
      <c r="EC179" s="4">
        <f t="shared" si="150"/>
        <v>-1080</v>
      </c>
      <c r="ED179" s="5">
        <f t="shared" si="171"/>
        <v>0</v>
      </c>
      <c r="EE179" s="6">
        <f t="shared" si="174"/>
        <v>-1080</v>
      </c>
      <c r="EF179" s="6">
        <f t="shared" si="174"/>
        <v>0</v>
      </c>
      <c r="EG179" s="6">
        <f t="shared" si="174"/>
        <v>0</v>
      </c>
    </row>
    <row r="180" spans="1:137" ht="12" customHeight="1" x14ac:dyDescent="0.35">
      <c r="A180" s="43" t="s">
        <v>115</v>
      </c>
      <c r="B180" s="43">
        <v>28324</v>
      </c>
      <c r="C180" s="43" t="s">
        <v>120</v>
      </c>
      <c r="D180" s="43" t="s">
        <v>110</v>
      </c>
      <c r="E180" s="43">
        <v>150781</v>
      </c>
      <c r="F180" s="43" t="s">
        <v>670</v>
      </c>
      <c r="G180" s="44">
        <v>46051</v>
      </c>
      <c r="H180" s="44">
        <v>46104</v>
      </c>
      <c r="I180" s="45">
        <v>5</v>
      </c>
      <c r="J180" s="45">
        <v>-5450</v>
      </c>
      <c r="K180" s="46">
        <v>-272.5</v>
      </c>
      <c r="L180" s="45"/>
      <c r="M180" s="45"/>
      <c r="N180" s="45">
        <v>-272.5</v>
      </c>
      <c r="O180" s="45">
        <v>-5722.5</v>
      </c>
      <c r="P180" s="43" t="s">
        <v>95</v>
      </c>
      <c r="Q180" s="43" t="s">
        <v>36</v>
      </c>
      <c r="R180" s="43" t="s">
        <v>112</v>
      </c>
      <c r="S180" s="43" t="s">
        <v>97</v>
      </c>
      <c r="T180" s="43" t="s">
        <v>98</v>
      </c>
      <c r="U180" s="43" t="s">
        <v>99</v>
      </c>
      <c r="V180" s="43">
        <v>996311</v>
      </c>
      <c r="W180" s="43" t="s">
        <v>604</v>
      </c>
      <c r="X180" s="43" t="s">
        <v>101</v>
      </c>
      <c r="Y180" s="43">
        <v>107</v>
      </c>
      <c r="Z180" s="43" t="s">
        <v>102</v>
      </c>
      <c r="AA180" t="s">
        <v>671</v>
      </c>
      <c r="AB180">
        <v>-272.5</v>
      </c>
      <c r="AC180">
        <v>-273</v>
      </c>
      <c r="AD180" s="38">
        <v>1</v>
      </c>
      <c r="AE180" t="s">
        <v>104</v>
      </c>
      <c r="AF180" t="s">
        <v>73</v>
      </c>
      <c r="AG180" s="3"/>
      <c r="AH180" s="3"/>
      <c r="AI180" s="3"/>
      <c r="AJ180" s="3">
        <f t="shared" si="151"/>
        <v>0</v>
      </c>
      <c r="AK180" s="3"/>
      <c r="AL180" s="3"/>
      <c r="AM180" s="3"/>
      <c r="AN180" s="3">
        <f t="shared" si="152"/>
        <v>0</v>
      </c>
      <c r="AO180" s="3"/>
      <c r="AP180" s="3"/>
      <c r="AQ180" s="3"/>
      <c r="AR180" s="3">
        <f t="shared" si="153"/>
        <v>0</v>
      </c>
      <c r="AS180" s="3"/>
      <c r="AT180" s="3"/>
      <c r="AU180" s="3"/>
      <c r="AV180" s="3">
        <f t="shared" si="154"/>
        <v>0</v>
      </c>
      <c r="AW180" s="3"/>
      <c r="AX180" s="3"/>
      <c r="AY180" s="3"/>
      <c r="AZ180" s="3">
        <f t="shared" si="155"/>
        <v>0</v>
      </c>
      <c r="BA180" s="3"/>
      <c r="BB180" s="3"/>
      <c r="BC180" s="3"/>
      <c r="BD180" s="3">
        <f t="shared" si="156"/>
        <v>0</v>
      </c>
      <c r="BE180" s="3">
        <f>$K180*BE$4/$BE$4</f>
        <v>-272.5</v>
      </c>
      <c r="BF180" s="3">
        <f>$L180*BE$4/$BE$4</f>
        <v>0</v>
      </c>
      <c r="BG180" s="3">
        <f>$M180*BE$4/$BE$4</f>
        <v>0</v>
      </c>
      <c r="BH180" s="3">
        <f t="shared" si="148"/>
        <v>-272.5</v>
      </c>
      <c r="BI180" s="3"/>
      <c r="BJ180" s="3"/>
      <c r="BK180" s="3"/>
      <c r="BL180" s="3">
        <f t="shared" si="149"/>
        <v>0</v>
      </c>
      <c r="BM180" s="3"/>
      <c r="BN180" s="3"/>
      <c r="BO180" s="3"/>
      <c r="BP180" s="3">
        <f t="shared" si="157"/>
        <v>0</v>
      </c>
      <c r="BQ180" s="3"/>
      <c r="BR180" s="3"/>
      <c r="BS180" s="3"/>
      <c r="BT180" s="3">
        <f t="shared" si="158"/>
        <v>0</v>
      </c>
      <c r="BU180" s="3"/>
      <c r="BV180" s="3"/>
      <c r="BW180" s="3"/>
      <c r="BX180" s="3">
        <f t="shared" si="159"/>
        <v>0</v>
      </c>
      <c r="BY180" s="3"/>
      <c r="BZ180" s="3"/>
      <c r="CA180" s="3"/>
      <c r="CB180" s="3">
        <f t="shared" si="160"/>
        <v>0</v>
      </c>
      <c r="CC180" s="3"/>
      <c r="CD180" s="3"/>
      <c r="CE180" s="3"/>
      <c r="CF180" s="3">
        <f t="shared" si="161"/>
        <v>0</v>
      </c>
      <c r="CG180" s="3"/>
      <c r="CH180" s="3"/>
      <c r="CI180" s="3"/>
      <c r="CJ180" s="3">
        <f t="shared" si="162"/>
        <v>0</v>
      </c>
      <c r="CK180" s="3"/>
      <c r="CL180" s="3"/>
      <c r="CM180" s="3"/>
      <c r="CN180" s="3">
        <f t="shared" si="163"/>
        <v>0</v>
      </c>
      <c r="CO180" s="3"/>
      <c r="CP180" s="3"/>
      <c r="CQ180" s="3"/>
      <c r="CR180" s="3">
        <f t="shared" si="164"/>
        <v>0</v>
      </c>
      <c r="CS180" s="3"/>
      <c r="CT180" s="3"/>
      <c r="CU180" s="3"/>
      <c r="CV180" s="3">
        <f t="shared" si="165"/>
        <v>0</v>
      </c>
      <c r="CW180" s="3"/>
      <c r="CX180" s="3"/>
      <c r="CY180" s="3"/>
      <c r="CZ180" s="3">
        <f t="shared" si="173"/>
        <v>0</v>
      </c>
      <c r="DA180" s="3"/>
      <c r="DB180" s="3"/>
      <c r="DC180" s="3"/>
      <c r="DD180" s="3">
        <f t="shared" si="166"/>
        <v>0</v>
      </c>
      <c r="DE180" s="3"/>
      <c r="DF180" s="3"/>
      <c r="DG180" s="3"/>
      <c r="DH180" s="3">
        <f t="shared" si="167"/>
        <v>0</v>
      </c>
      <c r="DI180" s="3"/>
      <c r="DJ180" s="3"/>
      <c r="DK180" s="3"/>
      <c r="DL180" s="3">
        <f t="shared" si="147"/>
        <v>0</v>
      </c>
      <c r="DM180" s="3"/>
      <c r="DN180" s="3"/>
      <c r="DO180" s="3"/>
      <c r="DP180" s="3">
        <f t="shared" si="168"/>
        <v>0</v>
      </c>
      <c r="DQ180" s="3"/>
      <c r="DR180" s="3"/>
      <c r="DS180" s="3"/>
      <c r="DT180" s="3">
        <f t="shared" si="172"/>
        <v>0</v>
      </c>
      <c r="DU180" s="3"/>
      <c r="DV180" s="3"/>
      <c r="DW180" s="3"/>
      <c r="DX180" s="3">
        <f t="shared" si="169"/>
        <v>0</v>
      </c>
      <c r="DY180" s="3"/>
      <c r="DZ180" s="3"/>
      <c r="EA180" s="3"/>
      <c r="EB180" s="3">
        <f t="shared" si="170"/>
        <v>0</v>
      </c>
      <c r="EC180" s="4">
        <f t="shared" si="150"/>
        <v>-272.5</v>
      </c>
      <c r="ED180" s="5">
        <f t="shared" si="171"/>
        <v>0</v>
      </c>
      <c r="EE180" s="6">
        <f t="shared" si="174"/>
        <v>-272.5</v>
      </c>
      <c r="EF180" s="6">
        <f t="shared" si="174"/>
        <v>0</v>
      </c>
      <c r="EG180" s="6">
        <f t="shared" si="174"/>
        <v>0</v>
      </c>
    </row>
    <row r="181" spans="1:137" ht="12" customHeight="1" x14ac:dyDescent="0.35">
      <c r="A181" s="43" t="s">
        <v>115</v>
      </c>
      <c r="B181" s="43">
        <v>28324</v>
      </c>
      <c r="C181" s="43" t="s">
        <v>116</v>
      </c>
      <c r="D181" s="43" t="s">
        <v>543</v>
      </c>
      <c r="E181" s="43">
        <v>150783</v>
      </c>
      <c r="F181" s="43" t="s">
        <v>672</v>
      </c>
      <c r="G181" s="44">
        <v>46051</v>
      </c>
      <c r="H181" s="44">
        <v>46104</v>
      </c>
      <c r="I181" s="45">
        <v>18</v>
      </c>
      <c r="J181" s="45">
        <v>-19970</v>
      </c>
      <c r="K181" s="46"/>
      <c r="L181" s="45">
        <v>-1797.3</v>
      </c>
      <c r="M181" s="45">
        <v>-1797.3</v>
      </c>
      <c r="N181" s="45">
        <v>-3594.6</v>
      </c>
      <c r="O181" s="45">
        <v>-23564.6</v>
      </c>
      <c r="P181" s="43" t="s">
        <v>95</v>
      </c>
      <c r="Q181" s="43" t="s">
        <v>46</v>
      </c>
      <c r="R181" s="43" t="s">
        <v>112</v>
      </c>
      <c r="S181" s="43" t="s">
        <v>97</v>
      </c>
      <c r="T181" s="43" t="s">
        <v>98</v>
      </c>
      <c r="U181" s="43" t="s">
        <v>99</v>
      </c>
      <c r="V181" s="43">
        <v>996311</v>
      </c>
      <c r="W181" s="43" t="s">
        <v>673</v>
      </c>
      <c r="X181" s="43" t="s">
        <v>101</v>
      </c>
      <c r="Y181" s="43">
        <v>107</v>
      </c>
      <c r="Z181" s="43" t="s">
        <v>102</v>
      </c>
      <c r="AA181" t="s">
        <v>674</v>
      </c>
      <c r="AB181">
        <v>-3594.6</v>
      </c>
      <c r="AC181">
        <v>-3595</v>
      </c>
      <c r="AD181" s="38">
        <v>0</v>
      </c>
      <c r="AE181" t="s">
        <v>104</v>
      </c>
      <c r="AF181" t="s">
        <v>73</v>
      </c>
      <c r="AG181" s="3"/>
      <c r="AH181" s="3"/>
      <c r="AI181" s="3"/>
      <c r="AJ181" s="3">
        <f t="shared" si="151"/>
        <v>0</v>
      </c>
      <c r="AK181" s="3"/>
      <c r="AL181" s="3"/>
      <c r="AM181" s="3"/>
      <c r="AN181" s="3">
        <f t="shared" si="152"/>
        <v>0</v>
      </c>
      <c r="AO181" s="3"/>
      <c r="AP181" s="3"/>
      <c r="AQ181" s="3"/>
      <c r="AR181" s="3">
        <f t="shared" si="153"/>
        <v>0</v>
      </c>
      <c r="AS181" s="3"/>
      <c r="AT181" s="3"/>
      <c r="AU181" s="3"/>
      <c r="AV181" s="3">
        <f t="shared" si="154"/>
        <v>0</v>
      </c>
      <c r="AW181" s="3"/>
      <c r="AX181" s="3"/>
      <c r="AY181" s="3"/>
      <c r="AZ181" s="3">
        <f t="shared" si="155"/>
        <v>0</v>
      </c>
      <c r="BA181" s="3"/>
      <c r="BB181" s="3"/>
      <c r="BC181" s="3"/>
      <c r="BD181" s="3">
        <f t="shared" si="156"/>
        <v>0</v>
      </c>
      <c r="BE181" s="3"/>
      <c r="BF181" s="3"/>
      <c r="BG181" s="3"/>
      <c r="BH181" s="3">
        <f t="shared" si="148"/>
        <v>0</v>
      </c>
      <c r="BI181" s="3"/>
      <c r="BJ181" s="3"/>
      <c r="BK181" s="3"/>
      <c r="BL181" s="3">
        <f t="shared" si="149"/>
        <v>0</v>
      </c>
      <c r="BM181" s="3"/>
      <c r="BN181" s="3"/>
      <c r="BO181" s="3"/>
      <c r="BP181" s="3">
        <f t="shared" si="157"/>
        <v>0</v>
      </c>
      <c r="BQ181" s="3"/>
      <c r="BR181" s="3"/>
      <c r="BS181" s="3"/>
      <c r="BT181" s="3">
        <f t="shared" si="158"/>
        <v>0</v>
      </c>
      <c r="BU181" s="3"/>
      <c r="BV181" s="3"/>
      <c r="BW181" s="3"/>
      <c r="BX181" s="3">
        <f t="shared" si="159"/>
        <v>0</v>
      </c>
      <c r="BY181" s="3"/>
      <c r="BZ181" s="3"/>
      <c r="CA181" s="3"/>
      <c r="CB181" s="3">
        <f t="shared" si="160"/>
        <v>0</v>
      </c>
      <c r="CC181" s="3"/>
      <c r="CD181" s="3"/>
      <c r="CE181" s="3"/>
      <c r="CF181" s="3">
        <f t="shared" si="161"/>
        <v>0</v>
      </c>
      <c r="CG181" s="3"/>
      <c r="CH181" s="3"/>
      <c r="CI181" s="3"/>
      <c r="CJ181" s="3">
        <f t="shared" si="162"/>
        <v>0</v>
      </c>
      <c r="CK181" s="3"/>
      <c r="CL181" s="3"/>
      <c r="CM181" s="3"/>
      <c r="CN181" s="3">
        <f t="shared" si="163"/>
        <v>0</v>
      </c>
      <c r="CO181" s="3"/>
      <c r="CP181" s="3"/>
      <c r="CQ181" s="3"/>
      <c r="CR181" s="3">
        <f t="shared" si="164"/>
        <v>0</v>
      </c>
      <c r="CS181" s="3">
        <f>SUM($K181:$M181)*CS$4/$CS$4</f>
        <v>-3594.6</v>
      </c>
      <c r="CT181" s="3">
        <v>0</v>
      </c>
      <c r="CU181" s="3">
        <v>0</v>
      </c>
      <c r="CV181" s="3">
        <f t="shared" si="165"/>
        <v>-3594.6</v>
      </c>
      <c r="CW181" s="3"/>
      <c r="CX181" s="3"/>
      <c r="CY181" s="3"/>
      <c r="CZ181" s="3">
        <f t="shared" si="173"/>
        <v>0</v>
      </c>
      <c r="DA181" s="3"/>
      <c r="DB181" s="3"/>
      <c r="DC181" s="3"/>
      <c r="DD181" s="3">
        <f t="shared" si="166"/>
        <v>0</v>
      </c>
      <c r="DE181" s="3"/>
      <c r="DF181" s="3"/>
      <c r="DG181" s="3"/>
      <c r="DH181" s="3">
        <f t="shared" si="167"/>
        <v>0</v>
      </c>
      <c r="DI181" s="3"/>
      <c r="DJ181" s="3"/>
      <c r="DK181" s="3"/>
      <c r="DL181" s="3">
        <f t="shared" si="147"/>
        <v>0</v>
      </c>
      <c r="DM181" s="3"/>
      <c r="DN181" s="3"/>
      <c r="DO181" s="3"/>
      <c r="DP181" s="3">
        <f t="shared" si="168"/>
        <v>0</v>
      </c>
      <c r="DQ181" s="3"/>
      <c r="DR181" s="3"/>
      <c r="DS181" s="3"/>
      <c r="DT181" s="3">
        <f t="shared" si="172"/>
        <v>0</v>
      </c>
      <c r="DU181" s="3"/>
      <c r="DV181" s="3"/>
      <c r="DW181" s="3"/>
      <c r="DX181" s="3">
        <f t="shared" si="169"/>
        <v>0</v>
      </c>
      <c r="DY181" s="3"/>
      <c r="DZ181" s="3"/>
      <c r="EA181" s="3"/>
      <c r="EB181" s="3">
        <f t="shared" si="170"/>
        <v>0</v>
      </c>
      <c r="EC181" s="4">
        <f t="shared" si="150"/>
        <v>-3594.6</v>
      </c>
      <c r="ED181" s="5">
        <f t="shared" si="171"/>
        <v>0</v>
      </c>
      <c r="EE181" s="6">
        <f t="shared" si="174"/>
        <v>-3594.6</v>
      </c>
      <c r="EF181" s="6">
        <f t="shared" si="174"/>
        <v>0</v>
      </c>
      <c r="EG181" s="6">
        <f t="shared" si="174"/>
        <v>0</v>
      </c>
    </row>
    <row r="182" spans="1:137" ht="12" customHeight="1" x14ac:dyDescent="0.35">
      <c r="A182" s="43" t="s">
        <v>115</v>
      </c>
      <c r="B182" s="43">
        <v>28324</v>
      </c>
      <c r="C182" s="43" t="s">
        <v>120</v>
      </c>
      <c r="D182" s="43" t="s">
        <v>110</v>
      </c>
      <c r="E182" s="43">
        <v>150781</v>
      </c>
      <c r="F182" s="43" t="s">
        <v>675</v>
      </c>
      <c r="G182" s="44">
        <v>46055</v>
      </c>
      <c r="H182" s="44">
        <v>46104</v>
      </c>
      <c r="I182" s="45">
        <v>18</v>
      </c>
      <c r="J182" s="45">
        <v>-34541</v>
      </c>
      <c r="K182" s="46">
        <v>-6217.38</v>
      </c>
      <c r="L182" s="45"/>
      <c r="M182" s="45"/>
      <c r="N182" s="45">
        <v>-6217.38</v>
      </c>
      <c r="O182" s="45">
        <v>-40758.379999999997</v>
      </c>
      <c r="P182" s="43" t="s">
        <v>95</v>
      </c>
      <c r="Q182" s="43" t="s">
        <v>36</v>
      </c>
      <c r="R182" s="43" t="s">
        <v>112</v>
      </c>
      <c r="S182" s="43" t="s">
        <v>97</v>
      </c>
      <c r="T182" s="43" t="s">
        <v>98</v>
      </c>
      <c r="U182" s="43" t="s">
        <v>99</v>
      </c>
      <c r="V182" s="43">
        <v>996311</v>
      </c>
      <c r="W182" s="43" t="s">
        <v>676</v>
      </c>
      <c r="X182" s="43" t="s">
        <v>101</v>
      </c>
      <c r="Y182" s="43">
        <v>107</v>
      </c>
      <c r="Z182" s="43" t="s">
        <v>102</v>
      </c>
      <c r="AA182" t="s">
        <v>677</v>
      </c>
      <c r="AB182">
        <v>-6217.38</v>
      </c>
      <c r="AC182">
        <v>-6218</v>
      </c>
      <c r="AD182" s="38">
        <v>1</v>
      </c>
      <c r="AE182" t="s">
        <v>104</v>
      </c>
      <c r="AF182" t="s">
        <v>73</v>
      </c>
      <c r="AG182" s="3"/>
      <c r="AH182" s="3"/>
      <c r="AI182" s="3"/>
      <c r="AJ182" s="3">
        <f t="shared" si="151"/>
        <v>0</v>
      </c>
      <c r="AK182" s="3"/>
      <c r="AL182" s="3"/>
      <c r="AM182" s="3"/>
      <c r="AN182" s="3">
        <f t="shared" si="152"/>
        <v>0</v>
      </c>
      <c r="AO182" s="3"/>
      <c r="AP182" s="3"/>
      <c r="AQ182" s="3"/>
      <c r="AR182" s="3">
        <f t="shared" si="153"/>
        <v>0</v>
      </c>
      <c r="AS182" s="3"/>
      <c r="AT182" s="3"/>
      <c r="AU182" s="3"/>
      <c r="AV182" s="3">
        <f t="shared" si="154"/>
        <v>0</v>
      </c>
      <c r="AW182" s="3"/>
      <c r="AX182" s="3"/>
      <c r="AY182" s="3"/>
      <c r="AZ182" s="3">
        <f t="shared" si="155"/>
        <v>0</v>
      </c>
      <c r="BA182" s="3"/>
      <c r="BB182" s="3"/>
      <c r="BC182" s="3"/>
      <c r="BD182" s="3">
        <f t="shared" si="156"/>
        <v>0</v>
      </c>
      <c r="BE182" s="3">
        <f>$K182*BE$4/$BE$4</f>
        <v>-6217.380000000001</v>
      </c>
      <c r="BF182" s="3">
        <f>$L182*BE$4/$BE$4</f>
        <v>0</v>
      </c>
      <c r="BG182" s="3">
        <f>$M182*BE$4/$BE$4</f>
        <v>0</v>
      </c>
      <c r="BH182" s="3">
        <f t="shared" si="148"/>
        <v>-6217.380000000001</v>
      </c>
      <c r="BI182" s="3"/>
      <c r="BJ182" s="3"/>
      <c r="BK182" s="3"/>
      <c r="BL182" s="3">
        <f t="shared" si="149"/>
        <v>0</v>
      </c>
      <c r="BM182" s="3"/>
      <c r="BN182" s="3"/>
      <c r="BO182" s="3"/>
      <c r="BP182" s="3">
        <f t="shared" si="157"/>
        <v>0</v>
      </c>
      <c r="BQ182" s="3"/>
      <c r="BR182" s="3"/>
      <c r="BS182" s="3"/>
      <c r="BT182" s="3">
        <f t="shared" si="158"/>
        <v>0</v>
      </c>
      <c r="BU182" s="3"/>
      <c r="BV182" s="3"/>
      <c r="BW182" s="3"/>
      <c r="BX182" s="3">
        <f t="shared" si="159"/>
        <v>0</v>
      </c>
      <c r="BY182" s="3"/>
      <c r="BZ182" s="3"/>
      <c r="CA182" s="3"/>
      <c r="CB182" s="3">
        <f t="shared" si="160"/>
        <v>0</v>
      </c>
      <c r="CC182" s="3"/>
      <c r="CD182" s="3"/>
      <c r="CE182" s="3"/>
      <c r="CF182" s="3">
        <f t="shared" si="161"/>
        <v>0</v>
      </c>
      <c r="CG182" s="3"/>
      <c r="CH182" s="3"/>
      <c r="CI182" s="3"/>
      <c r="CJ182" s="3">
        <f t="shared" si="162"/>
        <v>0</v>
      </c>
      <c r="CK182" s="3"/>
      <c r="CL182" s="3"/>
      <c r="CM182" s="3"/>
      <c r="CN182" s="3">
        <f t="shared" si="163"/>
        <v>0</v>
      </c>
      <c r="CO182" s="3"/>
      <c r="CP182" s="3"/>
      <c r="CQ182" s="3"/>
      <c r="CR182" s="3">
        <f t="shared" si="164"/>
        <v>0</v>
      </c>
      <c r="CS182" s="3"/>
      <c r="CT182" s="3"/>
      <c r="CU182" s="3"/>
      <c r="CV182" s="3">
        <f t="shared" si="165"/>
        <v>0</v>
      </c>
      <c r="CW182" s="3"/>
      <c r="CX182" s="3"/>
      <c r="CY182" s="3"/>
      <c r="CZ182" s="3">
        <f t="shared" si="173"/>
        <v>0</v>
      </c>
      <c r="DA182" s="3"/>
      <c r="DB182" s="3"/>
      <c r="DC182" s="3"/>
      <c r="DD182" s="3">
        <f t="shared" si="166"/>
        <v>0</v>
      </c>
      <c r="DE182" s="3"/>
      <c r="DF182" s="3"/>
      <c r="DG182" s="3"/>
      <c r="DH182" s="3">
        <f t="shared" si="167"/>
        <v>0</v>
      </c>
      <c r="DI182" s="3"/>
      <c r="DJ182" s="3"/>
      <c r="DK182" s="3"/>
      <c r="DL182" s="3">
        <f t="shared" si="147"/>
        <v>0</v>
      </c>
      <c r="DM182" s="3"/>
      <c r="DN182" s="3"/>
      <c r="DO182" s="3"/>
      <c r="DP182" s="3">
        <f t="shared" si="168"/>
        <v>0</v>
      </c>
      <c r="DQ182" s="3"/>
      <c r="DR182" s="3"/>
      <c r="DS182" s="3"/>
      <c r="DT182" s="3">
        <f t="shared" si="172"/>
        <v>0</v>
      </c>
      <c r="DU182" s="3"/>
      <c r="DV182" s="3"/>
      <c r="DW182" s="3"/>
      <c r="DX182" s="3">
        <f t="shared" si="169"/>
        <v>0</v>
      </c>
      <c r="DY182" s="3"/>
      <c r="DZ182" s="3"/>
      <c r="EA182" s="3"/>
      <c r="EB182" s="3">
        <f t="shared" si="170"/>
        <v>0</v>
      </c>
      <c r="EC182" s="4">
        <f t="shared" si="150"/>
        <v>-6217.380000000001</v>
      </c>
      <c r="ED182" s="5">
        <f t="shared" si="171"/>
        <v>0</v>
      </c>
      <c r="EE182" s="6">
        <f t="shared" si="174"/>
        <v>-6217.380000000001</v>
      </c>
      <c r="EF182" s="6">
        <f t="shared" si="174"/>
        <v>0</v>
      </c>
      <c r="EG182" s="6">
        <f t="shared" si="174"/>
        <v>0</v>
      </c>
    </row>
    <row r="183" spans="1:137" ht="12" customHeight="1" x14ac:dyDescent="0.35">
      <c r="A183" s="43" t="s">
        <v>298</v>
      </c>
      <c r="B183" s="43">
        <v>40855</v>
      </c>
      <c r="C183" s="43" t="s">
        <v>299</v>
      </c>
      <c r="D183" s="43" t="s">
        <v>678</v>
      </c>
      <c r="E183" s="43">
        <v>411201</v>
      </c>
      <c r="F183" s="43" t="s">
        <v>679</v>
      </c>
      <c r="G183" s="44">
        <v>46062</v>
      </c>
      <c r="H183" s="44">
        <v>46091</v>
      </c>
      <c r="I183" s="45">
        <v>18</v>
      </c>
      <c r="J183" s="45">
        <v>34232.5</v>
      </c>
      <c r="K183" s="46">
        <v>6161.85</v>
      </c>
      <c r="L183" s="45"/>
      <c r="M183" s="45"/>
      <c r="N183" s="45">
        <v>6161.85</v>
      </c>
      <c r="O183" s="45">
        <v>40394.35</v>
      </c>
      <c r="P183" s="43" t="s">
        <v>95</v>
      </c>
      <c r="Q183" s="43" t="s">
        <v>185</v>
      </c>
      <c r="R183" s="43" t="s">
        <v>126</v>
      </c>
      <c r="S183" s="43" t="s">
        <v>252</v>
      </c>
      <c r="T183" s="43" t="s">
        <v>253</v>
      </c>
      <c r="U183" s="43"/>
      <c r="V183" s="43">
        <v>998599</v>
      </c>
      <c r="W183" s="43" t="s">
        <v>301</v>
      </c>
      <c r="X183" s="43" t="s">
        <v>101</v>
      </c>
      <c r="Y183" s="43">
        <v>107</v>
      </c>
      <c r="Z183" s="43" t="s">
        <v>102</v>
      </c>
      <c r="AA183" t="s">
        <v>680</v>
      </c>
      <c r="AB183">
        <v>6161.85</v>
      </c>
      <c r="AC183">
        <v>6161.85</v>
      </c>
      <c r="AD183" s="38">
        <v>0</v>
      </c>
      <c r="AE183" t="s">
        <v>104</v>
      </c>
      <c r="AF183" t="s">
        <v>73</v>
      </c>
      <c r="AG183" s="3">
        <f t="shared" ref="AG183:AG195" si="175">SUM($K183:$M183)*AG$4/$AF$4</f>
        <v>228.1399912120599</v>
      </c>
      <c r="AH183" s="3">
        <v>0</v>
      </c>
      <c r="AI183" s="3">
        <v>0</v>
      </c>
      <c r="AJ183" s="3">
        <f t="shared" si="151"/>
        <v>228.1399912120599</v>
      </c>
      <c r="AK183" s="3">
        <f t="shared" ref="AK183:AK195" si="176">SUM($K183:$M183)*AK$4/$AF$4</f>
        <v>1.8984201718850497</v>
      </c>
      <c r="AL183" s="3">
        <v>0</v>
      </c>
      <c r="AM183" s="3">
        <v>0</v>
      </c>
      <c r="AN183" s="3">
        <f t="shared" si="152"/>
        <v>1.8984201718850497</v>
      </c>
      <c r="AO183" s="3">
        <f t="shared" ref="AO183:AO195" si="177">SUM($K183:$M183)*AO$4/$AF$4</f>
        <v>94.034742491556671</v>
      </c>
      <c r="AP183" s="3">
        <v>0</v>
      </c>
      <c r="AQ183" s="3">
        <v>0</v>
      </c>
      <c r="AR183" s="3">
        <f t="shared" si="153"/>
        <v>94.034742491556671</v>
      </c>
      <c r="AS183" s="3">
        <f t="shared" ref="AS183:AS195" si="178">SUM($K183:$M183)*AS$4/$AF$4</f>
        <v>82.337605177822368</v>
      </c>
      <c r="AT183" s="3">
        <v>0</v>
      </c>
      <c r="AU183" s="3">
        <v>0</v>
      </c>
      <c r="AV183" s="3">
        <f t="shared" si="154"/>
        <v>82.337605177822368</v>
      </c>
      <c r="AW183" s="3">
        <f t="shared" ref="AW183:AW195" si="179">SUM($K183:$M183)*AW$4/$AF$4</f>
        <v>9.658167574869891</v>
      </c>
      <c r="AX183" s="3">
        <v>0</v>
      </c>
      <c r="AY183" s="3">
        <v>0</v>
      </c>
      <c r="AZ183" s="3">
        <f t="shared" si="155"/>
        <v>9.658167574869891</v>
      </c>
      <c r="BA183" s="3">
        <f t="shared" ref="BA183:BA195" si="180">SUM($K183:$M183)*BA$4/$AF$4</f>
        <v>103.13032605277365</v>
      </c>
      <c r="BB183" s="3">
        <v>0</v>
      </c>
      <c r="BC183" s="3">
        <v>0</v>
      </c>
      <c r="BD183" s="3">
        <f t="shared" si="156"/>
        <v>103.13032605277365</v>
      </c>
      <c r="BE183" s="3">
        <f t="shared" ref="BE183:BE195" si="181">$K183*BE$4/$AF$4</f>
        <v>447.32607054675077</v>
      </c>
      <c r="BF183" s="3">
        <f t="shared" ref="BF183:BF195" si="182">$L183*BE$4/$AF$4</f>
        <v>0</v>
      </c>
      <c r="BG183" s="3">
        <f t="shared" ref="BG183:BG195" si="183">$M183*BE$4/$AF$4</f>
        <v>0</v>
      </c>
      <c r="BH183" s="3">
        <f t="shared" si="148"/>
        <v>447.32607054675077</v>
      </c>
      <c r="BI183" s="3">
        <f t="shared" ref="BI183:BI195" si="184">SUM($K183:$M183)*BI$4/$AF$4</f>
        <v>259.45319180351521</v>
      </c>
      <c r="BJ183" s="3">
        <v>0</v>
      </c>
      <c r="BK183" s="3">
        <v>0</v>
      </c>
      <c r="BL183" s="3">
        <f t="shared" si="149"/>
        <v>259.45319180351521</v>
      </c>
      <c r="BM183" s="3">
        <f t="shared" ref="BM183:BM195" si="185">SUM($K183:$M183)*BM$4/$AF$4</f>
        <v>1191.358593105886</v>
      </c>
      <c r="BN183" s="3">
        <v>0</v>
      </c>
      <c r="BO183" s="3">
        <v>0</v>
      </c>
      <c r="BP183" s="3">
        <f t="shared" si="157"/>
        <v>1191.358593105886</v>
      </c>
      <c r="BQ183" s="3">
        <f t="shared" ref="BQ183:BQ195" si="186">SUM($K183:$M183)*BQ$4/$AF$4</f>
        <v>106.79015755049136</v>
      </c>
      <c r="BR183" s="3">
        <v>0</v>
      </c>
      <c r="BS183" s="3">
        <v>0</v>
      </c>
      <c r="BT183" s="3">
        <f t="shared" si="158"/>
        <v>106.79015755049136</v>
      </c>
      <c r="BU183" s="3">
        <f t="shared" ref="BU183:BU195" si="187">SUM($K183:$M183)*BU$4/$AF$4</f>
        <v>16.94579210519429</v>
      </c>
      <c r="BV183" s="3">
        <v>0</v>
      </c>
      <c r="BW183" s="3">
        <v>0</v>
      </c>
      <c r="BX183" s="3">
        <f t="shared" si="159"/>
        <v>16.94579210519429</v>
      </c>
      <c r="BY183" s="3">
        <f t="shared" ref="BY183:BY195" si="188">SUM($K183:$M183)*BY$4/$AF$4</f>
        <v>40.847762014079805</v>
      </c>
      <c r="BZ183" s="3">
        <v>0</v>
      </c>
      <c r="CA183" s="3">
        <v>0</v>
      </c>
      <c r="CB183" s="3">
        <f t="shared" si="160"/>
        <v>40.847762014079805</v>
      </c>
      <c r="CC183" s="3">
        <f t="shared" ref="CC183:CC195" si="189">SUM($K183:$M183)*CC$4/$AF$4</f>
        <v>33.818189650195386</v>
      </c>
      <c r="CD183" s="3">
        <v>0</v>
      </c>
      <c r="CE183" s="3">
        <v>0</v>
      </c>
      <c r="CF183" s="3">
        <f t="shared" si="161"/>
        <v>33.818189650195386</v>
      </c>
      <c r="CG183" s="3">
        <f t="shared" ref="CG183:CG195" si="190">SUM($K183:$M183)*CG$4/$AF$4</f>
        <v>38.744434048093062</v>
      </c>
      <c r="CH183" s="3">
        <v>0</v>
      </c>
      <c r="CI183" s="3">
        <v>0</v>
      </c>
      <c r="CJ183" s="3">
        <f t="shared" si="162"/>
        <v>38.744434048093062</v>
      </c>
      <c r="CK183" s="3">
        <f t="shared" ref="CK183:CK195" si="191">SUM($K183:$M183)*CK$4/$AF$4</f>
        <v>79.71969963375804</v>
      </c>
      <c r="CL183" s="3">
        <v>0</v>
      </c>
      <c r="CM183" s="3">
        <v>0</v>
      </c>
      <c r="CN183" s="3">
        <f t="shared" si="163"/>
        <v>79.71969963375804</v>
      </c>
      <c r="CO183" s="3">
        <f t="shared" ref="CO183:CO195" si="192">SUM($K183:$M183)*CO$4/$AF$4</f>
        <v>155.48799420388698</v>
      </c>
      <c r="CP183" s="3">
        <v>0</v>
      </c>
      <c r="CQ183" s="3">
        <v>0</v>
      </c>
      <c r="CR183" s="3">
        <f t="shared" si="164"/>
        <v>155.48799420388698</v>
      </c>
      <c r="CS183" s="3">
        <f t="shared" ref="CS183:CS195" si="193">SUM($K183:$M183)*CS$4/$AF$4</f>
        <v>457.05186998547765</v>
      </c>
      <c r="CT183" s="3">
        <v>0</v>
      </c>
      <c r="CU183" s="3">
        <v>0</v>
      </c>
      <c r="CV183" s="3">
        <f t="shared" si="165"/>
        <v>457.05186998547765</v>
      </c>
      <c r="CW183" s="3">
        <f t="shared" ref="CW183:CW195" si="194">SUM($K183:$M183)*CW$4/$AF$4</f>
        <v>1517.5838750745474</v>
      </c>
      <c r="CX183" s="3">
        <v>0</v>
      </c>
      <c r="CY183" s="3">
        <v>0</v>
      </c>
      <c r="CZ183" s="3">
        <f t="shared" si="173"/>
        <v>1517.5838750745474</v>
      </c>
      <c r="DA183" s="3">
        <f t="shared" ref="DA183:DA195" si="195">SUM($K183:$M183)*DA$4/$AF$4</f>
        <v>103.41935588254556</v>
      </c>
      <c r="DB183" s="3">
        <v>0</v>
      </c>
      <c r="DC183" s="3">
        <v>0</v>
      </c>
      <c r="DD183" s="3">
        <f t="shared" si="166"/>
        <v>103.41935588254556</v>
      </c>
      <c r="DE183" s="3">
        <f t="shared" ref="DE183:DE195" si="196">SUM($K183:$M183)*DE$4/$AF$4</f>
        <v>17.43413312426453</v>
      </c>
      <c r="DF183" s="3">
        <v>0</v>
      </c>
      <c r="DG183" s="3">
        <v>0</v>
      </c>
      <c r="DH183" s="3">
        <f t="shared" si="167"/>
        <v>17.43413312426453</v>
      </c>
      <c r="DI183" s="3">
        <f t="shared" ref="DI183:DI195" si="197">SUM($K183:$M183)*DI$4/$AF$4</f>
        <v>0</v>
      </c>
      <c r="DJ183" s="3">
        <v>0</v>
      </c>
      <c r="DK183" s="3">
        <v>0</v>
      </c>
      <c r="DL183" s="3">
        <f t="shared" si="147"/>
        <v>0</v>
      </c>
      <c r="DM183" s="3">
        <f t="shared" ref="DM183:DM195" si="198">SUM($K183:$M183)*DM$4/$AF$4</f>
        <v>86.185333108221883</v>
      </c>
      <c r="DN183" s="3">
        <v>0</v>
      </c>
      <c r="DO183" s="3">
        <v>0</v>
      </c>
      <c r="DP183" s="3">
        <f t="shared" si="168"/>
        <v>86.185333108221883</v>
      </c>
      <c r="DQ183" s="3">
        <f t="shared" ref="DQ183:DQ195" si="199">SUM($K183:$M183)*DQ$4/$AF$4</f>
        <v>181.90682058501557</v>
      </c>
      <c r="DR183" s="3">
        <v>0</v>
      </c>
      <c r="DS183" s="3">
        <v>0</v>
      </c>
      <c r="DT183" s="3">
        <f t="shared" si="172"/>
        <v>181.90682058501557</v>
      </c>
      <c r="DU183" s="3">
        <f t="shared" ref="DU183:DU195" si="200">SUM($K183:$M183)*DU$4/$AF$4</f>
        <v>905.4754163176832</v>
      </c>
      <c r="DV183" s="3">
        <v>0</v>
      </c>
      <c r="DW183" s="3">
        <v>0</v>
      </c>
      <c r="DX183" s="3">
        <f t="shared" si="169"/>
        <v>905.4754163176832</v>
      </c>
      <c r="DY183" s="3">
        <f t="shared" ref="DY183:DY195" si="201">SUM($K183:$M183)*DY$4/$AF$4</f>
        <v>3.1020585794240554</v>
      </c>
      <c r="DZ183" s="3">
        <v>0</v>
      </c>
      <c r="EA183" s="3">
        <v>0</v>
      </c>
      <c r="EB183" s="3">
        <f t="shared" si="170"/>
        <v>3.1020585794240554</v>
      </c>
      <c r="EC183" s="4">
        <f t="shared" ref="EC183:EC195" si="202">AJ183+AN183+AR183+AV183+AZ183+BD183+BH183+BL183+BP183+BT183+BX183+CB183+CF183+CJ183+CN183+CR183+CV183+CZ183+DD183+DH183+DP183+DT183+DX183+EB183</f>
        <v>6161.8499999999985</v>
      </c>
      <c r="ED183" s="5">
        <f t="shared" si="171"/>
        <v>0</v>
      </c>
      <c r="EE183" s="6">
        <f t="shared" si="174"/>
        <v>6161.8499999999985</v>
      </c>
      <c r="EF183" s="6">
        <f t="shared" si="174"/>
        <v>0</v>
      </c>
      <c r="EG183" s="6">
        <f t="shared" si="174"/>
        <v>0</v>
      </c>
    </row>
    <row r="184" spans="1:137" ht="12" customHeight="1" x14ac:dyDescent="0.35">
      <c r="A184" s="43" t="s">
        <v>298</v>
      </c>
      <c r="B184" s="43">
        <v>40855</v>
      </c>
      <c r="C184" s="43" t="s">
        <v>299</v>
      </c>
      <c r="D184" s="43" t="s">
        <v>678</v>
      </c>
      <c r="E184" s="43">
        <v>411201</v>
      </c>
      <c r="F184" s="43" t="s">
        <v>681</v>
      </c>
      <c r="G184" s="44">
        <v>46066</v>
      </c>
      <c r="H184" s="44">
        <v>46091</v>
      </c>
      <c r="I184" s="45">
        <v>18</v>
      </c>
      <c r="J184" s="45">
        <v>1500</v>
      </c>
      <c r="K184" s="46">
        <v>270</v>
      </c>
      <c r="L184" s="45"/>
      <c r="M184" s="45"/>
      <c r="N184" s="45">
        <v>270</v>
      </c>
      <c r="O184" s="45">
        <v>1770</v>
      </c>
      <c r="P184" s="43" t="s">
        <v>95</v>
      </c>
      <c r="Q184" s="43" t="s">
        <v>185</v>
      </c>
      <c r="R184" s="43" t="s">
        <v>126</v>
      </c>
      <c r="S184" s="43" t="s">
        <v>252</v>
      </c>
      <c r="T184" s="43" t="s">
        <v>253</v>
      </c>
      <c r="U184" s="43"/>
      <c r="V184" s="43">
        <v>996812</v>
      </c>
      <c r="W184" s="43" t="s">
        <v>682</v>
      </c>
      <c r="X184" s="43" t="s">
        <v>101</v>
      </c>
      <c r="Y184" s="43">
        <v>107</v>
      </c>
      <c r="Z184" s="43" t="s">
        <v>102</v>
      </c>
      <c r="AA184" t="s">
        <v>683</v>
      </c>
      <c r="AB184">
        <v>270</v>
      </c>
      <c r="AC184">
        <v>270</v>
      </c>
      <c r="AD184" s="38">
        <v>0</v>
      </c>
      <c r="AE184" t="s">
        <v>104</v>
      </c>
      <c r="AF184" t="s">
        <v>73</v>
      </c>
      <c r="AG184" s="3">
        <f t="shared" si="175"/>
        <v>9.9966402342244898</v>
      </c>
      <c r="AH184" s="3">
        <v>0</v>
      </c>
      <c r="AI184" s="3">
        <v>0</v>
      </c>
      <c r="AJ184" s="3">
        <f t="shared" si="151"/>
        <v>9.9966402342244898</v>
      </c>
      <c r="AK184" s="3">
        <f t="shared" si="176"/>
        <v>8.3184992560507529E-2</v>
      </c>
      <c r="AL184" s="3">
        <v>0</v>
      </c>
      <c r="AM184" s="3">
        <v>0</v>
      </c>
      <c r="AN184" s="3">
        <f t="shared" si="152"/>
        <v>8.3184992560507529E-2</v>
      </c>
      <c r="AO184" s="3">
        <f t="shared" si="177"/>
        <v>4.120415211782225</v>
      </c>
      <c r="AP184" s="3">
        <v>0</v>
      </c>
      <c r="AQ184" s="3">
        <v>0</v>
      </c>
      <c r="AR184" s="3">
        <f t="shared" si="153"/>
        <v>4.120415211782225</v>
      </c>
      <c r="AS184" s="3">
        <f t="shared" si="178"/>
        <v>3.6078699413345077</v>
      </c>
      <c r="AT184" s="3">
        <v>0</v>
      </c>
      <c r="AU184" s="3">
        <v>0</v>
      </c>
      <c r="AV184" s="3">
        <f t="shared" si="154"/>
        <v>3.6078699413345077</v>
      </c>
      <c r="AW184" s="3">
        <f t="shared" si="179"/>
        <v>0.42320167566800077</v>
      </c>
      <c r="AX184" s="3">
        <v>0</v>
      </c>
      <c r="AY184" s="3">
        <v>0</v>
      </c>
      <c r="AZ184" s="3">
        <f t="shared" si="155"/>
        <v>0.42320167566800077</v>
      </c>
      <c r="BA184" s="3">
        <f t="shared" si="180"/>
        <v>4.5189655759632066</v>
      </c>
      <c r="BB184" s="3">
        <v>0</v>
      </c>
      <c r="BC184" s="3">
        <v>0</v>
      </c>
      <c r="BD184" s="3">
        <f t="shared" si="156"/>
        <v>4.5189655759632066</v>
      </c>
      <c r="BE184" s="3">
        <f t="shared" si="181"/>
        <v>19.600937875414477</v>
      </c>
      <c r="BF184" s="3">
        <f t="shared" si="182"/>
        <v>0</v>
      </c>
      <c r="BG184" s="3">
        <f t="shared" si="183"/>
        <v>0</v>
      </c>
      <c r="BH184" s="3">
        <f t="shared" si="148"/>
        <v>19.600937875414477</v>
      </c>
      <c r="BI184" s="3">
        <f t="shared" si="184"/>
        <v>11.368722345878121</v>
      </c>
      <c r="BJ184" s="3">
        <v>0</v>
      </c>
      <c r="BK184" s="3">
        <v>0</v>
      </c>
      <c r="BL184" s="3">
        <f t="shared" si="149"/>
        <v>11.368722345878121</v>
      </c>
      <c r="BM184" s="3">
        <f t="shared" si="185"/>
        <v>52.202961795335696</v>
      </c>
      <c r="BN184" s="3">
        <v>0</v>
      </c>
      <c r="BO184" s="3">
        <v>0</v>
      </c>
      <c r="BP184" s="3">
        <f t="shared" si="157"/>
        <v>52.202961795335696</v>
      </c>
      <c r="BQ184" s="3">
        <f t="shared" si="186"/>
        <v>4.6793321062071724</v>
      </c>
      <c r="BR184" s="3">
        <v>0</v>
      </c>
      <c r="BS184" s="3">
        <v>0</v>
      </c>
      <c r="BT184" s="3">
        <f t="shared" si="158"/>
        <v>4.6793321062071724</v>
      </c>
      <c r="BU184" s="3">
        <f t="shared" si="187"/>
        <v>0.74253087439688703</v>
      </c>
      <c r="BV184" s="3">
        <v>0</v>
      </c>
      <c r="BW184" s="3">
        <v>0</v>
      </c>
      <c r="BX184" s="3">
        <f t="shared" si="159"/>
        <v>0.74253087439688703</v>
      </c>
      <c r="BY184" s="3">
        <f t="shared" si="188"/>
        <v>1.7898676118051475</v>
      </c>
      <c r="BZ184" s="3">
        <v>0</v>
      </c>
      <c r="CA184" s="3">
        <v>0</v>
      </c>
      <c r="CB184" s="3">
        <f t="shared" si="160"/>
        <v>1.7898676118051475</v>
      </c>
      <c r="CC184" s="3">
        <f t="shared" si="189"/>
        <v>1.4818457452798679</v>
      </c>
      <c r="CD184" s="3">
        <v>0</v>
      </c>
      <c r="CE184" s="3">
        <v>0</v>
      </c>
      <c r="CF184" s="3">
        <f t="shared" si="161"/>
        <v>1.4818457452798679</v>
      </c>
      <c r="CG184" s="3">
        <f t="shared" si="190"/>
        <v>1.697703967637175</v>
      </c>
      <c r="CH184" s="3">
        <v>0</v>
      </c>
      <c r="CI184" s="3">
        <v>0</v>
      </c>
      <c r="CJ184" s="3">
        <f t="shared" si="162"/>
        <v>1.697703967637175</v>
      </c>
      <c r="CK184" s="3">
        <f t="shared" si="191"/>
        <v>3.4931585321153014</v>
      </c>
      <c r="CL184" s="3">
        <v>0</v>
      </c>
      <c r="CM184" s="3">
        <v>0</v>
      </c>
      <c r="CN184" s="3">
        <f t="shared" si="163"/>
        <v>3.4931585321153014</v>
      </c>
      <c r="CO184" s="3">
        <f t="shared" si="192"/>
        <v>6.8131743607925346</v>
      </c>
      <c r="CP184" s="3">
        <v>0</v>
      </c>
      <c r="CQ184" s="3">
        <v>0</v>
      </c>
      <c r="CR184" s="3">
        <f t="shared" si="164"/>
        <v>6.8131743607925346</v>
      </c>
      <c r="CS184" s="3">
        <f t="shared" si="193"/>
        <v>20.0271030447153</v>
      </c>
      <c r="CT184" s="3">
        <v>0</v>
      </c>
      <c r="CU184" s="3">
        <v>0</v>
      </c>
      <c r="CV184" s="3">
        <f t="shared" si="165"/>
        <v>20.0271030447153</v>
      </c>
      <c r="CW184" s="3">
        <f t="shared" si="194"/>
        <v>66.497504202492394</v>
      </c>
      <c r="CX184" s="3">
        <v>0</v>
      </c>
      <c r="CY184" s="3">
        <v>0</v>
      </c>
      <c r="CZ184" s="3">
        <f t="shared" si="173"/>
        <v>66.497504202492394</v>
      </c>
      <c r="DA184" s="3">
        <f t="shared" si="195"/>
        <v>4.5316302877037415</v>
      </c>
      <c r="DB184" s="3">
        <v>0</v>
      </c>
      <c r="DC184" s="3">
        <v>0</v>
      </c>
      <c r="DD184" s="3">
        <f t="shared" si="166"/>
        <v>4.5316302877037415</v>
      </c>
      <c r="DE184" s="3">
        <f t="shared" si="196"/>
        <v>0.76392900566411426</v>
      </c>
      <c r="DF184" s="3">
        <v>0</v>
      </c>
      <c r="DG184" s="3">
        <v>0</v>
      </c>
      <c r="DH184" s="3">
        <f t="shared" si="167"/>
        <v>0.76392900566411426</v>
      </c>
      <c r="DI184" s="3">
        <f t="shared" si="197"/>
        <v>0</v>
      </c>
      <c r="DJ184" s="3">
        <v>0</v>
      </c>
      <c r="DK184" s="3">
        <v>0</v>
      </c>
      <c r="DL184" s="3">
        <f t="shared" si="147"/>
        <v>0</v>
      </c>
      <c r="DM184" s="3">
        <f t="shared" si="198"/>
        <v>3.776469719194707</v>
      </c>
      <c r="DN184" s="3">
        <v>0</v>
      </c>
      <c r="DO184" s="3">
        <v>0</v>
      </c>
      <c r="DP184" s="3">
        <f t="shared" si="168"/>
        <v>3.776469719194707</v>
      </c>
      <c r="DQ184" s="3">
        <f t="shared" si="199"/>
        <v>7.9707947382611062</v>
      </c>
      <c r="DR184" s="3">
        <v>0</v>
      </c>
      <c r="DS184" s="3">
        <v>0</v>
      </c>
      <c r="DT184" s="3">
        <f t="shared" si="172"/>
        <v>7.9707947382611062</v>
      </c>
      <c r="DU184" s="3">
        <f t="shared" si="200"/>
        <v>39.676130124195566</v>
      </c>
      <c r="DV184" s="3">
        <v>0</v>
      </c>
      <c r="DW184" s="3">
        <v>0</v>
      </c>
      <c r="DX184" s="3">
        <f t="shared" si="169"/>
        <v>39.676130124195566</v>
      </c>
      <c r="DY184" s="3">
        <f t="shared" si="201"/>
        <v>0.13592603137766984</v>
      </c>
      <c r="DZ184" s="3">
        <v>0</v>
      </c>
      <c r="EA184" s="3">
        <v>0</v>
      </c>
      <c r="EB184" s="3">
        <f t="shared" si="170"/>
        <v>0.13592603137766984</v>
      </c>
      <c r="EC184" s="4">
        <f t="shared" si="202"/>
        <v>269.99999999999994</v>
      </c>
      <c r="ED184" s="5">
        <f t="shared" si="171"/>
        <v>0</v>
      </c>
      <c r="EE184" s="6">
        <f t="shared" si="174"/>
        <v>269.99999999999994</v>
      </c>
      <c r="EF184" s="6">
        <f t="shared" si="174"/>
        <v>0</v>
      </c>
      <c r="EG184" s="6">
        <f t="shared" si="174"/>
        <v>0</v>
      </c>
    </row>
    <row r="185" spans="1:137" ht="12" customHeight="1" x14ac:dyDescent="0.35">
      <c r="A185" s="43" t="s">
        <v>298</v>
      </c>
      <c r="B185" s="43">
        <v>40855</v>
      </c>
      <c r="C185" s="43" t="s">
        <v>299</v>
      </c>
      <c r="D185" s="43" t="s">
        <v>303</v>
      </c>
      <c r="E185" s="43">
        <v>150431</v>
      </c>
      <c r="F185" s="43" t="s">
        <v>684</v>
      </c>
      <c r="G185" s="44">
        <v>46066</v>
      </c>
      <c r="H185" s="44">
        <v>46091</v>
      </c>
      <c r="I185" s="45">
        <v>18</v>
      </c>
      <c r="J185" s="45">
        <v>1100</v>
      </c>
      <c r="K185" s="46">
        <v>198</v>
      </c>
      <c r="L185" s="45"/>
      <c r="M185" s="45"/>
      <c r="N185" s="45">
        <v>198</v>
      </c>
      <c r="O185" s="45">
        <v>1298</v>
      </c>
      <c r="P185" s="43" t="s">
        <v>95</v>
      </c>
      <c r="Q185" s="43" t="s">
        <v>185</v>
      </c>
      <c r="R185" s="43" t="s">
        <v>112</v>
      </c>
      <c r="S185" s="43" t="s">
        <v>252</v>
      </c>
      <c r="T185" s="43" t="s">
        <v>253</v>
      </c>
      <c r="U185" s="43"/>
      <c r="V185" s="43">
        <v>996812</v>
      </c>
      <c r="W185" s="43" t="s">
        <v>685</v>
      </c>
      <c r="X185" s="43" t="s">
        <v>101</v>
      </c>
      <c r="Y185" s="43">
        <v>107</v>
      </c>
      <c r="Z185" s="43" t="s">
        <v>102</v>
      </c>
      <c r="AA185" t="s">
        <v>686</v>
      </c>
      <c r="AB185">
        <v>198</v>
      </c>
      <c r="AC185">
        <v>198</v>
      </c>
      <c r="AD185" s="38">
        <v>0</v>
      </c>
      <c r="AE185" t="s">
        <v>104</v>
      </c>
      <c r="AF185" t="s">
        <v>73</v>
      </c>
      <c r="AG185" s="3">
        <f t="shared" si="175"/>
        <v>7.3308695050979589</v>
      </c>
      <c r="AH185" s="3">
        <v>0</v>
      </c>
      <c r="AI185" s="3">
        <v>0</v>
      </c>
      <c r="AJ185" s="3">
        <f t="shared" si="151"/>
        <v>7.3308695050979589</v>
      </c>
      <c r="AK185" s="3">
        <f t="shared" si="176"/>
        <v>6.1002327877705528E-2</v>
      </c>
      <c r="AL185" s="3">
        <v>0</v>
      </c>
      <c r="AM185" s="3">
        <v>0</v>
      </c>
      <c r="AN185" s="3">
        <f t="shared" si="152"/>
        <v>6.1002327877705528E-2</v>
      </c>
      <c r="AO185" s="3">
        <f t="shared" si="177"/>
        <v>3.0216378219736315</v>
      </c>
      <c r="AP185" s="3">
        <v>0</v>
      </c>
      <c r="AQ185" s="3">
        <v>0</v>
      </c>
      <c r="AR185" s="3">
        <f t="shared" si="153"/>
        <v>3.0216378219736315</v>
      </c>
      <c r="AS185" s="3">
        <f t="shared" si="178"/>
        <v>2.6457712903119726</v>
      </c>
      <c r="AT185" s="3">
        <v>0</v>
      </c>
      <c r="AU185" s="3">
        <v>0</v>
      </c>
      <c r="AV185" s="3">
        <f t="shared" si="154"/>
        <v>2.6457712903119726</v>
      </c>
      <c r="AW185" s="3">
        <f t="shared" si="179"/>
        <v>0.31034789548986724</v>
      </c>
      <c r="AX185" s="3">
        <v>0</v>
      </c>
      <c r="AY185" s="3">
        <v>0</v>
      </c>
      <c r="AZ185" s="3">
        <f t="shared" si="155"/>
        <v>0.31034789548986724</v>
      </c>
      <c r="BA185" s="3">
        <f t="shared" si="180"/>
        <v>3.313908089039685</v>
      </c>
      <c r="BB185" s="3">
        <v>0</v>
      </c>
      <c r="BC185" s="3">
        <v>0</v>
      </c>
      <c r="BD185" s="3">
        <f t="shared" si="156"/>
        <v>3.313908089039685</v>
      </c>
      <c r="BE185" s="3">
        <f t="shared" si="181"/>
        <v>14.374021108637283</v>
      </c>
      <c r="BF185" s="3">
        <f t="shared" si="182"/>
        <v>0</v>
      </c>
      <c r="BG185" s="3">
        <f t="shared" si="183"/>
        <v>0</v>
      </c>
      <c r="BH185" s="3">
        <f t="shared" si="148"/>
        <v>14.374021108637283</v>
      </c>
      <c r="BI185" s="3">
        <f t="shared" si="184"/>
        <v>8.3370630536439556</v>
      </c>
      <c r="BJ185" s="3">
        <v>0</v>
      </c>
      <c r="BK185" s="3">
        <v>0</v>
      </c>
      <c r="BL185" s="3">
        <f t="shared" si="149"/>
        <v>8.3370630536439556</v>
      </c>
      <c r="BM185" s="3">
        <f t="shared" si="185"/>
        <v>38.282171983246172</v>
      </c>
      <c r="BN185" s="3">
        <v>0</v>
      </c>
      <c r="BO185" s="3">
        <v>0</v>
      </c>
      <c r="BP185" s="3">
        <f t="shared" si="157"/>
        <v>38.282171983246172</v>
      </c>
      <c r="BQ185" s="3">
        <f t="shared" si="186"/>
        <v>3.4315102112185931</v>
      </c>
      <c r="BR185" s="3">
        <v>0</v>
      </c>
      <c r="BS185" s="3">
        <v>0</v>
      </c>
      <c r="BT185" s="3">
        <f t="shared" si="158"/>
        <v>3.4315102112185931</v>
      </c>
      <c r="BU185" s="3">
        <f t="shared" si="187"/>
        <v>0.54452264122438376</v>
      </c>
      <c r="BV185" s="3">
        <v>0</v>
      </c>
      <c r="BW185" s="3">
        <v>0</v>
      </c>
      <c r="BX185" s="3">
        <f t="shared" si="159"/>
        <v>0.54452264122438376</v>
      </c>
      <c r="BY185" s="3">
        <f t="shared" si="188"/>
        <v>1.3125695819904415</v>
      </c>
      <c r="BZ185" s="3">
        <v>0</v>
      </c>
      <c r="CA185" s="3">
        <v>0</v>
      </c>
      <c r="CB185" s="3">
        <f t="shared" si="160"/>
        <v>1.3125695819904415</v>
      </c>
      <c r="CC185" s="3">
        <f t="shared" si="189"/>
        <v>1.0866868798719032</v>
      </c>
      <c r="CD185" s="3">
        <v>0</v>
      </c>
      <c r="CE185" s="3">
        <v>0</v>
      </c>
      <c r="CF185" s="3">
        <f t="shared" si="161"/>
        <v>1.0866868798719032</v>
      </c>
      <c r="CG185" s="3">
        <f t="shared" si="190"/>
        <v>1.2449829096005949</v>
      </c>
      <c r="CH185" s="3">
        <v>0</v>
      </c>
      <c r="CI185" s="3">
        <v>0</v>
      </c>
      <c r="CJ185" s="3">
        <f t="shared" si="162"/>
        <v>1.2449829096005949</v>
      </c>
      <c r="CK185" s="3">
        <f t="shared" si="191"/>
        <v>2.5616495902178875</v>
      </c>
      <c r="CL185" s="3">
        <v>0</v>
      </c>
      <c r="CM185" s="3">
        <v>0</v>
      </c>
      <c r="CN185" s="3">
        <f t="shared" si="163"/>
        <v>2.5616495902178875</v>
      </c>
      <c r="CO185" s="3">
        <f t="shared" si="192"/>
        <v>4.9963278645811924</v>
      </c>
      <c r="CP185" s="3">
        <v>0</v>
      </c>
      <c r="CQ185" s="3">
        <v>0</v>
      </c>
      <c r="CR185" s="3">
        <f t="shared" si="164"/>
        <v>4.9963278645811924</v>
      </c>
      <c r="CS185" s="3">
        <f t="shared" si="193"/>
        <v>14.68654223279122</v>
      </c>
      <c r="CT185" s="3">
        <v>0</v>
      </c>
      <c r="CU185" s="3">
        <v>0</v>
      </c>
      <c r="CV185" s="3">
        <f t="shared" si="165"/>
        <v>14.68654223279122</v>
      </c>
      <c r="CW185" s="3">
        <f t="shared" si="194"/>
        <v>48.764836415161092</v>
      </c>
      <c r="CX185" s="3">
        <v>0</v>
      </c>
      <c r="CY185" s="3">
        <v>0</v>
      </c>
      <c r="CZ185" s="3">
        <f t="shared" si="173"/>
        <v>48.764836415161092</v>
      </c>
      <c r="DA185" s="3">
        <f t="shared" si="195"/>
        <v>3.3231955443160772</v>
      </c>
      <c r="DB185" s="3">
        <v>0</v>
      </c>
      <c r="DC185" s="3">
        <v>0</v>
      </c>
      <c r="DD185" s="3">
        <f t="shared" si="166"/>
        <v>3.3231955443160772</v>
      </c>
      <c r="DE185" s="3">
        <f t="shared" si="196"/>
        <v>0.56021460415368385</v>
      </c>
      <c r="DF185" s="3">
        <v>0</v>
      </c>
      <c r="DG185" s="3">
        <v>0</v>
      </c>
      <c r="DH185" s="3">
        <f t="shared" si="167"/>
        <v>0.56021460415368385</v>
      </c>
      <c r="DI185" s="3">
        <f t="shared" si="197"/>
        <v>0</v>
      </c>
      <c r="DJ185" s="3">
        <v>0</v>
      </c>
      <c r="DK185" s="3">
        <v>0</v>
      </c>
      <c r="DL185" s="3">
        <f t="shared" si="147"/>
        <v>0</v>
      </c>
      <c r="DM185" s="3">
        <f t="shared" si="198"/>
        <v>2.7694111274094517</v>
      </c>
      <c r="DN185" s="3">
        <v>0</v>
      </c>
      <c r="DO185" s="3">
        <v>0</v>
      </c>
      <c r="DP185" s="3">
        <f t="shared" si="168"/>
        <v>2.7694111274094517</v>
      </c>
      <c r="DQ185" s="3">
        <f t="shared" si="199"/>
        <v>5.8452494747248114</v>
      </c>
      <c r="DR185" s="3">
        <v>0</v>
      </c>
      <c r="DS185" s="3">
        <v>0</v>
      </c>
      <c r="DT185" s="3">
        <f t="shared" si="172"/>
        <v>5.8452494747248114</v>
      </c>
      <c r="DU185" s="3">
        <f t="shared" si="200"/>
        <v>29.095828757743416</v>
      </c>
      <c r="DV185" s="3">
        <v>0</v>
      </c>
      <c r="DW185" s="3">
        <v>0</v>
      </c>
      <c r="DX185" s="3">
        <f t="shared" si="169"/>
        <v>29.095828757743416</v>
      </c>
      <c r="DY185" s="3">
        <f t="shared" si="201"/>
        <v>9.9679089676957891E-2</v>
      </c>
      <c r="DZ185" s="3">
        <v>0</v>
      </c>
      <c r="EA185" s="3">
        <v>0</v>
      </c>
      <c r="EB185" s="3">
        <f t="shared" si="170"/>
        <v>9.9679089676957891E-2</v>
      </c>
      <c r="EC185" s="4">
        <f t="shared" si="202"/>
        <v>197.99999999999994</v>
      </c>
      <c r="ED185" s="5">
        <f t="shared" si="171"/>
        <v>0</v>
      </c>
      <c r="EE185" s="6">
        <f t="shared" si="174"/>
        <v>197.99999999999994</v>
      </c>
      <c r="EF185" s="6">
        <f t="shared" si="174"/>
        <v>0</v>
      </c>
      <c r="EG185" s="6">
        <f t="shared" si="174"/>
        <v>0</v>
      </c>
    </row>
    <row r="186" spans="1:137" ht="12" customHeight="1" x14ac:dyDescent="0.35">
      <c r="A186" s="43" t="s">
        <v>687</v>
      </c>
      <c r="B186" s="43">
        <v>26206</v>
      </c>
      <c r="C186" s="43" t="s">
        <v>688</v>
      </c>
      <c r="D186" s="43" t="s">
        <v>689</v>
      </c>
      <c r="E186" s="43">
        <v>415801</v>
      </c>
      <c r="F186" s="43">
        <v>4449299600006</v>
      </c>
      <c r="G186" s="44">
        <v>46066</v>
      </c>
      <c r="H186" s="44">
        <v>46097</v>
      </c>
      <c r="I186" s="45">
        <v>18</v>
      </c>
      <c r="J186" s="45">
        <v>607</v>
      </c>
      <c r="K186" s="46">
        <v>109.26</v>
      </c>
      <c r="L186" s="45"/>
      <c r="M186" s="45"/>
      <c r="N186" s="45">
        <v>109.26</v>
      </c>
      <c r="O186" s="45">
        <v>716.26</v>
      </c>
      <c r="P186" s="43" t="s">
        <v>95</v>
      </c>
      <c r="Q186" s="43" t="s">
        <v>185</v>
      </c>
      <c r="R186" s="43" t="s">
        <v>690</v>
      </c>
      <c r="S186" s="43" t="s">
        <v>252</v>
      </c>
      <c r="T186" s="43" t="s">
        <v>253</v>
      </c>
      <c r="U186" s="43"/>
      <c r="V186" s="43">
        <v>9971</v>
      </c>
      <c r="W186" s="43" t="s">
        <v>691</v>
      </c>
      <c r="X186" s="43" t="s">
        <v>101</v>
      </c>
      <c r="Y186" s="43">
        <v>107</v>
      </c>
      <c r="Z186" s="43" t="s">
        <v>102</v>
      </c>
      <c r="AA186" t="s">
        <v>692</v>
      </c>
      <c r="AB186">
        <v>109.26</v>
      </c>
      <c r="AC186">
        <v>109.31</v>
      </c>
      <c r="AD186" s="38">
        <v>0</v>
      </c>
      <c r="AE186" t="s">
        <v>104</v>
      </c>
      <c r="AF186" t="s">
        <v>73</v>
      </c>
      <c r="AG186" s="3">
        <f t="shared" si="175"/>
        <v>4.0453070814495105</v>
      </c>
      <c r="AH186" s="3">
        <v>0</v>
      </c>
      <c r="AI186" s="3">
        <v>0</v>
      </c>
      <c r="AJ186" s="3">
        <f t="shared" si="151"/>
        <v>4.0453070814495105</v>
      </c>
      <c r="AK186" s="3">
        <f t="shared" si="176"/>
        <v>3.3662193656152056E-2</v>
      </c>
      <c r="AL186" s="3">
        <v>0</v>
      </c>
      <c r="AM186" s="3">
        <v>0</v>
      </c>
      <c r="AN186" s="3">
        <f t="shared" si="152"/>
        <v>3.3662193656152056E-2</v>
      </c>
      <c r="AO186" s="3">
        <f t="shared" si="177"/>
        <v>1.6673946890345404</v>
      </c>
      <c r="AP186" s="3">
        <v>0</v>
      </c>
      <c r="AQ186" s="3">
        <v>0</v>
      </c>
      <c r="AR186" s="3">
        <f t="shared" si="153"/>
        <v>1.6673946890345404</v>
      </c>
      <c r="AS186" s="3">
        <f t="shared" si="178"/>
        <v>1.4599847029266975</v>
      </c>
      <c r="AT186" s="3">
        <v>0</v>
      </c>
      <c r="AU186" s="3">
        <v>0</v>
      </c>
      <c r="AV186" s="3">
        <f t="shared" si="154"/>
        <v>1.4599847029266975</v>
      </c>
      <c r="AW186" s="3">
        <f t="shared" si="179"/>
        <v>0.17125561142031764</v>
      </c>
      <c r="AX186" s="3">
        <v>0</v>
      </c>
      <c r="AY186" s="3">
        <v>0</v>
      </c>
      <c r="AZ186" s="3">
        <f t="shared" si="155"/>
        <v>0.17125561142031764</v>
      </c>
      <c r="BA186" s="3">
        <f t="shared" si="180"/>
        <v>1.8286747364064442</v>
      </c>
      <c r="BB186" s="3">
        <v>0</v>
      </c>
      <c r="BC186" s="3">
        <v>0</v>
      </c>
      <c r="BD186" s="3">
        <f t="shared" si="156"/>
        <v>1.8286747364064442</v>
      </c>
      <c r="BE186" s="3">
        <f t="shared" si="181"/>
        <v>7.9318461935843931</v>
      </c>
      <c r="BF186" s="3">
        <f t="shared" si="182"/>
        <v>0</v>
      </c>
      <c r="BG186" s="3">
        <f t="shared" si="183"/>
        <v>0</v>
      </c>
      <c r="BH186" s="3">
        <f t="shared" si="148"/>
        <v>7.9318461935843931</v>
      </c>
      <c r="BI186" s="3">
        <f t="shared" si="184"/>
        <v>4.6005429759653467</v>
      </c>
      <c r="BJ186" s="3">
        <v>0</v>
      </c>
      <c r="BK186" s="3">
        <v>0</v>
      </c>
      <c r="BL186" s="3">
        <f t="shared" si="149"/>
        <v>4.6005429759653467</v>
      </c>
      <c r="BM186" s="3">
        <f t="shared" si="185"/>
        <v>21.124798539845845</v>
      </c>
      <c r="BN186" s="3">
        <v>0</v>
      </c>
      <c r="BO186" s="3">
        <v>0</v>
      </c>
      <c r="BP186" s="3">
        <f t="shared" si="157"/>
        <v>21.124798539845845</v>
      </c>
      <c r="BQ186" s="3">
        <f t="shared" si="186"/>
        <v>1.8935697256451693</v>
      </c>
      <c r="BR186" s="3">
        <v>0</v>
      </c>
      <c r="BS186" s="3">
        <v>0</v>
      </c>
      <c r="BT186" s="3">
        <f t="shared" si="158"/>
        <v>1.8935697256451693</v>
      </c>
      <c r="BU186" s="3">
        <f t="shared" si="187"/>
        <v>0.30047749383927358</v>
      </c>
      <c r="BV186" s="3">
        <v>0</v>
      </c>
      <c r="BW186" s="3">
        <v>0</v>
      </c>
      <c r="BX186" s="3">
        <f t="shared" si="159"/>
        <v>0.30047749383927358</v>
      </c>
      <c r="BY186" s="3">
        <f t="shared" si="188"/>
        <v>0.72429976024381626</v>
      </c>
      <c r="BZ186" s="3">
        <v>0</v>
      </c>
      <c r="CA186" s="3">
        <v>0</v>
      </c>
      <c r="CB186" s="3">
        <f t="shared" si="160"/>
        <v>0.72429976024381626</v>
      </c>
      <c r="CC186" s="3">
        <f t="shared" si="189"/>
        <v>0.59965357825658661</v>
      </c>
      <c r="CD186" s="3">
        <v>0</v>
      </c>
      <c r="CE186" s="3">
        <v>0</v>
      </c>
      <c r="CF186" s="3">
        <f t="shared" si="161"/>
        <v>0.59965357825658661</v>
      </c>
      <c r="CG186" s="3">
        <f t="shared" si="190"/>
        <v>0.68700420557051012</v>
      </c>
      <c r="CH186" s="3">
        <v>0</v>
      </c>
      <c r="CI186" s="3">
        <v>0</v>
      </c>
      <c r="CJ186" s="3">
        <f t="shared" si="162"/>
        <v>0.68700420557051012</v>
      </c>
      <c r="CK186" s="3">
        <f t="shared" si="191"/>
        <v>1.4135648193293253</v>
      </c>
      <c r="CL186" s="3">
        <v>0</v>
      </c>
      <c r="CM186" s="3">
        <v>0</v>
      </c>
      <c r="CN186" s="3">
        <f t="shared" si="163"/>
        <v>1.4135648193293253</v>
      </c>
      <c r="CO186" s="3">
        <f t="shared" si="192"/>
        <v>2.7570645580007125</v>
      </c>
      <c r="CP186" s="3">
        <v>0</v>
      </c>
      <c r="CQ186" s="3">
        <v>0</v>
      </c>
      <c r="CR186" s="3">
        <f t="shared" si="164"/>
        <v>2.7570645580007125</v>
      </c>
      <c r="CS186" s="3">
        <f t="shared" si="193"/>
        <v>8.1043010320947921</v>
      </c>
      <c r="CT186" s="3">
        <v>0</v>
      </c>
      <c r="CU186" s="3">
        <v>0</v>
      </c>
      <c r="CV186" s="3">
        <f t="shared" si="165"/>
        <v>8.1043010320947921</v>
      </c>
      <c r="CW186" s="3">
        <f t="shared" si="194"/>
        <v>26.909323367275256</v>
      </c>
      <c r="CX186" s="3">
        <v>0</v>
      </c>
      <c r="CY186" s="3">
        <v>0</v>
      </c>
      <c r="CZ186" s="3">
        <f t="shared" si="173"/>
        <v>26.909323367275256</v>
      </c>
      <c r="DA186" s="3">
        <f t="shared" si="195"/>
        <v>1.833799723090781</v>
      </c>
      <c r="DB186" s="3">
        <v>0</v>
      </c>
      <c r="DC186" s="3">
        <v>0</v>
      </c>
      <c r="DD186" s="3">
        <f t="shared" si="166"/>
        <v>1.833799723090781</v>
      </c>
      <c r="DE186" s="3">
        <f t="shared" si="196"/>
        <v>0.30913660429207829</v>
      </c>
      <c r="DF186" s="3">
        <v>0</v>
      </c>
      <c r="DG186" s="3">
        <v>0</v>
      </c>
      <c r="DH186" s="3">
        <f t="shared" si="167"/>
        <v>0.30913660429207829</v>
      </c>
      <c r="DI186" s="3">
        <f t="shared" si="197"/>
        <v>0</v>
      </c>
      <c r="DJ186" s="3">
        <v>0</v>
      </c>
      <c r="DK186" s="3">
        <v>0</v>
      </c>
      <c r="DL186" s="3">
        <f t="shared" si="147"/>
        <v>0</v>
      </c>
      <c r="DM186" s="3">
        <f t="shared" si="198"/>
        <v>1.5282114130341247</v>
      </c>
      <c r="DN186" s="3">
        <v>0</v>
      </c>
      <c r="DO186" s="3">
        <v>0</v>
      </c>
      <c r="DP186" s="3">
        <f t="shared" si="168"/>
        <v>1.5282114130341247</v>
      </c>
      <c r="DQ186" s="3">
        <f t="shared" si="199"/>
        <v>3.2255149374163281</v>
      </c>
      <c r="DR186" s="3">
        <v>0</v>
      </c>
      <c r="DS186" s="3">
        <v>0</v>
      </c>
      <c r="DT186" s="3">
        <f t="shared" si="172"/>
        <v>3.2255149374163281</v>
      </c>
      <c r="DU186" s="3">
        <f t="shared" si="200"/>
        <v>16.05560732359114</v>
      </c>
      <c r="DV186" s="3">
        <v>0</v>
      </c>
      <c r="DW186" s="3">
        <v>0</v>
      </c>
      <c r="DX186" s="3">
        <f t="shared" si="169"/>
        <v>16.05560732359114</v>
      </c>
      <c r="DY186" s="3">
        <f t="shared" si="201"/>
        <v>5.5004734030830393E-2</v>
      </c>
      <c r="DZ186" s="3">
        <v>0</v>
      </c>
      <c r="EA186" s="3">
        <v>0</v>
      </c>
      <c r="EB186" s="3">
        <f t="shared" si="170"/>
        <v>5.5004734030830393E-2</v>
      </c>
      <c r="EC186" s="4">
        <f t="shared" si="202"/>
        <v>109.25999999999999</v>
      </c>
      <c r="ED186" s="5">
        <f t="shared" si="171"/>
        <v>0</v>
      </c>
      <c r="EE186" s="6">
        <f t="shared" si="174"/>
        <v>109.25999999999999</v>
      </c>
      <c r="EF186" s="6">
        <f t="shared" si="174"/>
        <v>0</v>
      </c>
      <c r="EG186" s="6">
        <f t="shared" si="174"/>
        <v>0</v>
      </c>
    </row>
    <row r="187" spans="1:137" ht="12" customHeight="1" x14ac:dyDescent="0.35">
      <c r="A187" s="43" t="s">
        <v>687</v>
      </c>
      <c r="B187" s="43">
        <v>26206</v>
      </c>
      <c r="C187" s="43" t="s">
        <v>688</v>
      </c>
      <c r="D187" s="43" t="s">
        <v>689</v>
      </c>
      <c r="E187" s="43">
        <v>415801</v>
      </c>
      <c r="F187" s="43">
        <v>4449299500005</v>
      </c>
      <c r="G187" s="44">
        <v>46066</v>
      </c>
      <c r="H187" s="44">
        <v>46097</v>
      </c>
      <c r="I187" s="45">
        <v>18</v>
      </c>
      <c r="J187" s="45">
        <v>467</v>
      </c>
      <c r="K187" s="46">
        <v>84.06</v>
      </c>
      <c r="L187" s="45"/>
      <c r="M187" s="45"/>
      <c r="N187" s="45">
        <v>84.06</v>
      </c>
      <c r="O187" s="45">
        <v>551.05999999999995</v>
      </c>
      <c r="P187" s="43" t="s">
        <v>95</v>
      </c>
      <c r="Q187" s="43" t="s">
        <v>185</v>
      </c>
      <c r="R187" s="43" t="s">
        <v>690</v>
      </c>
      <c r="S187" s="43" t="s">
        <v>252</v>
      </c>
      <c r="T187" s="43" t="s">
        <v>253</v>
      </c>
      <c r="U187" s="43"/>
      <c r="V187" s="43">
        <v>9971</v>
      </c>
      <c r="W187" s="43" t="s">
        <v>693</v>
      </c>
      <c r="X187" s="43" t="s">
        <v>101</v>
      </c>
      <c r="Y187" s="43">
        <v>107</v>
      </c>
      <c r="Z187" s="43" t="s">
        <v>102</v>
      </c>
      <c r="AA187" t="s">
        <v>694</v>
      </c>
      <c r="AB187">
        <v>84.06</v>
      </c>
      <c r="AC187">
        <v>84.08</v>
      </c>
      <c r="AD187" s="38">
        <v>0</v>
      </c>
      <c r="AE187" t="s">
        <v>104</v>
      </c>
      <c r="AF187" t="s">
        <v>73</v>
      </c>
      <c r="AG187" s="3">
        <f t="shared" si="175"/>
        <v>3.1122873262552244</v>
      </c>
      <c r="AH187" s="3">
        <v>0</v>
      </c>
      <c r="AI187" s="3">
        <v>0</v>
      </c>
      <c r="AJ187" s="3">
        <f t="shared" si="151"/>
        <v>3.1122873262552244</v>
      </c>
      <c r="AK187" s="3">
        <f t="shared" si="176"/>
        <v>2.5898261017171346E-2</v>
      </c>
      <c r="AL187" s="3">
        <v>0</v>
      </c>
      <c r="AM187" s="3">
        <v>0</v>
      </c>
      <c r="AN187" s="3">
        <f t="shared" si="152"/>
        <v>2.5898261017171346E-2</v>
      </c>
      <c r="AO187" s="3">
        <f t="shared" si="177"/>
        <v>1.2828226026015326</v>
      </c>
      <c r="AP187" s="3">
        <v>0</v>
      </c>
      <c r="AQ187" s="3">
        <v>0</v>
      </c>
      <c r="AR187" s="3">
        <f t="shared" si="153"/>
        <v>1.2828226026015326</v>
      </c>
      <c r="AS187" s="3">
        <f t="shared" si="178"/>
        <v>1.1232501750688102</v>
      </c>
      <c r="AT187" s="3">
        <v>0</v>
      </c>
      <c r="AU187" s="3">
        <v>0</v>
      </c>
      <c r="AV187" s="3">
        <f t="shared" si="154"/>
        <v>1.1232501750688102</v>
      </c>
      <c r="AW187" s="3">
        <f t="shared" si="179"/>
        <v>0.13175678835797092</v>
      </c>
      <c r="AX187" s="3">
        <v>0</v>
      </c>
      <c r="AY187" s="3">
        <v>0</v>
      </c>
      <c r="AZ187" s="3">
        <f t="shared" si="155"/>
        <v>0.13175678835797092</v>
      </c>
      <c r="BA187" s="3">
        <f t="shared" si="180"/>
        <v>1.4069046159832117</v>
      </c>
      <c r="BB187" s="3">
        <v>0</v>
      </c>
      <c r="BC187" s="3">
        <v>0</v>
      </c>
      <c r="BD187" s="3">
        <f t="shared" si="156"/>
        <v>1.4069046159832117</v>
      </c>
      <c r="BE187" s="3">
        <f t="shared" si="181"/>
        <v>6.1024253252123737</v>
      </c>
      <c r="BF187" s="3">
        <f t="shared" si="182"/>
        <v>0</v>
      </c>
      <c r="BG187" s="3">
        <f t="shared" si="183"/>
        <v>0</v>
      </c>
      <c r="BH187" s="3">
        <f t="shared" si="148"/>
        <v>6.1024253252123737</v>
      </c>
      <c r="BI187" s="3">
        <f t="shared" si="184"/>
        <v>3.5394622236833881</v>
      </c>
      <c r="BJ187" s="3">
        <v>0</v>
      </c>
      <c r="BK187" s="3">
        <v>0</v>
      </c>
      <c r="BL187" s="3">
        <f t="shared" si="149"/>
        <v>3.5394622236833881</v>
      </c>
      <c r="BM187" s="3">
        <f t="shared" si="185"/>
        <v>16.252522105614513</v>
      </c>
      <c r="BN187" s="3">
        <v>0</v>
      </c>
      <c r="BO187" s="3">
        <v>0</v>
      </c>
      <c r="BP187" s="3">
        <f t="shared" si="157"/>
        <v>16.252522105614513</v>
      </c>
      <c r="BQ187" s="3">
        <f t="shared" si="186"/>
        <v>1.4568320623991664</v>
      </c>
      <c r="BR187" s="3">
        <v>0</v>
      </c>
      <c r="BS187" s="3">
        <v>0</v>
      </c>
      <c r="BT187" s="3">
        <f t="shared" si="158"/>
        <v>1.4568320623991664</v>
      </c>
      <c r="BU187" s="3">
        <f t="shared" si="187"/>
        <v>0.23117461222889749</v>
      </c>
      <c r="BV187" s="3">
        <v>0</v>
      </c>
      <c r="BW187" s="3">
        <v>0</v>
      </c>
      <c r="BX187" s="3">
        <f t="shared" si="159"/>
        <v>0.23117461222889749</v>
      </c>
      <c r="BY187" s="3">
        <f t="shared" si="188"/>
        <v>0.55724544980866919</v>
      </c>
      <c r="BZ187" s="3">
        <v>0</v>
      </c>
      <c r="CA187" s="3">
        <v>0</v>
      </c>
      <c r="CB187" s="3">
        <f t="shared" si="160"/>
        <v>0.55724544980866919</v>
      </c>
      <c r="CC187" s="3">
        <f t="shared" si="189"/>
        <v>0.46134797536379885</v>
      </c>
      <c r="CD187" s="3">
        <v>0</v>
      </c>
      <c r="CE187" s="3">
        <v>0</v>
      </c>
      <c r="CF187" s="3">
        <f t="shared" si="161"/>
        <v>0.46134797536379885</v>
      </c>
      <c r="CG187" s="3">
        <f t="shared" si="190"/>
        <v>0.5285518352577071</v>
      </c>
      <c r="CH187" s="3">
        <v>0</v>
      </c>
      <c r="CI187" s="3">
        <v>0</v>
      </c>
      <c r="CJ187" s="3">
        <f t="shared" si="162"/>
        <v>0.5285518352577071</v>
      </c>
      <c r="CK187" s="3">
        <f t="shared" si="191"/>
        <v>1.0875366896652305</v>
      </c>
      <c r="CL187" s="3">
        <v>0</v>
      </c>
      <c r="CM187" s="3">
        <v>0</v>
      </c>
      <c r="CN187" s="3">
        <f t="shared" si="163"/>
        <v>1.0875366896652305</v>
      </c>
      <c r="CO187" s="3">
        <f t="shared" si="192"/>
        <v>2.1211682843267425</v>
      </c>
      <c r="CP187" s="3">
        <v>0</v>
      </c>
      <c r="CQ187" s="3">
        <v>0</v>
      </c>
      <c r="CR187" s="3">
        <f t="shared" si="164"/>
        <v>2.1211682843267425</v>
      </c>
      <c r="CS187" s="3">
        <f t="shared" si="193"/>
        <v>6.2351047479213628</v>
      </c>
      <c r="CT187" s="3">
        <v>0</v>
      </c>
      <c r="CU187" s="3">
        <v>0</v>
      </c>
      <c r="CV187" s="3">
        <f t="shared" si="165"/>
        <v>6.2351047479213628</v>
      </c>
      <c r="CW187" s="3">
        <f t="shared" si="194"/>
        <v>20.702889641709298</v>
      </c>
      <c r="CX187" s="3">
        <v>0</v>
      </c>
      <c r="CY187" s="3">
        <v>0</v>
      </c>
      <c r="CZ187" s="3">
        <f t="shared" si="173"/>
        <v>20.702889641709298</v>
      </c>
      <c r="DA187" s="3">
        <f t="shared" si="195"/>
        <v>1.4108475629050983</v>
      </c>
      <c r="DB187" s="3">
        <v>0</v>
      </c>
      <c r="DC187" s="3">
        <v>0</v>
      </c>
      <c r="DD187" s="3">
        <f t="shared" si="166"/>
        <v>1.4108475629050983</v>
      </c>
      <c r="DE187" s="3">
        <f t="shared" si="196"/>
        <v>0.23783656376342763</v>
      </c>
      <c r="DF187" s="3">
        <v>0</v>
      </c>
      <c r="DG187" s="3">
        <v>0</v>
      </c>
      <c r="DH187" s="3">
        <f t="shared" si="167"/>
        <v>0.23783656376342763</v>
      </c>
      <c r="DI187" s="3">
        <f t="shared" si="197"/>
        <v>0</v>
      </c>
      <c r="DJ187" s="3">
        <v>0</v>
      </c>
      <c r="DK187" s="3">
        <v>0</v>
      </c>
      <c r="DL187" s="3">
        <f t="shared" si="147"/>
        <v>0</v>
      </c>
      <c r="DM187" s="3">
        <f t="shared" si="198"/>
        <v>1.1757409059092854</v>
      </c>
      <c r="DN187" s="3">
        <v>0</v>
      </c>
      <c r="DO187" s="3">
        <v>0</v>
      </c>
      <c r="DP187" s="3">
        <f t="shared" si="168"/>
        <v>1.1757409059092854</v>
      </c>
      <c r="DQ187" s="3">
        <f t="shared" si="199"/>
        <v>2.4815740951786247</v>
      </c>
      <c r="DR187" s="3">
        <v>0</v>
      </c>
      <c r="DS187" s="3">
        <v>0</v>
      </c>
      <c r="DT187" s="3">
        <f t="shared" si="172"/>
        <v>2.4815740951786247</v>
      </c>
      <c r="DU187" s="3">
        <f t="shared" si="200"/>
        <v>12.352501845332887</v>
      </c>
      <c r="DV187" s="3">
        <v>0</v>
      </c>
      <c r="DW187" s="3">
        <v>0</v>
      </c>
      <c r="DX187" s="3">
        <f t="shared" si="169"/>
        <v>12.352501845332887</v>
      </c>
      <c r="DY187" s="3">
        <f t="shared" si="201"/>
        <v>4.2318304435581211E-2</v>
      </c>
      <c r="DZ187" s="3">
        <v>0</v>
      </c>
      <c r="EA187" s="3">
        <v>0</v>
      </c>
      <c r="EB187" s="3">
        <f t="shared" si="170"/>
        <v>4.2318304435581211E-2</v>
      </c>
      <c r="EC187" s="4">
        <f t="shared" si="202"/>
        <v>84.05999999999996</v>
      </c>
      <c r="ED187" s="5">
        <f t="shared" si="171"/>
        <v>0</v>
      </c>
      <c r="EE187" s="6">
        <f t="shared" si="174"/>
        <v>84.05999999999996</v>
      </c>
      <c r="EF187" s="6">
        <f t="shared" si="174"/>
        <v>0</v>
      </c>
      <c r="EG187" s="6">
        <f t="shared" si="174"/>
        <v>0</v>
      </c>
    </row>
    <row r="188" spans="1:137" ht="12" customHeight="1" x14ac:dyDescent="0.35">
      <c r="A188" s="43" t="s">
        <v>687</v>
      </c>
      <c r="B188" s="43">
        <v>26206</v>
      </c>
      <c r="C188" s="43" t="s">
        <v>688</v>
      </c>
      <c r="D188" s="43" t="s">
        <v>689</v>
      </c>
      <c r="E188" s="43">
        <v>415801</v>
      </c>
      <c r="F188" s="43">
        <v>4449299400005</v>
      </c>
      <c r="G188" s="44">
        <v>46066</v>
      </c>
      <c r="H188" s="44">
        <v>46097</v>
      </c>
      <c r="I188" s="45">
        <v>18</v>
      </c>
      <c r="J188" s="45">
        <v>187</v>
      </c>
      <c r="K188" s="46">
        <v>33.659999999999997</v>
      </c>
      <c r="L188" s="45"/>
      <c r="M188" s="45"/>
      <c r="N188" s="45">
        <v>33.659999999999997</v>
      </c>
      <c r="O188" s="45">
        <v>220.66</v>
      </c>
      <c r="P188" s="43" t="s">
        <v>95</v>
      </c>
      <c r="Q188" s="43" t="s">
        <v>185</v>
      </c>
      <c r="R188" s="43" t="s">
        <v>690</v>
      </c>
      <c r="S188" s="43" t="s">
        <v>252</v>
      </c>
      <c r="T188" s="43" t="s">
        <v>253</v>
      </c>
      <c r="U188" s="43"/>
      <c r="V188" s="43">
        <v>9971</v>
      </c>
      <c r="W188" s="43" t="s">
        <v>695</v>
      </c>
      <c r="X188" s="43" t="s">
        <v>101</v>
      </c>
      <c r="Y188" s="43">
        <v>107</v>
      </c>
      <c r="Z188" s="43" t="s">
        <v>102</v>
      </c>
      <c r="AA188" t="s">
        <v>696</v>
      </c>
      <c r="AB188">
        <v>33.659999999999997</v>
      </c>
      <c r="AC188">
        <v>33.65</v>
      </c>
      <c r="AD188" s="38">
        <v>0</v>
      </c>
      <c r="AE188" t="s">
        <v>104</v>
      </c>
      <c r="AF188" t="s">
        <v>73</v>
      </c>
      <c r="AG188" s="3">
        <f t="shared" si="175"/>
        <v>1.246247815866653</v>
      </c>
      <c r="AH188" s="3">
        <v>0</v>
      </c>
      <c r="AI188" s="3">
        <v>0</v>
      </c>
      <c r="AJ188" s="3">
        <f t="shared" si="151"/>
        <v>1.246247815866653</v>
      </c>
      <c r="AK188" s="3">
        <f t="shared" si="176"/>
        <v>1.0370395739209939E-2</v>
      </c>
      <c r="AL188" s="3">
        <v>0</v>
      </c>
      <c r="AM188" s="3">
        <v>0</v>
      </c>
      <c r="AN188" s="3">
        <f t="shared" si="152"/>
        <v>1.0370395739209939E-2</v>
      </c>
      <c r="AO188" s="3">
        <f t="shared" si="177"/>
        <v>0.51367842973551725</v>
      </c>
      <c r="AP188" s="3">
        <v>0</v>
      </c>
      <c r="AQ188" s="3">
        <v>0</v>
      </c>
      <c r="AR188" s="3">
        <f t="shared" si="153"/>
        <v>0.51367842973551725</v>
      </c>
      <c r="AS188" s="3">
        <f t="shared" si="178"/>
        <v>0.44978111935303522</v>
      </c>
      <c r="AT188" s="3">
        <v>0</v>
      </c>
      <c r="AU188" s="3">
        <v>0</v>
      </c>
      <c r="AV188" s="3">
        <f t="shared" si="154"/>
        <v>0.44978111935303522</v>
      </c>
      <c r="AW188" s="3">
        <f t="shared" si="179"/>
        <v>5.275914223327742E-2</v>
      </c>
      <c r="AX188" s="3">
        <v>0</v>
      </c>
      <c r="AY188" s="3">
        <v>0</v>
      </c>
      <c r="AZ188" s="3">
        <f t="shared" si="155"/>
        <v>5.275914223327742E-2</v>
      </c>
      <c r="BA188" s="3">
        <f t="shared" si="180"/>
        <v>0.56336437513674642</v>
      </c>
      <c r="BB188" s="3">
        <v>0</v>
      </c>
      <c r="BC188" s="3">
        <v>0</v>
      </c>
      <c r="BD188" s="3">
        <f t="shared" si="156"/>
        <v>0.56336437513674642</v>
      </c>
      <c r="BE188" s="3">
        <f t="shared" si="181"/>
        <v>2.4435835884683379</v>
      </c>
      <c r="BF188" s="3">
        <f t="shared" si="182"/>
        <v>0</v>
      </c>
      <c r="BG188" s="3">
        <f t="shared" si="183"/>
        <v>0</v>
      </c>
      <c r="BH188" s="3">
        <f t="shared" si="148"/>
        <v>2.4435835884683379</v>
      </c>
      <c r="BI188" s="3">
        <f t="shared" si="184"/>
        <v>1.4173007191194722</v>
      </c>
      <c r="BJ188" s="3">
        <v>0</v>
      </c>
      <c r="BK188" s="3">
        <v>0</v>
      </c>
      <c r="BL188" s="3">
        <f t="shared" si="149"/>
        <v>1.4173007191194722</v>
      </c>
      <c r="BM188" s="3">
        <f t="shared" si="185"/>
        <v>6.5079692371518494</v>
      </c>
      <c r="BN188" s="3">
        <v>0</v>
      </c>
      <c r="BO188" s="3">
        <v>0</v>
      </c>
      <c r="BP188" s="3">
        <f t="shared" si="157"/>
        <v>6.5079692371518494</v>
      </c>
      <c r="BQ188" s="3">
        <f t="shared" si="186"/>
        <v>0.58335673590716086</v>
      </c>
      <c r="BR188" s="3">
        <v>0</v>
      </c>
      <c r="BS188" s="3">
        <v>0</v>
      </c>
      <c r="BT188" s="3">
        <f t="shared" si="158"/>
        <v>0.58335673590716086</v>
      </c>
      <c r="BU188" s="3">
        <f t="shared" si="187"/>
        <v>9.2568849008145229E-2</v>
      </c>
      <c r="BV188" s="3">
        <v>0</v>
      </c>
      <c r="BW188" s="3">
        <v>0</v>
      </c>
      <c r="BX188" s="3">
        <f t="shared" si="159"/>
        <v>9.2568849008145229E-2</v>
      </c>
      <c r="BY188" s="3">
        <f t="shared" si="188"/>
        <v>0.223136828938375</v>
      </c>
      <c r="BZ188" s="3">
        <v>0</v>
      </c>
      <c r="CA188" s="3">
        <v>0</v>
      </c>
      <c r="CB188" s="3">
        <f t="shared" si="160"/>
        <v>0.223136828938375</v>
      </c>
      <c r="CC188" s="3">
        <f t="shared" si="189"/>
        <v>0.18473676957822352</v>
      </c>
      <c r="CD188" s="3">
        <v>0</v>
      </c>
      <c r="CE188" s="3">
        <v>0</v>
      </c>
      <c r="CF188" s="3">
        <f t="shared" si="161"/>
        <v>0.18473676957822352</v>
      </c>
      <c r="CG188" s="3">
        <f t="shared" si="190"/>
        <v>0.2116470946321011</v>
      </c>
      <c r="CH188" s="3">
        <v>0</v>
      </c>
      <c r="CI188" s="3">
        <v>0</v>
      </c>
      <c r="CJ188" s="3">
        <f t="shared" si="162"/>
        <v>0.2116470946321011</v>
      </c>
      <c r="CK188" s="3">
        <f t="shared" si="191"/>
        <v>0.43548043033704087</v>
      </c>
      <c r="CL188" s="3">
        <v>0</v>
      </c>
      <c r="CM188" s="3">
        <v>0</v>
      </c>
      <c r="CN188" s="3">
        <f t="shared" si="163"/>
        <v>0.43548043033704087</v>
      </c>
      <c r="CO188" s="3">
        <f t="shared" si="192"/>
        <v>0.84937573697880253</v>
      </c>
      <c r="CP188" s="3">
        <v>0</v>
      </c>
      <c r="CQ188" s="3">
        <v>0</v>
      </c>
      <c r="CR188" s="3">
        <f t="shared" si="164"/>
        <v>0.84937573697880253</v>
      </c>
      <c r="CS188" s="3">
        <f t="shared" si="193"/>
        <v>2.4967121795745069</v>
      </c>
      <c r="CT188" s="3">
        <v>0</v>
      </c>
      <c r="CU188" s="3">
        <v>0</v>
      </c>
      <c r="CV188" s="3">
        <f t="shared" si="165"/>
        <v>2.4967121795745069</v>
      </c>
      <c r="CW188" s="3">
        <f t="shared" si="194"/>
        <v>8.2900221905773854</v>
      </c>
      <c r="CX188" s="3">
        <v>0</v>
      </c>
      <c r="CY188" s="3">
        <v>0</v>
      </c>
      <c r="CZ188" s="3">
        <f t="shared" si="173"/>
        <v>8.2900221905773854</v>
      </c>
      <c r="DA188" s="3">
        <f t="shared" si="195"/>
        <v>0.56494324253373307</v>
      </c>
      <c r="DB188" s="3">
        <v>0</v>
      </c>
      <c r="DC188" s="3">
        <v>0</v>
      </c>
      <c r="DD188" s="3">
        <f t="shared" si="166"/>
        <v>0.56494324253373307</v>
      </c>
      <c r="DE188" s="3">
        <f t="shared" si="196"/>
        <v>9.5236482706126238E-2</v>
      </c>
      <c r="DF188" s="3">
        <v>0</v>
      </c>
      <c r="DG188" s="3">
        <v>0</v>
      </c>
      <c r="DH188" s="3">
        <f t="shared" si="167"/>
        <v>9.5236482706126238E-2</v>
      </c>
      <c r="DI188" s="3">
        <f t="shared" si="197"/>
        <v>0</v>
      </c>
      <c r="DJ188" s="3">
        <v>0</v>
      </c>
      <c r="DK188" s="3">
        <v>0</v>
      </c>
      <c r="DL188" s="3">
        <f t="shared" si="147"/>
        <v>0</v>
      </c>
      <c r="DM188" s="3">
        <f t="shared" si="198"/>
        <v>0.47079989165960678</v>
      </c>
      <c r="DN188" s="3">
        <v>0</v>
      </c>
      <c r="DO188" s="3">
        <v>0</v>
      </c>
      <c r="DP188" s="3">
        <f t="shared" si="168"/>
        <v>0.47079989165960678</v>
      </c>
      <c r="DQ188" s="3">
        <f t="shared" si="199"/>
        <v>0.99369241070321779</v>
      </c>
      <c r="DR188" s="3">
        <v>0</v>
      </c>
      <c r="DS188" s="3">
        <v>0</v>
      </c>
      <c r="DT188" s="3">
        <f t="shared" si="172"/>
        <v>0.99369241070321779</v>
      </c>
      <c r="DU188" s="3">
        <f t="shared" si="200"/>
        <v>4.9462908888163799</v>
      </c>
      <c r="DV188" s="3">
        <v>0</v>
      </c>
      <c r="DW188" s="3">
        <v>0</v>
      </c>
      <c r="DX188" s="3">
        <f t="shared" si="169"/>
        <v>4.9462908888163799</v>
      </c>
      <c r="DY188" s="3">
        <f t="shared" si="201"/>
        <v>1.6945445245082836E-2</v>
      </c>
      <c r="DZ188" s="3">
        <v>0</v>
      </c>
      <c r="EA188" s="3">
        <v>0</v>
      </c>
      <c r="EB188" s="3">
        <f t="shared" si="170"/>
        <v>1.6945445245082836E-2</v>
      </c>
      <c r="EC188" s="4">
        <f t="shared" si="202"/>
        <v>33.659999999999989</v>
      </c>
      <c r="ED188" s="5">
        <f t="shared" si="171"/>
        <v>0</v>
      </c>
      <c r="EE188" s="6">
        <f t="shared" si="174"/>
        <v>33.659999999999989</v>
      </c>
      <c r="EF188" s="6">
        <f t="shared" si="174"/>
        <v>0</v>
      </c>
      <c r="EG188" s="6">
        <f t="shared" si="174"/>
        <v>0</v>
      </c>
    </row>
    <row r="189" spans="1:137" ht="12" customHeight="1" x14ac:dyDescent="0.35">
      <c r="A189" s="43" t="s">
        <v>687</v>
      </c>
      <c r="B189" s="43">
        <v>26206</v>
      </c>
      <c r="C189" s="43" t="s">
        <v>688</v>
      </c>
      <c r="D189" s="43" t="s">
        <v>689</v>
      </c>
      <c r="E189" s="43">
        <v>415801</v>
      </c>
      <c r="F189" s="43">
        <v>4449299800005</v>
      </c>
      <c r="G189" s="44">
        <v>46066</v>
      </c>
      <c r="H189" s="44">
        <v>46097</v>
      </c>
      <c r="I189" s="45">
        <v>18</v>
      </c>
      <c r="J189" s="45">
        <v>25</v>
      </c>
      <c r="K189" s="46">
        <v>4.5</v>
      </c>
      <c r="L189" s="45"/>
      <c r="M189" s="45"/>
      <c r="N189" s="45">
        <v>4.5</v>
      </c>
      <c r="O189" s="45">
        <v>29.5</v>
      </c>
      <c r="P189" s="43" t="s">
        <v>95</v>
      </c>
      <c r="Q189" s="43" t="s">
        <v>185</v>
      </c>
      <c r="R189" s="43" t="s">
        <v>690</v>
      </c>
      <c r="S189" s="43" t="s">
        <v>252</v>
      </c>
      <c r="T189" s="43" t="s">
        <v>253</v>
      </c>
      <c r="U189" s="43"/>
      <c r="V189" s="43">
        <v>9971</v>
      </c>
      <c r="W189" s="43" t="s">
        <v>697</v>
      </c>
      <c r="X189" s="43" t="s">
        <v>101</v>
      </c>
      <c r="Y189" s="43">
        <v>107</v>
      </c>
      <c r="Z189" s="43" t="s">
        <v>102</v>
      </c>
      <c r="AA189" t="s">
        <v>698</v>
      </c>
      <c r="AB189">
        <v>4.5</v>
      </c>
      <c r="AC189">
        <v>4.58</v>
      </c>
      <c r="AD189" s="38">
        <v>0</v>
      </c>
      <c r="AE189" t="s">
        <v>104</v>
      </c>
      <c r="AF189" t="s">
        <v>73</v>
      </c>
      <c r="AG189" s="3">
        <f t="shared" si="175"/>
        <v>0.16661067057040815</v>
      </c>
      <c r="AH189" s="3">
        <v>0</v>
      </c>
      <c r="AI189" s="3">
        <v>0</v>
      </c>
      <c r="AJ189" s="3">
        <f t="shared" si="151"/>
        <v>0.16661067057040815</v>
      </c>
      <c r="AK189" s="3">
        <f t="shared" si="176"/>
        <v>1.3864165426751257E-3</v>
      </c>
      <c r="AL189" s="3">
        <v>0</v>
      </c>
      <c r="AM189" s="3">
        <v>0</v>
      </c>
      <c r="AN189" s="3">
        <f t="shared" si="152"/>
        <v>1.3864165426751257E-3</v>
      </c>
      <c r="AO189" s="3">
        <f t="shared" si="177"/>
        <v>6.8673586863037081E-2</v>
      </c>
      <c r="AP189" s="3">
        <v>0</v>
      </c>
      <c r="AQ189" s="3">
        <v>0</v>
      </c>
      <c r="AR189" s="3">
        <f t="shared" si="153"/>
        <v>6.8673586863037081E-2</v>
      </c>
      <c r="AS189" s="3">
        <f t="shared" si="178"/>
        <v>6.0131165688908465E-2</v>
      </c>
      <c r="AT189" s="3">
        <v>0</v>
      </c>
      <c r="AU189" s="3">
        <v>0</v>
      </c>
      <c r="AV189" s="3">
        <f t="shared" si="154"/>
        <v>6.0131165688908465E-2</v>
      </c>
      <c r="AW189" s="3">
        <f t="shared" si="179"/>
        <v>7.0533612611333452E-3</v>
      </c>
      <c r="AX189" s="3">
        <v>0</v>
      </c>
      <c r="AY189" s="3">
        <v>0</v>
      </c>
      <c r="AZ189" s="3">
        <f t="shared" si="155"/>
        <v>7.0533612611333452E-3</v>
      </c>
      <c r="BA189" s="3">
        <f t="shared" si="180"/>
        <v>7.5316092932720111E-2</v>
      </c>
      <c r="BB189" s="3">
        <v>0</v>
      </c>
      <c r="BC189" s="3">
        <v>0</v>
      </c>
      <c r="BD189" s="3">
        <f t="shared" si="156"/>
        <v>7.5316092932720111E-2</v>
      </c>
      <c r="BE189" s="3">
        <f t="shared" si="181"/>
        <v>0.32668229792357462</v>
      </c>
      <c r="BF189" s="3">
        <f t="shared" si="182"/>
        <v>0</v>
      </c>
      <c r="BG189" s="3">
        <f t="shared" si="183"/>
        <v>0</v>
      </c>
      <c r="BH189" s="3">
        <f t="shared" si="148"/>
        <v>0.32668229792357462</v>
      </c>
      <c r="BI189" s="3">
        <f t="shared" si="184"/>
        <v>0.18947870576463535</v>
      </c>
      <c r="BJ189" s="3">
        <v>0</v>
      </c>
      <c r="BK189" s="3">
        <v>0</v>
      </c>
      <c r="BL189" s="3">
        <f t="shared" si="149"/>
        <v>0.18947870576463535</v>
      </c>
      <c r="BM189" s="3">
        <f t="shared" si="185"/>
        <v>0.87004936325559479</v>
      </c>
      <c r="BN189" s="3">
        <v>0</v>
      </c>
      <c r="BO189" s="3">
        <v>0</v>
      </c>
      <c r="BP189" s="3">
        <f t="shared" si="157"/>
        <v>0.87004936325559479</v>
      </c>
      <c r="BQ189" s="3">
        <f t="shared" si="186"/>
        <v>7.7988868436786207E-2</v>
      </c>
      <c r="BR189" s="3">
        <v>0</v>
      </c>
      <c r="BS189" s="3">
        <v>0</v>
      </c>
      <c r="BT189" s="3">
        <f t="shared" si="158"/>
        <v>7.7988868436786207E-2</v>
      </c>
      <c r="BU189" s="3">
        <f t="shared" si="187"/>
        <v>1.2375514573281449E-2</v>
      </c>
      <c r="BV189" s="3">
        <v>0</v>
      </c>
      <c r="BW189" s="3">
        <v>0</v>
      </c>
      <c r="BX189" s="3">
        <f t="shared" si="159"/>
        <v>1.2375514573281449E-2</v>
      </c>
      <c r="BY189" s="3">
        <f t="shared" si="188"/>
        <v>2.9831126863419124E-2</v>
      </c>
      <c r="BZ189" s="3">
        <v>0</v>
      </c>
      <c r="CA189" s="3">
        <v>0</v>
      </c>
      <c r="CB189" s="3">
        <f t="shared" si="160"/>
        <v>2.9831126863419124E-2</v>
      </c>
      <c r="CC189" s="3">
        <f t="shared" si="189"/>
        <v>2.46974290879978E-2</v>
      </c>
      <c r="CD189" s="3">
        <v>0</v>
      </c>
      <c r="CE189" s="3">
        <v>0</v>
      </c>
      <c r="CF189" s="3">
        <f t="shared" si="161"/>
        <v>2.46974290879978E-2</v>
      </c>
      <c r="CG189" s="3">
        <f t="shared" si="190"/>
        <v>2.8295066127286252E-2</v>
      </c>
      <c r="CH189" s="3">
        <v>0</v>
      </c>
      <c r="CI189" s="3">
        <v>0</v>
      </c>
      <c r="CJ189" s="3">
        <f t="shared" si="162"/>
        <v>2.8295066127286252E-2</v>
      </c>
      <c r="CK189" s="3">
        <f t="shared" si="191"/>
        <v>5.8219308868588351E-2</v>
      </c>
      <c r="CL189" s="3">
        <v>0</v>
      </c>
      <c r="CM189" s="3">
        <v>0</v>
      </c>
      <c r="CN189" s="3">
        <f t="shared" si="163"/>
        <v>5.8219308868588351E-2</v>
      </c>
      <c r="CO189" s="3">
        <f t="shared" si="192"/>
        <v>0.11355290601320892</v>
      </c>
      <c r="CP189" s="3">
        <v>0</v>
      </c>
      <c r="CQ189" s="3">
        <v>0</v>
      </c>
      <c r="CR189" s="3">
        <f t="shared" si="164"/>
        <v>0.11355290601320892</v>
      </c>
      <c r="CS189" s="3">
        <f t="shared" si="193"/>
        <v>0.333785050745255</v>
      </c>
      <c r="CT189" s="3">
        <v>0</v>
      </c>
      <c r="CU189" s="3">
        <v>0</v>
      </c>
      <c r="CV189" s="3">
        <f t="shared" si="165"/>
        <v>0.333785050745255</v>
      </c>
      <c r="CW189" s="3">
        <f t="shared" si="194"/>
        <v>1.1082917367082066</v>
      </c>
      <c r="CX189" s="3">
        <v>0</v>
      </c>
      <c r="CY189" s="3">
        <v>0</v>
      </c>
      <c r="CZ189" s="3">
        <f t="shared" si="173"/>
        <v>1.1082917367082066</v>
      </c>
      <c r="DA189" s="3">
        <f t="shared" si="195"/>
        <v>7.552717146172902E-2</v>
      </c>
      <c r="DB189" s="3">
        <v>0</v>
      </c>
      <c r="DC189" s="3">
        <v>0</v>
      </c>
      <c r="DD189" s="3">
        <f t="shared" si="166"/>
        <v>7.552717146172902E-2</v>
      </c>
      <c r="DE189" s="3">
        <f t="shared" si="196"/>
        <v>1.2732150094401906E-2</v>
      </c>
      <c r="DF189" s="3">
        <v>0</v>
      </c>
      <c r="DG189" s="3">
        <v>0</v>
      </c>
      <c r="DH189" s="3">
        <f t="shared" si="167"/>
        <v>1.2732150094401906E-2</v>
      </c>
      <c r="DI189" s="3">
        <f t="shared" si="197"/>
        <v>0</v>
      </c>
      <c r="DJ189" s="3">
        <v>0</v>
      </c>
      <c r="DK189" s="3">
        <v>0</v>
      </c>
      <c r="DL189" s="3">
        <f t="shared" si="147"/>
        <v>0</v>
      </c>
      <c r="DM189" s="3">
        <f t="shared" si="198"/>
        <v>6.2941161986578439E-2</v>
      </c>
      <c r="DN189" s="3">
        <v>0</v>
      </c>
      <c r="DO189" s="3">
        <v>0</v>
      </c>
      <c r="DP189" s="3">
        <f t="shared" si="168"/>
        <v>6.2941161986578439E-2</v>
      </c>
      <c r="DQ189" s="3">
        <f t="shared" si="199"/>
        <v>0.13284657897101843</v>
      </c>
      <c r="DR189" s="3">
        <v>0</v>
      </c>
      <c r="DS189" s="3">
        <v>0</v>
      </c>
      <c r="DT189" s="3">
        <f t="shared" si="172"/>
        <v>0.13284657897101843</v>
      </c>
      <c r="DU189" s="3">
        <f t="shared" si="200"/>
        <v>0.66126883540325954</v>
      </c>
      <c r="DV189" s="3">
        <v>0</v>
      </c>
      <c r="DW189" s="3">
        <v>0</v>
      </c>
      <c r="DX189" s="3">
        <f t="shared" si="169"/>
        <v>0.66126883540325954</v>
      </c>
      <c r="DY189" s="3">
        <f t="shared" si="201"/>
        <v>2.265433856294497E-3</v>
      </c>
      <c r="DZ189" s="3">
        <v>0</v>
      </c>
      <c r="EA189" s="3">
        <v>0</v>
      </c>
      <c r="EB189" s="3">
        <f t="shared" si="170"/>
        <v>2.265433856294497E-3</v>
      </c>
      <c r="EC189" s="4">
        <f t="shared" si="202"/>
        <v>4.4999999999999973</v>
      </c>
      <c r="ED189" s="5">
        <f t="shared" si="171"/>
        <v>0</v>
      </c>
      <c r="EE189" s="6">
        <f t="shared" si="174"/>
        <v>4.4999999999999973</v>
      </c>
      <c r="EF189" s="6">
        <f t="shared" si="174"/>
        <v>0</v>
      </c>
      <c r="EG189" s="6">
        <f t="shared" si="174"/>
        <v>0</v>
      </c>
    </row>
    <row r="190" spans="1:137" ht="12" customHeight="1" x14ac:dyDescent="0.35">
      <c r="A190" s="43" t="s">
        <v>687</v>
      </c>
      <c r="B190" s="43">
        <v>26206</v>
      </c>
      <c r="C190" s="43" t="s">
        <v>688</v>
      </c>
      <c r="D190" s="43" t="s">
        <v>689</v>
      </c>
      <c r="E190" s="43">
        <v>415801</v>
      </c>
      <c r="F190" s="43">
        <v>4449299700006</v>
      </c>
      <c r="G190" s="44">
        <v>46066</v>
      </c>
      <c r="H190" s="44">
        <v>46097</v>
      </c>
      <c r="I190" s="45">
        <v>18</v>
      </c>
      <c r="J190" s="45">
        <v>1775</v>
      </c>
      <c r="K190" s="46">
        <v>319.5</v>
      </c>
      <c r="L190" s="45"/>
      <c r="M190" s="45"/>
      <c r="N190" s="45">
        <v>319.5</v>
      </c>
      <c r="O190" s="45">
        <v>2094.5</v>
      </c>
      <c r="P190" s="43" t="s">
        <v>95</v>
      </c>
      <c r="Q190" s="43" t="s">
        <v>185</v>
      </c>
      <c r="R190" s="43" t="s">
        <v>690</v>
      </c>
      <c r="S190" s="43" t="s">
        <v>252</v>
      </c>
      <c r="T190" s="43" t="s">
        <v>253</v>
      </c>
      <c r="U190" s="43"/>
      <c r="V190" s="43">
        <v>9971</v>
      </c>
      <c r="W190" s="43" t="s">
        <v>699</v>
      </c>
      <c r="X190" s="43" t="s">
        <v>101</v>
      </c>
      <c r="Y190" s="43">
        <v>107</v>
      </c>
      <c r="Z190" s="43" t="s">
        <v>102</v>
      </c>
      <c r="AA190" t="s">
        <v>700</v>
      </c>
      <c r="AB190">
        <v>319.5</v>
      </c>
      <c r="AC190">
        <v>319.51</v>
      </c>
      <c r="AD190" s="38">
        <v>0</v>
      </c>
      <c r="AE190" t="s">
        <v>104</v>
      </c>
      <c r="AF190" t="s">
        <v>73</v>
      </c>
      <c r="AG190" s="3">
        <f t="shared" si="175"/>
        <v>11.829357610498979</v>
      </c>
      <c r="AH190" s="3">
        <v>0</v>
      </c>
      <c r="AI190" s="3">
        <v>0</v>
      </c>
      <c r="AJ190" s="3">
        <f t="shared" si="151"/>
        <v>11.829357610498979</v>
      </c>
      <c r="AK190" s="3">
        <f t="shared" si="176"/>
        <v>9.8435574529933914E-2</v>
      </c>
      <c r="AL190" s="3">
        <v>0</v>
      </c>
      <c r="AM190" s="3">
        <v>0</v>
      </c>
      <c r="AN190" s="3">
        <f t="shared" si="152"/>
        <v>9.8435574529933914E-2</v>
      </c>
      <c r="AO190" s="3">
        <f t="shared" si="177"/>
        <v>4.8758246672756327</v>
      </c>
      <c r="AP190" s="3">
        <v>0</v>
      </c>
      <c r="AQ190" s="3">
        <v>0</v>
      </c>
      <c r="AR190" s="3">
        <f t="shared" si="153"/>
        <v>4.8758246672756327</v>
      </c>
      <c r="AS190" s="3">
        <f t="shared" si="178"/>
        <v>4.2693127639125006</v>
      </c>
      <c r="AT190" s="3">
        <v>0</v>
      </c>
      <c r="AU190" s="3">
        <v>0</v>
      </c>
      <c r="AV190" s="3">
        <f t="shared" si="154"/>
        <v>4.2693127639125006</v>
      </c>
      <c r="AW190" s="3">
        <f t="shared" si="179"/>
        <v>0.50078864954046753</v>
      </c>
      <c r="AX190" s="3">
        <v>0</v>
      </c>
      <c r="AY190" s="3">
        <v>0</v>
      </c>
      <c r="AZ190" s="3">
        <f t="shared" si="155"/>
        <v>0.50078864954046753</v>
      </c>
      <c r="BA190" s="3">
        <f t="shared" si="180"/>
        <v>5.347442598223128</v>
      </c>
      <c r="BB190" s="3">
        <v>0</v>
      </c>
      <c r="BC190" s="3">
        <v>0</v>
      </c>
      <c r="BD190" s="3">
        <f t="shared" si="156"/>
        <v>5.347442598223128</v>
      </c>
      <c r="BE190" s="3">
        <f t="shared" si="181"/>
        <v>23.194443152573797</v>
      </c>
      <c r="BF190" s="3">
        <f t="shared" si="182"/>
        <v>0</v>
      </c>
      <c r="BG190" s="3">
        <f t="shared" si="183"/>
        <v>0</v>
      </c>
      <c r="BH190" s="3">
        <f t="shared" si="148"/>
        <v>23.194443152573797</v>
      </c>
      <c r="BI190" s="3">
        <f t="shared" si="184"/>
        <v>13.452988109289109</v>
      </c>
      <c r="BJ190" s="3">
        <v>0</v>
      </c>
      <c r="BK190" s="3">
        <v>0</v>
      </c>
      <c r="BL190" s="3">
        <f t="shared" si="149"/>
        <v>13.452988109289109</v>
      </c>
      <c r="BM190" s="3">
        <f t="shared" si="185"/>
        <v>61.773504791147239</v>
      </c>
      <c r="BN190" s="3">
        <v>0</v>
      </c>
      <c r="BO190" s="3">
        <v>0</v>
      </c>
      <c r="BP190" s="3">
        <f t="shared" si="157"/>
        <v>61.773504791147239</v>
      </c>
      <c r="BQ190" s="3">
        <f t="shared" si="186"/>
        <v>5.5372096590118209</v>
      </c>
      <c r="BR190" s="3">
        <v>0</v>
      </c>
      <c r="BS190" s="3">
        <v>0</v>
      </c>
      <c r="BT190" s="3">
        <f t="shared" si="158"/>
        <v>5.5372096590118209</v>
      </c>
      <c r="BU190" s="3">
        <f t="shared" si="187"/>
        <v>0.8786615347029828</v>
      </c>
      <c r="BV190" s="3">
        <v>0</v>
      </c>
      <c r="BW190" s="3">
        <v>0</v>
      </c>
      <c r="BX190" s="3">
        <f t="shared" si="159"/>
        <v>0.8786615347029828</v>
      </c>
      <c r="BY190" s="3">
        <f t="shared" si="188"/>
        <v>2.1180100073027579</v>
      </c>
      <c r="BZ190" s="3">
        <v>0</v>
      </c>
      <c r="CA190" s="3">
        <v>0</v>
      </c>
      <c r="CB190" s="3">
        <f t="shared" si="160"/>
        <v>2.1180100073027579</v>
      </c>
      <c r="CC190" s="3">
        <f t="shared" si="189"/>
        <v>1.7535174652478438</v>
      </c>
      <c r="CD190" s="3">
        <v>0</v>
      </c>
      <c r="CE190" s="3">
        <v>0</v>
      </c>
      <c r="CF190" s="3">
        <f t="shared" si="161"/>
        <v>1.7535174652478438</v>
      </c>
      <c r="CG190" s="3">
        <f t="shared" si="190"/>
        <v>2.0089496950373236</v>
      </c>
      <c r="CH190" s="3">
        <v>0</v>
      </c>
      <c r="CI190" s="3">
        <v>0</v>
      </c>
      <c r="CJ190" s="3">
        <f t="shared" si="162"/>
        <v>2.0089496950373236</v>
      </c>
      <c r="CK190" s="3">
        <f t="shared" si="191"/>
        <v>4.1335709296697729</v>
      </c>
      <c r="CL190" s="3">
        <v>0</v>
      </c>
      <c r="CM190" s="3">
        <v>0</v>
      </c>
      <c r="CN190" s="3">
        <f t="shared" si="163"/>
        <v>4.1335709296697729</v>
      </c>
      <c r="CO190" s="3">
        <f t="shared" si="192"/>
        <v>8.0622563269378329</v>
      </c>
      <c r="CP190" s="3">
        <v>0</v>
      </c>
      <c r="CQ190" s="3">
        <v>0</v>
      </c>
      <c r="CR190" s="3">
        <f t="shared" si="164"/>
        <v>8.0622563269378329</v>
      </c>
      <c r="CS190" s="3">
        <f t="shared" si="193"/>
        <v>23.698738602913103</v>
      </c>
      <c r="CT190" s="3">
        <v>0</v>
      </c>
      <c r="CU190" s="3">
        <v>0</v>
      </c>
      <c r="CV190" s="3">
        <f t="shared" si="165"/>
        <v>23.698738602913103</v>
      </c>
      <c r="CW190" s="3">
        <f t="shared" si="194"/>
        <v>78.688713306282665</v>
      </c>
      <c r="CX190" s="3">
        <v>0</v>
      </c>
      <c r="CY190" s="3">
        <v>0</v>
      </c>
      <c r="CZ190" s="3">
        <f t="shared" si="173"/>
        <v>78.688713306282665</v>
      </c>
      <c r="DA190" s="3">
        <f t="shared" si="195"/>
        <v>5.3624291737827612</v>
      </c>
      <c r="DB190" s="3">
        <v>0</v>
      </c>
      <c r="DC190" s="3">
        <v>0</v>
      </c>
      <c r="DD190" s="3">
        <f t="shared" si="166"/>
        <v>5.3624291737827612</v>
      </c>
      <c r="DE190" s="3">
        <f t="shared" si="196"/>
        <v>0.9039826567025353</v>
      </c>
      <c r="DF190" s="3">
        <v>0</v>
      </c>
      <c r="DG190" s="3">
        <v>0</v>
      </c>
      <c r="DH190" s="3">
        <f t="shared" si="167"/>
        <v>0.9039826567025353</v>
      </c>
      <c r="DI190" s="3">
        <f t="shared" si="197"/>
        <v>0</v>
      </c>
      <c r="DJ190" s="3">
        <v>0</v>
      </c>
      <c r="DK190" s="3">
        <v>0</v>
      </c>
      <c r="DL190" s="3">
        <f t="shared" si="147"/>
        <v>0</v>
      </c>
      <c r="DM190" s="3">
        <f t="shared" si="198"/>
        <v>4.4688225010470699</v>
      </c>
      <c r="DN190" s="3">
        <v>0</v>
      </c>
      <c r="DO190" s="3">
        <v>0</v>
      </c>
      <c r="DP190" s="3">
        <f t="shared" si="168"/>
        <v>4.4688225010470699</v>
      </c>
      <c r="DQ190" s="3">
        <f t="shared" si="199"/>
        <v>9.4321071069423095</v>
      </c>
      <c r="DR190" s="3">
        <v>0</v>
      </c>
      <c r="DS190" s="3">
        <v>0</v>
      </c>
      <c r="DT190" s="3">
        <f t="shared" si="172"/>
        <v>9.4321071069423095</v>
      </c>
      <c r="DU190" s="3">
        <f t="shared" si="200"/>
        <v>46.950087313631421</v>
      </c>
      <c r="DV190" s="3">
        <v>0</v>
      </c>
      <c r="DW190" s="3">
        <v>0</v>
      </c>
      <c r="DX190" s="3">
        <f t="shared" si="169"/>
        <v>46.950087313631421</v>
      </c>
      <c r="DY190" s="3">
        <f t="shared" si="201"/>
        <v>0.1608458037969093</v>
      </c>
      <c r="DZ190" s="3">
        <v>0</v>
      </c>
      <c r="EA190" s="3">
        <v>0</v>
      </c>
      <c r="EB190" s="3">
        <f t="shared" si="170"/>
        <v>0.1608458037969093</v>
      </c>
      <c r="EC190" s="4">
        <f t="shared" si="202"/>
        <v>319.49999999999983</v>
      </c>
      <c r="ED190" s="5">
        <f t="shared" si="171"/>
        <v>0</v>
      </c>
      <c r="EE190" s="6">
        <f t="shared" si="174"/>
        <v>319.49999999999983</v>
      </c>
      <c r="EF190" s="6">
        <f t="shared" si="174"/>
        <v>0</v>
      </c>
      <c r="EG190" s="6">
        <f t="shared" si="174"/>
        <v>0</v>
      </c>
    </row>
    <row r="191" spans="1:137" ht="12" customHeight="1" x14ac:dyDescent="0.35">
      <c r="A191" s="43" t="s">
        <v>701</v>
      </c>
      <c r="B191" s="43">
        <v>30397</v>
      </c>
      <c r="C191" s="43" t="s">
        <v>702</v>
      </c>
      <c r="D191" s="43" t="s">
        <v>703</v>
      </c>
      <c r="E191" s="43">
        <v>418502</v>
      </c>
      <c r="F191" s="43">
        <v>318</v>
      </c>
      <c r="G191" s="44">
        <v>46031</v>
      </c>
      <c r="H191" s="44">
        <v>46098</v>
      </c>
      <c r="I191" s="45">
        <v>18</v>
      </c>
      <c r="J191" s="45">
        <v>5040</v>
      </c>
      <c r="K191" s="46"/>
      <c r="L191" s="45">
        <v>453.6</v>
      </c>
      <c r="M191" s="45">
        <v>453.6</v>
      </c>
      <c r="N191" s="45">
        <v>907.2</v>
      </c>
      <c r="O191" s="45">
        <v>5947.2</v>
      </c>
      <c r="P191" s="43" t="s">
        <v>95</v>
      </c>
      <c r="Q191" s="43" t="s">
        <v>185</v>
      </c>
      <c r="R191" s="43" t="s">
        <v>704</v>
      </c>
      <c r="S191" s="43" t="s">
        <v>252</v>
      </c>
      <c r="T191" s="43" t="s">
        <v>253</v>
      </c>
      <c r="U191" s="43" t="s">
        <v>705</v>
      </c>
      <c r="V191" s="43">
        <v>998395</v>
      </c>
      <c r="W191" s="43" t="s">
        <v>706</v>
      </c>
      <c r="X191" s="43" t="s">
        <v>101</v>
      </c>
      <c r="Y191" s="43">
        <v>107</v>
      </c>
      <c r="Z191" s="43" t="s">
        <v>102</v>
      </c>
      <c r="AA191" t="s">
        <v>707</v>
      </c>
      <c r="AB191">
        <v>907.2</v>
      </c>
      <c r="AC191">
        <v>908</v>
      </c>
      <c r="AD191" s="38">
        <v>-1</v>
      </c>
      <c r="AE191" t="s">
        <v>104</v>
      </c>
      <c r="AF191" t="s">
        <v>73</v>
      </c>
      <c r="AG191" s="3">
        <f t="shared" si="175"/>
        <v>33.588711186994288</v>
      </c>
      <c r="AH191" s="3">
        <v>0</v>
      </c>
      <c r="AI191" s="3">
        <v>0</v>
      </c>
      <c r="AJ191" s="3">
        <f t="shared" si="151"/>
        <v>33.588711186994288</v>
      </c>
      <c r="AK191" s="3">
        <f t="shared" si="176"/>
        <v>0.27950157500330536</v>
      </c>
      <c r="AL191" s="3">
        <v>0</v>
      </c>
      <c r="AM191" s="3">
        <v>0</v>
      </c>
      <c r="AN191" s="3">
        <f t="shared" si="152"/>
        <v>0.27950157500330536</v>
      </c>
      <c r="AO191" s="3">
        <f t="shared" si="177"/>
        <v>13.844595111588276</v>
      </c>
      <c r="AP191" s="3">
        <v>0</v>
      </c>
      <c r="AQ191" s="3">
        <v>0</v>
      </c>
      <c r="AR191" s="3">
        <f t="shared" si="153"/>
        <v>13.844595111588276</v>
      </c>
      <c r="AS191" s="3">
        <f t="shared" si="178"/>
        <v>12.122443002883948</v>
      </c>
      <c r="AT191" s="3">
        <v>0</v>
      </c>
      <c r="AU191" s="3">
        <v>0</v>
      </c>
      <c r="AV191" s="3">
        <f t="shared" si="154"/>
        <v>12.122443002883948</v>
      </c>
      <c r="AW191" s="3">
        <f t="shared" si="179"/>
        <v>1.4219576302444827</v>
      </c>
      <c r="AX191" s="3">
        <v>0</v>
      </c>
      <c r="AY191" s="3">
        <v>0</v>
      </c>
      <c r="AZ191" s="3">
        <f t="shared" si="155"/>
        <v>1.4219576302444827</v>
      </c>
      <c r="BA191" s="3">
        <f t="shared" si="180"/>
        <v>15.183724335236375</v>
      </c>
      <c r="BB191" s="3">
        <v>0</v>
      </c>
      <c r="BC191" s="3">
        <v>0</v>
      </c>
      <c r="BD191" s="3">
        <f t="shared" si="156"/>
        <v>15.183724335236375</v>
      </c>
      <c r="BE191" s="3">
        <f t="shared" si="181"/>
        <v>0</v>
      </c>
      <c r="BF191" s="3">
        <f t="shared" si="182"/>
        <v>32.92957563069632</v>
      </c>
      <c r="BG191" s="3">
        <f t="shared" si="183"/>
        <v>32.92957563069632</v>
      </c>
      <c r="BH191" s="3">
        <f t="shared" si="148"/>
        <v>65.85915126139264</v>
      </c>
      <c r="BI191" s="3">
        <f t="shared" si="184"/>
        <v>38.198907082150484</v>
      </c>
      <c r="BJ191" s="3">
        <v>0</v>
      </c>
      <c r="BK191" s="3">
        <v>0</v>
      </c>
      <c r="BL191" s="3">
        <f t="shared" si="149"/>
        <v>38.198907082150484</v>
      </c>
      <c r="BM191" s="3">
        <f t="shared" si="185"/>
        <v>175.40195163232792</v>
      </c>
      <c r="BN191" s="3">
        <v>0</v>
      </c>
      <c r="BO191" s="3">
        <v>0</v>
      </c>
      <c r="BP191" s="3">
        <f t="shared" si="157"/>
        <v>175.40195163232792</v>
      </c>
      <c r="BQ191" s="3">
        <f t="shared" si="186"/>
        <v>15.722555876856102</v>
      </c>
      <c r="BR191" s="3">
        <v>0</v>
      </c>
      <c r="BS191" s="3">
        <v>0</v>
      </c>
      <c r="BT191" s="3">
        <f t="shared" si="158"/>
        <v>15.722555876856102</v>
      </c>
      <c r="BU191" s="3">
        <f t="shared" si="187"/>
        <v>2.4949037379735404</v>
      </c>
      <c r="BV191" s="3">
        <v>0</v>
      </c>
      <c r="BW191" s="3">
        <v>0</v>
      </c>
      <c r="BX191" s="3">
        <f t="shared" si="159"/>
        <v>2.4949037379735404</v>
      </c>
      <c r="BY191" s="3">
        <f t="shared" si="188"/>
        <v>6.0139551756652958</v>
      </c>
      <c r="BZ191" s="3">
        <v>0</v>
      </c>
      <c r="CA191" s="3">
        <v>0</v>
      </c>
      <c r="CB191" s="3">
        <f t="shared" si="160"/>
        <v>6.0139551756652958</v>
      </c>
      <c r="CC191" s="3">
        <f t="shared" si="189"/>
        <v>4.979001704140356</v>
      </c>
      <c r="CD191" s="3">
        <v>0</v>
      </c>
      <c r="CE191" s="3">
        <v>0</v>
      </c>
      <c r="CF191" s="3">
        <f t="shared" si="161"/>
        <v>4.979001704140356</v>
      </c>
      <c r="CG191" s="3">
        <f t="shared" si="190"/>
        <v>5.7042853312609081</v>
      </c>
      <c r="CH191" s="3">
        <v>0</v>
      </c>
      <c r="CI191" s="3">
        <v>0</v>
      </c>
      <c r="CJ191" s="3">
        <f t="shared" si="162"/>
        <v>5.7042853312609081</v>
      </c>
      <c r="CK191" s="3">
        <f t="shared" si="191"/>
        <v>11.737012667907413</v>
      </c>
      <c r="CL191" s="3">
        <v>0</v>
      </c>
      <c r="CM191" s="3">
        <v>0</v>
      </c>
      <c r="CN191" s="3">
        <f t="shared" si="163"/>
        <v>11.737012667907413</v>
      </c>
      <c r="CO191" s="3">
        <f t="shared" si="192"/>
        <v>22.89226585226292</v>
      </c>
      <c r="CP191" s="3">
        <v>0</v>
      </c>
      <c r="CQ191" s="3">
        <v>0</v>
      </c>
      <c r="CR191" s="3">
        <f t="shared" si="164"/>
        <v>22.89226585226292</v>
      </c>
      <c r="CS191" s="3">
        <f t="shared" si="193"/>
        <v>67.291066230243402</v>
      </c>
      <c r="CT191" s="3">
        <v>0</v>
      </c>
      <c r="CU191" s="3">
        <v>0</v>
      </c>
      <c r="CV191" s="3">
        <f t="shared" si="165"/>
        <v>67.291066230243402</v>
      </c>
      <c r="CW191" s="3">
        <f t="shared" si="194"/>
        <v>223.43161412037446</v>
      </c>
      <c r="CX191" s="3">
        <v>0</v>
      </c>
      <c r="CY191" s="3">
        <v>0</v>
      </c>
      <c r="CZ191" s="3">
        <f t="shared" si="173"/>
        <v>223.43161412037446</v>
      </c>
      <c r="DA191" s="3">
        <f t="shared" si="195"/>
        <v>15.226277766684573</v>
      </c>
      <c r="DB191" s="3">
        <v>0</v>
      </c>
      <c r="DC191" s="3">
        <v>0</v>
      </c>
      <c r="DD191" s="3">
        <f t="shared" si="166"/>
        <v>15.226277766684573</v>
      </c>
      <c r="DE191" s="3">
        <f t="shared" si="196"/>
        <v>2.5668014590314243</v>
      </c>
      <c r="DF191" s="3">
        <v>0</v>
      </c>
      <c r="DG191" s="3">
        <v>0</v>
      </c>
      <c r="DH191" s="3">
        <f t="shared" si="167"/>
        <v>2.5668014590314243</v>
      </c>
      <c r="DI191" s="3">
        <f t="shared" si="197"/>
        <v>0</v>
      </c>
      <c r="DJ191" s="3">
        <v>0</v>
      </c>
      <c r="DK191" s="3">
        <v>0</v>
      </c>
      <c r="DL191" s="3">
        <f t="shared" si="147"/>
        <v>0</v>
      </c>
      <c r="DM191" s="3">
        <f t="shared" si="198"/>
        <v>12.688938256494216</v>
      </c>
      <c r="DN191" s="3">
        <v>0</v>
      </c>
      <c r="DO191" s="3">
        <v>0</v>
      </c>
      <c r="DP191" s="3">
        <f t="shared" si="168"/>
        <v>12.688938256494216</v>
      </c>
      <c r="DQ191" s="3">
        <f t="shared" si="199"/>
        <v>26.781870320557317</v>
      </c>
      <c r="DR191" s="3">
        <v>0</v>
      </c>
      <c r="DS191" s="3">
        <v>0</v>
      </c>
      <c r="DT191" s="3">
        <f t="shared" si="172"/>
        <v>26.781870320557317</v>
      </c>
      <c r="DU191" s="3">
        <f t="shared" si="200"/>
        <v>133.31179721729711</v>
      </c>
      <c r="DV191" s="3">
        <v>0</v>
      </c>
      <c r="DW191" s="3">
        <v>0</v>
      </c>
      <c r="DX191" s="3">
        <f t="shared" si="169"/>
        <v>133.31179721729711</v>
      </c>
      <c r="DY191" s="3">
        <f t="shared" si="201"/>
        <v>0.45671146542897068</v>
      </c>
      <c r="DZ191" s="3">
        <v>0</v>
      </c>
      <c r="EA191" s="3">
        <v>0</v>
      </c>
      <c r="EB191" s="3">
        <f t="shared" si="170"/>
        <v>0.45671146542897068</v>
      </c>
      <c r="EC191" s="4">
        <f t="shared" si="202"/>
        <v>907.19999999999982</v>
      </c>
      <c r="ED191" s="5">
        <f t="shared" si="171"/>
        <v>0</v>
      </c>
      <c r="EE191" s="6">
        <f t="shared" si="174"/>
        <v>841.34084873860718</v>
      </c>
      <c r="EF191" s="6">
        <f t="shared" si="174"/>
        <v>32.92957563069632</v>
      </c>
      <c r="EG191" s="6">
        <f t="shared" si="174"/>
        <v>32.92957563069632</v>
      </c>
    </row>
    <row r="192" spans="1:137" ht="12" customHeight="1" x14ac:dyDescent="0.35">
      <c r="A192" s="43" t="s">
        <v>298</v>
      </c>
      <c r="B192" s="43">
        <v>40855</v>
      </c>
      <c r="C192" s="43" t="s">
        <v>299</v>
      </c>
      <c r="D192" s="43" t="s">
        <v>678</v>
      </c>
      <c r="E192" s="43">
        <v>411201</v>
      </c>
      <c r="F192" s="43" t="s">
        <v>708</v>
      </c>
      <c r="G192" s="44">
        <v>46093</v>
      </c>
      <c r="H192" s="44">
        <v>46100</v>
      </c>
      <c r="I192" s="45">
        <v>18</v>
      </c>
      <c r="J192" s="45">
        <v>18600</v>
      </c>
      <c r="K192" s="46">
        <v>3348</v>
      </c>
      <c r="L192" s="45"/>
      <c r="M192" s="45"/>
      <c r="N192" s="45">
        <v>3348</v>
      </c>
      <c r="O192" s="45">
        <v>21948</v>
      </c>
      <c r="P192" s="43" t="s">
        <v>95</v>
      </c>
      <c r="Q192" s="43" t="s">
        <v>185</v>
      </c>
      <c r="R192" s="43" t="s">
        <v>126</v>
      </c>
      <c r="S192" s="43" t="s">
        <v>252</v>
      </c>
      <c r="T192" s="43" t="s">
        <v>253</v>
      </c>
      <c r="U192" s="43"/>
      <c r="V192" s="43">
        <v>996812</v>
      </c>
      <c r="W192" s="43" t="s">
        <v>709</v>
      </c>
      <c r="X192" s="43" t="s">
        <v>101</v>
      </c>
      <c r="Y192" s="43">
        <v>107</v>
      </c>
      <c r="Z192" s="43" t="s">
        <v>102</v>
      </c>
      <c r="AA192" t="s">
        <v>710</v>
      </c>
      <c r="AB192">
        <v>3348</v>
      </c>
      <c r="AC192">
        <v>3348</v>
      </c>
      <c r="AD192" s="38">
        <v>0</v>
      </c>
      <c r="AE192" t="s">
        <v>104</v>
      </c>
      <c r="AF192" t="s">
        <v>73</v>
      </c>
      <c r="AG192" s="3">
        <f t="shared" si="175"/>
        <v>123.95833890438368</v>
      </c>
      <c r="AH192" s="3">
        <v>0</v>
      </c>
      <c r="AI192" s="3">
        <v>0</v>
      </c>
      <c r="AJ192" s="3">
        <f t="shared" si="151"/>
        <v>123.95833890438368</v>
      </c>
      <c r="AK192" s="3">
        <f t="shared" si="176"/>
        <v>1.0314939077502934</v>
      </c>
      <c r="AL192" s="3">
        <v>0</v>
      </c>
      <c r="AM192" s="3">
        <v>0</v>
      </c>
      <c r="AN192" s="3">
        <f t="shared" si="152"/>
        <v>1.0314939077502934</v>
      </c>
      <c r="AO192" s="3">
        <f t="shared" si="177"/>
        <v>51.093148626099584</v>
      </c>
      <c r="AP192" s="3">
        <v>0</v>
      </c>
      <c r="AQ192" s="3">
        <v>0</v>
      </c>
      <c r="AR192" s="3">
        <f t="shared" si="153"/>
        <v>51.093148626099584</v>
      </c>
      <c r="AS192" s="3">
        <f t="shared" si="178"/>
        <v>44.737587272547898</v>
      </c>
      <c r="AT192" s="3">
        <v>0</v>
      </c>
      <c r="AU192" s="3">
        <v>0</v>
      </c>
      <c r="AV192" s="3">
        <f t="shared" si="154"/>
        <v>44.737587272547898</v>
      </c>
      <c r="AW192" s="3">
        <f t="shared" si="179"/>
        <v>5.2477007782832095</v>
      </c>
      <c r="AX192" s="3">
        <v>0</v>
      </c>
      <c r="AY192" s="3">
        <v>0</v>
      </c>
      <c r="AZ192" s="3">
        <f t="shared" si="155"/>
        <v>5.2477007782832095</v>
      </c>
      <c r="BA192" s="3">
        <f t="shared" si="180"/>
        <v>56.035173141943758</v>
      </c>
      <c r="BB192" s="3">
        <v>0</v>
      </c>
      <c r="BC192" s="3">
        <v>0</v>
      </c>
      <c r="BD192" s="3">
        <f t="shared" si="156"/>
        <v>56.035173141943758</v>
      </c>
      <c r="BE192" s="3">
        <f t="shared" si="181"/>
        <v>243.05162965513952</v>
      </c>
      <c r="BF192" s="3">
        <f t="shared" si="182"/>
        <v>0</v>
      </c>
      <c r="BG192" s="3">
        <f t="shared" si="183"/>
        <v>0</v>
      </c>
      <c r="BH192" s="3">
        <f t="shared" si="148"/>
        <v>243.05162965513952</v>
      </c>
      <c r="BI192" s="3">
        <f t="shared" si="184"/>
        <v>140.97215708888871</v>
      </c>
      <c r="BJ192" s="3">
        <v>0</v>
      </c>
      <c r="BK192" s="3">
        <v>0</v>
      </c>
      <c r="BL192" s="3">
        <f t="shared" si="149"/>
        <v>140.97215708888871</v>
      </c>
      <c r="BM192" s="3">
        <f t="shared" si="185"/>
        <v>647.31672626216255</v>
      </c>
      <c r="BN192" s="3">
        <v>0</v>
      </c>
      <c r="BO192" s="3">
        <v>0</v>
      </c>
      <c r="BP192" s="3">
        <f t="shared" si="157"/>
        <v>647.31672626216255</v>
      </c>
      <c r="BQ192" s="3">
        <f t="shared" si="186"/>
        <v>58.023718116968936</v>
      </c>
      <c r="BR192" s="3">
        <v>0</v>
      </c>
      <c r="BS192" s="3">
        <v>0</v>
      </c>
      <c r="BT192" s="3">
        <f t="shared" si="158"/>
        <v>58.023718116968936</v>
      </c>
      <c r="BU192" s="3">
        <f t="shared" si="187"/>
        <v>9.2073828425213975</v>
      </c>
      <c r="BV192" s="3">
        <v>0</v>
      </c>
      <c r="BW192" s="3">
        <v>0</v>
      </c>
      <c r="BX192" s="3">
        <f t="shared" si="159"/>
        <v>9.2073828425213975</v>
      </c>
      <c r="BY192" s="3">
        <f t="shared" si="188"/>
        <v>22.194358386383829</v>
      </c>
      <c r="BZ192" s="3">
        <v>0</v>
      </c>
      <c r="CA192" s="3">
        <v>0</v>
      </c>
      <c r="CB192" s="3">
        <f t="shared" si="160"/>
        <v>22.194358386383829</v>
      </c>
      <c r="CC192" s="3">
        <f t="shared" si="189"/>
        <v>18.374887241470361</v>
      </c>
      <c r="CD192" s="3">
        <v>0</v>
      </c>
      <c r="CE192" s="3">
        <v>0</v>
      </c>
      <c r="CF192" s="3">
        <f t="shared" si="161"/>
        <v>18.374887241470361</v>
      </c>
      <c r="CG192" s="3">
        <f t="shared" si="190"/>
        <v>21.051529198700969</v>
      </c>
      <c r="CH192" s="3">
        <v>0</v>
      </c>
      <c r="CI192" s="3">
        <v>0</v>
      </c>
      <c r="CJ192" s="3">
        <f t="shared" si="162"/>
        <v>21.051529198700969</v>
      </c>
      <c r="CK192" s="3">
        <f t="shared" si="191"/>
        <v>43.315165798229735</v>
      </c>
      <c r="CL192" s="3">
        <v>0</v>
      </c>
      <c r="CM192" s="3">
        <v>0</v>
      </c>
      <c r="CN192" s="3">
        <f t="shared" si="163"/>
        <v>43.315165798229735</v>
      </c>
      <c r="CO192" s="3">
        <f t="shared" si="192"/>
        <v>84.483362073827436</v>
      </c>
      <c r="CP192" s="3">
        <v>0</v>
      </c>
      <c r="CQ192" s="3">
        <v>0</v>
      </c>
      <c r="CR192" s="3">
        <f t="shared" si="164"/>
        <v>84.483362073827436</v>
      </c>
      <c r="CS192" s="3">
        <f t="shared" si="193"/>
        <v>248.33607775446973</v>
      </c>
      <c r="CT192" s="3">
        <v>0</v>
      </c>
      <c r="CU192" s="3">
        <v>0</v>
      </c>
      <c r="CV192" s="3">
        <f t="shared" si="165"/>
        <v>248.33607775446973</v>
      </c>
      <c r="CW192" s="3">
        <f t="shared" si="194"/>
        <v>824.56905211090577</v>
      </c>
      <c r="CX192" s="3">
        <v>0</v>
      </c>
      <c r="CY192" s="3">
        <v>0</v>
      </c>
      <c r="CZ192" s="3">
        <f t="shared" si="173"/>
        <v>824.56905211090577</v>
      </c>
      <c r="DA192" s="3">
        <f t="shared" si="195"/>
        <v>56.192215567526404</v>
      </c>
      <c r="DB192" s="3">
        <v>0</v>
      </c>
      <c r="DC192" s="3">
        <v>0</v>
      </c>
      <c r="DD192" s="3">
        <f t="shared" si="166"/>
        <v>56.192215567526404</v>
      </c>
      <c r="DE192" s="3">
        <f t="shared" si="196"/>
        <v>9.4727196702350174</v>
      </c>
      <c r="DF192" s="3">
        <v>0</v>
      </c>
      <c r="DG192" s="3">
        <v>0</v>
      </c>
      <c r="DH192" s="3">
        <f t="shared" si="167"/>
        <v>9.4727196702350174</v>
      </c>
      <c r="DI192" s="3">
        <f t="shared" si="197"/>
        <v>0</v>
      </c>
      <c r="DJ192" s="3">
        <v>0</v>
      </c>
      <c r="DK192" s="3">
        <v>0</v>
      </c>
      <c r="DL192" s="3">
        <f t="shared" si="147"/>
        <v>0</v>
      </c>
      <c r="DM192" s="3">
        <f t="shared" si="198"/>
        <v>46.828224518014366</v>
      </c>
      <c r="DN192" s="3">
        <v>0</v>
      </c>
      <c r="DO192" s="3">
        <v>0</v>
      </c>
      <c r="DP192" s="3">
        <f t="shared" si="168"/>
        <v>46.828224518014366</v>
      </c>
      <c r="DQ192" s="3">
        <f t="shared" si="199"/>
        <v>98.837854754437728</v>
      </c>
      <c r="DR192" s="3">
        <v>0</v>
      </c>
      <c r="DS192" s="3">
        <v>0</v>
      </c>
      <c r="DT192" s="3">
        <f t="shared" si="172"/>
        <v>98.837854754437728</v>
      </c>
      <c r="DU192" s="3">
        <f t="shared" si="200"/>
        <v>491.98401354002505</v>
      </c>
      <c r="DV192" s="3">
        <v>0</v>
      </c>
      <c r="DW192" s="3">
        <v>0</v>
      </c>
      <c r="DX192" s="3">
        <f t="shared" si="169"/>
        <v>491.98401354002505</v>
      </c>
      <c r="DY192" s="3">
        <f t="shared" si="201"/>
        <v>1.6854827890831061</v>
      </c>
      <c r="DZ192" s="3">
        <v>0</v>
      </c>
      <c r="EA192" s="3">
        <v>0</v>
      </c>
      <c r="EB192" s="3">
        <f t="shared" si="170"/>
        <v>1.6854827890831061</v>
      </c>
      <c r="EC192" s="4">
        <f t="shared" si="202"/>
        <v>3347.9999999999991</v>
      </c>
      <c r="ED192" s="5">
        <f t="shared" si="171"/>
        <v>0</v>
      </c>
      <c r="EE192" s="6">
        <f t="shared" si="174"/>
        <v>3347.9999999999991</v>
      </c>
      <c r="EF192" s="6">
        <f t="shared" si="174"/>
        <v>0</v>
      </c>
      <c r="EG192" s="6">
        <f t="shared" si="174"/>
        <v>0</v>
      </c>
    </row>
    <row r="193" spans="1:137" ht="12" customHeight="1" x14ac:dyDescent="0.35">
      <c r="A193" s="43" t="s">
        <v>711</v>
      </c>
      <c r="B193" s="43">
        <v>43126</v>
      </c>
      <c r="C193" s="43" t="s">
        <v>712</v>
      </c>
      <c r="D193" s="43" t="s">
        <v>713</v>
      </c>
      <c r="E193" s="43">
        <v>418002</v>
      </c>
      <c r="F193" s="43" t="s">
        <v>714</v>
      </c>
      <c r="G193" s="44">
        <v>46108</v>
      </c>
      <c r="H193" s="44">
        <v>46111</v>
      </c>
      <c r="I193" s="45">
        <v>18</v>
      </c>
      <c r="J193" s="45">
        <v>50000</v>
      </c>
      <c r="K193" s="46"/>
      <c r="L193" s="45">
        <v>4500</v>
      </c>
      <c r="M193" s="45">
        <v>4500</v>
      </c>
      <c r="N193" s="45">
        <v>9000</v>
      </c>
      <c r="O193" s="45">
        <v>59000</v>
      </c>
      <c r="P193" s="43" t="s">
        <v>95</v>
      </c>
      <c r="Q193" s="43" t="s">
        <v>185</v>
      </c>
      <c r="R193" s="43" t="s">
        <v>715</v>
      </c>
      <c r="S193" s="43" t="s">
        <v>252</v>
      </c>
      <c r="T193" s="43" t="s">
        <v>253</v>
      </c>
      <c r="U193" s="43" t="s">
        <v>716</v>
      </c>
      <c r="V193" s="43">
        <v>998391</v>
      </c>
      <c r="W193" s="43" t="s">
        <v>717</v>
      </c>
      <c r="X193" s="43" t="s">
        <v>101</v>
      </c>
      <c r="Y193" s="43">
        <v>107</v>
      </c>
      <c r="Z193" s="43" t="s">
        <v>102</v>
      </c>
      <c r="AA193" t="s">
        <v>718</v>
      </c>
      <c r="AB193">
        <v>9000</v>
      </c>
      <c r="AC193">
        <v>9000</v>
      </c>
      <c r="AD193" s="38">
        <v>0</v>
      </c>
      <c r="AE193" t="s">
        <v>104</v>
      </c>
      <c r="AF193" t="s">
        <v>73</v>
      </c>
      <c r="AG193" s="3">
        <f t="shared" si="175"/>
        <v>333.22134114081632</v>
      </c>
      <c r="AH193" s="3">
        <v>0</v>
      </c>
      <c r="AI193" s="3">
        <v>0</v>
      </c>
      <c r="AJ193" s="3">
        <f t="shared" si="151"/>
        <v>333.22134114081632</v>
      </c>
      <c r="AK193" s="3">
        <f t="shared" si="176"/>
        <v>2.7728330853502512</v>
      </c>
      <c r="AL193" s="3">
        <v>0</v>
      </c>
      <c r="AM193" s="3">
        <v>0</v>
      </c>
      <c r="AN193" s="3">
        <f t="shared" si="152"/>
        <v>2.7728330853502512</v>
      </c>
      <c r="AO193" s="3">
        <f t="shared" si="177"/>
        <v>137.34717372607415</v>
      </c>
      <c r="AP193" s="3">
        <v>0</v>
      </c>
      <c r="AQ193" s="3">
        <v>0</v>
      </c>
      <c r="AR193" s="3">
        <f t="shared" si="153"/>
        <v>137.34717372607415</v>
      </c>
      <c r="AS193" s="3">
        <f t="shared" si="178"/>
        <v>120.26233137781692</v>
      </c>
      <c r="AT193" s="3">
        <v>0</v>
      </c>
      <c r="AU193" s="3">
        <v>0</v>
      </c>
      <c r="AV193" s="3">
        <f t="shared" si="154"/>
        <v>120.26233137781692</v>
      </c>
      <c r="AW193" s="3">
        <f t="shared" si="179"/>
        <v>14.10672252226669</v>
      </c>
      <c r="AX193" s="3">
        <v>0</v>
      </c>
      <c r="AY193" s="3">
        <v>0</v>
      </c>
      <c r="AZ193" s="3">
        <f t="shared" si="155"/>
        <v>14.10672252226669</v>
      </c>
      <c r="BA193" s="3">
        <f t="shared" si="180"/>
        <v>150.63218586544022</v>
      </c>
      <c r="BB193" s="3">
        <v>0</v>
      </c>
      <c r="BC193" s="3">
        <v>0</v>
      </c>
      <c r="BD193" s="3">
        <f t="shared" si="156"/>
        <v>150.63218586544022</v>
      </c>
      <c r="BE193" s="3">
        <f t="shared" si="181"/>
        <v>0</v>
      </c>
      <c r="BF193" s="3">
        <f t="shared" si="182"/>
        <v>326.68229792357465</v>
      </c>
      <c r="BG193" s="3">
        <f t="shared" si="183"/>
        <v>326.68229792357465</v>
      </c>
      <c r="BH193" s="3">
        <f t="shared" si="148"/>
        <v>653.3645958471493</v>
      </c>
      <c r="BI193" s="3">
        <f t="shared" si="184"/>
        <v>378.9574115292707</v>
      </c>
      <c r="BJ193" s="3">
        <v>0</v>
      </c>
      <c r="BK193" s="3">
        <v>0</v>
      </c>
      <c r="BL193" s="3">
        <f t="shared" si="149"/>
        <v>378.9574115292707</v>
      </c>
      <c r="BM193" s="3">
        <f t="shared" si="185"/>
        <v>1740.0987265111896</v>
      </c>
      <c r="BN193" s="3">
        <v>0</v>
      </c>
      <c r="BO193" s="3">
        <v>0</v>
      </c>
      <c r="BP193" s="3">
        <f t="shared" si="157"/>
        <v>1740.0987265111896</v>
      </c>
      <c r="BQ193" s="3">
        <f t="shared" si="186"/>
        <v>155.97773687357244</v>
      </c>
      <c r="BR193" s="3">
        <v>0</v>
      </c>
      <c r="BS193" s="3">
        <v>0</v>
      </c>
      <c r="BT193" s="3">
        <f t="shared" si="158"/>
        <v>155.97773687357244</v>
      </c>
      <c r="BU193" s="3">
        <f t="shared" si="187"/>
        <v>24.751029146562896</v>
      </c>
      <c r="BV193" s="3">
        <v>0</v>
      </c>
      <c r="BW193" s="3">
        <v>0</v>
      </c>
      <c r="BX193" s="3">
        <f t="shared" si="159"/>
        <v>24.751029146562896</v>
      </c>
      <c r="BY193" s="3">
        <f t="shared" si="188"/>
        <v>59.662253726838244</v>
      </c>
      <c r="BZ193" s="3">
        <v>0</v>
      </c>
      <c r="CA193" s="3">
        <v>0</v>
      </c>
      <c r="CB193" s="3">
        <f t="shared" si="160"/>
        <v>59.662253726838244</v>
      </c>
      <c r="CC193" s="3">
        <f t="shared" si="189"/>
        <v>49.394858175995601</v>
      </c>
      <c r="CD193" s="3">
        <v>0</v>
      </c>
      <c r="CE193" s="3">
        <v>0</v>
      </c>
      <c r="CF193" s="3">
        <f t="shared" si="161"/>
        <v>49.394858175995601</v>
      </c>
      <c r="CG193" s="3">
        <f t="shared" si="190"/>
        <v>56.590132254572495</v>
      </c>
      <c r="CH193" s="3">
        <v>0</v>
      </c>
      <c r="CI193" s="3">
        <v>0</v>
      </c>
      <c r="CJ193" s="3">
        <f t="shared" si="162"/>
        <v>56.590132254572495</v>
      </c>
      <c r="CK193" s="3">
        <f t="shared" si="191"/>
        <v>116.43861773717671</v>
      </c>
      <c r="CL193" s="3">
        <v>0</v>
      </c>
      <c r="CM193" s="3">
        <v>0</v>
      </c>
      <c r="CN193" s="3">
        <f t="shared" si="163"/>
        <v>116.43861773717671</v>
      </c>
      <c r="CO193" s="3">
        <f t="shared" si="192"/>
        <v>227.10581202641782</v>
      </c>
      <c r="CP193" s="3">
        <v>0</v>
      </c>
      <c r="CQ193" s="3">
        <v>0</v>
      </c>
      <c r="CR193" s="3">
        <f t="shared" si="164"/>
        <v>227.10581202641782</v>
      </c>
      <c r="CS193" s="3">
        <f t="shared" si="193"/>
        <v>667.57010149050996</v>
      </c>
      <c r="CT193" s="3">
        <v>0</v>
      </c>
      <c r="CU193" s="3">
        <v>0</v>
      </c>
      <c r="CV193" s="3">
        <f t="shared" si="165"/>
        <v>667.57010149050996</v>
      </c>
      <c r="CW193" s="3">
        <f t="shared" si="194"/>
        <v>2216.5834734164132</v>
      </c>
      <c r="CX193" s="3">
        <v>0</v>
      </c>
      <c r="CY193" s="3">
        <v>0</v>
      </c>
      <c r="CZ193" s="3">
        <f t="shared" si="173"/>
        <v>2216.5834734164132</v>
      </c>
      <c r="DA193" s="3">
        <f t="shared" si="195"/>
        <v>151.05434292345805</v>
      </c>
      <c r="DB193" s="3">
        <v>0</v>
      </c>
      <c r="DC193" s="3">
        <v>0</v>
      </c>
      <c r="DD193" s="3">
        <f t="shared" si="166"/>
        <v>151.05434292345805</v>
      </c>
      <c r="DE193" s="3">
        <f t="shared" si="196"/>
        <v>25.464300188803811</v>
      </c>
      <c r="DF193" s="3">
        <v>0</v>
      </c>
      <c r="DG193" s="3">
        <v>0</v>
      </c>
      <c r="DH193" s="3">
        <f t="shared" si="167"/>
        <v>25.464300188803811</v>
      </c>
      <c r="DI193" s="3">
        <f t="shared" si="197"/>
        <v>0</v>
      </c>
      <c r="DJ193" s="3">
        <v>0</v>
      </c>
      <c r="DK193" s="3">
        <v>0</v>
      </c>
      <c r="DL193" s="3">
        <f t="shared" si="147"/>
        <v>0</v>
      </c>
      <c r="DM193" s="3">
        <f t="shared" si="198"/>
        <v>125.8823239731569</v>
      </c>
      <c r="DN193" s="3">
        <v>0</v>
      </c>
      <c r="DO193" s="3">
        <v>0</v>
      </c>
      <c r="DP193" s="3">
        <f t="shared" si="168"/>
        <v>125.8823239731569</v>
      </c>
      <c r="DQ193" s="3">
        <f t="shared" si="199"/>
        <v>265.69315794203686</v>
      </c>
      <c r="DR193" s="3">
        <v>0</v>
      </c>
      <c r="DS193" s="3">
        <v>0</v>
      </c>
      <c r="DT193" s="3">
        <f t="shared" si="172"/>
        <v>265.69315794203686</v>
      </c>
      <c r="DU193" s="3">
        <f t="shared" si="200"/>
        <v>1322.5376708065189</v>
      </c>
      <c r="DV193" s="3">
        <v>0</v>
      </c>
      <c r="DW193" s="3">
        <v>0</v>
      </c>
      <c r="DX193" s="3">
        <f t="shared" si="169"/>
        <v>1322.5376708065189</v>
      </c>
      <c r="DY193" s="3">
        <f t="shared" si="201"/>
        <v>4.5308677125889947</v>
      </c>
      <c r="DZ193" s="3">
        <v>0</v>
      </c>
      <c r="EA193" s="3">
        <v>0</v>
      </c>
      <c r="EB193" s="3">
        <f t="shared" si="170"/>
        <v>4.5308677125889947</v>
      </c>
      <c r="EC193" s="4">
        <f t="shared" si="202"/>
        <v>8999.9999999999964</v>
      </c>
      <c r="ED193" s="5">
        <f t="shared" si="171"/>
        <v>0</v>
      </c>
      <c r="EE193" s="6">
        <f t="shared" si="174"/>
        <v>8346.6354041528466</v>
      </c>
      <c r="EF193" s="6">
        <f t="shared" si="174"/>
        <v>326.68229792357465</v>
      </c>
      <c r="EG193" s="6">
        <f t="shared" si="174"/>
        <v>326.68229792357465</v>
      </c>
    </row>
    <row r="194" spans="1:137" ht="12" customHeight="1" x14ac:dyDescent="0.35">
      <c r="A194" s="43" t="s">
        <v>719</v>
      </c>
      <c r="B194" s="43">
        <v>40146</v>
      </c>
      <c r="C194" s="43" t="s">
        <v>720</v>
      </c>
      <c r="D194" s="43" t="s">
        <v>721</v>
      </c>
      <c r="E194" s="43">
        <v>418031</v>
      </c>
      <c r="F194" s="43" t="s">
        <v>722</v>
      </c>
      <c r="G194" s="44">
        <v>46010</v>
      </c>
      <c r="H194" s="44">
        <v>46111</v>
      </c>
      <c r="I194" s="45">
        <v>18</v>
      </c>
      <c r="J194" s="45">
        <v>11170.55</v>
      </c>
      <c r="K194" s="46">
        <v>2010.6990000000001</v>
      </c>
      <c r="L194" s="45"/>
      <c r="M194" s="45"/>
      <c r="N194" s="45">
        <v>2010.6990000000001</v>
      </c>
      <c r="O194" s="45">
        <v>13181.249</v>
      </c>
      <c r="P194" s="43" t="s">
        <v>95</v>
      </c>
      <c r="Q194" s="43" t="s">
        <v>185</v>
      </c>
      <c r="R194" s="43" t="s">
        <v>723</v>
      </c>
      <c r="S194" s="43" t="s">
        <v>252</v>
      </c>
      <c r="T194" s="43" t="s">
        <v>253</v>
      </c>
      <c r="U194" s="43" t="s">
        <v>724</v>
      </c>
      <c r="V194" s="43">
        <v>998313</v>
      </c>
      <c r="W194" s="43" t="s">
        <v>725</v>
      </c>
      <c r="X194" s="43" t="s">
        <v>101</v>
      </c>
      <c r="Y194" s="43">
        <v>107</v>
      </c>
      <c r="Z194" s="43" t="s">
        <v>102</v>
      </c>
      <c r="AA194" t="s">
        <v>726</v>
      </c>
      <c r="AB194">
        <v>2010.6990000000001</v>
      </c>
      <c r="AC194">
        <v>2010.7</v>
      </c>
      <c r="AD194" s="38">
        <v>0</v>
      </c>
      <c r="AE194" t="s">
        <v>104</v>
      </c>
      <c r="AF194" t="s">
        <v>73</v>
      </c>
      <c r="AG194" s="3">
        <f t="shared" si="175"/>
        <v>74.445313045610916</v>
      </c>
      <c r="AH194" s="3">
        <v>0</v>
      </c>
      <c r="AI194" s="3">
        <v>0</v>
      </c>
      <c r="AJ194" s="3">
        <f t="shared" si="151"/>
        <v>74.445313045610916</v>
      </c>
      <c r="AK194" s="3">
        <f t="shared" si="176"/>
        <v>0.61948141243118493</v>
      </c>
      <c r="AL194" s="3">
        <v>0</v>
      </c>
      <c r="AM194" s="3">
        <v>0</v>
      </c>
      <c r="AN194" s="3">
        <f t="shared" si="152"/>
        <v>0.61948141243118493</v>
      </c>
      <c r="AO194" s="3">
        <f t="shared" si="177"/>
        <v>30.684869429315953</v>
      </c>
      <c r="AP194" s="3">
        <v>0</v>
      </c>
      <c r="AQ194" s="3">
        <v>0</v>
      </c>
      <c r="AR194" s="3">
        <f t="shared" si="153"/>
        <v>30.684869429315953</v>
      </c>
      <c r="AS194" s="3">
        <f t="shared" si="178"/>
        <v>26.867927715449461</v>
      </c>
      <c r="AT194" s="3">
        <v>0</v>
      </c>
      <c r="AU194" s="3">
        <v>0</v>
      </c>
      <c r="AV194" s="3">
        <f t="shared" si="154"/>
        <v>26.867927715449461</v>
      </c>
      <c r="AW194" s="3">
        <f t="shared" si="179"/>
        <v>3.151596985422124</v>
      </c>
      <c r="AX194" s="3">
        <v>0</v>
      </c>
      <c r="AY194" s="3">
        <v>0</v>
      </c>
      <c r="AZ194" s="3">
        <f t="shared" si="155"/>
        <v>3.151596985422124</v>
      </c>
      <c r="BA194" s="3">
        <f t="shared" si="180"/>
        <v>33.652887276383865</v>
      </c>
      <c r="BB194" s="3">
        <v>0</v>
      </c>
      <c r="BC194" s="3">
        <v>0</v>
      </c>
      <c r="BD194" s="3">
        <f t="shared" si="156"/>
        <v>33.652887276383865</v>
      </c>
      <c r="BE194" s="3">
        <f t="shared" si="181"/>
        <v>145.96883772280748</v>
      </c>
      <c r="BF194" s="3">
        <f t="shared" si="182"/>
        <v>0</v>
      </c>
      <c r="BG194" s="3">
        <f t="shared" si="183"/>
        <v>0</v>
      </c>
      <c r="BH194" s="3">
        <f t="shared" si="148"/>
        <v>145.96883772280748</v>
      </c>
      <c r="BI194" s="3">
        <f t="shared" si="184"/>
        <v>84.663254267165897</v>
      </c>
      <c r="BJ194" s="3">
        <v>0</v>
      </c>
      <c r="BK194" s="3">
        <v>0</v>
      </c>
      <c r="BL194" s="3">
        <f t="shared" si="149"/>
        <v>84.663254267165897</v>
      </c>
      <c r="BM194" s="3">
        <f t="shared" si="185"/>
        <v>388.75719658859146</v>
      </c>
      <c r="BN194" s="3">
        <v>0</v>
      </c>
      <c r="BO194" s="3">
        <v>0</v>
      </c>
      <c r="BP194" s="3">
        <f t="shared" si="157"/>
        <v>388.75719658859146</v>
      </c>
      <c r="BQ194" s="3">
        <f t="shared" si="186"/>
        <v>34.847142172661691</v>
      </c>
      <c r="BR194" s="3">
        <v>0</v>
      </c>
      <c r="BS194" s="3">
        <v>0</v>
      </c>
      <c r="BT194" s="3">
        <f t="shared" si="158"/>
        <v>34.847142172661691</v>
      </c>
      <c r="BU194" s="3">
        <f t="shared" si="187"/>
        <v>5.5296521726627637</v>
      </c>
      <c r="BV194" s="3">
        <v>0</v>
      </c>
      <c r="BW194" s="3">
        <v>0</v>
      </c>
      <c r="BX194" s="3">
        <f t="shared" si="159"/>
        <v>5.5296521726627637</v>
      </c>
      <c r="BY194" s="3">
        <f t="shared" si="188"/>
        <v>13.329203767366661</v>
      </c>
      <c r="BZ194" s="3">
        <v>0</v>
      </c>
      <c r="CA194" s="3">
        <v>0</v>
      </c>
      <c r="CB194" s="3">
        <f t="shared" si="160"/>
        <v>13.329203767366661</v>
      </c>
      <c r="CC194" s="3">
        <f t="shared" si="189"/>
        <v>11.035354659957353</v>
      </c>
      <c r="CD194" s="3">
        <v>0</v>
      </c>
      <c r="CE194" s="3">
        <v>0</v>
      </c>
      <c r="CF194" s="3">
        <f t="shared" si="161"/>
        <v>11.035354659957353</v>
      </c>
      <c r="CG194" s="3">
        <f t="shared" si="190"/>
        <v>12.642858037126295</v>
      </c>
      <c r="CH194" s="3">
        <v>0</v>
      </c>
      <c r="CI194" s="3">
        <v>0</v>
      </c>
      <c r="CJ194" s="3">
        <f t="shared" si="162"/>
        <v>12.642858037126295</v>
      </c>
      <c r="CK194" s="3">
        <f t="shared" si="191"/>
        <v>26.013668027280389</v>
      </c>
      <c r="CL194" s="3">
        <v>0</v>
      </c>
      <c r="CM194" s="3">
        <v>0</v>
      </c>
      <c r="CN194" s="3">
        <f t="shared" si="163"/>
        <v>26.013668027280389</v>
      </c>
      <c r="CO194" s="3">
        <f t="shared" si="192"/>
        <v>50.737936570634034</v>
      </c>
      <c r="CP194" s="3">
        <v>0</v>
      </c>
      <c r="CQ194" s="3">
        <v>0</v>
      </c>
      <c r="CR194" s="3">
        <f t="shared" si="164"/>
        <v>50.737936570634034</v>
      </c>
      <c r="CS194" s="3">
        <f t="shared" si="193"/>
        <v>149.14250394409632</v>
      </c>
      <c r="CT194" s="3">
        <v>0</v>
      </c>
      <c r="CU194" s="3">
        <v>0</v>
      </c>
      <c r="CV194" s="3">
        <f t="shared" si="165"/>
        <v>149.14250394409632</v>
      </c>
      <c r="CW194" s="3">
        <f t="shared" si="194"/>
        <v>495.20913037943433</v>
      </c>
      <c r="CX194" s="3">
        <v>0</v>
      </c>
      <c r="CY194" s="3">
        <v>0</v>
      </c>
      <c r="CZ194" s="3">
        <f t="shared" si="173"/>
        <v>495.20913037943433</v>
      </c>
      <c r="DA194" s="3">
        <f t="shared" si="195"/>
        <v>33.747201806872688</v>
      </c>
      <c r="DB194" s="3">
        <v>0</v>
      </c>
      <c r="DC194" s="3">
        <v>0</v>
      </c>
      <c r="DD194" s="3">
        <f t="shared" si="166"/>
        <v>33.747201806872688</v>
      </c>
      <c r="DE194" s="3">
        <f t="shared" si="196"/>
        <v>5.6890047694808485</v>
      </c>
      <c r="DF194" s="3">
        <v>0</v>
      </c>
      <c r="DG194" s="3">
        <v>0</v>
      </c>
      <c r="DH194" s="3">
        <f t="shared" si="167"/>
        <v>5.6890047694808485</v>
      </c>
      <c r="DI194" s="3">
        <f t="shared" si="197"/>
        <v>0</v>
      </c>
      <c r="DJ194" s="3">
        <v>0</v>
      </c>
      <c r="DK194" s="3">
        <v>0</v>
      </c>
      <c r="DL194" s="3">
        <f t="shared" si="147"/>
        <v>0</v>
      </c>
      <c r="DM194" s="3">
        <f t="shared" si="198"/>
        <v>28.123495881166953</v>
      </c>
      <c r="DN194" s="3">
        <v>0</v>
      </c>
      <c r="DO194" s="3">
        <v>0</v>
      </c>
      <c r="DP194" s="3">
        <f t="shared" si="168"/>
        <v>28.123495881166953</v>
      </c>
      <c r="DQ194" s="3">
        <f t="shared" si="199"/>
        <v>59.358774108988399</v>
      </c>
      <c r="DR194" s="3">
        <v>0</v>
      </c>
      <c r="DS194" s="3">
        <v>0</v>
      </c>
      <c r="DT194" s="3">
        <f t="shared" si="172"/>
        <v>59.358774108988399</v>
      </c>
      <c r="DU194" s="3">
        <f t="shared" si="200"/>
        <v>295.46946357255518</v>
      </c>
      <c r="DV194" s="3">
        <v>0</v>
      </c>
      <c r="DW194" s="3">
        <v>0</v>
      </c>
      <c r="DX194" s="3">
        <f t="shared" si="169"/>
        <v>295.46946357255518</v>
      </c>
      <c r="DY194" s="3">
        <f t="shared" si="201"/>
        <v>1.0122456865372198</v>
      </c>
      <c r="DZ194" s="3">
        <v>0</v>
      </c>
      <c r="EA194" s="3">
        <v>0</v>
      </c>
      <c r="EB194" s="3">
        <f t="shared" si="170"/>
        <v>1.0122456865372198</v>
      </c>
      <c r="EC194" s="4">
        <f t="shared" si="202"/>
        <v>2010.6989999999992</v>
      </c>
      <c r="ED194" s="5">
        <f t="shared" si="171"/>
        <v>0</v>
      </c>
      <c r="EE194" s="6">
        <f t="shared" si="174"/>
        <v>2010.6989999999992</v>
      </c>
      <c r="EF194" s="6">
        <f t="shared" si="174"/>
        <v>0</v>
      </c>
      <c r="EG194" s="6">
        <f t="shared" si="174"/>
        <v>0</v>
      </c>
    </row>
    <row r="195" spans="1:137" ht="12" customHeight="1" x14ac:dyDescent="0.35">
      <c r="A195" s="43" t="s">
        <v>719</v>
      </c>
      <c r="B195" s="43">
        <v>40146</v>
      </c>
      <c r="C195" s="43" t="s">
        <v>720</v>
      </c>
      <c r="D195" s="43" t="s">
        <v>721</v>
      </c>
      <c r="E195" s="43">
        <v>418031</v>
      </c>
      <c r="F195" s="43" t="s">
        <v>727</v>
      </c>
      <c r="G195" s="44">
        <v>46010</v>
      </c>
      <c r="H195" s="44">
        <v>46111</v>
      </c>
      <c r="I195" s="45">
        <v>18</v>
      </c>
      <c r="J195" s="45">
        <v>89390.65</v>
      </c>
      <c r="K195" s="46">
        <v>16090.316999999999</v>
      </c>
      <c r="L195" s="45"/>
      <c r="M195" s="45"/>
      <c r="N195" s="45">
        <v>16090.316999999999</v>
      </c>
      <c r="O195" s="45">
        <v>105480.967</v>
      </c>
      <c r="P195" s="43" t="s">
        <v>95</v>
      </c>
      <c r="Q195" s="43" t="s">
        <v>185</v>
      </c>
      <c r="R195" s="43" t="s">
        <v>723</v>
      </c>
      <c r="S195" s="43" t="s">
        <v>252</v>
      </c>
      <c r="T195" s="43" t="s">
        <v>253</v>
      </c>
      <c r="U195" s="43" t="s">
        <v>724</v>
      </c>
      <c r="V195" s="43">
        <v>998313</v>
      </c>
      <c r="W195" s="43" t="s">
        <v>725</v>
      </c>
      <c r="X195" s="43" t="s">
        <v>101</v>
      </c>
      <c r="Y195" s="43">
        <v>107</v>
      </c>
      <c r="Z195" s="43" t="s">
        <v>102</v>
      </c>
      <c r="AA195" t="s">
        <v>728</v>
      </c>
      <c r="AB195">
        <v>16090.316999999999</v>
      </c>
      <c r="AC195">
        <v>16090.32</v>
      </c>
      <c r="AD195" s="38">
        <v>0</v>
      </c>
      <c r="AE195" t="s">
        <v>104</v>
      </c>
      <c r="AF195" t="s">
        <v>73</v>
      </c>
      <c r="AG195" s="3">
        <f t="shared" si="175"/>
        <v>595.73744556898623</v>
      </c>
      <c r="AH195" s="3">
        <v>0</v>
      </c>
      <c r="AI195" s="3">
        <v>0</v>
      </c>
      <c r="AJ195" s="3">
        <f t="shared" si="151"/>
        <v>595.73744556898623</v>
      </c>
      <c r="AK195" s="3">
        <f t="shared" si="176"/>
        <v>4.9573070368192882</v>
      </c>
      <c r="AL195" s="3">
        <v>0</v>
      </c>
      <c r="AM195" s="3">
        <v>0</v>
      </c>
      <c r="AN195" s="3">
        <f t="shared" si="152"/>
        <v>4.9573070368192882</v>
      </c>
      <c r="AO195" s="3">
        <f t="shared" si="177"/>
        <v>245.55106270073381</v>
      </c>
      <c r="AP195" s="3">
        <v>0</v>
      </c>
      <c r="AQ195" s="3">
        <v>0</v>
      </c>
      <c r="AR195" s="3">
        <f t="shared" si="153"/>
        <v>245.55106270073381</v>
      </c>
      <c r="AS195" s="3">
        <f t="shared" si="178"/>
        <v>215.006559447569</v>
      </c>
      <c r="AT195" s="3">
        <v>0</v>
      </c>
      <c r="AU195" s="3">
        <v>0</v>
      </c>
      <c r="AV195" s="3">
        <f t="shared" si="154"/>
        <v>215.006559447569</v>
      </c>
      <c r="AW195" s="3">
        <f t="shared" si="179"/>
        <v>25.220181912701179</v>
      </c>
      <c r="AX195" s="3">
        <v>0</v>
      </c>
      <c r="AY195" s="3">
        <v>0</v>
      </c>
      <c r="AZ195" s="3">
        <f t="shared" si="155"/>
        <v>25.220181912701179</v>
      </c>
      <c r="BA195" s="3">
        <f t="shared" si="180"/>
        <v>269.30218010865025</v>
      </c>
      <c r="BB195" s="3">
        <v>0</v>
      </c>
      <c r="BC195" s="3">
        <v>0</v>
      </c>
      <c r="BD195" s="3">
        <f t="shared" si="156"/>
        <v>269.30218010865025</v>
      </c>
      <c r="BE195" s="3">
        <f t="shared" si="181"/>
        <v>1168.0937181952795</v>
      </c>
      <c r="BF195" s="3">
        <f t="shared" si="182"/>
        <v>0</v>
      </c>
      <c r="BG195" s="3">
        <f t="shared" si="183"/>
        <v>0</v>
      </c>
      <c r="BH195" s="3">
        <f t="shared" si="148"/>
        <v>1168.0937181952795</v>
      </c>
      <c r="BI195" s="3">
        <f t="shared" si="184"/>
        <v>677.50498677838004</v>
      </c>
      <c r="BJ195" s="3">
        <v>0</v>
      </c>
      <c r="BK195" s="3">
        <v>0</v>
      </c>
      <c r="BL195" s="3">
        <f t="shared" si="149"/>
        <v>677.50498677838004</v>
      </c>
      <c r="BM195" s="3">
        <f t="shared" si="185"/>
        <v>3110.9711245401495</v>
      </c>
      <c r="BN195" s="3">
        <v>0</v>
      </c>
      <c r="BO195" s="3">
        <v>0</v>
      </c>
      <c r="BP195" s="3">
        <f t="shared" si="157"/>
        <v>3110.9711245401495</v>
      </c>
      <c r="BQ195" s="3">
        <f t="shared" si="186"/>
        <v>278.85902569315209</v>
      </c>
      <c r="BR195" s="3">
        <v>0</v>
      </c>
      <c r="BS195" s="3">
        <v>0</v>
      </c>
      <c r="BT195" s="3">
        <f t="shared" si="158"/>
        <v>278.85902569315209</v>
      </c>
      <c r="BU195" s="3">
        <f t="shared" si="187"/>
        <v>44.250211671604056</v>
      </c>
      <c r="BV195" s="3">
        <v>0</v>
      </c>
      <c r="BW195" s="3">
        <v>0</v>
      </c>
      <c r="BX195" s="3">
        <f t="shared" si="159"/>
        <v>44.250211671604056</v>
      </c>
      <c r="BY195" s="3">
        <f t="shared" si="188"/>
        <v>106.66495282213985</v>
      </c>
      <c r="BZ195" s="3">
        <v>0</v>
      </c>
      <c r="CA195" s="3">
        <v>0</v>
      </c>
      <c r="CB195" s="3">
        <f t="shared" si="160"/>
        <v>106.66495282213985</v>
      </c>
      <c r="CC195" s="3">
        <f t="shared" si="189"/>
        <v>88.308769580201215</v>
      </c>
      <c r="CD195" s="3">
        <v>0</v>
      </c>
      <c r="CE195" s="3">
        <v>0</v>
      </c>
      <c r="CF195" s="3">
        <f t="shared" si="161"/>
        <v>88.308769580201215</v>
      </c>
      <c r="CG195" s="3">
        <f t="shared" si="190"/>
        <v>101.17257411644401</v>
      </c>
      <c r="CH195" s="3">
        <v>0</v>
      </c>
      <c r="CI195" s="3">
        <v>0</v>
      </c>
      <c r="CJ195" s="3">
        <f t="shared" si="162"/>
        <v>101.17257411644401</v>
      </c>
      <c r="CK195" s="3">
        <f t="shared" si="191"/>
        <v>208.17047449255509</v>
      </c>
      <c r="CL195" s="3">
        <v>0</v>
      </c>
      <c r="CM195" s="3">
        <v>0</v>
      </c>
      <c r="CN195" s="3">
        <f t="shared" si="163"/>
        <v>208.17047449255509</v>
      </c>
      <c r="CO195" s="3">
        <f t="shared" si="192"/>
        <v>406.02272311638609</v>
      </c>
      <c r="CP195" s="3">
        <v>0</v>
      </c>
      <c r="CQ195" s="3">
        <v>0</v>
      </c>
      <c r="CR195" s="3">
        <f t="shared" si="164"/>
        <v>406.02272311638609</v>
      </c>
      <c r="CS195" s="3">
        <f t="shared" si="193"/>
        <v>1193.490505856053</v>
      </c>
      <c r="CT195" s="3">
        <v>0</v>
      </c>
      <c r="CU195" s="3">
        <v>0</v>
      </c>
      <c r="CV195" s="3">
        <f t="shared" si="165"/>
        <v>1193.490505856053</v>
      </c>
      <c r="CW195" s="3">
        <f t="shared" si="194"/>
        <v>3962.8367493590176</v>
      </c>
      <c r="CX195" s="3">
        <v>0</v>
      </c>
      <c r="CY195" s="3">
        <v>0</v>
      </c>
      <c r="CZ195" s="3">
        <f t="shared" si="173"/>
        <v>3962.8367493590176</v>
      </c>
      <c r="DA195" s="3">
        <f t="shared" si="195"/>
        <v>270.0569179850163</v>
      </c>
      <c r="DB195" s="3">
        <v>0</v>
      </c>
      <c r="DC195" s="3">
        <v>0</v>
      </c>
      <c r="DD195" s="3">
        <f t="shared" si="166"/>
        <v>270.0569179850163</v>
      </c>
      <c r="DE195" s="3">
        <f t="shared" si="196"/>
        <v>45.525406913445906</v>
      </c>
      <c r="DF195" s="3">
        <v>0</v>
      </c>
      <c r="DG195" s="3">
        <v>0</v>
      </c>
      <c r="DH195" s="3">
        <f t="shared" si="167"/>
        <v>45.525406913445906</v>
      </c>
      <c r="DI195" s="3">
        <f t="shared" si="197"/>
        <v>0</v>
      </c>
      <c r="DJ195" s="3">
        <v>0</v>
      </c>
      <c r="DK195" s="3">
        <v>0</v>
      </c>
      <c r="DL195" s="3">
        <f t="shared" si="147"/>
        <v>0</v>
      </c>
      <c r="DM195" s="3">
        <f t="shared" si="198"/>
        <v>225.05405526942155</v>
      </c>
      <c r="DN195" s="3">
        <v>0</v>
      </c>
      <c r="DO195" s="3">
        <v>0</v>
      </c>
      <c r="DP195" s="3">
        <f t="shared" si="168"/>
        <v>225.05405526942155</v>
      </c>
      <c r="DQ195" s="3">
        <f t="shared" si="199"/>
        <v>475.00968177982679</v>
      </c>
      <c r="DR195" s="3">
        <v>0</v>
      </c>
      <c r="DS195" s="3">
        <v>0</v>
      </c>
      <c r="DT195" s="3">
        <f t="shared" si="172"/>
        <v>475.00968177982679</v>
      </c>
      <c r="DU195" s="3">
        <f t="shared" si="200"/>
        <v>2364.450040857615</v>
      </c>
      <c r="DV195" s="3">
        <v>0</v>
      </c>
      <c r="DW195" s="3">
        <v>0</v>
      </c>
      <c r="DX195" s="3">
        <f t="shared" si="169"/>
        <v>2364.450040857615</v>
      </c>
      <c r="DY195" s="3">
        <f t="shared" si="201"/>
        <v>8.1003441978468675</v>
      </c>
      <c r="DZ195" s="3">
        <v>0</v>
      </c>
      <c r="EA195" s="3">
        <v>0</v>
      </c>
      <c r="EB195" s="3">
        <f t="shared" si="170"/>
        <v>8.1003441978468675</v>
      </c>
      <c r="EC195" s="4">
        <f t="shared" si="202"/>
        <v>16090.316999999995</v>
      </c>
      <c r="ED195" s="5">
        <f t="shared" si="171"/>
        <v>0</v>
      </c>
      <c r="EE195" s="6">
        <f t="shared" si="174"/>
        <v>16090.316999999995</v>
      </c>
      <c r="EF195" s="6">
        <f t="shared" si="174"/>
        <v>0</v>
      </c>
      <c r="EG195" s="6">
        <f t="shared" si="174"/>
        <v>0</v>
      </c>
    </row>
    <row r="196" spans="1:137" ht="12" customHeight="1" x14ac:dyDescent="0.35">
      <c r="A196" s="43" t="s">
        <v>711</v>
      </c>
      <c r="B196" s="43">
        <v>43126</v>
      </c>
      <c r="C196" s="43" t="s">
        <v>712</v>
      </c>
      <c r="D196" s="43" t="s">
        <v>729</v>
      </c>
      <c r="E196" s="43">
        <v>418004</v>
      </c>
      <c r="F196" s="43" t="s">
        <v>730</v>
      </c>
      <c r="G196" s="44">
        <v>46107</v>
      </c>
      <c r="H196" s="44">
        <v>46111</v>
      </c>
      <c r="I196" s="45">
        <v>18</v>
      </c>
      <c r="J196" s="45">
        <v>250000</v>
      </c>
      <c r="K196" s="46"/>
      <c r="L196" s="45">
        <v>22500</v>
      </c>
      <c r="M196" s="45">
        <v>22500</v>
      </c>
      <c r="N196" s="45">
        <v>45000</v>
      </c>
      <c r="O196" s="45">
        <v>295000</v>
      </c>
      <c r="P196" s="43" t="s">
        <v>95</v>
      </c>
      <c r="Q196" s="43" t="s">
        <v>731</v>
      </c>
      <c r="R196" s="43" t="s">
        <v>732</v>
      </c>
      <c r="S196" s="43" t="s">
        <v>252</v>
      </c>
      <c r="T196" s="43" t="s">
        <v>253</v>
      </c>
      <c r="U196" s="43" t="s">
        <v>716</v>
      </c>
      <c r="V196" s="43">
        <v>998391</v>
      </c>
      <c r="W196" s="43" t="s">
        <v>733</v>
      </c>
      <c r="X196" s="43" t="s">
        <v>101</v>
      </c>
      <c r="Y196" s="43">
        <v>107</v>
      </c>
      <c r="Z196" s="43" t="s">
        <v>102</v>
      </c>
      <c r="AA196" t="s">
        <v>734</v>
      </c>
      <c r="AB196">
        <v>45000</v>
      </c>
      <c r="AC196">
        <v>45000</v>
      </c>
      <c r="AD196" s="38">
        <v>0</v>
      </c>
      <c r="AE196" t="s">
        <v>104</v>
      </c>
      <c r="AF196" t="s">
        <v>73</v>
      </c>
      <c r="AG196" s="3"/>
      <c r="AH196" s="3"/>
      <c r="AI196" s="3"/>
      <c r="AJ196" s="3">
        <f t="shared" si="151"/>
        <v>0</v>
      </c>
      <c r="AK196" s="3"/>
      <c r="AL196" s="3"/>
      <c r="AM196" s="3"/>
      <c r="AN196" s="3">
        <f t="shared" si="152"/>
        <v>0</v>
      </c>
      <c r="AO196" s="3">
        <f>SUM($K196:$M196)*AO$4/($AO$4+$BA$4+$BE$4+$BM$4)</f>
        <v>2304.9617503585791</v>
      </c>
      <c r="AP196" s="3">
        <v>0</v>
      </c>
      <c r="AQ196" s="3">
        <v>0</v>
      </c>
      <c r="AR196" s="3">
        <f t="shared" si="153"/>
        <v>2304.9617503585791</v>
      </c>
      <c r="AS196" s="3"/>
      <c r="AT196" s="3"/>
      <c r="AU196" s="3"/>
      <c r="AV196" s="3">
        <f t="shared" si="154"/>
        <v>0</v>
      </c>
      <c r="AW196" s="3"/>
      <c r="AX196" s="3"/>
      <c r="AY196" s="3"/>
      <c r="AZ196" s="3">
        <f t="shared" si="155"/>
        <v>0</v>
      </c>
      <c r="BA196" s="3">
        <f>SUM($K196:$M196)*BA$4/($AO$4+$BA$4+$BE$4+$BM$4)</f>
        <v>2527.9109673214248</v>
      </c>
      <c r="BB196" s="3">
        <v>0</v>
      </c>
      <c r="BC196" s="3">
        <v>0</v>
      </c>
      <c r="BD196" s="3">
        <f t="shared" si="156"/>
        <v>2527.9109673214248</v>
      </c>
      <c r="BE196" s="3">
        <f>$K196*BE$4/($AO$4+$BA$4+$BE$4+$BM$4)</f>
        <v>0</v>
      </c>
      <c r="BF196" s="3">
        <f>$L196*BE$4/($AO$4+$BA$4+$BE$4+$BM$4)</f>
        <v>5482.3858460666443</v>
      </c>
      <c r="BG196" s="3">
        <f>$M196*BE$4/($AO$4+$BA$4+$BE$4+$BM$4)</f>
        <v>5482.3858460666443</v>
      </c>
      <c r="BH196" s="3">
        <f t="shared" si="148"/>
        <v>10964.771692133289</v>
      </c>
      <c r="BI196" s="3"/>
      <c r="BJ196" s="3"/>
      <c r="BK196" s="3"/>
      <c r="BL196" s="3">
        <f t="shared" si="149"/>
        <v>0</v>
      </c>
      <c r="BM196" s="3">
        <f>SUM($K196:$M196)*BM$4/($AO$4+$BA$4+$BE$4+$BM$4)</f>
        <v>29202.355590186711</v>
      </c>
      <c r="BN196" s="3">
        <v>0</v>
      </c>
      <c r="BO196" s="3">
        <v>0</v>
      </c>
      <c r="BP196" s="3">
        <f t="shared" si="157"/>
        <v>29202.355590186711</v>
      </c>
      <c r="BQ196" s="3"/>
      <c r="BR196" s="3"/>
      <c r="BS196" s="3"/>
      <c r="BT196" s="3">
        <f t="shared" si="158"/>
        <v>0</v>
      </c>
      <c r="BU196" s="3"/>
      <c r="BV196" s="3"/>
      <c r="BW196" s="3"/>
      <c r="BX196" s="3">
        <f t="shared" si="159"/>
        <v>0</v>
      </c>
      <c r="BY196" s="3"/>
      <c r="BZ196" s="3"/>
      <c r="CA196" s="3"/>
      <c r="CB196" s="3">
        <f t="shared" si="160"/>
        <v>0</v>
      </c>
      <c r="CC196" s="3"/>
      <c r="CD196" s="3"/>
      <c r="CE196" s="3"/>
      <c r="CF196" s="3">
        <f t="shared" si="161"/>
        <v>0</v>
      </c>
      <c r="CG196" s="3"/>
      <c r="CH196" s="3"/>
      <c r="CI196" s="3"/>
      <c r="CJ196" s="3">
        <f t="shared" si="162"/>
        <v>0</v>
      </c>
      <c r="CK196" s="3"/>
      <c r="CL196" s="3"/>
      <c r="CM196" s="3"/>
      <c r="CN196" s="3">
        <f t="shared" si="163"/>
        <v>0</v>
      </c>
      <c r="CO196" s="3"/>
      <c r="CP196" s="3"/>
      <c r="CQ196" s="3"/>
      <c r="CR196" s="3">
        <f t="shared" si="164"/>
        <v>0</v>
      </c>
      <c r="CS196" s="3"/>
      <c r="CT196" s="3"/>
      <c r="CU196" s="3"/>
      <c r="CV196" s="3">
        <f t="shared" si="165"/>
        <v>0</v>
      </c>
      <c r="CW196" s="3"/>
      <c r="CX196" s="3"/>
      <c r="CY196" s="3"/>
      <c r="CZ196" s="3">
        <f t="shared" si="173"/>
        <v>0</v>
      </c>
      <c r="DA196" s="3"/>
      <c r="DB196" s="3"/>
      <c r="DC196" s="3"/>
      <c r="DD196" s="3">
        <f t="shared" si="166"/>
        <v>0</v>
      </c>
      <c r="DE196" s="3"/>
      <c r="DF196" s="3"/>
      <c r="DG196" s="3"/>
      <c r="DH196" s="3">
        <f t="shared" si="167"/>
        <v>0</v>
      </c>
      <c r="DI196" s="3"/>
      <c r="DJ196" s="3"/>
      <c r="DK196" s="3"/>
      <c r="DL196" s="3">
        <f t="shared" si="147"/>
        <v>0</v>
      </c>
      <c r="DM196" s="3"/>
      <c r="DN196" s="3"/>
      <c r="DO196" s="3"/>
      <c r="DP196" s="3">
        <f t="shared" si="168"/>
        <v>0</v>
      </c>
      <c r="DQ196" s="3"/>
      <c r="DR196" s="3"/>
      <c r="DS196" s="3"/>
      <c r="DT196" s="3">
        <f t="shared" si="172"/>
        <v>0</v>
      </c>
      <c r="DU196" s="3"/>
      <c r="DV196" s="3"/>
      <c r="DW196" s="3"/>
      <c r="DX196" s="3">
        <f t="shared" si="169"/>
        <v>0</v>
      </c>
      <c r="DY196" s="3"/>
      <c r="DZ196" s="3"/>
      <c r="EA196" s="3"/>
      <c r="EB196" s="3">
        <f t="shared" si="170"/>
        <v>0</v>
      </c>
      <c r="EC196" s="4">
        <f t="shared" si="150"/>
        <v>45000</v>
      </c>
      <c r="ED196" s="5">
        <f t="shared" si="171"/>
        <v>0</v>
      </c>
      <c r="EE196" s="6">
        <f t="shared" si="174"/>
        <v>34035.228307866717</v>
      </c>
      <c r="EF196" s="6">
        <f t="shared" si="174"/>
        <v>5482.3858460666443</v>
      </c>
      <c r="EG196" s="6">
        <f t="shared" si="174"/>
        <v>5482.3858460666443</v>
      </c>
    </row>
    <row r="197" spans="1:137" ht="12" customHeight="1" x14ac:dyDescent="0.35">
      <c r="A197" s="43" t="s">
        <v>735</v>
      </c>
      <c r="B197" s="43">
        <v>45427</v>
      </c>
      <c r="C197" s="43" t="s">
        <v>736</v>
      </c>
      <c r="D197" s="43" t="s">
        <v>264</v>
      </c>
      <c r="E197" s="43">
        <v>421806</v>
      </c>
      <c r="F197" s="43" t="s">
        <v>737</v>
      </c>
      <c r="G197" s="44">
        <v>46098</v>
      </c>
      <c r="H197" s="44">
        <v>46112</v>
      </c>
      <c r="I197" s="45">
        <v>18</v>
      </c>
      <c r="J197" s="45">
        <v>65141</v>
      </c>
      <c r="K197" s="46">
        <v>11725.38</v>
      </c>
      <c r="L197" s="45"/>
      <c r="M197" s="45"/>
      <c r="N197" s="45">
        <v>11725.38</v>
      </c>
      <c r="O197" s="45">
        <v>76866.38</v>
      </c>
      <c r="P197" s="43" t="s">
        <v>95</v>
      </c>
      <c r="Q197" s="43" t="s">
        <v>185</v>
      </c>
      <c r="R197" s="43" t="s">
        <v>260</v>
      </c>
      <c r="S197" s="43" t="s">
        <v>252</v>
      </c>
      <c r="T197" s="43" t="s">
        <v>253</v>
      </c>
      <c r="U197" s="43" t="s">
        <v>271</v>
      </c>
      <c r="V197" s="43">
        <v>998511</v>
      </c>
      <c r="W197" s="43" t="s">
        <v>738</v>
      </c>
      <c r="X197" s="43" t="s">
        <v>101</v>
      </c>
      <c r="Y197" s="43">
        <v>107</v>
      </c>
      <c r="Z197" s="43" t="s">
        <v>102</v>
      </c>
      <c r="AA197" t="s">
        <v>739</v>
      </c>
      <c r="AB197">
        <v>11725.38</v>
      </c>
      <c r="AC197">
        <v>11725.38</v>
      </c>
      <c r="AD197" s="38">
        <v>0</v>
      </c>
      <c r="AE197" t="s">
        <v>104</v>
      </c>
      <c r="AF197" t="s">
        <v>73</v>
      </c>
      <c r="AG197" s="3">
        <f>SUM($K197:$M197)*AG$4/$AF$4</f>
        <v>434.12742766507824</v>
      </c>
      <c r="AH197" s="3">
        <v>0</v>
      </c>
      <c r="AI197" s="3">
        <v>0</v>
      </c>
      <c r="AJ197" s="3">
        <f t="shared" si="151"/>
        <v>434.12742766507824</v>
      </c>
      <c r="AK197" s="3">
        <f>SUM($K197:$M197)*AK$4/$AF$4</f>
        <v>3.6125024002560138</v>
      </c>
      <c r="AL197" s="3">
        <v>0</v>
      </c>
      <c r="AM197" s="3">
        <v>0</v>
      </c>
      <c r="AN197" s="3">
        <f t="shared" si="152"/>
        <v>3.6125024002560138</v>
      </c>
      <c r="AO197" s="3">
        <f>SUM($K197:$M197)*AO$4/$AF$4</f>
        <v>178.93864487380392</v>
      </c>
      <c r="AP197" s="3">
        <v>0</v>
      </c>
      <c r="AQ197" s="3">
        <v>0</v>
      </c>
      <c r="AR197" s="3">
        <f t="shared" si="153"/>
        <v>178.93864487380392</v>
      </c>
      <c r="AS197" s="3">
        <f>SUM($K197:$M197)*AS$4/$AF$4</f>
        <v>156.68017056564744</v>
      </c>
      <c r="AT197" s="3">
        <v>0</v>
      </c>
      <c r="AU197" s="3">
        <v>0</v>
      </c>
      <c r="AV197" s="3">
        <f t="shared" si="154"/>
        <v>156.68017056564744</v>
      </c>
      <c r="AW197" s="3">
        <f>SUM($K197:$M197)*AW$4/$AF$4</f>
        <v>18.37852023645949</v>
      </c>
      <c r="AX197" s="3">
        <v>0</v>
      </c>
      <c r="AY197" s="3">
        <v>0</v>
      </c>
      <c r="AZ197" s="3">
        <f t="shared" si="155"/>
        <v>18.37852023645949</v>
      </c>
      <c r="BA197" s="3">
        <f>SUM($K197:$M197)*BA$4/$AF$4</f>
        <v>196.2466243892128</v>
      </c>
      <c r="BB197" s="3">
        <v>0</v>
      </c>
      <c r="BC197" s="3">
        <v>0</v>
      </c>
      <c r="BD197" s="3">
        <f t="shared" si="156"/>
        <v>196.2466243892128</v>
      </c>
      <c r="BE197" s="3">
        <f>$K197*BE$4/$AF$4</f>
        <v>851.21646276158287</v>
      </c>
      <c r="BF197" s="3">
        <f>$L197*BE$4/$AF$4</f>
        <v>0</v>
      </c>
      <c r="BG197" s="3">
        <f>$M197*BE$4/$AF$4</f>
        <v>0</v>
      </c>
      <c r="BH197" s="3">
        <f t="shared" si="148"/>
        <v>851.21646276158287</v>
      </c>
      <c r="BI197" s="3">
        <f>SUM($K197:$M197)*BI$4/$AF$4</f>
        <v>493.71329488856446</v>
      </c>
      <c r="BJ197" s="3">
        <v>0</v>
      </c>
      <c r="BK197" s="3">
        <v>0</v>
      </c>
      <c r="BL197" s="3">
        <f t="shared" si="149"/>
        <v>493.71329488856446</v>
      </c>
      <c r="BM197" s="3">
        <f>SUM($K197:$M197)*BM$4/$AF$4</f>
        <v>2267.0354228733081</v>
      </c>
      <c r="BN197" s="3">
        <v>0</v>
      </c>
      <c r="BO197" s="3">
        <v>0</v>
      </c>
      <c r="BP197" s="3">
        <f t="shared" si="157"/>
        <v>2267.0354228733081</v>
      </c>
      <c r="BQ197" s="3">
        <f>SUM($K197:$M197)*BQ$4/$AF$4</f>
        <v>203.21091515362761</v>
      </c>
      <c r="BR197" s="3">
        <v>0</v>
      </c>
      <c r="BS197" s="3">
        <v>0</v>
      </c>
      <c r="BT197" s="3">
        <f t="shared" si="158"/>
        <v>203.21091515362761</v>
      </c>
      <c r="BU197" s="3">
        <f>SUM($K197:$M197)*BU$4/$AF$4</f>
        <v>32.24613579272507</v>
      </c>
      <c r="BV197" s="3">
        <v>0</v>
      </c>
      <c r="BW197" s="3">
        <v>0</v>
      </c>
      <c r="BX197" s="3">
        <f t="shared" si="159"/>
        <v>32.24613579272507</v>
      </c>
      <c r="BY197" s="3">
        <f>SUM($K197:$M197)*BY$4/$AF$4</f>
        <v>77.729177400399408</v>
      </c>
      <c r="BZ197" s="3">
        <v>0</v>
      </c>
      <c r="CA197" s="3">
        <v>0</v>
      </c>
      <c r="CB197" s="3">
        <f t="shared" si="160"/>
        <v>77.729177400399408</v>
      </c>
      <c r="CC197" s="3">
        <f>SUM($K197:$M197)*CC$4/$AF$4</f>
        <v>64.352609128850574</v>
      </c>
      <c r="CD197" s="3">
        <v>0</v>
      </c>
      <c r="CE197" s="3">
        <v>0</v>
      </c>
      <c r="CF197" s="3">
        <f t="shared" si="161"/>
        <v>64.352609128850574</v>
      </c>
      <c r="CG197" s="3">
        <f>SUM($K197:$M197)*CG$4/$AF$4</f>
        <v>73.726756103902133</v>
      </c>
      <c r="CH197" s="3">
        <v>0</v>
      </c>
      <c r="CI197" s="3">
        <v>0</v>
      </c>
      <c r="CJ197" s="3">
        <f t="shared" si="162"/>
        <v>73.726756103902133</v>
      </c>
      <c r="CK197" s="3">
        <f>SUM($K197:$M197)*CK$4/$AF$4</f>
        <v>151.69855996034855</v>
      </c>
      <c r="CL197" s="3">
        <v>0</v>
      </c>
      <c r="CM197" s="3">
        <v>0</v>
      </c>
      <c r="CN197" s="3">
        <f t="shared" si="163"/>
        <v>151.69855996034855</v>
      </c>
      <c r="CO197" s="3">
        <f>SUM($K197:$M197)*CO$4/$AF$4</f>
        <v>295.87799402425765</v>
      </c>
      <c r="CP197" s="3">
        <v>0</v>
      </c>
      <c r="CQ197" s="3">
        <v>0</v>
      </c>
      <c r="CR197" s="3">
        <f t="shared" si="164"/>
        <v>295.87799402425765</v>
      </c>
      <c r="CS197" s="3">
        <f>SUM($K197:$M197)*CS$4/$AF$4</f>
        <v>869.72367962386613</v>
      </c>
      <c r="CT197" s="3">
        <v>0</v>
      </c>
      <c r="CU197" s="3">
        <v>0</v>
      </c>
      <c r="CV197" s="3">
        <f t="shared" si="165"/>
        <v>869.72367962386613</v>
      </c>
      <c r="CW197" s="3">
        <f>SUM($K197:$M197)*CW$4/$AF$4</f>
        <v>2887.8092808363713</v>
      </c>
      <c r="CX197" s="3">
        <v>0</v>
      </c>
      <c r="CY197" s="3">
        <v>0</v>
      </c>
      <c r="CZ197" s="3">
        <f t="shared" si="173"/>
        <v>2887.8092808363713</v>
      </c>
      <c r="DA197" s="3">
        <f>SUM($K197:$M197)*DA$4/$AF$4</f>
        <v>196.79661904753962</v>
      </c>
      <c r="DB197" s="3">
        <v>0</v>
      </c>
      <c r="DC197" s="3">
        <v>0</v>
      </c>
      <c r="DD197" s="3">
        <f t="shared" si="166"/>
        <v>196.79661904753962</v>
      </c>
      <c r="DE197" s="3">
        <f>SUM($K197:$M197)*DE$4/$AF$4</f>
        <v>33.17539957197738</v>
      </c>
      <c r="DF197" s="3">
        <v>0</v>
      </c>
      <c r="DG197" s="3">
        <v>0</v>
      </c>
      <c r="DH197" s="3">
        <f t="shared" si="167"/>
        <v>33.17539957197738</v>
      </c>
      <c r="DI197" s="3">
        <f>SUM($K197:$M197)*DI$4/$AF$4</f>
        <v>0</v>
      </c>
      <c r="DJ197" s="3">
        <v>0</v>
      </c>
      <c r="DK197" s="3">
        <v>0</v>
      </c>
      <c r="DL197" s="3">
        <f t="shared" si="147"/>
        <v>0</v>
      </c>
      <c r="DM197" s="3">
        <f>SUM($K197:$M197)*DM$4/$AF$4</f>
        <v>164.00200931870828</v>
      </c>
      <c r="DN197" s="3">
        <v>0</v>
      </c>
      <c r="DO197" s="3">
        <v>0</v>
      </c>
      <c r="DP197" s="3">
        <f t="shared" si="168"/>
        <v>164.00200931870828</v>
      </c>
      <c r="DQ197" s="3">
        <f>SUM($K197:$M197)*DQ$4/$AF$4</f>
        <v>346.15036003004445</v>
      </c>
      <c r="DR197" s="3">
        <v>0</v>
      </c>
      <c r="DS197" s="3">
        <v>0</v>
      </c>
      <c r="DT197" s="3">
        <f t="shared" si="172"/>
        <v>346.15036003004445</v>
      </c>
      <c r="DU197" s="3">
        <f>SUM($K197:$M197)*DU$4/$AF$4</f>
        <v>1723.0285282801487</v>
      </c>
      <c r="DV197" s="3">
        <v>0</v>
      </c>
      <c r="DW197" s="3">
        <v>0</v>
      </c>
      <c r="DX197" s="3">
        <f t="shared" si="169"/>
        <v>1723.0285282801487</v>
      </c>
      <c r="DY197" s="3">
        <f>SUM($K197:$M197)*DY$4/$AF$4</f>
        <v>5.9029050733151935</v>
      </c>
      <c r="DZ197" s="3">
        <v>0</v>
      </c>
      <c r="EA197" s="3">
        <v>0</v>
      </c>
      <c r="EB197" s="3">
        <f t="shared" si="170"/>
        <v>5.9029050733151935</v>
      </c>
      <c r="EC197" s="4">
        <f>AJ197+AN197+AR197+AV197+AZ197+BD197+BH197+BL197+BP197+BT197+BX197+CB197+CF197+CJ197+CN197+CR197+CV197+CZ197+DD197+DH197+DP197+DT197+DX197+EB197</f>
        <v>11725.379999999996</v>
      </c>
      <c r="ED197" s="5">
        <f t="shared" si="171"/>
        <v>0</v>
      </c>
      <c r="EE197" s="6">
        <f t="shared" si="174"/>
        <v>11725.379999999996</v>
      </c>
      <c r="EF197" s="6">
        <f t="shared" si="174"/>
        <v>0</v>
      </c>
      <c r="EG197" s="6">
        <f t="shared" si="174"/>
        <v>0</v>
      </c>
    </row>
    <row r="198" spans="1:137" ht="12" customHeight="1" x14ac:dyDescent="0.35">
      <c r="A198" s="43" t="s">
        <v>740</v>
      </c>
      <c r="B198" s="43">
        <v>45354</v>
      </c>
      <c r="C198" s="43" t="s">
        <v>741</v>
      </c>
      <c r="D198" s="43" t="s">
        <v>283</v>
      </c>
      <c r="E198" s="43">
        <v>416101</v>
      </c>
      <c r="F198" s="43" t="s">
        <v>742</v>
      </c>
      <c r="G198" s="44">
        <v>46098</v>
      </c>
      <c r="H198" s="44">
        <v>46105</v>
      </c>
      <c r="I198" s="45">
        <v>18</v>
      </c>
      <c r="J198" s="45">
        <v>265291.25</v>
      </c>
      <c r="K198" s="46">
        <v>47752.425000000003</v>
      </c>
      <c r="L198" s="45"/>
      <c r="M198" s="45"/>
      <c r="N198" s="45">
        <v>47752.425000000003</v>
      </c>
      <c r="O198" s="45">
        <v>313043.67499999999</v>
      </c>
      <c r="P198" s="43" t="s">
        <v>95</v>
      </c>
      <c r="Q198" s="43" t="s">
        <v>53</v>
      </c>
      <c r="R198" s="43" t="s">
        <v>743</v>
      </c>
      <c r="S198" s="43" t="s">
        <v>252</v>
      </c>
      <c r="T198" s="43" t="s">
        <v>253</v>
      </c>
      <c r="U198" s="43" t="s">
        <v>261</v>
      </c>
      <c r="V198" s="43">
        <v>998599</v>
      </c>
      <c r="W198" s="43" t="s">
        <v>744</v>
      </c>
      <c r="X198" s="43" t="s">
        <v>101</v>
      </c>
      <c r="Y198" s="43">
        <v>107</v>
      </c>
      <c r="Z198" s="43" t="s">
        <v>102</v>
      </c>
      <c r="AA198" t="s">
        <v>745</v>
      </c>
      <c r="AB198">
        <v>47752.425000000003</v>
      </c>
      <c r="AC198">
        <v>47752.43</v>
      </c>
      <c r="AD198" s="38">
        <v>0</v>
      </c>
      <c r="AE198" t="s">
        <v>104</v>
      </c>
      <c r="AF198" t="s">
        <v>73</v>
      </c>
      <c r="AG198" s="3"/>
      <c r="AH198" s="3"/>
      <c r="AI198" s="3"/>
      <c r="AJ198" s="3">
        <f t="shared" si="151"/>
        <v>0</v>
      </c>
      <c r="AK198" s="3"/>
      <c r="AL198" s="3"/>
      <c r="AM198" s="3"/>
      <c r="AN198" s="3">
        <f t="shared" si="152"/>
        <v>0</v>
      </c>
      <c r="AO198" s="3"/>
      <c r="AP198" s="3"/>
      <c r="AQ198" s="3"/>
      <c r="AR198" s="3">
        <f t="shared" si="153"/>
        <v>0</v>
      </c>
      <c r="AS198" s="3"/>
      <c r="AT198" s="3"/>
      <c r="AU198" s="3"/>
      <c r="AV198" s="3">
        <f t="shared" si="154"/>
        <v>0</v>
      </c>
      <c r="AW198" s="3"/>
      <c r="AX198" s="3"/>
      <c r="AY198" s="3"/>
      <c r="AZ198" s="3">
        <f t="shared" si="155"/>
        <v>0</v>
      </c>
      <c r="BA198" s="3"/>
      <c r="BB198" s="3"/>
      <c r="BC198" s="3"/>
      <c r="BD198" s="3">
        <f t="shared" si="156"/>
        <v>0</v>
      </c>
      <c r="BE198" s="3"/>
      <c r="BF198" s="3"/>
      <c r="BG198" s="3"/>
      <c r="BH198" s="3">
        <f t="shared" si="148"/>
        <v>0</v>
      </c>
      <c r="BI198" s="3"/>
      <c r="BJ198" s="3"/>
      <c r="BK198" s="3"/>
      <c r="BL198" s="3">
        <f t="shared" si="149"/>
        <v>0</v>
      </c>
      <c r="BM198" s="3"/>
      <c r="BN198" s="3"/>
      <c r="BO198" s="3"/>
      <c r="BP198" s="3">
        <f t="shared" si="157"/>
        <v>0</v>
      </c>
      <c r="BQ198" s="3"/>
      <c r="BR198" s="3"/>
      <c r="BS198" s="3"/>
      <c r="BT198" s="3">
        <f t="shared" si="158"/>
        <v>0</v>
      </c>
      <c r="BU198" s="3"/>
      <c r="BV198" s="3"/>
      <c r="BW198" s="3"/>
      <c r="BX198" s="3">
        <f t="shared" si="159"/>
        <v>0</v>
      </c>
      <c r="BY198" s="3"/>
      <c r="BZ198" s="3"/>
      <c r="CA198" s="3"/>
      <c r="CB198" s="3">
        <f t="shared" si="160"/>
        <v>0</v>
      </c>
      <c r="CC198" s="3"/>
      <c r="CD198" s="3"/>
      <c r="CE198" s="3"/>
      <c r="CF198" s="3">
        <f t="shared" si="161"/>
        <v>0</v>
      </c>
      <c r="CG198" s="3"/>
      <c r="CH198" s="3"/>
      <c r="CI198" s="3"/>
      <c r="CJ198" s="3">
        <f t="shared" si="162"/>
        <v>0</v>
      </c>
      <c r="CK198" s="3"/>
      <c r="CL198" s="3"/>
      <c r="CM198" s="3"/>
      <c r="CN198" s="3">
        <f t="shared" si="163"/>
        <v>0</v>
      </c>
      <c r="CO198" s="3"/>
      <c r="CP198" s="3"/>
      <c r="CQ198" s="3"/>
      <c r="CR198" s="3">
        <f t="shared" si="164"/>
        <v>0</v>
      </c>
      <c r="CS198" s="3"/>
      <c r="CT198" s="3"/>
      <c r="CU198" s="3"/>
      <c r="CV198" s="3">
        <f t="shared" si="165"/>
        <v>0</v>
      </c>
      <c r="CW198" s="3"/>
      <c r="CX198" s="3"/>
      <c r="CY198" s="3"/>
      <c r="CZ198" s="3">
        <f t="shared" si="173"/>
        <v>0</v>
      </c>
      <c r="DA198" s="3"/>
      <c r="DB198" s="3"/>
      <c r="DC198" s="3"/>
      <c r="DD198" s="3">
        <f t="shared" si="166"/>
        <v>0</v>
      </c>
      <c r="DE198" s="3"/>
      <c r="DF198" s="3"/>
      <c r="DG198" s="3"/>
      <c r="DH198" s="3">
        <f t="shared" si="167"/>
        <v>0</v>
      </c>
      <c r="DI198" s="3"/>
      <c r="DJ198" s="3"/>
      <c r="DK198" s="3"/>
      <c r="DL198" s="3">
        <f t="shared" si="147"/>
        <v>0</v>
      </c>
      <c r="DM198" s="3"/>
      <c r="DN198" s="3"/>
      <c r="DO198" s="3"/>
      <c r="DP198" s="3">
        <f t="shared" si="168"/>
        <v>0</v>
      </c>
      <c r="DQ198" s="3"/>
      <c r="DR198" s="3"/>
      <c r="DS198" s="3"/>
      <c r="DT198" s="3">
        <f t="shared" si="172"/>
        <v>0</v>
      </c>
      <c r="DU198" s="3">
        <f>SUM($K198:$M198)*DU$4/$DU$4</f>
        <v>47752.425000000003</v>
      </c>
      <c r="DV198" s="3">
        <v>0</v>
      </c>
      <c r="DW198" s="3">
        <v>0</v>
      </c>
      <c r="DX198" s="3">
        <f t="shared" si="169"/>
        <v>47752.425000000003</v>
      </c>
      <c r="DY198" s="3"/>
      <c r="DZ198" s="3"/>
      <c r="EA198" s="3"/>
      <c r="EB198" s="3">
        <f t="shared" si="170"/>
        <v>0</v>
      </c>
      <c r="EC198" s="4">
        <f t="shared" si="150"/>
        <v>47752.425000000003</v>
      </c>
      <c r="ED198" s="5">
        <f t="shared" si="171"/>
        <v>0</v>
      </c>
      <c r="EE198" s="6">
        <f t="shared" si="174"/>
        <v>47752.425000000003</v>
      </c>
      <c r="EF198" s="6">
        <f t="shared" si="174"/>
        <v>0</v>
      </c>
      <c r="EG198" s="6">
        <f t="shared" si="174"/>
        <v>0</v>
      </c>
    </row>
    <row r="199" spans="1:137" ht="12" customHeight="1" x14ac:dyDescent="0.35">
      <c r="A199" s="43" t="s">
        <v>746</v>
      </c>
      <c r="B199" s="43">
        <v>41359</v>
      </c>
      <c r="C199" s="43" t="s">
        <v>747</v>
      </c>
      <c r="D199" s="43" t="s">
        <v>703</v>
      </c>
      <c r="E199" s="43">
        <v>418502</v>
      </c>
      <c r="F199" s="43">
        <v>2025260317</v>
      </c>
      <c r="G199" s="44">
        <v>46044</v>
      </c>
      <c r="H199" s="44">
        <v>46058</v>
      </c>
      <c r="I199" s="45">
        <v>18</v>
      </c>
      <c r="J199" s="45">
        <v>23000</v>
      </c>
      <c r="K199" s="46">
        <v>4140</v>
      </c>
      <c r="L199" s="45"/>
      <c r="M199" s="45"/>
      <c r="N199" s="45">
        <v>4140</v>
      </c>
      <c r="O199" s="45">
        <v>27140</v>
      </c>
      <c r="P199" s="43" t="s">
        <v>95</v>
      </c>
      <c r="Q199" s="43" t="s">
        <v>185</v>
      </c>
      <c r="R199" s="43" t="s">
        <v>704</v>
      </c>
      <c r="S199" s="43" t="s">
        <v>252</v>
      </c>
      <c r="T199" s="43" t="s">
        <v>253</v>
      </c>
      <c r="U199" s="43" t="s">
        <v>705</v>
      </c>
      <c r="V199" s="43">
        <v>998371</v>
      </c>
      <c r="W199" s="43" t="s">
        <v>748</v>
      </c>
      <c r="X199" s="43" t="s">
        <v>101</v>
      </c>
      <c r="Y199" s="43">
        <v>107</v>
      </c>
      <c r="Z199" s="43" t="s">
        <v>102</v>
      </c>
      <c r="AA199" t="s">
        <v>749</v>
      </c>
      <c r="AB199">
        <v>4140</v>
      </c>
      <c r="AC199">
        <v>4140</v>
      </c>
      <c r="AD199" s="38">
        <v>0</v>
      </c>
      <c r="AE199" t="s">
        <v>104</v>
      </c>
      <c r="AF199" t="s">
        <v>73</v>
      </c>
      <c r="AG199" s="3">
        <f>SUM($K199:$M199)*AG$4/$AF$4</f>
        <v>153.28181692477548</v>
      </c>
      <c r="AH199" s="3">
        <v>0</v>
      </c>
      <c r="AI199" s="3">
        <v>0</v>
      </c>
      <c r="AJ199" s="3">
        <f t="shared" si="151"/>
        <v>153.28181692477548</v>
      </c>
      <c r="AK199" s="3">
        <f>SUM($K199:$M199)*AK$4/$AF$4</f>
        <v>1.2755032192611155</v>
      </c>
      <c r="AL199" s="3">
        <v>0</v>
      </c>
      <c r="AM199" s="3">
        <v>0</v>
      </c>
      <c r="AN199" s="3">
        <f t="shared" si="152"/>
        <v>1.2755032192611155</v>
      </c>
      <c r="AO199" s="3">
        <f>SUM($K199:$M199)*AO$4/$AF$4</f>
        <v>63.179699913994114</v>
      </c>
      <c r="AP199" s="3">
        <v>0</v>
      </c>
      <c r="AQ199" s="3">
        <v>0</v>
      </c>
      <c r="AR199" s="3">
        <f t="shared" si="153"/>
        <v>63.179699913994114</v>
      </c>
      <c r="AS199" s="3">
        <f>SUM($K199:$M199)*AS$4/$AF$4</f>
        <v>55.320672433795792</v>
      </c>
      <c r="AT199" s="3">
        <v>0</v>
      </c>
      <c r="AU199" s="3">
        <v>0</v>
      </c>
      <c r="AV199" s="3">
        <f t="shared" si="154"/>
        <v>55.320672433795792</v>
      </c>
      <c r="AW199" s="3">
        <f>SUM($K199:$M199)*AW$4/$AF$4</f>
        <v>6.4890923602426787</v>
      </c>
      <c r="AX199" s="3">
        <v>0</v>
      </c>
      <c r="AY199" s="3">
        <v>0</v>
      </c>
      <c r="AZ199" s="3">
        <f t="shared" si="155"/>
        <v>6.4890923602426787</v>
      </c>
      <c r="BA199" s="3">
        <f>SUM($K199:$M199)*BA$4/$AF$4</f>
        <v>69.2908054981025</v>
      </c>
      <c r="BB199" s="3">
        <v>0</v>
      </c>
      <c r="BC199" s="3">
        <v>0</v>
      </c>
      <c r="BD199" s="3">
        <f t="shared" si="156"/>
        <v>69.2908054981025</v>
      </c>
      <c r="BE199" s="3">
        <f>$K199*BE$4/$AF$4</f>
        <v>300.54771408968867</v>
      </c>
      <c r="BF199" s="3">
        <f>$L199*BE$4/$AF$4</f>
        <v>0</v>
      </c>
      <c r="BG199" s="3">
        <f>$M199*BE$4/$AF$4</f>
        <v>0</v>
      </c>
      <c r="BH199" s="3">
        <f t="shared" si="148"/>
        <v>300.54771408968867</v>
      </c>
      <c r="BI199" s="3">
        <f>SUM($K199:$M199)*BI$4/$AF$4</f>
        <v>174.32040930346452</v>
      </c>
      <c r="BJ199" s="3">
        <v>0</v>
      </c>
      <c r="BK199" s="3">
        <v>0</v>
      </c>
      <c r="BL199" s="3">
        <f t="shared" si="149"/>
        <v>174.32040930346452</v>
      </c>
      <c r="BM199" s="3">
        <f>SUM($K199:$M199)*BM$4/$AF$4</f>
        <v>800.44541419514724</v>
      </c>
      <c r="BN199" s="3">
        <v>0</v>
      </c>
      <c r="BO199" s="3">
        <v>0</v>
      </c>
      <c r="BP199" s="3">
        <f t="shared" si="157"/>
        <v>800.44541419514724</v>
      </c>
      <c r="BQ199" s="3">
        <f>SUM($K199:$M199)*BQ$4/$AF$4</f>
        <v>71.749758961843312</v>
      </c>
      <c r="BR199" s="3">
        <v>0</v>
      </c>
      <c r="BS199" s="3">
        <v>0</v>
      </c>
      <c r="BT199" s="3">
        <f t="shared" si="158"/>
        <v>71.749758961843312</v>
      </c>
      <c r="BU199" s="3">
        <f>SUM($K199:$M199)*BU$4/$AF$4</f>
        <v>11.385473407418933</v>
      </c>
      <c r="BV199" s="3">
        <v>0</v>
      </c>
      <c r="BW199" s="3">
        <v>0</v>
      </c>
      <c r="BX199" s="3">
        <f t="shared" si="159"/>
        <v>11.385473407418933</v>
      </c>
      <c r="BY199" s="3">
        <f>SUM($K199:$M199)*BY$4/$AF$4</f>
        <v>27.444636714345592</v>
      </c>
      <c r="BZ199" s="3">
        <v>0</v>
      </c>
      <c r="CA199" s="3">
        <v>0</v>
      </c>
      <c r="CB199" s="3">
        <f t="shared" si="160"/>
        <v>27.444636714345592</v>
      </c>
      <c r="CC199" s="3">
        <f>SUM($K199:$M199)*CC$4/$AF$4</f>
        <v>22.721634760957976</v>
      </c>
      <c r="CD199" s="3">
        <v>0</v>
      </c>
      <c r="CE199" s="3">
        <v>0</v>
      </c>
      <c r="CF199" s="3">
        <f t="shared" si="161"/>
        <v>22.721634760957976</v>
      </c>
      <c r="CG199" s="3">
        <f>SUM($K199:$M199)*CG$4/$AF$4</f>
        <v>26.031460837103349</v>
      </c>
      <c r="CH199" s="3">
        <v>0</v>
      </c>
      <c r="CI199" s="3">
        <v>0</v>
      </c>
      <c r="CJ199" s="3">
        <f t="shared" si="162"/>
        <v>26.031460837103349</v>
      </c>
      <c r="CK199" s="3">
        <f>SUM($K199:$M199)*CK$4/$AF$4</f>
        <v>53.561764159101287</v>
      </c>
      <c r="CL199" s="3">
        <v>0</v>
      </c>
      <c r="CM199" s="3">
        <v>0</v>
      </c>
      <c r="CN199" s="3">
        <f t="shared" si="163"/>
        <v>53.561764159101287</v>
      </c>
      <c r="CO199" s="3">
        <f>SUM($K199:$M199)*CO$4/$AF$4</f>
        <v>104.46867353215221</v>
      </c>
      <c r="CP199" s="3">
        <v>0</v>
      </c>
      <c r="CQ199" s="3">
        <v>0</v>
      </c>
      <c r="CR199" s="3">
        <f t="shared" si="164"/>
        <v>104.46867353215221</v>
      </c>
      <c r="CS199" s="3">
        <f>SUM($K199:$M199)*CS$4/$AF$4</f>
        <v>307.08224668563457</v>
      </c>
      <c r="CT199" s="3">
        <v>0</v>
      </c>
      <c r="CU199" s="3">
        <v>0</v>
      </c>
      <c r="CV199" s="3">
        <f t="shared" si="165"/>
        <v>307.08224668563457</v>
      </c>
      <c r="CW199" s="3">
        <f>SUM($K199:$M199)*CW$4/$AF$4</f>
        <v>1019.6283977715501</v>
      </c>
      <c r="CX199" s="3">
        <v>0</v>
      </c>
      <c r="CY199" s="3">
        <v>0</v>
      </c>
      <c r="CZ199" s="3">
        <f t="shared" si="173"/>
        <v>1019.6283977715501</v>
      </c>
      <c r="DA199" s="3">
        <f>SUM($K199:$M199)*DA$4/$AF$4</f>
        <v>69.484997744790704</v>
      </c>
      <c r="DB199" s="3">
        <v>0</v>
      </c>
      <c r="DC199" s="3">
        <v>0</v>
      </c>
      <c r="DD199" s="3">
        <f t="shared" si="166"/>
        <v>69.484997744790704</v>
      </c>
      <c r="DE199" s="3">
        <f>SUM($K199:$M199)*DE$4/$AF$4</f>
        <v>11.713578086849752</v>
      </c>
      <c r="DF199" s="3">
        <v>0</v>
      </c>
      <c r="DG199" s="3">
        <v>0</v>
      </c>
      <c r="DH199" s="3">
        <f t="shared" si="167"/>
        <v>11.713578086849752</v>
      </c>
      <c r="DI199" s="3">
        <f>SUM($K199:$M199)*DI$4/$AF$4</f>
        <v>0</v>
      </c>
      <c r="DJ199" s="3">
        <v>0</v>
      </c>
      <c r="DK199" s="3">
        <v>0</v>
      </c>
      <c r="DL199" s="3">
        <f t="shared" si="147"/>
        <v>0</v>
      </c>
      <c r="DM199" s="3">
        <f>SUM($K199:$M199)*DM$4/$AF$4</f>
        <v>57.90586902765218</v>
      </c>
      <c r="DN199" s="3">
        <v>0</v>
      </c>
      <c r="DO199" s="3">
        <v>0</v>
      </c>
      <c r="DP199" s="3">
        <f t="shared" si="168"/>
        <v>57.90586902765218</v>
      </c>
      <c r="DQ199" s="3">
        <f>SUM($K199:$M199)*DQ$4/$AF$4</f>
        <v>122.21885265333697</v>
      </c>
      <c r="DR199" s="3">
        <v>0</v>
      </c>
      <c r="DS199" s="3">
        <v>0</v>
      </c>
      <c r="DT199" s="3">
        <f t="shared" si="172"/>
        <v>122.21885265333697</v>
      </c>
      <c r="DU199" s="3">
        <f>SUM($K199:$M199)*DU$4/$AF$4</f>
        <v>608.36732857099867</v>
      </c>
      <c r="DV199" s="3">
        <v>0</v>
      </c>
      <c r="DW199" s="3">
        <v>0</v>
      </c>
      <c r="DX199" s="3">
        <f t="shared" si="169"/>
        <v>608.36732857099867</v>
      </c>
      <c r="DY199" s="3">
        <f>SUM($K199:$M199)*DY$4/$AF$4</f>
        <v>2.0841991477909376</v>
      </c>
      <c r="DZ199" s="3">
        <v>0</v>
      </c>
      <c r="EA199" s="3">
        <v>0</v>
      </c>
      <c r="EB199" s="3">
        <f t="shared" si="170"/>
        <v>2.0841991477909376</v>
      </c>
      <c r="EC199" s="4">
        <f>AJ199+AN199+AR199+AV199+AZ199+BD199+BH199+BL199+BP199+BT199+BX199+CB199+CF199+CJ199+CN199+CR199+CV199+CZ199+DD199+DH199+DP199+DT199+DX199+EB199</f>
        <v>4139.9999999999982</v>
      </c>
      <c r="ED199" s="5">
        <f t="shared" si="171"/>
        <v>0</v>
      </c>
      <c r="EE199" s="6">
        <f t="shared" si="174"/>
        <v>4139.9999999999982</v>
      </c>
      <c r="EF199" s="6">
        <f t="shared" si="174"/>
        <v>0</v>
      </c>
      <c r="EG199" s="6">
        <f t="shared" si="174"/>
        <v>0</v>
      </c>
    </row>
    <row r="200" spans="1:137" ht="12" customHeight="1" x14ac:dyDescent="0.35">
      <c r="A200" s="43" t="s">
        <v>288</v>
      </c>
      <c r="B200" s="43">
        <v>13265</v>
      </c>
      <c r="C200" s="43" t="s">
        <v>289</v>
      </c>
      <c r="D200" s="43" t="s">
        <v>264</v>
      </c>
      <c r="E200" s="43">
        <v>421806</v>
      </c>
      <c r="F200" s="43" t="s">
        <v>750</v>
      </c>
      <c r="G200" s="44">
        <v>46000</v>
      </c>
      <c r="H200" s="44">
        <v>46029</v>
      </c>
      <c r="I200" s="45">
        <v>18</v>
      </c>
      <c r="J200" s="45">
        <v>61402</v>
      </c>
      <c r="K200" s="46"/>
      <c r="L200" s="45">
        <v>5526.18</v>
      </c>
      <c r="M200" s="45">
        <v>5526.18</v>
      </c>
      <c r="N200" s="45">
        <v>11052.36</v>
      </c>
      <c r="O200" s="45">
        <v>72454.36</v>
      </c>
      <c r="P200" s="43" t="s">
        <v>95</v>
      </c>
      <c r="Q200" s="43" t="s">
        <v>185</v>
      </c>
      <c r="R200" s="43" t="s">
        <v>260</v>
      </c>
      <c r="S200" s="43" t="s">
        <v>252</v>
      </c>
      <c r="T200" s="43" t="s">
        <v>253</v>
      </c>
      <c r="U200" s="43" t="s">
        <v>261</v>
      </c>
      <c r="V200" s="43">
        <v>998512</v>
      </c>
      <c r="W200" s="43" t="s">
        <v>751</v>
      </c>
      <c r="X200" s="43" t="s">
        <v>101</v>
      </c>
      <c r="Y200" s="43">
        <v>107</v>
      </c>
      <c r="Z200" s="43" t="s">
        <v>102</v>
      </c>
      <c r="AA200" t="s">
        <v>752</v>
      </c>
      <c r="AB200">
        <v>11052.36</v>
      </c>
      <c r="AC200">
        <v>11052.38</v>
      </c>
      <c r="AD200" s="38">
        <v>0</v>
      </c>
      <c r="AE200" t="s">
        <v>104</v>
      </c>
      <c r="AF200" t="s">
        <v>73</v>
      </c>
      <c r="AG200" s="3">
        <f>SUM($K200:$M200)*AG$4/$AF$4</f>
        <v>409.2091357745681</v>
      </c>
      <c r="AH200" s="3">
        <v>0</v>
      </c>
      <c r="AI200" s="3">
        <v>0</v>
      </c>
      <c r="AJ200" s="3">
        <f t="shared" si="151"/>
        <v>409.2091357745681</v>
      </c>
      <c r="AK200" s="3">
        <f>SUM($K200:$M200)*AK$4/$AF$4</f>
        <v>3.405149942133523</v>
      </c>
      <c r="AL200" s="3">
        <v>0</v>
      </c>
      <c r="AM200" s="3">
        <v>0</v>
      </c>
      <c r="AN200" s="3">
        <f t="shared" si="152"/>
        <v>3.405149942133523</v>
      </c>
      <c r="AO200" s="3">
        <f>SUM($K200:$M200)*AO$4/$AF$4</f>
        <v>168.6678232225681</v>
      </c>
      <c r="AP200" s="3">
        <v>0</v>
      </c>
      <c r="AQ200" s="3">
        <v>0</v>
      </c>
      <c r="AR200" s="3">
        <f t="shared" si="153"/>
        <v>168.6678232225681</v>
      </c>
      <c r="AS200" s="3">
        <f>SUM($K200:$M200)*AS$4/$AF$4</f>
        <v>147.68695342521431</v>
      </c>
      <c r="AT200" s="3">
        <v>0</v>
      </c>
      <c r="AU200" s="3">
        <v>0</v>
      </c>
      <c r="AV200" s="3">
        <f t="shared" si="154"/>
        <v>147.68695342521431</v>
      </c>
      <c r="AW200" s="3">
        <f>SUM($K200:$M200)*AW$4/$AF$4</f>
        <v>17.323619526244389</v>
      </c>
      <c r="AX200" s="3">
        <v>0</v>
      </c>
      <c r="AY200" s="3">
        <v>0</v>
      </c>
      <c r="AZ200" s="3">
        <f t="shared" si="155"/>
        <v>17.323619526244389</v>
      </c>
      <c r="BA200" s="3">
        <f>SUM($K200:$M200)*BA$4/$AF$4</f>
        <v>184.98234953019522</v>
      </c>
      <c r="BB200" s="3">
        <v>0</v>
      </c>
      <c r="BC200" s="3">
        <v>0</v>
      </c>
      <c r="BD200" s="3">
        <f t="shared" si="156"/>
        <v>184.98234953019522</v>
      </c>
      <c r="BE200" s="3">
        <f>$K200*BE$4/$AF$4</f>
        <v>0</v>
      </c>
      <c r="BF200" s="3">
        <f>$L200*BE$4/$AF$4</f>
        <v>401.17892914206664</v>
      </c>
      <c r="BG200" s="3">
        <f>$M200*BE$4/$AF$4</f>
        <v>401.17892914206664</v>
      </c>
      <c r="BH200" s="3">
        <f t="shared" si="148"/>
        <v>802.35785828413327</v>
      </c>
      <c r="BI200" s="3">
        <f>SUM($K200:$M200)*BI$4/$AF$4</f>
        <v>465.37485965440561</v>
      </c>
      <c r="BJ200" s="3">
        <v>0</v>
      </c>
      <c r="BK200" s="3">
        <v>0</v>
      </c>
      <c r="BL200" s="3">
        <f t="shared" si="149"/>
        <v>465.37485965440561</v>
      </c>
      <c r="BM200" s="3">
        <f>SUM($K200:$M200)*BM$4/$AF$4</f>
        <v>2136.9108401048015</v>
      </c>
      <c r="BN200" s="3">
        <v>0</v>
      </c>
      <c r="BO200" s="3">
        <v>0</v>
      </c>
      <c r="BP200" s="3">
        <f t="shared" si="157"/>
        <v>2136.9108401048015</v>
      </c>
      <c r="BQ200" s="3">
        <f>SUM($K200:$M200)*BQ$4/$AF$4</f>
        <v>191.5468999902219</v>
      </c>
      <c r="BR200" s="3">
        <v>0</v>
      </c>
      <c r="BS200" s="3">
        <v>0</v>
      </c>
      <c r="BT200" s="3">
        <f t="shared" si="158"/>
        <v>191.5468999902219</v>
      </c>
      <c r="BU200" s="3">
        <f>SUM($K200:$M200)*BU$4/$AF$4</f>
        <v>30.395253833145105</v>
      </c>
      <c r="BV200" s="3">
        <v>0</v>
      </c>
      <c r="BW200" s="3">
        <v>0</v>
      </c>
      <c r="BX200" s="3">
        <f t="shared" si="159"/>
        <v>30.395253833145105</v>
      </c>
      <c r="BY200" s="3">
        <f>SUM($K200:$M200)*BY$4/$AF$4</f>
        <v>73.267634066706449</v>
      </c>
      <c r="BZ200" s="3">
        <v>0</v>
      </c>
      <c r="CA200" s="3">
        <v>0</v>
      </c>
      <c r="CB200" s="3">
        <f t="shared" si="160"/>
        <v>73.267634066706449</v>
      </c>
      <c r="CC200" s="3">
        <f>SUM($K200:$M200)*CC$4/$AF$4</f>
        <v>60.658861634449636</v>
      </c>
      <c r="CD200" s="3">
        <v>0</v>
      </c>
      <c r="CE200" s="3">
        <v>0</v>
      </c>
      <c r="CF200" s="3">
        <f t="shared" si="161"/>
        <v>60.658861634449636</v>
      </c>
      <c r="CG200" s="3">
        <f>SUM($K200:$M200)*CG$4/$AF$4</f>
        <v>69.494946013905221</v>
      </c>
      <c r="CH200" s="3">
        <v>0</v>
      </c>
      <c r="CI200" s="3">
        <v>0</v>
      </c>
      <c r="CJ200" s="3">
        <f t="shared" si="162"/>
        <v>69.494946013905221</v>
      </c>
      <c r="CK200" s="3">
        <f>SUM($K200:$M200)*CK$4/$AF$4</f>
        <v>142.9912801259625</v>
      </c>
      <c r="CL200" s="3">
        <v>0</v>
      </c>
      <c r="CM200" s="3">
        <v>0</v>
      </c>
      <c r="CN200" s="3">
        <f t="shared" si="163"/>
        <v>142.9912801259625</v>
      </c>
      <c r="CO200" s="3">
        <f>SUM($K200:$M200)*CO$4/$AF$4</f>
        <v>278.89502140092213</v>
      </c>
      <c r="CP200" s="3">
        <v>0</v>
      </c>
      <c r="CQ200" s="3">
        <v>0</v>
      </c>
      <c r="CR200" s="3">
        <f t="shared" si="164"/>
        <v>278.89502140092213</v>
      </c>
      <c r="CS200" s="3">
        <f>SUM($K200:$M200)*CS$4/$AF$4</f>
        <v>819.8027874344059</v>
      </c>
      <c r="CT200" s="3">
        <v>0</v>
      </c>
      <c r="CU200" s="3">
        <v>0</v>
      </c>
      <c r="CV200" s="3">
        <f t="shared" si="165"/>
        <v>819.8027874344059</v>
      </c>
      <c r="CW200" s="3">
        <f>SUM($K200:$M200)*CW$4/$AF$4</f>
        <v>2722.0531686942923</v>
      </c>
      <c r="CX200" s="3">
        <v>0</v>
      </c>
      <c r="CY200" s="3">
        <v>0</v>
      </c>
      <c r="CZ200" s="3">
        <f t="shared" si="173"/>
        <v>2722.0531686942923</v>
      </c>
      <c r="DA200" s="3">
        <f>SUM($K200:$M200)*DA$4/$AF$4</f>
        <v>185.50077528372344</v>
      </c>
      <c r="DB200" s="3">
        <v>0</v>
      </c>
      <c r="DC200" s="3">
        <v>0</v>
      </c>
      <c r="DD200" s="3">
        <f t="shared" si="166"/>
        <v>185.50077528372344</v>
      </c>
      <c r="DE200" s="3">
        <f>SUM($K200:$M200)*DE$4/$AF$4</f>
        <v>31.271179203858633</v>
      </c>
      <c r="DF200" s="3">
        <v>0</v>
      </c>
      <c r="DG200" s="3">
        <v>0</v>
      </c>
      <c r="DH200" s="3">
        <f t="shared" si="167"/>
        <v>31.271179203858633</v>
      </c>
      <c r="DI200" s="3">
        <f>SUM($K200:$M200)*DI$4/$AF$4</f>
        <v>0</v>
      </c>
      <c r="DJ200" s="3">
        <v>0</v>
      </c>
      <c r="DK200" s="3">
        <v>0</v>
      </c>
      <c r="DL200" s="3">
        <f t="shared" si="147"/>
        <v>0</v>
      </c>
      <c r="DM200" s="3">
        <f>SUM($K200:$M200)*DM$4/$AF$4</f>
        <v>154.58852913199561</v>
      </c>
      <c r="DN200" s="3">
        <v>0</v>
      </c>
      <c r="DO200" s="3">
        <v>0</v>
      </c>
      <c r="DP200" s="3">
        <f t="shared" si="168"/>
        <v>154.58852913199561</v>
      </c>
      <c r="DQ200" s="3">
        <f>SUM($K200:$M200)*DQ$4/$AF$4</f>
        <v>326.28182567913899</v>
      </c>
      <c r="DR200" s="3">
        <v>0</v>
      </c>
      <c r="DS200" s="3">
        <v>0</v>
      </c>
      <c r="DT200" s="3">
        <f t="shared" si="172"/>
        <v>326.28182567913899</v>
      </c>
      <c r="DU200" s="3">
        <f>SUM($K200:$M200)*DU$4/$AF$4</f>
        <v>1624.1291612572375</v>
      </c>
      <c r="DV200" s="3">
        <v>0</v>
      </c>
      <c r="DW200" s="3">
        <v>0</v>
      </c>
      <c r="DX200" s="3">
        <f t="shared" si="169"/>
        <v>1624.1291612572375</v>
      </c>
      <c r="DY200" s="3">
        <f>SUM($K200:$M200)*DY$4/$AF$4</f>
        <v>5.5640867857677891</v>
      </c>
      <c r="DZ200" s="3">
        <v>0</v>
      </c>
      <c r="EA200" s="3">
        <v>0</v>
      </c>
      <c r="EB200" s="3">
        <f t="shared" si="170"/>
        <v>5.5640867857677891</v>
      </c>
      <c r="EC200" s="4">
        <f>AJ200+AN200+AR200+AV200+AZ200+BD200+BH200+BL200+BP200+BT200+BX200+CB200+CF200+CJ200+CN200+CR200+CV200+CZ200+DD200+DH200+DP200+DT200+DX200+EB200</f>
        <v>11052.359999999997</v>
      </c>
      <c r="ED200" s="5">
        <f t="shared" si="171"/>
        <v>0</v>
      </c>
      <c r="EE200" s="6">
        <f t="shared" si="174"/>
        <v>10250.002141715864</v>
      </c>
      <c r="EF200" s="6">
        <f t="shared" si="174"/>
        <v>401.17892914206664</v>
      </c>
      <c r="EG200" s="6">
        <f t="shared" si="174"/>
        <v>401.17892914206664</v>
      </c>
    </row>
    <row r="201" spans="1:137" ht="12" customHeight="1" x14ac:dyDescent="0.35">
      <c r="A201" s="43" t="s">
        <v>91</v>
      </c>
      <c r="B201" s="43">
        <v>30450</v>
      </c>
      <c r="C201" s="43" t="s">
        <v>753</v>
      </c>
      <c r="D201" s="43" t="s">
        <v>110</v>
      </c>
      <c r="E201" s="43">
        <v>150781</v>
      </c>
      <c r="F201" s="43" t="s">
        <v>754</v>
      </c>
      <c r="G201" s="44">
        <v>45925</v>
      </c>
      <c r="H201" s="44">
        <v>45992</v>
      </c>
      <c r="I201" s="45">
        <v>5</v>
      </c>
      <c r="J201" s="45">
        <v>-5950</v>
      </c>
      <c r="K201" s="45">
        <v>-297.5</v>
      </c>
      <c r="L201" s="45">
        <v>0</v>
      </c>
      <c r="M201" s="45">
        <v>0</v>
      </c>
      <c r="N201" s="45">
        <v>-297.5</v>
      </c>
      <c r="O201" s="45">
        <v>-6247.5</v>
      </c>
      <c r="P201" s="43" t="s">
        <v>95</v>
      </c>
      <c r="Q201" s="43" t="s">
        <v>36</v>
      </c>
      <c r="R201" s="43" t="s">
        <v>112</v>
      </c>
      <c r="S201" s="43" t="s">
        <v>97</v>
      </c>
      <c r="T201" s="43" t="s">
        <v>98</v>
      </c>
      <c r="U201" s="43" t="s">
        <v>99</v>
      </c>
      <c r="V201" s="43">
        <v>996311</v>
      </c>
      <c r="W201" s="43" t="s">
        <v>755</v>
      </c>
      <c r="X201" s="43" t="s">
        <v>101</v>
      </c>
      <c r="Y201" s="43">
        <v>107</v>
      </c>
      <c r="Z201" s="43" t="s">
        <v>102</v>
      </c>
      <c r="AA201" t="s">
        <v>756</v>
      </c>
      <c r="AB201">
        <v>-297.5</v>
      </c>
      <c r="AC201">
        <v>-298</v>
      </c>
      <c r="AD201" s="38">
        <v>1</v>
      </c>
      <c r="AE201" t="s">
        <v>104</v>
      </c>
      <c r="AF201" t="s">
        <v>73</v>
      </c>
      <c r="AG201" s="3"/>
      <c r="AH201" s="3"/>
      <c r="AI201" s="3"/>
      <c r="AJ201" s="3">
        <f t="shared" si="151"/>
        <v>0</v>
      </c>
      <c r="AK201" s="3"/>
      <c r="AL201" s="3"/>
      <c r="AM201" s="3"/>
      <c r="AN201" s="3">
        <f t="shared" si="152"/>
        <v>0</v>
      </c>
      <c r="AO201" s="3"/>
      <c r="AP201" s="3"/>
      <c r="AQ201" s="3"/>
      <c r="AR201" s="3">
        <f t="shared" si="153"/>
        <v>0</v>
      </c>
      <c r="AS201" s="3"/>
      <c r="AT201" s="3"/>
      <c r="AU201" s="3"/>
      <c r="AV201" s="3">
        <f t="shared" si="154"/>
        <v>0</v>
      </c>
      <c r="AW201" s="3"/>
      <c r="AX201" s="3"/>
      <c r="AY201" s="3"/>
      <c r="AZ201" s="3">
        <f t="shared" si="155"/>
        <v>0</v>
      </c>
      <c r="BA201" s="3"/>
      <c r="BB201" s="3"/>
      <c r="BC201" s="3"/>
      <c r="BD201" s="3">
        <f t="shared" si="156"/>
        <v>0</v>
      </c>
      <c r="BE201" s="3">
        <f>$K201*BE$4/$BE$4</f>
        <v>-297.5</v>
      </c>
      <c r="BF201" s="3">
        <f>$L201*BE$4/$BE$4</f>
        <v>0</v>
      </c>
      <c r="BG201" s="3">
        <f>$M201*BE$4/$BE$4</f>
        <v>0</v>
      </c>
      <c r="BH201" s="3">
        <f t="shared" si="148"/>
        <v>-297.5</v>
      </c>
      <c r="BI201" s="3"/>
      <c r="BJ201" s="3"/>
      <c r="BK201" s="3"/>
      <c r="BL201" s="3">
        <f t="shared" si="149"/>
        <v>0</v>
      </c>
      <c r="BM201" s="3"/>
      <c r="BN201" s="3"/>
      <c r="BO201" s="3"/>
      <c r="BP201" s="3">
        <f t="shared" si="157"/>
        <v>0</v>
      </c>
      <c r="BQ201" s="3"/>
      <c r="BR201" s="3"/>
      <c r="BS201" s="3"/>
      <c r="BT201" s="3">
        <f t="shared" si="158"/>
        <v>0</v>
      </c>
      <c r="BU201" s="3"/>
      <c r="BV201" s="3"/>
      <c r="BW201" s="3"/>
      <c r="BX201" s="3">
        <f t="shared" si="159"/>
        <v>0</v>
      </c>
      <c r="BY201" s="3"/>
      <c r="BZ201" s="3"/>
      <c r="CA201" s="3"/>
      <c r="CB201" s="3">
        <f t="shared" si="160"/>
        <v>0</v>
      </c>
      <c r="CC201" s="3"/>
      <c r="CD201" s="3"/>
      <c r="CE201" s="3"/>
      <c r="CF201" s="3">
        <f t="shared" si="161"/>
        <v>0</v>
      </c>
      <c r="CG201" s="3"/>
      <c r="CH201" s="3"/>
      <c r="CI201" s="3"/>
      <c r="CJ201" s="3">
        <f t="shared" si="162"/>
        <v>0</v>
      </c>
      <c r="CK201" s="3"/>
      <c r="CL201" s="3"/>
      <c r="CM201" s="3"/>
      <c r="CN201" s="3">
        <f t="shared" si="163"/>
        <v>0</v>
      </c>
      <c r="CO201" s="3"/>
      <c r="CP201" s="3"/>
      <c r="CQ201" s="3"/>
      <c r="CR201" s="3">
        <f t="shared" si="164"/>
        <v>0</v>
      </c>
      <c r="CS201" s="3"/>
      <c r="CT201" s="3"/>
      <c r="CU201" s="3"/>
      <c r="CV201" s="3">
        <f t="shared" si="165"/>
        <v>0</v>
      </c>
      <c r="CW201" s="3"/>
      <c r="CX201" s="3"/>
      <c r="CY201" s="3"/>
      <c r="CZ201" s="3">
        <f t="shared" si="173"/>
        <v>0</v>
      </c>
      <c r="DA201" s="3"/>
      <c r="DB201" s="3"/>
      <c r="DC201" s="3"/>
      <c r="DD201" s="3">
        <f t="shared" si="166"/>
        <v>0</v>
      </c>
      <c r="DE201" s="3"/>
      <c r="DF201" s="3"/>
      <c r="DG201" s="3"/>
      <c r="DH201" s="3">
        <f t="shared" si="167"/>
        <v>0</v>
      </c>
      <c r="DI201" s="3"/>
      <c r="DJ201" s="3"/>
      <c r="DK201" s="3"/>
      <c r="DL201" s="3">
        <f t="shared" ref="DL201:DL264" si="203">SUBTOTAL(9,DI201:DK201)</f>
        <v>0</v>
      </c>
      <c r="DM201" s="3"/>
      <c r="DN201" s="3"/>
      <c r="DO201" s="3"/>
      <c r="DP201" s="3">
        <f t="shared" si="168"/>
        <v>0</v>
      </c>
      <c r="DQ201" s="3"/>
      <c r="DR201" s="3"/>
      <c r="DS201" s="3"/>
      <c r="DT201" s="3">
        <f t="shared" si="172"/>
        <v>0</v>
      </c>
      <c r="DU201" s="3"/>
      <c r="DV201" s="3"/>
      <c r="DW201" s="3"/>
      <c r="DX201" s="3">
        <f t="shared" si="169"/>
        <v>0</v>
      </c>
      <c r="DY201" s="3"/>
      <c r="DZ201" s="3"/>
      <c r="EA201" s="3"/>
      <c r="EB201" s="3">
        <f t="shared" si="170"/>
        <v>0</v>
      </c>
      <c r="EC201" s="4">
        <f t="shared" si="150"/>
        <v>-297.5</v>
      </c>
      <c r="ED201" s="5">
        <f t="shared" si="171"/>
        <v>0</v>
      </c>
      <c r="EE201" s="6">
        <f t="shared" si="174"/>
        <v>-297.5</v>
      </c>
      <c r="EF201" s="6">
        <f t="shared" si="174"/>
        <v>0</v>
      </c>
      <c r="EG201" s="6">
        <f t="shared" si="174"/>
        <v>0</v>
      </c>
    </row>
    <row r="202" spans="1:137" ht="12" customHeight="1" x14ac:dyDescent="0.35">
      <c r="A202" s="43" t="s">
        <v>115</v>
      </c>
      <c r="B202" s="43">
        <v>28324</v>
      </c>
      <c r="C202" s="43" t="s">
        <v>116</v>
      </c>
      <c r="D202" s="43" t="s">
        <v>537</v>
      </c>
      <c r="E202" s="43">
        <v>150782</v>
      </c>
      <c r="F202" s="43" t="s">
        <v>757</v>
      </c>
      <c r="G202" s="44">
        <v>45854</v>
      </c>
      <c r="H202" s="44">
        <v>45993</v>
      </c>
      <c r="I202" s="45">
        <v>12</v>
      </c>
      <c r="J202" s="45">
        <v>-30168</v>
      </c>
      <c r="K202" s="45">
        <v>0</v>
      </c>
      <c r="L202" s="45">
        <v>-1810.08</v>
      </c>
      <c r="M202" s="45">
        <v>-1810.08</v>
      </c>
      <c r="N202" s="45">
        <v>-3620.16</v>
      </c>
      <c r="O202" s="45">
        <v>-33788.160000000003</v>
      </c>
      <c r="P202" s="43" t="s">
        <v>95</v>
      </c>
      <c r="Q202" s="43" t="s">
        <v>47</v>
      </c>
      <c r="R202" s="43" t="s">
        <v>112</v>
      </c>
      <c r="S202" s="43" t="s">
        <v>97</v>
      </c>
      <c r="T202" s="43" t="s">
        <v>98</v>
      </c>
      <c r="U202" s="43" t="s">
        <v>99</v>
      </c>
      <c r="V202" s="43">
        <v>996311</v>
      </c>
      <c r="W202" s="43" t="s">
        <v>758</v>
      </c>
      <c r="X202" s="43" t="s">
        <v>101</v>
      </c>
      <c r="Y202" s="43">
        <v>107</v>
      </c>
      <c r="Z202" s="43" t="s">
        <v>102</v>
      </c>
      <c r="AA202" t="s">
        <v>759</v>
      </c>
      <c r="AB202">
        <v>-3620.16</v>
      </c>
      <c r="AC202">
        <v>-3621</v>
      </c>
      <c r="AD202" s="38">
        <v>1</v>
      </c>
      <c r="AE202" t="s">
        <v>104</v>
      </c>
      <c r="AF202" t="s">
        <v>73</v>
      </c>
      <c r="AG202" s="3"/>
      <c r="AH202" s="3"/>
      <c r="AI202" s="3"/>
      <c r="AJ202" s="3">
        <f t="shared" si="151"/>
        <v>0</v>
      </c>
      <c r="AK202" s="3"/>
      <c r="AL202" s="3"/>
      <c r="AM202" s="3"/>
      <c r="AN202" s="3">
        <f t="shared" si="152"/>
        <v>0</v>
      </c>
      <c r="AO202" s="3"/>
      <c r="AP202" s="3"/>
      <c r="AQ202" s="3"/>
      <c r="AR202" s="3">
        <f t="shared" si="153"/>
        <v>0</v>
      </c>
      <c r="AS202" s="3"/>
      <c r="AT202" s="3"/>
      <c r="AU202" s="3"/>
      <c r="AV202" s="3">
        <f t="shared" si="154"/>
        <v>0</v>
      </c>
      <c r="AW202" s="3"/>
      <c r="AX202" s="3"/>
      <c r="AY202" s="3"/>
      <c r="AZ202" s="3">
        <f t="shared" si="155"/>
        <v>0</v>
      </c>
      <c r="BA202" s="3"/>
      <c r="BB202" s="3"/>
      <c r="BC202" s="3"/>
      <c r="BD202" s="3">
        <f t="shared" si="156"/>
        <v>0</v>
      </c>
      <c r="BE202" s="3"/>
      <c r="BF202" s="3"/>
      <c r="BG202" s="3"/>
      <c r="BH202" s="3">
        <f t="shared" si="148"/>
        <v>0</v>
      </c>
      <c r="BI202" s="3"/>
      <c r="BJ202" s="3"/>
      <c r="BK202" s="3"/>
      <c r="BL202" s="3">
        <f t="shared" si="149"/>
        <v>0</v>
      </c>
      <c r="BM202" s="3"/>
      <c r="BN202" s="3"/>
      <c r="BO202" s="3"/>
      <c r="BP202" s="3">
        <f t="shared" si="157"/>
        <v>0</v>
      </c>
      <c r="BQ202" s="3"/>
      <c r="BR202" s="3"/>
      <c r="BS202" s="3"/>
      <c r="BT202" s="3">
        <f t="shared" si="158"/>
        <v>0</v>
      </c>
      <c r="BU202" s="3"/>
      <c r="BV202" s="3"/>
      <c r="BW202" s="3"/>
      <c r="BX202" s="3">
        <f t="shared" si="159"/>
        <v>0</v>
      </c>
      <c r="BY202" s="3"/>
      <c r="BZ202" s="3"/>
      <c r="CA202" s="3"/>
      <c r="CB202" s="3">
        <f t="shared" si="160"/>
        <v>0</v>
      </c>
      <c r="CC202" s="3"/>
      <c r="CD202" s="3"/>
      <c r="CE202" s="3"/>
      <c r="CF202" s="3">
        <f t="shared" si="161"/>
        <v>0</v>
      </c>
      <c r="CG202" s="3"/>
      <c r="CH202" s="3"/>
      <c r="CI202" s="3"/>
      <c r="CJ202" s="3">
        <f t="shared" si="162"/>
        <v>0</v>
      </c>
      <c r="CK202" s="3"/>
      <c r="CL202" s="3"/>
      <c r="CM202" s="3"/>
      <c r="CN202" s="3">
        <f t="shared" si="163"/>
        <v>0</v>
      </c>
      <c r="CO202" s="3"/>
      <c r="CP202" s="3"/>
      <c r="CQ202" s="3"/>
      <c r="CR202" s="3">
        <f t="shared" si="164"/>
        <v>0</v>
      </c>
      <c r="CS202" s="3"/>
      <c r="CT202" s="3"/>
      <c r="CU202" s="3"/>
      <c r="CV202" s="3">
        <f t="shared" si="165"/>
        <v>0</v>
      </c>
      <c r="CW202" s="3">
        <f>SUM($K202:$M202)*CW$4/$CW$4</f>
        <v>-3620.16</v>
      </c>
      <c r="CX202" s="3">
        <v>0</v>
      </c>
      <c r="CY202" s="3">
        <v>0</v>
      </c>
      <c r="CZ202" s="3">
        <f t="shared" si="173"/>
        <v>-3620.16</v>
      </c>
      <c r="DA202" s="3"/>
      <c r="DB202" s="3"/>
      <c r="DC202" s="3"/>
      <c r="DD202" s="3">
        <f t="shared" si="166"/>
        <v>0</v>
      </c>
      <c r="DE202" s="3"/>
      <c r="DF202" s="3"/>
      <c r="DG202" s="3"/>
      <c r="DH202" s="3">
        <f t="shared" si="167"/>
        <v>0</v>
      </c>
      <c r="DI202" s="3"/>
      <c r="DJ202" s="3"/>
      <c r="DK202" s="3"/>
      <c r="DL202" s="3">
        <f t="shared" si="203"/>
        <v>0</v>
      </c>
      <c r="DM202" s="3"/>
      <c r="DN202" s="3"/>
      <c r="DO202" s="3"/>
      <c r="DP202" s="3">
        <f t="shared" si="168"/>
        <v>0</v>
      </c>
      <c r="DQ202" s="3"/>
      <c r="DR202" s="3"/>
      <c r="DS202" s="3"/>
      <c r="DT202" s="3">
        <f t="shared" si="172"/>
        <v>0</v>
      </c>
      <c r="DU202" s="3"/>
      <c r="DV202" s="3"/>
      <c r="DW202" s="3"/>
      <c r="DX202" s="3">
        <f t="shared" si="169"/>
        <v>0</v>
      </c>
      <c r="DY202" s="3"/>
      <c r="DZ202" s="3"/>
      <c r="EA202" s="3"/>
      <c r="EB202" s="3">
        <f t="shared" si="170"/>
        <v>0</v>
      </c>
      <c r="EC202" s="4">
        <f t="shared" si="150"/>
        <v>-3620.16</v>
      </c>
      <c r="ED202" s="5">
        <f t="shared" si="171"/>
        <v>0</v>
      </c>
      <c r="EE202" s="6">
        <f t="shared" si="174"/>
        <v>-3620.16</v>
      </c>
      <c r="EF202" s="6">
        <f t="shared" si="174"/>
        <v>0</v>
      </c>
      <c r="EG202" s="6">
        <f t="shared" si="174"/>
        <v>0</v>
      </c>
    </row>
    <row r="203" spans="1:137" ht="12" customHeight="1" x14ac:dyDescent="0.35">
      <c r="A203" s="43" t="s">
        <v>91</v>
      </c>
      <c r="B203" s="43">
        <v>30450</v>
      </c>
      <c r="C203" s="43" t="s">
        <v>760</v>
      </c>
      <c r="D203" s="43" t="s">
        <v>110</v>
      </c>
      <c r="E203" s="43">
        <v>150781</v>
      </c>
      <c r="F203" s="43" t="s">
        <v>761</v>
      </c>
      <c r="G203" s="44">
        <v>45877</v>
      </c>
      <c r="H203" s="44">
        <v>45993</v>
      </c>
      <c r="I203" s="45">
        <v>5</v>
      </c>
      <c r="J203" s="45">
        <v>-571</v>
      </c>
      <c r="K203" s="45">
        <v>-28.55</v>
      </c>
      <c r="L203" s="45">
        <v>0</v>
      </c>
      <c r="M203" s="45">
        <v>0</v>
      </c>
      <c r="N203" s="45">
        <v>-28.55</v>
      </c>
      <c r="O203" s="45">
        <v>-599.54999999999995</v>
      </c>
      <c r="P203" s="43" t="s">
        <v>95</v>
      </c>
      <c r="Q203" s="43" t="s">
        <v>36</v>
      </c>
      <c r="R203" s="43" t="s">
        <v>112</v>
      </c>
      <c r="S203" s="43" t="s">
        <v>97</v>
      </c>
      <c r="T203" s="43" t="s">
        <v>98</v>
      </c>
      <c r="U203" s="43" t="s">
        <v>99</v>
      </c>
      <c r="V203" s="43">
        <v>996311</v>
      </c>
      <c r="W203" s="43" t="s">
        <v>762</v>
      </c>
      <c r="X203" s="43" t="s">
        <v>101</v>
      </c>
      <c r="Y203" s="43">
        <v>107</v>
      </c>
      <c r="Z203" s="43" t="s">
        <v>102</v>
      </c>
      <c r="AA203" t="s">
        <v>763</v>
      </c>
      <c r="AB203">
        <v>-28.55</v>
      </c>
      <c r="AC203">
        <v>-29</v>
      </c>
      <c r="AD203" s="38">
        <v>0</v>
      </c>
      <c r="AE203" t="s">
        <v>104</v>
      </c>
      <c r="AF203" t="s">
        <v>73</v>
      </c>
      <c r="AG203" s="3"/>
      <c r="AH203" s="3"/>
      <c r="AI203" s="3"/>
      <c r="AJ203" s="3">
        <f t="shared" si="151"/>
        <v>0</v>
      </c>
      <c r="AK203" s="3"/>
      <c r="AL203" s="3"/>
      <c r="AM203" s="3"/>
      <c r="AN203" s="3">
        <f t="shared" si="152"/>
        <v>0</v>
      </c>
      <c r="AO203" s="3"/>
      <c r="AP203" s="3"/>
      <c r="AQ203" s="3"/>
      <c r="AR203" s="3">
        <f t="shared" si="153"/>
        <v>0</v>
      </c>
      <c r="AS203" s="3"/>
      <c r="AT203" s="3"/>
      <c r="AU203" s="3"/>
      <c r="AV203" s="3">
        <f t="shared" si="154"/>
        <v>0</v>
      </c>
      <c r="AW203" s="3"/>
      <c r="AX203" s="3"/>
      <c r="AY203" s="3"/>
      <c r="AZ203" s="3">
        <f t="shared" si="155"/>
        <v>0</v>
      </c>
      <c r="BA203" s="3"/>
      <c r="BB203" s="3"/>
      <c r="BC203" s="3"/>
      <c r="BD203" s="3">
        <f t="shared" si="156"/>
        <v>0</v>
      </c>
      <c r="BE203" s="3">
        <f>$K203*BE$4/$BE$4</f>
        <v>-28.55</v>
      </c>
      <c r="BF203" s="3">
        <f>$L203*BE$4/$BE$4</f>
        <v>0</v>
      </c>
      <c r="BG203" s="3">
        <f>$M203*BE$4/$BE$4</f>
        <v>0</v>
      </c>
      <c r="BH203" s="3">
        <f t="shared" ref="BH203:BH232" si="204">SUBTOTAL(9,BE203:BG203)</f>
        <v>-28.55</v>
      </c>
      <c r="BI203" s="3"/>
      <c r="BJ203" s="3"/>
      <c r="BK203" s="3"/>
      <c r="BL203" s="3">
        <f t="shared" ref="BL203:BL232" si="205">SUBTOTAL(9,BI203:BK203)</f>
        <v>0</v>
      </c>
      <c r="BM203" s="3"/>
      <c r="BN203" s="3"/>
      <c r="BO203" s="3"/>
      <c r="BP203" s="3">
        <f t="shared" si="157"/>
        <v>0</v>
      </c>
      <c r="BQ203" s="3"/>
      <c r="BR203" s="3"/>
      <c r="BS203" s="3"/>
      <c r="BT203" s="3">
        <f t="shared" si="158"/>
        <v>0</v>
      </c>
      <c r="BU203" s="3"/>
      <c r="BV203" s="3"/>
      <c r="BW203" s="3"/>
      <c r="BX203" s="3">
        <f t="shared" si="159"/>
        <v>0</v>
      </c>
      <c r="BY203" s="3"/>
      <c r="BZ203" s="3"/>
      <c r="CA203" s="3"/>
      <c r="CB203" s="3">
        <f t="shared" si="160"/>
        <v>0</v>
      </c>
      <c r="CC203" s="3"/>
      <c r="CD203" s="3"/>
      <c r="CE203" s="3"/>
      <c r="CF203" s="3">
        <f t="shared" si="161"/>
        <v>0</v>
      </c>
      <c r="CG203" s="3"/>
      <c r="CH203" s="3"/>
      <c r="CI203" s="3"/>
      <c r="CJ203" s="3">
        <f t="shared" si="162"/>
        <v>0</v>
      </c>
      <c r="CK203" s="3"/>
      <c r="CL203" s="3"/>
      <c r="CM203" s="3"/>
      <c r="CN203" s="3">
        <f t="shared" si="163"/>
        <v>0</v>
      </c>
      <c r="CO203" s="3"/>
      <c r="CP203" s="3"/>
      <c r="CQ203" s="3"/>
      <c r="CR203" s="3">
        <f t="shared" si="164"/>
        <v>0</v>
      </c>
      <c r="CS203" s="3"/>
      <c r="CT203" s="3"/>
      <c r="CU203" s="3"/>
      <c r="CV203" s="3">
        <f t="shared" si="165"/>
        <v>0</v>
      </c>
      <c r="CW203" s="3"/>
      <c r="CX203" s="3"/>
      <c r="CY203" s="3"/>
      <c r="CZ203" s="3">
        <f t="shared" si="173"/>
        <v>0</v>
      </c>
      <c r="DA203" s="3"/>
      <c r="DB203" s="3"/>
      <c r="DC203" s="3"/>
      <c r="DD203" s="3">
        <f t="shared" si="166"/>
        <v>0</v>
      </c>
      <c r="DE203" s="3"/>
      <c r="DF203" s="3"/>
      <c r="DG203" s="3"/>
      <c r="DH203" s="3">
        <f t="shared" si="167"/>
        <v>0</v>
      </c>
      <c r="DI203" s="3"/>
      <c r="DJ203" s="3"/>
      <c r="DK203" s="3"/>
      <c r="DL203" s="3">
        <f t="shared" si="203"/>
        <v>0</v>
      </c>
      <c r="DM203" s="3"/>
      <c r="DN203" s="3"/>
      <c r="DO203" s="3"/>
      <c r="DP203" s="3">
        <f t="shared" si="168"/>
        <v>0</v>
      </c>
      <c r="DQ203" s="3"/>
      <c r="DR203" s="3"/>
      <c r="DS203" s="3"/>
      <c r="DT203" s="3">
        <f t="shared" si="172"/>
        <v>0</v>
      </c>
      <c r="DU203" s="3"/>
      <c r="DV203" s="3"/>
      <c r="DW203" s="3"/>
      <c r="DX203" s="3">
        <f t="shared" si="169"/>
        <v>0</v>
      </c>
      <c r="DY203" s="3"/>
      <c r="DZ203" s="3"/>
      <c r="EA203" s="3"/>
      <c r="EB203" s="3">
        <f t="shared" si="170"/>
        <v>0</v>
      </c>
      <c r="EC203" s="4">
        <f t="shared" ref="EC203:EC230" si="206">AJ203+AN203+AR203+AV203+AZ203+BD203+BH203+BL203+BP203+BT203+BX203+CB203+CF203+CJ203+CN203+CR203+CV203+CZ203+DD203+DH203+DL203+DP203+DT203+DX203+EB203</f>
        <v>-28.55</v>
      </c>
      <c r="ED203" s="5">
        <f t="shared" si="171"/>
        <v>0</v>
      </c>
      <c r="EE203" s="6">
        <f t="shared" si="174"/>
        <v>-28.55</v>
      </c>
      <c r="EF203" s="6">
        <f t="shared" si="174"/>
        <v>0</v>
      </c>
      <c r="EG203" s="6">
        <f t="shared" si="174"/>
        <v>0</v>
      </c>
    </row>
    <row r="204" spans="1:137" ht="12" customHeight="1" x14ac:dyDescent="0.35">
      <c r="A204" s="43" t="s">
        <v>91</v>
      </c>
      <c r="B204" s="43">
        <v>30450</v>
      </c>
      <c r="C204" s="43" t="s">
        <v>169</v>
      </c>
      <c r="D204" s="43" t="s">
        <v>110</v>
      </c>
      <c r="E204" s="43">
        <v>150781</v>
      </c>
      <c r="F204" s="43" t="s">
        <v>764</v>
      </c>
      <c r="G204" s="44">
        <v>45937</v>
      </c>
      <c r="H204" s="44">
        <v>45992</v>
      </c>
      <c r="I204" s="45">
        <v>5</v>
      </c>
      <c r="J204" s="45">
        <v>-13815</v>
      </c>
      <c r="K204" s="45">
        <v>-690.75</v>
      </c>
      <c r="L204" s="45">
        <v>0</v>
      </c>
      <c r="M204" s="45">
        <v>0</v>
      </c>
      <c r="N204" s="45">
        <v>-690.75</v>
      </c>
      <c r="O204" s="45">
        <v>-14505.75</v>
      </c>
      <c r="P204" s="43" t="s">
        <v>95</v>
      </c>
      <c r="Q204" s="43" t="s">
        <v>36</v>
      </c>
      <c r="R204" s="43" t="s">
        <v>112</v>
      </c>
      <c r="S204" s="43" t="s">
        <v>97</v>
      </c>
      <c r="T204" s="43" t="s">
        <v>98</v>
      </c>
      <c r="U204" s="43" t="s">
        <v>99</v>
      </c>
      <c r="V204" s="43">
        <v>996311</v>
      </c>
      <c r="W204" s="43" t="s">
        <v>765</v>
      </c>
      <c r="X204" s="43" t="s">
        <v>101</v>
      </c>
      <c r="Y204" s="43">
        <v>107</v>
      </c>
      <c r="Z204" s="43" t="s">
        <v>102</v>
      </c>
      <c r="AA204" t="s">
        <v>766</v>
      </c>
      <c r="AB204">
        <v>-690.75</v>
      </c>
      <c r="AC204">
        <v>-691</v>
      </c>
      <c r="AD204" s="38">
        <v>0</v>
      </c>
      <c r="AE204" t="s">
        <v>104</v>
      </c>
      <c r="AF204" t="s">
        <v>73</v>
      </c>
      <c r="AG204" s="3"/>
      <c r="AH204" s="3"/>
      <c r="AI204" s="3"/>
      <c r="AJ204" s="3">
        <f t="shared" si="151"/>
        <v>0</v>
      </c>
      <c r="AK204" s="3"/>
      <c r="AL204" s="3"/>
      <c r="AM204" s="3"/>
      <c r="AN204" s="3">
        <f t="shared" si="152"/>
        <v>0</v>
      </c>
      <c r="AO204" s="3"/>
      <c r="AP204" s="3"/>
      <c r="AQ204" s="3"/>
      <c r="AR204" s="3">
        <f t="shared" si="153"/>
        <v>0</v>
      </c>
      <c r="AS204" s="3"/>
      <c r="AT204" s="3"/>
      <c r="AU204" s="3"/>
      <c r="AV204" s="3">
        <f t="shared" si="154"/>
        <v>0</v>
      </c>
      <c r="AW204" s="3"/>
      <c r="AX204" s="3"/>
      <c r="AY204" s="3"/>
      <c r="AZ204" s="3">
        <f t="shared" si="155"/>
        <v>0</v>
      </c>
      <c r="BA204" s="3"/>
      <c r="BB204" s="3"/>
      <c r="BC204" s="3"/>
      <c r="BD204" s="3">
        <f t="shared" si="156"/>
        <v>0</v>
      </c>
      <c r="BE204" s="3">
        <f>$K204*BE$4/$BE$4</f>
        <v>-690.75</v>
      </c>
      <c r="BF204" s="3">
        <f>$L204*BE$4/$BE$4</f>
        <v>0</v>
      </c>
      <c r="BG204" s="3">
        <f>$M204*BE$4/$BE$4</f>
        <v>0</v>
      </c>
      <c r="BH204" s="3">
        <f t="shared" si="204"/>
        <v>-690.75</v>
      </c>
      <c r="BI204" s="3"/>
      <c r="BJ204" s="3"/>
      <c r="BK204" s="3"/>
      <c r="BL204" s="3">
        <f t="shared" si="205"/>
        <v>0</v>
      </c>
      <c r="BM204" s="3"/>
      <c r="BN204" s="3"/>
      <c r="BO204" s="3"/>
      <c r="BP204" s="3">
        <f t="shared" si="157"/>
        <v>0</v>
      </c>
      <c r="BQ204" s="3"/>
      <c r="BR204" s="3"/>
      <c r="BS204" s="3"/>
      <c r="BT204" s="3">
        <f t="shared" si="158"/>
        <v>0</v>
      </c>
      <c r="BU204" s="3"/>
      <c r="BV204" s="3"/>
      <c r="BW204" s="3"/>
      <c r="BX204" s="3">
        <f t="shared" si="159"/>
        <v>0</v>
      </c>
      <c r="BY204" s="3"/>
      <c r="BZ204" s="3"/>
      <c r="CA204" s="3"/>
      <c r="CB204" s="3">
        <f t="shared" si="160"/>
        <v>0</v>
      </c>
      <c r="CC204" s="3"/>
      <c r="CD204" s="3"/>
      <c r="CE204" s="3"/>
      <c r="CF204" s="3">
        <f t="shared" si="161"/>
        <v>0</v>
      </c>
      <c r="CG204" s="3"/>
      <c r="CH204" s="3"/>
      <c r="CI204" s="3"/>
      <c r="CJ204" s="3">
        <f t="shared" si="162"/>
        <v>0</v>
      </c>
      <c r="CK204" s="3"/>
      <c r="CL204" s="3"/>
      <c r="CM204" s="3"/>
      <c r="CN204" s="3">
        <f t="shared" si="163"/>
        <v>0</v>
      </c>
      <c r="CO204" s="3"/>
      <c r="CP204" s="3"/>
      <c r="CQ204" s="3"/>
      <c r="CR204" s="3">
        <f t="shared" si="164"/>
        <v>0</v>
      </c>
      <c r="CS204" s="3"/>
      <c r="CT204" s="3"/>
      <c r="CU204" s="3"/>
      <c r="CV204" s="3">
        <f t="shared" si="165"/>
        <v>0</v>
      </c>
      <c r="CW204" s="3"/>
      <c r="CX204" s="3"/>
      <c r="CY204" s="3"/>
      <c r="CZ204" s="3">
        <f t="shared" si="173"/>
        <v>0</v>
      </c>
      <c r="DA204" s="3"/>
      <c r="DB204" s="3"/>
      <c r="DC204" s="3"/>
      <c r="DD204" s="3">
        <f t="shared" si="166"/>
        <v>0</v>
      </c>
      <c r="DE204" s="3"/>
      <c r="DF204" s="3"/>
      <c r="DG204" s="3"/>
      <c r="DH204" s="3">
        <f t="shared" si="167"/>
        <v>0</v>
      </c>
      <c r="DI204" s="3"/>
      <c r="DJ204" s="3"/>
      <c r="DK204" s="3"/>
      <c r="DL204" s="3">
        <f t="shared" si="203"/>
        <v>0</v>
      </c>
      <c r="DM204" s="3"/>
      <c r="DN204" s="3"/>
      <c r="DO204" s="3"/>
      <c r="DP204" s="3">
        <f t="shared" si="168"/>
        <v>0</v>
      </c>
      <c r="DQ204" s="3"/>
      <c r="DR204" s="3"/>
      <c r="DS204" s="3"/>
      <c r="DT204" s="3">
        <f t="shared" si="172"/>
        <v>0</v>
      </c>
      <c r="DU204" s="3"/>
      <c r="DV204" s="3"/>
      <c r="DW204" s="3"/>
      <c r="DX204" s="3">
        <f t="shared" si="169"/>
        <v>0</v>
      </c>
      <c r="DY204" s="3"/>
      <c r="DZ204" s="3"/>
      <c r="EA204" s="3"/>
      <c r="EB204" s="3">
        <f t="shared" si="170"/>
        <v>0</v>
      </c>
      <c r="EC204" s="4">
        <f t="shared" si="206"/>
        <v>-690.75</v>
      </c>
      <c r="ED204" s="5">
        <f t="shared" si="171"/>
        <v>0</v>
      </c>
      <c r="EE204" s="6">
        <f t="shared" si="174"/>
        <v>-690.75</v>
      </c>
      <c r="EF204" s="6">
        <f t="shared" si="174"/>
        <v>0</v>
      </c>
      <c r="EG204" s="6">
        <f t="shared" si="174"/>
        <v>0</v>
      </c>
    </row>
    <row r="205" spans="1:137" ht="12" customHeight="1" x14ac:dyDescent="0.35">
      <c r="A205" s="43" t="s">
        <v>91</v>
      </c>
      <c r="B205" s="43">
        <v>30450</v>
      </c>
      <c r="C205" s="43" t="s">
        <v>105</v>
      </c>
      <c r="D205" s="43" t="s">
        <v>110</v>
      </c>
      <c r="E205" s="43">
        <v>150781</v>
      </c>
      <c r="F205" s="43" t="s">
        <v>767</v>
      </c>
      <c r="G205" s="44">
        <v>45881</v>
      </c>
      <c r="H205" s="44">
        <v>45993</v>
      </c>
      <c r="I205" s="45">
        <v>5</v>
      </c>
      <c r="J205" s="45">
        <v>-6162</v>
      </c>
      <c r="K205" s="45">
        <v>-308.10000000000002</v>
      </c>
      <c r="L205" s="45">
        <v>0</v>
      </c>
      <c r="M205" s="45">
        <v>0</v>
      </c>
      <c r="N205" s="45">
        <v>-308.10000000000002</v>
      </c>
      <c r="O205" s="45">
        <v>-6470.1</v>
      </c>
      <c r="P205" s="43" t="s">
        <v>95</v>
      </c>
      <c r="Q205" s="43" t="s">
        <v>36</v>
      </c>
      <c r="R205" s="43" t="s">
        <v>112</v>
      </c>
      <c r="S205" s="43" t="s">
        <v>97</v>
      </c>
      <c r="T205" s="43" t="s">
        <v>98</v>
      </c>
      <c r="U205" s="43" t="s">
        <v>99</v>
      </c>
      <c r="V205" s="43">
        <v>996311</v>
      </c>
      <c r="W205" s="43" t="s">
        <v>768</v>
      </c>
      <c r="X205" s="43" t="s">
        <v>101</v>
      </c>
      <c r="Y205" s="43">
        <v>107</v>
      </c>
      <c r="Z205" s="43" t="s">
        <v>102</v>
      </c>
      <c r="AA205" t="s">
        <v>769</v>
      </c>
      <c r="AB205">
        <v>-308.10000000000002</v>
      </c>
      <c r="AC205">
        <v>-308</v>
      </c>
      <c r="AD205" s="38">
        <v>0</v>
      </c>
      <c r="AE205" t="s">
        <v>104</v>
      </c>
      <c r="AF205" t="s">
        <v>73</v>
      </c>
      <c r="AG205" s="3"/>
      <c r="AH205" s="3"/>
      <c r="AI205" s="3"/>
      <c r="AJ205" s="3">
        <f t="shared" ref="AJ205:AJ232" si="207">SUBTOTAL(9,AG205:AI205)</f>
        <v>0</v>
      </c>
      <c r="AK205" s="3"/>
      <c r="AL205" s="3"/>
      <c r="AM205" s="3"/>
      <c r="AN205" s="3">
        <f t="shared" ref="AN205:AN232" si="208">SUBTOTAL(9,AK205:AM205)</f>
        <v>0</v>
      </c>
      <c r="AO205" s="3"/>
      <c r="AP205" s="3"/>
      <c r="AQ205" s="3"/>
      <c r="AR205" s="3">
        <f t="shared" ref="AR205:AR232" si="209">SUBTOTAL(9,AO205:AQ205)</f>
        <v>0</v>
      </c>
      <c r="AS205" s="3"/>
      <c r="AT205" s="3"/>
      <c r="AU205" s="3"/>
      <c r="AV205" s="3">
        <f t="shared" ref="AV205:AV232" si="210">SUBTOTAL(9,AS205:AU205)</f>
        <v>0</v>
      </c>
      <c r="AW205" s="3"/>
      <c r="AX205" s="3"/>
      <c r="AY205" s="3"/>
      <c r="AZ205" s="3">
        <f t="shared" ref="AZ205:AZ232" si="211">SUBTOTAL(9,AW205:AY205)</f>
        <v>0</v>
      </c>
      <c r="BA205" s="3"/>
      <c r="BB205" s="3"/>
      <c r="BC205" s="3"/>
      <c r="BD205" s="3">
        <f t="shared" ref="BD205:BD232" si="212">SUBTOTAL(9,BA205:BC205)</f>
        <v>0</v>
      </c>
      <c r="BE205" s="3">
        <f>$K205*BE$4/$BE$4</f>
        <v>-308.10000000000002</v>
      </c>
      <c r="BF205" s="3">
        <f>$L205*BE$4/$BE$4</f>
        <v>0</v>
      </c>
      <c r="BG205" s="3">
        <f>$M205*BE$4/$BE$4</f>
        <v>0</v>
      </c>
      <c r="BH205" s="3">
        <f t="shared" si="204"/>
        <v>-308.10000000000002</v>
      </c>
      <c r="BI205" s="3"/>
      <c r="BJ205" s="3"/>
      <c r="BK205" s="3"/>
      <c r="BL205" s="3">
        <f t="shared" si="205"/>
        <v>0</v>
      </c>
      <c r="BM205" s="3"/>
      <c r="BN205" s="3"/>
      <c r="BO205" s="3"/>
      <c r="BP205" s="3">
        <f t="shared" ref="BP205:BP232" si="213">SUBTOTAL(9,BM205:BO205)</f>
        <v>0</v>
      </c>
      <c r="BQ205" s="3"/>
      <c r="BR205" s="3"/>
      <c r="BS205" s="3"/>
      <c r="BT205" s="3">
        <f t="shared" ref="BT205:BT232" si="214">SUBTOTAL(9,BQ205:BS205)</f>
        <v>0</v>
      </c>
      <c r="BU205" s="3"/>
      <c r="BV205" s="3"/>
      <c r="BW205" s="3"/>
      <c r="BX205" s="3">
        <f t="shared" ref="BX205:BX232" si="215">SUBTOTAL(9,BU205:BW205)</f>
        <v>0</v>
      </c>
      <c r="BY205" s="3"/>
      <c r="BZ205" s="3"/>
      <c r="CA205" s="3"/>
      <c r="CB205" s="3">
        <f t="shared" ref="CB205:CB232" si="216">SUBTOTAL(9,BY205:CA205)</f>
        <v>0</v>
      </c>
      <c r="CC205" s="3"/>
      <c r="CD205" s="3"/>
      <c r="CE205" s="3"/>
      <c r="CF205" s="3">
        <f t="shared" ref="CF205:CF232" si="217">SUBTOTAL(9,CC205:CE205)</f>
        <v>0</v>
      </c>
      <c r="CG205" s="3"/>
      <c r="CH205" s="3"/>
      <c r="CI205" s="3"/>
      <c r="CJ205" s="3">
        <f t="shared" ref="CJ205:CJ232" si="218">SUBTOTAL(9,CG205:CI205)</f>
        <v>0</v>
      </c>
      <c r="CK205" s="3"/>
      <c r="CL205" s="3"/>
      <c r="CM205" s="3"/>
      <c r="CN205" s="3">
        <f t="shared" ref="CN205:CN232" si="219">SUBTOTAL(9,CK205:CM205)</f>
        <v>0</v>
      </c>
      <c r="CO205" s="3"/>
      <c r="CP205" s="3"/>
      <c r="CQ205" s="3"/>
      <c r="CR205" s="3">
        <f t="shared" ref="CR205:CR232" si="220">SUBTOTAL(9,CO205:CQ205)</f>
        <v>0</v>
      </c>
      <c r="CS205" s="3"/>
      <c r="CT205" s="3"/>
      <c r="CU205" s="3"/>
      <c r="CV205" s="3">
        <f t="shared" ref="CV205:CV232" si="221">SUBTOTAL(9,CS205:CU205)</f>
        <v>0</v>
      </c>
      <c r="CW205" s="3"/>
      <c r="CX205" s="3"/>
      <c r="CY205" s="3"/>
      <c r="CZ205" s="3">
        <f>SUBTOTAL(9,CW205:CY205)</f>
        <v>0</v>
      </c>
      <c r="DA205" s="3"/>
      <c r="DB205" s="3"/>
      <c r="DC205" s="3"/>
      <c r="DD205" s="3">
        <f t="shared" ref="DD205:DD232" si="222">SUBTOTAL(9,DA205:DC205)</f>
        <v>0</v>
      </c>
      <c r="DE205" s="3"/>
      <c r="DF205" s="3"/>
      <c r="DG205" s="3"/>
      <c r="DH205" s="3">
        <f t="shared" ref="DH205:DH232" si="223">SUBTOTAL(9,DE205:DG205)</f>
        <v>0</v>
      </c>
      <c r="DI205" s="3"/>
      <c r="DJ205" s="3"/>
      <c r="DK205" s="3"/>
      <c r="DL205" s="3">
        <f t="shared" si="203"/>
        <v>0</v>
      </c>
      <c r="DM205" s="3"/>
      <c r="DN205" s="3"/>
      <c r="DO205" s="3"/>
      <c r="DP205" s="3">
        <f t="shared" ref="DP205:DP232" si="224">SUBTOTAL(9,DM205:DO205)</f>
        <v>0</v>
      </c>
      <c r="DQ205" s="3"/>
      <c r="DR205" s="3"/>
      <c r="DS205" s="3"/>
      <c r="DT205" s="3">
        <f t="shared" si="172"/>
        <v>0</v>
      </c>
      <c r="DU205" s="3"/>
      <c r="DV205" s="3"/>
      <c r="DW205" s="3"/>
      <c r="DX205" s="3">
        <f t="shared" ref="DX205:DX232" si="225">SUBTOTAL(9,DU205:DW205)</f>
        <v>0</v>
      </c>
      <c r="DY205" s="3"/>
      <c r="DZ205" s="3"/>
      <c r="EA205" s="3"/>
      <c r="EB205" s="3">
        <f t="shared" ref="EB205:EB232" si="226">SUBTOTAL(9,DY205:EA205)</f>
        <v>0</v>
      </c>
      <c r="EC205" s="4">
        <f t="shared" si="206"/>
        <v>-308.10000000000002</v>
      </c>
      <c r="ED205" s="5">
        <f t="shared" ref="ED205:ED232" si="227">EC205-SUM(K205:M205)</f>
        <v>0</v>
      </c>
      <c r="EE205" s="6">
        <f t="shared" si="174"/>
        <v>-308.10000000000002</v>
      </c>
      <c r="EF205" s="6">
        <f t="shared" si="174"/>
        <v>0</v>
      </c>
      <c r="EG205" s="6">
        <f t="shared" si="174"/>
        <v>0</v>
      </c>
    </row>
    <row r="206" spans="1:137" ht="12" customHeight="1" x14ac:dyDescent="0.35">
      <c r="A206" s="43" t="s">
        <v>115</v>
      </c>
      <c r="B206" s="43">
        <v>28324</v>
      </c>
      <c r="C206" s="43" t="s">
        <v>116</v>
      </c>
      <c r="D206" s="43" t="s">
        <v>543</v>
      </c>
      <c r="E206" s="43">
        <v>150783</v>
      </c>
      <c r="F206" s="43" t="s">
        <v>770</v>
      </c>
      <c r="G206" s="44">
        <v>45888</v>
      </c>
      <c r="H206" s="44">
        <v>45993</v>
      </c>
      <c r="I206" s="45">
        <v>12</v>
      </c>
      <c r="J206" s="45">
        <v>-30780</v>
      </c>
      <c r="K206" s="45">
        <v>0</v>
      </c>
      <c r="L206" s="45">
        <v>-1846.8</v>
      </c>
      <c r="M206" s="45">
        <v>-1846.8</v>
      </c>
      <c r="N206" s="45">
        <v>-3693.6</v>
      </c>
      <c r="O206" s="45">
        <v>-34473.599999999999</v>
      </c>
      <c r="P206" s="43" t="s">
        <v>95</v>
      </c>
      <c r="Q206" s="43" t="s">
        <v>47</v>
      </c>
      <c r="R206" s="43" t="s">
        <v>112</v>
      </c>
      <c r="S206" s="43" t="s">
        <v>97</v>
      </c>
      <c r="T206" s="43" t="s">
        <v>98</v>
      </c>
      <c r="U206" s="43" t="s">
        <v>99</v>
      </c>
      <c r="V206" s="43">
        <v>996311</v>
      </c>
      <c r="W206" s="43" t="s">
        <v>771</v>
      </c>
      <c r="X206" s="43" t="s">
        <v>101</v>
      </c>
      <c r="Y206" s="43">
        <v>107</v>
      </c>
      <c r="Z206" s="43" t="s">
        <v>102</v>
      </c>
      <c r="AA206" t="s">
        <v>772</v>
      </c>
      <c r="AB206">
        <v>-3693.6</v>
      </c>
      <c r="AC206">
        <v>-3694</v>
      </c>
      <c r="AD206" s="38">
        <v>0</v>
      </c>
      <c r="AE206" t="s">
        <v>104</v>
      </c>
      <c r="AF206" t="s">
        <v>73</v>
      </c>
      <c r="AG206" s="3"/>
      <c r="AH206" s="3"/>
      <c r="AI206" s="3"/>
      <c r="AJ206" s="3">
        <f t="shared" si="207"/>
        <v>0</v>
      </c>
      <c r="AK206" s="3"/>
      <c r="AL206" s="3"/>
      <c r="AM206" s="3"/>
      <c r="AN206" s="3">
        <f t="shared" si="208"/>
        <v>0</v>
      </c>
      <c r="AO206" s="3"/>
      <c r="AP206" s="3"/>
      <c r="AQ206" s="3"/>
      <c r="AR206" s="3">
        <f t="shared" si="209"/>
        <v>0</v>
      </c>
      <c r="AS206" s="3"/>
      <c r="AT206" s="3"/>
      <c r="AU206" s="3"/>
      <c r="AV206" s="3">
        <f t="shared" si="210"/>
        <v>0</v>
      </c>
      <c r="AW206" s="3"/>
      <c r="AX206" s="3"/>
      <c r="AY206" s="3"/>
      <c r="AZ206" s="3">
        <f t="shared" si="211"/>
        <v>0</v>
      </c>
      <c r="BA206" s="3"/>
      <c r="BB206" s="3"/>
      <c r="BC206" s="3"/>
      <c r="BD206" s="3">
        <f t="shared" si="212"/>
        <v>0</v>
      </c>
      <c r="BE206" s="3"/>
      <c r="BF206" s="3"/>
      <c r="BG206" s="3"/>
      <c r="BH206" s="3">
        <f t="shared" si="204"/>
        <v>0</v>
      </c>
      <c r="BI206" s="3"/>
      <c r="BJ206" s="3"/>
      <c r="BK206" s="3"/>
      <c r="BL206" s="3">
        <f t="shared" si="205"/>
        <v>0</v>
      </c>
      <c r="BM206" s="3"/>
      <c r="BN206" s="3"/>
      <c r="BO206" s="3"/>
      <c r="BP206" s="3">
        <f t="shared" si="213"/>
        <v>0</v>
      </c>
      <c r="BQ206" s="3"/>
      <c r="BR206" s="3"/>
      <c r="BS206" s="3"/>
      <c r="BT206" s="3">
        <f t="shared" si="214"/>
        <v>0</v>
      </c>
      <c r="BU206" s="3"/>
      <c r="BV206" s="3"/>
      <c r="BW206" s="3"/>
      <c r="BX206" s="3">
        <f t="shared" si="215"/>
        <v>0</v>
      </c>
      <c r="BY206" s="3"/>
      <c r="BZ206" s="3"/>
      <c r="CA206" s="3"/>
      <c r="CB206" s="3">
        <f t="shared" si="216"/>
        <v>0</v>
      </c>
      <c r="CC206" s="3"/>
      <c r="CD206" s="3"/>
      <c r="CE206" s="3"/>
      <c r="CF206" s="3">
        <f t="shared" si="217"/>
        <v>0</v>
      </c>
      <c r="CG206" s="3"/>
      <c r="CH206" s="3"/>
      <c r="CI206" s="3"/>
      <c r="CJ206" s="3">
        <f t="shared" si="218"/>
        <v>0</v>
      </c>
      <c r="CK206" s="3"/>
      <c r="CL206" s="3"/>
      <c r="CM206" s="3"/>
      <c r="CN206" s="3">
        <f t="shared" si="219"/>
        <v>0</v>
      </c>
      <c r="CO206" s="3"/>
      <c r="CP206" s="3"/>
      <c r="CQ206" s="3"/>
      <c r="CR206" s="3">
        <f t="shared" si="220"/>
        <v>0</v>
      </c>
      <c r="CS206" s="3"/>
      <c r="CT206" s="3"/>
      <c r="CU206" s="3"/>
      <c r="CV206" s="3">
        <f t="shared" si="221"/>
        <v>0</v>
      </c>
      <c r="CW206" s="3">
        <f>SUM($K206:$M206)*CW$4/$CW$4</f>
        <v>-3693.5999999999995</v>
      </c>
      <c r="CX206" s="3">
        <v>0</v>
      </c>
      <c r="CY206" s="3">
        <v>0</v>
      </c>
      <c r="CZ206" s="3">
        <f t="shared" ref="CZ206:CZ232" si="228">SUBTOTAL(9,CW206:CY206)</f>
        <v>-3693.5999999999995</v>
      </c>
      <c r="DA206" s="3"/>
      <c r="DB206" s="3"/>
      <c r="DC206" s="3"/>
      <c r="DD206" s="3">
        <f t="shared" si="222"/>
        <v>0</v>
      </c>
      <c r="DE206" s="3"/>
      <c r="DF206" s="3"/>
      <c r="DG206" s="3"/>
      <c r="DH206" s="3">
        <f t="shared" si="223"/>
        <v>0</v>
      </c>
      <c r="DI206" s="3"/>
      <c r="DJ206" s="3"/>
      <c r="DK206" s="3"/>
      <c r="DL206" s="3">
        <f t="shared" si="203"/>
        <v>0</v>
      </c>
      <c r="DM206" s="3"/>
      <c r="DN206" s="3"/>
      <c r="DO206" s="3"/>
      <c r="DP206" s="3">
        <f t="shared" si="224"/>
        <v>0</v>
      </c>
      <c r="DQ206" s="3"/>
      <c r="DR206" s="3"/>
      <c r="DS206" s="3"/>
      <c r="DT206" s="3">
        <f t="shared" ref="DT206:DT233" si="229">SUBTOTAL(9,DQ206:DS206)</f>
        <v>0</v>
      </c>
      <c r="DU206" s="3"/>
      <c r="DV206" s="3"/>
      <c r="DW206" s="3"/>
      <c r="DX206" s="3">
        <f t="shared" si="225"/>
        <v>0</v>
      </c>
      <c r="DY206" s="3"/>
      <c r="DZ206" s="3"/>
      <c r="EA206" s="3"/>
      <c r="EB206" s="3">
        <f t="shared" si="226"/>
        <v>0</v>
      </c>
      <c r="EC206" s="4">
        <f t="shared" si="206"/>
        <v>-3693.5999999999995</v>
      </c>
      <c r="ED206" s="5">
        <f t="shared" si="227"/>
        <v>0</v>
      </c>
      <c r="EE206" s="6">
        <f t="shared" si="174"/>
        <v>-3693.5999999999995</v>
      </c>
      <c r="EF206" s="6">
        <f t="shared" si="174"/>
        <v>0</v>
      </c>
      <c r="EG206" s="6">
        <f t="shared" si="174"/>
        <v>0</v>
      </c>
    </row>
    <row r="207" spans="1:137" ht="12" customHeight="1" x14ac:dyDescent="0.35">
      <c r="A207" s="43" t="s">
        <v>91</v>
      </c>
      <c r="B207" s="43">
        <v>30450</v>
      </c>
      <c r="C207" s="43" t="s">
        <v>105</v>
      </c>
      <c r="D207" s="43" t="s">
        <v>773</v>
      </c>
      <c r="E207" s="43">
        <v>418901</v>
      </c>
      <c r="F207" s="43" t="s">
        <v>774</v>
      </c>
      <c r="G207" s="44">
        <v>45894</v>
      </c>
      <c r="H207" s="44">
        <v>45993</v>
      </c>
      <c r="I207" s="45">
        <v>5</v>
      </c>
      <c r="J207" s="45">
        <v>-2190</v>
      </c>
      <c r="K207" s="45">
        <v>-109.5</v>
      </c>
      <c r="L207" s="45">
        <v>0</v>
      </c>
      <c r="M207" s="45">
        <v>0</v>
      </c>
      <c r="N207" s="45">
        <v>-109.5</v>
      </c>
      <c r="O207" s="45">
        <v>-2299.5</v>
      </c>
      <c r="P207" s="43" t="s">
        <v>95</v>
      </c>
      <c r="Q207" s="43" t="s">
        <v>36</v>
      </c>
      <c r="R207" s="43" t="s">
        <v>190</v>
      </c>
      <c r="S207" s="43" t="s">
        <v>97</v>
      </c>
      <c r="T207" s="43" t="s">
        <v>98</v>
      </c>
      <c r="U207" s="43" t="s">
        <v>99</v>
      </c>
      <c r="V207" s="43">
        <v>996311</v>
      </c>
      <c r="W207" s="43" t="s">
        <v>775</v>
      </c>
      <c r="X207" s="43" t="s">
        <v>101</v>
      </c>
      <c r="Y207" s="43">
        <v>107</v>
      </c>
      <c r="Z207" s="43" t="s">
        <v>102</v>
      </c>
      <c r="AA207" t="s">
        <v>776</v>
      </c>
      <c r="AB207">
        <v>-109.5</v>
      </c>
      <c r="AC207">
        <v>-110</v>
      </c>
      <c r="AD207" s="38">
        <v>1</v>
      </c>
      <c r="AE207" t="s">
        <v>104</v>
      </c>
      <c r="AF207" t="s">
        <v>73</v>
      </c>
      <c r="AG207" s="3"/>
      <c r="AH207" s="3"/>
      <c r="AI207" s="3"/>
      <c r="AJ207" s="3">
        <f t="shared" si="207"/>
        <v>0</v>
      </c>
      <c r="AK207" s="3"/>
      <c r="AL207" s="3"/>
      <c r="AM207" s="3"/>
      <c r="AN207" s="3">
        <f t="shared" si="208"/>
        <v>0</v>
      </c>
      <c r="AO207" s="3"/>
      <c r="AP207" s="3"/>
      <c r="AQ207" s="3"/>
      <c r="AR207" s="3">
        <f t="shared" si="209"/>
        <v>0</v>
      </c>
      <c r="AS207" s="3"/>
      <c r="AT207" s="3"/>
      <c r="AU207" s="3"/>
      <c r="AV207" s="3">
        <f t="shared" si="210"/>
        <v>0</v>
      </c>
      <c r="AW207" s="3"/>
      <c r="AX207" s="3"/>
      <c r="AY207" s="3"/>
      <c r="AZ207" s="3">
        <f t="shared" si="211"/>
        <v>0</v>
      </c>
      <c r="BA207" s="3"/>
      <c r="BB207" s="3"/>
      <c r="BC207" s="3"/>
      <c r="BD207" s="3">
        <f t="shared" si="212"/>
        <v>0</v>
      </c>
      <c r="BE207" s="3">
        <f>$K207*BE$4/$BE$4</f>
        <v>-109.5</v>
      </c>
      <c r="BF207" s="3">
        <f>$L207*BE$4/$BE$4</f>
        <v>0</v>
      </c>
      <c r="BG207" s="3">
        <f>$M207*BE$4/$BE$4</f>
        <v>0</v>
      </c>
      <c r="BH207" s="3">
        <f t="shared" si="204"/>
        <v>-109.5</v>
      </c>
      <c r="BI207" s="3"/>
      <c r="BJ207" s="3"/>
      <c r="BK207" s="3"/>
      <c r="BL207" s="3">
        <f t="shared" si="205"/>
        <v>0</v>
      </c>
      <c r="BM207" s="3"/>
      <c r="BN207" s="3"/>
      <c r="BO207" s="3"/>
      <c r="BP207" s="3">
        <f t="shared" si="213"/>
        <v>0</v>
      </c>
      <c r="BQ207" s="3"/>
      <c r="BR207" s="3"/>
      <c r="BS207" s="3"/>
      <c r="BT207" s="3">
        <f t="shared" si="214"/>
        <v>0</v>
      </c>
      <c r="BU207" s="3"/>
      <c r="BV207" s="3"/>
      <c r="BW207" s="3"/>
      <c r="BX207" s="3">
        <f t="shared" si="215"/>
        <v>0</v>
      </c>
      <c r="BY207" s="3"/>
      <c r="BZ207" s="3"/>
      <c r="CA207" s="3"/>
      <c r="CB207" s="3">
        <f t="shared" si="216"/>
        <v>0</v>
      </c>
      <c r="CC207" s="3"/>
      <c r="CD207" s="3"/>
      <c r="CE207" s="3"/>
      <c r="CF207" s="3">
        <f t="shared" si="217"/>
        <v>0</v>
      </c>
      <c r="CG207" s="3"/>
      <c r="CH207" s="3"/>
      <c r="CI207" s="3"/>
      <c r="CJ207" s="3">
        <f t="shared" si="218"/>
        <v>0</v>
      </c>
      <c r="CK207" s="3"/>
      <c r="CL207" s="3"/>
      <c r="CM207" s="3"/>
      <c r="CN207" s="3">
        <f t="shared" si="219"/>
        <v>0</v>
      </c>
      <c r="CO207" s="3"/>
      <c r="CP207" s="3"/>
      <c r="CQ207" s="3"/>
      <c r="CR207" s="3">
        <f t="shared" si="220"/>
        <v>0</v>
      </c>
      <c r="CS207" s="3"/>
      <c r="CT207" s="3"/>
      <c r="CU207" s="3"/>
      <c r="CV207" s="3">
        <f t="shared" si="221"/>
        <v>0</v>
      </c>
      <c r="CW207" s="3"/>
      <c r="CX207" s="3"/>
      <c r="CY207" s="3"/>
      <c r="CZ207" s="3">
        <f t="shared" si="228"/>
        <v>0</v>
      </c>
      <c r="DA207" s="3"/>
      <c r="DB207" s="3"/>
      <c r="DC207" s="3"/>
      <c r="DD207" s="3">
        <f t="shared" si="222"/>
        <v>0</v>
      </c>
      <c r="DE207" s="3"/>
      <c r="DF207" s="3"/>
      <c r="DG207" s="3"/>
      <c r="DH207" s="3">
        <f t="shared" si="223"/>
        <v>0</v>
      </c>
      <c r="DI207" s="3"/>
      <c r="DJ207" s="3"/>
      <c r="DK207" s="3"/>
      <c r="DL207" s="3">
        <f t="shared" si="203"/>
        <v>0</v>
      </c>
      <c r="DM207" s="3"/>
      <c r="DN207" s="3"/>
      <c r="DO207" s="3"/>
      <c r="DP207" s="3">
        <f t="shared" si="224"/>
        <v>0</v>
      </c>
      <c r="DQ207" s="3"/>
      <c r="DR207" s="3"/>
      <c r="DS207" s="3"/>
      <c r="DT207" s="3">
        <f t="shared" si="229"/>
        <v>0</v>
      </c>
      <c r="DU207" s="3"/>
      <c r="DV207" s="3"/>
      <c r="DW207" s="3"/>
      <c r="DX207" s="3">
        <f t="shared" si="225"/>
        <v>0</v>
      </c>
      <c r="DY207" s="3"/>
      <c r="DZ207" s="3"/>
      <c r="EA207" s="3"/>
      <c r="EB207" s="3">
        <f t="shared" si="226"/>
        <v>0</v>
      </c>
      <c r="EC207" s="4">
        <f t="shared" si="206"/>
        <v>-109.5</v>
      </c>
      <c r="ED207" s="5">
        <f t="shared" si="227"/>
        <v>0</v>
      </c>
      <c r="EE207" s="6">
        <f t="shared" si="174"/>
        <v>-109.5</v>
      </c>
      <c r="EF207" s="6">
        <f t="shared" si="174"/>
        <v>0</v>
      </c>
      <c r="EG207" s="6">
        <f t="shared" si="174"/>
        <v>0</v>
      </c>
    </row>
    <row r="208" spans="1:137" ht="12" customHeight="1" x14ac:dyDescent="0.35">
      <c r="A208" s="43" t="s">
        <v>115</v>
      </c>
      <c r="B208" s="43">
        <v>28324</v>
      </c>
      <c r="C208" s="43" t="s">
        <v>116</v>
      </c>
      <c r="D208" s="43" t="s">
        <v>543</v>
      </c>
      <c r="E208" s="43">
        <v>150783</v>
      </c>
      <c r="F208" s="43" t="s">
        <v>777</v>
      </c>
      <c r="G208" s="44">
        <v>45924</v>
      </c>
      <c r="H208" s="44">
        <v>45993</v>
      </c>
      <c r="I208" s="45">
        <v>5</v>
      </c>
      <c r="J208" s="45">
        <v>-3166</v>
      </c>
      <c r="K208" s="45">
        <v>0</v>
      </c>
      <c r="L208" s="45">
        <v>-79.150000000000006</v>
      </c>
      <c r="M208" s="45">
        <v>-79.150000000000006</v>
      </c>
      <c r="N208" s="45">
        <v>-158.30000000000001</v>
      </c>
      <c r="O208" s="45">
        <v>-3324.3</v>
      </c>
      <c r="P208" s="43" t="s">
        <v>95</v>
      </c>
      <c r="Q208" s="43" t="s">
        <v>46</v>
      </c>
      <c r="R208" s="43" t="s">
        <v>112</v>
      </c>
      <c r="S208" s="43" t="s">
        <v>97</v>
      </c>
      <c r="T208" s="43" t="s">
        <v>98</v>
      </c>
      <c r="U208" s="43" t="s">
        <v>99</v>
      </c>
      <c r="V208" s="43">
        <v>996311</v>
      </c>
      <c r="W208" s="43" t="s">
        <v>778</v>
      </c>
      <c r="X208" s="43" t="s">
        <v>101</v>
      </c>
      <c r="Y208" s="43">
        <v>107</v>
      </c>
      <c r="Z208" s="43" t="s">
        <v>102</v>
      </c>
      <c r="AA208" t="s">
        <v>779</v>
      </c>
      <c r="AB208">
        <v>-158.30000000000001</v>
      </c>
      <c r="AC208">
        <v>-159</v>
      </c>
      <c r="AD208" s="38">
        <v>1</v>
      </c>
      <c r="AE208" t="s">
        <v>104</v>
      </c>
      <c r="AF208" t="s">
        <v>73</v>
      </c>
      <c r="AG208" s="3"/>
      <c r="AH208" s="3"/>
      <c r="AI208" s="3"/>
      <c r="AJ208" s="3">
        <f t="shared" si="207"/>
        <v>0</v>
      </c>
      <c r="AK208" s="3"/>
      <c r="AL208" s="3"/>
      <c r="AM208" s="3"/>
      <c r="AN208" s="3">
        <f t="shared" si="208"/>
        <v>0</v>
      </c>
      <c r="AO208" s="3"/>
      <c r="AP208" s="3"/>
      <c r="AQ208" s="3"/>
      <c r="AR208" s="3">
        <f t="shared" si="209"/>
        <v>0</v>
      </c>
      <c r="AS208" s="3"/>
      <c r="AT208" s="3"/>
      <c r="AU208" s="3"/>
      <c r="AV208" s="3">
        <f t="shared" si="210"/>
        <v>0</v>
      </c>
      <c r="AW208" s="3"/>
      <c r="AX208" s="3"/>
      <c r="AY208" s="3"/>
      <c r="AZ208" s="3">
        <f t="shared" si="211"/>
        <v>0</v>
      </c>
      <c r="BA208" s="3"/>
      <c r="BB208" s="3"/>
      <c r="BC208" s="3"/>
      <c r="BD208" s="3">
        <f t="shared" si="212"/>
        <v>0</v>
      </c>
      <c r="BE208" s="3"/>
      <c r="BF208" s="3"/>
      <c r="BG208" s="3"/>
      <c r="BH208" s="3">
        <f t="shared" si="204"/>
        <v>0</v>
      </c>
      <c r="BI208" s="3"/>
      <c r="BJ208" s="3"/>
      <c r="BK208" s="3"/>
      <c r="BL208" s="3">
        <f t="shared" si="205"/>
        <v>0</v>
      </c>
      <c r="BM208" s="3"/>
      <c r="BN208" s="3"/>
      <c r="BO208" s="3"/>
      <c r="BP208" s="3">
        <f t="shared" si="213"/>
        <v>0</v>
      </c>
      <c r="BQ208" s="3"/>
      <c r="BR208" s="3"/>
      <c r="BS208" s="3"/>
      <c r="BT208" s="3">
        <f t="shared" si="214"/>
        <v>0</v>
      </c>
      <c r="BU208" s="3"/>
      <c r="BV208" s="3"/>
      <c r="BW208" s="3"/>
      <c r="BX208" s="3">
        <f t="shared" si="215"/>
        <v>0</v>
      </c>
      <c r="BY208" s="3"/>
      <c r="BZ208" s="3"/>
      <c r="CA208" s="3"/>
      <c r="CB208" s="3">
        <f t="shared" si="216"/>
        <v>0</v>
      </c>
      <c r="CC208" s="3"/>
      <c r="CD208" s="3"/>
      <c r="CE208" s="3"/>
      <c r="CF208" s="3">
        <f t="shared" si="217"/>
        <v>0</v>
      </c>
      <c r="CG208" s="3"/>
      <c r="CH208" s="3"/>
      <c r="CI208" s="3"/>
      <c r="CJ208" s="3">
        <f t="shared" si="218"/>
        <v>0</v>
      </c>
      <c r="CK208" s="3"/>
      <c r="CL208" s="3"/>
      <c r="CM208" s="3"/>
      <c r="CN208" s="3">
        <f t="shared" si="219"/>
        <v>0</v>
      </c>
      <c r="CO208" s="3"/>
      <c r="CP208" s="3"/>
      <c r="CQ208" s="3"/>
      <c r="CR208" s="3">
        <f t="shared" si="220"/>
        <v>0</v>
      </c>
      <c r="CS208" s="3">
        <f>SUM($K208:$M208)*CS$4/$CS$4</f>
        <v>-158.30000000000001</v>
      </c>
      <c r="CT208" s="3">
        <v>0</v>
      </c>
      <c r="CU208" s="3">
        <v>0</v>
      </c>
      <c r="CV208" s="3">
        <f t="shared" si="221"/>
        <v>-158.30000000000001</v>
      </c>
      <c r="CW208" s="3"/>
      <c r="CX208" s="3"/>
      <c r="CY208" s="3"/>
      <c r="CZ208" s="3">
        <f t="shared" si="228"/>
        <v>0</v>
      </c>
      <c r="DA208" s="3"/>
      <c r="DB208" s="3"/>
      <c r="DC208" s="3"/>
      <c r="DD208" s="3">
        <f t="shared" si="222"/>
        <v>0</v>
      </c>
      <c r="DE208" s="3"/>
      <c r="DF208" s="3"/>
      <c r="DG208" s="3"/>
      <c r="DH208" s="3">
        <f t="shared" si="223"/>
        <v>0</v>
      </c>
      <c r="DI208" s="3"/>
      <c r="DJ208" s="3"/>
      <c r="DK208" s="3"/>
      <c r="DL208" s="3">
        <f t="shared" si="203"/>
        <v>0</v>
      </c>
      <c r="DM208" s="3"/>
      <c r="DN208" s="3"/>
      <c r="DO208" s="3"/>
      <c r="DP208" s="3">
        <f t="shared" si="224"/>
        <v>0</v>
      </c>
      <c r="DQ208" s="3"/>
      <c r="DR208" s="3"/>
      <c r="DS208" s="3"/>
      <c r="DT208" s="3">
        <f t="shared" si="229"/>
        <v>0</v>
      </c>
      <c r="DU208" s="3"/>
      <c r="DV208" s="3"/>
      <c r="DW208" s="3"/>
      <c r="DX208" s="3">
        <f t="shared" si="225"/>
        <v>0</v>
      </c>
      <c r="DY208" s="3"/>
      <c r="DZ208" s="3"/>
      <c r="EA208" s="3"/>
      <c r="EB208" s="3">
        <f t="shared" si="226"/>
        <v>0</v>
      </c>
      <c r="EC208" s="4">
        <f t="shared" si="206"/>
        <v>-158.30000000000001</v>
      </c>
      <c r="ED208" s="5">
        <f t="shared" si="227"/>
        <v>0</v>
      </c>
      <c r="EE208" s="6">
        <f t="shared" si="174"/>
        <v>-158.30000000000001</v>
      </c>
      <c r="EF208" s="6">
        <f t="shared" si="174"/>
        <v>0</v>
      </c>
      <c r="EG208" s="6">
        <f t="shared" si="174"/>
        <v>0</v>
      </c>
    </row>
    <row r="209" spans="1:137" ht="12" customHeight="1" x14ac:dyDescent="0.35">
      <c r="A209" s="43" t="s">
        <v>91</v>
      </c>
      <c r="B209" s="43">
        <v>30450</v>
      </c>
      <c r="C209" s="43" t="s">
        <v>92</v>
      </c>
      <c r="D209" s="43" t="s">
        <v>543</v>
      </c>
      <c r="E209" s="43">
        <v>150783</v>
      </c>
      <c r="F209" s="43" t="s">
        <v>780</v>
      </c>
      <c r="G209" s="44">
        <v>45937</v>
      </c>
      <c r="H209" s="44">
        <v>45992</v>
      </c>
      <c r="I209" s="45">
        <v>5</v>
      </c>
      <c r="J209" s="45">
        <v>-5864</v>
      </c>
      <c r="K209" s="45">
        <v>0</v>
      </c>
      <c r="L209" s="45">
        <v>-146.6</v>
      </c>
      <c r="M209" s="45">
        <v>-146.6</v>
      </c>
      <c r="N209" s="45">
        <v>-293.2</v>
      </c>
      <c r="O209" s="45">
        <v>-6157.2</v>
      </c>
      <c r="P209" s="43" t="s">
        <v>95</v>
      </c>
      <c r="Q209" s="43" t="s">
        <v>51</v>
      </c>
      <c r="R209" s="43" t="s">
        <v>112</v>
      </c>
      <c r="S209" s="43" t="s">
        <v>97</v>
      </c>
      <c r="T209" s="43" t="s">
        <v>98</v>
      </c>
      <c r="U209" s="43" t="s">
        <v>99</v>
      </c>
      <c r="V209" s="43">
        <v>996311</v>
      </c>
      <c r="W209" s="43" t="s">
        <v>781</v>
      </c>
      <c r="X209" s="43" t="s">
        <v>101</v>
      </c>
      <c r="Y209" s="43">
        <v>107</v>
      </c>
      <c r="Z209" s="43" t="s">
        <v>102</v>
      </c>
      <c r="AA209" t="s">
        <v>782</v>
      </c>
      <c r="AB209">
        <v>-293.2</v>
      </c>
      <c r="AC209">
        <v>-293</v>
      </c>
      <c r="AD209" s="38">
        <v>0</v>
      </c>
      <c r="AE209" t="s">
        <v>104</v>
      </c>
      <c r="AF209" t="s">
        <v>73</v>
      </c>
      <c r="AG209" s="3"/>
      <c r="AH209" s="3"/>
      <c r="AI209" s="3"/>
      <c r="AJ209" s="3">
        <f t="shared" si="207"/>
        <v>0</v>
      </c>
      <c r="AK209" s="3"/>
      <c r="AL209" s="3"/>
      <c r="AM209" s="3"/>
      <c r="AN209" s="3">
        <f t="shared" si="208"/>
        <v>0</v>
      </c>
      <c r="AO209" s="3"/>
      <c r="AP209" s="3"/>
      <c r="AQ209" s="3"/>
      <c r="AR209" s="3">
        <f t="shared" si="209"/>
        <v>0</v>
      </c>
      <c r="AS209" s="3"/>
      <c r="AT209" s="3"/>
      <c r="AU209" s="3"/>
      <c r="AV209" s="3">
        <f t="shared" si="210"/>
        <v>0</v>
      </c>
      <c r="AW209" s="3"/>
      <c r="AX209" s="3"/>
      <c r="AY209" s="3"/>
      <c r="AZ209" s="3">
        <f t="shared" si="211"/>
        <v>0</v>
      </c>
      <c r="BA209" s="3"/>
      <c r="BB209" s="3"/>
      <c r="BC209" s="3"/>
      <c r="BD209" s="3">
        <f t="shared" si="212"/>
        <v>0</v>
      </c>
      <c r="BE209" s="3"/>
      <c r="BF209" s="3"/>
      <c r="BG209" s="3"/>
      <c r="BH209" s="3">
        <f t="shared" si="204"/>
        <v>0</v>
      </c>
      <c r="BI209" s="3"/>
      <c r="BJ209" s="3"/>
      <c r="BK209" s="3"/>
      <c r="BL209" s="3">
        <f t="shared" si="205"/>
        <v>0</v>
      </c>
      <c r="BM209" s="3"/>
      <c r="BN209" s="3"/>
      <c r="BO209" s="3"/>
      <c r="BP209" s="3">
        <f t="shared" si="213"/>
        <v>0</v>
      </c>
      <c r="BQ209" s="3"/>
      <c r="BR209" s="3"/>
      <c r="BS209" s="3"/>
      <c r="BT209" s="3">
        <f t="shared" si="214"/>
        <v>0</v>
      </c>
      <c r="BU209" s="3"/>
      <c r="BV209" s="3"/>
      <c r="BW209" s="3"/>
      <c r="BX209" s="3">
        <f t="shared" si="215"/>
        <v>0</v>
      </c>
      <c r="BY209" s="3"/>
      <c r="BZ209" s="3"/>
      <c r="CA209" s="3"/>
      <c r="CB209" s="3">
        <f t="shared" si="216"/>
        <v>0</v>
      </c>
      <c r="CC209" s="3"/>
      <c r="CD209" s="3"/>
      <c r="CE209" s="3"/>
      <c r="CF209" s="3">
        <f t="shared" si="217"/>
        <v>0</v>
      </c>
      <c r="CG209" s="3"/>
      <c r="CH209" s="3"/>
      <c r="CI209" s="3"/>
      <c r="CJ209" s="3">
        <f t="shared" si="218"/>
        <v>0</v>
      </c>
      <c r="CK209" s="3"/>
      <c r="CL209" s="3"/>
      <c r="CM209" s="3"/>
      <c r="CN209" s="3">
        <f t="shared" si="219"/>
        <v>0</v>
      </c>
      <c r="CO209" s="3"/>
      <c r="CP209" s="3"/>
      <c r="CQ209" s="3"/>
      <c r="CR209" s="3">
        <f t="shared" si="220"/>
        <v>0</v>
      </c>
      <c r="CS209" s="3"/>
      <c r="CT209" s="3"/>
      <c r="CU209" s="3"/>
      <c r="CV209" s="3">
        <f t="shared" si="221"/>
        <v>0</v>
      </c>
      <c r="CW209" s="3"/>
      <c r="CX209" s="3"/>
      <c r="CY209" s="3"/>
      <c r="CZ209" s="3">
        <f t="shared" si="228"/>
        <v>0</v>
      </c>
      <c r="DA209" s="3"/>
      <c r="DB209" s="3"/>
      <c r="DC209" s="3"/>
      <c r="DD209" s="3">
        <f t="shared" si="222"/>
        <v>0</v>
      </c>
      <c r="DE209" s="3"/>
      <c r="DF209" s="3"/>
      <c r="DG209" s="3"/>
      <c r="DH209" s="3">
        <f t="shared" si="223"/>
        <v>0</v>
      </c>
      <c r="DI209" s="3"/>
      <c r="DJ209" s="3"/>
      <c r="DK209" s="3"/>
      <c r="DL209" s="3">
        <f t="shared" si="203"/>
        <v>0</v>
      </c>
      <c r="DM209" s="3">
        <f>SUM($K209:$M209)*DM$4/$DM$4</f>
        <v>-293.2</v>
      </c>
      <c r="DN209" s="3">
        <v>0</v>
      </c>
      <c r="DO209" s="3">
        <v>0</v>
      </c>
      <c r="DP209" s="3">
        <f t="shared" si="224"/>
        <v>-293.2</v>
      </c>
      <c r="DQ209" s="3"/>
      <c r="DR209" s="3"/>
      <c r="DS209" s="3"/>
      <c r="DT209" s="3">
        <f t="shared" si="229"/>
        <v>0</v>
      </c>
      <c r="DU209" s="3"/>
      <c r="DV209" s="3"/>
      <c r="DW209" s="3"/>
      <c r="DX209" s="3">
        <f t="shared" si="225"/>
        <v>0</v>
      </c>
      <c r="DY209" s="3"/>
      <c r="DZ209" s="3"/>
      <c r="EA209" s="3"/>
      <c r="EB209" s="3">
        <f t="shared" si="226"/>
        <v>0</v>
      </c>
      <c r="EC209" s="4">
        <f t="shared" si="206"/>
        <v>-293.2</v>
      </c>
      <c r="ED209" s="5">
        <f t="shared" si="227"/>
        <v>0</v>
      </c>
      <c r="EE209" s="6">
        <f t="shared" si="174"/>
        <v>-293.2</v>
      </c>
      <c r="EF209" s="6">
        <f t="shared" si="174"/>
        <v>0</v>
      </c>
      <c r="EG209" s="6">
        <f t="shared" si="174"/>
        <v>0</v>
      </c>
    </row>
    <row r="210" spans="1:137" ht="12" customHeight="1" x14ac:dyDescent="0.35">
      <c r="A210" s="43" t="s">
        <v>91</v>
      </c>
      <c r="B210" s="43">
        <v>30450</v>
      </c>
      <c r="C210" s="43" t="s">
        <v>109</v>
      </c>
      <c r="D210" s="43" t="s">
        <v>110</v>
      </c>
      <c r="E210" s="43">
        <v>150781</v>
      </c>
      <c r="F210" s="43" t="s">
        <v>783</v>
      </c>
      <c r="G210" s="44">
        <v>45849</v>
      </c>
      <c r="H210" s="44">
        <v>45992</v>
      </c>
      <c r="I210" s="45">
        <v>5</v>
      </c>
      <c r="J210" s="45">
        <v>-14000</v>
      </c>
      <c r="K210" s="45">
        <v>-700</v>
      </c>
      <c r="L210" s="45">
        <v>0</v>
      </c>
      <c r="M210" s="45">
        <v>0</v>
      </c>
      <c r="N210" s="45">
        <v>-700</v>
      </c>
      <c r="O210" s="45">
        <v>-14700</v>
      </c>
      <c r="P210" s="43" t="s">
        <v>95</v>
      </c>
      <c r="Q210" s="43" t="s">
        <v>36</v>
      </c>
      <c r="R210" s="43" t="s">
        <v>112</v>
      </c>
      <c r="S210" s="43" t="s">
        <v>97</v>
      </c>
      <c r="T210" s="43" t="s">
        <v>98</v>
      </c>
      <c r="U210" s="43" t="s">
        <v>99</v>
      </c>
      <c r="V210" s="43">
        <v>996311</v>
      </c>
      <c r="W210" s="43" t="s">
        <v>784</v>
      </c>
      <c r="X210" s="43" t="s">
        <v>101</v>
      </c>
      <c r="Y210" s="43">
        <v>107</v>
      </c>
      <c r="Z210" s="43" t="s">
        <v>102</v>
      </c>
      <c r="AA210" t="s">
        <v>785</v>
      </c>
      <c r="AB210">
        <v>-700</v>
      </c>
      <c r="AC210">
        <v>-700</v>
      </c>
      <c r="AD210" s="38">
        <v>0</v>
      </c>
      <c r="AE210" t="s">
        <v>104</v>
      </c>
      <c r="AF210" t="s">
        <v>73</v>
      </c>
      <c r="AG210" s="3"/>
      <c r="AH210" s="3"/>
      <c r="AI210" s="3"/>
      <c r="AJ210" s="3">
        <f t="shared" si="207"/>
        <v>0</v>
      </c>
      <c r="AK210" s="3"/>
      <c r="AL210" s="3"/>
      <c r="AM210" s="3"/>
      <c r="AN210" s="3">
        <f t="shared" si="208"/>
        <v>0</v>
      </c>
      <c r="AO210" s="3"/>
      <c r="AP210" s="3"/>
      <c r="AQ210" s="3"/>
      <c r="AR210" s="3">
        <f t="shared" si="209"/>
        <v>0</v>
      </c>
      <c r="AS210" s="3"/>
      <c r="AT210" s="3"/>
      <c r="AU210" s="3"/>
      <c r="AV210" s="3">
        <f t="shared" si="210"/>
        <v>0</v>
      </c>
      <c r="AW210" s="3"/>
      <c r="AX210" s="3"/>
      <c r="AY210" s="3"/>
      <c r="AZ210" s="3">
        <f t="shared" si="211"/>
        <v>0</v>
      </c>
      <c r="BA210" s="3"/>
      <c r="BB210" s="3"/>
      <c r="BC210" s="3"/>
      <c r="BD210" s="3">
        <f t="shared" si="212"/>
        <v>0</v>
      </c>
      <c r="BE210" s="3">
        <f>$K210*BE$4/$BE$4</f>
        <v>-700</v>
      </c>
      <c r="BF210" s="3">
        <f>$L210*BE$4/$BE$4</f>
        <v>0</v>
      </c>
      <c r="BG210" s="3">
        <f>$M210*BE$4/$BE$4</f>
        <v>0</v>
      </c>
      <c r="BH210" s="3">
        <f t="shared" si="204"/>
        <v>-700</v>
      </c>
      <c r="BI210" s="3"/>
      <c r="BJ210" s="3"/>
      <c r="BK210" s="3"/>
      <c r="BL210" s="3">
        <f t="shared" si="205"/>
        <v>0</v>
      </c>
      <c r="BM210" s="3"/>
      <c r="BN210" s="3"/>
      <c r="BO210" s="3"/>
      <c r="BP210" s="3">
        <f t="shared" si="213"/>
        <v>0</v>
      </c>
      <c r="BQ210" s="3"/>
      <c r="BR210" s="3"/>
      <c r="BS210" s="3"/>
      <c r="BT210" s="3">
        <f t="shared" si="214"/>
        <v>0</v>
      </c>
      <c r="BU210" s="3"/>
      <c r="BV210" s="3"/>
      <c r="BW210" s="3"/>
      <c r="BX210" s="3">
        <f t="shared" si="215"/>
        <v>0</v>
      </c>
      <c r="BY210" s="3"/>
      <c r="BZ210" s="3"/>
      <c r="CA210" s="3"/>
      <c r="CB210" s="3">
        <f t="shared" si="216"/>
        <v>0</v>
      </c>
      <c r="CC210" s="3"/>
      <c r="CD210" s="3"/>
      <c r="CE210" s="3"/>
      <c r="CF210" s="3">
        <f t="shared" si="217"/>
        <v>0</v>
      </c>
      <c r="CG210" s="3"/>
      <c r="CH210" s="3"/>
      <c r="CI210" s="3"/>
      <c r="CJ210" s="3">
        <f t="shared" si="218"/>
        <v>0</v>
      </c>
      <c r="CK210" s="3"/>
      <c r="CL210" s="3"/>
      <c r="CM210" s="3"/>
      <c r="CN210" s="3">
        <f t="shared" si="219"/>
        <v>0</v>
      </c>
      <c r="CO210" s="3"/>
      <c r="CP210" s="3"/>
      <c r="CQ210" s="3"/>
      <c r="CR210" s="3">
        <f t="shared" si="220"/>
        <v>0</v>
      </c>
      <c r="CS210" s="3"/>
      <c r="CT210" s="3"/>
      <c r="CU210" s="3"/>
      <c r="CV210" s="3">
        <f t="shared" si="221"/>
        <v>0</v>
      </c>
      <c r="CW210" s="3"/>
      <c r="CX210" s="3"/>
      <c r="CY210" s="3"/>
      <c r="CZ210" s="3">
        <f t="shared" si="228"/>
        <v>0</v>
      </c>
      <c r="DA210" s="3"/>
      <c r="DB210" s="3"/>
      <c r="DC210" s="3"/>
      <c r="DD210" s="3">
        <f t="shared" si="222"/>
        <v>0</v>
      </c>
      <c r="DE210" s="3"/>
      <c r="DF210" s="3"/>
      <c r="DG210" s="3"/>
      <c r="DH210" s="3">
        <f t="shared" si="223"/>
        <v>0</v>
      </c>
      <c r="DI210" s="3"/>
      <c r="DJ210" s="3"/>
      <c r="DK210" s="3"/>
      <c r="DL210" s="3">
        <f t="shared" si="203"/>
        <v>0</v>
      </c>
      <c r="DM210" s="3"/>
      <c r="DN210" s="3"/>
      <c r="DO210" s="3"/>
      <c r="DP210" s="3">
        <f t="shared" si="224"/>
        <v>0</v>
      </c>
      <c r="DQ210" s="3"/>
      <c r="DR210" s="3"/>
      <c r="DS210" s="3"/>
      <c r="DT210" s="3">
        <f t="shared" si="229"/>
        <v>0</v>
      </c>
      <c r="DU210" s="3"/>
      <c r="DV210" s="3"/>
      <c r="DW210" s="3"/>
      <c r="DX210" s="3">
        <f t="shared" si="225"/>
        <v>0</v>
      </c>
      <c r="DY210" s="3"/>
      <c r="DZ210" s="3"/>
      <c r="EA210" s="3"/>
      <c r="EB210" s="3">
        <f t="shared" si="226"/>
        <v>0</v>
      </c>
      <c r="EC210" s="4">
        <f t="shared" si="206"/>
        <v>-700</v>
      </c>
      <c r="ED210" s="5">
        <f t="shared" si="227"/>
        <v>0</v>
      </c>
      <c r="EE210" s="6">
        <f t="shared" si="174"/>
        <v>-700</v>
      </c>
      <c r="EF210" s="6">
        <f t="shared" si="174"/>
        <v>0</v>
      </c>
      <c r="EG210" s="6">
        <f t="shared" si="174"/>
        <v>0</v>
      </c>
    </row>
    <row r="211" spans="1:137" ht="12" customHeight="1" x14ac:dyDescent="0.35">
      <c r="A211" s="43" t="s">
        <v>541</v>
      </c>
      <c r="B211" s="43">
        <v>44756</v>
      </c>
      <c r="C211" s="43" t="s">
        <v>566</v>
      </c>
      <c r="D211" s="43" t="s">
        <v>110</v>
      </c>
      <c r="E211" s="43">
        <v>150781</v>
      </c>
      <c r="F211" s="43" t="s">
        <v>786</v>
      </c>
      <c r="G211" s="44">
        <v>45883</v>
      </c>
      <c r="H211" s="44">
        <v>45993</v>
      </c>
      <c r="I211" s="45">
        <v>5</v>
      </c>
      <c r="J211" s="45">
        <v>-333.33</v>
      </c>
      <c r="K211" s="45">
        <v>-16.666499999999999</v>
      </c>
      <c r="L211" s="45">
        <v>0</v>
      </c>
      <c r="M211" s="45">
        <v>0</v>
      </c>
      <c r="N211" s="45">
        <v>-16.666499999999999</v>
      </c>
      <c r="O211" s="45">
        <v>-350</v>
      </c>
      <c r="P211" s="43" t="s">
        <v>95</v>
      </c>
      <c r="Q211" s="43" t="s">
        <v>43</v>
      </c>
      <c r="R211" s="43" t="s">
        <v>112</v>
      </c>
      <c r="S211" s="43" t="s">
        <v>97</v>
      </c>
      <c r="T211" s="43" t="s">
        <v>98</v>
      </c>
      <c r="U211" s="43" t="s">
        <v>99</v>
      </c>
      <c r="V211" s="43">
        <v>996311</v>
      </c>
      <c r="W211" s="43" t="s">
        <v>787</v>
      </c>
      <c r="X211" s="43" t="s">
        <v>101</v>
      </c>
      <c r="Y211" s="43">
        <v>107</v>
      </c>
      <c r="Z211" s="43" t="s">
        <v>102</v>
      </c>
      <c r="AA211" t="s">
        <v>788</v>
      </c>
      <c r="AB211">
        <v>-16.666499999999999</v>
      </c>
      <c r="AC211">
        <v>-16.670000000000002</v>
      </c>
      <c r="AD211" s="38">
        <v>0</v>
      </c>
      <c r="AE211" t="s">
        <v>104</v>
      </c>
      <c r="AF211" t="s">
        <v>73</v>
      </c>
      <c r="AG211" s="3"/>
      <c r="AH211" s="3"/>
      <c r="AI211" s="3"/>
      <c r="AJ211" s="3">
        <f t="shared" si="207"/>
        <v>0</v>
      </c>
      <c r="AK211" s="3"/>
      <c r="AL211" s="3"/>
      <c r="AM211" s="3"/>
      <c r="AN211" s="3">
        <f t="shared" si="208"/>
        <v>0</v>
      </c>
      <c r="AO211" s="3"/>
      <c r="AP211" s="3"/>
      <c r="AQ211" s="3"/>
      <c r="AR211" s="3">
        <f t="shared" si="209"/>
        <v>0</v>
      </c>
      <c r="AS211" s="3"/>
      <c r="AT211" s="3"/>
      <c r="AU211" s="3"/>
      <c r="AV211" s="3">
        <f t="shared" si="210"/>
        <v>0</v>
      </c>
      <c r="AW211" s="3"/>
      <c r="AX211" s="3"/>
      <c r="AY211" s="3"/>
      <c r="AZ211" s="3">
        <f t="shared" si="211"/>
        <v>0</v>
      </c>
      <c r="BA211" s="3"/>
      <c r="BB211" s="3"/>
      <c r="BC211" s="3"/>
      <c r="BD211" s="3">
        <f t="shared" si="212"/>
        <v>0</v>
      </c>
      <c r="BE211" s="3"/>
      <c r="BF211" s="3"/>
      <c r="BG211" s="3"/>
      <c r="BH211" s="3">
        <f t="shared" si="204"/>
        <v>0</v>
      </c>
      <c r="BI211" s="3"/>
      <c r="BJ211" s="3"/>
      <c r="BK211" s="3"/>
      <c r="BL211" s="3">
        <f t="shared" si="205"/>
        <v>0</v>
      </c>
      <c r="BM211" s="3"/>
      <c r="BN211" s="3"/>
      <c r="BO211" s="3"/>
      <c r="BP211" s="3">
        <f t="shared" si="213"/>
        <v>0</v>
      </c>
      <c r="BQ211" s="3"/>
      <c r="BR211" s="3"/>
      <c r="BS211" s="3"/>
      <c r="BT211" s="3">
        <f t="shared" si="214"/>
        <v>0</v>
      </c>
      <c r="BU211" s="3"/>
      <c r="BV211" s="3"/>
      <c r="BW211" s="3"/>
      <c r="BX211" s="3">
        <f t="shared" si="215"/>
        <v>0</v>
      </c>
      <c r="BY211" s="3"/>
      <c r="BZ211" s="3"/>
      <c r="CA211" s="3"/>
      <c r="CB211" s="3">
        <f t="shared" si="216"/>
        <v>0</v>
      </c>
      <c r="CC211" s="3"/>
      <c r="CD211" s="3"/>
      <c r="CE211" s="3"/>
      <c r="CF211" s="3">
        <f t="shared" si="217"/>
        <v>0</v>
      </c>
      <c r="CG211" s="3">
        <f>SUM($K211:$M211)*CG$4/$CG$4</f>
        <v>-16.666499999999999</v>
      </c>
      <c r="CH211" s="3">
        <v>0</v>
      </c>
      <c r="CI211" s="3">
        <v>0</v>
      </c>
      <c r="CJ211" s="3">
        <f t="shared" si="218"/>
        <v>-16.666499999999999</v>
      </c>
      <c r="CK211" s="3"/>
      <c r="CL211" s="3"/>
      <c r="CM211" s="3"/>
      <c r="CN211" s="3">
        <f t="shared" si="219"/>
        <v>0</v>
      </c>
      <c r="CO211" s="3"/>
      <c r="CP211" s="3"/>
      <c r="CQ211" s="3"/>
      <c r="CR211" s="3">
        <f t="shared" si="220"/>
        <v>0</v>
      </c>
      <c r="CS211" s="3"/>
      <c r="CT211" s="3"/>
      <c r="CU211" s="3"/>
      <c r="CV211" s="3">
        <f t="shared" si="221"/>
        <v>0</v>
      </c>
      <c r="CW211" s="3"/>
      <c r="CX211" s="3"/>
      <c r="CY211" s="3"/>
      <c r="CZ211" s="3">
        <f t="shared" si="228"/>
        <v>0</v>
      </c>
      <c r="DA211" s="3"/>
      <c r="DB211" s="3"/>
      <c r="DC211" s="3"/>
      <c r="DD211" s="3">
        <f t="shared" si="222"/>
        <v>0</v>
      </c>
      <c r="DE211" s="3"/>
      <c r="DF211" s="3"/>
      <c r="DG211" s="3"/>
      <c r="DH211" s="3">
        <f t="shared" si="223"/>
        <v>0</v>
      </c>
      <c r="DI211" s="3"/>
      <c r="DJ211" s="3"/>
      <c r="DK211" s="3"/>
      <c r="DL211" s="3">
        <f t="shared" si="203"/>
        <v>0</v>
      </c>
      <c r="DM211" s="3"/>
      <c r="DN211" s="3"/>
      <c r="DO211" s="3"/>
      <c r="DP211" s="3">
        <f t="shared" si="224"/>
        <v>0</v>
      </c>
      <c r="DQ211" s="3"/>
      <c r="DR211" s="3"/>
      <c r="DS211" s="3"/>
      <c r="DT211" s="3">
        <f t="shared" si="229"/>
        <v>0</v>
      </c>
      <c r="DU211" s="3"/>
      <c r="DV211" s="3"/>
      <c r="DW211" s="3"/>
      <c r="DX211" s="3">
        <f t="shared" si="225"/>
        <v>0</v>
      </c>
      <c r="DY211" s="3"/>
      <c r="DZ211" s="3"/>
      <c r="EA211" s="3"/>
      <c r="EB211" s="3">
        <f t="shared" si="226"/>
        <v>0</v>
      </c>
      <c r="EC211" s="4">
        <f t="shared" si="206"/>
        <v>-16.666499999999999</v>
      </c>
      <c r="ED211" s="5">
        <f t="shared" si="227"/>
        <v>0</v>
      </c>
      <c r="EE211" s="6">
        <f t="shared" si="174"/>
        <v>-16.666499999999999</v>
      </c>
      <c r="EF211" s="6">
        <f t="shared" si="174"/>
        <v>0</v>
      </c>
      <c r="EG211" s="6">
        <f t="shared" si="174"/>
        <v>0</v>
      </c>
    </row>
    <row r="212" spans="1:137" ht="12" customHeight="1" x14ac:dyDescent="0.35">
      <c r="A212" s="43" t="s">
        <v>91</v>
      </c>
      <c r="B212" s="43">
        <v>30450</v>
      </c>
      <c r="C212" s="43" t="s">
        <v>109</v>
      </c>
      <c r="D212" s="43" t="s">
        <v>110</v>
      </c>
      <c r="E212" s="43">
        <v>150781</v>
      </c>
      <c r="F212" s="43" t="s">
        <v>789</v>
      </c>
      <c r="G212" s="44">
        <v>45849</v>
      </c>
      <c r="H212" s="44">
        <v>45992</v>
      </c>
      <c r="I212" s="45">
        <v>5</v>
      </c>
      <c r="J212" s="45">
        <v>-16190</v>
      </c>
      <c r="K212" s="45">
        <v>-809.5</v>
      </c>
      <c r="L212" s="45">
        <v>0</v>
      </c>
      <c r="M212" s="45">
        <v>0</v>
      </c>
      <c r="N212" s="45">
        <v>-809.5</v>
      </c>
      <c r="O212" s="45">
        <v>-16999.5</v>
      </c>
      <c r="P212" s="43" t="s">
        <v>95</v>
      </c>
      <c r="Q212" s="43" t="s">
        <v>36</v>
      </c>
      <c r="R212" s="43" t="s">
        <v>112</v>
      </c>
      <c r="S212" s="43" t="s">
        <v>97</v>
      </c>
      <c r="T212" s="43" t="s">
        <v>98</v>
      </c>
      <c r="U212" s="43" t="s">
        <v>99</v>
      </c>
      <c r="V212" s="43">
        <v>996311</v>
      </c>
      <c r="W212" s="43" t="s">
        <v>790</v>
      </c>
      <c r="X212" s="43" t="s">
        <v>101</v>
      </c>
      <c r="Y212" s="43">
        <v>107</v>
      </c>
      <c r="Z212" s="43" t="s">
        <v>102</v>
      </c>
      <c r="AA212" t="s">
        <v>791</v>
      </c>
      <c r="AB212">
        <v>-809.5</v>
      </c>
      <c r="AC212">
        <v>-810</v>
      </c>
      <c r="AD212" s="38">
        <v>1</v>
      </c>
      <c r="AE212" t="s">
        <v>104</v>
      </c>
      <c r="AF212" t="s">
        <v>73</v>
      </c>
      <c r="AG212" s="3"/>
      <c r="AH212" s="3"/>
      <c r="AI212" s="3"/>
      <c r="AJ212" s="3">
        <f t="shared" si="207"/>
        <v>0</v>
      </c>
      <c r="AK212" s="3"/>
      <c r="AL212" s="3"/>
      <c r="AM212" s="3"/>
      <c r="AN212" s="3">
        <f t="shared" si="208"/>
        <v>0</v>
      </c>
      <c r="AO212" s="3"/>
      <c r="AP212" s="3"/>
      <c r="AQ212" s="3"/>
      <c r="AR212" s="3">
        <f t="shared" si="209"/>
        <v>0</v>
      </c>
      <c r="AS212" s="3"/>
      <c r="AT212" s="3"/>
      <c r="AU212" s="3"/>
      <c r="AV212" s="3">
        <f t="shared" si="210"/>
        <v>0</v>
      </c>
      <c r="AW212" s="3"/>
      <c r="AX212" s="3"/>
      <c r="AY212" s="3"/>
      <c r="AZ212" s="3">
        <f t="shared" si="211"/>
        <v>0</v>
      </c>
      <c r="BA212" s="3"/>
      <c r="BB212" s="3"/>
      <c r="BC212" s="3"/>
      <c r="BD212" s="3">
        <f t="shared" si="212"/>
        <v>0</v>
      </c>
      <c r="BE212" s="3">
        <f>$K212*BE$4/$BE$4</f>
        <v>-809.5</v>
      </c>
      <c r="BF212" s="3">
        <f>$L212*BE$4/$BE$4</f>
        <v>0</v>
      </c>
      <c r="BG212" s="3">
        <f>$M212*BE$4/$BE$4</f>
        <v>0</v>
      </c>
      <c r="BH212" s="3">
        <f t="shared" si="204"/>
        <v>-809.5</v>
      </c>
      <c r="BI212" s="3"/>
      <c r="BJ212" s="3"/>
      <c r="BK212" s="3"/>
      <c r="BL212" s="3">
        <f t="shared" si="205"/>
        <v>0</v>
      </c>
      <c r="BM212" s="3"/>
      <c r="BN212" s="3"/>
      <c r="BO212" s="3"/>
      <c r="BP212" s="3">
        <f t="shared" si="213"/>
        <v>0</v>
      </c>
      <c r="BQ212" s="3"/>
      <c r="BR212" s="3"/>
      <c r="BS212" s="3"/>
      <c r="BT212" s="3">
        <f t="shared" si="214"/>
        <v>0</v>
      </c>
      <c r="BU212" s="3"/>
      <c r="BV212" s="3"/>
      <c r="BW212" s="3"/>
      <c r="BX212" s="3">
        <f t="shared" si="215"/>
        <v>0</v>
      </c>
      <c r="BY212" s="3"/>
      <c r="BZ212" s="3"/>
      <c r="CA212" s="3"/>
      <c r="CB212" s="3">
        <f t="shared" si="216"/>
        <v>0</v>
      </c>
      <c r="CC212" s="3"/>
      <c r="CD212" s="3"/>
      <c r="CE212" s="3"/>
      <c r="CF212" s="3">
        <f t="shared" si="217"/>
        <v>0</v>
      </c>
      <c r="CG212" s="3"/>
      <c r="CH212" s="3"/>
      <c r="CI212" s="3"/>
      <c r="CJ212" s="3">
        <f t="shared" si="218"/>
        <v>0</v>
      </c>
      <c r="CK212" s="3"/>
      <c r="CL212" s="3"/>
      <c r="CM212" s="3"/>
      <c r="CN212" s="3">
        <f t="shared" si="219"/>
        <v>0</v>
      </c>
      <c r="CO212" s="3"/>
      <c r="CP212" s="3"/>
      <c r="CQ212" s="3"/>
      <c r="CR212" s="3">
        <f t="shared" si="220"/>
        <v>0</v>
      </c>
      <c r="CS212" s="3"/>
      <c r="CT212" s="3"/>
      <c r="CU212" s="3"/>
      <c r="CV212" s="3">
        <f t="shared" si="221"/>
        <v>0</v>
      </c>
      <c r="CW212" s="3"/>
      <c r="CX212" s="3"/>
      <c r="CY212" s="3"/>
      <c r="CZ212" s="3">
        <f t="shared" si="228"/>
        <v>0</v>
      </c>
      <c r="DA212" s="3"/>
      <c r="DB212" s="3"/>
      <c r="DC212" s="3"/>
      <c r="DD212" s="3">
        <f t="shared" si="222"/>
        <v>0</v>
      </c>
      <c r="DE212" s="3"/>
      <c r="DF212" s="3"/>
      <c r="DG212" s="3"/>
      <c r="DH212" s="3">
        <f t="shared" si="223"/>
        <v>0</v>
      </c>
      <c r="DI212" s="3"/>
      <c r="DJ212" s="3"/>
      <c r="DK212" s="3"/>
      <c r="DL212" s="3">
        <f t="shared" si="203"/>
        <v>0</v>
      </c>
      <c r="DM212" s="3"/>
      <c r="DN212" s="3"/>
      <c r="DO212" s="3"/>
      <c r="DP212" s="3">
        <f t="shared" si="224"/>
        <v>0</v>
      </c>
      <c r="DQ212" s="3"/>
      <c r="DR212" s="3"/>
      <c r="DS212" s="3"/>
      <c r="DT212" s="3">
        <f t="shared" si="229"/>
        <v>0</v>
      </c>
      <c r="DU212" s="3"/>
      <c r="DV212" s="3"/>
      <c r="DW212" s="3"/>
      <c r="DX212" s="3">
        <f t="shared" si="225"/>
        <v>0</v>
      </c>
      <c r="DY212" s="3"/>
      <c r="DZ212" s="3"/>
      <c r="EA212" s="3"/>
      <c r="EB212" s="3">
        <f t="shared" si="226"/>
        <v>0</v>
      </c>
      <c r="EC212" s="4">
        <f t="shared" si="206"/>
        <v>-809.5</v>
      </c>
      <c r="ED212" s="5">
        <f t="shared" si="227"/>
        <v>0</v>
      </c>
      <c r="EE212" s="6">
        <f t="shared" si="174"/>
        <v>-809.5</v>
      </c>
      <c r="EF212" s="6">
        <f t="shared" si="174"/>
        <v>0</v>
      </c>
      <c r="EG212" s="6">
        <f t="shared" si="174"/>
        <v>0</v>
      </c>
    </row>
    <row r="213" spans="1:137" ht="12" customHeight="1" x14ac:dyDescent="0.35">
      <c r="A213" s="43" t="s">
        <v>91</v>
      </c>
      <c r="B213" s="43">
        <v>30450</v>
      </c>
      <c r="C213" s="43" t="s">
        <v>109</v>
      </c>
      <c r="D213" s="43" t="s">
        <v>110</v>
      </c>
      <c r="E213" s="43">
        <v>150781</v>
      </c>
      <c r="F213" s="43" t="s">
        <v>792</v>
      </c>
      <c r="G213" s="44">
        <v>45849</v>
      </c>
      <c r="H213" s="44">
        <v>45992</v>
      </c>
      <c r="I213" s="45">
        <v>5</v>
      </c>
      <c r="J213" s="45">
        <v>-14000</v>
      </c>
      <c r="K213" s="45">
        <v>-700</v>
      </c>
      <c r="L213" s="45">
        <v>0</v>
      </c>
      <c r="M213" s="45">
        <v>0</v>
      </c>
      <c r="N213" s="45">
        <v>-700</v>
      </c>
      <c r="O213" s="45">
        <v>-14700</v>
      </c>
      <c r="P213" s="43" t="s">
        <v>95</v>
      </c>
      <c r="Q213" s="43" t="s">
        <v>36</v>
      </c>
      <c r="R213" s="43" t="s">
        <v>112</v>
      </c>
      <c r="S213" s="43" t="s">
        <v>97</v>
      </c>
      <c r="T213" s="43" t="s">
        <v>98</v>
      </c>
      <c r="U213" s="43" t="s">
        <v>99</v>
      </c>
      <c r="V213" s="43">
        <v>996311</v>
      </c>
      <c r="W213" s="43" t="s">
        <v>793</v>
      </c>
      <c r="X213" s="43" t="s">
        <v>101</v>
      </c>
      <c r="Y213" s="43">
        <v>107</v>
      </c>
      <c r="Z213" s="43" t="s">
        <v>102</v>
      </c>
      <c r="AA213" t="s">
        <v>794</v>
      </c>
      <c r="AB213">
        <v>-700</v>
      </c>
      <c r="AC213">
        <v>-700</v>
      </c>
      <c r="AD213" s="38">
        <v>0</v>
      </c>
      <c r="AE213" t="s">
        <v>104</v>
      </c>
      <c r="AF213" t="s">
        <v>73</v>
      </c>
      <c r="AG213" s="3"/>
      <c r="AH213" s="3"/>
      <c r="AI213" s="3"/>
      <c r="AJ213" s="3">
        <f t="shared" si="207"/>
        <v>0</v>
      </c>
      <c r="AK213" s="3"/>
      <c r="AL213" s="3"/>
      <c r="AM213" s="3"/>
      <c r="AN213" s="3">
        <f t="shared" si="208"/>
        <v>0</v>
      </c>
      <c r="AO213" s="3"/>
      <c r="AP213" s="3"/>
      <c r="AQ213" s="3"/>
      <c r="AR213" s="3">
        <f t="shared" si="209"/>
        <v>0</v>
      </c>
      <c r="AS213" s="3"/>
      <c r="AT213" s="3"/>
      <c r="AU213" s="3"/>
      <c r="AV213" s="3">
        <f t="shared" si="210"/>
        <v>0</v>
      </c>
      <c r="AW213" s="3"/>
      <c r="AX213" s="3"/>
      <c r="AY213" s="3"/>
      <c r="AZ213" s="3">
        <f t="shared" si="211"/>
        <v>0</v>
      </c>
      <c r="BA213" s="3"/>
      <c r="BB213" s="3"/>
      <c r="BC213" s="3"/>
      <c r="BD213" s="3">
        <f t="shared" si="212"/>
        <v>0</v>
      </c>
      <c r="BE213" s="3">
        <f>$K213*BE$4/$BE$4</f>
        <v>-700</v>
      </c>
      <c r="BF213" s="3">
        <f>$L213*BE$4/$BE$4</f>
        <v>0</v>
      </c>
      <c r="BG213" s="3">
        <f>$M213*BE$4/$BE$4</f>
        <v>0</v>
      </c>
      <c r="BH213" s="3">
        <f t="shared" si="204"/>
        <v>-700</v>
      </c>
      <c r="BI213" s="3"/>
      <c r="BJ213" s="3"/>
      <c r="BK213" s="3"/>
      <c r="BL213" s="3">
        <f t="shared" si="205"/>
        <v>0</v>
      </c>
      <c r="BM213" s="3"/>
      <c r="BN213" s="3"/>
      <c r="BO213" s="3"/>
      <c r="BP213" s="3">
        <f t="shared" si="213"/>
        <v>0</v>
      </c>
      <c r="BQ213" s="3"/>
      <c r="BR213" s="3"/>
      <c r="BS213" s="3"/>
      <c r="BT213" s="3">
        <f t="shared" si="214"/>
        <v>0</v>
      </c>
      <c r="BU213" s="3"/>
      <c r="BV213" s="3"/>
      <c r="BW213" s="3"/>
      <c r="BX213" s="3">
        <f t="shared" si="215"/>
        <v>0</v>
      </c>
      <c r="BY213" s="3"/>
      <c r="BZ213" s="3"/>
      <c r="CA213" s="3"/>
      <c r="CB213" s="3">
        <f t="shared" si="216"/>
        <v>0</v>
      </c>
      <c r="CC213" s="3"/>
      <c r="CD213" s="3"/>
      <c r="CE213" s="3"/>
      <c r="CF213" s="3">
        <f t="shared" si="217"/>
        <v>0</v>
      </c>
      <c r="CG213" s="3"/>
      <c r="CH213" s="3"/>
      <c r="CI213" s="3"/>
      <c r="CJ213" s="3">
        <f t="shared" si="218"/>
        <v>0</v>
      </c>
      <c r="CK213" s="3"/>
      <c r="CL213" s="3"/>
      <c r="CM213" s="3"/>
      <c r="CN213" s="3">
        <f t="shared" si="219"/>
        <v>0</v>
      </c>
      <c r="CO213" s="3"/>
      <c r="CP213" s="3"/>
      <c r="CQ213" s="3"/>
      <c r="CR213" s="3">
        <f t="shared" si="220"/>
        <v>0</v>
      </c>
      <c r="CS213" s="3"/>
      <c r="CT213" s="3"/>
      <c r="CU213" s="3"/>
      <c r="CV213" s="3">
        <f t="shared" si="221"/>
        <v>0</v>
      </c>
      <c r="CW213" s="3"/>
      <c r="CX213" s="3"/>
      <c r="CY213" s="3"/>
      <c r="CZ213" s="3">
        <f t="shared" si="228"/>
        <v>0</v>
      </c>
      <c r="DA213" s="3"/>
      <c r="DB213" s="3"/>
      <c r="DC213" s="3"/>
      <c r="DD213" s="3">
        <f t="shared" si="222"/>
        <v>0</v>
      </c>
      <c r="DE213" s="3"/>
      <c r="DF213" s="3"/>
      <c r="DG213" s="3"/>
      <c r="DH213" s="3">
        <f t="shared" si="223"/>
        <v>0</v>
      </c>
      <c r="DI213" s="3"/>
      <c r="DJ213" s="3"/>
      <c r="DK213" s="3"/>
      <c r="DL213" s="3">
        <f t="shared" si="203"/>
        <v>0</v>
      </c>
      <c r="DM213" s="3"/>
      <c r="DN213" s="3"/>
      <c r="DO213" s="3"/>
      <c r="DP213" s="3">
        <f t="shared" si="224"/>
        <v>0</v>
      </c>
      <c r="DQ213" s="3"/>
      <c r="DR213" s="3"/>
      <c r="DS213" s="3"/>
      <c r="DT213" s="3">
        <f t="shared" si="229"/>
        <v>0</v>
      </c>
      <c r="DU213" s="3"/>
      <c r="DV213" s="3"/>
      <c r="DW213" s="3"/>
      <c r="DX213" s="3">
        <f t="shared" si="225"/>
        <v>0</v>
      </c>
      <c r="DY213" s="3"/>
      <c r="DZ213" s="3"/>
      <c r="EA213" s="3"/>
      <c r="EB213" s="3">
        <f t="shared" si="226"/>
        <v>0</v>
      </c>
      <c r="EC213" s="4">
        <f t="shared" si="206"/>
        <v>-700</v>
      </c>
      <c r="ED213" s="5">
        <f t="shared" si="227"/>
        <v>0</v>
      </c>
      <c r="EE213" s="6">
        <f t="shared" si="174"/>
        <v>-700</v>
      </c>
      <c r="EF213" s="6">
        <f t="shared" si="174"/>
        <v>0</v>
      </c>
      <c r="EG213" s="6">
        <f t="shared" si="174"/>
        <v>0</v>
      </c>
    </row>
    <row r="214" spans="1:137" ht="12" customHeight="1" x14ac:dyDescent="0.35">
      <c r="A214" s="43" t="s">
        <v>91</v>
      </c>
      <c r="B214" s="43">
        <v>30450</v>
      </c>
      <c r="C214" s="43" t="s">
        <v>105</v>
      </c>
      <c r="D214" s="43" t="s">
        <v>110</v>
      </c>
      <c r="E214" s="43">
        <v>150781</v>
      </c>
      <c r="F214" s="43" t="s">
        <v>795</v>
      </c>
      <c r="G214" s="44">
        <v>45918</v>
      </c>
      <c r="H214" s="44">
        <v>45993</v>
      </c>
      <c r="I214" s="45">
        <v>12</v>
      </c>
      <c r="J214" s="45">
        <v>-18094</v>
      </c>
      <c r="K214" s="45">
        <v>-2171.2800000000002</v>
      </c>
      <c r="L214" s="45">
        <v>0</v>
      </c>
      <c r="M214" s="45">
        <v>0</v>
      </c>
      <c r="N214" s="45">
        <v>-2171.2800000000002</v>
      </c>
      <c r="O214" s="45">
        <v>-20265.28</v>
      </c>
      <c r="P214" s="43" t="s">
        <v>95</v>
      </c>
      <c r="Q214" s="43" t="s">
        <v>36</v>
      </c>
      <c r="R214" s="43" t="s">
        <v>112</v>
      </c>
      <c r="S214" s="43" t="s">
        <v>97</v>
      </c>
      <c r="T214" s="43" t="s">
        <v>98</v>
      </c>
      <c r="U214" s="43" t="s">
        <v>99</v>
      </c>
      <c r="V214" s="43">
        <v>996311</v>
      </c>
      <c r="W214" s="43" t="s">
        <v>796</v>
      </c>
      <c r="X214" s="43" t="s">
        <v>101</v>
      </c>
      <c r="Y214" s="43">
        <v>107</v>
      </c>
      <c r="Z214" s="43" t="s">
        <v>102</v>
      </c>
      <c r="AA214" t="s">
        <v>797</v>
      </c>
      <c r="AB214">
        <v>-2171.2800000000002</v>
      </c>
      <c r="AC214">
        <v>-2171</v>
      </c>
      <c r="AD214" s="38">
        <v>0</v>
      </c>
      <c r="AE214" t="s">
        <v>104</v>
      </c>
      <c r="AF214" t="s">
        <v>73</v>
      </c>
      <c r="AG214" s="3"/>
      <c r="AH214" s="3"/>
      <c r="AI214" s="3"/>
      <c r="AJ214" s="3">
        <f t="shared" si="207"/>
        <v>0</v>
      </c>
      <c r="AK214" s="3"/>
      <c r="AL214" s="3"/>
      <c r="AM214" s="3"/>
      <c r="AN214" s="3">
        <f t="shared" si="208"/>
        <v>0</v>
      </c>
      <c r="AO214" s="3"/>
      <c r="AP214" s="3"/>
      <c r="AQ214" s="3"/>
      <c r="AR214" s="3">
        <f t="shared" si="209"/>
        <v>0</v>
      </c>
      <c r="AS214" s="3"/>
      <c r="AT214" s="3"/>
      <c r="AU214" s="3"/>
      <c r="AV214" s="3">
        <f t="shared" si="210"/>
        <v>0</v>
      </c>
      <c r="AW214" s="3"/>
      <c r="AX214" s="3"/>
      <c r="AY214" s="3"/>
      <c r="AZ214" s="3">
        <f t="shared" si="211"/>
        <v>0</v>
      </c>
      <c r="BA214" s="3"/>
      <c r="BB214" s="3"/>
      <c r="BC214" s="3"/>
      <c r="BD214" s="3">
        <f t="shared" si="212"/>
        <v>0</v>
      </c>
      <c r="BE214" s="3">
        <f>$K214*BE$4/$BE$4</f>
        <v>-2171.2800000000002</v>
      </c>
      <c r="BF214" s="3">
        <f>$L214*BE$4/$BE$4</f>
        <v>0</v>
      </c>
      <c r="BG214" s="3">
        <f>$M214*BE$4/$BE$4</f>
        <v>0</v>
      </c>
      <c r="BH214" s="3">
        <f t="shared" si="204"/>
        <v>-2171.2800000000002</v>
      </c>
      <c r="BI214" s="3"/>
      <c r="BJ214" s="3"/>
      <c r="BK214" s="3"/>
      <c r="BL214" s="3">
        <f t="shared" si="205"/>
        <v>0</v>
      </c>
      <c r="BM214" s="3"/>
      <c r="BN214" s="3"/>
      <c r="BO214" s="3"/>
      <c r="BP214" s="3">
        <f t="shared" si="213"/>
        <v>0</v>
      </c>
      <c r="BQ214" s="3"/>
      <c r="BR214" s="3"/>
      <c r="BS214" s="3"/>
      <c r="BT214" s="3">
        <f t="shared" si="214"/>
        <v>0</v>
      </c>
      <c r="BU214" s="3"/>
      <c r="BV214" s="3"/>
      <c r="BW214" s="3"/>
      <c r="BX214" s="3">
        <f t="shared" si="215"/>
        <v>0</v>
      </c>
      <c r="BY214" s="3"/>
      <c r="BZ214" s="3"/>
      <c r="CA214" s="3"/>
      <c r="CB214" s="3">
        <f t="shared" si="216"/>
        <v>0</v>
      </c>
      <c r="CC214" s="3"/>
      <c r="CD214" s="3"/>
      <c r="CE214" s="3"/>
      <c r="CF214" s="3">
        <f t="shared" si="217"/>
        <v>0</v>
      </c>
      <c r="CG214" s="3"/>
      <c r="CH214" s="3"/>
      <c r="CI214" s="3"/>
      <c r="CJ214" s="3">
        <f t="shared" si="218"/>
        <v>0</v>
      </c>
      <c r="CK214" s="3"/>
      <c r="CL214" s="3"/>
      <c r="CM214" s="3"/>
      <c r="CN214" s="3">
        <f t="shared" si="219"/>
        <v>0</v>
      </c>
      <c r="CO214" s="3"/>
      <c r="CP214" s="3"/>
      <c r="CQ214" s="3"/>
      <c r="CR214" s="3">
        <f t="shared" si="220"/>
        <v>0</v>
      </c>
      <c r="CS214" s="3"/>
      <c r="CT214" s="3"/>
      <c r="CU214" s="3"/>
      <c r="CV214" s="3">
        <f t="shared" si="221"/>
        <v>0</v>
      </c>
      <c r="CW214" s="3"/>
      <c r="CX214" s="3"/>
      <c r="CY214" s="3"/>
      <c r="CZ214" s="3">
        <f t="shared" si="228"/>
        <v>0</v>
      </c>
      <c r="DA214" s="3"/>
      <c r="DB214" s="3"/>
      <c r="DC214" s="3"/>
      <c r="DD214" s="3">
        <f t="shared" si="222"/>
        <v>0</v>
      </c>
      <c r="DE214" s="3"/>
      <c r="DF214" s="3"/>
      <c r="DG214" s="3"/>
      <c r="DH214" s="3">
        <f t="shared" si="223"/>
        <v>0</v>
      </c>
      <c r="DI214" s="3"/>
      <c r="DJ214" s="3"/>
      <c r="DK214" s="3"/>
      <c r="DL214" s="3">
        <f t="shared" si="203"/>
        <v>0</v>
      </c>
      <c r="DM214" s="3"/>
      <c r="DN214" s="3"/>
      <c r="DO214" s="3"/>
      <c r="DP214" s="3">
        <f t="shared" si="224"/>
        <v>0</v>
      </c>
      <c r="DQ214" s="3"/>
      <c r="DR214" s="3"/>
      <c r="DS214" s="3"/>
      <c r="DT214" s="3">
        <f t="shared" si="229"/>
        <v>0</v>
      </c>
      <c r="DU214" s="3"/>
      <c r="DV214" s="3"/>
      <c r="DW214" s="3"/>
      <c r="DX214" s="3">
        <f t="shared" si="225"/>
        <v>0</v>
      </c>
      <c r="DY214" s="3"/>
      <c r="DZ214" s="3"/>
      <c r="EA214" s="3"/>
      <c r="EB214" s="3">
        <f t="shared" si="226"/>
        <v>0</v>
      </c>
      <c r="EC214" s="4">
        <f t="shared" si="206"/>
        <v>-2171.2800000000002</v>
      </c>
      <c r="ED214" s="5">
        <f t="shared" si="227"/>
        <v>0</v>
      </c>
      <c r="EE214" s="6">
        <f t="shared" si="174"/>
        <v>-2171.2800000000002</v>
      </c>
      <c r="EF214" s="6">
        <f t="shared" si="174"/>
        <v>0</v>
      </c>
      <c r="EG214" s="6">
        <f t="shared" si="174"/>
        <v>0</v>
      </c>
    </row>
    <row r="215" spans="1:137" ht="12" customHeight="1" x14ac:dyDescent="0.35">
      <c r="A215" s="43" t="s">
        <v>91</v>
      </c>
      <c r="B215" s="43">
        <v>30450</v>
      </c>
      <c r="C215" s="43" t="s">
        <v>92</v>
      </c>
      <c r="D215" s="43" t="s">
        <v>537</v>
      </c>
      <c r="E215" s="43">
        <v>150782</v>
      </c>
      <c r="F215" s="43" t="s">
        <v>798</v>
      </c>
      <c r="G215" s="44">
        <v>45933</v>
      </c>
      <c r="H215" s="44">
        <v>45992</v>
      </c>
      <c r="I215" s="45">
        <v>5</v>
      </c>
      <c r="J215" s="45">
        <v>-2618</v>
      </c>
      <c r="K215" s="45">
        <v>0</v>
      </c>
      <c r="L215" s="45">
        <v>-65.45</v>
      </c>
      <c r="M215" s="45">
        <v>-65.45</v>
      </c>
      <c r="N215" s="45">
        <v>-130.9</v>
      </c>
      <c r="O215" s="45">
        <v>-2748.9</v>
      </c>
      <c r="P215" s="43" t="s">
        <v>95</v>
      </c>
      <c r="Q215" s="43" t="s">
        <v>46</v>
      </c>
      <c r="R215" s="43" t="s">
        <v>112</v>
      </c>
      <c r="S215" s="43" t="s">
        <v>97</v>
      </c>
      <c r="T215" s="43" t="s">
        <v>98</v>
      </c>
      <c r="U215" s="43" t="s">
        <v>99</v>
      </c>
      <c r="V215" s="43">
        <v>996311</v>
      </c>
      <c r="W215" s="43" t="s">
        <v>799</v>
      </c>
      <c r="X215" s="43" t="s">
        <v>101</v>
      </c>
      <c r="Y215" s="43">
        <v>107</v>
      </c>
      <c r="Z215" s="43" t="s">
        <v>102</v>
      </c>
      <c r="AA215" t="s">
        <v>800</v>
      </c>
      <c r="AB215">
        <v>-130.9</v>
      </c>
      <c r="AC215">
        <v>-131</v>
      </c>
      <c r="AD215" s="38">
        <v>0</v>
      </c>
      <c r="AE215" t="s">
        <v>104</v>
      </c>
      <c r="AF215" t="s">
        <v>73</v>
      </c>
      <c r="AG215" s="3"/>
      <c r="AH215" s="3"/>
      <c r="AI215" s="3"/>
      <c r="AJ215" s="3">
        <f t="shared" si="207"/>
        <v>0</v>
      </c>
      <c r="AK215" s="3"/>
      <c r="AL215" s="3"/>
      <c r="AM215" s="3"/>
      <c r="AN215" s="3">
        <f t="shared" si="208"/>
        <v>0</v>
      </c>
      <c r="AO215" s="3"/>
      <c r="AP215" s="3"/>
      <c r="AQ215" s="3"/>
      <c r="AR215" s="3">
        <f t="shared" si="209"/>
        <v>0</v>
      </c>
      <c r="AS215" s="3"/>
      <c r="AT215" s="3"/>
      <c r="AU215" s="3"/>
      <c r="AV215" s="3">
        <f t="shared" si="210"/>
        <v>0</v>
      </c>
      <c r="AW215" s="3"/>
      <c r="AX215" s="3"/>
      <c r="AY215" s="3"/>
      <c r="AZ215" s="3">
        <f t="shared" si="211"/>
        <v>0</v>
      </c>
      <c r="BA215" s="3"/>
      <c r="BB215" s="3"/>
      <c r="BC215" s="3"/>
      <c r="BD215" s="3">
        <f t="shared" si="212"/>
        <v>0</v>
      </c>
      <c r="BE215" s="3"/>
      <c r="BF215" s="3"/>
      <c r="BG215" s="3"/>
      <c r="BH215" s="3">
        <f t="shared" si="204"/>
        <v>0</v>
      </c>
      <c r="BI215" s="3"/>
      <c r="BJ215" s="3"/>
      <c r="BK215" s="3"/>
      <c r="BL215" s="3">
        <f t="shared" si="205"/>
        <v>0</v>
      </c>
      <c r="BM215" s="3"/>
      <c r="BN215" s="3"/>
      <c r="BO215" s="3"/>
      <c r="BP215" s="3">
        <f t="shared" si="213"/>
        <v>0</v>
      </c>
      <c r="BQ215" s="3"/>
      <c r="BR215" s="3"/>
      <c r="BS215" s="3"/>
      <c r="BT215" s="3">
        <f t="shared" si="214"/>
        <v>0</v>
      </c>
      <c r="BU215" s="3"/>
      <c r="BV215" s="3"/>
      <c r="BW215" s="3"/>
      <c r="BX215" s="3">
        <f t="shared" si="215"/>
        <v>0</v>
      </c>
      <c r="BY215" s="3"/>
      <c r="BZ215" s="3"/>
      <c r="CA215" s="3"/>
      <c r="CB215" s="3">
        <f t="shared" si="216"/>
        <v>0</v>
      </c>
      <c r="CC215" s="3"/>
      <c r="CD215" s="3"/>
      <c r="CE215" s="3"/>
      <c r="CF215" s="3">
        <f t="shared" si="217"/>
        <v>0</v>
      </c>
      <c r="CG215" s="3"/>
      <c r="CH215" s="3"/>
      <c r="CI215" s="3"/>
      <c r="CJ215" s="3">
        <f t="shared" si="218"/>
        <v>0</v>
      </c>
      <c r="CK215" s="3"/>
      <c r="CL215" s="3"/>
      <c r="CM215" s="3"/>
      <c r="CN215" s="3">
        <f t="shared" si="219"/>
        <v>0</v>
      </c>
      <c r="CO215" s="3"/>
      <c r="CP215" s="3"/>
      <c r="CQ215" s="3"/>
      <c r="CR215" s="3">
        <f t="shared" si="220"/>
        <v>0</v>
      </c>
      <c r="CS215" s="3">
        <f>SUM($K215:$M215)*CS$4/$CS$4</f>
        <v>-130.9</v>
      </c>
      <c r="CT215" s="3">
        <v>0</v>
      </c>
      <c r="CU215" s="3">
        <v>0</v>
      </c>
      <c r="CV215" s="3">
        <f t="shared" si="221"/>
        <v>-130.9</v>
      </c>
      <c r="CW215" s="3"/>
      <c r="CX215" s="3"/>
      <c r="CY215" s="3"/>
      <c r="CZ215" s="3">
        <f t="shared" si="228"/>
        <v>0</v>
      </c>
      <c r="DA215" s="3"/>
      <c r="DB215" s="3"/>
      <c r="DC215" s="3"/>
      <c r="DD215" s="3">
        <f t="shared" si="222"/>
        <v>0</v>
      </c>
      <c r="DE215" s="3"/>
      <c r="DF215" s="3"/>
      <c r="DG215" s="3"/>
      <c r="DH215" s="3">
        <f t="shared" si="223"/>
        <v>0</v>
      </c>
      <c r="DI215" s="3"/>
      <c r="DJ215" s="3"/>
      <c r="DK215" s="3"/>
      <c r="DL215" s="3">
        <f t="shared" si="203"/>
        <v>0</v>
      </c>
      <c r="DM215" s="3"/>
      <c r="DN215" s="3"/>
      <c r="DO215" s="3"/>
      <c r="DP215" s="3">
        <f t="shared" si="224"/>
        <v>0</v>
      </c>
      <c r="DQ215" s="3"/>
      <c r="DR215" s="3"/>
      <c r="DS215" s="3"/>
      <c r="DT215" s="3">
        <f t="shared" si="229"/>
        <v>0</v>
      </c>
      <c r="DU215" s="3"/>
      <c r="DV215" s="3"/>
      <c r="DW215" s="3"/>
      <c r="DX215" s="3">
        <f t="shared" si="225"/>
        <v>0</v>
      </c>
      <c r="DY215" s="3"/>
      <c r="DZ215" s="3"/>
      <c r="EA215" s="3"/>
      <c r="EB215" s="3">
        <f t="shared" si="226"/>
        <v>0</v>
      </c>
      <c r="EC215" s="4">
        <f t="shared" si="206"/>
        <v>-130.9</v>
      </c>
      <c r="ED215" s="5">
        <f t="shared" si="227"/>
        <v>0</v>
      </c>
      <c r="EE215" s="6">
        <f t="shared" si="174"/>
        <v>-130.9</v>
      </c>
      <c r="EF215" s="6">
        <f t="shared" si="174"/>
        <v>0</v>
      </c>
      <c r="EG215" s="6">
        <f t="shared" si="174"/>
        <v>0</v>
      </c>
    </row>
    <row r="216" spans="1:137" ht="12" customHeight="1" x14ac:dyDescent="0.35">
      <c r="A216" s="43" t="s">
        <v>91</v>
      </c>
      <c r="B216" s="43">
        <v>30450</v>
      </c>
      <c r="C216" s="43" t="s">
        <v>92</v>
      </c>
      <c r="D216" s="43" t="s">
        <v>537</v>
      </c>
      <c r="E216" s="43">
        <v>150782</v>
      </c>
      <c r="F216" s="43" t="s">
        <v>801</v>
      </c>
      <c r="G216" s="44">
        <v>45921</v>
      </c>
      <c r="H216" s="44">
        <v>45992</v>
      </c>
      <c r="I216" s="45">
        <v>5</v>
      </c>
      <c r="J216" s="45">
        <v>-3100</v>
      </c>
      <c r="K216" s="45">
        <v>0</v>
      </c>
      <c r="L216" s="45">
        <v>-77.5</v>
      </c>
      <c r="M216" s="45">
        <v>-77.5</v>
      </c>
      <c r="N216" s="45">
        <v>-155</v>
      </c>
      <c r="O216" s="45">
        <v>-3255</v>
      </c>
      <c r="P216" s="43" t="s">
        <v>95</v>
      </c>
      <c r="Q216" s="43" t="s">
        <v>46</v>
      </c>
      <c r="R216" s="43" t="s">
        <v>112</v>
      </c>
      <c r="S216" s="43" t="s">
        <v>97</v>
      </c>
      <c r="T216" s="43" t="s">
        <v>98</v>
      </c>
      <c r="U216" s="43" t="s">
        <v>99</v>
      </c>
      <c r="V216" s="43">
        <v>996311</v>
      </c>
      <c r="W216" s="43" t="s">
        <v>799</v>
      </c>
      <c r="X216" s="43" t="s">
        <v>101</v>
      </c>
      <c r="Y216" s="43">
        <v>107</v>
      </c>
      <c r="Z216" s="43" t="s">
        <v>102</v>
      </c>
      <c r="AA216" t="s">
        <v>802</v>
      </c>
      <c r="AB216">
        <v>-155</v>
      </c>
      <c r="AC216">
        <v>-155</v>
      </c>
      <c r="AD216" s="38">
        <v>0</v>
      </c>
      <c r="AE216" t="s">
        <v>104</v>
      </c>
      <c r="AF216" t="s">
        <v>73</v>
      </c>
      <c r="AG216" s="3"/>
      <c r="AH216" s="3"/>
      <c r="AI216" s="3"/>
      <c r="AJ216" s="3">
        <f t="shared" si="207"/>
        <v>0</v>
      </c>
      <c r="AK216" s="3"/>
      <c r="AL216" s="3"/>
      <c r="AM216" s="3"/>
      <c r="AN216" s="3">
        <f t="shared" si="208"/>
        <v>0</v>
      </c>
      <c r="AO216" s="3"/>
      <c r="AP216" s="3"/>
      <c r="AQ216" s="3"/>
      <c r="AR216" s="3">
        <f t="shared" si="209"/>
        <v>0</v>
      </c>
      <c r="AS216" s="3"/>
      <c r="AT216" s="3"/>
      <c r="AU216" s="3"/>
      <c r="AV216" s="3">
        <f t="shared" si="210"/>
        <v>0</v>
      </c>
      <c r="AW216" s="3"/>
      <c r="AX216" s="3"/>
      <c r="AY216" s="3"/>
      <c r="AZ216" s="3">
        <f t="shared" si="211"/>
        <v>0</v>
      </c>
      <c r="BA216" s="3"/>
      <c r="BB216" s="3"/>
      <c r="BC216" s="3"/>
      <c r="BD216" s="3">
        <f t="shared" si="212"/>
        <v>0</v>
      </c>
      <c r="BE216" s="3"/>
      <c r="BF216" s="3"/>
      <c r="BG216" s="3"/>
      <c r="BH216" s="3">
        <f t="shared" si="204"/>
        <v>0</v>
      </c>
      <c r="BI216" s="3"/>
      <c r="BJ216" s="3"/>
      <c r="BK216" s="3"/>
      <c r="BL216" s="3">
        <f t="shared" si="205"/>
        <v>0</v>
      </c>
      <c r="BM216" s="3"/>
      <c r="BN216" s="3"/>
      <c r="BO216" s="3"/>
      <c r="BP216" s="3">
        <f t="shared" si="213"/>
        <v>0</v>
      </c>
      <c r="BQ216" s="3"/>
      <c r="BR216" s="3"/>
      <c r="BS216" s="3"/>
      <c r="BT216" s="3">
        <f t="shared" si="214"/>
        <v>0</v>
      </c>
      <c r="BU216" s="3"/>
      <c r="BV216" s="3"/>
      <c r="BW216" s="3"/>
      <c r="BX216" s="3">
        <f t="shared" si="215"/>
        <v>0</v>
      </c>
      <c r="BY216" s="3"/>
      <c r="BZ216" s="3"/>
      <c r="CA216" s="3"/>
      <c r="CB216" s="3">
        <f t="shared" si="216"/>
        <v>0</v>
      </c>
      <c r="CC216" s="3"/>
      <c r="CD216" s="3"/>
      <c r="CE216" s="3"/>
      <c r="CF216" s="3">
        <f t="shared" si="217"/>
        <v>0</v>
      </c>
      <c r="CG216" s="3"/>
      <c r="CH216" s="3"/>
      <c r="CI216" s="3"/>
      <c r="CJ216" s="3">
        <f t="shared" si="218"/>
        <v>0</v>
      </c>
      <c r="CK216" s="3"/>
      <c r="CL216" s="3"/>
      <c r="CM216" s="3"/>
      <c r="CN216" s="3">
        <f t="shared" si="219"/>
        <v>0</v>
      </c>
      <c r="CO216" s="3"/>
      <c r="CP216" s="3"/>
      <c r="CQ216" s="3"/>
      <c r="CR216" s="3">
        <f t="shared" si="220"/>
        <v>0</v>
      </c>
      <c r="CS216" s="3">
        <f>SUM($K216:$M216)*CS$4/$CS$4</f>
        <v>-155</v>
      </c>
      <c r="CT216" s="3">
        <v>0</v>
      </c>
      <c r="CU216" s="3">
        <v>0</v>
      </c>
      <c r="CV216" s="3">
        <f t="shared" si="221"/>
        <v>-155</v>
      </c>
      <c r="CW216" s="3"/>
      <c r="CX216" s="3"/>
      <c r="CY216" s="3"/>
      <c r="CZ216" s="3">
        <f t="shared" si="228"/>
        <v>0</v>
      </c>
      <c r="DA216" s="3"/>
      <c r="DB216" s="3"/>
      <c r="DC216" s="3"/>
      <c r="DD216" s="3">
        <f t="shared" si="222"/>
        <v>0</v>
      </c>
      <c r="DE216" s="3"/>
      <c r="DF216" s="3"/>
      <c r="DG216" s="3"/>
      <c r="DH216" s="3">
        <f t="shared" si="223"/>
        <v>0</v>
      </c>
      <c r="DI216" s="3"/>
      <c r="DJ216" s="3"/>
      <c r="DK216" s="3"/>
      <c r="DL216" s="3">
        <f t="shared" si="203"/>
        <v>0</v>
      </c>
      <c r="DM216" s="3"/>
      <c r="DN216" s="3"/>
      <c r="DO216" s="3"/>
      <c r="DP216" s="3">
        <f t="shared" si="224"/>
        <v>0</v>
      </c>
      <c r="DQ216" s="3"/>
      <c r="DR216" s="3"/>
      <c r="DS216" s="3"/>
      <c r="DT216" s="3">
        <f t="shared" si="229"/>
        <v>0</v>
      </c>
      <c r="DU216" s="3"/>
      <c r="DV216" s="3"/>
      <c r="DW216" s="3"/>
      <c r="DX216" s="3">
        <f t="shared" si="225"/>
        <v>0</v>
      </c>
      <c r="DY216" s="3"/>
      <c r="DZ216" s="3"/>
      <c r="EA216" s="3"/>
      <c r="EB216" s="3">
        <f t="shared" si="226"/>
        <v>0</v>
      </c>
      <c r="EC216" s="4">
        <f t="shared" si="206"/>
        <v>-155</v>
      </c>
      <c r="ED216" s="5">
        <f t="shared" si="227"/>
        <v>0</v>
      </c>
      <c r="EE216" s="6">
        <f t="shared" si="174"/>
        <v>-155</v>
      </c>
      <c r="EF216" s="6">
        <f t="shared" si="174"/>
        <v>0</v>
      </c>
      <c r="EG216" s="6">
        <f t="shared" si="174"/>
        <v>0</v>
      </c>
    </row>
    <row r="217" spans="1:137" ht="12" customHeight="1" x14ac:dyDescent="0.35">
      <c r="A217" s="43" t="s">
        <v>91</v>
      </c>
      <c r="B217" s="43">
        <v>30450</v>
      </c>
      <c r="C217" s="43" t="s">
        <v>169</v>
      </c>
      <c r="D217" s="43" t="s">
        <v>110</v>
      </c>
      <c r="E217" s="43">
        <v>150781</v>
      </c>
      <c r="F217" s="43" t="s">
        <v>803</v>
      </c>
      <c r="G217" s="44">
        <v>45876</v>
      </c>
      <c r="H217" s="44">
        <v>45993</v>
      </c>
      <c r="I217" s="45">
        <v>5</v>
      </c>
      <c r="J217" s="45">
        <v>-11371</v>
      </c>
      <c r="K217" s="45">
        <v>-568.54999999999995</v>
      </c>
      <c r="L217" s="45">
        <v>0</v>
      </c>
      <c r="M217" s="45">
        <v>0</v>
      </c>
      <c r="N217" s="45">
        <v>-568.54999999999995</v>
      </c>
      <c r="O217" s="45">
        <v>-11939.55</v>
      </c>
      <c r="P217" s="43" t="s">
        <v>95</v>
      </c>
      <c r="Q217" s="43" t="s">
        <v>36</v>
      </c>
      <c r="R217" s="43" t="s">
        <v>112</v>
      </c>
      <c r="S217" s="43" t="s">
        <v>97</v>
      </c>
      <c r="T217" s="43" t="s">
        <v>98</v>
      </c>
      <c r="U217" s="43" t="s">
        <v>99</v>
      </c>
      <c r="V217" s="43">
        <v>996311</v>
      </c>
      <c r="W217" s="43" t="s">
        <v>804</v>
      </c>
      <c r="X217" s="43" t="s">
        <v>101</v>
      </c>
      <c r="Y217" s="43">
        <v>107</v>
      </c>
      <c r="Z217" s="43" t="s">
        <v>102</v>
      </c>
      <c r="AA217" t="s">
        <v>805</v>
      </c>
      <c r="AB217">
        <v>-568.54999999999995</v>
      </c>
      <c r="AC217">
        <v>-569</v>
      </c>
      <c r="AD217" s="38">
        <v>0</v>
      </c>
      <c r="AE217" t="s">
        <v>104</v>
      </c>
      <c r="AF217" t="s">
        <v>73</v>
      </c>
      <c r="AG217" s="3"/>
      <c r="AH217" s="3"/>
      <c r="AI217" s="3"/>
      <c r="AJ217" s="3">
        <f t="shared" si="207"/>
        <v>0</v>
      </c>
      <c r="AK217" s="3"/>
      <c r="AL217" s="3"/>
      <c r="AM217" s="3"/>
      <c r="AN217" s="3">
        <f t="shared" si="208"/>
        <v>0</v>
      </c>
      <c r="AO217" s="3"/>
      <c r="AP217" s="3"/>
      <c r="AQ217" s="3"/>
      <c r="AR217" s="3">
        <f t="shared" si="209"/>
        <v>0</v>
      </c>
      <c r="AS217" s="3"/>
      <c r="AT217" s="3"/>
      <c r="AU217" s="3"/>
      <c r="AV217" s="3">
        <f t="shared" si="210"/>
        <v>0</v>
      </c>
      <c r="AW217" s="3"/>
      <c r="AX217" s="3"/>
      <c r="AY217" s="3"/>
      <c r="AZ217" s="3">
        <f t="shared" si="211"/>
        <v>0</v>
      </c>
      <c r="BA217" s="3"/>
      <c r="BB217" s="3"/>
      <c r="BC217" s="3"/>
      <c r="BD217" s="3">
        <f t="shared" si="212"/>
        <v>0</v>
      </c>
      <c r="BE217" s="3">
        <f>$K217*BE$4/$BE$4</f>
        <v>-568.54999999999995</v>
      </c>
      <c r="BF217" s="3">
        <f>$L217*BE$4/$BE$4</f>
        <v>0</v>
      </c>
      <c r="BG217" s="3">
        <f>$M217*BE$4/$BE$4</f>
        <v>0</v>
      </c>
      <c r="BH217" s="3">
        <f t="shared" si="204"/>
        <v>-568.54999999999995</v>
      </c>
      <c r="BI217" s="3"/>
      <c r="BJ217" s="3"/>
      <c r="BK217" s="3"/>
      <c r="BL217" s="3">
        <f t="shared" si="205"/>
        <v>0</v>
      </c>
      <c r="BM217" s="3"/>
      <c r="BN217" s="3"/>
      <c r="BO217" s="3"/>
      <c r="BP217" s="3">
        <f t="shared" si="213"/>
        <v>0</v>
      </c>
      <c r="BQ217" s="3"/>
      <c r="BR217" s="3"/>
      <c r="BS217" s="3"/>
      <c r="BT217" s="3">
        <f t="shared" si="214"/>
        <v>0</v>
      </c>
      <c r="BU217" s="3"/>
      <c r="BV217" s="3"/>
      <c r="BW217" s="3"/>
      <c r="BX217" s="3">
        <f t="shared" si="215"/>
        <v>0</v>
      </c>
      <c r="BY217" s="3"/>
      <c r="BZ217" s="3"/>
      <c r="CA217" s="3"/>
      <c r="CB217" s="3">
        <f t="shared" si="216"/>
        <v>0</v>
      </c>
      <c r="CC217" s="3"/>
      <c r="CD217" s="3"/>
      <c r="CE217" s="3"/>
      <c r="CF217" s="3">
        <f t="shared" si="217"/>
        <v>0</v>
      </c>
      <c r="CG217" s="3"/>
      <c r="CH217" s="3"/>
      <c r="CI217" s="3"/>
      <c r="CJ217" s="3">
        <f t="shared" si="218"/>
        <v>0</v>
      </c>
      <c r="CK217" s="3"/>
      <c r="CL217" s="3"/>
      <c r="CM217" s="3"/>
      <c r="CN217" s="3">
        <f t="shared" si="219"/>
        <v>0</v>
      </c>
      <c r="CO217" s="3"/>
      <c r="CP217" s="3"/>
      <c r="CQ217" s="3"/>
      <c r="CR217" s="3">
        <f t="shared" si="220"/>
        <v>0</v>
      </c>
      <c r="CS217" s="3"/>
      <c r="CT217" s="3"/>
      <c r="CU217" s="3"/>
      <c r="CV217" s="3">
        <f t="shared" si="221"/>
        <v>0</v>
      </c>
      <c r="CW217" s="3"/>
      <c r="CX217" s="3"/>
      <c r="CY217" s="3"/>
      <c r="CZ217" s="3">
        <f t="shared" si="228"/>
        <v>0</v>
      </c>
      <c r="DA217" s="3"/>
      <c r="DB217" s="3"/>
      <c r="DC217" s="3"/>
      <c r="DD217" s="3">
        <f t="shared" si="222"/>
        <v>0</v>
      </c>
      <c r="DE217" s="3"/>
      <c r="DF217" s="3"/>
      <c r="DG217" s="3"/>
      <c r="DH217" s="3">
        <f t="shared" si="223"/>
        <v>0</v>
      </c>
      <c r="DI217" s="3"/>
      <c r="DJ217" s="3"/>
      <c r="DK217" s="3"/>
      <c r="DL217" s="3">
        <f t="shared" si="203"/>
        <v>0</v>
      </c>
      <c r="DM217" s="3"/>
      <c r="DN217" s="3"/>
      <c r="DO217" s="3"/>
      <c r="DP217" s="3">
        <f t="shared" si="224"/>
        <v>0</v>
      </c>
      <c r="DQ217" s="3"/>
      <c r="DR217" s="3"/>
      <c r="DS217" s="3"/>
      <c r="DT217" s="3">
        <f t="shared" si="229"/>
        <v>0</v>
      </c>
      <c r="DU217" s="3"/>
      <c r="DV217" s="3"/>
      <c r="DW217" s="3"/>
      <c r="DX217" s="3">
        <f t="shared" si="225"/>
        <v>0</v>
      </c>
      <c r="DY217" s="3"/>
      <c r="DZ217" s="3"/>
      <c r="EA217" s="3"/>
      <c r="EB217" s="3">
        <f t="shared" si="226"/>
        <v>0</v>
      </c>
      <c r="EC217" s="4">
        <f t="shared" si="206"/>
        <v>-568.54999999999995</v>
      </c>
      <c r="ED217" s="5">
        <f t="shared" si="227"/>
        <v>0</v>
      </c>
      <c r="EE217" s="6">
        <f t="shared" ref="EE217:EG244" si="230">AG217+AK217+AO217+AS217+AW217+BA217+BE217+BI217+BM217+BQ217+BU217+BY217+CC217+CG217+CK217+CO217+CS217+CW217+DA217+DE217+DM217+DQ217+DU217+DY217</f>
        <v>-568.54999999999995</v>
      </c>
      <c r="EF217" s="6">
        <f t="shared" si="230"/>
        <v>0</v>
      </c>
      <c r="EG217" s="6">
        <f t="shared" si="230"/>
        <v>0</v>
      </c>
    </row>
    <row r="218" spans="1:137" ht="12" customHeight="1" x14ac:dyDescent="0.35">
      <c r="A218" s="43" t="s">
        <v>91</v>
      </c>
      <c r="B218" s="43">
        <v>30450</v>
      </c>
      <c r="C218" s="43" t="s">
        <v>92</v>
      </c>
      <c r="D218" s="43" t="s">
        <v>537</v>
      </c>
      <c r="E218" s="43">
        <v>150782</v>
      </c>
      <c r="F218" s="43" t="s">
        <v>806</v>
      </c>
      <c r="G218" s="44">
        <v>45918</v>
      </c>
      <c r="H218" s="44">
        <v>45993</v>
      </c>
      <c r="I218" s="45">
        <v>12</v>
      </c>
      <c r="J218" s="45">
        <v>-20657</v>
      </c>
      <c r="K218" s="45">
        <v>0</v>
      </c>
      <c r="L218" s="45">
        <v>-1239.42</v>
      </c>
      <c r="M218" s="45">
        <v>-1239.42</v>
      </c>
      <c r="N218" s="45">
        <v>-2478.84</v>
      </c>
      <c r="O218" s="45">
        <v>-23135.84</v>
      </c>
      <c r="P218" s="43" t="s">
        <v>95</v>
      </c>
      <c r="Q218" s="43" t="s">
        <v>47</v>
      </c>
      <c r="R218" s="43" t="s">
        <v>112</v>
      </c>
      <c r="S218" s="43" t="s">
        <v>97</v>
      </c>
      <c r="T218" s="43" t="s">
        <v>98</v>
      </c>
      <c r="U218" s="43" t="s">
        <v>99</v>
      </c>
      <c r="V218" s="43">
        <v>996311</v>
      </c>
      <c r="W218" s="43" t="s">
        <v>807</v>
      </c>
      <c r="X218" s="43" t="s">
        <v>101</v>
      </c>
      <c r="Y218" s="43">
        <v>107</v>
      </c>
      <c r="Z218" s="43" t="s">
        <v>102</v>
      </c>
      <c r="AA218" t="s">
        <v>808</v>
      </c>
      <c r="AB218">
        <v>-2478.84</v>
      </c>
      <c r="AC218">
        <v>-2479</v>
      </c>
      <c r="AD218" s="38">
        <v>0</v>
      </c>
      <c r="AE218" t="s">
        <v>104</v>
      </c>
      <c r="AF218" t="s">
        <v>73</v>
      </c>
      <c r="AG218" s="3"/>
      <c r="AH218" s="3"/>
      <c r="AI218" s="3"/>
      <c r="AJ218" s="3">
        <f t="shared" si="207"/>
        <v>0</v>
      </c>
      <c r="AK218" s="3"/>
      <c r="AL218" s="3"/>
      <c r="AM218" s="3"/>
      <c r="AN218" s="3">
        <f t="shared" si="208"/>
        <v>0</v>
      </c>
      <c r="AO218" s="3"/>
      <c r="AP218" s="3"/>
      <c r="AQ218" s="3"/>
      <c r="AR218" s="3">
        <f t="shared" si="209"/>
        <v>0</v>
      </c>
      <c r="AS218" s="3"/>
      <c r="AT218" s="3"/>
      <c r="AU218" s="3"/>
      <c r="AV218" s="3">
        <f t="shared" si="210"/>
        <v>0</v>
      </c>
      <c r="AW218" s="3"/>
      <c r="AX218" s="3"/>
      <c r="AY218" s="3"/>
      <c r="AZ218" s="3">
        <f t="shared" si="211"/>
        <v>0</v>
      </c>
      <c r="BA218" s="3"/>
      <c r="BB218" s="3"/>
      <c r="BC218" s="3"/>
      <c r="BD218" s="3">
        <f t="shared" si="212"/>
        <v>0</v>
      </c>
      <c r="BE218" s="3"/>
      <c r="BF218" s="3"/>
      <c r="BG218" s="3"/>
      <c r="BH218" s="3">
        <f t="shared" si="204"/>
        <v>0</v>
      </c>
      <c r="BI218" s="3"/>
      <c r="BJ218" s="3"/>
      <c r="BK218" s="3"/>
      <c r="BL218" s="3">
        <f t="shared" si="205"/>
        <v>0</v>
      </c>
      <c r="BM218" s="3"/>
      <c r="BN218" s="3"/>
      <c r="BO218" s="3"/>
      <c r="BP218" s="3">
        <f t="shared" si="213"/>
        <v>0</v>
      </c>
      <c r="BQ218" s="3"/>
      <c r="BR218" s="3"/>
      <c r="BS218" s="3"/>
      <c r="BT218" s="3">
        <f t="shared" si="214"/>
        <v>0</v>
      </c>
      <c r="BU218" s="3"/>
      <c r="BV218" s="3"/>
      <c r="BW218" s="3"/>
      <c r="BX218" s="3">
        <f t="shared" si="215"/>
        <v>0</v>
      </c>
      <c r="BY218" s="3"/>
      <c r="BZ218" s="3"/>
      <c r="CA218" s="3"/>
      <c r="CB218" s="3">
        <f t="shared" si="216"/>
        <v>0</v>
      </c>
      <c r="CC218" s="3"/>
      <c r="CD218" s="3"/>
      <c r="CE218" s="3"/>
      <c r="CF218" s="3">
        <f t="shared" si="217"/>
        <v>0</v>
      </c>
      <c r="CG218" s="3"/>
      <c r="CH218" s="3"/>
      <c r="CI218" s="3"/>
      <c r="CJ218" s="3">
        <f t="shared" si="218"/>
        <v>0</v>
      </c>
      <c r="CK218" s="3"/>
      <c r="CL218" s="3"/>
      <c r="CM218" s="3"/>
      <c r="CN218" s="3">
        <f t="shared" si="219"/>
        <v>0</v>
      </c>
      <c r="CO218" s="3"/>
      <c r="CP218" s="3"/>
      <c r="CQ218" s="3"/>
      <c r="CR218" s="3">
        <f t="shared" si="220"/>
        <v>0</v>
      </c>
      <c r="CS218" s="3"/>
      <c r="CT218" s="3"/>
      <c r="CU218" s="3"/>
      <c r="CV218" s="3">
        <f t="shared" si="221"/>
        <v>0</v>
      </c>
      <c r="CW218" s="3">
        <f>SUM($K218:$M218)*CW$4/$CW$4</f>
        <v>-2478.84</v>
      </c>
      <c r="CX218" s="3">
        <v>0</v>
      </c>
      <c r="CY218" s="3">
        <v>0</v>
      </c>
      <c r="CZ218" s="3">
        <f t="shared" si="228"/>
        <v>-2478.84</v>
      </c>
      <c r="DA218" s="3"/>
      <c r="DB218" s="3"/>
      <c r="DC218" s="3"/>
      <c r="DD218" s="3">
        <f t="shared" si="222"/>
        <v>0</v>
      </c>
      <c r="DE218" s="3"/>
      <c r="DF218" s="3"/>
      <c r="DG218" s="3"/>
      <c r="DH218" s="3">
        <f t="shared" si="223"/>
        <v>0</v>
      </c>
      <c r="DI218" s="3"/>
      <c r="DJ218" s="3"/>
      <c r="DK218" s="3"/>
      <c r="DL218" s="3">
        <f t="shared" si="203"/>
        <v>0</v>
      </c>
      <c r="DM218" s="3"/>
      <c r="DN218" s="3"/>
      <c r="DO218" s="3"/>
      <c r="DP218" s="3">
        <f t="shared" si="224"/>
        <v>0</v>
      </c>
      <c r="DQ218" s="3"/>
      <c r="DR218" s="3"/>
      <c r="DS218" s="3"/>
      <c r="DT218" s="3">
        <f t="shared" si="229"/>
        <v>0</v>
      </c>
      <c r="DU218" s="3"/>
      <c r="DV218" s="3"/>
      <c r="DW218" s="3"/>
      <c r="DX218" s="3">
        <f t="shared" si="225"/>
        <v>0</v>
      </c>
      <c r="DY218" s="3"/>
      <c r="DZ218" s="3"/>
      <c r="EA218" s="3"/>
      <c r="EB218" s="3">
        <f t="shared" si="226"/>
        <v>0</v>
      </c>
      <c r="EC218" s="4">
        <f t="shared" si="206"/>
        <v>-2478.84</v>
      </c>
      <c r="ED218" s="5">
        <f t="shared" si="227"/>
        <v>0</v>
      </c>
      <c r="EE218" s="6">
        <f t="shared" si="230"/>
        <v>-2478.84</v>
      </c>
      <c r="EF218" s="6">
        <f t="shared" si="230"/>
        <v>0</v>
      </c>
      <c r="EG218" s="6">
        <f t="shared" si="230"/>
        <v>0</v>
      </c>
    </row>
    <row r="219" spans="1:137" ht="12" customHeight="1" x14ac:dyDescent="0.35">
      <c r="A219" s="43" t="s">
        <v>115</v>
      </c>
      <c r="B219" s="43">
        <v>28324</v>
      </c>
      <c r="C219" s="43" t="s">
        <v>116</v>
      </c>
      <c r="D219" s="43" t="s">
        <v>543</v>
      </c>
      <c r="E219" s="43">
        <v>150783</v>
      </c>
      <c r="F219" s="43" t="s">
        <v>809</v>
      </c>
      <c r="G219" s="44">
        <v>45933</v>
      </c>
      <c r="H219" s="44">
        <v>45993</v>
      </c>
      <c r="I219" s="45">
        <v>12</v>
      </c>
      <c r="J219" s="46">
        <v>26141</v>
      </c>
      <c r="K219" s="46"/>
      <c r="L219" s="46">
        <v>-1568.46</v>
      </c>
      <c r="M219" s="46">
        <v>-1568.46</v>
      </c>
      <c r="N219" s="45">
        <v>3136.92</v>
      </c>
      <c r="O219" s="45">
        <v>29277.919999999998</v>
      </c>
      <c r="P219" s="43" t="s">
        <v>95</v>
      </c>
      <c r="Q219" s="43" t="s">
        <v>52</v>
      </c>
      <c r="R219" s="43" t="s">
        <v>112</v>
      </c>
      <c r="S219" s="43" t="s">
        <v>97</v>
      </c>
      <c r="T219" s="43" t="s">
        <v>98</v>
      </c>
      <c r="U219" s="43" t="s">
        <v>99</v>
      </c>
      <c r="V219" s="43">
        <v>996311</v>
      </c>
      <c r="W219" s="43" t="s">
        <v>810</v>
      </c>
      <c r="X219" s="43" t="s">
        <v>101</v>
      </c>
      <c r="Y219" s="43">
        <v>107</v>
      </c>
      <c r="Z219" s="43" t="s">
        <v>102</v>
      </c>
      <c r="AA219" t="s">
        <v>811</v>
      </c>
      <c r="AB219">
        <v>-3136.92</v>
      </c>
      <c r="AC219">
        <v>-3137</v>
      </c>
      <c r="AD219" s="38">
        <v>0</v>
      </c>
      <c r="AE219" t="s">
        <v>104</v>
      </c>
      <c r="AF219" t="s">
        <v>73</v>
      </c>
      <c r="AG219" s="3"/>
      <c r="AH219" s="3"/>
      <c r="AI219" s="3"/>
      <c r="AJ219" s="3">
        <f t="shared" si="207"/>
        <v>0</v>
      </c>
      <c r="AK219" s="3"/>
      <c r="AL219" s="3"/>
      <c r="AM219" s="3"/>
      <c r="AN219" s="3">
        <f t="shared" si="208"/>
        <v>0</v>
      </c>
      <c r="AO219" s="3"/>
      <c r="AP219" s="3"/>
      <c r="AQ219" s="3"/>
      <c r="AR219" s="3">
        <f t="shared" si="209"/>
        <v>0</v>
      </c>
      <c r="AS219" s="3"/>
      <c r="AT219" s="3"/>
      <c r="AU219" s="3"/>
      <c r="AV219" s="3">
        <f t="shared" si="210"/>
        <v>0</v>
      </c>
      <c r="AW219" s="3"/>
      <c r="AX219" s="3"/>
      <c r="AY219" s="3"/>
      <c r="AZ219" s="3">
        <f t="shared" si="211"/>
        <v>0</v>
      </c>
      <c r="BA219" s="3"/>
      <c r="BB219" s="3"/>
      <c r="BC219" s="3"/>
      <c r="BD219" s="3">
        <f t="shared" si="212"/>
        <v>0</v>
      </c>
      <c r="BE219" s="3"/>
      <c r="BF219" s="3"/>
      <c r="BG219" s="3"/>
      <c r="BH219" s="3">
        <f t="shared" si="204"/>
        <v>0</v>
      </c>
      <c r="BI219" s="3"/>
      <c r="BJ219" s="3"/>
      <c r="BK219" s="3"/>
      <c r="BL219" s="3">
        <f t="shared" si="205"/>
        <v>0</v>
      </c>
      <c r="BM219" s="3"/>
      <c r="BN219" s="3"/>
      <c r="BO219" s="3"/>
      <c r="BP219" s="3">
        <f t="shared" si="213"/>
        <v>0</v>
      </c>
      <c r="BQ219" s="3"/>
      <c r="BR219" s="3"/>
      <c r="BS219" s="3"/>
      <c r="BT219" s="3">
        <f t="shared" si="214"/>
        <v>0</v>
      </c>
      <c r="BU219" s="3"/>
      <c r="BV219" s="3"/>
      <c r="BW219" s="3"/>
      <c r="BX219" s="3">
        <f t="shared" si="215"/>
        <v>0</v>
      </c>
      <c r="BY219" s="3"/>
      <c r="BZ219" s="3"/>
      <c r="CA219" s="3"/>
      <c r="CB219" s="3">
        <f t="shared" si="216"/>
        <v>0</v>
      </c>
      <c r="CC219" s="3"/>
      <c r="CD219" s="3"/>
      <c r="CE219" s="3"/>
      <c r="CF219" s="3">
        <f t="shared" si="217"/>
        <v>0</v>
      </c>
      <c r="CG219" s="3"/>
      <c r="CH219" s="3"/>
      <c r="CI219" s="3"/>
      <c r="CJ219" s="3">
        <f t="shared" si="218"/>
        <v>0</v>
      </c>
      <c r="CK219" s="3"/>
      <c r="CL219" s="3"/>
      <c r="CM219" s="3"/>
      <c r="CN219" s="3">
        <f t="shared" si="219"/>
        <v>0</v>
      </c>
      <c r="CO219" s="3"/>
      <c r="CP219" s="3"/>
      <c r="CQ219" s="3"/>
      <c r="CR219" s="3">
        <f t="shared" si="220"/>
        <v>0</v>
      </c>
      <c r="CS219" s="3"/>
      <c r="CT219" s="3"/>
      <c r="CU219" s="3"/>
      <c r="CV219" s="3">
        <f t="shared" si="221"/>
        <v>0</v>
      </c>
      <c r="CW219" s="3"/>
      <c r="CX219" s="3"/>
      <c r="CY219" s="3"/>
      <c r="CZ219" s="3">
        <f t="shared" si="228"/>
        <v>0</v>
      </c>
      <c r="DA219" s="3"/>
      <c r="DB219" s="3"/>
      <c r="DC219" s="3"/>
      <c r="DD219" s="3">
        <f t="shared" si="222"/>
        <v>0</v>
      </c>
      <c r="DE219" s="3"/>
      <c r="DF219" s="3"/>
      <c r="DG219" s="3"/>
      <c r="DH219" s="3">
        <f t="shared" si="223"/>
        <v>0</v>
      </c>
      <c r="DI219" s="3"/>
      <c r="DJ219" s="3"/>
      <c r="DK219" s="3"/>
      <c r="DL219" s="3">
        <f t="shared" si="203"/>
        <v>0</v>
      </c>
      <c r="DM219" s="3"/>
      <c r="DN219" s="3"/>
      <c r="DO219" s="3"/>
      <c r="DP219" s="3">
        <f t="shared" si="224"/>
        <v>0</v>
      </c>
      <c r="DQ219" s="3">
        <f>SUM($K219:$M219)*DQ$4/$DQ$4</f>
        <v>-3136.92</v>
      </c>
      <c r="DR219" s="3">
        <v>0</v>
      </c>
      <c r="DS219" s="3">
        <v>0</v>
      </c>
      <c r="DT219" s="3">
        <f t="shared" si="229"/>
        <v>-3136.92</v>
      </c>
      <c r="DU219" s="3"/>
      <c r="DV219" s="3"/>
      <c r="DW219" s="3"/>
      <c r="DX219" s="3">
        <f t="shared" si="225"/>
        <v>0</v>
      </c>
      <c r="DY219" s="3"/>
      <c r="DZ219" s="3"/>
      <c r="EA219" s="3"/>
      <c r="EB219" s="3">
        <f t="shared" si="226"/>
        <v>0</v>
      </c>
      <c r="EC219" s="4">
        <f t="shared" si="206"/>
        <v>-3136.92</v>
      </c>
      <c r="ED219" s="5">
        <f t="shared" si="227"/>
        <v>0</v>
      </c>
      <c r="EE219" s="6">
        <f t="shared" si="230"/>
        <v>-3136.92</v>
      </c>
      <c r="EF219" s="6">
        <f t="shared" si="230"/>
        <v>0</v>
      </c>
      <c r="EG219" s="6">
        <f t="shared" si="230"/>
        <v>0</v>
      </c>
    </row>
    <row r="220" spans="1:137" ht="12" customHeight="1" x14ac:dyDescent="0.35">
      <c r="A220" s="43" t="s">
        <v>91</v>
      </c>
      <c r="B220" s="43">
        <v>30450</v>
      </c>
      <c r="C220" s="43" t="s">
        <v>92</v>
      </c>
      <c r="D220" s="43" t="s">
        <v>93</v>
      </c>
      <c r="E220" s="43">
        <v>418801</v>
      </c>
      <c r="F220" s="43" t="s">
        <v>812</v>
      </c>
      <c r="G220" s="44">
        <v>45967</v>
      </c>
      <c r="H220" s="44">
        <v>46003</v>
      </c>
      <c r="I220" s="45">
        <v>5</v>
      </c>
      <c r="J220" s="46">
        <v>-4364</v>
      </c>
      <c r="K220" s="46"/>
      <c r="L220" s="46">
        <v>-109.1</v>
      </c>
      <c r="M220" s="46">
        <v>-109.1</v>
      </c>
      <c r="N220" s="45">
        <v>218.2</v>
      </c>
      <c r="O220" s="45">
        <v>4582.2</v>
      </c>
      <c r="P220" s="43" t="s">
        <v>95</v>
      </c>
      <c r="Q220" s="43" t="s">
        <v>813</v>
      </c>
      <c r="R220" s="43" t="s">
        <v>126</v>
      </c>
      <c r="S220" s="43" t="s">
        <v>97</v>
      </c>
      <c r="T220" s="43" t="s">
        <v>98</v>
      </c>
      <c r="U220" s="43" t="s">
        <v>99</v>
      </c>
      <c r="V220" s="43">
        <v>996311</v>
      </c>
      <c r="W220" s="43" t="s">
        <v>814</v>
      </c>
      <c r="X220" s="43" t="s">
        <v>101</v>
      </c>
      <c r="Y220" s="43">
        <v>107</v>
      </c>
      <c r="Z220" s="43" t="s">
        <v>102</v>
      </c>
      <c r="AA220" t="s">
        <v>815</v>
      </c>
      <c r="AB220">
        <v>-218.2</v>
      </c>
      <c r="AC220">
        <v>-219</v>
      </c>
      <c r="AD220" s="38">
        <v>1</v>
      </c>
      <c r="AE220" t="s">
        <v>104</v>
      </c>
      <c r="AF220" t="s">
        <v>73</v>
      </c>
      <c r="AG220" s="3">
        <f>SUM($K220:$M220)*AG$4/$AG$4</f>
        <v>-218.20000000000002</v>
      </c>
      <c r="AH220" s="3">
        <v>0</v>
      </c>
      <c r="AI220" s="3">
        <v>0</v>
      </c>
      <c r="AJ220" s="3">
        <f t="shared" si="207"/>
        <v>-218.20000000000002</v>
      </c>
      <c r="AK220" s="3"/>
      <c r="AL220" s="3"/>
      <c r="AM220" s="3"/>
      <c r="AN220" s="3">
        <f t="shared" si="208"/>
        <v>0</v>
      </c>
      <c r="AO220" s="3"/>
      <c r="AP220" s="3"/>
      <c r="AQ220" s="3"/>
      <c r="AR220" s="3">
        <f t="shared" si="209"/>
        <v>0</v>
      </c>
      <c r="AS220" s="3"/>
      <c r="AT220" s="3"/>
      <c r="AU220" s="3"/>
      <c r="AV220" s="3">
        <f t="shared" si="210"/>
        <v>0</v>
      </c>
      <c r="AW220" s="3"/>
      <c r="AX220" s="3"/>
      <c r="AY220" s="3"/>
      <c r="AZ220" s="3">
        <f t="shared" si="211"/>
        <v>0</v>
      </c>
      <c r="BA220" s="3"/>
      <c r="BB220" s="3"/>
      <c r="BC220" s="3"/>
      <c r="BD220" s="3">
        <f t="shared" si="212"/>
        <v>0</v>
      </c>
      <c r="BE220" s="3"/>
      <c r="BF220" s="3"/>
      <c r="BG220" s="3"/>
      <c r="BH220" s="3">
        <f t="shared" si="204"/>
        <v>0</v>
      </c>
      <c r="BI220" s="3"/>
      <c r="BJ220" s="3"/>
      <c r="BK220" s="3"/>
      <c r="BL220" s="3">
        <f t="shared" si="205"/>
        <v>0</v>
      </c>
      <c r="BM220" s="3"/>
      <c r="BN220" s="3"/>
      <c r="BO220" s="3"/>
      <c r="BP220" s="3">
        <f t="shared" si="213"/>
        <v>0</v>
      </c>
      <c r="BQ220" s="3"/>
      <c r="BR220" s="3"/>
      <c r="BS220" s="3"/>
      <c r="BT220" s="3">
        <f t="shared" si="214"/>
        <v>0</v>
      </c>
      <c r="BU220" s="3"/>
      <c r="BV220" s="3"/>
      <c r="BW220" s="3"/>
      <c r="BX220" s="3">
        <f t="shared" si="215"/>
        <v>0</v>
      </c>
      <c r="BY220" s="3"/>
      <c r="BZ220" s="3"/>
      <c r="CA220" s="3"/>
      <c r="CB220" s="3">
        <f t="shared" si="216"/>
        <v>0</v>
      </c>
      <c r="CC220" s="3"/>
      <c r="CD220" s="3"/>
      <c r="CE220" s="3"/>
      <c r="CF220" s="3">
        <f t="shared" si="217"/>
        <v>0</v>
      </c>
      <c r="CG220" s="3"/>
      <c r="CH220" s="3"/>
      <c r="CI220" s="3"/>
      <c r="CJ220" s="3">
        <f t="shared" si="218"/>
        <v>0</v>
      </c>
      <c r="CK220" s="3"/>
      <c r="CL220" s="3"/>
      <c r="CM220" s="3"/>
      <c r="CN220" s="3">
        <f t="shared" si="219"/>
        <v>0</v>
      </c>
      <c r="CO220" s="3"/>
      <c r="CP220" s="3"/>
      <c r="CQ220" s="3"/>
      <c r="CR220" s="3">
        <f t="shared" si="220"/>
        <v>0</v>
      </c>
      <c r="CS220" s="3"/>
      <c r="CT220" s="3"/>
      <c r="CU220" s="3"/>
      <c r="CV220" s="3">
        <f t="shared" si="221"/>
        <v>0</v>
      </c>
      <c r="CW220" s="3"/>
      <c r="CX220" s="3"/>
      <c r="CY220" s="3"/>
      <c r="CZ220" s="3">
        <f t="shared" si="228"/>
        <v>0</v>
      </c>
      <c r="DA220" s="3"/>
      <c r="DB220" s="3"/>
      <c r="DC220" s="3"/>
      <c r="DD220" s="3">
        <f t="shared" si="222"/>
        <v>0</v>
      </c>
      <c r="DE220" s="3"/>
      <c r="DF220" s="3"/>
      <c r="DG220" s="3"/>
      <c r="DH220" s="3">
        <f t="shared" si="223"/>
        <v>0</v>
      </c>
      <c r="DI220" s="3"/>
      <c r="DJ220" s="3"/>
      <c r="DK220" s="3"/>
      <c r="DL220" s="3">
        <f t="shared" si="203"/>
        <v>0</v>
      </c>
      <c r="DM220" s="3"/>
      <c r="DN220" s="3"/>
      <c r="DO220" s="3"/>
      <c r="DP220" s="3">
        <f t="shared" si="224"/>
        <v>0</v>
      </c>
      <c r="DQ220" s="3"/>
      <c r="DR220" s="3"/>
      <c r="DS220" s="3"/>
      <c r="DT220" s="3">
        <f t="shared" si="229"/>
        <v>0</v>
      </c>
      <c r="DU220" s="3"/>
      <c r="DV220" s="3"/>
      <c r="DW220" s="3"/>
      <c r="DX220" s="3">
        <f t="shared" si="225"/>
        <v>0</v>
      </c>
      <c r="DY220" s="3"/>
      <c r="DZ220" s="3"/>
      <c r="EA220" s="3"/>
      <c r="EB220" s="3">
        <f t="shared" si="226"/>
        <v>0</v>
      </c>
      <c r="EC220" s="4">
        <f t="shared" si="206"/>
        <v>-218.20000000000002</v>
      </c>
      <c r="ED220" s="5">
        <f t="shared" si="227"/>
        <v>0</v>
      </c>
      <c r="EE220" s="6">
        <f t="shared" si="230"/>
        <v>-218.20000000000002</v>
      </c>
      <c r="EF220" s="6">
        <f t="shared" si="230"/>
        <v>0</v>
      </c>
      <c r="EG220" s="6">
        <f t="shared" si="230"/>
        <v>0</v>
      </c>
    </row>
    <row r="221" spans="1:137" ht="12" customHeight="1" x14ac:dyDescent="0.35">
      <c r="A221" s="43" t="s">
        <v>91</v>
      </c>
      <c r="B221" s="43">
        <v>30450</v>
      </c>
      <c r="C221" s="43" t="s">
        <v>816</v>
      </c>
      <c r="D221" s="43" t="s">
        <v>110</v>
      </c>
      <c r="E221" s="43">
        <v>150781</v>
      </c>
      <c r="F221" s="43" t="s">
        <v>817</v>
      </c>
      <c r="G221" s="44">
        <v>45959</v>
      </c>
      <c r="H221" s="44">
        <v>45993</v>
      </c>
      <c r="I221" s="45">
        <v>5</v>
      </c>
      <c r="J221" s="46">
        <v>-5069</v>
      </c>
      <c r="K221" s="46">
        <v>-253.45</v>
      </c>
      <c r="L221" s="45"/>
      <c r="M221" s="45"/>
      <c r="N221" s="45">
        <v>253.45</v>
      </c>
      <c r="O221" s="45">
        <v>5322.45</v>
      </c>
      <c r="P221" s="43" t="s">
        <v>95</v>
      </c>
      <c r="Q221" s="43" t="s">
        <v>36</v>
      </c>
      <c r="R221" s="43" t="s">
        <v>112</v>
      </c>
      <c r="S221" s="43" t="s">
        <v>97</v>
      </c>
      <c r="T221" s="43" t="s">
        <v>98</v>
      </c>
      <c r="U221" s="43" t="s">
        <v>99</v>
      </c>
      <c r="V221" s="43">
        <v>996311</v>
      </c>
      <c r="W221" s="43" t="s">
        <v>818</v>
      </c>
      <c r="X221" s="43" t="s">
        <v>101</v>
      </c>
      <c r="Y221" s="43">
        <v>107</v>
      </c>
      <c r="Z221" s="43" t="s">
        <v>102</v>
      </c>
      <c r="AA221" t="s">
        <v>819</v>
      </c>
      <c r="AB221">
        <v>-253.45</v>
      </c>
      <c r="AC221">
        <v>-253</v>
      </c>
      <c r="AD221" s="38">
        <v>0</v>
      </c>
      <c r="AE221" t="s">
        <v>104</v>
      </c>
      <c r="AF221" t="s">
        <v>73</v>
      </c>
      <c r="AG221" s="3"/>
      <c r="AH221" s="3"/>
      <c r="AI221" s="3"/>
      <c r="AJ221" s="3">
        <f t="shared" si="207"/>
        <v>0</v>
      </c>
      <c r="AK221" s="3"/>
      <c r="AL221" s="3"/>
      <c r="AM221" s="3"/>
      <c r="AN221" s="3">
        <f t="shared" si="208"/>
        <v>0</v>
      </c>
      <c r="AO221" s="3"/>
      <c r="AP221" s="3"/>
      <c r="AQ221" s="3"/>
      <c r="AR221" s="3">
        <f t="shared" si="209"/>
        <v>0</v>
      </c>
      <c r="AS221" s="3"/>
      <c r="AT221" s="3"/>
      <c r="AU221" s="3"/>
      <c r="AV221" s="3">
        <f t="shared" si="210"/>
        <v>0</v>
      </c>
      <c r="AW221" s="3"/>
      <c r="AX221" s="3"/>
      <c r="AY221" s="3"/>
      <c r="AZ221" s="3">
        <f t="shared" si="211"/>
        <v>0</v>
      </c>
      <c r="BA221" s="3"/>
      <c r="BB221" s="3"/>
      <c r="BC221" s="3"/>
      <c r="BD221" s="3">
        <f t="shared" si="212"/>
        <v>0</v>
      </c>
      <c r="BE221" s="3">
        <f>$K221*BE$4/$BE$4</f>
        <v>-253.45</v>
      </c>
      <c r="BF221" s="3">
        <f>$L221*BE$4/$BE$4</f>
        <v>0</v>
      </c>
      <c r="BG221" s="3">
        <f>$M221*BE$4/$BE$4</f>
        <v>0</v>
      </c>
      <c r="BH221" s="3">
        <f t="shared" si="204"/>
        <v>-253.45</v>
      </c>
      <c r="BI221" s="3"/>
      <c r="BJ221" s="3"/>
      <c r="BK221" s="3"/>
      <c r="BL221" s="3">
        <f t="shared" si="205"/>
        <v>0</v>
      </c>
      <c r="BM221" s="3"/>
      <c r="BN221" s="3"/>
      <c r="BO221" s="3"/>
      <c r="BP221" s="3">
        <f t="shared" si="213"/>
        <v>0</v>
      </c>
      <c r="BQ221" s="3"/>
      <c r="BR221" s="3"/>
      <c r="BS221" s="3"/>
      <c r="BT221" s="3">
        <f t="shared" si="214"/>
        <v>0</v>
      </c>
      <c r="BU221" s="3"/>
      <c r="BV221" s="3"/>
      <c r="BW221" s="3"/>
      <c r="BX221" s="3">
        <f t="shared" si="215"/>
        <v>0</v>
      </c>
      <c r="BY221" s="3"/>
      <c r="BZ221" s="3"/>
      <c r="CA221" s="3"/>
      <c r="CB221" s="3">
        <f t="shared" si="216"/>
        <v>0</v>
      </c>
      <c r="CC221" s="3"/>
      <c r="CD221" s="3"/>
      <c r="CE221" s="3"/>
      <c r="CF221" s="3">
        <f t="shared" si="217"/>
        <v>0</v>
      </c>
      <c r="CG221" s="3"/>
      <c r="CH221" s="3"/>
      <c r="CI221" s="3"/>
      <c r="CJ221" s="3">
        <f t="shared" si="218"/>
        <v>0</v>
      </c>
      <c r="CK221" s="3"/>
      <c r="CL221" s="3"/>
      <c r="CM221" s="3"/>
      <c r="CN221" s="3">
        <f t="shared" si="219"/>
        <v>0</v>
      </c>
      <c r="CO221" s="3"/>
      <c r="CP221" s="3"/>
      <c r="CQ221" s="3"/>
      <c r="CR221" s="3">
        <f t="shared" si="220"/>
        <v>0</v>
      </c>
      <c r="CS221" s="3"/>
      <c r="CT221" s="3"/>
      <c r="CU221" s="3"/>
      <c r="CV221" s="3">
        <f t="shared" si="221"/>
        <v>0</v>
      </c>
      <c r="CW221" s="3"/>
      <c r="CX221" s="3"/>
      <c r="CY221" s="3"/>
      <c r="CZ221" s="3">
        <f t="shared" si="228"/>
        <v>0</v>
      </c>
      <c r="DA221" s="3"/>
      <c r="DB221" s="3"/>
      <c r="DC221" s="3"/>
      <c r="DD221" s="3">
        <f t="shared" si="222"/>
        <v>0</v>
      </c>
      <c r="DE221" s="3"/>
      <c r="DF221" s="3"/>
      <c r="DG221" s="3"/>
      <c r="DH221" s="3">
        <f t="shared" si="223"/>
        <v>0</v>
      </c>
      <c r="DI221" s="3"/>
      <c r="DJ221" s="3"/>
      <c r="DK221" s="3"/>
      <c r="DL221" s="3">
        <f t="shared" si="203"/>
        <v>0</v>
      </c>
      <c r="DM221" s="3"/>
      <c r="DN221" s="3"/>
      <c r="DO221" s="3"/>
      <c r="DP221" s="3">
        <f t="shared" si="224"/>
        <v>0</v>
      </c>
      <c r="DQ221" s="3"/>
      <c r="DR221" s="3"/>
      <c r="DS221" s="3"/>
      <c r="DT221" s="3">
        <f t="shared" si="229"/>
        <v>0</v>
      </c>
      <c r="DU221" s="3"/>
      <c r="DV221" s="3"/>
      <c r="DW221" s="3"/>
      <c r="DX221" s="3">
        <f t="shared" si="225"/>
        <v>0</v>
      </c>
      <c r="DY221" s="3"/>
      <c r="DZ221" s="3"/>
      <c r="EA221" s="3"/>
      <c r="EB221" s="3">
        <f t="shared" si="226"/>
        <v>0</v>
      </c>
      <c r="EC221" s="4">
        <f t="shared" si="206"/>
        <v>-253.45</v>
      </c>
      <c r="ED221" s="5">
        <f t="shared" si="227"/>
        <v>0</v>
      </c>
      <c r="EE221" s="6">
        <f t="shared" si="230"/>
        <v>-253.45</v>
      </c>
      <c r="EF221" s="6">
        <f t="shared" si="230"/>
        <v>0</v>
      </c>
      <c r="EG221" s="6">
        <f t="shared" si="230"/>
        <v>0</v>
      </c>
    </row>
    <row r="222" spans="1:137" ht="12" customHeight="1" x14ac:dyDescent="0.35">
      <c r="A222" s="43" t="s">
        <v>91</v>
      </c>
      <c r="B222" s="43">
        <v>30450</v>
      </c>
      <c r="C222" s="43" t="s">
        <v>820</v>
      </c>
      <c r="D222" s="43" t="s">
        <v>110</v>
      </c>
      <c r="E222" s="43">
        <v>150781</v>
      </c>
      <c r="F222" s="43" t="s">
        <v>821</v>
      </c>
      <c r="G222" s="44">
        <v>45875</v>
      </c>
      <c r="H222" s="44">
        <v>45993</v>
      </c>
      <c r="I222" s="45">
        <v>5</v>
      </c>
      <c r="J222" s="46">
        <v>-4664</v>
      </c>
      <c r="K222" s="46">
        <v>-233.2</v>
      </c>
      <c r="L222" s="45"/>
      <c r="M222" s="45"/>
      <c r="N222" s="45">
        <v>233.2</v>
      </c>
      <c r="O222" s="45">
        <v>4897.2</v>
      </c>
      <c r="P222" s="43" t="s">
        <v>95</v>
      </c>
      <c r="Q222" s="43" t="s">
        <v>36</v>
      </c>
      <c r="R222" s="43" t="s">
        <v>112</v>
      </c>
      <c r="S222" s="43" t="s">
        <v>97</v>
      </c>
      <c r="T222" s="43" t="s">
        <v>98</v>
      </c>
      <c r="U222" s="43" t="s">
        <v>99</v>
      </c>
      <c r="V222" s="43">
        <v>996311</v>
      </c>
      <c r="W222" s="43" t="s">
        <v>822</v>
      </c>
      <c r="X222" s="43" t="s">
        <v>101</v>
      </c>
      <c r="Y222" s="43">
        <v>107</v>
      </c>
      <c r="Z222" s="43" t="s">
        <v>102</v>
      </c>
      <c r="AA222" t="s">
        <v>823</v>
      </c>
      <c r="AB222">
        <v>-233.2</v>
      </c>
      <c r="AC222">
        <v>-233</v>
      </c>
      <c r="AD222" s="38">
        <v>0</v>
      </c>
      <c r="AE222" t="s">
        <v>104</v>
      </c>
      <c r="AF222" t="s">
        <v>73</v>
      </c>
      <c r="AG222" s="3"/>
      <c r="AH222" s="3"/>
      <c r="AI222" s="3"/>
      <c r="AJ222" s="3">
        <f t="shared" si="207"/>
        <v>0</v>
      </c>
      <c r="AK222" s="3"/>
      <c r="AL222" s="3"/>
      <c r="AM222" s="3"/>
      <c r="AN222" s="3">
        <f t="shared" si="208"/>
        <v>0</v>
      </c>
      <c r="AO222" s="3"/>
      <c r="AP222" s="3"/>
      <c r="AQ222" s="3"/>
      <c r="AR222" s="3">
        <f t="shared" si="209"/>
        <v>0</v>
      </c>
      <c r="AS222" s="3"/>
      <c r="AT222" s="3"/>
      <c r="AU222" s="3"/>
      <c r="AV222" s="3">
        <f t="shared" si="210"/>
        <v>0</v>
      </c>
      <c r="AW222" s="3"/>
      <c r="AX222" s="3"/>
      <c r="AY222" s="3"/>
      <c r="AZ222" s="3">
        <f t="shared" si="211"/>
        <v>0</v>
      </c>
      <c r="BA222" s="3"/>
      <c r="BB222" s="3"/>
      <c r="BC222" s="3"/>
      <c r="BD222" s="3">
        <f t="shared" si="212"/>
        <v>0</v>
      </c>
      <c r="BE222" s="3">
        <f>$K222*BE$4/$BE$4</f>
        <v>-233.2</v>
      </c>
      <c r="BF222" s="3">
        <f>$L222*BE$4/$BE$4</f>
        <v>0</v>
      </c>
      <c r="BG222" s="3">
        <f>$M222*BE$4/$BE$4</f>
        <v>0</v>
      </c>
      <c r="BH222" s="3">
        <f t="shared" si="204"/>
        <v>-233.2</v>
      </c>
      <c r="BI222" s="3"/>
      <c r="BJ222" s="3"/>
      <c r="BK222" s="3"/>
      <c r="BL222" s="3">
        <f t="shared" si="205"/>
        <v>0</v>
      </c>
      <c r="BM222" s="3"/>
      <c r="BN222" s="3"/>
      <c r="BO222" s="3"/>
      <c r="BP222" s="3">
        <f t="shared" si="213"/>
        <v>0</v>
      </c>
      <c r="BQ222" s="3"/>
      <c r="BR222" s="3"/>
      <c r="BS222" s="3"/>
      <c r="BT222" s="3">
        <f t="shared" si="214"/>
        <v>0</v>
      </c>
      <c r="BU222" s="3"/>
      <c r="BV222" s="3"/>
      <c r="BW222" s="3"/>
      <c r="BX222" s="3">
        <f t="shared" si="215"/>
        <v>0</v>
      </c>
      <c r="BY222" s="3"/>
      <c r="BZ222" s="3"/>
      <c r="CA222" s="3"/>
      <c r="CB222" s="3">
        <f t="shared" si="216"/>
        <v>0</v>
      </c>
      <c r="CC222" s="3"/>
      <c r="CD222" s="3"/>
      <c r="CE222" s="3"/>
      <c r="CF222" s="3">
        <f t="shared" si="217"/>
        <v>0</v>
      </c>
      <c r="CG222" s="3"/>
      <c r="CH222" s="3"/>
      <c r="CI222" s="3"/>
      <c r="CJ222" s="3">
        <f t="shared" si="218"/>
        <v>0</v>
      </c>
      <c r="CK222" s="3"/>
      <c r="CL222" s="3"/>
      <c r="CM222" s="3"/>
      <c r="CN222" s="3">
        <f t="shared" si="219"/>
        <v>0</v>
      </c>
      <c r="CO222" s="3"/>
      <c r="CP222" s="3"/>
      <c r="CQ222" s="3"/>
      <c r="CR222" s="3">
        <f t="shared" si="220"/>
        <v>0</v>
      </c>
      <c r="CS222" s="3"/>
      <c r="CT222" s="3"/>
      <c r="CU222" s="3"/>
      <c r="CV222" s="3">
        <f t="shared" si="221"/>
        <v>0</v>
      </c>
      <c r="CW222" s="3"/>
      <c r="CX222" s="3"/>
      <c r="CY222" s="3"/>
      <c r="CZ222" s="3">
        <f t="shared" si="228"/>
        <v>0</v>
      </c>
      <c r="DA222" s="3"/>
      <c r="DB222" s="3"/>
      <c r="DC222" s="3"/>
      <c r="DD222" s="3">
        <f t="shared" si="222"/>
        <v>0</v>
      </c>
      <c r="DE222" s="3"/>
      <c r="DF222" s="3"/>
      <c r="DG222" s="3"/>
      <c r="DH222" s="3">
        <f t="shared" si="223"/>
        <v>0</v>
      </c>
      <c r="DI222" s="3"/>
      <c r="DJ222" s="3"/>
      <c r="DK222" s="3"/>
      <c r="DL222" s="3">
        <f t="shared" si="203"/>
        <v>0</v>
      </c>
      <c r="DM222" s="3"/>
      <c r="DN222" s="3"/>
      <c r="DO222" s="3"/>
      <c r="DP222" s="3">
        <f t="shared" si="224"/>
        <v>0</v>
      </c>
      <c r="DQ222" s="3"/>
      <c r="DR222" s="3"/>
      <c r="DS222" s="3"/>
      <c r="DT222" s="3">
        <f t="shared" si="229"/>
        <v>0</v>
      </c>
      <c r="DU222" s="3"/>
      <c r="DV222" s="3"/>
      <c r="DW222" s="3"/>
      <c r="DX222" s="3">
        <f t="shared" si="225"/>
        <v>0</v>
      </c>
      <c r="DY222" s="3"/>
      <c r="DZ222" s="3"/>
      <c r="EA222" s="3"/>
      <c r="EB222" s="3">
        <f t="shared" si="226"/>
        <v>0</v>
      </c>
      <c r="EC222" s="4">
        <f t="shared" si="206"/>
        <v>-233.2</v>
      </c>
      <c r="ED222" s="5">
        <f t="shared" si="227"/>
        <v>0</v>
      </c>
      <c r="EE222" s="6">
        <f t="shared" si="230"/>
        <v>-233.2</v>
      </c>
      <c r="EF222" s="6">
        <f t="shared" si="230"/>
        <v>0</v>
      </c>
      <c r="EG222" s="6">
        <f t="shared" si="230"/>
        <v>0</v>
      </c>
    </row>
    <row r="223" spans="1:137" ht="12" customHeight="1" x14ac:dyDescent="0.35">
      <c r="A223" s="43" t="s">
        <v>91</v>
      </c>
      <c r="B223" s="43">
        <v>30450</v>
      </c>
      <c r="C223" s="43" t="s">
        <v>816</v>
      </c>
      <c r="D223" s="43" t="s">
        <v>110</v>
      </c>
      <c r="E223" s="43">
        <v>150781</v>
      </c>
      <c r="F223" s="43" t="s">
        <v>824</v>
      </c>
      <c r="G223" s="44">
        <v>45958</v>
      </c>
      <c r="H223" s="44">
        <v>45993</v>
      </c>
      <c r="I223" s="45">
        <v>5</v>
      </c>
      <c r="J223" s="46">
        <v>-5831</v>
      </c>
      <c r="K223" s="46">
        <v>-291.55</v>
      </c>
      <c r="L223" s="45"/>
      <c r="M223" s="45"/>
      <c r="N223" s="45">
        <v>291.55</v>
      </c>
      <c r="O223" s="45">
        <v>6122.55</v>
      </c>
      <c r="P223" s="43" t="s">
        <v>95</v>
      </c>
      <c r="Q223" s="43" t="s">
        <v>36</v>
      </c>
      <c r="R223" s="43" t="s">
        <v>112</v>
      </c>
      <c r="S223" s="43" t="s">
        <v>97</v>
      </c>
      <c r="T223" s="43" t="s">
        <v>98</v>
      </c>
      <c r="U223" s="43" t="s">
        <v>99</v>
      </c>
      <c r="V223" s="43">
        <v>996311</v>
      </c>
      <c r="W223" s="43" t="s">
        <v>825</v>
      </c>
      <c r="X223" s="43" t="s">
        <v>101</v>
      </c>
      <c r="Y223" s="43">
        <v>107</v>
      </c>
      <c r="Z223" s="43" t="s">
        <v>102</v>
      </c>
      <c r="AA223" t="s">
        <v>826</v>
      </c>
      <c r="AB223">
        <v>-291.55</v>
      </c>
      <c r="AC223">
        <v>-291</v>
      </c>
      <c r="AD223" s="38">
        <v>-1</v>
      </c>
      <c r="AE223" t="s">
        <v>104</v>
      </c>
      <c r="AF223" t="s">
        <v>73</v>
      </c>
      <c r="AG223" s="3"/>
      <c r="AH223" s="3"/>
      <c r="AI223" s="3"/>
      <c r="AJ223" s="3">
        <f t="shared" si="207"/>
        <v>0</v>
      </c>
      <c r="AK223" s="3"/>
      <c r="AL223" s="3"/>
      <c r="AM223" s="3"/>
      <c r="AN223" s="3">
        <f t="shared" si="208"/>
        <v>0</v>
      </c>
      <c r="AO223" s="3"/>
      <c r="AP223" s="3"/>
      <c r="AQ223" s="3"/>
      <c r="AR223" s="3">
        <f t="shared" si="209"/>
        <v>0</v>
      </c>
      <c r="AS223" s="3"/>
      <c r="AT223" s="3"/>
      <c r="AU223" s="3"/>
      <c r="AV223" s="3">
        <f t="shared" si="210"/>
        <v>0</v>
      </c>
      <c r="AW223" s="3"/>
      <c r="AX223" s="3"/>
      <c r="AY223" s="3"/>
      <c r="AZ223" s="3">
        <f t="shared" si="211"/>
        <v>0</v>
      </c>
      <c r="BA223" s="3"/>
      <c r="BB223" s="3"/>
      <c r="BC223" s="3"/>
      <c r="BD223" s="3">
        <f t="shared" si="212"/>
        <v>0</v>
      </c>
      <c r="BE223" s="3">
        <f>$K223*BE$4/$BE$4</f>
        <v>-291.55</v>
      </c>
      <c r="BF223" s="3">
        <f>$L223*BE$4/$BE$4</f>
        <v>0</v>
      </c>
      <c r="BG223" s="3">
        <f>$M223*BE$4/$BE$4</f>
        <v>0</v>
      </c>
      <c r="BH223" s="3">
        <f t="shared" si="204"/>
        <v>-291.55</v>
      </c>
      <c r="BI223" s="3"/>
      <c r="BJ223" s="3"/>
      <c r="BK223" s="3"/>
      <c r="BL223" s="3">
        <f t="shared" si="205"/>
        <v>0</v>
      </c>
      <c r="BM223" s="3"/>
      <c r="BN223" s="3"/>
      <c r="BO223" s="3"/>
      <c r="BP223" s="3">
        <f t="shared" si="213"/>
        <v>0</v>
      </c>
      <c r="BQ223" s="3"/>
      <c r="BR223" s="3"/>
      <c r="BS223" s="3"/>
      <c r="BT223" s="3">
        <f t="shared" si="214"/>
        <v>0</v>
      </c>
      <c r="BU223" s="3"/>
      <c r="BV223" s="3"/>
      <c r="BW223" s="3"/>
      <c r="BX223" s="3">
        <f t="shared" si="215"/>
        <v>0</v>
      </c>
      <c r="BY223" s="3"/>
      <c r="BZ223" s="3"/>
      <c r="CA223" s="3"/>
      <c r="CB223" s="3">
        <f t="shared" si="216"/>
        <v>0</v>
      </c>
      <c r="CC223" s="3"/>
      <c r="CD223" s="3"/>
      <c r="CE223" s="3"/>
      <c r="CF223" s="3">
        <f t="shared" si="217"/>
        <v>0</v>
      </c>
      <c r="CG223" s="3"/>
      <c r="CH223" s="3"/>
      <c r="CI223" s="3"/>
      <c r="CJ223" s="3">
        <f t="shared" si="218"/>
        <v>0</v>
      </c>
      <c r="CK223" s="3"/>
      <c r="CL223" s="3"/>
      <c r="CM223" s="3"/>
      <c r="CN223" s="3">
        <f t="shared" si="219"/>
        <v>0</v>
      </c>
      <c r="CO223" s="3"/>
      <c r="CP223" s="3"/>
      <c r="CQ223" s="3"/>
      <c r="CR223" s="3">
        <f t="shared" si="220"/>
        <v>0</v>
      </c>
      <c r="CS223" s="3"/>
      <c r="CT223" s="3"/>
      <c r="CU223" s="3"/>
      <c r="CV223" s="3">
        <f t="shared" si="221"/>
        <v>0</v>
      </c>
      <c r="CW223" s="3"/>
      <c r="CX223" s="3"/>
      <c r="CY223" s="3"/>
      <c r="CZ223" s="3">
        <f t="shared" si="228"/>
        <v>0</v>
      </c>
      <c r="DA223" s="3"/>
      <c r="DB223" s="3"/>
      <c r="DC223" s="3"/>
      <c r="DD223" s="3">
        <f t="shared" si="222"/>
        <v>0</v>
      </c>
      <c r="DE223" s="3"/>
      <c r="DF223" s="3"/>
      <c r="DG223" s="3"/>
      <c r="DH223" s="3">
        <f t="shared" si="223"/>
        <v>0</v>
      </c>
      <c r="DI223" s="3"/>
      <c r="DJ223" s="3"/>
      <c r="DK223" s="3"/>
      <c r="DL223" s="3">
        <f t="shared" si="203"/>
        <v>0</v>
      </c>
      <c r="DM223" s="3"/>
      <c r="DN223" s="3"/>
      <c r="DO223" s="3"/>
      <c r="DP223" s="3">
        <f t="shared" si="224"/>
        <v>0</v>
      </c>
      <c r="DQ223" s="3"/>
      <c r="DR223" s="3"/>
      <c r="DS223" s="3"/>
      <c r="DT223" s="3">
        <f t="shared" si="229"/>
        <v>0</v>
      </c>
      <c r="DU223" s="3"/>
      <c r="DV223" s="3"/>
      <c r="DW223" s="3"/>
      <c r="DX223" s="3">
        <f t="shared" si="225"/>
        <v>0</v>
      </c>
      <c r="DY223" s="3"/>
      <c r="DZ223" s="3"/>
      <c r="EA223" s="3"/>
      <c r="EB223" s="3">
        <f t="shared" si="226"/>
        <v>0</v>
      </c>
      <c r="EC223" s="4">
        <f t="shared" si="206"/>
        <v>-291.55</v>
      </c>
      <c r="ED223" s="5">
        <f t="shared" si="227"/>
        <v>0</v>
      </c>
      <c r="EE223" s="6">
        <f t="shared" si="230"/>
        <v>-291.55</v>
      </c>
      <c r="EF223" s="6">
        <f t="shared" si="230"/>
        <v>0</v>
      </c>
      <c r="EG223" s="6">
        <f t="shared" si="230"/>
        <v>0</v>
      </c>
    </row>
    <row r="224" spans="1:137" ht="12" customHeight="1" x14ac:dyDescent="0.35">
      <c r="A224" s="43" t="s">
        <v>91</v>
      </c>
      <c r="B224" s="43">
        <v>30450</v>
      </c>
      <c r="C224" s="43" t="s">
        <v>92</v>
      </c>
      <c r="D224" s="43" t="s">
        <v>93</v>
      </c>
      <c r="E224" s="43">
        <v>418801</v>
      </c>
      <c r="F224" s="43" t="s">
        <v>827</v>
      </c>
      <c r="G224" s="44">
        <v>45936</v>
      </c>
      <c r="H224" s="44">
        <v>46003</v>
      </c>
      <c r="I224" s="45">
        <v>5</v>
      </c>
      <c r="J224" s="45">
        <v>9586</v>
      </c>
      <c r="K224" s="46"/>
      <c r="L224" s="45">
        <v>239.65</v>
      </c>
      <c r="M224" s="45">
        <v>239.65</v>
      </c>
      <c r="N224" s="45">
        <v>479.3</v>
      </c>
      <c r="O224" s="45">
        <v>10065.299999999999</v>
      </c>
      <c r="P224" s="43" t="s">
        <v>95</v>
      </c>
      <c r="Q224" s="43" t="s">
        <v>813</v>
      </c>
      <c r="R224" s="43" t="s">
        <v>139</v>
      </c>
      <c r="S224" s="43" t="s">
        <v>97</v>
      </c>
      <c r="T224" s="43" t="s">
        <v>98</v>
      </c>
      <c r="U224" s="43" t="s">
        <v>99</v>
      </c>
      <c r="V224" s="43">
        <v>996311</v>
      </c>
      <c r="W224" s="43" t="s">
        <v>828</v>
      </c>
      <c r="X224" s="43" t="s">
        <v>101</v>
      </c>
      <c r="Y224" s="43">
        <v>107</v>
      </c>
      <c r="Z224" s="43" t="s">
        <v>102</v>
      </c>
      <c r="AA224" t="s">
        <v>829</v>
      </c>
      <c r="AB224">
        <v>479.3</v>
      </c>
      <c r="AC224">
        <v>456</v>
      </c>
      <c r="AD224" s="38">
        <v>23</v>
      </c>
      <c r="AE224" t="s">
        <v>104</v>
      </c>
      <c r="AF224" t="s">
        <v>73</v>
      </c>
      <c r="AG224" s="3">
        <f>SUM($K224:$M224)*AG$4/$AG$4</f>
        <v>479.3</v>
      </c>
      <c r="AH224" s="3">
        <v>0</v>
      </c>
      <c r="AI224" s="3">
        <v>0</v>
      </c>
      <c r="AJ224" s="3">
        <f t="shared" si="207"/>
        <v>479.3</v>
      </c>
      <c r="AK224" s="3"/>
      <c r="AL224" s="3"/>
      <c r="AM224" s="3"/>
      <c r="AN224" s="3">
        <f t="shared" si="208"/>
        <v>0</v>
      </c>
      <c r="AO224" s="3"/>
      <c r="AP224" s="3"/>
      <c r="AQ224" s="3"/>
      <c r="AR224" s="3">
        <f t="shared" si="209"/>
        <v>0</v>
      </c>
      <c r="AS224" s="3"/>
      <c r="AT224" s="3"/>
      <c r="AU224" s="3"/>
      <c r="AV224" s="3">
        <f t="shared" si="210"/>
        <v>0</v>
      </c>
      <c r="AW224" s="3"/>
      <c r="AX224" s="3"/>
      <c r="AY224" s="3"/>
      <c r="AZ224" s="3">
        <f t="shared" si="211"/>
        <v>0</v>
      </c>
      <c r="BA224" s="3"/>
      <c r="BB224" s="3"/>
      <c r="BC224" s="3"/>
      <c r="BD224" s="3">
        <f t="shared" si="212"/>
        <v>0</v>
      </c>
      <c r="BE224" s="3"/>
      <c r="BF224" s="3"/>
      <c r="BG224" s="3"/>
      <c r="BH224" s="3">
        <f t="shared" si="204"/>
        <v>0</v>
      </c>
      <c r="BI224" s="3"/>
      <c r="BJ224" s="3"/>
      <c r="BK224" s="3"/>
      <c r="BL224" s="3">
        <f t="shared" si="205"/>
        <v>0</v>
      </c>
      <c r="BM224" s="3"/>
      <c r="BN224" s="3"/>
      <c r="BO224" s="3"/>
      <c r="BP224" s="3">
        <f t="shared" si="213"/>
        <v>0</v>
      </c>
      <c r="BQ224" s="3"/>
      <c r="BR224" s="3"/>
      <c r="BS224" s="3"/>
      <c r="BT224" s="3">
        <f t="shared" si="214"/>
        <v>0</v>
      </c>
      <c r="BU224" s="3"/>
      <c r="BV224" s="3"/>
      <c r="BW224" s="3"/>
      <c r="BX224" s="3">
        <f t="shared" si="215"/>
        <v>0</v>
      </c>
      <c r="BY224" s="3"/>
      <c r="BZ224" s="3"/>
      <c r="CA224" s="3"/>
      <c r="CB224" s="3">
        <f t="shared" si="216"/>
        <v>0</v>
      </c>
      <c r="CC224" s="3"/>
      <c r="CD224" s="3"/>
      <c r="CE224" s="3"/>
      <c r="CF224" s="3">
        <f t="shared" si="217"/>
        <v>0</v>
      </c>
      <c r="CG224" s="3"/>
      <c r="CH224" s="3"/>
      <c r="CI224" s="3"/>
      <c r="CJ224" s="3">
        <f t="shared" si="218"/>
        <v>0</v>
      </c>
      <c r="CK224" s="3"/>
      <c r="CL224" s="3"/>
      <c r="CM224" s="3"/>
      <c r="CN224" s="3">
        <f t="shared" si="219"/>
        <v>0</v>
      </c>
      <c r="CO224" s="3"/>
      <c r="CP224" s="3"/>
      <c r="CQ224" s="3"/>
      <c r="CR224" s="3">
        <f t="shared" si="220"/>
        <v>0</v>
      </c>
      <c r="CS224" s="3"/>
      <c r="CT224" s="3"/>
      <c r="CU224" s="3"/>
      <c r="CV224" s="3">
        <f t="shared" si="221"/>
        <v>0</v>
      </c>
      <c r="CW224" s="3"/>
      <c r="CX224" s="3"/>
      <c r="CY224" s="3"/>
      <c r="CZ224" s="3">
        <f t="shared" si="228"/>
        <v>0</v>
      </c>
      <c r="DA224" s="3"/>
      <c r="DB224" s="3"/>
      <c r="DC224" s="3"/>
      <c r="DD224" s="3">
        <f t="shared" si="222"/>
        <v>0</v>
      </c>
      <c r="DE224" s="3"/>
      <c r="DF224" s="3"/>
      <c r="DG224" s="3"/>
      <c r="DH224" s="3">
        <f t="shared" si="223"/>
        <v>0</v>
      </c>
      <c r="DI224" s="3"/>
      <c r="DJ224" s="3"/>
      <c r="DK224" s="3"/>
      <c r="DL224" s="3">
        <f t="shared" si="203"/>
        <v>0</v>
      </c>
      <c r="DM224" s="3"/>
      <c r="DN224" s="3"/>
      <c r="DO224" s="3"/>
      <c r="DP224" s="3">
        <f t="shared" si="224"/>
        <v>0</v>
      </c>
      <c r="DQ224" s="3"/>
      <c r="DR224" s="3"/>
      <c r="DS224" s="3"/>
      <c r="DT224" s="3">
        <f t="shared" si="229"/>
        <v>0</v>
      </c>
      <c r="DU224" s="3"/>
      <c r="DV224" s="3"/>
      <c r="DW224" s="3"/>
      <c r="DX224" s="3">
        <f t="shared" si="225"/>
        <v>0</v>
      </c>
      <c r="DY224" s="3"/>
      <c r="DZ224" s="3"/>
      <c r="EA224" s="3"/>
      <c r="EB224" s="3">
        <f t="shared" si="226"/>
        <v>0</v>
      </c>
      <c r="EC224" s="4">
        <f t="shared" si="206"/>
        <v>479.3</v>
      </c>
      <c r="ED224" s="5">
        <f t="shared" si="227"/>
        <v>0</v>
      </c>
      <c r="EE224" s="6">
        <f t="shared" si="230"/>
        <v>479.3</v>
      </c>
      <c r="EF224" s="6">
        <f t="shared" si="230"/>
        <v>0</v>
      </c>
      <c r="EG224" s="6">
        <f t="shared" si="230"/>
        <v>0</v>
      </c>
    </row>
    <row r="225" spans="1:137" ht="12" customHeight="1" x14ac:dyDescent="0.35">
      <c r="A225" s="43" t="s">
        <v>91</v>
      </c>
      <c r="B225" s="43">
        <v>30450</v>
      </c>
      <c r="C225" s="43" t="s">
        <v>232</v>
      </c>
      <c r="D225" s="43" t="s">
        <v>110</v>
      </c>
      <c r="E225" s="43">
        <v>150781</v>
      </c>
      <c r="F225" s="43" t="s">
        <v>830</v>
      </c>
      <c r="G225" s="44">
        <v>45967</v>
      </c>
      <c r="H225" s="44">
        <v>45993</v>
      </c>
      <c r="I225" s="45">
        <v>5</v>
      </c>
      <c r="J225" s="46">
        <v>-3660</v>
      </c>
      <c r="K225" s="46">
        <v>-183</v>
      </c>
      <c r="L225" s="45"/>
      <c r="M225" s="45"/>
      <c r="N225" s="45">
        <v>183</v>
      </c>
      <c r="O225" s="45">
        <v>3843</v>
      </c>
      <c r="P225" s="43" t="s">
        <v>95</v>
      </c>
      <c r="Q225" s="43" t="s">
        <v>36</v>
      </c>
      <c r="R225" s="43" t="s">
        <v>112</v>
      </c>
      <c r="S225" s="43" t="s">
        <v>97</v>
      </c>
      <c r="T225" s="43" t="s">
        <v>98</v>
      </c>
      <c r="U225" s="43" t="s">
        <v>99</v>
      </c>
      <c r="V225" s="43">
        <v>996311</v>
      </c>
      <c r="W225" s="43" t="s">
        <v>831</v>
      </c>
      <c r="X225" s="43" t="s">
        <v>101</v>
      </c>
      <c r="Y225" s="43">
        <v>107</v>
      </c>
      <c r="Z225" s="43" t="s">
        <v>102</v>
      </c>
      <c r="AA225" t="s">
        <v>832</v>
      </c>
      <c r="AB225">
        <v>-183</v>
      </c>
      <c r="AC225">
        <v>-183</v>
      </c>
      <c r="AD225" s="38">
        <v>0</v>
      </c>
      <c r="AE225" t="s">
        <v>104</v>
      </c>
      <c r="AF225" t="s">
        <v>73</v>
      </c>
      <c r="AG225" s="3"/>
      <c r="AH225" s="3"/>
      <c r="AI225" s="3"/>
      <c r="AJ225" s="3">
        <f t="shared" si="207"/>
        <v>0</v>
      </c>
      <c r="AK225" s="3"/>
      <c r="AL225" s="3"/>
      <c r="AM225" s="3"/>
      <c r="AN225" s="3">
        <f t="shared" si="208"/>
        <v>0</v>
      </c>
      <c r="AO225" s="3"/>
      <c r="AP225" s="3"/>
      <c r="AQ225" s="3"/>
      <c r="AR225" s="3">
        <f t="shared" si="209"/>
        <v>0</v>
      </c>
      <c r="AS225" s="3"/>
      <c r="AT225" s="3"/>
      <c r="AU225" s="3"/>
      <c r="AV225" s="3">
        <f t="shared" si="210"/>
        <v>0</v>
      </c>
      <c r="AW225" s="3"/>
      <c r="AX225" s="3"/>
      <c r="AY225" s="3"/>
      <c r="AZ225" s="3">
        <f t="shared" si="211"/>
        <v>0</v>
      </c>
      <c r="BA225" s="3"/>
      <c r="BB225" s="3"/>
      <c r="BC225" s="3"/>
      <c r="BD225" s="3">
        <f t="shared" si="212"/>
        <v>0</v>
      </c>
      <c r="BE225" s="3">
        <f>$K225*BE$4/$BE$4</f>
        <v>-182.99999999999997</v>
      </c>
      <c r="BF225" s="3">
        <f>$L225*BE$4/$BE$4</f>
        <v>0</v>
      </c>
      <c r="BG225" s="3">
        <f>$M225*BE$4/$BE$4</f>
        <v>0</v>
      </c>
      <c r="BH225" s="3">
        <f t="shared" si="204"/>
        <v>-182.99999999999997</v>
      </c>
      <c r="BI225" s="3"/>
      <c r="BJ225" s="3"/>
      <c r="BK225" s="3"/>
      <c r="BL225" s="3">
        <f t="shared" si="205"/>
        <v>0</v>
      </c>
      <c r="BM225" s="3"/>
      <c r="BN225" s="3"/>
      <c r="BO225" s="3"/>
      <c r="BP225" s="3">
        <f t="shared" si="213"/>
        <v>0</v>
      </c>
      <c r="BQ225" s="3"/>
      <c r="BR225" s="3"/>
      <c r="BS225" s="3"/>
      <c r="BT225" s="3">
        <f t="shared" si="214"/>
        <v>0</v>
      </c>
      <c r="BU225" s="3"/>
      <c r="BV225" s="3"/>
      <c r="BW225" s="3"/>
      <c r="BX225" s="3">
        <f t="shared" si="215"/>
        <v>0</v>
      </c>
      <c r="BY225" s="3"/>
      <c r="BZ225" s="3"/>
      <c r="CA225" s="3"/>
      <c r="CB225" s="3">
        <f t="shared" si="216"/>
        <v>0</v>
      </c>
      <c r="CC225" s="3"/>
      <c r="CD225" s="3"/>
      <c r="CE225" s="3"/>
      <c r="CF225" s="3">
        <f t="shared" si="217"/>
        <v>0</v>
      </c>
      <c r="CG225" s="3"/>
      <c r="CH225" s="3"/>
      <c r="CI225" s="3"/>
      <c r="CJ225" s="3">
        <f t="shared" si="218"/>
        <v>0</v>
      </c>
      <c r="CK225" s="3"/>
      <c r="CL225" s="3"/>
      <c r="CM225" s="3"/>
      <c r="CN225" s="3">
        <f t="shared" si="219"/>
        <v>0</v>
      </c>
      <c r="CO225" s="3"/>
      <c r="CP225" s="3"/>
      <c r="CQ225" s="3"/>
      <c r="CR225" s="3">
        <f t="shared" si="220"/>
        <v>0</v>
      </c>
      <c r="CS225" s="3"/>
      <c r="CT225" s="3"/>
      <c r="CU225" s="3"/>
      <c r="CV225" s="3">
        <f t="shared" si="221"/>
        <v>0</v>
      </c>
      <c r="CW225" s="3"/>
      <c r="CX225" s="3"/>
      <c r="CY225" s="3"/>
      <c r="CZ225" s="3">
        <f t="shared" si="228"/>
        <v>0</v>
      </c>
      <c r="DA225" s="3"/>
      <c r="DB225" s="3"/>
      <c r="DC225" s="3"/>
      <c r="DD225" s="3">
        <f t="shared" si="222"/>
        <v>0</v>
      </c>
      <c r="DE225" s="3"/>
      <c r="DF225" s="3"/>
      <c r="DG225" s="3"/>
      <c r="DH225" s="3">
        <f t="shared" si="223"/>
        <v>0</v>
      </c>
      <c r="DI225" s="3"/>
      <c r="DJ225" s="3"/>
      <c r="DK225" s="3"/>
      <c r="DL225" s="3">
        <f t="shared" si="203"/>
        <v>0</v>
      </c>
      <c r="DM225" s="3"/>
      <c r="DN225" s="3"/>
      <c r="DO225" s="3"/>
      <c r="DP225" s="3">
        <f t="shared" si="224"/>
        <v>0</v>
      </c>
      <c r="DQ225" s="3"/>
      <c r="DR225" s="3"/>
      <c r="DS225" s="3"/>
      <c r="DT225" s="3">
        <f t="shared" si="229"/>
        <v>0</v>
      </c>
      <c r="DU225" s="3"/>
      <c r="DV225" s="3"/>
      <c r="DW225" s="3"/>
      <c r="DX225" s="3">
        <f t="shared" si="225"/>
        <v>0</v>
      </c>
      <c r="DY225" s="3"/>
      <c r="DZ225" s="3"/>
      <c r="EA225" s="3"/>
      <c r="EB225" s="3">
        <f t="shared" si="226"/>
        <v>0</v>
      </c>
      <c r="EC225" s="4">
        <f t="shared" si="206"/>
        <v>-182.99999999999997</v>
      </c>
      <c r="ED225" s="5">
        <f t="shared" si="227"/>
        <v>0</v>
      </c>
      <c r="EE225" s="6">
        <f t="shared" si="230"/>
        <v>-182.99999999999997</v>
      </c>
      <c r="EF225" s="6">
        <f t="shared" si="230"/>
        <v>0</v>
      </c>
      <c r="EG225" s="6">
        <f t="shared" si="230"/>
        <v>0</v>
      </c>
    </row>
    <row r="226" spans="1:137" ht="12" customHeight="1" x14ac:dyDescent="0.35">
      <c r="A226" s="43" t="s">
        <v>115</v>
      </c>
      <c r="B226" s="43">
        <v>28324</v>
      </c>
      <c r="C226" s="43" t="s">
        <v>120</v>
      </c>
      <c r="D226" s="43" t="s">
        <v>110</v>
      </c>
      <c r="E226" s="43">
        <v>150781</v>
      </c>
      <c r="F226" s="43" t="s">
        <v>833</v>
      </c>
      <c r="G226" s="44">
        <v>45888</v>
      </c>
      <c r="H226" s="44">
        <v>45993</v>
      </c>
      <c r="I226" s="45">
        <v>12</v>
      </c>
      <c r="J226" s="46">
        <v>-29030</v>
      </c>
      <c r="K226" s="46">
        <v>-3483.6</v>
      </c>
      <c r="L226" s="45"/>
      <c r="M226" s="45"/>
      <c r="N226" s="45">
        <v>3483.6</v>
      </c>
      <c r="O226" s="45">
        <v>32513.599999999999</v>
      </c>
      <c r="P226" s="43" t="s">
        <v>95</v>
      </c>
      <c r="Q226" s="43" t="s">
        <v>36</v>
      </c>
      <c r="R226" s="43" t="s">
        <v>112</v>
      </c>
      <c r="S226" s="43" t="s">
        <v>97</v>
      </c>
      <c r="T226" s="43" t="s">
        <v>98</v>
      </c>
      <c r="U226" s="43" t="s">
        <v>99</v>
      </c>
      <c r="V226" s="43">
        <v>996311</v>
      </c>
      <c r="W226" s="43" t="s">
        <v>834</v>
      </c>
      <c r="X226" s="43" t="s">
        <v>101</v>
      </c>
      <c r="Y226" s="43">
        <v>107</v>
      </c>
      <c r="Z226" s="43" t="s">
        <v>102</v>
      </c>
      <c r="AA226" t="s">
        <v>835</v>
      </c>
      <c r="AB226">
        <v>-3483.6</v>
      </c>
      <c r="AC226">
        <v>-3484</v>
      </c>
      <c r="AD226" s="38">
        <v>0</v>
      </c>
      <c r="AE226" t="s">
        <v>104</v>
      </c>
      <c r="AF226" t="s">
        <v>73</v>
      </c>
      <c r="AG226" s="3"/>
      <c r="AH226" s="3"/>
      <c r="AI226" s="3"/>
      <c r="AJ226" s="3">
        <f t="shared" si="207"/>
        <v>0</v>
      </c>
      <c r="AK226" s="3"/>
      <c r="AL226" s="3"/>
      <c r="AM226" s="3"/>
      <c r="AN226" s="3">
        <f t="shared" si="208"/>
        <v>0</v>
      </c>
      <c r="AO226" s="3"/>
      <c r="AP226" s="3"/>
      <c r="AQ226" s="3"/>
      <c r="AR226" s="3">
        <f t="shared" si="209"/>
        <v>0</v>
      </c>
      <c r="AS226" s="3"/>
      <c r="AT226" s="3"/>
      <c r="AU226" s="3"/>
      <c r="AV226" s="3">
        <f t="shared" si="210"/>
        <v>0</v>
      </c>
      <c r="AW226" s="3"/>
      <c r="AX226" s="3"/>
      <c r="AY226" s="3"/>
      <c r="AZ226" s="3">
        <f t="shared" si="211"/>
        <v>0</v>
      </c>
      <c r="BA226" s="3"/>
      <c r="BB226" s="3"/>
      <c r="BC226" s="3"/>
      <c r="BD226" s="3">
        <f t="shared" si="212"/>
        <v>0</v>
      </c>
      <c r="BE226" s="3">
        <f>$K226*BE$4/$BE$4</f>
        <v>-3483.6</v>
      </c>
      <c r="BF226" s="3">
        <f>$L226*BE$4/$BE$4</f>
        <v>0</v>
      </c>
      <c r="BG226" s="3">
        <f>$M226*BE$4/$BE$4</f>
        <v>0</v>
      </c>
      <c r="BH226" s="3">
        <f t="shared" si="204"/>
        <v>-3483.6</v>
      </c>
      <c r="BI226" s="3"/>
      <c r="BJ226" s="3"/>
      <c r="BK226" s="3"/>
      <c r="BL226" s="3">
        <f t="shared" si="205"/>
        <v>0</v>
      </c>
      <c r="BM226" s="3"/>
      <c r="BN226" s="3"/>
      <c r="BO226" s="3"/>
      <c r="BP226" s="3">
        <f t="shared" si="213"/>
        <v>0</v>
      </c>
      <c r="BQ226" s="3"/>
      <c r="BR226" s="3"/>
      <c r="BS226" s="3"/>
      <c r="BT226" s="3">
        <f t="shared" si="214"/>
        <v>0</v>
      </c>
      <c r="BU226" s="3"/>
      <c r="BV226" s="3"/>
      <c r="BW226" s="3"/>
      <c r="BX226" s="3">
        <f t="shared" si="215"/>
        <v>0</v>
      </c>
      <c r="BY226" s="3"/>
      <c r="BZ226" s="3"/>
      <c r="CA226" s="3"/>
      <c r="CB226" s="3">
        <f t="shared" si="216"/>
        <v>0</v>
      </c>
      <c r="CC226" s="3"/>
      <c r="CD226" s="3"/>
      <c r="CE226" s="3"/>
      <c r="CF226" s="3">
        <f t="shared" si="217"/>
        <v>0</v>
      </c>
      <c r="CG226" s="3"/>
      <c r="CH226" s="3"/>
      <c r="CI226" s="3"/>
      <c r="CJ226" s="3">
        <f t="shared" si="218"/>
        <v>0</v>
      </c>
      <c r="CK226" s="3"/>
      <c r="CL226" s="3"/>
      <c r="CM226" s="3"/>
      <c r="CN226" s="3">
        <f t="shared" si="219"/>
        <v>0</v>
      </c>
      <c r="CO226" s="3"/>
      <c r="CP226" s="3"/>
      <c r="CQ226" s="3"/>
      <c r="CR226" s="3">
        <f t="shared" si="220"/>
        <v>0</v>
      </c>
      <c r="CS226" s="3"/>
      <c r="CT226" s="3"/>
      <c r="CU226" s="3"/>
      <c r="CV226" s="3">
        <f t="shared" si="221"/>
        <v>0</v>
      </c>
      <c r="CW226" s="3"/>
      <c r="CX226" s="3"/>
      <c r="CY226" s="3"/>
      <c r="CZ226" s="3">
        <f t="shared" si="228"/>
        <v>0</v>
      </c>
      <c r="DA226" s="3"/>
      <c r="DB226" s="3"/>
      <c r="DC226" s="3"/>
      <c r="DD226" s="3">
        <f t="shared" si="222"/>
        <v>0</v>
      </c>
      <c r="DE226" s="3"/>
      <c r="DF226" s="3"/>
      <c r="DG226" s="3"/>
      <c r="DH226" s="3">
        <f t="shared" si="223"/>
        <v>0</v>
      </c>
      <c r="DI226" s="3"/>
      <c r="DJ226" s="3"/>
      <c r="DK226" s="3"/>
      <c r="DL226" s="3">
        <f t="shared" si="203"/>
        <v>0</v>
      </c>
      <c r="DM226" s="3"/>
      <c r="DN226" s="3"/>
      <c r="DO226" s="3"/>
      <c r="DP226" s="3">
        <f t="shared" si="224"/>
        <v>0</v>
      </c>
      <c r="DQ226" s="3"/>
      <c r="DR226" s="3"/>
      <c r="DS226" s="3"/>
      <c r="DT226" s="3">
        <f t="shared" si="229"/>
        <v>0</v>
      </c>
      <c r="DU226" s="3"/>
      <c r="DV226" s="3"/>
      <c r="DW226" s="3"/>
      <c r="DX226" s="3">
        <f t="shared" si="225"/>
        <v>0</v>
      </c>
      <c r="DY226" s="3"/>
      <c r="DZ226" s="3"/>
      <c r="EA226" s="3"/>
      <c r="EB226" s="3">
        <f t="shared" si="226"/>
        <v>0</v>
      </c>
      <c r="EC226" s="4">
        <f t="shared" si="206"/>
        <v>-3483.6</v>
      </c>
      <c r="ED226" s="5">
        <f t="shared" si="227"/>
        <v>0</v>
      </c>
      <c r="EE226" s="6">
        <f t="shared" si="230"/>
        <v>-3483.6</v>
      </c>
      <c r="EF226" s="6">
        <f t="shared" si="230"/>
        <v>0</v>
      </c>
      <c r="EG226" s="6">
        <f t="shared" si="230"/>
        <v>0</v>
      </c>
    </row>
    <row r="227" spans="1:137" ht="12" customHeight="1" x14ac:dyDescent="0.35">
      <c r="A227" s="43" t="s">
        <v>91</v>
      </c>
      <c r="B227" s="43">
        <v>30450</v>
      </c>
      <c r="C227" s="43" t="s">
        <v>105</v>
      </c>
      <c r="D227" s="43" t="s">
        <v>110</v>
      </c>
      <c r="E227" s="43">
        <v>150781</v>
      </c>
      <c r="F227" s="43" t="s">
        <v>836</v>
      </c>
      <c r="G227" s="44">
        <v>45894</v>
      </c>
      <c r="H227" s="44">
        <v>45993</v>
      </c>
      <c r="I227" s="45">
        <v>5</v>
      </c>
      <c r="J227" s="46">
        <v>-2190</v>
      </c>
      <c r="K227" s="46">
        <v>-109.5</v>
      </c>
      <c r="L227" s="45"/>
      <c r="M227" s="45"/>
      <c r="N227" s="45">
        <v>109.5</v>
      </c>
      <c r="O227" s="45">
        <v>2299.5</v>
      </c>
      <c r="P227" s="43" t="s">
        <v>95</v>
      </c>
      <c r="Q227" s="43" t="s">
        <v>36</v>
      </c>
      <c r="R227" s="43" t="s">
        <v>112</v>
      </c>
      <c r="S227" s="43" t="s">
        <v>97</v>
      </c>
      <c r="T227" s="43" t="s">
        <v>98</v>
      </c>
      <c r="U227" s="43" t="s">
        <v>99</v>
      </c>
      <c r="V227" s="43">
        <v>996311</v>
      </c>
      <c r="W227" s="43" t="s">
        <v>837</v>
      </c>
      <c r="X227" s="43" t="s">
        <v>101</v>
      </c>
      <c r="Y227" s="43">
        <v>107</v>
      </c>
      <c r="Z227" s="43" t="s">
        <v>102</v>
      </c>
      <c r="AA227" t="s">
        <v>838</v>
      </c>
      <c r="AB227">
        <v>-109.5</v>
      </c>
      <c r="AC227">
        <v>-110</v>
      </c>
      <c r="AD227" s="38">
        <v>1</v>
      </c>
      <c r="AE227" t="s">
        <v>104</v>
      </c>
      <c r="AF227" t="s">
        <v>73</v>
      </c>
      <c r="AG227" s="3"/>
      <c r="AH227" s="3"/>
      <c r="AI227" s="3"/>
      <c r="AJ227" s="3">
        <f t="shared" si="207"/>
        <v>0</v>
      </c>
      <c r="AK227" s="3"/>
      <c r="AL227" s="3"/>
      <c r="AM227" s="3"/>
      <c r="AN227" s="3">
        <f t="shared" si="208"/>
        <v>0</v>
      </c>
      <c r="AO227" s="3"/>
      <c r="AP227" s="3"/>
      <c r="AQ227" s="3"/>
      <c r="AR227" s="3">
        <f t="shared" si="209"/>
        <v>0</v>
      </c>
      <c r="AS227" s="3"/>
      <c r="AT227" s="3"/>
      <c r="AU227" s="3"/>
      <c r="AV227" s="3">
        <f t="shared" si="210"/>
        <v>0</v>
      </c>
      <c r="AW227" s="3"/>
      <c r="AX227" s="3"/>
      <c r="AY227" s="3"/>
      <c r="AZ227" s="3">
        <f t="shared" si="211"/>
        <v>0</v>
      </c>
      <c r="BA227" s="3"/>
      <c r="BB227" s="3"/>
      <c r="BC227" s="3"/>
      <c r="BD227" s="3">
        <f t="shared" si="212"/>
        <v>0</v>
      </c>
      <c r="BE227" s="3">
        <f>$K227*BE$4/$BE$4</f>
        <v>-109.5</v>
      </c>
      <c r="BF227" s="3">
        <f>$L227*BE$4/$BE$4</f>
        <v>0</v>
      </c>
      <c r="BG227" s="3">
        <f>$M227*BE$4/$BE$4</f>
        <v>0</v>
      </c>
      <c r="BH227" s="3">
        <f t="shared" si="204"/>
        <v>-109.5</v>
      </c>
      <c r="BI227" s="3"/>
      <c r="BJ227" s="3"/>
      <c r="BK227" s="3"/>
      <c r="BL227" s="3">
        <f t="shared" si="205"/>
        <v>0</v>
      </c>
      <c r="BM227" s="3"/>
      <c r="BN227" s="3"/>
      <c r="BO227" s="3"/>
      <c r="BP227" s="3">
        <f t="shared" si="213"/>
        <v>0</v>
      </c>
      <c r="BQ227" s="3"/>
      <c r="BR227" s="3"/>
      <c r="BS227" s="3"/>
      <c r="BT227" s="3">
        <f t="shared" si="214"/>
        <v>0</v>
      </c>
      <c r="BU227" s="3"/>
      <c r="BV227" s="3"/>
      <c r="BW227" s="3"/>
      <c r="BX227" s="3">
        <f t="shared" si="215"/>
        <v>0</v>
      </c>
      <c r="BY227" s="3"/>
      <c r="BZ227" s="3"/>
      <c r="CA227" s="3"/>
      <c r="CB227" s="3">
        <f t="shared" si="216"/>
        <v>0</v>
      </c>
      <c r="CC227" s="3"/>
      <c r="CD227" s="3"/>
      <c r="CE227" s="3"/>
      <c r="CF227" s="3">
        <f t="shared" si="217"/>
        <v>0</v>
      </c>
      <c r="CG227" s="3"/>
      <c r="CH227" s="3"/>
      <c r="CI227" s="3"/>
      <c r="CJ227" s="3">
        <f t="shared" si="218"/>
        <v>0</v>
      </c>
      <c r="CK227" s="3"/>
      <c r="CL227" s="3"/>
      <c r="CM227" s="3"/>
      <c r="CN227" s="3">
        <f t="shared" si="219"/>
        <v>0</v>
      </c>
      <c r="CO227" s="3"/>
      <c r="CP227" s="3"/>
      <c r="CQ227" s="3"/>
      <c r="CR227" s="3">
        <f t="shared" si="220"/>
        <v>0</v>
      </c>
      <c r="CS227" s="3"/>
      <c r="CT227" s="3"/>
      <c r="CU227" s="3"/>
      <c r="CV227" s="3">
        <f t="shared" si="221"/>
        <v>0</v>
      </c>
      <c r="CW227" s="3"/>
      <c r="CX227" s="3"/>
      <c r="CY227" s="3"/>
      <c r="CZ227" s="3">
        <f t="shared" si="228"/>
        <v>0</v>
      </c>
      <c r="DA227" s="3"/>
      <c r="DB227" s="3"/>
      <c r="DC227" s="3"/>
      <c r="DD227" s="3">
        <f t="shared" si="222"/>
        <v>0</v>
      </c>
      <c r="DE227" s="3"/>
      <c r="DF227" s="3"/>
      <c r="DG227" s="3"/>
      <c r="DH227" s="3">
        <f t="shared" si="223"/>
        <v>0</v>
      </c>
      <c r="DI227" s="3"/>
      <c r="DJ227" s="3"/>
      <c r="DK227" s="3"/>
      <c r="DL227" s="3">
        <f t="shared" si="203"/>
        <v>0</v>
      </c>
      <c r="DM227" s="3"/>
      <c r="DN227" s="3"/>
      <c r="DO227" s="3"/>
      <c r="DP227" s="3">
        <f t="shared" si="224"/>
        <v>0</v>
      </c>
      <c r="DQ227" s="3"/>
      <c r="DR227" s="3"/>
      <c r="DS227" s="3"/>
      <c r="DT227" s="3">
        <f t="shared" si="229"/>
        <v>0</v>
      </c>
      <c r="DU227" s="3"/>
      <c r="DV227" s="3"/>
      <c r="DW227" s="3"/>
      <c r="DX227" s="3">
        <f t="shared" si="225"/>
        <v>0</v>
      </c>
      <c r="DY227" s="3"/>
      <c r="DZ227" s="3"/>
      <c r="EA227" s="3"/>
      <c r="EB227" s="3">
        <f t="shared" si="226"/>
        <v>0</v>
      </c>
      <c r="EC227" s="4">
        <f t="shared" si="206"/>
        <v>-109.5</v>
      </c>
      <c r="ED227" s="5">
        <f t="shared" si="227"/>
        <v>0</v>
      </c>
      <c r="EE227" s="6">
        <f t="shared" si="230"/>
        <v>-109.5</v>
      </c>
      <c r="EF227" s="6">
        <f t="shared" si="230"/>
        <v>0</v>
      </c>
      <c r="EG227" s="6">
        <f t="shared" si="230"/>
        <v>0</v>
      </c>
    </row>
    <row r="228" spans="1:137" ht="12" customHeight="1" x14ac:dyDescent="0.35">
      <c r="A228" s="43" t="s">
        <v>91</v>
      </c>
      <c r="B228" s="43">
        <v>30450</v>
      </c>
      <c r="C228" s="43" t="s">
        <v>169</v>
      </c>
      <c r="D228" s="43" t="s">
        <v>110</v>
      </c>
      <c r="E228" s="43">
        <v>150781</v>
      </c>
      <c r="F228" s="43" t="s">
        <v>839</v>
      </c>
      <c r="G228" s="44">
        <v>45922</v>
      </c>
      <c r="H228" s="44">
        <v>45993</v>
      </c>
      <c r="I228" s="45">
        <v>12</v>
      </c>
      <c r="J228" s="46">
        <v>-20818</v>
      </c>
      <c r="K228" s="46">
        <v>-2498.16</v>
      </c>
      <c r="L228" s="45"/>
      <c r="M228" s="45"/>
      <c r="N228" s="45">
        <v>2498.16</v>
      </c>
      <c r="O228" s="45">
        <v>23316.16</v>
      </c>
      <c r="P228" s="43" t="s">
        <v>95</v>
      </c>
      <c r="Q228" s="43" t="s">
        <v>36</v>
      </c>
      <c r="R228" s="43" t="s">
        <v>112</v>
      </c>
      <c r="S228" s="43" t="s">
        <v>97</v>
      </c>
      <c r="T228" s="43" t="s">
        <v>98</v>
      </c>
      <c r="U228" s="43" t="s">
        <v>99</v>
      </c>
      <c r="V228" s="43">
        <v>996311</v>
      </c>
      <c r="W228" s="43" t="s">
        <v>840</v>
      </c>
      <c r="X228" s="43" t="s">
        <v>101</v>
      </c>
      <c r="Y228" s="43">
        <v>107</v>
      </c>
      <c r="Z228" s="43" t="s">
        <v>102</v>
      </c>
      <c r="AA228" t="s">
        <v>841</v>
      </c>
      <c r="AB228">
        <v>-2498.16</v>
      </c>
      <c r="AC228">
        <v>-2498</v>
      </c>
      <c r="AD228" s="38">
        <v>0</v>
      </c>
      <c r="AE228" t="s">
        <v>104</v>
      </c>
      <c r="AF228" t="s">
        <v>73</v>
      </c>
      <c r="AG228" s="3"/>
      <c r="AH228" s="3"/>
      <c r="AI228" s="3"/>
      <c r="AJ228" s="3">
        <f t="shared" si="207"/>
        <v>0</v>
      </c>
      <c r="AK228" s="3"/>
      <c r="AL228" s="3"/>
      <c r="AM228" s="3"/>
      <c r="AN228" s="3">
        <f t="shared" si="208"/>
        <v>0</v>
      </c>
      <c r="AO228" s="3"/>
      <c r="AP228" s="3"/>
      <c r="AQ228" s="3"/>
      <c r="AR228" s="3">
        <f t="shared" si="209"/>
        <v>0</v>
      </c>
      <c r="AS228" s="3"/>
      <c r="AT228" s="3"/>
      <c r="AU228" s="3"/>
      <c r="AV228" s="3">
        <f t="shared" si="210"/>
        <v>0</v>
      </c>
      <c r="AW228" s="3"/>
      <c r="AX228" s="3"/>
      <c r="AY228" s="3"/>
      <c r="AZ228" s="3">
        <f t="shared" si="211"/>
        <v>0</v>
      </c>
      <c r="BA228" s="3"/>
      <c r="BB228" s="3"/>
      <c r="BC228" s="3"/>
      <c r="BD228" s="3">
        <f t="shared" si="212"/>
        <v>0</v>
      </c>
      <c r="BE228" s="3">
        <f>$K228*BE$4/$BE$4</f>
        <v>-2498.16</v>
      </c>
      <c r="BF228" s="3">
        <f>$L228*BE$4/$BE$4</f>
        <v>0</v>
      </c>
      <c r="BG228" s="3">
        <f>$M228*BE$4/$BE$4</f>
        <v>0</v>
      </c>
      <c r="BH228" s="3">
        <f t="shared" si="204"/>
        <v>-2498.16</v>
      </c>
      <c r="BI228" s="3"/>
      <c r="BJ228" s="3"/>
      <c r="BK228" s="3"/>
      <c r="BL228" s="3">
        <f t="shared" si="205"/>
        <v>0</v>
      </c>
      <c r="BM228" s="3"/>
      <c r="BN228" s="3"/>
      <c r="BO228" s="3"/>
      <c r="BP228" s="3">
        <f t="shared" si="213"/>
        <v>0</v>
      </c>
      <c r="BQ228" s="3"/>
      <c r="BR228" s="3"/>
      <c r="BS228" s="3"/>
      <c r="BT228" s="3">
        <f t="shared" si="214"/>
        <v>0</v>
      </c>
      <c r="BU228" s="3"/>
      <c r="BV228" s="3"/>
      <c r="BW228" s="3"/>
      <c r="BX228" s="3">
        <f t="shared" si="215"/>
        <v>0</v>
      </c>
      <c r="BY228" s="3"/>
      <c r="BZ228" s="3"/>
      <c r="CA228" s="3"/>
      <c r="CB228" s="3">
        <f t="shared" si="216"/>
        <v>0</v>
      </c>
      <c r="CC228" s="3"/>
      <c r="CD228" s="3"/>
      <c r="CE228" s="3"/>
      <c r="CF228" s="3">
        <f t="shared" si="217"/>
        <v>0</v>
      </c>
      <c r="CG228" s="3"/>
      <c r="CH228" s="3"/>
      <c r="CI228" s="3"/>
      <c r="CJ228" s="3">
        <f t="shared" si="218"/>
        <v>0</v>
      </c>
      <c r="CK228" s="3"/>
      <c r="CL228" s="3"/>
      <c r="CM228" s="3"/>
      <c r="CN228" s="3">
        <f t="shared" si="219"/>
        <v>0</v>
      </c>
      <c r="CO228" s="3"/>
      <c r="CP228" s="3"/>
      <c r="CQ228" s="3"/>
      <c r="CR228" s="3">
        <f t="shared" si="220"/>
        <v>0</v>
      </c>
      <c r="CS228" s="3"/>
      <c r="CT228" s="3"/>
      <c r="CU228" s="3"/>
      <c r="CV228" s="3">
        <f t="shared" si="221"/>
        <v>0</v>
      </c>
      <c r="CW228" s="3"/>
      <c r="CX228" s="3"/>
      <c r="CY228" s="3"/>
      <c r="CZ228" s="3">
        <f t="shared" si="228"/>
        <v>0</v>
      </c>
      <c r="DA228" s="3"/>
      <c r="DB228" s="3"/>
      <c r="DC228" s="3"/>
      <c r="DD228" s="3">
        <f t="shared" si="222"/>
        <v>0</v>
      </c>
      <c r="DE228" s="3"/>
      <c r="DF228" s="3"/>
      <c r="DG228" s="3"/>
      <c r="DH228" s="3">
        <f t="shared" si="223"/>
        <v>0</v>
      </c>
      <c r="DI228" s="3"/>
      <c r="DJ228" s="3"/>
      <c r="DK228" s="3"/>
      <c r="DL228" s="3">
        <f t="shared" si="203"/>
        <v>0</v>
      </c>
      <c r="DM228" s="3"/>
      <c r="DN228" s="3"/>
      <c r="DO228" s="3"/>
      <c r="DP228" s="3">
        <f t="shared" si="224"/>
        <v>0</v>
      </c>
      <c r="DQ228" s="3"/>
      <c r="DR228" s="3"/>
      <c r="DS228" s="3"/>
      <c r="DT228" s="3">
        <f t="shared" si="229"/>
        <v>0</v>
      </c>
      <c r="DU228" s="3"/>
      <c r="DV228" s="3"/>
      <c r="DW228" s="3"/>
      <c r="DX228" s="3">
        <f t="shared" si="225"/>
        <v>0</v>
      </c>
      <c r="DY228" s="3"/>
      <c r="DZ228" s="3"/>
      <c r="EA228" s="3"/>
      <c r="EB228" s="3">
        <f t="shared" si="226"/>
        <v>0</v>
      </c>
      <c r="EC228" s="4">
        <f t="shared" si="206"/>
        <v>-2498.16</v>
      </c>
      <c r="ED228" s="5">
        <f t="shared" si="227"/>
        <v>0</v>
      </c>
      <c r="EE228" s="6">
        <f t="shared" si="230"/>
        <v>-2498.16</v>
      </c>
      <c r="EF228" s="6">
        <f t="shared" si="230"/>
        <v>0</v>
      </c>
      <c r="EG228" s="6">
        <f t="shared" si="230"/>
        <v>0</v>
      </c>
    </row>
    <row r="229" spans="1:137" ht="12" customHeight="1" x14ac:dyDescent="0.35">
      <c r="A229" s="43" t="s">
        <v>91</v>
      </c>
      <c r="B229" s="43">
        <v>30450</v>
      </c>
      <c r="C229" s="43" t="s">
        <v>105</v>
      </c>
      <c r="D229" s="43" t="s">
        <v>93</v>
      </c>
      <c r="E229" s="43">
        <v>418801</v>
      </c>
      <c r="F229" s="43" t="s">
        <v>842</v>
      </c>
      <c r="G229" s="44">
        <v>45902</v>
      </c>
      <c r="H229" s="44">
        <v>45981</v>
      </c>
      <c r="I229" s="45">
        <v>5</v>
      </c>
      <c r="J229" s="45">
        <v>-6294</v>
      </c>
      <c r="K229" s="46">
        <v>-314.7</v>
      </c>
      <c r="L229" s="45"/>
      <c r="M229" s="45"/>
      <c r="N229" s="45">
        <v>-314.7</v>
      </c>
      <c r="O229" s="45">
        <v>-6608.7</v>
      </c>
      <c r="P229" s="43" t="s">
        <v>95</v>
      </c>
      <c r="Q229" s="43" t="s">
        <v>36</v>
      </c>
      <c r="R229" s="43" t="s">
        <v>96</v>
      </c>
      <c r="S229" s="43" t="s">
        <v>97</v>
      </c>
      <c r="T229" s="43" t="s">
        <v>98</v>
      </c>
      <c r="U229" s="43" t="s">
        <v>99</v>
      </c>
      <c r="V229" s="43">
        <v>996311</v>
      </c>
      <c r="W229" s="43" t="s">
        <v>843</v>
      </c>
      <c r="X229" s="43" t="s">
        <v>101</v>
      </c>
      <c r="Y229" s="43">
        <v>107</v>
      </c>
      <c r="Z229" s="43" t="s">
        <v>102</v>
      </c>
      <c r="AA229" t="s">
        <v>844</v>
      </c>
      <c r="AB229">
        <v>-314.7</v>
      </c>
      <c r="AC229">
        <v>-315</v>
      </c>
      <c r="AD229" s="38">
        <v>0</v>
      </c>
      <c r="AE229" t="s">
        <v>104</v>
      </c>
      <c r="AF229" t="s">
        <v>73</v>
      </c>
      <c r="AG229" s="3"/>
      <c r="AH229" s="3"/>
      <c r="AI229" s="3"/>
      <c r="AJ229" s="3">
        <f t="shared" si="207"/>
        <v>0</v>
      </c>
      <c r="AK229" s="3"/>
      <c r="AL229" s="3"/>
      <c r="AM229" s="3"/>
      <c r="AN229" s="3">
        <f t="shared" si="208"/>
        <v>0</v>
      </c>
      <c r="AO229" s="3"/>
      <c r="AP229" s="3"/>
      <c r="AQ229" s="3"/>
      <c r="AR229" s="3">
        <f t="shared" si="209"/>
        <v>0</v>
      </c>
      <c r="AS229" s="3"/>
      <c r="AT229" s="3"/>
      <c r="AU229" s="3"/>
      <c r="AV229" s="3">
        <f t="shared" si="210"/>
        <v>0</v>
      </c>
      <c r="AW229" s="3"/>
      <c r="AX229" s="3"/>
      <c r="AY229" s="3"/>
      <c r="AZ229" s="3">
        <f t="shared" si="211"/>
        <v>0</v>
      </c>
      <c r="BA229" s="3"/>
      <c r="BB229" s="3"/>
      <c r="BC229" s="3"/>
      <c r="BD229" s="3">
        <f t="shared" si="212"/>
        <v>0</v>
      </c>
      <c r="BE229" s="3">
        <f>$K229*BE$4/$BE$4</f>
        <v>-314.7</v>
      </c>
      <c r="BF229" s="3">
        <f>$L229*BE$4/$BE$4</f>
        <v>0</v>
      </c>
      <c r="BG229" s="3">
        <f>$M229*BE$4/$BE$4</f>
        <v>0</v>
      </c>
      <c r="BH229" s="3">
        <f t="shared" si="204"/>
        <v>-314.7</v>
      </c>
      <c r="BI229" s="3"/>
      <c r="BJ229" s="3"/>
      <c r="BK229" s="3"/>
      <c r="BL229" s="3">
        <f t="shared" si="205"/>
        <v>0</v>
      </c>
      <c r="BM229" s="3"/>
      <c r="BN229" s="3"/>
      <c r="BO229" s="3"/>
      <c r="BP229" s="3">
        <f t="shared" si="213"/>
        <v>0</v>
      </c>
      <c r="BQ229" s="3"/>
      <c r="BR229" s="3"/>
      <c r="BS229" s="3"/>
      <c r="BT229" s="3">
        <f t="shared" si="214"/>
        <v>0</v>
      </c>
      <c r="BU229" s="3"/>
      <c r="BV229" s="3"/>
      <c r="BW229" s="3"/>
      <c r="BX229" s="3">
        <f t="shared" si="215"/>
        <v>0</v>
      </c>
      <c r="BY229" s="3"/>
      <c r="BZ229" s="3"/>
      <c r="CA229" s="3"/>
      <c r="CB229" s="3">
        <f t="shared" si="216"/>
        <v>0</v>
      </c>
      <c r="CC229" s="3"/>
      <c r="CD229" s="3"/>
      <c r="CE229" s="3"/>
      <c r="CF229" s="3">
        <f t="shared" si="217"/>
        <v>0</v>
      </c>
      <c r="CG229" s="3"/>
      <c r="CH229" s="3"/>
      <c r="CI229" s="3"/>
      <c r="CJ229" s="3">
        <f t="shared" si="218"/>
        <v>0</v>
      </c>
      <c r="CK229" s="3"/>
      <c r="CL229" s="3"/>
      <c r="CM229" s="3"/>
      <c r="CN229" s="3">
        <f t="shared" si="219"/>
        <v>0</v>
      </c>
      <c r="CO229" s="3"/>
      <c r="CP229" s="3"/>
      <c r="CQ229" s="3"/>
      <c r="CR229" s="3">
        <f t="shared" si="220"/>
        <v>0</v>
      </c>
      <c r="CS229" s="3"/>
      <c r="CT229" s="3"/>
      <c r="CU229" s="3"/>
      <c r="CV229" s="3">
        <f t="shared" si="221"/>
        <v>0</v>
      </c>
      <c r="CW229" s="3"/>
      <c r="CX229" s="3"/>
      <c r="CY229" s="3"/>
      <c r="CZ229" s="3">
        <f t="shared" si="228"/>
        <v>0</v>
      </c>
      <c r="DA229" s="3"/>
      <c r="DB229" s="3"/>
      <c r="DC229" s="3"/>
      <c r="DD229" s="3">
        <f t="shared" si="222"/>
        <v>0</v>
      </c>
      <c r="DE229" s="3"/>
      <c r="DF229" s="3"/>
      <c r="DG229" s="3"/>
      <c r="DH229" s="3">
        <f t="shared" si="223"/>
        <v>0</v>
      </c>
      <c r="DI229" s="3"/>
      <c r="DJ229" s="3"/>
      <c r="DK229" s="3"/>
      <c r="DL229" s="3">
        <f t="shared" si="203"/>
        <v>0</v>
      </c>
      <c r="DM229" s="3"/>
      <c r="DN229" s="3"/>
      <c r="DO229" s="3"/>
      <c r="DP229" s="3">
        <f t="shared" si="224"/>
        <v>0</v>
      </c>
      <c r="DQ229" s="3"/>
      <c r="DR229" s="3"/>
      <c r="DS229" s="3"/>
      <c r="DT229" s="3">
        <f t="shared" si="229"/>
        <v>0</v>
      </c>
      <c r="DU229" s="3"/>
      <c r="DV229" s="3"/>
      <c r="DW229" s="3"/>
      <c r="DX229" s="3">
        <f t="shared" si="225"/>
        <v>0</v>
      </c>
      <c r="DY229" s="3"/>
      <c r="DZ229" s="3"/>
      <c r="EA229" s="3"/>
      <c r="EB229" s="3">
        <f t="shared" si="226"/>
        <v>0</v>
      </c>
      <c r="EC229" s="4">
        <f t="shared" si="206"/>
        <v>-314.7</v>
      </c>
      <c r="ED229" s="5">
        <f t="shared" si="227"/>
        <v>0</v>
      </c>
      <c r="EE229" s="6">
        <f t="shared" si="230"/>
        <v>-314.7</v>
      </c>
      <c r="EF229" s="6">
        <f t="shared" si="230"/>
        <v>0</v>
      </c>
      <c r="EG229" s="6">
        <f t="shared" si="230"/>
        <v>0</v>
      </c>
    </row>
    <row r="230" spans="1:137" ht="12" customHeight="1" x14ac:dyDescent="0.35">
      <c r="A230" s="43" t="s">
        <v>845</v>
      </c>
      <c r="B230" s="43">
        <v>39917</v>
      </c>
      <c r="C230" s="43" t="s">
        <v>846</v>
      </c>
      <c r="D230" s="43" t="s">
        <v>283</v>
      </c>
      <c r="E230" s="43">
        <v>416101</v>
      </c>
      <c r="F230" s="43" t="s">
        <v>847</v>
      </c>
      <c r="G230" s="44">
        <v>45777</v>
      </c>
      <c r="H230" s="44">
        <v>45917</v>
      </c>
      <c r="I230" s="45">
        <v>18</v>
      </c>
      <c r="J230" s="45">
        <v>500</v>
      </c>
      <c r="K230" s="46">
        <v>90</v>
      </c>
      <c r="L230" s="45"/>
      <c r="M230" s="45"/>
      <c r="N230" s="45">
        <v>90</v>
      </c>
      <c r="O230" s="45">
        <v>590</v>
      </c>
      <c r="P230" s="43" t="s">
        <v>95</v>
      </c>
      <c r="Q230" s="43" t="s">
        <v>185</v>
      </c>
      <c r="R230" s="43" t="s">
        <v>848</v>
      </c>
      <c r="S230" s="43" t="s">
        <v>252</v>
      </c>
      <c r="T230" s="43" t="s">
        <v>253</v>
      </c>
      <c r="U230" s="43"/>
      <c r="V230" s="43">
        <v>997119</v>
      </c>
      <c r="W230" s="43" t="s">
        <v>849</v>
      </c>
      <c r="X230" s="43" t="s">
        <v>101</v>
      </c>
      <c r="Y230" s="43">
        <v>107</v>
      </c>
      <c r="Z230" s="43" t="s">
        <v>102</v>
      </c>
      <c r="AA230" t="s">
        <v>850</v>
      </c>
      <c r="AB230">
        <v>90</v>
      </c>
      <c r="AC230">
        <v>90</v>
      </c>
      <c r="AD230" s="38">
        <v>0</v>
      </c>
      <c r="AE230" t="s">
        <v>104</v>
      </c>
      <c r="AF230" t="s">
        <v>73</v>
      </c>
      <c r="AG230" s="3">
        <f>SUM($K230:$M230)*AG$4/$AF$4</f>
        <v>3.332213411408163</v>
      </c>
      <c r="AH230" s="3">
        <v>0</v>
      </c>
      <c r="AI230" s="3">
        <v>0</v>
      </c>
      <c r="AJ230" s="3">
        <f t="shared" si="207"/>
        <v>3.332213411408163</v>
      </c>
      <c r="AK230" s="3">
        <f>SUM($K230:$M230)*AK$4/$AF$4</f>
        <v>2.7728330853502514E-2</v>
      </c>
      <c r="AL230" s="3">
        <v>0</v>
      </c>
      <c r="AM230" s="3">
        <v>0</v>
      </c>
      <c r="AN230" s="3">
        <f t="shared" si="208"/>
        <v>2.7728330853502514E-2</v>
      </c>
      <c r="AO230" s="3">
        <f>SUM($K230:$M230)*AO$4/$AF$4</f>
        <v>1.3734717372607417</v>
      </c>
      <c r="AP230" s="3">
        <v>0</v>
      </c>
      <c r="AQ230" s="3">
        <v>0</v>
      </c>
      <c r="AR230" s="3">
        <f t="shared" si="209"/>
        <v>1.3734717372607417</v>
      </c>
      <c r="AS230" s="3">
        <f>SUM($K230:$M230)*AS$4/$AF$4</f>
        <v>1.2026233137781692</v>
      </c>
      <c r="AT230" s="3">
        <v>0</v>
      </c>
      <c r="AU230" s="3">
        <v>0</v>
      </c>
      <c r="AV230" s="3">
        <f t="shared" si="210"/>
        <v>1.2026233137781692</v>
      </c>
      <c r="AW230" s="3">
        <f>SUM($K230:$M230)*AW$4/$AF$4</f>
        <v>0.1410672252226669</v>
      </c>
      <c r="AX230" s="3">
        <v>0</v>
      </c>
      <c r="AY230" s="3">
        <v>0</v>
      </c>
      <c r="AZ230" s="3">
        <f t="shared" si="211"/>
        <v>0.1410672252226669</v>
      </c>
      <c r="BA230" s="3">
        <f>SUM($K230:$M230)*BA$4/$AF$4</f>
        <v>1.5063218586544023</v>
      </c>
      <c r="BB230" s="3">
        <v>0</v>
      </c>
      <c r="BC230" s="3">
        <v>0</v>
      </c>
      <c r="BD230" s="3">
        <f t="shared" si="212"/>
        <v>1.5063218586544023</v>
      </c>
      <c r="BE230" s="3">
        <f>$K230*BE$4/$AF$4</f>
        <v>6.5336459584714932</v>
      </c>
      <c r="BF230" s="3">
        <f>$L230*BE$4/$AF$4</f>
        <v>0</v>
      </c>
      <c r="BG230" s="3">
        <f>$M230*BE$4/$AF$4</f>
        <v>0</v>
      </c>
      <c r="BH230" s="3">
        <f t="shared" si="204"/>
        <v>6.5336459584714932</v>
      </c>
      <c r="BI230" s="3">
        <f>SUM($K230:$M230)*BI$4/$AF$4</f>
        <v>3.7895741152927069</v>
      </c>
      <c r="BJ230" s="3">
        <v>0</v>
      </c>
      <c r="BK230" s="3">
        <v>0</v>
      </c>
      <c r="BL230" s="3">
        <f t="shared" si="205"/>
        <v>3.7895741152927069</v>
      </c>
      <c r="BM230" s="3">
        <f>SUM($K230:$M230)*BM$4/$AF$4</f>
        <v>17.400987265111898</v>
      </c>
      <c r="BN230" s="3">
        <v>0</v>
      </c>
      <c r="BO230" s="3">
        <v>0</v>
      </c>
      <c r="BP230" s="3">
        <f t="shared" si="213"/>
        <v>17.400987265111898</v>
      </c>
      <c r="BQ230" s="3">
        <f>SUM($K230:$M230)*BQ$4/$AF$4</f>
        <v>1.5597773687357241</v>
      </c>
      <c r="BR230" s="3">
        <v>0</v>
      </c>
      <c r="BS230" s="3">
        <v>0</v>
      </c>
      <c r="BT230" s="3">
        <f t="shared" si="214"/>
        <v>1.5597773687357241</v>
      </c>
      <c r="BU230" s="3">
        <f>SUM($K230:$M230)*BU$4/$AF$4</f>
        <v>0.247510291465629</v>
      </c>
      <c r="BV230" s="3">
        <v>0</v>
      </c>
      <c r="BW230" s="3">
        <v>0</v>
      </c>
      <c r="BX230" s="3">
        <f t="shared" si="215"/>
        <v>0.247510291465629</v>
      </c>
      <c r="BY230" s="3">
        <f>SUM($K230:$M230)*BY$4/$AF$4</f>
        <v>0.59662253726838244</v>
      </c>
      <c r="BZ230" s="3">
        <v>0</v>
      </c>
      <c r="CA230" s="3">
        <v>0</v>
      </c>
      <c r="CB230" s="3">
        <f t="shared" si="216"/>
        <v>0.59662253726838244</v>
      </c>
      <c r="CC230" s="3">
        <f>SUM($K230:$M230)*CC$4/$AF$4</f>
        <v>0.49394858175995598</v>
      </c>
      <c r="CD230" s="3">
        <v>0</v>
      </c>
      <c r="CE230" s="3">
        <v>0</v>
      </c>
      <c r="CF230" s="3">
        <f t="shared" si="217"/>
        <v>0.49394858175995598</v>
      </c>
      <c r="CG230" s="3">
        <f>SUM($K230:$M230)*CG$4/$AF$4</f>
        <v>0.56590132254572501</v>
      </c>
      <c r="CH230" s="3">
        <v>0</v>
      </c>
      <c r="CI230" s="3">
        <v>0</v>
      </c>
      <c r="CJ230" s="3">
        <f t="shared" si="218"/>
        <v>0.56590132254572501</v>
      </c>
      <c r="CK230" s="3">
        <f>SUM($K230:$M230)*CK$4/$AF$4</f>
        <v>1.1643861773717672</v>
      </c>
      <c r="CL230" s="3">
        <v>0</v>
      </c>
      <c r="CM230" s="3">
        <v>0</v>
      </c>
      <c r="CN230" s="3">
        <f t="shared" si="219"/>
        <v>1.1643861773717672</v>
      </c>
      <c r="CO230" s="3">
        <f>SUM($K230:$M230)*CO$4/$AF$4</f>
        <v>2.2710581202641782</v>
      </c>
      <c r="CP230" s="3">
        <v>0</v>
      </c>
      <c r="CQ230" s="3">
        <v>0</v>
      </c>
      <c r="CR230" s="3">
        <f t="shared" si="220"/>
        <v>2.2710581202641782</v>
      </c>
      <c r="CS230" s="3">
        <f>SUM($K230:$M230)*CS$4/$AF$4</f>
        <v>6.6757010149050986</v>
      </c>
      <c r="CT230" s="3">
        <v>0</v>
      </c>
      <c r="CU230" s="3">
        <v>0</v>
      </c>
      <c r="CV230" s="3">
        <f t="shared" si="221"/>
        <v>6.6757010149050986</v>
      </c>
      <c r="CW230" s="3">
        <f>SUM($K230:$M230)*CW$4/$AF$4</f>
        <v>22.165834734164132</v>
      </c>
      <c r="CX230" s="3">
        <v>0</v>
      </c>
      <c r="CY230" s="3">
        <v>0</v>
      </c>
      <c r="CZ230" s="3">
        <f t="shared" si="228"/>
        <v>22.165834734164132</v>
      </c>
      <c r="DA230" s="3">
        <f>SUM($K230:$M230)*DA$4/$AF$4</f>
        <v>1.5105434292345805</v>
      </c>
      <c r="DB230" s="3">
        <v>0</v>
      </c>
      <c r="DC230" s="3">
        <v>0</v>
      </c>
      <c r="DD230" s="3">
        <f t="shared" si="222"/>
        <v>1.5105434292345805</v>
      </c>
      <c r="DE230" s="3">
        <f>SUM($K230:$M230)*DE$4/$AF$4</f>
        <v>0.25464300188803812</v>
      </c>
      <c r="DF230" s="3">
        <v>0</v>
      </c>
      <c r="DG230" s="3">
        <v>0</v>
      </c>
      <c r="DH230" s="3">
        <f t="shared" si="223"/>
        <v>0.25464300188803812</v>
      </c>
      <c r="DI230" s="3">
        <f>SUM($K230:$M230)*DI$4/$AF$4</f>
        <v>0</v>
      </c>
      <c r="DJ230" s="3">
        <v>0</v>
      </c>
      <c r="DK230" s="3">
        <v>0</v>
      </c>
      <c r="DL230" s="3">
        <f t="shared" si="203"/>
        <v>0</v>
      </c>
      <c r="DM230" s="3">
        <f>SUM($K230:$M230)*DM$4/$AF$4</f>
        <v>1.2588232397315691</v>
      </c>
      <c r="DN230" s="3">
        <v>0</v>
      </c>
      <c r="DO230" s="3">
        <v>0</v>
      </c>
      <c r="DP230" s="3">
        <f t="shared" si="224"/>
        <v>1.2588232397315691</v>
      </c>
      <c r="DQ230" s="3">
        <f>SUM($K230:$M230)*DQ$4/$AF$4</f>
        <v>2.6569315794203687</v>
      </c>
      <c r="DR230" s="3">
        <v>0</v>
      </c>
      <c r="DS230" s="3">
        <v>0</v>
      </c>
      <c r="DT230" s="3">
        <f t="shared" si="229"/>
        <v>2.6569315794203687</v>
      </c>
      <c r="DU230" s="3">
        <f>SUM($K230:$M230)*DU$4/$AF$4</f>
        <v>13.225376708065189</v>
      </c>
      <c r="DV230" s="3">
        <v>0</v>
      </c>
      <c r="DW230" s="3">
        <v>0</v>
      </c>
      <c r="DX230" s="3">
        <f t="shared" si="225"/>
        <v>13.225376708065189</v>
      </c>
      <c r="DY230" s="3">
        <f>SUM($K230:$M230)*DY$4/$AF$4</f>
        <v>4.5308677125889943E-2</v>
      </c>
      <c r="DZ230" s="3">
        <v>0</v>
      </c>
      <c r="EA230" s="3">
        <v>0</v>
      </c>
      <c r="EB230" s="3">
        <f t="shared" si="226"/>
        <v>4.5308677125889943E-2</v>
      </c>
      <c r="EC230" s="4">
        <f>AJ230+AN230+AR230+AV230+AZ230+BD230+BH230+BL230+BP230+BT230+BX230+CB230+CF230+CJ230+CN230+CR230+CV230+CZ230+DD230+DH230+DP230+DT230+DX230+EB230</f>
        <v>89.999999999999986</v>
      </c>
      <c r="ED230" s="5">
        <f t="shared" si="227"/>
        <v>0</v>
      </c>
      <c r="EE230" s="6">
        <f t="shared" si="230"/>
        <v>89.999999999999986</v>
      </c>
      <c r="EF230" s="6">
        <f t="shared" si="230"/>
        <v>0</v>
      </c>
      <c r="EG230" s="6">
        <f t="shared" si="230"/>
        <v>0</v>
      </c>
    </row>
    <row r="231" spans="1:137" ht="12" customHeight="1" x14ac:dyDescent="0.35">
      <c r="A231" s="43" t="s">
        <v>845</v>
      </c>
      <c r="B231" s="43">
        <v>39917</v>
      </c>
      <c r="C231" s="43" t="s">
        <v>846</v>
      </c>
      <c r="D231" s="43" t="s">
        <v>283</v>
      </c>
      <c r="E231" s="43">
        <v>416101</v>
      </c>
      <c r="F231" s="43" t="s">
        <v>851</v>
      </c>
      <c r="G231" s="44">
        <v>45777</v>
      </c>
      <c r="H231" s="44">
        <v>45917</v>
      </c>
      <c r="I231" s="45">
        <v>18</v>
      </c>
      <c r="J231" s="45">
        <v>500</v>
      </c>
      <c r="K231" s="46">
        <v>90</v>
      </c>
      <c r="L231" s="45"/>
      <c r="M231" s="45"/>
      <c r="N231" s="45">
        <v>90</v>
      </c>
      <c r="O231" s="45">
        <v>590</v>
      </c>
      <c r="P231" s="43" t="s">
        <v>95</v>
      </c>
      <c r="Q231" s="43" t="s">
        <v>185</v>
      </c>
      <c r="R231" s="43" t="s">
        <v>848</v>
      </c>
      <c r="S231" s="43" t="s">
        <v>252</v>
      </c>
      <c r="T231" s="43" t="s">
        <v>253</v>
      </c>
      <c r="U231" s="43"/>
      <c r="V231" s="43">
        <v>997119</v>
      </c>
      <c r="W231" s="43" t="s">
        <v>849</v>
      </c>
      <c r="X231" s="43" t="s">
        <v>101</v>
      </c>
      <c r="Y231" s="43">
        <v>107</v>
      </c>
      <c r="Z231" s="43" t="s">
        <v>102</v>
      </c>
      <c r="AA231" t="s">
        <v>852</v>
      </c>
      <c r="AB231">
        <v>90</v>
      </c>
      <c r="AC231">
        <v>90</v>
      </c>
      <c r="AD231" s="38">
        <v>0</v>
      </c>
      <c r="AE231" t="s">
        <v>104</v>
      </c>
      <c r="AF231" t="s">
        <v>73</v>
      </c>
      <c r="AG231" s="3">
        <f>SUM($K231:$M231)*AG$4/$AF$4</f>
        <v>3.332213411408163</v>
      </c>
      <c r="AH231" s="3">
        <v>0</v>
      </c>
      <c r="AI231" s="3">
        <v>0</v>
      </c>
      <c r="AJ231" s="3">
        <f t="shared" si="207"/>
        <v>3.332213411408163</v>
      </c>
      <c r="AK231" s="3">
        <f>SUM($K231:$M231)*AK$4/$AF$4</f>
        <v>2.7728330853502514E-2</v>
      </c>
      <c r="AL231" s="3">
        <v>0</v>
      </c>
      <c r="AM231" s="3">
        <v>0</v>
      </c>
      <c r="AN231" s="3">
        <f t="shared" si="208"/>
        <v>2.7728330853502514E-2</v>
      </c>
      <c r="AO231" s="3">
        <f>SUM($K231:$M231)*AO$4/$AF$4</f>
        <v>1.3734717372607417</v>
      </c>
      <c r="AP231" s="3">
        <v>0</v>
      </c>
      <c r="AQ231" s="3">
        <v>0</v>
      </c>
      <c r="AR231" s="3">
        <f t="shared" si="209"/>
        <v>1.3734717372607417</v>
      </c>
      <c r="AS231" s="3">
        <f>SUM($K231:$M231)*AS$4/$AF$4</f>
        <v>1.2026233137781692</v>
      </c>
      <c r="AT231" s="3">
        <v>0</v>
      </c>
      <c r="AU231" s="3">
        <v>0</v>
      </c>
      <c r="AV231" s="3">
        <f t="shared" si="210"/>
        <v>1.2026233137781692</v>
      </c>
      <c r="AW231" s="3">
        <f>SUM($K231:$M231)*AW$4/$AF$4</f>
        <v>0.1410672252226669</v>
      </c>
      <c r="AX231" s="3">
        <v>0</v>
      </c>
      <c r="AY231" s="3">
        <v>0</v>
      </c>
      <c r="AZ231" s="3">
        <f t="shared" si="211"/>
        <v>0.1410672252226669</v>
      </c>
      <c r="BA231" s="3">
        <f>SUM($K231:$M231)*BA$4/$AF$4</f>
        <v>1.5063218586544023</v>
      </c>
      <c r="BB231" s="3">
        <v>0</v>
      </c>
      <c r="BC231" s="3">
        <v>0</v>
      </c>
      <c r="BD231" s="3">
        <f t="shared" si="212"/>
        <v>1.5063218586544023</v>
      </c>
      <c r="BE231" s="3">
        <f>$K231*BE$4/$AF$4</f>
        <v>6.5336459584714932</v>
      </c>
      <c r="BF231" s="3">
        <f>$L231*BE$4/$AF$4</f>
        <v>0</v>
      </c>
      <c r="BG231" s="3">
        <f>$M231*BE$4/$AF$4</f>
        <v>0</v>
      </c>
      <c r="BH231" s="3">
        <f t="shared" si="204"/>
        <v>6.5336459584714932</v>
      </c>
      <c r="BI231" s="3">
        <f>SUM($K231:$M231)*BI$4/$AF$4</f>
        <v>3.7895741152927069</v>
      </c>
      <c r="BJ231" s="3">
        <v>0</v>
      </c>
      <c r="BK231" s="3">
        <v>0</v>
      </c>
      <c r="BL231" s="3">
        <f t="shared" si="205"/>
        <v>3.7895741152927069</v>
      </c>
      <c r="BM231" s="3">
        <f>SUM($K231:$M231)*BM$4/$AF$4</f>
        <v>17.400987265111898</v>
      </c>
      <c r="BN231" s="3">
        <v>0</v>
      </c>
      <c r="BO231" s="3">
        <v>0</v>
      </c>
      <c r="BP231" s="3">
        <f t="shared" si="213"/>
        <v>17.400987265111898</v>
      </c>
      <c r="BQ231" s="3">
        <f>SUM($K231:$M231)*BQ$4/$AF$4</f>
        <v>1.5597773687357241</v>
      </c>
      <c r="BR231" s="3">
        <v>0</v>
      </c>
      <c r="BS231" s="3">
        <v>0</v>
      </c>
      <c r="BT231" s="3">
        <f t="shared" si="214"/>
        <v>1.5597773687357241</v>
      </c>
      <c r="BU231" s="3">
        <f>SUM($K231:$M231)*BU$4/$AF$4</f>
        <v>0.247510291465629</v>
      </c>
      <c r="BV231" s="3">
        <v>0</v>
      </c>
      <c r="BW231" s="3">
        <v>0</v>
      </c>
      <c r="BX231" s="3">
        <f t="shared" si="215"/>
        <v>0.247510291465629</v>
      </c>
      <c r="BY231" s="3">
        <f>SUM($K231:$M231)*BY$4/$AF$4</f>
        <v>0.59662253726838244</v>
      </c>
      <c r="BZ231" s="3">
        <v>0</v>
      </c>
      <c r="CA231" s="3">
        <v>0</v>
      </c>
      <c r="CB231" s="3">
        <f t="shared" si="216"/>
        <v>0.59662253726838244</v>
      </c>
      <c r="CC231" s="3">
        <f>SUM($K231:$M231)*CC$4/$AF$4</f>
        <v>0.49394858175995598</v>
      </c>
      <c r="CD231" s="3">
        <v>0</v>
      </c>
      <c r="CE231" s="3">
        <v>0</v>
      </c>
      <c r="CF231" s="3">
        <f t="shared" si="217"/>
        <v>0.49394858175995598</v>
      </c>
      <c r="CG231" s="3">
        <f>SUM($K231:$M231)*CG$4/$AF$4</f>
        <v>0.56590132254572501</v>
      </c>
      <c r="CH231" s="3">
        <v>0</v>
      </c>
      <c r="CI231" s="3">
        <v>0</v>
      </c>
      <c r="CJ231" s="3">
        <f t="shared" si="218"/>
        <v>0.56590132254572501</v>
      </c>
      <c r="CK231" s="3">
        <f>SUM($K231:$M231)*CK$4/$AF$4</f>
        <v>1.1643861773717672</v>
      </c>
      <c r="CL231" s="3">
        <v>0</v>
      </c>
      <c r="CM231" s="3">
        <v>0</v>
      </c>
      <c r="CN231" s="3">
        <f t="shared" si="219"/>
        <v>1.1643861773717672</v>
      </c>
      <c r="CO231" s="3">
        <f>SUM($K231:$M231)*CO$4/$AF$4</f>
        <v>2.2710581202641782</v>
      </c>
      <c r="CP231" s="3">
        <v>0</v>
      </c>
      <c r="CQ231" s="3">
        <v>0</v>
      </c>
      <c r="CR231" s="3">
        <f t="shared" si="220"/>
        <v>2.2710581202641782</v>
      </c>
      <c r="CS231" s="3">
        <f>SUM($K231:$M231)*CS$4/$AF$4</f>
        <v>6.6757010149050986</v>
      </c>
      <c r="CT231" s="3">
        <v>0</v>
      </c>
      <c r="CU231" s="3">
        <v>0</v>
      </c>
      <c r="CV231" s="3">
        <f t="shared" si="221"/>
        <v>6.6757010149050986</v>
      </c>
      <c r="CW231" s="3">
        <f>SUM($K231:$M231)*CW$4/$AF$4</f>
        <v>22.165834734164132</v>
      </c>
      <c r="CX231" s="3">
        <v>0</v>
      </c>
      <c r="CY231" s="3">
        <v>0</v>
      </c>
      <c r="CZ231" s="3">
        <f t="shared" si="228"/>
        <v>22.165834734164132</v>
      </c>
      <c r="DA231" s="3">
        <f>SUM($K231:$M231)*DA$4/$AF$4</f>
        <v>1.5105434292345805</v>
      </c>
      <c r="DB231" s="3">
        <v>0</v>
      </c>
      <c r="DC231" s="3">
        <v>0</v>
      </c>
      <c r="DD231" s="3">
        <f t="shared" si="222"/>
        <v>1.5105434292345805</v>
      </c>
      <c r="DE231" s="3">
        <f>SUM($K231:$M231)*DE$4/$AF$4</f>
        <v>0.25464300188803812</v>
      </c>
      <c r="DF231" s="3">
        <v>0</v>
      </c>
      <c r="DG231" s="3">
        <v>0</v>
      </c>
      <c r="DH231" s="3">
        <f t="shared" si="223"/>
        <v>0.25464300188803812</v>
      </c>
      <c r="DI231" s="3">
        <f>SUM($K231:$M231)*DI$4/$AF$4</f>
        <v>0</v>
      </c>
      <c r="DJ231" s="3">
        <v>0</v>
      </c>
      <c r="DK231" s="3">
        <v>0</v>
      </c>
      <c r="DL231" s="3">
        <f t="shared" si="203"/>
        <v>0</v>
      </c>
      <c r="DM231" s="3">
        <f>SUM($K231:$M231)*DM$4/$AF$4</f>
        <v>1.2588232397315691</v>
      </c>
      <c r="DN231" s="3">
        <v>0</v>
      </c>
      <c r="DO231" s="3">
        <v>0</v>
      </c>
      <c r="DP231" s="3">
        <f t="shared" si="224"/>
        <v>1.2588232397315691</v>
      </c>
      <c r="DQ231" s="3">
        <f>SUM($K231:$M231)*DQ$4/$AF$4</f>
        <v>2.6569315794203687</v>
      </c>
      <c r="DR231" s="3">
        <v>0</v>
      </c>
      <c r="DS231" s="3">
        <v>0</v>
      </c>
      <c r="DT231" s="3">
        <f t="shared" si="229"/>
        <v>2.6569315794203687</v>
      </c>
      <c r="DU231" s="3">
        <f>SUM($K231:$M231)*DU$4/$AF$4</f>
        <v>13.225376708065189</v>
      </c>
      <c r="DV231" s="3">
        <v>0</v>
      </c>
      <c r="DW231" s="3">
        <v>0</v>
      </c>
      <c r="DX231" s="3">
        <f t="shared" si="225"/>
        <v>13.225376708065189</v>
      </c>
      <c r="DY231" s="3">
        <f>SUM($K231:$M231)*DY$4/$AF$4</f>
        <v>4.5308677125889943E-2</v>
      </c>
      <c r="DZ231" s="3">
        <v>0</v>
      </c>
      <c r="EA231" s="3">
        <v>0</v>
      </c>
      <c r="EB231" s="3">
        <f t="shared" si="226"/>
        <v>4.5308677125889943E-2</v>
      </c>
      <c r="EC231" s="4">
        <f>AJ231+AN231+AR231+AV231+AZ231+BD231+BH231+BL231+BP231+BT231+BX231+CB231+CF231+CJ231+CN231+CR231+CV231+CZ231+DD231+DH231+DP231+DT231+DX231+EB231</f>
        <v>89.999999999999986</v>
      </c>
      <c r="ED231" s="5">
        <f t="shared" si="227"/>
        <v>0</v>
      </c>
      <c r="EE231" s="6">
        <f t="shared" si="230"/>
        <v>89.999999999999986</v>
      </c>
      <c r="EF231" s="6">
        <f t="shared" si="230"/>
        <v>0</v>
      </c>
      <c r="EG231" s="6">
        <f t="shared" si="230"/>
        <v>0</v>
      </c>
    </row>
    <row r="232" spans="1:137" ht="12" customHeight="1" x14ac:dyDescent="0.35">
      <c r="A232" s="43" t="s">
        <v>845</v>
      </c>
      <c r="B232" s="43">
        <v>39917</v>
      </c>
      <c r="C232" s="43" t="s">
        <v>846</v>
      </c>
      <c r="D232" s="43" t="s">
        <v>283</v>
      </c>
      <c r="E232" s="43">
        <v>416101</v>
      </c>
      <c r="F232" s="43" t="s">
        <v>853</v>
      </c>
      <c r="G232" s="44">
        <v>45777</v>
      </c>
      <c r="H232" s="44">
        <v>45917</v>
      </c>
      <c r="I232" s="45">
        <v>18</v>
      </c>
      <c r="J232" s="45">
        <v>500</v>
      </c>
      <c r="K232" s="46">
        <v>90</v>
      </c>
      <c r="L232" s="45"/>
      <c r="M232" s="45"/>
      <c r="N232" s="45">
        <v>90</v>
      </c>
      <c r="O232" s="45">
        <v>590</v>
      </c>
      <c r="P232" s="43" t="s">
        <v>95</v>
      </c>
      <c r="Q232" s="43" t="s">
        <v>185</v>
      </c>
      <c r="R232" s="43" t="s">
        <v>848</v>
      </c>
      <c r="S232" s="43" t="s">
        <v>252</v>
      </c>
      <c r="T232" s="43" t="s">
        <v>253</v>
      </c>
      <c r="U232" s="43"/>
      <c r="V232" s="43">
        <v>997119</v>
      </c>
      <c r="W232" s="43" t="s">
        <v>849</v>
      </c>
      <c r="X232" s="43" t="s">
        <v>101</v>
      </c>
      <c r="Y232" s="43">
        <v>107</v>
      </c>
      <c r="Z232" s="43" t="s">
        <v>102</v>
      </c>
      <c r="AA232" t="s">
        <v>854</v>
      </c>
      <c r="AB232">
        <v>90</v>
      </c>
      <c r="AC232">
        <v>90</v>
      </c>
      <c r="AD232" s="38">
        <v>0</v>
      </c>
      <c r="AE232" t="s">
        <v>104</v>
      </c>
      <c r="AF232" t="s">
        <v>73</v>
      </c>
      <c r="AG232" s="3">
        <f>SUM($K232:$M232)*AG$4/$AF$4</f>
        <v>3.332213411408163</v>
      </c>
      <c r="AH232" s="3">
        <v>0</v>
      </c>
      <c r="AI232" s="3">
        <v>0</v>
      </c>
      <c r="AJ232" s="3">
        <f t="shared" si="207"/>
        <v>3.332213411408163</v>
      </c>
      <c r="AK232" s="3">
        <f>SUM($K232:$M232)*AK$4/$AF$4</f>
        <v>2.7728330853502514E-2</v>
      </c>
      <c r="AL232" s="3">
        <v>0</v>
      </c>
      <c r="AM232" s="3">
        <v>0</v>
      </c>
      <c r="AN232" s="3">
        <f t="shared" si="208"/>
        <v>2.7728330853502514E-2</v>
      </c>
      <c r="AO232" s="3">
        <f>SUM($K232:$M232)*AO$4/$AF$4</f>
        <v>1.3734717372607417</v>
      </c>
      <c r="AP232" s="3">
        <v>0</v>
      </c>
      <c r="AQ232" s="3">
        <v>0</v>
      </c>
      <c r="AR232" s="3">
        <f t="shared" si="209"/>
        <v>1.3734717372607417</v>
      </c>
      <c r="AS232" s="3">
        <f>SUM($K232:$M232)*AS$4/$AF$4</f>
        <v>1.2026233137781692</v>
      </c>
      <c r="AT232" s="3">
        <v>0</v>
      </c>
      <c r="AU232" s="3">
        <v>0</v>
      </c>
      <c r="AV232" s="3">
        <f t="shared" si="210"/>
        <v>1.2026233137781692</v>
      </c>
      <c r="AW232" s="3">
        <f>SUM($K232:$M232)*AW$4/$AF$4</f>
        <v>0.1410672252226669</v>
      </c>
      <c r="AX232" s="3">
        <v>0</v>
      </c>
      <c r="AY232" s="3">
        <v>0</v>
      </c>
      <c r="AZ232" s="3">
        <f t="shared" si="211"/>
        <v>0.1410672252226669</v>
      </c>
      <c r="BA232" s="3">
        <f>SUM($K232:$M232)*BA$4/$AF$4</f>
        <v>1.5063218586544023</v>
      </c>
      <c r="BB232" s="3">
        <v>0</v>
      </c>
      <c r="BC232" s="3">
        <v>0</v>
      </c>
      <c r="BD232" s="3">
        <f t="shared" si="212"/>
        <v>1.5063218586544023</v>
      </c>
      <c r="BE232" s="3">
        <f>$K232*BE$4/$AF$4</f>
        <v>6.5336459584714932</v>
      </c>
      <c r="BF232" s="3">
        <f>$L232*BE$4/$AF$4</f>
        <v>0</v>
      </c>
      <c r="BG232" s="3">
        <f>$M232*BE$4/$AF$4</f>
        <v>0</v>
      </c>
      <c r="BH232" s="3">
        <f t="shared" si="204"/>
        <v>6.5336459584714932</v>
      </c>
      <c r="BI232" s="3">
        <f>SUM($K232:$M232)*BI$4/$AF$4</f>
        <v>3.7895741152927069</v>
      </c>
      <c r="BJ232" s="3">
        <v>0</v>
      </c>
      <c r="BK232" s="3">
        <v>0</v>
      </c>
      <c r="BL232" s="3">
        <f t="shared" si="205"/>
        <v>3.7895741152927069</v>
      </c>
      <c r="BM232" s="3">
        <f>SUM($K232:$M232)*BM$4/$AF$4</f>
        <v>17.400987265111898</v>
      </c>
      <c r="BN232" s="3">
        <v>0</v>
      </c>
      <c r="BO232" s="3">
        <v>0</v>
      </c>
      <c r="BP232" s="3">
        <f t="shared" si="213"/>
        <v>17.400987265111898</v>
      </c>
      <c r="BQ232" s="3">
        <f>SUM($K232:$M232)*BQ$4/$AF$4</f>
        <v>1.5597773687357241</v>
      </c>
      <c r="BR232" s="3">
        <v>0</v>
      </c>
      <c r="BS232" s="3">
        <v>0</v>
      </c>
      <c r="BT232" s="3">
        <f t="shared" si="214"/>
        <v>1.5597773687357241</v>
      </c>
      <c r="BU232" s="3">
        <f>SUM($K232:$M232)*BU$4/$AF$4</f>
        <v>0.247510291465629</v>
      </c>
      <c r="BV232" s="3">
        <v>0</v>
      </c>
      <c r="BW232" s="3">
        <v>0</v>
      </c>
      <c r="BX232" s="3">
        <f t="shared" si="215"/>
        <v>0.247510291465629</v>
      </c>
      <c r="BY232" s="3">
        <f>SUM($K232:$M232)*BY$4/$AF$4</f>
        <v>0.59662253726838244</v>
      </c>
      <c r="BZ232" s="3">
        <v>0</v>
      </c>
      <c r="CA232" s="3">
        <v>0</v>
      </c>
      <c r="CB232" s="3">
        <f t="shared" si="216"/>
        <v>0.59662253726838244</v>
      </c>
      <c r="CC232" s="3">
        <f>SUM($K232:$M232)*CC$4/$AF$4</f>
        <v>0.49394858175995598</v>
      </c>
      <c r="CD232" s="3">
        <v>0</v>
      </c>
      <c r="CE232" s="3">
        <v>0</v>
      </c>
      <c r="CF232" s="3">
        <f t="shared" si="217"/>
        <v>0.49394858175995598</v>
      </c>
      <c r="CG232" s="3">
        <f>SUM($K232:$M232)*CG$4/$AF$4</f>
        <v>0.56590132254572501</v>
      </c>
      <c r="CH232" s="3">
        <v>0</v>
      </c>
      <c r="CI232" s="3">
        <v>0</v>
      </c>
      <c r="CJ232" s="3">
        <f t="shared" si="218"/>
        <v>0.56590132254572501</v>
      </c>
      <c r="CK232" s="3">
        <f>SUM($K232:$M232)*CK$4/$AF$4</f>
        <v>1.1643861773717672</v>
      </c>
      <c r="CL232" s="3">
        <v>0</v>
      </c>
      <c r="CM232" s="3">
        <v>0</v>
      </c>
      <c r="CN232" s="3">
        <f t="shared" si="219"/>
        <v>1.1643861773717672</v>
      </c>
      <c r="CO232" s="3">
        <f>SUM($K232:$M232)*CO$4/$AF$4</f>
        <v>2.2710581202641782</v>
      </c>
      <c r="CP232" s="3">
        <v>0</v>
      </c>
      <c r="CQ232" s="3">
        <v>0</v>
      </c>
      <c r="CR232" s="3">
        <f t="shared" si="220"/>
        <v>2.2710581202641782</v>
      </c>
      <c r="CS232" s="3">
        <f>SUM($K232:$M232)*CS$4/$AF$4</f>
        <v>6.6757010149050986</v>
      </c>
      <c r="CT232" s="3">
        <v>0</v>
      </c>
      <c r="CU232" s="3">
        <v>0</v>
      </c>
      <c r="CV232" s="3">
        <f t="shared" si="221"/>
        <v>6.6757010149050986</v>
      </c>
      <c r="CW232" s="3">
        <f>SUM($K232:$M232)*CW$4/$AF$4</f>
        <v>22.165834734164132</v>
      </c>
      <c r="CX232" s="3">
        <v>0</v>
      </c>
      <c r="CY232" s="3">
        <v>0</v>
      </c>
      <c r="CZ232" s="3">
        <f t="shared" si="228"/>
        <v>22.165834734164132</v>
      </c>
      <c r="DA232" s="3">
        <f>SUM($K232:$M232)*DA$4/$AF$4</f>
        <v>1.5105434292345805</v>
      </c>
      <c r="DB232" s="3">
        <v>0</v>
      </c>
      <c r="DC232" s="3">
        <v>0</v>
      </c>
      <c r="DD232" s="3">
        <f t="shared" si="222"/>
        <v>1.5105434292345805</v>
      </c>
      <c r="DE232" s="3">
        <f>SUM($K232:$M232)*DE$4/$AF$4</f>
        <v>0.25464300188803812</v>
      </c>
      <c r="DF232" s="3">
        <v>0</v>
      </c>
      <c r="DG232" s="3">
        <v>0</v>
      </c>
      <c r="DH232" s="3">
        <f t="shared" si="223"/>
        <v>0.25464300188803812</v>
      </c>
      <c r="DI232" s="3">
        <f>SUM($K232:$M232)*DI$4/$AF$4</f>
        <v>0</v>
      </c>
      <c r="DJ232" s="3">
        <v>0</v>
      </c>
      <c r="DK232" s="3">
        <v>0</v>
      </c>
      <c r="DL232" s="3">
        <f t="shared" si="203"/>
        <v>0</v>
      </c>
      <c r="DM232" s="3">
        <f>SUM($K232:$M232)*DM$4/$AF$4</f>
        <v>1.2588232397315691</v>
      </c>
      <c r="DN232" s="3">
        <v>0</v>
      </c>
      <c r="DO232" s="3">
        <v>0</v>
      </c>
      <c r="DP232" s="3">
        <f t="shared" si="224"/>
        <v>1.2588232397315691</v>
      </c>
      <c r="DQ232" s="3">
        <f>SUM($K232:$M232)*DQ$4/$AF$4</f>
        <v>2.6569315794203687</v>
      </c>
      <c r="DR232" s="3">
        <v>0</v>
      </c>
      <c r="DS232" s="3">
        <v>0</v>
      </c>
      <c r="DT232" s="3">
        <f t="shared" si="229"/>
        <v>2.6569315794203687</v>
      </c>
      <c r="DU232" s="3">
        <f>SUM($K232:$M232)*DU$4/$AF$4</f>
        <v>13.225376708065189</v>
      </c>
      <c r="DV232" s="3">
        <v>0</v>
      </c>
      <c r="DW232" s="3">
        <v>0</v>
      </c>
      <c r="DX232" s="3">
        <f t="shared" si="225"/>
        <v>13.225376708065189</v>
      </c>
      <c r="DY232" s="3">
        <f>SUM($K232:$M232)*DY$4/$AF$4</f>
        <v>4.5308677125889943E-2</v>
      </c>
      <c r="DZ232" s="3">
        <v>0</v>
      </c>
      <c r="EA232" s="3">
        <v>0</v>
      </c>
      <c r="EB232" s="3">
        <f t="shared" si="226"/>
        <v>4.5308677125889943E-2</v>
      </c>
      <c r="EC232" s="4">
        <f>AJ232+AN232+AR232+AV232+AZ232+BD232+BH232+BL232+BP232+BT232+BX232+CB232+CF232+CJ232+CN232+CR232+CV232+CZ232+DD232+DH232+DP232+DT232+DX232+EB232</f>
        <v>89.999999999999986</v>
      </c>
      <c r="ED232" s="5">
        <f t="shared" si="227"/>
        <v>0</v>
      </c>
      <c r="EE232" s="6">
        <f t="shared" si="230"/>
        <v>89.999999999999986</v>
      </c>
      <c r="EF232" s="6">
        <f t="shared" si="230"/>
        <v>0</v>
      </c>
      <c r="EG232" s="6">
        <f t="shared" si="230"/>
        <v>0</v>
      </c>
    </row>
  </sheetData>
  <mergeCells count="52">
    <mergeCell ref="DI6:DL6"/>
    <mergeCell ref="DM6:DP6"/>
    <mergeCell ref="DQ6:DT6"/>
    <mergeCell ref="DU6:DX6"/>
    <mergeCell ref="DY6:EB6"/>
    <mergeCell ref="EE6:EG6"/>
    <mergeCell ref="CK6:CN6"/>
    <mergeCell ref="CO6:CR6"/>
    <mergeCell ref="CS6:CV6"/>
    <mergeCell ref="CW6:CZ6"/>
    <mergeCell ref="DA6:DD6"/>
    <mergeCell ref="DE6:DH6"/>
    <mergeCell ref="BM6:BP6"/>
    <mergeCell ref="BQ6:BT6"/>
    <mergeCell ref="BU6:BX6"/>
    <mergeCell ref="BY6:CB6"/>
    <mergeCell ref="CC6:CF6"/>
    <mergeCell ref="CG6:CJ6"/>
    <mergeCell ref="DY5:EB5"/>
    <mergeCell ref="EC5:EG5"/>
    <mergeCell ref="AG6:AJ6"/>
    <mergeCell ref="AK6:AN6"/>
    <mergeCell ref="AO6:AR6"/>
    <mergeCell ref="AS6:AV6"/>
    <mergeCell ref="AW6:AZ6"/>
    <mergeCell ref="BA6:BD6"/>
    <mergeCell ref="BE6:BH6"/>
    <mergeCell ref="BI6:BL6"/>
    <mergeCell ref="DA5:DD5"/>
    <mergeCell ref="DE5:DH5"/>
    <mergeCell ref="DI5:DL5"/>
    <mergeCell ref="DM5:DP5"/>
    <mergeCell ref="DQ5:DT5"/>
    <mergeCell ref="DU5:DX5"/>
    <mergeCell ref="CC5:CF5"/>
    <mergeCell ref="CG5:CJ5"/>
    <mergeCell ref="CK5:CN5"/>
    <mergeCell ref="CO5:CR5"/>
    <mergeCell ref="CS5:CV5"/>
    <mergeCell ref="CW5:CZ5"/>
    <mergeCell ref="BE5:BH5"/>
    <mergeCell ref="BI5:BL5"/>
    <mergeCell ref="BM5:BP5"/>
    <mergeCell ref="BQ5:BT5"/>
    <mergeCell ref="BU5:BX5"/>
    <mergeCell ref="BY5:CB5"/>
    <mergeCell ref="AG5:AJ5"/>
    <mergeCell ref="AK5:AN5"/>
    <mergeCell ref="AO5:AR5"/>
    <mergeCell ref="AS5:AV5"/>
    <mergeCell ref="AW5:AZ5"/>
    <mergeCell ref="BA5:BD5"/>
  </mergeCells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Chauhan</dc:creator>
  <cp:lastModifiedBy>Himanshu Chauhan</cp:lastModifiedBy>
  <dcterms:created xsi:type="dcterms:W3CDTF">2026-06-04T10:26:48Z</dcterms:created>
  <dcterms:modified xsi:type="dcterms:W3CDTF">2026-06-04T10:26:52Z</dcterms:modified>
</cp:coreProperties>
</file>