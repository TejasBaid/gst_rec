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Metadata/LabelInfo.xml" ContentType="application/vnd.ms-office.classificationlabel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mc:AlternateContent xmlns:mc="http://schemas.openxmlformats.org/markup-compatibility/2006">
    <mc:Choice Requires="x15">
      <x15ac:absPath xmlns:x15ac="http://schemas.microsoft.com/office/spreadsheetml/2010/11/ac" url="D:\Working\Taxation\GST\FY-2026-27\Working\Apr-26\GSTR-3B\DL\"/>
    </mc:Choice>
  </mc:AlternateContent>
  <bookViews>
    <workbookView xWindow="-110" yWindow="-110" windowWidth="19420" windowHeight="11500" activeTab="0"/>
  </bookViews>
  <sheets>
    <sheet name="B2B+CN+DN" sheetId="1" r:id="rId3"/>
    <sheet name="ISD" sheetId="2" r:id="rId4"/>
  </sheets>
  <externalReferences>
    <externalReference r:id="rId6"/>
  </externalReferences>
  <definedNames>
    <definedName name="_xlnm._FilterDatabase" localSheetId="0" hidden="1" comment="">'B2B+CN+DN'!$A$3:$AH$979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<sst xmlns="http://schemas.openxmlformats.org/spreadsheetml/2006/main" count="15975" uniqueCount="1926">
  <si>
    <t>GSTIN of supplier</t>
  </si>
  <si>
    <t>Trade/Legal name</t>
  </si>
  <si>
    <t>Place of supply</t>
  </si>
  <si>
    <t>Supply Attract Reverse Charge</t>
  </si>
  <si>
    <t>Taxable Value (₹)</t>
  </si>
  <si>
    <t>GSTR-1/IFF/GSTR-5 Period</t>
  </si>
  <si>
    <t>GSTR-1/IFF/GSTR-5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</si>
  <si>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</si>
  <si>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</si>
  <si>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</si>
  <si>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</si>
  <si>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</si>
  <si>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</si>
  <si>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</si>
  <si>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</si>
  <si>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</si>
  <si>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</si>
  <si>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</si>
  <si>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</si>
  <si>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</si>
  <si>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</si>
  <si>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27AAACP8376M1ZR</t>
  </si>
  <si>
    <t>President, Mumbai-IHCL SELEQTIONS</t>
  </si>
  <si>
    <t>9H00234707</t>
  </si>
  <si>
    <t>Regular</t>
  </si>
  <si>
    <t>07/04/2026</t>
  </si>
  <si>
    <t>Maharashtra</t>
  </si>
  <si>
    <t>No</t>
  </si>
  <si>
    <t>Apr'26</t>
  </si>
  <si>
    <t>11/05/2026</t>
  </si>
  <si>
    <t>POS and supplier state are same but recipient state is different</t>
  </si>
  <si>
    <t>100%</t>
  </si>
  <si>
    <t>E-Invoice</t>
  </si>
  <si>
    <t>10610dffa3f4794dbad473f108a1e6b3ee0edf2e1f8d28c7a5006c84e679adde</t>
  </si>
  <si>
    <t>9H00235066</t>
  </si>
  <si>
    <t>18/04/2026</t>
  </si>
  <si>
    <t>5db5b7689fafa8fd3fc0976eaba1912a4cfbfa0a9a63027e5d85b0d2e3fe2ccc</t>
  </si>
  <si>
    <t>9H00235378</t>
  </si>
  <si>
    <t>26/04/2026</t>
  </si>
  <si>
    <t>6a1435b1d9943e239ead4dc0aae2c9587fc70a10c89ad8a2fafb856d3f03be39</t>
  </si>
  <si>
    <t>06AHIPN8594R1Z6</t>
  </si>
  <si>
    <t>SATHVIK DISTRIBUTORS</t>
  </si>
  <si>
    <t>2026-27/CL/11</t>
  </si>
  <si>
    <t>04/04/2026</t>
  </si>
  <si>
    <t>Delhi</t>
  </si>
  <si>
    <t>Yes</t>
  </si>
  <si>
    <t/>
  </si>
  <si>
    <t>2026-27/CL/12</t>
  </si>
  <si>
    <t>2026-27/CL/13</t>
  </si>
  <si>
    <t>2026-27/CL/14</t>
  </si>
  <si>
    <t>06/04/2026</t>
  </si>
  <si>
    <t>2026-27/CL/15</t>
  </si>
  <si>
    <t>15/04/2026</t>
  </si>
  <si>
    <t>2026-27/CL11</t>
  </si>
  <si>
    <t>01/04/2026</t>
  </si>
  <si>
    <t>2026-27/CL110</t>
  </si>
  <si>
    <t>2026-27/CL111</t>
  </si>
  <si>
    <t>2026-27/CL112</t>
  </si>
  <si>
    <t>2026-27/CL113</t>
  </si>
  <si>
    <t>2026-27/CL114</t>
  </si>
  <si>
    <t>2026-27/CL115</t>
  </si>
  <si>
    <t>2026-27/CL116</t>
  </si>
  <si>
    <t>2026-27/CL117</t>
  </si>
  <si>
    <t>2026-27/CL118</t>
  </si>
  <si>
    <t>2026-27/CL12</t>
  </si>
  <si>
    <t>2026-27/CL120</t>
  </si>
  <si>
    <t>2026-27/CL122</t>
  </si>
  <si>
    <t>2026-27/CL124</t>
  </si>
  <si>
    <t>2026-27/CL126</t>
  </si>
  <si>
    <t>2026-27/CL128</t>
  </si>
  <si>
    <t>08/04/2026</t>
  </si>
  <si>
    <t>2026-27/CL129</t>
  </si>
  <si>
    <t>2026-27/CL13</t>
  </si>
  <si>
    <t>2026-27/CL130</t>
  </si>
  <si>
    <t>2026-27/CL131</t>
  </si>
  <si>
    <t>2026-27/CL132</t>
  </si>
  <si>
    <t>30/04/2026</t>
  </si>
  <si>
    <t>2026-27/CL133</t>
  </si>
  <si>
    <t>2026-27/CL14</t>
  </si>
  <si>
    <t>2026-27/CL15</t>
  </si>
  <si>
    <t>2026-27/CL16</t>
  </si>
  <si>
    <t>2026-27/CL17</t>
  </si>
  <si>
    <t>2026-27/CL18</t>
  </si>
  <si>
    <t>2026-27/CL19</t>
  </si>
  <si>
    <t>27AAACT3957G7Z1</t>
  </si>
  <si>
    <t>TAJ LANDS END</t>
  </si>
  <si>
    <t>6405633765</t>
  </si>
  <si>
    <t>19/04/2026</t>
  </si>
  <si>
    <t>9c632fa1eb358b881093e99bd1254950ac7618ead182cac5b9d3fa04ae4b7558</t>
  </si>
  <si>
    <t>20/04/2026</t>
  </si>
  <si>
    <t>07AAACB2894G1ZP</t>
  </si>
  <si>
    <t>Bharti Airtel Limited</t>
  </si>
  <si>
    <t>HF2707I000022064</t>
  </si>
  <si>
    <t>03/04/2026</t>
  </si>
  <si>
    <t>09/05/2026</t>
  </si>
  <si>
    <t>HF2707I000097242</t>
  </si>
  <si>
    <t>HF2707I000098690</t>
  </si>
  <si>
    <t>HF2707I000101334</t>
  </si>
  <si>
    <t>HF2707I000129884</t>
  </si>
  <si>
    <t>HF2707I000130245</t>
  </si>
  <si>
    <t>HF2707I000130293</t>
  </si>
  <si>
    <t>HF2707I000131905</t>
  </si>
  <si>
    <t>HF2707I000134626</t>
  </si>
  <si>
    <t>HF2707I000136786</t>
  </si>
  <si>
    <t>HF2707I000137672</t>
  </si>
  <si>
    <t>HF2707I000137673</t>
  </si>
  <si>
    <t>HF2707I000137674</t>
  </si>
  <si>
    <t>MF2707I000063444</t>
  </si>
  <si>
    <t>MF2707I000063997</t>
  </si>
  <si>
    <t>MF2707I000130888</t>
  </si>
  <si>
    <t>MF2707I000174104</t>
  </si>
  <si>
    <t>07AAIFD8361K1Z2</t>
  </si>
  <si>
    <t>Deluxe GN Stores</t>
  </si>
  <si>
    <t>DN/APR26MH/001</t>
  </si>
  <si>
    <t>1d0b6a02570ece09501e572824803ec4c2327bc8e9eaf97da8c00a176b114767</t>
  </si>
  <si>
    <t>DN/APR26MH/002</t>
  </si>
  <si>
    <t>9eb31f0ae80dacea778be7cb49de9db702ba284e047e583c494e10f153a61427</t>
  </si>
  <si>
    <t>07ABMPW2002K1ZI</t>
  </si>
  <si>
    <t>WAHAL INFOSOL</t>
  </si>
  <si>
    <t>WI/26-27/15</t>
  </si>
  <si>
    <t>08/05/2026</t>
  </si>
  <si>
    <t>7e96881c11a8197470c7f7bd7c2b4d116eedd75f68358fdfb70bb4713def5402</t>
  </si>
  <si>
    <t>WI/26-27/17</t>
  </si>
  <si>
    <t>65bc70f382da70d69c703f81628eb3e440c22f3b73744efed6667984865de823</t>
  </si>
  <si>
    <t>WI/26-27/29</t>
  </si>
  <si>
    <t>10/04/2026</t>
  </si>
  <si>
    <t>7472f41cb3212a7b1c5d5a677d0e5e4282d1400beb1c46bd5f3a382152c6a80c</t>
  </si>
  <si>
    <t>WI/26-27/59</t>
  </si>
  <si>
    <t>23/04/2026</t>
  </si>
  <si>
    <t>b6384e4ea67b07c2c569324144ada7bafdaf476b9780a296aae466385f4c410f</t>
  </si>
  <si>
    <t>07BOIPG5946J1ZL</t>
  </si>
  <si>
    <t>GS INDUSTRIAL SOLUTIONS</t>
  </si>
  <si>
    <t>GSIS070</t>
  </si>
  <si>
    <t>24/04/2026</t>
  </si>
  <si>
    <t>07AAACB1534F4Z5</t>
  </si>
  <si>
    <t>BANK OF BARODA</t>
  </si>
  <si>
    <t>M260430004647618</t>
  </si>
  <si>
    <t>06AAHCG4524D1ZY</t>
  </si>
  <si>
    <t>GBM VAHAAN PRIVATE LIMITED</t>
  </si>
  <si>
    <t>SR32626-1012</t>
  </si>
  <si>
    <t>25/04/2026</t>
  </si>
  <si>
    <t>07AAHAK7428G1ZH</t>
  </si>
  <si>
    <t>KINGS COURT CONDOMINIUM ASSOCIATION</t>
  </si>
  <si>
    <t>KC/B2B26-27/010</t>
  </si>
  <si>
    <t>bb405a3b9bb63fb3b3418ec4b26671d8a6bed5e99d286de392b629a6e05fc288</t>
  </si>
  <si>
    <t>KC/OT/26-27/051</t>
  </si>
  <si>
    <t>17774accb565d76307148222ee1a1fec0ac38b836af36bbee4da0d3a23768aa0</t>
  </si>
  <si>
    <t>07AABCU0270A1ZZ</t>
  </si>
  <si>
    <t>UJJAWAL TRADEX PRIVATE LIMITED</t>
  </si>
  <si>
    <t>47</t>
  </si>
  <si>
    <t>06/05/2026</t>
  </si>
  <si>
    <t>07AAFCP4016M1ZB</t>
  </si>
  <si>
    <t>PVR SYSTEMS PVT.LTD.</t>
  </si>
  <si>
    <t>PVR/26-27/D/235</t>
  </si>
  <si>
    <t>29/04/2026</t>
  </si>
  <si>
    <t>b14c553d30dfc238f24476478a5e7d5d43ccd3b7cfbed2275404a1bdacb21733</t>
  </si>
  <si>
    <t>PVR/26-27/D/236</t>
  </si>
  <si>
    <t>e0637c4844f657b2af2135c56019c8ef1c6a15a867366a8bd62f44c48105fb06</t>
  </si>
  <si>
    <t>07AADCL9628B1ZK</t>
  </si>
  <si>
    <t>LAMBA AUTOMOTIVE PRIVATE LIMITED</t>
  </si>
  <si>
    <t>N1230G202606323</t>
  </si>
  <si>
    <t>21/04/2026</t>
  </si>
  <si>
    <t>435580ec97b3af5052f454dcd4802e4dca14ad7a437a16de7e2ff5c08d24e07b</t>
  </si>
  <si>
    <t>N1230G202606324</t>
  </si>
  <si>
    <t>964fd38e8e9aebe4f018b61c3edeba5f295f1d82047818bfeeb0894664295241</t>
  </si>
  <si>
    <t>07AAUPS0469H1Z4</t>
  </si>
  <si>
    <t>BAMYAN THE BOUTIQUE HOTEL</t>
  </si>
  <si>
    <t>BTBH/RS/013</t>
  </si>
  <si>
    <t>06AAICM1839L2Z5</t>
  </si>
  <si>
    <t>MUHAVRA ENTERPRISES PRIVATE LIMITED</t>
  </si>
  <si>
    <t>INV/7205260/26</t>
  </si>
  <si>
    <t>17/04/2026</t>
  </si>
  <si>
    <t>INV/7205277/26</t>
  </si>
  <si>
    <t>07AAACM0828R1Z5</t>
  </si>
  <si>
    <t>MAHANAGAR TELEPHONE NIGAM LTD</t>
  </si>
  <si>
    <t>MTDL002814600816</t>
  </si>
  <si>
    <t>07AXZPS9777Q1ZK</t>
  </si>
  <si>
    <t>GURMAIL SINGH</t>
  </si>
  <si>
    <t>74</t>
  </si>
  <si>
    <t>13/05/2026</t>
  </si>
  <si>
    <t>75</t>
  </si>
  <si>
    <t>76</t>
  </si>
  <si>
    <t>78</t>
  </si>
  <si>
    <t>07AAEPG4440J1ZW</t>
  </si>
  <si>
    <t>MAXIMUS PACKERS</t>
  </si>
  <si>
    <t>121/26-27</t>
  </si>
  <si>
    <t>3fadddd4c329dd21a413f5b75b3f5e80695b5132bf8792eb97b5701462b157a4</t>
  </si>
  <si>
    <t>64/26-27</t>
  </si>
  <si>
    <t>da53c0ae766aadb90fbc33a5025f49f9f90eb3a8248773f7ce754c032bca5f69</t>
  </si>
  <si>
    <t>83/26-27</t>
  </si>
  <si>
    <t>39235f03eda30a11e77a3211b3971ae1ed8298cd7932ed2e19756586db28c7e0</t>
  </si>
  <si>
    <t>07AAACB0472C1ZB</t>
  </si>
  <si>
    <t>Bank of India</t>
  </si>
  <si>
    <t>2707AC0400011579</t>
  </si>
  <si>
    <t>07AAWPS6579E1ZT</t>
  </si>
  <si>
    <t>SACHDEVA ELECTRIC CO.</t>
  </si>
  <si>
    <t>07AADCL9190Q1ZO</t>
  </si>
  <si>
    <t>LGA TECHNOLOGY PRIVATE LIMITED</t>
  </si>
  <si>
    <t>GST/DL/2627/021</t>
  </si>
  <si>
    <t>07COJPD7419B1Z7</t>
  </si>
  <si>
    <t>DHINGRA ENTERPRISES</t>
  </si>
  <si>
    <t>DE/2747</t>
  </si>
  <si>
    <t>02/03/2026</t>
  </si>
  <si>
    <t>Mar'26</t>
  </si>
  <si>
    <t>14/04/2026</t>
  </si>
  <si>
    <t>DE/2748</t>
  </si>
  <si>
    <t>DE/2749</t>
  </si>
  <si>
    <t>d57e6b1839d834f5cf2c2bcdb5fd68eaa0ad8c0e7e34658c41d354b8ea8cad68</t>
  </si>
  <si>
    <t>DE/2890</t>
  </si>
  <si>
    <t>20/03/2026</t>
  </si>
  <si>
    <t>a914aedb9c43a81d6ff7c5dc64b003cd5951240bcf239edbef81c9e74e5ece09</t>
  </si>
  <si>
    <t>DE/2891</t>
  </si>
  <si>
    <t>0d13244b853b3dff515ceebde86d8ecb680aaa3d40bf586f9c6b3729ab1b3fa7</t>
  </si>
  <si>
    <t>DE/2892</t>
  </si>
  <si>
    <t>423cb0be48725611e1753a2a42cba9d8147d529a0f3f3ce59ddd3f12f445f24a</t>
  </si>
  <si>
    <t>DE/2902</t>
  </si>
  <si>
    <t>21/03/2026</t>
  </si>
  <si>
    <t>588cad664277e167109a379eaf8292dfbeeeee0e0d07c6b2f516eb8ce5d30e35</t>
  </si>
  <si>
    <t>DE/2903</t>
  </si>
  <si>
    <t>9764f6f16bb8c3d977a779c690e3b71a1eec586376d0f1e38d44514510f971fe</t>
  </si>
  <si>
    <t>DE/2904</t>
  </si>
  <si>
    <t>cceb1cf05564cbb873ce9a10a9d97a720af2d6bc2cadbbfaf20fc17603728dca</t>
  </si>
  <si>
    <t>DE/2905</t>
  </si>
  <si>
    <t>6bd92c2140902ccff25fc82957d903f535d85aa84dddc3004dd9f963d1204ca2</t>
  </si>
  <si>
    <t>DE/2906</t>
  </si>
  <si>
    <t>6ba9cd7a072a3f72c116ff567081208063f6bc9b36f362afd3221c8e722cb4bd</t>
  </si>
  <si>
    <t>DE/2907</t>
  </si>
  <si>
    <t>ee8dacdc0a1c7d61e1b983f77e82a597dbaf9daa8ed2e96de3d37d667035e0e3</t>
  </si>
  <si>
    <t>DE/2908</t>
  </si>
  <si>
    <t>36d4e69e42e928065eb770d9d473962ab916f6cc1d72196aad0abb743bba4fcc</t>
  </si>
  <si>
    <t>DE/2909</t>
  </si>
  <si>
    <t>02a35bc87b4735f06e7dd00c91a23b7892b9460b1e12f1f8f6569ca9015e22dd</t>
  </si>
  <si>
    <t>DE/2910</t>
  </si>
  <si>
    <t>b3bbf94e51c6d4337097855e473df7abddeff3776aaa62f2633cab1abb65d9ad</t>
  </si>
  <si>
    <t>DE/2911</t>
  </si>
  <si>
    <t>2b56843b63774d681004f8548c8d030c2ac673f929675f3d31defde0ccd48462</t>
  </si>
  <si>
    <t>DE/2912</t>
  </si>
  <si>
    <t>df3d65cff422cc35e6bcd0f104971648104164275588c56e581fe4f24f68136e</t>
  </si>
  <si>
    <t>DE/2913</t>
  </si>
  <si>
    <t>f3e5ec151b02cd01f4437a678eb025cddfb14bc01717a56f9625eae7a904729d</t>
  </si>
  <si>
    <t>DE/2914</t>
  </si>
  <si>
    <t>5d8eb8a4235b42beeb2ed280f40df281a084e87bc8cd9a616f094b3f019519d8</t>
  </si>
  <si>
    <t>DE/2915</t>
  </si>
  <si>
    <t>6ccf903a4c97074c92473b38738aa842b6018e17db71568b6fde0dc096bcb2a1</t>
  </si>
  <si>
    <t>DE/2916</t>
  </si>
  <si>
    <t>cfaec21b8ad2713326df7535a56d144b5bea1e854aae0ba8fbbfaf66d300dd4a</t>
  </si>
  <si>
    <t>DE/2917</t>
  </si>
  <si>
    <t>8abdce1663a6d46564b8db9a359433e54ac8e3637249571189c226677842d568</t>
  </si>
  <si>
    <t>DE/2918</t>
  </si>
  <si>
    <t>9321a495db51f07f350a6045194642ed2e575466bfbb7985ba630a08fa6c619d</t>
  </si>
  <si>
    <t>23/03/2026</t>
  </si>
  <si>
    <t>DE/2919</t>
  </si>
  <si>
    <t>b0408c7a1882c6e522235436e54037d9f7138447324e54a94a47fa787d4a2cf7</t>
  </si>
  <si>
    <t>DE/2920</t>
  </si>
  <si>
    <t>4cd63c44a4da8006b41130be305d3e5244c350800131aee86114c4f95d6078cd</t>
  </si>
  <si>
    <t>DE/2943</t>
  </si>
  <si>
    <t>25/03/2026</t>
  </si>
  <si>
    <t>b756ba50e01f7cda990c7f12aa66abdec4264d30223cd269a46ca6365b0a3a79</t>
  </si>
  <si>
    <t>DE/2944</t>
  </si>
  <si>
    <t>2c500a651c6aaeee83c3cbcbef224026ab7630ca8af8900494586fc3febfcdc4</t>
  </si>
  <si>
    <t>DE/2945</t>
  </si>
  <si>
    <t>4369fc92911d993e5225e004fb9899cda2e51b17add52db6bef4d7cd8a2bfa40</t>
  </si>
  <si>
    <t>DE/2954</t>
  </si>
  <si>
    <t>26/03/2026</t>
  </si>
  <si>
    <t>DE/2986</t>
  </si>
  <si>
    <t>30/03/2026</t>
  </si>
  <si>
    <t>ad3c22c09060f4237c70e215bbc4950f02e1b1d2dcbbf8ada5c11f64e98f179b</t>
  </si>
  <si>
    <t>31/03/2026</t>
  </si>
  <si>
    <t>DE/2987</t>
  </si>
  <si>
    <t>e3894468d2a23755a6996393ae4b62b1e7cf258299e72d86f99695018f42f757</t>
  </si>
  <si>
    <t>DE/2988</t>
  </si>
  <si>
    <t>19b1a0e1935f93daf6605afc4c9e973e57684778562784dab39578be3c143f36</t>
  </si>
  <si>
    <t>DE/2989</t>
  </si>
  <si>
    <t>f6194eac77b4114b9ee98c4b63e6828a56cbbe5913b76591eb3bb47e7298e831</t>
  </si>
  <si>
    <t>DE/2991</t>
  </si>
  <si>
    <t>ae802d031a92d230a2fda3cb3821e061835d8c1af3114125594533774b5858af</t>
  </si>
  <si>
    <t>DE/2997</t>
  </si>
  <si>
    <t>9640386ec4e3a43e9390dd88d6c8ac28c7339fb963e649df44e931fa86061f1a</t>
  </si>
  <si>
    <t>DE/2999</t>
  </si>
  <si>
    <t>3d20099e5d9aed0c5e91d1d44d11c4cd8a6a08ac76be04a8e1c830940f8850ad</t>
  </si>
  <si>
    <t>DE/3000</t>
  </si>
  <si>
    <t>d0e0f3da8675e33fa9babdacb8b6e90bb6ce5aa0c8fc883371b2f915497d9812</t>
  </si>
  <si>
    <t>07BQVPK3092C1ZM</t>
  </si>
  <si>
    <t>SONEEKA SALES &amp; SERVICES</t>
  </si>
  <si>
    <t>3429</t>
  </si>
  <si>
    <t>09/04/2026</t>
  </si>
  <si>
    <t>07AAACC0462F1Z6</t>
  </si>
  <si>
    <t>CITI BANK NA</t>
  </si>
  <si>
    <t>FT26100016579386</t>
  </si>
  <si>
    <t>28/04/2026</t>
  </si>
  <si>
    <t>GB26100016579387</t>
  </si>
  <si>
    <t>GB26100016579388</t>
  </si>
  <si>
    <t>GB26100016579389</t>
  </si>
  <si>
    <t>GB26100016579390</t>
  </si>
  <si>
    <t>GB26100016579391</t>
  </si>
  <si>
    <t>GB26100016579392</t>
  </si>
  <si>
    <t>GB26100016579393</t>
  </si>
  <si>
    <t>GB26100016579418</t>
  </si>
  <si>
    <t>GB26100016579419</t>
  </si>
  <si>
    <t>MN26MAN102562575</t>
  </si>
  <si>
    <t>MN26MAN102567723</t>
  </si>
  <si>
    <t>TR26100016501013</t>
  </si>
  <si>
    <t>02/04/2026</t>
  </si>
  <si>
    <t>TR26100016501014</t>
  </si>
  <si>
    <t>TR26100016501015</t>
  </si>
  <si>
    <t>TR26100016501016</t>
  </si>
  <si>
    <t>TR26100016501017</t>
  </si>
  <si>
    <t>TR26100016501018</t>
  </si>
  <si>
    <t>TR26100016501019</t>
  </si>
  <si>
    <t>TR26100016501020</t>
  </si>
  <si>
    <t>TR26100016501021</t>
  </si>
  <si>
    <t>TR26100016501022</t>
  </si>
  <si>
    <t>TR26100016501023</t>
  </si>
  <si>
    <t>TR26100016501024</t>
  </si>
  <si>
    <t>TR26100016501025</t>
  </si>
  <si>
    <t>TR26100016501026</t>
  </si>
  <si>
    <t>TR26100016501027</t>
  </si>
  <si>
    <t>TR26100016501028</t>
  </si>
  <si>
    <t>TR26100016501029</t>
  </si>
  <si>
    <t>TR26100016501030</t>
  </si>
  <si>
    <t>TR26100016501031</t>
  </si>
  <si>
    <t>TR26100016501032</t>
  </si>
  <si>
    <t>TR26100016501033</t>
  </si>
  <si>
    <t>TR26100016501034</t>
  </si>
  <si>
    <t>TR26100016501035</t>
  </si>
  <si>
    <t>TR26100016501036</t>
  </si>
  <si>
    <t>TR26100016501037</t>
  </si>
  <si>
    <t>TR26100016501038</t>
  </si>
  <si>
    <t>TR26100016501039</t>
  </si>
  <si>
    <t>TR26100016501040</t>
  </si>
  <si>
    <t>TR26100016501041</t>
  </si>
  <si>
    <t>TR26100016501042</t>
  </si>
  <si>
    <t>TR26100016501043</t>
  </si>
  <si>
    <t>TR26100016501044</t>
  </si>
  <si>
    <t>TR26100016501045</t>
  </si>
  <si>
    <t>TR26100016501046</t>
  </si>
  <si>
    <t>TR26100016501047</t>
  </si>
  <si>
    <t>TR26100016501048</t>
  </si>
  <si>
    <t>TR26100016501049</t>
  </si>
  <si>
    <t>TR26100016501050</t>
  </si>
  <si>
    <t>TR26100016501051</t>
  </si>
  <si>
    <t>TR26100016501052</t>
  </si>
  <si>
    <t>TR26100016501053</t>
  </si>
  <si>
    <t>TR26100016501054</t>
  </si>
  <si>
    <t>TR26100016501055</t>
  </si>
  <si>
    <t>TR26100016501056</t>
  </si>
  <si>
    <t>TR26100016501057</t>
  </si>
  <si>
    <t>TR26100016501058</t>
  </si>
  <si>
    <t>TR26100016501059</t>
  </si>
  <si>
    <t>TR26100016501060</t>
  </si>
  <si>
    <t>TR26100016501061</t>
  </si>
  <si>
    <t>TR26100016501062</t>
  </si>
  <si>
    <t>TR26100016501063</t>
  </si>
  <si>
    <t>TR26100016501064</t>
  </si>
  <si>
    <t>09AALPJ3301L1ZO</t>
  </si>
  <si>
    <t>M/S JAIN  ENTERPRISES</t>
  </si>
  <si>
    <t>114</t>
  </si>
  <si>
    <t>f7f6871834d4f755554e24b1f99077ac2e407dbb68e8e0fd7f38d849d3e48a58</t>
  </si>
  <si>
    <t>07AACCJ5057F1ZO</t>
  </si>
  <si>
    <t>JAYANTI MOTORS PRIVATE LIMITED</t>
  </si>
  <si>
    <t>DL202G202608455</t>
  </si>
  <si>
    <t>11a9d3cf4e9fb6029276475f8c3a30ff37ceba946bd29459af18f74df23d9f55</t>
  </si>
  <si>
    <t>DL202G202608456</t>
  </si>
  <si>
    <t>6a12c17a7cd36ceb3ca40ed92fd655c45d368b07aa866ee28c9289b882cde9ff</t>
  </si>
  <si>
    <t>07ABDPD9154G1ZS</t>
  </si>
  <si>
    <t>KRISA MARKETING</t>
  </si>
  <si>
    <t>KM/353/2026-27</t>
  </si>
  <si>
    <t>07/05/2026</t>
  </si>
  <si>
    <t>KM/354/2026-27</t>
  </si>
  <si>
    <t>KM/355/2026-27</t>
  </si>
  <si>
    <t>KM/356/2026-27</t>
  </si>
  <si>
    <t>KM/357/2026-27</t>
  </si>
  <si>
    <t>KM/358/2026-27</t>
  </si>
  <si>
    <t>KM/359/2026-27</t>
  </si>
  <si>
    <t>KM/360/2026-27</t>
  </si>
  <si>
    <t>KM/361/2026-27</t>
  </si>
  <si>
    <t>KM/362/2026-27</t>
  </si>
  <si>
    <t>KM/363/2026-27</t>
  </si>
  <si>
    <t>KM/364/2026-27</t>
  </si>
  <si>
    <t>KM/365/2026-27</t>
  </si>
  <si>
    <t>KM/366/2026-27</t>
  </si>
  <si>
    <t>KM/367/2026-27</t>
  </si>
  <si>
    <t>09AABFN2268A1ZM</t>
  </si>
  <si>
    <t>NEWCON CONSULTANTS &amp; LABORATORIES</t>
  </si>
  <si>
    <t>169</t>
  </si>
  <si>
    <t>13/04/2026</t>
  </si>
  <si>
    <t>07AAAFN5180G1ZE</t>
  </si>
  <si>
    <t>NEW FRIENDS CLUB</t>
  </si>
  <si>
    <t>SUB2026-27-1315</t>
  </si>
  <si>
    <t>60ba7b5eb4d8b193c4b60754cabb0f2512bab0b134111c5b7f9663d1996a2c6d</t>
  </si>
  <si>
    <t>SUB2026-27-1316</t>
  </si>
  <si>
    <t>3855b21fca76c14a50d110fc956603c841f7a84601aeb8b7d5c65392ec85c5f9</t>
  </si>
  <si>
    <t>07AATPA1288M1Z9</t>
  </si>
  <si>
    <t>NAF COMPUTERS</t>
  </si>
  <si>
    <t>NC/26-27/0105</t>
  </si>
  <si>
    <t>01/05/2026</t>
  </si>
  <si>
    <t>NC/26-27/0140</t>
  </si>
  <si>
    <t>NC/26-27/0152</t>
  </si>
  <si>
    <t>16/04/2026</t>
  </si>
  <si>
    <t>NC/26-27/0160</t>
  </si>
  <si>
    <t>NC/26-27/0162</t>
  </si>
  <si>
    <t>NC/26-27/0220</t>
  </si>
  <si>
    <t>NC/26-27/0258</t>
  </si>
  <si>
    <t>07EBIPS6562L1ZV</t>
  </si>
  <si>
    <t>HAMZA MOBILE TRADING</t>
  </si>
  <si>
    <t>HMT-19/26-27</t>
  </si>
  <si>
    <t>09ALUPK7076P1ZV</t>
  </si>
  <si>
    <t>R.P ENTERPRISES</t>
  </si>
  <si>
    <t>264</t>
  </si>
  <si>
    <t>08/01/2026</t>
  </si>
  <si>
    <t>07AAECC1851C1Z5</t>
  </si>
  <si>
    <t>CONTRANS CARGO PRIVATE LIMITED</t>
  </si>
  <si>
    <t>CC/GN/0001/26-27</t>
  </si>
  <si>
    <t>07AAOFS6787Q1ZV</t>
  </si>
  <si>
    <t>SREE MAHAVIR ENTERPRISES</t>
  </si>
  <si>
    <t>SME/26-27/98</t>
  </si>
  <si>
    <t>9548f65874c5ed35b9defeb11d8cbfd20f02a1d447f34d830afcea520c93d6b5</t>
  </si>
  <si>
    <t>33AADCG4356R1Z6</t>
  </si>
  <si>
    <t>GEZE INDIA PRIVATE LIMITED</t>
  </si>
  <si>
    <t>2627/285800615</t>
  </si>
  <si>
    <t>27/04/2026</t>
  </si>
  <si>
    <t>142b5d2fbe8ec3c114d7f68eb50b254235d346b3b92660ff6f988e55691f5cb0</t>
  </si>
  <si>
    <t>07AAJCS4628Q1ZM</t>
  </si>
  <si>
    <t>SHANVI ESTATE MANAGEMENT SERVICES PRIVATE LIMITED.</t>
  </si>
  <si>
    <t>SQUA/27/T000001</t>
  </si>
  <si>
    <t>1c4d0fb8fa0160da10350eb71d9e2b5f314def2cde144c8c77eecbc5315e1ba0</t>
  </si>
  <si>
    <t>06AAACX0540P1Z7</t>
  </si>
  <si>
    <t>XTREME SOFTECH PRIVATE LIMITED</t>
  </si>
  <si>
    <t>XSPL/26-27/005</t>
  </si>
  <si>
    <t>04AABCG4768K1ZF</t>
  </si>
  <si>
    <t>GODFREY PHILLIPS INDIA LIMITED</t>
  </si>
  <si>
    <t>GPI-CHD260500426</t>
  </si>
  <si>
    <t>5c235431fd7b6c17b7ac3966ea886680ca983837e80a50f5f7da167d0732b7c1</t>
  </si>
  <si>
    <t>07AAOPA0470E1Z5</t>
  </si>
  <si>
    <t>Jindal Hardware Studio</t>
  </si>
  <si>
    <t>96/2026-27</t>
  </si>
  <si>
    <t>07AAACI9641L1Z8</t>
  </si>
  <si>
    <t>IMPRESSIONS SERVICES PRIVATE LIMITED</t>
  </si>
  <si>
    <t>SA/07/26-27/0085</t>
  </si>
  <si>
    <t>80151baa8dea86c55aabf5142af271b3a4c16172859fefae1d5873e354b0c369</t>
  </si>
  <si>
    <t>06CVUPS9780A1ZV</t>
  </si>
  <si>
    <t>GJKA &amp; Co.</t>
  </si>
  <si>
    <t>A1</t>
  </si>
  <si>
    <t>A10</t>
  </si>
  <si>
    <t>A11</t>
  </si>
  <si>
    <t>A12</t>
  </si>
  <si>
    <t>A13</t>
  </si>
  <si>
    <t>A14</t>
  </si>
  <si>
    <t>A15</t>
  </si>
  <si>
    <t>A16</t>
  </si>
  <si>
    <t>A17</t>
  </si>
  <si>
    <t>A2</t>
  </si>
  <si>
    <t>A3</t>
  </si>
  <si>
    <t>A4</t>
  </si>
  <si>
    <t>A5</t>
  </si>
  <si>
    <t>A6</t>
  </si>
  <si>
    <t>A7</t>
  </si>
  <si>
    <t>A8</t>
  </si>
  <si>
    <t>A9</t>
  </si>
  <si>
    <t>07AATPS9352C1Z7</t>
  </si>
  <si>
    <t>R.R. TRADERS</t>
  </si>
  <si>
    <t>SEV10/2627</t>
  </si>
  <si>
    <t>469162a2335081911392b627ca2c21179f236aa611069c157c803e16081f8e9a</t>
  </si>
  <si>
    <t>SEV11/2627</t>
  </si>
  <si>
    <t>0e36d0e2a2b220b8a07fc3a0dd1dd071c6b9b56ca150da06f660a2785998e61f</t>
  </si>
  <si>
    <t>SEV12/2627</t>
  </si>
  <si>
    <t>07a800327eb7dea68dec34353625ae718e73886b1ff381702569e60905220f7a</t>
  </si>
  <si>
    <t>SEV3/2627</t>
  </si>
  <si>
    <t>c3e3a22689c29d9fd2631630ec566d1cd1119bdce3790c821e78dfefa732af2c</t>
  </si>
  <si>
    <t>SEV4/2627</t>
  </si>
  <si>
    <t>3cec6e4087eaf43717f0e404043c37e4e00c7090918f5592f02e6b9fc65fab0d</t>
  </si>
  <si>
    <t>SEV5/2627</t>
  </si>
  <si>
    <t>6778c609a296078acba7479144c8a5bc9a5536b7d2a68f2b2294911c9480da0e</t>
  </si>
  <si>
    <t>SEV6/2627</t>
  </si>
  <si>
    <t>3ffddeeee16d7b93060cad09b7bce6a9dcef5bf5247dc52ba81cdee2d0d8dc12</t>
  </si>
  <si>
    <t>SEV7/2627</t>
  </si>
  <si>
    <t>5392a96d9465c74f1febf05e2a659e05ab6fe70b2cc404a7e60cc765091d6da0</t>
  </si>
  <si>
    <t>SEV8/2627</t>
  </si>
  <si>
    <t>370186dc69b2ef07c0bb8ef080d660fb4177648cb80caeefcc8dd4ad6596e422</t>
  </si>
  <si>
    <t>SEV9/2627</t>
  </si>
  <si>
    <t>ce5f9b6df46ccceb19087dbde9d9b80934ec83b075e6ccb2120eb573f489a5ca</t>
  </si>
  <si>
    <t>07AABCT3518Q1ZY</t>
  </si>
  <si>
    <t>TATA AIG GENERAL INSURANCE CO LTD</t>
  </si>
  <si>
    <t>DE26I00000048277</t>
  </si>
  <si>
    <t>10/05/2026</t>
  </si>
  <si>
    <t>DE26I00000155780</t>
  </si>
  <si>
    <t>09AACCI0642K1ZL</t>
  </si>
  <si>
    <t>PHILIP MORRIS INDIA TRADING PRIVATE LIMITED</t>
  </si>
  <si>
    <t>UPS-100000009694</t>
  </si>
  <si>
    <t>ded04d846050b22c96c6eaf083855532d9514631bedd499b4b68bb34a39a9d52</t>
  </si>
  <si>
    <t>UPS-100000009698</t>
  </si>
  <si>
    <t>7262729319b28b2b422bc31c8db33115a0d056a51fa9b0850f1f31961c539fdc</t>
  </si>
  <si>
    <t>UPS-100000009699</t>
  </si>
  <si>
    <t>bccd036d33b39d00318cb8b06bead0c7da78830bd06ca13460a3abbdbc909db6</t>
  </si>
  <si>
    <t>UPS-100000009700</t>
  </si>
  <si>
    <t>964f915b8607fc175a250573cbcecd6276c0f0a882a0d47fbf44f7a454016e40</t>
  </si>
  <si>
    <t>UPS-100000009701</t>
  </si>
  <si>
    <t>16cb0e930e596c024a85f2e031b3f2e0294ebe2a4a00e609a1109a2b2d14fa92</t>
  </si>
  <si>
    <t>UPS-100000009705</t>
  </si>
  <si>
    <t>b46e19968093df2a1898aa994fa440f04426d6d6afe27f5f83c7493e3cdc4dd4</t>
  </si>
  <si>
    <t>UPS-100000009710</t>
  </si>
  <si>
    <t>6b0a7f9a4cb17fcb03bbc23363fcecf1765d7ed481a299911c213c95ecf9f95e</t>
  </si>
  <si>
    <t>UPS-100000009711</t>
  </si>
  <si>
    <t>691fa0649e8a41508cb17299b808589e94e0c28ec84c242267cf0c668f0270f5</t>
  </si>
  <si>
    <t>UPS-100000009720</t>
  </si>
  <si>
    <t>69112b51557fc43c3ccd888538d565fc3a4e69e15f5c47087c33bafbf6ddeefc</t>
  </si>
  <si>
    <t>UPS-100000009722</t>
  </si>
  <si>
    <t>2c5319142b584e65d0581afc8dbc7339817602264e0af12aae95bf93c350e65e</t>
  </si>
  <si>
    <t>UPS-100000009723</t>
  </si>
  <si>
    <t>087e0ebc515f653404a48ab8a68ae09af09773a5a3c19b042bd3dc357b27ad89</t>
  </si>
  <si>
    <t>UPS-100000009730</t>
  </si>
  <si>
    <t>12ba8f148c81718dfdd13628f4ec75a4d4d69d7133d28dff9ee222dfdad281fe</t>
  </si>
  <si>
    <t>UPS-100000009731</t>
  </si>
  <si>
    <t>a7f3f04b54c1271fc04d96079432a7317b2486b1c379f45278627c0a63afdcff</t>
  </si>
  <si>
    <t>UPS-100000009736</t>
  </si>
  <si>
    <t>54adcffccbf949f23516529cf5255e18ba4e1bd3b6b13641b6463106d9ba5655</t>
  </si>
  <si>
    <t>UPS-100000009747</t>
  </si>
  <si>
    <t>b2f189bd2d43c0ec9961fc662b41063e33b5cac08aa6601c5eb5a6851325a286</t>
  </si>
  <si>
    <t>UPS-100000009748</t>
  </si>
  <si>
    <t>610afde620796147d67e94c25db5039b02adbd4b6e0916ca246687bb10a1780e</t>
  </si>
  <si>
    <t>UPS-100000009749</t>
  </si>
  <si>
    <t>5aefcd59c31617f1e272bb3f5c14a3335bdf8d659969b626492d5e3a753376de</t>
  </si>
  <si>
    <t>UPS-100000009750</t>
  </si>
  <si>
    <t>9a8aec63d705d9a04c7090ca749ac3b90b8159fe9988cbb66264450e470e11ac</t>
  </si>
  <si>
    <t>UPS-100000009754</t>
  </si>
  <si>
    <t>bbe2d0346a3a6c6312867e61228d02e46dff9f172b2517509d650cd597c90a6a</t>
  </si>
  <si>
    <t>UPS-100000009755</t>
  </si>
  <si>
    <t>d365479b0d4619d11561fc6072978671f5b15ba6b4c653bd10771a76c37749bb</t>
  </si>
  <si>
    <t>UPS-100000009756</t>
  </si>
  <si>
    <t>86e5efe43e8ec2f9dfa8f6ea123d90d8af2b45f63a1969ccccce7b179773b349</t>
  </si>
  <si>
    <t>UPS-100000009761</t>
  </si>
  <si>
    <t>847ebc56364989b36eec52a5f9e4ecc4888fbfff9cdd57db73d7c4a17a59c262</t>
  </si>
  <si>
    <t>UPS-100000009762</t>
  </si>
  <si>
    <t>0c81d079c818c9e52c3bc9faa3b083040c64b893ba45123ea61e33d160b0bc04</t>
  </si>
  <si>
    <t>UPS-100000009763</t>
  </si>
  <si>
    <t>1d5271e3108fa1f42481329dfe3d1fd779ea7b6c0b60b43f5bcd4f8c14bc6dd6</t>
  </si>
  <si>
    <t>UPS-100000009764</t>
  </si>
  <si>
    <t>a96cecbb299299c08df50230c07c84fa24ebfe5a7ba87541e1ce66adee355ee1</t>
  </si>
  <si>
    <t>UPS-100000009765</t>
  </si>
  <si>
    <t>21ace8ae695eb06193f877a08878219b11f95d165aebd5c122fa03b6b505765c</t>
  </si>
  <si>
    <t>UPS-100000009770</t>
  </si>
  <si>
    <t>373d763a4c56a2e0b03c7e98e9c24bd175463b81184da7e5d8f4623aebf70775</t>
  </si>
  <si>
    <t>UPS-100000009771</t>
  </si>
  <si>
    <t>0423697fba49a89ddb2809d2dd5e43054adbfa86a14e90a381e7fea447ef27ec</t>
  </si>
  <si>
    <t>UPS-100000009787</t>
  </si>
  <si>
    <t>46ad11f0bc5fb13838a1cc563c3c964cf825fc6ff931c567dbfad170f4cffa81</t>
  </si>
  <si>
    <t>UPS-100000009788</t>
  </si>
  <si>
    <t>373995af7e36e4363e7211590ebc54edd417e980e14f78476eaca8fe6abe8329</t>
  </si>
  <si>
    <t>UPS-100000009793</t>
  </si>
  <si>
    <t>fa05bb4ab5b71675fa71ec0961e22c113a3ed0c79e7d3784278be9a7b4d384c4</t>
  </si>
  <si>
    <t>UPS-100000009805</t>
  </si>
  <si>
    <t>ad4cf1671f80182be3c903ecfb06d94589298eb917d70a22cc6515a0fafb3cdc</t>
  </si>
  <si>
    <t>UPS-100000009810</t>
  </si>
  <si>
    <t>f46deab50cdb3fc41b4f646893975f6dd5d93cfa773a2a6e74aeeb941502f287</t>
  </si>
  <si>
    <t>UPS-100000009811</t>
  </si>
  <si>
    <t>d93c14285e1b5fa4f23c99507630539313f2d4f283e0a2f23517474b77c1aca1</t>
  </si>
  <si>
    <t>UPS-100000009817</t>
  </si>
  <si>
    <t>0960b820f8389da85a65a0ea676ea6e1a47688c0e126e28ab0fb6d3f611f3bad</t>
  </si>
  <si>
    <t>UPS-100000009818</t>
  </si>
  <si>
    <t>e522f410ce76bac4e7e64df161e9e000d94cebf00b23544ab0306bb0a6cdcb0b</t>
  </si>
  <si>
    <t>UPS-100000009831</t>
  </si>
  <si>
    <t>47ad7e79328977218f78470e4ad6f9c3c469356fd0d8c7b61fcc92d45c1ff334</t>
  </si>
  <si>
    <t>UPS-100000009832</t>
  </si>
  <si>
    <t>2b4fd119436b2ca2e362ef243fb500d5afa49688867f747a843aabe801f2f50e</t>
  </si>
  <si>
    <t>UPS-100000009833</t>
  </si>
  <si>
    <t>676d70977a47bb3e736430abf89dd4259490b813c6ffc51813392563c6fc409b</t>
  </si>
  <si>
    <t>UPS-100000009840</t>
  </si>
  <si>
    <t>53567819c72724f09dbe124899b31153758766050c362d53eb38130f7b6804c3</t>
  </si>
  <si>
    <t>UPS-100000009842</t>
  </si>
  <si>
    <t>48d6866c2751947ad16fcbdf8c1cfd8f43b5ed24ed75d2e20e3fac372afe5632</t>
  </si>
  <si>
    <t>UPS-100000009843</t>
  </si>
  <si>
    <t>f83c31fa2e14c2ec4b50d6509415584d6c9e6478e1303613eaa51e60dc00c435</t>
  </si>
  <si>
    <t>UPS-100000009844</t>
  </si>
  <si>
    <t>d7f8be0b2f260800e828a0116e86a2c057cccbbfec6a67b6a618a28ac386b04c</t>
  </si>
  <si>
    <t>UPS-100000009848</t>
  </si>
  <si>
    <t>0c612f02a06252608c3514e8236564328ecbea24a509d7878291cfd3fdd6a37a</t>
  </si>
  <si>
    <t>UPS-100000009849</t>
  </si>
  <si>
    <t>ed4c61fd8baf38dc1a669aea5030e3ab6caef9adb6e935e6759d7cbaa2123a2b</t>
  </si>
  <si>
    <t>07AAEPN1824H1ZW</t>
  </si>
  <si>
    <t>RAJ TEMPO TRANSPORT</t>
  </si>
  <si>
    <t>2083</t>
  </si>
  <si>
    <t>2084</t>
  </si>
  <si>
    <t>09AAKFA0281H1ZJ</t>
  </si>
  <si>
    <t>AZB AND PARTNERS</t>
  </si>
  <si>
    <t>AZBD26270435</t>
  </si>
  <si>
    <t>22/04/2026</t>
  </si>
  <si>
    <t>e12e9cde5280f34c69bfe70ae1caff84854cd78e485684ff053d11f96f77d793</t>
  </si>
  <si>
    <t>AZBD26270444</t>
  </si>
  <si>
    <t>6bf775d9ae82e601d66cfe5324ba220e30296bfdea7d97b94a9e3af7dc49e9e8</t>
  </si>
  <si>
    <t>07AAKPK2224J1ZS</t>
  </si>
  <si>
    <t>MULTAN PAINTS &amp; HARDWARE</t>
  </si>
  <si>
    <t>15</t>
  </si>
  <si>
    <t>07AAHCD7454P2ZY</t>
  </si>
  <si>
    <t>DIMITBRO IVENTURE PRIVATE LIMITED</t>
  </si>
  <si>
    <t>LN/137/2026-27</t>
  </si>
  <si>
    <t>28b854849fb6c1cff21248bee680c50686376dea8b65113a09b59802fa5ed8c3</t>
  </si>
  <si>
    <t>LN/1488/2026-27</t>
  </si>
  <si>
    <t>9caff5ccbd4c225fb7406dc11e56ac4de59cbdefab87973429ebf33dd0c9fe57</t>
  </si>
  <si>
    <t>LN/1515/2026-27</t>
  </si>
  <si>
    <t>bc416dd388bd287fbb4b4c900b342b365ca2b0a2870135737b06b158cfc8d95e</t>
  </si>
  <si>
    <t>LN/1516/2026-27</t>
  </si>
  <si>
    <t>845de7d8844df2805c412f6f57a2bf557f80c8c27437a903c000fb3eb580ab3e</t>
  </si>
  <si>
    <t>LN/1517/2026-27</t>
  </si>
  <si>
    <t>58f9a45b6476b58bfa0350d37ac18858c766c1eff0249c1262027ab8634ca31d</t>
  </si>
  <si>
    <t>LN/1518/2026-27</t>
  </si>
  <si>
    <t>df75cd56cdce4eccdd44c52980e0d935e5cda0b71eeb76e745def96025aa9a48</t>
  </si>
  <si>
    <t>LN/1519/2026-27</t>
  </si>
  <si>
    <t>4a7f2030365b09d79b7a141e37c1b6301a866d516c5199c48553682324f80dda</t>
  </si>
  <si>
    <t>LN/1520/2026-27</t>
  </si>
  <si>
    <t>5774bc5343e2baec2583107f0bd2fb40a146044e3436bf70a6c8299bf0543d96</t>
  </si>
  <si>
    <t>LN/399/2026-27</t>
  </si>
  <si>
    <t>93d49403b51f100e31f982cdb598ebb92839ebc3534da05b6d36ff4188b34268</t>
  </si>
  <si>
    <t>LN/400/2026-27</t>
  </si>
  <si>
    <t>36ffe91eb69431b8c9037e217469dc9e2e3d9bb2661f26223dbbc9fd73783ce7</t>
  </si>
  <si>
    <t>LN/401/2026-27</t>
  </si>
  <si>
    <t>25ae6f14ab8837a2ae16e5184f4ab634d984bf23b7fdefde75a70f63a3a6f13f</t>
  </si>
  <si>
    <t>LN/402/2026-27</t>
  </si>
  <si>
    <t>c7859bb157b07e2a409641582165842f9b15ce30e027a7f020e99af0c584bb0f</t>
  </si>
  <si>
    <t>LN/403/2026-27</t>
  </si>
  <si>
    <t>4084c0fb53854361cf2e9f05f67569b90eddf9fa224ac552e06095095e81e84c</t>
  </si>
  <si>
    <t>LN/976/2026-27</t>
  </si>
  <si>
    <t>14d70193111f9c771e6f9983979de90a1417d9db6e9dd3816bfe7631d579b6e2</t>
  </si>
  <si>
    <t>07AABCN8952A1ZL</t>
  </si>
  <si>
    <t>NAND KISHORE MONGA FOODS PVT. LTD.</t>
  </si>
  <si>
    <t>SER-1/2026-27</t>
  </si>
  <si>
    <t>SER-10/2026-27</t>
  </si>
  <si>
    <t>SER-11/2026-27</t>
  </si>
  <si>
    <t>SER-12/2026-27</t>
  </si>
  <si>
    <t>11/04/2026</t>
  </si>
  <si>
    <t>SER-13/2026-27</t>
  </si>
  <si>
    <t>SER-14/2026-27</t>
  </si>
  <si>
    <t>SER-15/2026-27</t>
  </si>
  <si>
    <t>SER-16/2026-27</t>
  </si>
  <si>
    <t>SER-17/2026-27</t>
  </si>
  <si>
    <t>SER-18/2026-27</t>
  </si>
  <si>
    <t>SER-19/2026-27</t>
  </si>
  <si>
    <t>SER-2/2026-27</t>
  </si>
  <si>
    <t>SER-20/2026-27</t>
  </si>
  <si>
    <t>SER-21/2026-27</t>
  </si>
  <si>
    <t>SER-22/2026-27</t>
  </si>
  <si>
    <t>SER-23/2026-27</t>
  </si>
  <si>
    <t>SER-24/2026-27</t>
  </si>
  <si>
    <t>SER-25/2026-27</t>
  </si>
  <si>
    <t>SER-26/2026-27</t>
  </si>
  <si>
    <t>SER-27/2026-27</t>
  </si>
  <si>
    <t>SER-3/2026-27</t>
  </si>
  <si>
    <t>SER-4/2026-27</t>
  </si>
  <si>
    <t>SER-5/2026-27</t>
  </si>
  <si>
    <t>SER-6/2026-27</t>
  </si>
  <si>
    <t>SER-7/2026-27</t>
  </si>
  <si>
    <t>SER-8/2026-27</t>
  </si>
  <si>
    <t>SER-9/2026-27</t>
  </si>
  <si>
    <t>07AABFS3475J1ZZ</t>
  </si>
  <si>
    <t>SALUJA TIMBER AND PLYWOOD</t>
  </si>
  <si>
    <t>5/2026-27</t>
  </si>
  <si>
    <t>6003f6cdf42b2a13b42586c7ad2af5eb37f755ac09f69794f62decdf1af4e9c8</t>
  </si>
  <si>
    <t>09AAKFC1201H1ZV</t>
  </si>
  <si>
    <t>CYRIL AMARCHAND MANGALDAS</t>
  </si>
  <si>
    <t>G2627N0035</t>
  </si>
  <si>
    <t>04ef385db5525930b2e2f4da0f5b827be65973c2552d14c91b35cb2e8611a089</t>
  </si>
  <si>
    <t>09ACGFA1224N1ZD</t>
  </si>
  <si>
    <t>APPARELTECH VENTURES LLP</t>
  </si>
  <si>
    <t>APV/26-27/R277</t>
  </si>
  <si>
    <t>APV/26-27/R583</t>
  </si>
  <si>
    <t>27AAACT3957G1Z7</t>
  </si>
  <si>
    <t>THE INDIAN HOTELS COMPANY LIMITED</t>
  </si>
  <si>
    <t>9A06227438</t>
  </si>
  <si>
    <t>dccc1acad12b6f020fe520c612d3e7d262613637463107546c5f39bdabda1e9a</t>
  </si>
  <si>
    <t>9A06227830</t>
  </si>
  <si>
    <t>538cf9f737f116912a821d60b5360bbc1786dbdadae791d199fb57ac337f293a</t>
  </si>
  <si>
    <t>07AAFAG0794D1ZU</t>
  </si>
  <si>
    <t>Govt. Servants Co-Operative House Building Society Limited/Vasant Vihar Club</t>
  </si>
  <si>
    <t>39/26-27</t>
  </si>
  <si>
    <t>40/26-27</t>
  </si>
  <si>
    <t>27AABCT3518Q1ZW</t>
  </si>
  <si>
    <t>TATA AIG GENERAL INSURANCE CO. LTD.</t>
  </si>
  <si>
    <t>MH26I00000103861</t>
  </si>
  <si>
    <t>MH26I00000103863</t>
  </si>
  <si>
    <t>MH26I00000103864</t>
  </si>
  <si>
    <t>MH26I00000103865</t>
  </si>
  <si>
    <t>MH26I00000110397</t>
  </si>
  <si>
    <t>MH26I00000114614</t>
  </si>
  <si>
    <t>MH26I00000115278</t>
  </si>
  <si>
    <t>MH26I00000115556</t>
  </si>
  <si>
    <t>MH26I00000115617</t>
  </si>
  <si>
    <t>MH26I00000116097</t>
  </si>
  <si>
    <t>MH26I00000116462</t>
  </si>
  <si>
    <t>MH26I00000116554</t>
  </si>
  <si>
    <t>MH26I00000116720</t>
  </si>
  <si>
    <t>MH26I00000116815</t>
  </si>
  <si>
    <t>MH26I00000117098</t>
  </si>
  <si>
    <t>MH26I00000117768</t>
  </si>
  <si>
    <t>MH26I00000117809</t>
  </si>
  <si>
    <t>MH26I00000117846</t>
  </si>
  <si>
    <t>MH26I00000120550</t>
  </si>
  <si>
    <t>MH26I00000123733</t>
  </si>
  <si>
    <t>MH26I00000125412</t>
  </si>
  <si>
    <t>MH26I00000129215</t>
  </si>
  <si>
    <t>MH26I00000152402</t>
  </si>
  <si>
    <t>MH26I00000158565</t>
  </si>
  <si>
    <t>07AAACA5284B1Z2</t>
  </si>
  <si>
    <t>AIR FRANCE</t>
  </si>
  <si>
    <t>AF/233/2627</t>
  </si>
  <si>
    <t>e4bc35c1812e79302ea00a738238dd3c3b200c3aa7b2364cf6433e660b46604f</t>
  </si>
  <si>
    <t>07BNJPA0681E1ZD</t>
  </si>
  <si>
    <t>LONG GREEN TRADDING COMPANY</t>
  </si>
  <si>
    <t>RB-01</t>
  </si>
  <si>
    <t>645cec2763903a079e3fec90c965681b7de11860742f04ea65741c5e65728640</t>
  </si>
  <si>
    <t>RB-02</t>
  </si>
  <si>
    <t>f2567725261f4aa0dc665f4a9ab95ab3ad6fdcf5fb2a25d97f59913d28e2253d</t>
  </si>
  <si>
    <t>RB-03</t>
  </si>
  <si>
    <t>a4859970aa8a5410b06f35c1fab821012d110ca707c2a648d7c33fb3825d906d</t>
  </si>
  <si>
    <t>RB-04</t>
  </si>
  <si>
    <t>8151d93521928bc5ba3b906c0666a32181d4a8e281ae61578adfc344c23cf95f</t>
  </si>
  <si>
    <t>RB-05</t>
  </si>
  <si>
    <t>f3fc7e354574942a3325b649ab8585efcca6b5165f4620eff6840e41cb57087f</t>
  </si>
  <si>
    <t>RB-06</t>
  </si>
  <si>
    <t>c585636e6f4ac80d049c7d8cd48f3b5af3cfecc0c7cedc9b8164c29ed2b47131</t>
  </si>
  <si>
    <t>RB-07</t>
  </si>
  <si>
    <t>658a4c45470ae0c2b7e486a2bf468fd5466617a39d5d312d83d292b8e31d8c38</t>
  </si>
  <si>
    <t>RB-08</t>
  </si>
  <si>
    <t>c523e61cb648e1724f8594adc0373c761b4ca0c971e61389de5a59b51f8115ba</t>
  </si>
  <si>
    <t>RB-09</t>
  </si>
  <si>
    <t>e0235e261d130d0be217e8f9545e17750619d7e11a0b0f25408f08b14d47dd6e</t>
  </si>
  <si>
    <t>RB-10</t>
  </si>
  <si>
    <t>96b41d31ef390b039e129c89aa7a3539ce166ebab3f10b2ebf45655187d28465</t>
  </si>
  <si>
    <t>RB-11</t>
  </si>
  <si>
    <t>0eafff0b6d4690d8638f4ca012adde81e39ea3516de816ea700a1eb22ab669bb</t>
  </si>
  <si>
    <t>RB-12</t>
  </si>
  <si>
    <t>61d7cbcd2875da89fecde9b35d8a881376cd00d087f393f7559f0fa5975ad669</t>
  </si>
  <si>
    <t>RB-13</t>
  </si>
  <si>
    <t>9e12b916d7e182c7ecced38231bcda4f16e9ca4cd2039aff94cff73086a78e01</t>
  </si>
  <si>
    <t>RB-15</t>
  </si>
  <si>
    <t>df04e556942b796b50c9ffae5ed07aa71f5820f719775c903666d7f298624f98</t>
  </si>
  <si>
    <t>RB-17</t>
  </si>
  <si>
    <t>7735635271b153c216ffcbedc23f2cc20cc0391086037897c0d519e2f46069bb</t>
  </si>
  <si>
    <t>06AAGCD4246E1ZX</t>
  </si>
  <si>
    <t>DEUTSCHE CARS PRIVATE LIMITED</t>
  </si>
  <si>
    <t>DFSI2600000412</t>
  </si>
  <si>
    <t>4d3cdf8049c8407eca2d2d74cb100660cb210d0f1a02307e27bf7c560b68836d</t>
  </si>
  <si>
    <t>DFSI2600000751</t>
  </si>
  <si>
    <t>87237282f055aa6b614913648de5f2d33f3fa3822316bb6644f8875fa07a4c8f</t>
  </si>
  <si>
    <t>07BEXPM4060G1Z5</t>
  </si>
  <si>
    <t>KISHAN TRADERS</t>
  </si>
  <si>
    <t>KT/APR/26-27/001</t>
  </si>
  <si>
    <t>KT/APR/26-27/002</t>
  </si>
  <si>
    <t>KT/APR/26-27/003</t>
  </si>
  <si>
    <t>KT/APR/26-27/004</t>
  </si>
  <si>
    <t>KT/APR/26-27/005</t>
  </si>
  <si>
    <t>KT/APR/26-27/008</t>
  </si>
  <si>
    <t>KT/APR/26-27/009</t>
  </si>
  <si>
    <t>KT/APR/26-27/010</t>
  </si>
  <si>
    <t>KT/APR/26-27/013</t>
  </si>
  <si>
    <t>KT/APR/26-27/015</t>
  </si>
  <si>
    <t>KT/APR/26-27/016</t>
  </si>
  <si>
    <t>KT/APR/26-27/017</t>
  </si>
  <si>
    <t>KT/APR/26-27/018</t>
  </si>
  <si>
    <t>KT/APR/26-27/019</t>
  </si>
  <si>
    <t>07ABEFR5484L1ZM</t>
  </si>
  <si>
    <t>REDOX AGENCIES</t>
  </si>
  <si>
    <t>GST/26-27/3</t>
  </si>
  <si>
    <t>8c3737be4b577d4b42984682e75908a8d98a04fc61ab1569c4ac71d1ea8259ba</t>
  </si>
  <si>
    <t>SER/26-27/1</t>
  </si>
  <si>
    <t>31a2ae9acf7fa9c4a2bcb602f1e42950ed21eaabf84dc5dc98386aba5956d8a2</t>
  </si>
  <si>
    <t>SER/26-27/2</t>
  </si>
  <si>
    <t>9b927a48588f608c4e2cea327edadc125c3a24a472547aecf54d50dc91b5c665</t>
  </si>
  <si>
    <t>SER/26-27/3</t>
  </si>
  <si>
    <t>4c5ca0a2a899db9183123edc0c6774866283307adb3eb19f2f3ade01bd6d6f75</t>
  </si>
  <si>
    <t>SER/26-27/4</t>
  </si>
  <si>
    <t>c7e025c0c699c6e1e941c9076f6a280f0d848d34f881e2c9b6ab107a41d22146</t>
  </si>
  <si>
    <t>SER/26-27/5</t>
  </si>
  <si>
    <t>0f5d96cb9771f5b1efac68fe463fb9186042f2b0daef8e6ad2f9c96dd3bd2497</t>
  </si>
  <si>
    <t>SER/26-27/6</t>
  </si>
  <si>
    <t>faf14a751badab116ab8815f1bb9e13b1f67db6b04704e816deeb1af909635c2</t>
  </si>
  <si>
    <t>SER/26-27/7</t>
  </si>
  <si>
    <t>d9654e46ba99d3bd31439e2fc31073ff80fb9854d7e1bae47a7f474fe2da400e</t>
  </si>
  <si>
    <t>06AMQPG9240A1Z8</t>
  </si>
  <si>
    <t>Yuvaa Enterprrises</t>
  </si>
  <si>
    <t>GPI/001/2026-27</t>
  </si>
  <si>
    <t>07ALWPT1567E1ZJ</t>
  </si>
  <si>
    <t>OM COMPUTER WORLD</t>
  </si>
  <si>
    <t>262700093</t>
  </si>
  <si>
    <t>09AABCW0017F1ZQ</t>
  </si>
  <si>
    <t>WAE  LIMITED</t>
  </si>
  <si>
    <t>W/SR/2526/233823</t>
  </si>
  <si>
    <t>6aee94b3e2d66b175e32958f63b91881251d3fa3c0b6b2f7a53cf864444798ce</t>
  </si>
  <si>
    <t>W/SR/2526/233837</t>
  </si>
  <si>
    <t>1722750d7504aeff18b3ca8c0577764d362ff407e6a5c0ef8c953c1426b5c306</t>
  </si>
  <si>
    <t>09ACTPG0935H1ZE</t>
  </si>
  <si>
    <t>GOEL ENTERPRISES</t>
  </si>
  <si>
    <t>107/2026-27</t>
  </si>
  <si>
    <t>07AAAFT1855C1ZI</t>
  </si>
  <si>
    <t>M/S TILES AND SANITARY EMPORIUM</t>
  </si>
  <si>
    <t>5465</t>
  </si>
  <si>
    <t>5498</t>
  </si>
  <si>
    <t>07AFTPC4142H1ZH</t>
  </si>
  <si>
    <t>Himangini Singh</t>
  </si>
  <si>
    <t>GPIL/26-27/01</t>
  </si>
  <si>
    <t>52534541845624762f072c6f004ea71032c66f095d6480c6f469783bfa52dd32</t>
  </si>
  <si>
    <t>07AADCA3655R1Z7</t>
  </si>
  <si>
    <t>A &amp; V ZIPPERS PRIVATE LIMITED</t>
  </si>
  <si>
    <t>AVZ/10/2026-27</t>
  </si>
  <si>
    <t>ecfeb521568c2318e9f51f392e1a8d898e15f5582fd3053c071f3627a3ead5b0</t>
  </si>
  <si>
    <t>AVZ/11/2026-27</t>
  </si>
  <si>
    <t>4d99b83b252e458e9f75076dc5ed3710f6d5ec38327deef46dcf7fbeefeab82c</t>
  </si>
  <si>
    <t>AVZ/12/2026-27</t>
  </si>
  <si>
    <t>1ea4c44ec4c9da783f73bb97c9b4fad54162567735e851d0e24f42641c537b05</t>
  </si>
  <si>
    <t>AVZ/13/2026-27</t>
  </si>
  <si>
    <t>72d4188d4a8188d4c2fa65f98a70592de0136834a3d93e51ec9225fe8374a614</t>
  </si>
  <si>
    <t>AVZ/3/2026-27</t>
  </si>
  <si>
    <t>116666f5c79d534568600c00c19131fb82148a7e0ae7b1154ea3bb3379ec5af4</t>
  </si>
  <si>
    <t>AVZ/6/2026-27</t>
  </si>
  <si>
    <t>3a89f90542567b16b7531610162de5e6a9a4226a4a00a89d2994a0269f5af86d</t>
  </si>
  <si>
    <t>AVZ/7/2026-27</t>
  </si>
  <si>
    <t>f99b37a1a9d7ad84fa6b24865397981d21ab84d46f51e48327ca0e67a7aea144</t>
  </si>
  <si>
    <t>AVZ/8/2026-27</t>
  </si>
  <si>
    <t>9b17459432d418261b4367a916bd9dab6eba4a6d082ac53435e8f84b478a9adb</t>
  </si>
  <si>
    <t>AVZ/9/2026-27</t>
  </si>
  <si>
    <t>7b8b55e334e7d8530f20a9d49c3164631bbf72e655b92ab36eff3af5428e25b6</t>
  </si>
  <si>
    <t>07AXQPM6647J1ZQ</t>
  </si>
  <si>
    <t>DM LOGISTICS</t>
  </si>
  <si>
    <t>GPI/DE/26-27/01</t>
  </si>
  <si>
    <t>8cb0a7b6b4362e7b996e7595d022b66297c94abc2d3f55cf4b18d5f985617e74</t>
  </si>
  <si>
    <t>GPI/DE/26-27/02</t>
  </si>
  <si>
    <t>2be30b8ef0fb0dbb5caa17e8655af8bc21ad214cf9bf82c156b12dd62fa4b531</t>
  </si>
  <si>
    <t>07AAACE6898B4ZH</t>
  </si>
  <si>
    <t>THE OBEROI NEW DELHI</t>
  </si>
  <si>
    <t>CI1001100049</t>
  </si>
  <si>
    <t>CI1001100050</t>
  </si>
  <si>
    <t>CI1001100051</t>
  </si>
  <si>
    <t>CI1001100092</t>
  </si>
  <si>
    <t>CI1001100173</t>
  </si>
  <si>
    <t>CI1001100192</t>
  </si>
  <si>
    <t>CI1001100291</t>
  </si>
  <si>
    <t>CI1001100320</t>
  </si>
  <si>
    <t>CI1001100350</t>
  </si>
  <si>
    <t>CI1001100690</t>
  </si>
  <si>
    <t>CI1001100810</t>
  </si>
  <si>
    <t>CI1001100908</t>
  </si>
  <si>
    <t>CI1001100915</t>
  </si>
  <si>
    <t>07AAIPM8078J1Z4</t>
  </si>
  <si>
    <t>MEHTA ENTERPRISES</t>
  </si>
  <si>
    <t>1667</t>
  </si>
  <si>
    <t>07AAACC8414B1Z6</t>
  </si>
  <si>
    <t>CARRIER AIRCONDITIONING &amp; REFRIGRATION LIMITED</t>
  </si>
  <si>
    <t>7026000049</t>
  </si>
  <si>
    <t>07ANXPS5012J2ZF</t>
  </si>
  <si>
    <t>JAGDAMBA SINGH</t>
  </si>
  <si>
    <t>18A</t>
  </si>
  <si>
    <t>07ASGPB8163K1ZK</t>
  </si>
  <si>
    <t>VIKAS KRISHI STORE</t>
  </si>
  <si>
    <t>1121</t>
  </si>
  <si>
    <t>06/10/2025</t>
  </si>
  <si>
    <t>1122</t>
  </si>
  <si>
    <t>07/10/2025</t>
  </si>
  <si>
    <t>1123</t>
  </si>
  <si>
    <t>1131</t>
  </si>
  <si>
    <t>12/11/2025</t>
  </si>
  <si>
    <t>07AADCC3694E1ZP</t>
  </si>
  <si>
    <t>SHYAM SPECTRA PRIVATE LIMITED</t>
  </si>
  <si>
    <t>BDLI000184/26-27</t>
  </si>
  <si>
    <t>BDLI000203/26-27</t>
  </si>
  <si>
    <t>BDLI000205/26-27</t>
  </si>
  <si>
    <t>BDLI000328/26-27</t>
  </si>
  <si>
    <t>b999cee59ea526f865a9f170717ee0f4bd9b9bffa91d5a5be137fba99cb923a9</t>
  </si>
  <si>
    <t>BDLI000509/26-27</t>
  </si>
  <si>
    <t>f2a9434e12e2c10a4736883d19e59988ddb49fe911cf19509c53760c2e35357b</t>
  </si>
  <si>
    <t>BDLI000510/26-27</t>
  </si>
  <si>
    <t>8df94153004ac2fb0559dc17a3bb0ad897a2d164b2d584a2b60bc3195b4ffd53</t>
  </si>
  <si>
    <t>BDLI000511/26-27</t>
  </si>
  <si>
    <t>751922e26aef22ee499ae705841d72df5d9d57b1d53b3265643459ff00a6164d</t>
  </si>
  <si>
    <t>07AACCG5199H1ZC</t>
  </si>
  <si>
    <t>GDX SECURITY SOLUTIONS INDIA PRIVATE LIMITED</t>
  </si>
  <si>
    <t>DELI/26-27/00142</t>
  </si>
  <si>
    <t>28ac18f79516be653b743f4e093a95f10c40582b6afb848a19de0c1d807fe438</t>
  </si>
  <si>
    <t>06AAACS1688R2ZO</t>
  </si>
  <si>
    <t>SANGAT PRINTERS PVT LTD</t>
  </si>
  <si>
    <t>SPPL/0174/26-27</t>
  </si>
  <si>
    <t>0bdc351b4a28af9a01e15324cc7cd8b735c729da4db1eaac19037681795541d0</t>
  </si>
  <si>
    <t>SPPL/0175/26-27</t>
  </si>
  <si>
    <t>204848af730acb9622403e84ea173fa1059cd4c62aa33ba1be10ee775ced34da</t>
  </si>
  <si>
    <t>SPPL/0176/26-27</t>
  </si>
  <si>
    <t>470e19ec093a9386220eeb98acf6c232ebe5a234ded1768f98e5f3122e239f4e</t>
  </si>
  <si>
    <t>SPPL/0177/26-27</t>
  </si>
  <si>
    <t>8ecf9a87384307ffdf039692b42ed570f3fd010eae4b634fd3641757e63220ef</t>
  </si>
  <si>
    <t>SPPL/0178/26-27</t>
  </si>
  <si>
    <t>4b7fbab2eb96292b3b16f769cfba5a50ab2d8aaf3e2802ad27d499bebbad9fa0</t>
  </si>
  <si>
    <t>SPPL/0188/26-27</t>
  </si>
  <si>
    <t>f27706f332696c8e8a04fcd383fd362d4f7e2964a29114faac15f5b84e0ce833</t>
  </si>
  <si>
    <t>SPPL/0189/26-27</t>
  </si>
  <si>
    <t>6e7173d5833cd35adc3a42cbce8cd589d14863351ceb27a6fad41056c750f61f</t>
  </si>
  <si>
    <t>SPPL/0256/26-27</t>
  </si>
  <si>
    <t>45259d8020eae05f51ecfd270b8cdc76a0b56817268d52663f20af0ee330bea1</t>
  </si>
  <si>
    <t>SPPL/0399/26-27</t>
  </si>
  <si>
    <t>748b1959ab8133acc05b4f2ff2cdbafb41515444dc7cf11277a57fb8c4b04011</t>
  </si>
  <si>
    <t>SPPL/0400/26-27</t>
  </si>
  <si>
    <t>aa831ba8a9e667d73ac4243f8923d2ef9672fd074a2d9d9274842a2d6f20c82e</t>
  </si>
  <si>
    <t>SPPL/0401/26-27</t>
  </si>
  <si>
    <t>8f3177365f34713560bb21575e3d59d9b90957f3fbce1afcca71fa8e95c3a9bf</t>
  </si>
  <si>
    <t>SPPL/0402/26-27</t>
  </si>
  <si>
    <t>9f7638f5749aaeaabe3fc2127828c243a152369bb02e78cdba16cdb4a7d19fb0</t>
  </si>
  <si>
    <t>07ACBPV7574P1ZN</t>
  </si>
  <si>
    <t>ANS Computers &amp; Peripheralss</t>
  </si>
  <si>
    <t>3</t>
  </si>
  <si>
    <t>12/05/2026</t>
  </si>
  <si>
    <t>4</t>
  </si>
  <si>
    <t>07AAACS8577K1ZR</t>
  </si>
  <si>
    <t>STATE BANK OF INDIA</t>
  </si>
  <si>
    <t>T0426071R1138</t>
  </si>
  <si>
    <t>T0426071R1139</t>
  </si>
  <si>
    <t>T0426071R1140</t>
  </si>
  <si>
    <t>07AAATI2778P1Z1</t>
  </si>
  <si>
    <t>INTERNATIONAL FISCAL ASSOCIATION-INDIA BRANCH</t>
  </si>
  <si>
    <t>IFA/N/26-27/110</t>
  </si>
  <si>
    <t>29AAACW7118G1Z7</t>
  </si>
  <si>
    <t>WILLIAM PENN PRIVATE LIMITED</t>
  </si>
  <si>
    <t>27014810SC000006</t>
  </si>
  <si>
    <t>78de6a2c43ff4da155d69caafe427c90b5716fa1007956cf2df96aabb228ad09</t>
  </si>
  <si>
    <t>07AIUPB4136G2Z9</t>
  </si>
  <si>
    <t>MAHENDERA BHATT &amp; CO.</t>
  </si>
  <si>
    <t>2025-26/02</t>
  </si>
  <si>
    <t>01/10/2025</t>
  </si>
  <si>
    <t>2025-26/03</t>
  </si>
  <si>
    <t>14/10/2025</t>
  </si>
  <si>
    <t>09AABCG4768K1Z5</t>
  </si>
  <si>
    <t>GODFREY PHILLIPS INDIA LTD</t>
  </si>
  <si>
    <t>GPI-FGG260500001</t>
  </si>
  <si>
    <t>c9879c328210bce470e909074cf50771f056870ef974f21872fc6ee06742b368</t>
  </si>
  <si>
    <t>GPI-FGG260500010</t>
  </si>
  <si>
    <t>7f5a5e2f3e32fb28c4fd5fd17831042c5b5f00237bef18aecda2c6d64398ab03</t>
  </si>
  <si>
    <t>GPI-FGG260500025</t>
  </si>
  <si>
    <t>7b162dcc51817c4f6112db485ccd468f1771962fd357167138ee9ca6da033053</t>
  </si>
  <si>
    <t>GPI-FGG260500054</t>
  </si>
  <si>
    <t>944d0713b128a69d46cde2db8f22d7fc1de2e650c6646789c781f1627d305020</t>
  </si>
  <si>
    <t>GPI-FGG260500067</t>
  </si>
  <si>
    <t>cbd3d9e05d9561f38336c9a45b71d01b338218937027cca7227ccca55a0e2c57</t>
  </si>
  <si>
    <t>GPI-FGG260500074</t>
  </si>
  <si>
    <t>4bae3d84edd1d7a5a72ae4d4c41ba888ffbf26382869af8f1ddbbb40c4a808e0</t>
  </si>
  <si>
    <t>GPI-FGG260500079</t>
  </si>
  <si>
    <t>0a796d8bd38fc7b9020e2fb094d174ad2fe8e6f3c941850941448bf0688fcc1b</t>
  </si>
  <si>
    <t>GPI-FGG260500100</t>
  </si>
  <si>
    <t>74e464666c9c9169b217b728a4022501d27f3fc628f1dede08d190149c846958</t>
  </si>
  <si>
    <t>GPI-FGG260500103</t>
  </si>
  <si>
    <t>142bce6243ffbfe298d29a251bb7acf4b580fe70cfb9da000e7d4e72796c3756</t>
  </si>
  <si>
    <t>GPI-FGG260500149</t>
  </si>
  <si>
    <t>2dadd34fc8ed4dcdbc2247dd365a30ff70b1d8a6dcc572de357df66625f7ca9e</t>
  </si>
  <si>
    <t>GPI-FGG260500152</t>
  </si>
  <si>
    <t>e7642c6441a0c40721139edf40898a1e9c42a4dc8f81a6d924322fc0d2542d39</t>
  </si>
  <si>
    <t>GPI-FGG260500166</t>
  </si>
  <si>
    <t>e59e065a2fb7834b9102f8edabb268e7b99adf91b72c4c66fd55053f4f4937ed</t>
  </si>
  <si>
    <t>GPI-FGG260500183</t>
  </si>
  <si>
    <t>8f2ee695aceb03397e9a7a455e18f941aa76997fb08b9ad302d4b3f24bed2875</t>
  </si>
  <si>
    <t>GPI-FGG260500201</t>
  </si>
  <si>
    <t>32fbafb37dc4d718d82a42cb83ec4d664faf1585f3f6a4f22fe21699dfe1786f</t>
  </si>
  <si>
    <t>GPI-FGG260500202</t>
  </si>
  <si>
    <t>4766cdd78361c21ee7ae99b12db03616f0bc67fc5b80875798f9a91bbeb730ce</t>
  </si>
  <si>
    <t>GPI-FGG260500203</t>
  </si>
  <si>
    <t>97c59c5ca5f275e8f5bcd56373a5ae8ea8a3be522c2e39ea5f6fb9dd0237cc1e</t>
  </si>
  <si>
    <t>GPI-FGG260500204</t>
  </si>
  <si>
    <t>8da3702f55ba2a96fb90bc8db5a9e86b528984e3539b927150a8bacfa5715b06</t>
  </si>
  <si>
    <t>GPI-FGG260500213</t>
  </si>
  <si>
    <t>e3aa499e4cd12da8653d68461a2493a9d1eda2ed9ec2eb5dc3359255346cc98f</t>
  </si>
  <si>
    <t>GPI-FGG260500230</t>
  </si>
  <si>
    <t>ceb5b0f85977c2ba3d9df17af58a88ac90d9019e440d2df8412edd00c99f68c2</t>
  </si>
  <si>
    <t>GPI-FGG260500238</t>
  </si>
  <si>
    <t>168172471a48bf18b549185b8da10e88c7ae9df8a1c2e3a724e19362160798af</t>
  </si>
  <si>
    <t>GPI-FGG260500275</t>
  </si>
  <si>
    <t>cf4e8001ebc0d33ac9fa24000c2ecb1c045869c6d10b28c82b27ec5a52d1eb70</t>
  </si>
  <si>
    <t>GPI-FGG260500298</t>
  </si>
  <si>
    <t>e9143698c8f9dae1bbc332e0bb3145f5184c485f69607f144a154066808a8aec</t>
  </si>
  <si>
    <t>GPI-FGG260500299</t>
  </si>
  <si>
    <t>7a4fabd38bc8d4873e76e9601c83f78f7333428365516a387f063bcf4ee520d0</t>
  </si>
  <si>
    <t>GPI-GOK260500023</t>
  </si>
  <si>
    <t>1db86c4396c6c69b9136a02de6322bfb8934606ed561249a501092c0efb39cef</t>
  </si>
  <si>
    <t>GPI-GOK260500202</t>
  </si>
  <si>
    <t>b740d41635fefdf7146c0398ac305e90a00d88ce9856e040ebcc9896b29da818</t>
  </si>
  <si>
    <t>GPI-GOK260500203</t>
  </si>
  <si>
    <t>e7c4d13dea8afe3fbeb6138aa58e41aeb72b3d6e03a340965ab157c6e49609ba</t>
  </si>
  <si>
    <t>GPI-GOK260500312</t>
  </si>
  <si>
    <t>873bda1c63562e245ff067bf10465700830e9e7f63a82226749fd11784b22303</t>
  </si>
  <si>
    <t>GPI-GOK260500313</t>
  </si>
  <si>
    <t>dd1eaecabd86ec58a1f4e2f5a6e448913b8f1a05a70f1ad1ea0b1d4e024059a3</t>
  </si>
  <si>
    <t>GPI-GOK260500314</t>
  </si>
  <si>
    <t>eea5b9c71b1b2d6f3414133c9c79f1523c0debc70d22dc7e99de90b08c319a8c</t>
  </si>
  <si>
    <t>GPI-GOK260500346</t>
  </si>
  <si>
    <t>d78eeabef62425c0b5c0f2e96c8700aa65408cf557950bc5d8ef10c452a8c482</t>
  </si>
  <si>
    <t>GPI-GOK260500347</t>
  </si>
  <si>
    <t>f6f1919fe037f28b878a19bb64176ab5aa9212d63ebe34ccf170ff4c55288fe5</t>
  </si>
  <si>
    <t>GPI-GOK260500479</t>
  </si>
  <si>
    <t>a911ca4e6fab44b7e8f72918ccdc5d8e00b795c2f20c354b24b38a87931593b1</t>
  </si>
  <si>
    <t>GPI-GOK260500480</t>
  </si>
  <si>
    <t>bbc16bf8de5ae04dd4ca885ffec2adfd9a65005438d368c684d50224ea78493b</t>
  </si>
  <si>
    <t>GPI-GOK260500481</t>
  </si>
  <si>
    <t>e316f1d1139a760fe07e10a7577bfab1eadc43043f1896659689022a1d4f71e7</t>
  </si>
  <si>
    <t>GPI-GOK260500608</t>
  </si>
  <si>
    <t>acaceaba86912c887de651d5f08430c1bc57908ceb481b1c23f3d33bf86aaf82</t>
  </si>
  <si>
    <t>GPI-GOK260500609</t>
  </si>
  <si>
    <t>9f04b980edbcffa9ae4bc3dec7886b5c9d6c5fb8178a32bc2aa73d89f60f441c</t>
  </si>
  <si>
    <t>GPI-GOK260500743</t>
  </si>
  <si>
    <t>54596b31fe03aa6a0285a85e85164fdedb0e61175c8dd429279abb963af7ff3d</t>
  </si>
  <si>
    <t>GPI-GOK260500744</t>
  </si>
  <si>
    <t>43e514cfe77b24b722507096aaa52e143f3bc47c576ef5e438f2cf217d2a634b</t>
  </si>
  <si>
    <t>GPI-GOK260500775</t>
  </si>
  <si>
    <t>e0a169d63753618e9b305d01b02d6eab85f3b5b47927eb5ddf953da783100ecc</t>
  </si>
  <si>
    <t>GPI-GOK260500776</t>
  </si>
  <si>
    <t>6b269c2c66c3a5099b97ca1b6633b042b702f367bbb2f0be0b2c1e6cd2757da9</t>
  </si>
  <si>
    <t>GPI-GOK260500891</t>
  </si>
  <si>
    <t>639bea9540fee6cab96d611e2fb33010921a838f8d789afe2b299194de52b7e1</t>
  </si>
  <si>
    <t>GPI-GOK260500892</t>
  </si>
  <si>
    <t>6f7256d62ed1a667c94ad3651ea35cdbf92f0f753d603b4209a990a05eef0817</t>
  </si>
  <si>
    <t>GPI-GOK260500893</t>
  </si>
  <si>
    <t>0bb13671b14a0c85aebd3ae33e1ac4bea5253b743516f1e698199ed020cfd4b3</t>
  </si>
  <si>
    <t>GPI-GOK260501014</t>
  </si>
  <si>
    <t>5d0a9e69e18e4fb3d07064a0547a2c4b959b4de5d27f9e7ac589ece8b937ee51</t>
  </si>
  <si>
    <t>GPI-GOK260501058</t>
  </si>
  <si>
    <t>799e8795d9e08695ade952d639784acf2fc722fa433a967e0d40bb8eb980715e</t>
  </si>
  <si>
    <t>GPI-GOK260501163</t>
  </si>
  <si>
    <t>4d56cca2531049d250cc37fe6e5b60d4c18261755c33e15f0e4a1fd71d6c0ddb</t>
  </si>
  <si>
    <t>GPI-GOK260501164</t>
  </si>
  <si>
    <t>9f3ff596f9e01a39d42c9e82a216330ff1fb3b0adfabee7c6f4745ed7fc468d9</t>
  </si>
  <si>
    <t>GPI-GOK260501191</t>
  </si>
  <si>
    <t>eda4a9d7fd19967714e582e2e77149d37df30f5de103be86e9bce854a519928d</t>
  </si>
  <si>
    <t>07AAACC4175D1Z0</t>
  </si>
  <si>
    <t>CANON INDIA PRIVATE LIMITED</t>
  </si>
  <si>
    <t>DLS2627000000031</t>
  </si>
  <si>
    <t>DLS2627000000119</t>
  </si>
  <si>
    <t>DLS2627000000120</t>
  </si>
  <si>
    <t>DLS2627000000348</t>
  </si>
  <si>
    <t>DLS2627000000354</t>
  </si>
  <si>
    <t>DLS2627000000355</t>
  </si>
  <si>
    <t>DLS2627000000590</t>
  </si>
  <si>
    <t>DLS2627000000593</t>
  </si>
  <si>
    <t>DLS2627000000641</t>
  </si>
  <si>
    <t>DLS2627000000642</t>
  </si>
  <si>
    <t>DLS2627000000643</t>
  </si>
  <si>
    <t>DLS2627000000644</t>
  </si>
  <si>
    <t>DLS2627000000653</t>
  </si>
  <si>
    <t>DLS2627000000660</t>
  </si>
  <si>
    <t>07CALPG9182J1Z6</t>
  </si>
  <si>
    <t>VIHAAN TRADING</t>
  </si>
  <si>
    <t>CIG/MAR26/142</t>
  </si>
  <si>
    <t>4bb8f2d4155bdbafb30df75fb60e95b6683e9eaa217d1d349bcc9e213a617cb3</t>
  </si>
  <si>
    <t>CIG/MAR26/143</t>
  </si>
  <si>
    <t>b1aae37e77b62b9d87e704272a45dfbf98f544aeee40862824a7076a240757b9</t>
  </si>
  <si>
    <t>CIG/MAR26/144</t>
  </si>
  <si>
    <t>4ee525ca1ee5e48eb005aed13b5ca1010611276eee50ab21d02815d32c52721f</t>
  </si>
  <si>
    <t>CIG/MAR26/145</t>
  </si>
  <si>
    <t>1fecc88426f5284f90ffed5f50991ef44213004613febd3a36638bd2f7e4599e</t>
  </si>
  <si>
    <t>CIG/MAR26/146</t>
  </si>
  <si>
    <t>faed4420180292e376c784bb1c1229e31bed282e1c7fa710fba7265fa63b8334</t>
  </si>
  <si>
    <t>CIG/MAR26/147</t>
  </si>
  <si>
    <t>d73fdb912ab504d83b403b83dc3eea4872481abf023530fd68d5acef22b84e32</t>
  </si>
  <si>
    <t>CIG/MAR26/148</t>
  </si>
  <si>
    <t>06a39e606c48650bfa2c8d9b61a9e350d665a22fa4f09d1b26bbc80687aff4ba</t>
  </si>
  <si>
    <t>CIG/MAR26/149</t>
  </si>
  <si>
    <t>d56452735fbde1c4be1c63b96d922e1f6da56f2cbe4d26a03117d7ead9c4510b</t>
  </si>
  <si>
    <t>CIG/MAR26/150</t>
  </si>
  <si>
    <t>e9a60e243b851fc76f785d6f2c5458a1c651063244587728e79b7ccd1e380b98</t>
  </si>
  <si>
    <t>CIG/MAR26/151</t>
  </si>
  <si>
    <t>e3858498f72d968606c242efeb40ca1e053483d44cba9a67a2abf839f1c235aa</t>
  </si>
  <si>
    <t>CIG/MAR26/152</t>
  </si>
  <si>
    <t>d215eedc0ff9ae040122df12427e9678fe8af5374e43022df501dc15ba31892b</t>
  </si>
  <si>
    <t>CIG/MAR26/153</t>
  </si>
  <si>
    <t>9c7f84145b0487abc79430dba9eb403190cc89bd906eaf6361f111b19c56322e</t>
  </si>
  <si>
    <t>CIG/MAR26/154</t>
  </si>
  <si>
    <t>e40f35c70c93ac1ce847bf6d3f718855adbdcb95b47a2b7ca8a5af36133b4576</t>
  </si>
  <si>
    <t>CIG/MAR26/155</t>
  </si>
  <si>
    <t>a4d152464a9f42c3fc8409cb736638660617cecaef172aa77c333d314b27333e</t>
  </si>
  <si>
    <t>CIG/MAR26/156</t>
  </si>
  <si>
    <t>d80623dc14e4b1c4a43cff55da0113b6c41a39096bb449a883b92d10f16aa14d</t>
  </si>
  <si>
    <t>CIG/MAR26/157</t>
  </si>
  <si>
    <t>625a4848c4b78d74d3afd06d3b1dbd549e7107515e58eb55f307af23d2839c57</t>
  </si>
  <si>
    <t>CIG/MAR26/158</t>
  </si>
  <si>
    <t>1fbd3006d54e54ba3d35658ab276264e721b69827f25cfbbe7bbb569588f51f4</t>
  </si>
  <si>
    <t>CIG/MAR26/159</t>
  </si>
  <si>
    <t>0425ddc49f67168aca8e2713d414c74c530adb46d0c661431240203d36e52908</t>
  </si>
  <si>
    <t>07ACUPC6924F1ZG</t>
  </si>
  <si>
    <t>LAXMI ENTERPRISES</t>
  </si>
  <si>
    <t>288</t>
  </si>
  <si>
    <t>289</t>
  </si>
  <si>
    <t>290</t>
  </si>
  <si>
    <t>291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</si>
  <si>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</si>
  <si>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</si>
  <si>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</si>
  <si>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</si>
  <si>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</si>
  <si>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</si>
  <si>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</si>
  <si>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</si>
  <si>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</si>
  <si>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</si>
  <si>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</si>
  <si>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</si>
  <si>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</si>
  <si>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</si>
  <si>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</si>
  <si>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</si>
  <si>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</si>
  <si>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</si>
  <si>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07AACCE9997K1ZT</t>
  </si>
  <si>
    <t>ESCONET TECHNOLOGIES LIMITED</t>
  </si>
  <si>
    <t>20260136</t>
  </si>
  <si>
    <t>81a7bba538b75ce14e052b3dff8fdd46ccdbb0456fe5ddfbca7f0989639c6d44</t>
  </si>
  <si>
    <t>07AAACM6396E2ZC</t>
  </si>
  <si>
    <t>HITACHI SYSTEMS INDIA PRIVATE LIMITED</t>
  </si>
  <si>
    <t>H07T10202600241</t>
  </si>
  <si>
    <t>5f9acb5edfb07d91adad2798b2399214539ad0b9b5715466a50275333b4dbcee</t>
  </si>
  <si>
    <t>07AELPT6048J2ZV</t>
  </si>
  <si>
    <t>RNT ENTERPRISES</t>
  </si>
  <si>
    <t>446</t>
  </si>
  <si>
    <t>27AABCG4768K1Z7</t>
  </si>
  <si>
    <t>GPI-FGR260500007</t>
  </si>
  <si>
    <t>641cada88a3de9d9428511c4a6711f45dd86d00b0a8b74abe3770f32ddd8504d</t>
  </si>
  <si>
    <t>GPI-FGR260500034</t>
  </si>
  <si>
    <t>462acc5d4b1052b673ccedf8dd79cd94da5b6bceecd44f3dda4bb5e89933e3b6</t>
  </si>
  <si>
    <t>GPI-FGR260500056</t>
  </si>
  <si>
    <t>040df02edaf5ca16b63d78c2d9329baf58cbe574c2f9a55bd82ca2f0d57fc435</t>
  </si>
  <si>
    <t>GPI-FGR260500104</t>
  </si>
  <si>
    <t>4b97f0a1f89254e9de0237d7ac2a8bf02698da8d29c46143ee81694d3a0b21a6</t>
  </si>
  <si>
    <t>GPI-FGR260500149</t>
  </si>
  <si>
    <t>8cee03ec8e81e44cfca6e939ae5871cb033ddbfed6c5ac61658e2a32c8af89d3</t>
  </si>
  <si>
    <t>GPI-FGR260500153</t>
  </si>
  <si>
    <t>3aa2e3d825f0012e0384599c1f738cf61d9214146280728a400b1faf2a218e05</t>
  </si>
  <si>
    <t>GPI-FGR260500174</t>
  </si>
  <si>
    <t>deb64d4d68a60c5dbd8dd99970011eb9f717745915fc904bac6f34d451f872bb</t>
  </si>
  <si>
    <t>GPI-FGR260500223</t>
  </si>
  <si>
    <t>502fd562369abf5f02b7eee1e2c5d0717eb9aebcdc6555beafaaac1e22c7085a</t>
  </si>
  <si>
    <t>07AAACB0272G1Z5</t>
  </si>
  <si>
    <t>BEACON TRAVELS PRIVATE LIMITED</t>
  </si>
  <si>
    <t>D2503629</t>
  </si>
  <si>
    <t>05/03/2026</t>
  </si>
  <si>
    <t>2338bb7c9ba13c3122db96a3b0485c0cfd15fd4223fcad8ab6638930a6758dbc</t>
  </si>
  <si>
    <t>19/03/2026</t>
  </si>
  <si>
    <t>D2503630</t>
  </si>
  <si>
    <t>408d57d946c477558353abb0a44b70d063ddb3e39f294d89bddf461151100afe</t>
  </si>
  <si>
    <t>D2503844</t>
  </si>
  <si>
    <t>9b4300e2ea07763f8287471285a5e42e2ae22f1467b5ab1f12bdedcae42118be</t>
  </si>
  <si>
    <t>D2503859</t>
  </si>
  <si>
    <t>24/03/2026</t>
  </si>
  <si>
    <t>d8dc84d42511ddb01732448d7ef772f4616ab8fc5e65ae43df13b10aff14ce40</t>
  </si>
  <si>
    <t>D2503860</t>
  </si>
  <si>
    <t>80449726ea4c5b1c0f0317372af6ca7137d865c4fb63812820add7191a18af19</t>
  </si>
  <si>
    <t>D2503902</t>
  </si>
  <si>
    <t>e7b23bc61dc13ae1fd196cdd7e1500c7bb53baa215e7481563ba688e12aeffc6</t>
  </si>
  <si>
    <t>07AACCT4418N1Z2</t>
  </si>
  <si>
    <t>TODAY HOTEL(NEW DELHI) PVT LTD (CROWNE PLAZA TODAY NEW DELHI,OKHLA)</t>
  </si>
  <si>
    <t>307450</t>
  </si>
  <si>
    <t>07AALHB4482N1ZT</t>
  </si>
  <si>
    <t>RITIKA AGENCIES</t>
  </si>
  <si>
    <t>RA/26-27/001</t>
  </si>
  <si>
    <t>08c475b947786b79a04ddf5f1b65e078126094f99204c6823db6531bc206b90d</t>
  </si>
  <si>
    <t>RA/26-27/002</t>
  </si>
  <si>
    <t>32822fdd7e3e05d3e5e9f9e9bf2a2991971df404f677c70f1d634526d1e3267d</t>
  </si>
  <si>
    <t>RA/26-27/003</t>
  </si>
  <si>
    <t>7f5b82d5562228c8eb49852c3f847472baeb2e0bc8305274ede1bb0ac0c558f3</t>
  </si>
  <si>
    <t>RA/26-27/004</t>
  </si>
  <si>
    <t>5b48a0a25fa326602e85e7602edca35a3606b2e486b8c06c903a155b827dd516</t>
  </si>
  <si>
    <t>RA/26-27/005</t>
  </si>
  <si>
    <t>2ca028081b14b00ce5cbe620d789815590ba9bdcf7dc96cc3c788acbae7edfdf</t>
  </si>
  <si>
    <t>RA/26-27/006</t>
  </si>
  <si>
    <t>a3086c38a47944a618b84347c69161107d0c3d22deb1ec48f2f0aeddc5f7f102</t>
  </si>
  <si>
    <t>07AAACT2438A1ZV</t>
  </si>
  <si>
    <t>TATA TELESERVICES LIMITED</t>
  </si>
  <si>
    <t>3473455437</t>
  </si>
  <si>
    <t>3473457367</t>
  </si>
  <si>
    <t>07AJIPT1632L1ZW</t>
  </si>
  <si>
    <t>M/S JBM CONSTRUCTION CO.</t>
  </si>
  <si>
    <t>ME/25-26/32</t>
  </si>
  <si>
    <t>DL202G202605451</t>
  </si>
  <si>
    <t>12/04/2026</t>
  </si>
  <si>
    <t>610961c777d53bc66b4c50108a7bfcdd15a7aa8397df828f152cfb52c48bd970</t>
  </si>
  <si>
    <t>07/03/2026</t>
  </si>
  <si>
    <t>DL202G202605452</t>
  </si>
  <si>
    <t>aaac0d30fbd0a68a907aa7b6a37bcc12fe507f29330c22638c4304d6fc5f22d9</t>
  </si>
  <si>
    <t>DL202G202606795</t>
  </si>
  <si>
    <t>b2b04a206b0edef25888b5c55bfef1554ff1d557ea48b05796cf2c9c3d1c8e34</t>
  </si>
  <si>
    <t>27/03/2026</t>
  </si>
  <si>
    <t>09AAHFJ5917G1Z6</t>
  </si>
  <si>
    <t>JAIPUR ROADLINES</t>
  </si>
  <si>
    <t>JPR/25-26/1023</t>
  </si>
  <si>
    <t>d029c95bc2a59affb8b2636f7c9b65a0b34f3e1b8707ac4124936a2356411ee9</t>
  </si>
  <si>
    <t>JPR/25-26/1024</t>
  </si>
  <si>
    <t>404c8ae619478ceec88ce4f3f850e522874acef2e5e29c3ebd75194b4a22be03</t>
  </si>
  <si>
    <t>JPR/25-26/773</t>
  </si>
  <si>
    <t>b2f0f37b01845f35c72302e99d9afad2aa487e9f7e6b362b594cd0ce13d1968f</t>
  </si>
  <si>
    <t>JPR/25-26/774</t>
  </si>
  <si>
    <t>9ccc0730339c24031ad784442fca8710cd06f0ac48226aec13db5fac56a0b922</t>
  </si>
  <si>
    <t>JPR/25-26/777</t>
  </si>
  <si>
    <t>17/03/2026</t>
  </si>
  <si>
    <t>0fdaf34f993e47c0e91aa2babda28de2f07a2ef01aa20ff54de8a9ad5bae1364</t>
  </si>
  <si>
    <t>JPR/25-26/778</t>
  </si>
  <si>
    <t>e3668b098e4c5b33c7ee98cc14bcbe676147a208dec4222c71660be86a3a7acd</t>
  </si>
  <si>
    <t>JPR/25-26/877</t>
  </si>
  <si>
    <t>016789bdec8aa0564fa020398b7a03ffc9fb39b7a522437da08ca28b2a8afb59</t>
  </si>
  <si>
    <t>JPR/25-26/878</t>
  </si>
  <si>
    <t>c38d573d4ccd90b2c954eff7b3b745d43c920321416ec0a0cbc93d63246c8370</t>
  </si>
  <si>
    <t>JPR/25-26/879</t>
  </si>
  <si>
    <t>e70791f10f8da418ab949ac25af8d09c308c031760b78efacf33e0445bb9fb97</t>
  </si>
  <si>
    <t>JPR/25-26/882</t>
  </si>
  <si>
    <t>3855a0183f579a9f1dad0fff12a33f29dd2bf3c4469b60fb1699f6c05425eee7</t>
  </si>
  <si>
    <t>JPR/25-26/887</t>
  </si>
  <si>
    <t>a3b150b24363e0df8afd440fc29daf0789f87ffbe350ad2dcc7dd5ad15174542</t>
  </si>
  <si>
    <t>JPR/25-26/900</t>
  </si>
  <si>
    <t>JPR/25-26/901</t>
  </si>
  <si>
    <t>JPR/25-26/907</t>
  </si>
  <si>
    <t>d98b6a8c542a5df200551660fffd15d476e259e5588e7276771cb7d9d97d9a77</t>
  </si>
  <si>
    <t>JPR/25-26/909</t>
  </si>
  <si>
    <t>233c2067efe54210804b18e808d6218231d73b10bed1d410631513957341adaa</t>
  </si>
  <si>
    <t>JPR/25-26/927</t>
  </si>
  <si>
    <t>93cc319b38805c99e19604cd5cda1b8e46557ca30cd5c6ceeaeee2633c01d1b5</t>
  </si>
  <si>
    <t>JPR/25-26/928</t>
  </si>
  <si>
    <t>581b5c7a58704fda91ab9f88ba06f7c455c1d0d3446f5ea7cae33a4ddb0a1cb4</t>
  </si>
  <si>
    <t>JPR/25-26/929</t>
  </si>
  <si>
    <t>JPR/25-26/937</t>
  </si>
  <si>
    <t>69a04a4d8b969a57d202bf18766d67df2c94331baf1732904f07626d3a5c06fb</t>
  </si>
  <si>
    <t>JPR/25-26/947</t>
  </si>
  <si>
    <t>54967892af7c693fdf9c678dfc1eec16b6e5e805012dd7fa6b64a98ad5a55988</t>
  </si>
  <si>
    <t>JPR/25-26/963</t>
  </si>
  <si>
    <t>d5b0475c2dbd46b21063cc1cb3ba1681970e5e129ba23688819de1d618121cc6</t>
  </si>
  <si>
    <t>JPR/25-26/965</t>
  </si>
  <si>
    <t>2f4106cf9561ed7eb05ae3c082a3519aaea3df6727500e300bb35ce13327ff68</t>
  </si>
  <si>
    <t>JPR/25-26/977</t>
  </si>
  <si>
    <t>d81a8e31abc9cbdae831825f57bc6ad4d9e2d987ae8e47b8a23be81573a7d68f</t>
  </si>
  <si>
    <t>JPR/25-26/980</t>
  </si>
  <si>
    <t>acc72ee31de8bf55af05d8c5b65d782fc88f0a9bec676de1a060b613be1ba1c3</t>
  </si>
  <si>
    <t>24AAFCA3559A1Z5</t>
  </si>
  <si>
    <t>APML</t>
  </si>
  <si>
    <t>BLGJ2627000040</t>
  </si>
  <si>
    <t>07AVQPK8011N2Z1</t>
  </si>
  <si>
    <t>ARSHAD KHAN ENTERPRISES</t>
  </si>
  <si>
    <t>612</t>
  </si>
  <si>
    <t>615</t>
  </si>
  <si>
    <t>07AAACN0474C1ZX</t>
  </si>
  <si>
    <t>NIYOGI OFFSET PVT LTD</t>
  </si>
  <si>
    <t>130/26-27</t>
  </si>
  <si>
    <t>2263b320e09e51b5f2253b60863eda0bde38d00d3c1e9eb2ccaa4edae30a94cd</t>
  </si>
  <si>
    <t>142/26-27</t>
  </si>
  <si>
    <t>92d6b73e73ae6e06f4bc397b4bccf0063d226d188e472dae7b035e245e36762b</t>
  </si>
  <si>
    <t>308/26-27</t>
  </si>
  <si>
    <t>028f83811207ccc2f7420f3694614b2052bec68a179d530ec587e97858f6f80f</t>
  </si>
  <si>
    <t>309/26-27</t>
  </si>
  <si>
    <t>73d1479c8813e2628eba26caf61bd22d6d210b191b75932b6fcb029ff6307bfb</t>
  </si>
  <si>
    <t>310/26-27</t>
  </si>
  <si>
    <t>29ec4ea909b657df916001d8b177d381fd8f74dc9b8e15cfae0e1550de80a363</t>
  </si>
  <si>
    <t>710/26-27</t>
  </si>
  <si>
    <t>abf172972badeff7d881c75b9948b371bb6ed5448aa9a03fa42616f839d7741d</t>
  </si>
  <si>
    <t>763/26-27</t>
  </si>
  <si>
    <t>f4e797d31f74a7a5cf7b42e473d4b5f17ccb19f7ca72a6e74e98313f5b323e35</t>
  </si>
  <si>
    <t>764/26-27</t>
  </si>
  <si>
    <t>37eeaf565507f6dd83da9b35cb237284d635742094449a49db58f9449e06f1aa</t>
  </si>
  <si>
    <t>765/26-27</t>
  </si>
  <si>
    <t>5744f24905779b448269f2ba745eaed209d9622e1d1485c29a784403ae5532cc</t>
  </si>
  <si>
    <t>766/26-27</t>
  </si>
  <si>
    <t>96042da5d9144c61260e128d49662e9db7575b5f35e4b617846a2e549f174525</t>
  </si>
  <si>
    <t>07DBWPM3646A1ZG</t>
  </si>
  <si>
    <t>Creative Design &amp; Printing</t>
  </si>
  <si>
    <t>CD/2026-27/0004</t>
  </si>
  <si>
    <t>07AFCPB1962P1ZC</t>
  </si>
  <si>
    <t>HEXADECIMAL SYSTEMS AND SERVICES</t>
  </si>
  <si>
    <t>HEXA2026-27/3289</t>
  </si>
  <si>
    <t>06AAACC4175D1Z2</t>
  </si>
  <si>
    <t>Canon India Pvt. Ltd.</t>
  </si>
  <si>
    <t>HRF2627000000341</t>
  </si>
  <si>
    <t>HRF2627000000683</t>
  </si>
  <si>
    <t>HRF2627000000684</t>
  </si>
  <si>
    <t>HRF2627000000685</t>
  </si>
  <si>
    <t>HRF2627000000686</t>
  </si>
  <si>
    <t>HRF2627000000687</t>
  </si>
  <si>
    <t>HRF2627000000688</t>
  </si>
  <si>
    <t>HRF2627000000689</t>
  </si>
  <si>
    <t>HRF2627000000690</t>
  </si>
  <si>
    <t>HRF2627000000691</t>
  </si>
  <si>
    <t>HRF2627000000692</t>
  </si>
  <si>
    <t>HRF2627000001072</t>
  </si>
  <si>
    <t>HRF2627000001494</t>
  </si>
  <si>
    <t>HRF2627000001499</t>
  </si>
  <si>
    <t>HRF2627000001500</t>
  </si>
  <si>
    <t>07AARCA9982D1Z4</t>
  </si>
  <si>
    <t>New Shop</t>
  </si>
  <si>
    <t>2025-26/MAR/09</t>
  </si>
  <si>
    <t>a685918c02964c673b2bdcae223e1540900c2d902824a8c09ba0fc28ea8c5068</t>
  </si>
  <si>
    <t>2025-26/MAR/208</t>
  </si>
  <si>
    <t>c0fbcc015e2965211148a37aba88c4c3b8186e2b27fea5de6ff6b453765fdbe6</t>
  </si>
  <si>
    <t>07AAHCD7454P1ZZ</t>
  </si>
  <si>
    <t>TD/3588/2026-27</t>
  </si>
  <si>
    <t>28ee2f9ffc04c6d9c4fafdcd3093ca000c61c4c1567387384a53139f92e7852b</t>
  </si>
  <si>
    <t>TD/3589/2026-27</t>
  </si>
  <si>
    <t>90995908612cab18636bf20c6a4df5bc56eaed494ca669ae132d6e98f22f7874</t>
  </si>
  <si>
    <t>TD/3590/2026-27</t>
  </si>
  <si>
    <t>425af5d7d237652095b0eb03f566ac0423db2045bc0fe4b2acce6aafb14c41bd</t>
  </si>
  <si>
    <t>TD/831/2026-27</t>
  </si>
  <si>
    <t>a48e8a50683e5e4463fb7e1c0dc77c56ec23b0703e4e5cd76db8415c848de90a</t>
  </si>
  <si>
    <t>TD/832/2026-27</t>
  </si>
  <si>
    <t>432ab7c0b3466babf86fb30bafd7d4a9cf39f686e37ca420d9c5685213cbc422</t>
  </si>
  <si>
    <t>TD/833/2026-27</t>
  </si>
  <si>
    <t>4491832c00b4dce9cb15add6971c5e9b68b8bbcee6f457f06023577c0e36a248</t>
  </si>
  <si>
    <t>TD/834/2026-27</t>
  </si>
  <si>
    <t>42f2986753ffe5cce16e36f1c04ba407f49fab14816c1a4d0747fe2996cc293a</t>
  </si>
  <si>
    <t>TD/835/2026-27</t>
  </si>
  <si>
    <t>fdd8d0a9e93047e52f69b374870ca03d750efbb35b84b46d2089b78e3264f4c6</t>
  </si>
  <si>
    <t>07AAEPA7126M1ZR</t>
  </si>
  <si>
    <t>JAI DURGA AGENCY</t>
  </si>
  <si>
    <t>JDA/DN/26-27/1</t>
  </si>
  <si>
    <t>ce4c61085b3e4293053713069c2f2e91eb15e8ec9ee541f8bafade182ce03c0e</t>
  </si>
  <si>
    <t>JDA/DN/26-27/10</t>
  </si>
  <si>
    <t>6dcef9ff8f9422949c822b7efb31196ff991373f495941c37f83f84f8a9b4ced</t>
  </si>
  <si>
    <t>JDA/DN/26-27/11</t>
  </si>
  <si>
    <t>d4886b7715924f0b87f901f8d444d3c0e43e2fbcdc1ee0f871f7ab47bc007a5c</t>
  </si>
  <si>
    <t>JDA/DN/26-27/12</t>
  </si>
  <si>
    <t>ac2689505f026945c3c66d1c0b8abe7e24fe3c2a6984d181278cfb3b6a2b2a5f</t>
  </si>
  <si>
    <t>JDA/DN/26-27/13</t>
  </si>
  <si>
    <t>3d610935a92a142c94a10be54d409a8b4639de04638b7527a971e24749f02abf</t>
  </si>
  <si>
    <t>JDA/DN/26-27/14</t>
  </si>
  <si>
    <t>083fb147111372083006dece0f29b8a78cef8fb66a59c9d835951e9f2626adea</t>
  </si>
  <si>
    <t>JDA/DN/26-27/15</t>
  </si>
  <si>
    <t>db03b87666bead2cb1282a5acd8f692174ed6e4109beb4d73857df4bdf436927</t>
  </si>
  <si>
    <t>JDA/DN/26-27/16</t>
  </si>
  <si>
    <t>abd09729e003e8ed968007acc17954559914919a16fcf7bf3a446192b1aa31dc</t>
  </si>
  <si>
    <t>JDA/DN/26-27/17</t>
  </si>
  <si>
    <t>2e7aa516a443b48fe1219664c58484333643a6dc14458856b57b78a26ec2f00e</t>
  </si>
  <si>
    <t>JDA/DN/26-27/18</t>
  </si>
  <si>
    <t>c9da79183d1018524ec9c68dd2308dbb0c0e59eb941a64e12efbbb9ae90ce06e</t>
  </si>
  <si>
    <t>JDA/DN/26-27/19</t>
  </si>
  <si>
    <t>7201d6062139846f1a1caa79ec0a41d08800a3f6685e3af5df4df192672e4965</t>
  </si>
  <si>
    <t>JDA/DN/26-27/2</t>
  </si>
  <si>
    <t>217f2b0df0909c0da589df01f56a533a6fae6fe7b5ea27d81088651127ca95a7</t>
  </si>
  <si>
    <t>JDA/DN/26-27/20</t>
  </si>
  <si>
    <t>b5812073dafb1a6ecb043d1821c0c4913044ea7bccf70745ef145ccb7a2ded60</t>
  </si>
  <si>
    <t>JDA/DN/26-27/21</t>
  </si>
  <si>
    <t>8f218bfb2a81b1332be721ba7525d1a7d0ecadb85be8a43bd9115ff5a6c9325a</t>
  </si>
  <si>
    <t>JDA/DN/26-27/22</t>
  </si>
  <si>
    <t>3fc830b2ff3eb8cc38928a7889f971df874287428b11185442fe3aac7a8b8c44</t>
  </si>
  <si>
    <t>JDA/DN/26-27/23</t>
  </si>
  <si>
    <t>2e9a2772829d21ee789b140b59c3e9be8ccef42021e63091d4ce2dab65ed0d70</t>
  </si>
  <si>
    <t>JDA/DN/26-27/24</t>
  </si>
  <si>
    <t>38d558eaf4ee22c434fc4247674693af99b53da23fd6854e5b664eef0165890a</t>
  </si>
  <si>
    <t>JDA/DN/26-27/25</t>
  </si>
  <si>
    <t>141faf30ac90f5d263cd3e2c951b3b1302ecd543ad0e80d6a561db05bfc24ac8</t>
  </si>
  <si>
    <t>JDA/DN/26-27/26</t>
  </si>
  <si>
    <t>ecd2887778ac70dbdc50b561cd12459b0cb9ab3a773e4cfb5f0bb1271536714a</t>
  </si>
  <si>
    <t>JDA/DN/26-27/27</t>
  </si>
  <si>
    <t>8e1eeb7a2e96fefaf29d2ad48e25369703075b5ddee9dcdf8d4ee7f90785f99e</t>
  </si>
  <si>
    <t>JDA/DN/26-27/28</t>
  </si>
  <si>
    <t>2370ceda95eeb2cec1090cab3b5c29071ab8e46817f0b89f91c789fbcdcc3932</t>
  </si>
  <si>
    <t>JDA/DN/26-27/29</t>
  </si>
  <si>
    <t>b8c7c477334b8a37dc8381bd92f12d6f7c908b02492aa21a2924210f2dd1abbd</t>
  </si>
  <si>
    <t>JDA/DN/26-27/3</t>
  </si>
  <si>
    <t>570d1a0043d28eb8551c0c5559d84f407986770c386b102fe22eba6603b75043</t>
  </si>
  <si>
    <t>JDA/DN/26-27/30</t>
  </si>
  <si>
    <t>dd844fa4f2f1fe18324ea59dc04d3ad56e3d57a6cfae16e876d42863cb8fd2c0</t>
  </si>
  <si>
    <t>JDA/DN/26-27/31</t>
  </si>
  <si>
    <t>20d296d128ea11d4b001d0692fab9893061309487a2635e6138bc7e8bf4dc86c</t>
  </si>
  <si>
    <t>JDA/DN/26-27/32</t>
  </si>
  <si>
    <t>82514006fd18be09698d952264c8d7ac2e0c51cdd7cae2c201b8b2592bad5f11</t>
  </si>
  <si>
    <t>JDA/DN/26-27/33</t>
  </si>
  <si>
    <t>a835e04cbef33ad747ef670f7a6c87e58c16d9e90431a9c02cb84ed99e8e2974</t>
  </si>
  <si>
    <t>JDA/DN/26-27/34</t>
  </si>
  <si>
    <t>04573732713aa13f1d6f3760aaf14c9b545cc3d8529ce93d5f421ad09a811e35</t>
  </si>
  <si>
    <t>JDA/DN/26-27/35</t>
  </si>
  <si>
    <t>a76074636546cf3f448e8fd6ea309a122a54cd3e79e42896bbd8720b7bf4464e</t>
  </si>
  <si>
    <t>JDA/DN/26-27/36</t>
  </si>
  <si>
    <t>7efbcbb7ea679ace0498e4afd5abbd5f37d6ef330c0ada8ac0a208524a797052</t>
  </si>
  <si>
    <t>JDA/DN/26-27/37</t>
  </si>
  <si>
    <t>26de03985b6421ab51715de672e58ec0382c66ee0d6a4bcab366ae0d4aa9312e</t>
  </si>
  <si>
    <t>JDA/DN/26-27/38</t>
  </si>
  <si>
    <t>d775f64b1ef472cee3564dde3490e919fdc11e00667d83e0e4f92009ad20dcf6</t>
  </si>
  <si>
    <t>JDA/DN/26-27/39</t>
  </si>
  <si>
    <t>71125236e57aae69ca2ad53540eba5d68367a1dce31feb0dd08d671653f3b46c</t>
  </si>
  <si>
    <t>JDA/DN/26-27/4</t>
  </si>
  <si>
    <t>d09b9be243064044c39468ac31724209e0b861d426d63bde2eca65960017b1b4</t>
  </si>
  <si>
    <t>JDA/DN/26-27/40</t>
  </si>
  <si>
    <t>39ffec6f06313f129b08bae85e865f901eb62a305558df0fd95a815e24cfe8e9</t>
  </si>
  <si>
    <t>JDA/DN/26-27/41</t>
  </si>
  <si>
    <t>cf8c55228344d5ccc14c170bf54aa2ef5224a20ba538d81dc9110f209db8064c</t>
  </si>
  <si>
    <t>JDA/DN/26-27/42</t>
  </si>
  <si>
    <t>ba6b99ace5bb476ba5cb3059c00dba28890a0076275f8f0daa0ebe52b05fd59a</t>
  </si>
  <si>
    <t>JDA/DN/26-27/43</t>
  </si>
  <si>
    <t>48900909a13ec6fba6c94b2bec04f7e10367d153143caf5f9ee658f86798cf21</t>
  </si>
  <si>
    <t>JDA/DN/26-27/44</t>
  </si>
  <si>
    <t>6db41622984c5ccc45be5f6ffd26e7ebf70799513a0ef3eacf95aec8f4bd957b</t>
  </si>
  <si>
    <t>JDA/DN/26-27/45</t>
  </si>
  <si>
    <t>b332b24d020598c0c16adb1e119e8dcf48194a054a5681ce0d8e5f6723b374f3</t>
  </si>
  <si>
    <t>JDA/DN/26-27/5</t>
  </si>
  <si>
    <t>7eed921fba4013a5a31ac09d03495bbc2528320fba5740d62d1cd1420228b704</t>
  </si>
  <si>
    <t>JDA/DN/26-27/6</t>
  </si>
  <si>
    <t>ef42a1e6c94e13f85d05914367225aec8ab2413da8f0a3d7f3bb75c216dbba9c</t>
  </si>
  <si>
    <t>JDA/DN/26-27/7</t>
  </si>
  <si>
    <t>9a01ec23e2fe66776361e046ad500fad4399d524c1ba0b6037b2aee353a6d6c2</t>
  </si>
  <si>
    <t>JDA/DN/26-27/8</t>
  </si>
  <si>
    <t>824086e0ac173a5e1a6de9d169d0379c0c3ae42aca7c3d8bf7f9599a2d86d3ad</t>
  </si>
  <si>
    <t>JDA/DN/26-27/9</t>
  </si>
  <si>
    <t>6611a5bdb6860c6f39137ca4f72442651b550b3c7c2d8016d369843b738ef2fd</t>
  </si>
  <si>
    <t>30AAACT3957G1ZK</t>
  </si>
  <si>
    <t>THE  INDIAN  HOTELS  COMPANY   LIMITED,</t>
  </si>
  <si>
    <t>202639152</t>
  </si>
  <si>
    <t>Goa</t>
  </si>
  <si>
    <t>efdbf03a7702ea89af6f6dc74815ea6a45de08c139b39706b92645127414c717</t>
  </si>
  <si>
    <t>202639161</t>
  </si>
  <si>
    <t>2c0d3b182caffbdf08f014c5cd91dde1fcb413e011e32ceac73983c5163f430c</t>
  </si>
  <si>
    <t>06APEPY5362C1ZT</t>
  </si>
  <si>
    <t>MAJESTIC INDUSTRIAL SOLUTIONS</t>
  </si>
  <si>
    <t>MIS/26-27/02</t>
  </si>
  <si>
    <t>24AADCS0030Q1ZG</t>
  </si>
  <si>
    <t>SWAN SWEETS PVT.LTD.</t>
  </si>
  <si>
    <t>SSPL26270019</t>
  </si>
  <si>
    <t>d27a9c24e5ce22c31fc43e0409d90d95beec6bd1a7dbf26deae495b5f38801ef</t>
  </si>
  <si>
    <t>SSPL26270045</t>
  </si>
  <si>
    <t>eb79ecb81d3f7f0bc7be85f9b6b3fc8c01fe8f2c9adfc02e6f8a96ac46556345</t>
  </si>
  <si>
    <t>SSPL26270055</t>
  </si>
  <si>
    <t>0e86bf8579f62449f61eacba4d8837d11d5696ffcb0850c113bd35704f944612</t>
  </si>
  <si>
    <t>SSPL26270071</t>
  </si>
  <si>
    <t>5bf1baef786c3e1bdae5963d9953080d790bfa1bcbd7bc53242e89fc4ba3c089</t>
  </si>
  <si>
    <t>SSPL26270073</t>
  </si>
  <si>
    <t>ac57d78e1698f6c597bf97ff00fa36c6a13db0f33eeade2c823457bac0d8c955</t>
  </si>
  <si>
    <t>07AABCM4781A1ZR</t>
  </si>
  <si>
    <t>RANDSTAD INDIA PRIVATE LTD - Formerly Ma Foi Management Consultants Ltd</t>
  </si>
  <si>
    <t>R51722271</t>
  </si>
  <si>
    <t>R51733411</t>
  </si>
  <si>
    <t>7ea67db7f160daa1ea1b49643e4cc16467619fc15e2431e9ee8f1c9f050ba0af</t>
  </si>
  <si>
    <t>DE/0003</t>
  </si>
  <si>
    <t>DE/0034</t>
  </si>
  <si>
    <t>b7d0119cccf999472caee129679f21c1517366d6eb2e037178eee19e6409771e</t>
  </si>
  <si>
    <t>DE/0035</t>
  </si>
  <si>
    <t>e3a99ae70ec8a9d09c85eaeed7c4150c051a31478c78021a1edf9bb7e6e9e15f</t>
  </si>
  <si>
    <t>DE/0036</t>
  </si>
  <si>
    <t>ed3eb3a3b53b7e6464a34849d49c383743c85884cc1188152cb0a31de0e6b000</t>
  </si>
  <si>
    <t>DE/0037</t>
  </si>
  <si>
    <t>d961b57e2a9159a5b4aa1283eafe24d3d6659520981ca30a475c260fcf809a4e</t>
  </si>
  <si>
    <t>DE/0038</t>
  </si>
  <si>
    <t>7cec9946fa2eb8f3982f2d5a3b9c871f5e14ab9074bb78bb29f6abe855b000ac</t>
  </si>
  <si>
    <t>DE/0039</t>
  </si>
  <si>
    <t>e66f9cca2ff57658c4d0b4ee0d1a99c95bc7c182dcf95c895015c104f892f8d6</t>
  </si>
  <si>
    <t>DE/0040</t>
  </si>
  <si>
    <t>a2b35bd4d102b9c00570870cd2fe056bd61f45e5791b2aecf9f0163309696473</t>
  </si>
  <si>
    <t>DE/0041</t>
  </si>
  <si>
    <t>f770e1f29423cdc02b605fef2bbb51a88a0f12d27d456b0c4e3644d8e1dc2d47</t>
  </si>
  <si>
    <t>DE/0042</t>
  </si>
  <si>
    <t>189ec90a7c0e56ebec1f5c535011016d916d791f9583083ac397ad6fc126c70a</t>
  </si>
  <si>
    <t>DE/0043</t>
  </si>
  <si>
    <t>8d8a157ede19cbf4c8bb44bd1e5c85b4a64bf8b43d9b8644a7e486f1ec063a12</t>
  </si>
  <si>
    <t>DE/0080</t>
  </si>
  <si>
    <t>1ba93a876232f220ccd9b7356f4737d5de8f49c9211c4def824d44d7d40db711</t>
  </si>
  <si>
    <t>DE/0121</t>
  </si>
  <si>
    <t>DE/0122</t>
  </si>
  <si>
    <t>DE/0123</t>
  </si>
  <si>
    <t>60c4a0b72ed5bf6e8581c73b835e634ff78da77ce4793b4394d945cd40103cd9</t>
  </si>
  <si>
    <t>DE/0263</t>
  </si>
  <si>
    <t>07AAACB0446L1ZU</t>
  </si>
  <si>
    <t>BLUE DART EXPRESS LIMITED</t>
  </si>
  <si>
    <t>2026407R00001770</t>
  </si>
  <si>
    <t>2026407R00001771</t>
  </si>
  <si>
    <t>2026407R00001772</t>
  </si>
  <si>
    <t>03AABCG4768K1ZH</t>
  </si>
  <si>
    <t>GPI-JAL260500433</t>
  </si>
  <si>
    <t>264e5515d92e2b32aa0c87e249be306e392fdaafe9b70d3ce8d1c7508b8f35d5</t>
  </si>
  <si>
    <t>07ABLCS1295E1Z6</t>
  </si>
  <si>
    <t>SINGLA LINK AGENCY PRIVATE LIMITED</t>
  </si>
  <si>
    <t>8/BR/26000264</t>
  </si>
  <si>
    <t>acb2f05c03701749195ad8e7800315740ca89fe622205ac1c2dc0ebf3edddfa8</t>
  </si>
  <si>
    <t>07AIDPG3491L2Z2</t>
  </si>
  <si>
    <t>OKHLA SERVICE CENTRE</t>
  </si>
  <si>
    <t>26-27/VG-2</t>
  </si>
  <si>
    <t>7df3fec9c1102227033ec42f06fea1d50d7ad68dac09cbe42e5f5cc3ceef05de</t>
  </si>
  <si>
    <t>06AAACF8110B1ZC</t>
  </si>
  <si>
    <t>FERRERO INDIA PVT. LTD.</t>
  </si>
  <si>
    <t>HA2601000225</t>
  </si>
  <si>
    <t>07AJJPG0822E1ZP</t>
  </si>
  <si>
    <t>BALAJI PAINTS &amp; HARDWARE STORE</t>
  </si>
  <si>
    <t>051</t>
  </si>
  <si>
    <t>CCPL/2025-26/REN</t>
  </si>
  <si>
    <t>01/03/2026</t>
  </si>
  <si>
    <t>07AABCI6363G1ZL</t>
  </si>
  <si>
    <t>Reliance Jio Infocomm Limited</t>
  </si>
  <si>
    <t>C07E262700004322</t>
  </si>
  <si>
    <t>C07E262700008631</t>
  </si>
  <si>
    <t>C07E262700009513</t>
  </si>
  <si>
    <t>C07E262700010044</t>
  </si>
  <si>
    <t>07AFGFS5626D1Z0</t>
  </si>
  <si>
    <t>STELLAR ENTERPRISES</t>
  </si>
  <si>
    <t>211</t>
  </si>
  <si>
    <t>07AFRPA0468A1ZU</t>
  </si>
  <si>
    <t>CERAMIQUE POINT SOUTH</t>
  </si>
  <si>
    <t>CPS/2026-27/5024</t>
  </si>
  <si>
    <t>2026-27/Apr/59</t>
  </si>
  <si>
    <t>31fdf97665b58197cc08280bf4d189779d1dcdfde8741fdc6e57e7e0f42b322e</t>
  </si>
  <si>
    <t>07AAAFL1585H1ZD</t>
  </si>
  <si>
    <t>LAKSHMIKUMARAN &amp; SRIDHARAN</t>
  </si>
  <si>
    <t>LKS01-2627-00147</t>
  </si>
  <si>
    <t>d5f063ebfe728aad42a40e96b038800ced0810e47bac775458bfccc3c868e8fd</t>
  </si>
  <si>
    <t>06AABCG4768K1ZB</t>
  </si>
  <si>
    <t>GODFRAY PHILLIPS INDIA LTD.</t>
  </si>
  <si>
    <t>GPI-CRN260500551</t>
  </si>
  <si>
    <t>c322002c48cc5f18f2e2e4880ced35872b822c22a996911888e754b8fe276fdb</t>
  </si>
  <si>
    <t>06AATPS8100Q1ZW</t>
  </si>
  <si>
    <t>S S AGENCIES</t>
  </si>
  <si>
    <t>FBD/2026-27/001</t>
  </si>
  <si>
    <t>48cc5e9e765c4407b350a1cead1fbe33f96bf385e04a038f2ca108f2b9ee054f</t>
  </si>
  <si>
    <t>07AAAAP3929N1Z6</t>
  </si>
  <si>
    <t>PANCHSHILA CLUB</t>
  </si>
  <si>
    <t>17</t>
  </si>
  <si>
    <t>49ff5aa8cd03fa6cbf8c0c5df5b451f35f4c21285eadd5f213dc82512355ccae</t>
  </si>
  <si>
    <t>02/05/2026</t>
  </si>
  <si>
    <t>07AAAFV2196A1ZG</t>
  </si>
  <si>
    <t>VISHAL ENTERPRISES</t>
  </si>
  <si>
    <t>VE/0460/26-27</t>
  </si>
  <si>
    <t>9350020707566532ad04720a21d4bfdb0c7f73c3c6ab63271257e03fa8a4ebe9</t>
  </si>
  <si>
    <t>VE/087/26-27</t>
  </si>
  <si>
    <t>36dc5c6d6cb0c7bad65101ae5ad460177ce351f17a5cc889032bf01204214adb</t>
  </si>
  <si>
    <t>07BLCPA8441H1ZC</t>
  </si>
  <si>
    <t>Waseem Refrigeration</t>
  </si>
  <si>
    <t>WR/26-27/2</t>
  </si>
  <si>
    <t>WR/26-27/23</t>
  </si>
  <si>
    <t>07BGEPM3391K2Z2</t>
  </si>
  <si>
    <t>R S TRADERS</t>
  </si>
  <si>
    <t>D-0001</t>
  </si>
  <si>
    <t>14117264a329113770efe6cf97e99b0787da8e87aba44f57d700a5859bc9fb51</t>
  </si>
  <si>
    <t>D-00010</t>
  </si>
  <si>
    <t>f8c5e2f9ab72bdfbf59f918afec09572c15dedeb3bc820cbfb02b653bdd5ae75</t>
  </si>
  <si>
    <t>D-00011</t>
  </si>
  <si>
    <t>9918b155be3e8b543a47e507f18cb80123e40f6e3f112f63d5c8bcde4f181c2f</t>
  </si>
  <si>
    <t>D-00014</t>
  </si>
  <si>
    <t>ac070b2ee5301359fb83aaf25278a0275da558148209ed89dfecb2b241a5811f</t>
  </si>
  <si>
    <t>D-00015</t>
  </si>
  <si>
    <t>99b19271bdb66ff6927714aba72fd486255a54c90c38dfb46453c79c7a560df6</t>
  </si>
  <si>
    <t>D-00016</t>
  </si>
  <si>
    <t>50a78307b2808d7b04a09e28356b9b992b259113b7110df42de16db0b4fff55d</t>
  </si>
  <si>
    <t>D-00017</t>
  </si>
  <si>
    <t>305036f7d1e42af95b51cf84729e3bf9b081990876f5d053fccf74e50b8142ce</t>
  </si>
  <si>
    <t>D-00019</t>
  </si>
  <si>
    <t>4de59567afa780e972febafdd5facb6e7a2b3befa360f7974f82410d309fbb80</t>
  </si>
  <si>
    <t>D-0002</t>
  </si>
  <si>
    <t>54ae34abb2879ff85a95e724e5983ce04f17779660ccf6c11a619e6a76e298f9</t>
  </si>
  <si>
    <t>D-00021</t>
  </si>
  <si>
    <t>f679b905f6a4028fff25684b9da98ddddab1e098d640660ae4ad24497a52076d</t>
  </si>
  <si>
    <t>D-0003</t>
  </si>
  <si>
    <t>7257af9c83b9b8445406b20fc485cf1f993a8160ccc52452eefea4062e043439</t>
  </si>
  <si>
    <t>D-0004</t>
  </si>
  <si>
    <t>1d7621cc3bc490a9a780ba5cabbc3e19719817c3c2a801aca60ae6d021681936</t>
  </si>
  <si>
    <t>D-0005</t>
  </si>
  <si>
    <t>8c4b7fda8eb2b732cc702f1530f4d4b3f24c4a0a71c200da7ec26b77d5ba36c8</t>
  </si>
  <si>
    <t>D-0006</t>
  </si>
  <si>
    <t>f953b43f7b3582fc765459a0012c2a5186cb2e2df074aed8389750a7a8753467</t>
  </si>
  <si>
    <t>D-0007</t>
  </si>
  <si>
    <t>9fddc94cb5123253e978830cc4147f8f246abcfaafa5e3a3d7f892313ece7079</t>
  </si>
  <si>
    <t>D-0008</t>
  </si>
  <si>
    <t>db77b7cad0c08e1662671f30d7b24d7df54303a1c1729726dbdab4c9236e7283</t>
  </si>
  <si>
    <t>D-0009</t>
  </si>
  <si>
    <t>c5b8f49c237137f6aba73211dbd8833d14d98c7d4ae17c8707e8a6ca494e6aeb</t>
  </si>
  <si>
    <t>07AAACA2775P1ZB</t>
  </si>
  <si>
    <t>ATLANTIC PRIVATE LIMITED</t>
  </si>
  <si>
    <t>DI-01</t>
  </si>
  <si>
    <t>DI-010</t>
  </si>
  <si>
    <t>DI-011</t>
  </si>
  <si>
    <t>DI-012</t>
  </si>
  <si>
    <t>DI-013</t>
  </si>
  <si>
    <t>DI-014</t>
  </si>
  <si>
    <t>DI-015</t>
  </si>
  <si>
    <t>DI-016</t>
  </si>
  <si>
    <t>DI-018</t>
  </si>
  <si>
    <t>DI-02</t>
  </si>
  <si>
    <t>DI-020</t>
  </si>
  <si>
    <t>DI-03</t>
  </si>
  <si>
    <t>DI-04</t>
  </si>
  <si>
    <t>DI-05</t>
  </si>
  <si>
    <t>DI-06</t>
  </si>
  <si>
    <t>DI-07</t>
  </si>
  <si>
    <t>DI-08</t>
  </si>
  <si>
    <t>DI-09</t>
  </si>
  <si>
    <t>07ABTFA2503J1ZE</t>
  </si>
  <si>
    <t>ASHWATHH LEGAL</t>
  </si>
  <si>
    <t>AL2026-94</t>
  </si>
  <si>
    <t>07AANCS0651B1ZM</t>
  </si>
  <si>
    <t>SPIRITED AUTO CARS (I) LTD</t>
  </si>
  <si>
    <t>TXA26-00607</t>
  </si>
  <si>
    <t>07BGQPS0312G1ZF</t>
  </si>
  <si>
    <t>SHARMA ELECTRICAL COMPANY</t>
  </si>
  <si>
    <t>5500</t>
  </si>
  <si>
    <t>09/03/2026</t>
  </si>
  <si>
    <t>5501</t>
  </si>
  <si>
    <t>23AABCG4768K1ZF</t>
  </si>
  <si>
    <t>GPI-JGM260500205</t>
  </si>
  <si>
    <t>cfa263806df2e6bf0c1265ec9a734a5f75582fc9a56adafbfd8d815e0c46b666</t>
  </si>
  <si>
    <t>07AAGPG1403R1ZP</t>
  </si>
  <si>
    <t>M D SONS</t>
  </si>
  <si>
    <t>MD/26-27/0216</t>
  </si>
  <si>
    <t>4dbae1c30e3bba562582a0949cb5a5f7d6147db6d31e7d291dfdcf27daf16f34</t>
  </si>
  <si>
    <t>27AAACI7573H1ZC</t>
  </si>
  <si>
    <t>IFFCO TOKIO GENERAL INSURANCE COMPANY LIMITED</t>
  </si>
  <si>
    <t>22Q66374</t>
  </si>
  <si>
    <t>22Q66970</t>
  </si>
  <si>
    <t>22Q66975</t>
  </si>
  <si>
    <t>22Q73324</t>
  </si>
  <si>
    <t>41114060</t>
  </si>
  <si>
    <t>54M4888500002</t>
  </si>
  <si>
    <t>H158910300003</t>
  </si>
  <si>
    <t>07AABCB1043Q1ZO</t>
  </si>
  <si>
    <t>BATA INDIA LTD</t>
  </si>
  <si>
    <t>BS3003260000001</t>
  </si>
  <si>
    <t>86b74ccda328db55f05d3fbe0f73a981defef6629d53d479301f5b730a6e8a41</t>
  </si>
  <si>
    <t>07AAJCG9480A1ZJ</t>
  </si>
  <si>
    <t>GEOMETT BOX PRIVATE LIMITED</t>
  </si>
  <si>
    <t>DL029S2627000009</t>
  </si>
  <si>
    <t>1cb16d1f6b6b2a67510301b6818fb084cefab16c68601dd796dc13e7b35b6f59</t>
  </si>
  <si>
    <t>DL029S2627000020</t>
  </si>
  <si>
    <t>5d6d1c1c3e11f40b84a3385e7093c9a54d484299913ce9aa1c504a68195c8782</t>
  </si>
  <si>
    <t>DL029S2627000024</t>
  </si>
  <si>
    <t>cf9ec98938275eb5b172c1cffab36702ef631cdfa7e2c1c4a19495329258ce20</t>
  </si>
  <si>
    <t>07ALEPH4709E1ZF</t>
  </si>
  <si>
    <t>M Hussain Enterprises</t>
  </si>
  <si>
    <t>MH/26-27/009</t>
  </si>
  <si>
    <t>07ABNFS1629M1ZN</t>
  </si>
  <si>
    <t>SACHDEVA STEELS</t>
  </si>
  <si>
    <t>SS/26-27/100</t>
  </si>
  <si>
    <t>25af67f6348afe7dd3b5396eddfba14d9173c7e4a19da8b2705649ec478a1a53</t>
  </si>
  <si>
    <t>SS/26-27/112</t>
  </si>
  <si>
    <t>8f86c9f8bc23dd17fd9b8ceecec10707b45c33cb590f8409a120fc6afe69ea2f</t>
  </si>
  <si>
    <t>SS/26-27/153</t>
  </si>
  <si>
    <t>5cfd4905e2c3198b268a7b3898029537aeeb528efef55e14b88e96bbf8605ae6</t>
  </si>
  <si>
    <t>SS/26-27/237</t>
  </si>
  <si>
    <t>98980c9b3dcfc4557e2c4ad14f947620af63ea5dbc8c506db278ee709ebe814c</t>
  </si>
  <si>
    <t>07AAEFT6742N2ZM</t>
  </si>
  <si>
    <t>TALWAR THAKORE AND ASSOCIATES</t>
  </si>
  <si>
    <t>D025202627</t>
  </si>
  <si>
    <t>34cb0878988a118197e0c8aa4a6933ac54621b0c03b5af38fc3bfd38f51ffd69</t>
  </si>
  <si>
    <t>D026202627</t>
  </si>
  <si>
    <t>bcdf0d517c0c709be0bb528f9a436f50b731293b799d02d28bdb69ac196dac1c</t>
  </si>
  <si>
    <t>D027202627</t>
  </si>
  <si>
    <t>79a98492ba123bec618026d61dd9a0502b5a790e9cc0238e5aaae0ba050f584b</t>
  </si>
  <si>
    <t>D028202627</t>
  </si>
  <si>
    <t>4cd9d61159975d43c2050a2082c6dd430ee15ac232407220f48ca42d812ffa33</t>
  </si>
  <si>
    <t>07AAMPB1295N1ZE</t>
  </si>
  <si>
    <t>BHARDWAJ ENTERPRISES</t>
  </si>
  <si>
    <t>BE/DW2627S0001</t>
  </si>
  <si>
    <t>12e90da763d970cb59a713256a3c4b9786f5f6d8458db7f4238464446b53e964</t>
  </si>
  <si>
    <t>BE/DW2627S0002</t>
  </si>
  <si>
    <t>63ce8dbe925c7718bfa65f1b4e684cae12f2df4d5fe287c5c2accbbc291eaa9f</t>
  </si>
  <si>
    <t>BE/DW2627S0003</t>
  </si>
  <si>
    <t>77ee113582c44e720ab6add03e58c0e65003a2f68ee322bd471ebc90e25f0656</t>
  </si>
  <si>
    <t>BE/DW2627S0004</t>
  </si>
  <si>
    <t>3fb9a1e62636ae4a08ccbb905a814b50bd0b959caa64f525d6204e64da2ef10d</t>
  </si>
  <si>
    <t>BE/DW2627S0005</t>
  </si>
  <si>
    <t>1cb42e8ae3f68816cde8162e8d8e965e244d47eae3c1f585575db99883158afd</t>
  </si>
  <si>
    <t>BE/DW2627S0006</t>
  </si>
  <si>
    <t>1eca4e1d133411e6b523052a9dd448309eb6348ec7aef7558abf760dc3a10fa6</t>
  </si>
  <si>
    <t>BE/DW2627S0007</t>
  </si>
  <si>
    <t>96b9f7fb33ac92f227fffd5d054b08c59616b889913e04e5cee59970a074a2bf</t>
  </si>
  <si>
    <t>BE/DW2627S0008</t>
  </si>
  <si>
    <t>a86ed0e286af722dd03887e98833ef88261586912c67f148596d0e87fabd30b1</t>
  </si>
  <si>
    <t>BE/DW2627S0009</t>
  </si>
  <si>
    <t>a8473adae984179245d63908d17b5f3d5129adb65a808e34c3cce697bb3a824e</t>
  </si>
  <si>
    <t>BE/DW2627S0010</t>
  </si>
  <si>
    <t>66555f9593b455a99d84a664be53cfef16d92415e0ce933b9711828cee519ba7</t>
  </si>
  <si>
    <t>BE/DW2627S0011</t>
  </si>
  <si>
    <t>78f27c766913b8a940ed69258ec419968e452562827fb972377065f7be7018ce</t>
  </si>
  <si>
    <t>BE/DW2627S0012</t>
  </si>
  <si>
    <t>3604ff72a47c3c0238b9cdbeb916c976095e1f8a85a8690df06af3eca320e5fc</t>
  </si>
  <si>
    <t>BE/DW2627S0013</t>
  </si>
  <si>
    <t>bca7da855def6a0b0f98ea8f971e72b07e64d96c77ecfb66bdb5f11e07862869</t>
  </si>
  <si>
    <t>BE/DW2627S0014</t>
  </si>
  <si>
    <t>f59e3505294d6151f52ccf10f94beb4cabbe67d73967e084325178b457e9251e</t>
  </si>
  <si>
    <t>BE/DW2627S0015</t>
  </si>
  <si>
    <t>0dbd16ad3020ea7a349f3e5ba33275a5dc8571434fc67c18edd8181778eccee2</t>
  </si>
  <si>
    <t>BE/DW2627S0016</t>
  </si>
  <si>
    <t>5c6112b026f0ebec7d969dfe3a82cdec41948d7c68ca19448384878a323234d5</t>
  </si>
  <si>
    <t>BE/DW2627S0017</t>
  </si>
  <si>
    <t>daf2066960bb60da059767aa05d98f437c330b58e3587b3e57250c7780dcf272</t>
  </si>
  <si>
    <t>BE/DW2627S0018</t>
  </si>
  <si>
    <t>a46b8e1c5f2dc3d471746f187b8380ea8871bdf05806514c346379e5ea08bb49</t>
  </si>
  <si>
    <t>BE/DW2627S0019</t>
  </si>
  <si>
    <t>645ecec3ba16640c57cafffe70d779dc843ac29cf7d11370e58a95ce8be4a6dc</t>
  </si>
  <si>
    <t>BE/DW2627S0020</t>
  </si>
  <si>
    <t>f298aba28f224dd8d792fb110825b2645b10126c4891c6cc6bda69f114b08ec5</t>
  </si>
  <si>
    <t>BE/DW2627S0021</t>
  </si>
  <si>
    <t>c16baefc1d4b04b4456d0b29e523960bcc11e85aba7014f32cadee4f4acea129</t>
  </si>
  <si>
    <t>BE/NAJ2627S001</t>
  </si>
  <si>
    <t>812c4c9bd5ca679622c928ea276e4d033113cbed7389dcad2e25556d89a116a3</t>
  </si>
  <si>
    <t>BE/NAJ2627S002</t>
  </si>
  <si>
    <t>eaa96cca60abf97598d305e0ec8b790a84bcbcc884d11c049641e0de01c5d713</t>
  </si>
  <si>
    <t>BE/NAJ2627S003</t>
  </si>
  <si>
    <t>5da67e1ac2b93650455589023a47a74ba4579afe6374e29d4ef31124f40dcad8</t>
  </si>
  <si>
    <t>BE/NAJ2627S004</t>
  </si>
  <si>
    <t>dd0fa7f910fab6707abcb6a67119af2734914cec7c4205f6f3ea241e2ace5015</t>
  </si>
  <si>
    <t>BE/NAJ2627S005</t>
  </si>
  <si>
    <t>efffffe0dfc820b8758d5b14e7f44331b50aa68db3ca742ed085923f56b7daed</t>
  </si>
  <si>
    <t>BE/NAJ2627S006</t>
  </si>
  <si>
    <t>836f5baa666263e855df542ff923b27b7d4532f4c9b350f4c08ed1e1a8265bb7</t>
  </si>
  <si>
    <t>BE/NAJ2627S007</t>
  </si>
  <si>
    <t>6ed309d5abe0d17527da50b05e8bcc0cb0852f0b617ee8df41fa0fbcab1facf4</t>
  </si>
  <si>
    <t>BE/NAJ2627S008</t>
  </si>
  <si>
    <t>6cfdba1d184e9509909e644044c97347935da5200673fb2a58d203f48f365dfa</t>
  </si>
  <si>
    <t>BE/NAJ2627S009</t>
  </si>
  <si>
    <t>c321e52e9cf8ebb29f2e129de04f7d20da8dc4959958c93349ba8c7e152e2f4f</t>
  </si>
  <si>
    <t>BE/NAJ2627S010</t>
  </si>
  <si>
    <t>1b19c0b345e400efe596c1272299ffbaeaa376cdf84e513d0bca5871e562bdb7</t>
  </si>
  <si>
    <t>BE/NAJ2627S011</t>
  </si>
  <si>
    <t>4c3208b4bf6e726431e52a1f0c97b6d815895ffe183720da8a0d5a9df1e93905</t>
  </si>
  <si>
    <t>BE/NAJ2627S012</t>
  </si>
  <si>
    <t>97a5083a12dee2dde9696a2f3c5f03115d2939c9cac359e6e9007e5ce4a00435</t>
  </si>
  <si>
    <t>BE/NAJ2627S013</t>
  </si>
  <si>
    <t>160ca3ad9c45f150b0868fc7280db79453c7b2aee54878c9e780d4761878a83a</t>
  </si>
  <si>
    <t>BE/NAJ2627S014</t>
  </si>
  <si>
    <t>6c61c888e7e8b81fa88bcb80711006ad5cb48c20db05b363a0373cdb6c2ad7fd</t>
  </si>
  <si>
    <t>BE/NAJ2627S015</t>
  </si>
  <si>
    <t>e25f0c453c9248f1e33066d81088dcdb299e7cd26bd48eb52d89c0206c86946b</t>
  </si>
  <si>
    <t>BE/NAJ2627S016</t>
  </si>
  <si>
    <t>cdfcf3bb345d0366557b32405a611c02f40a8be03bdf44c1613181f0a75dee43</t>
  </si>
  <si>
    <t>BE/NAJ2627S017</t>
  </si>
  <si>
    <t>c9e733cf6a468a98b993f47bcac913f335cd9f0238dc91cb6bf2ce227db7aafa</t>
  </si>
  <si>
    <t>BE/NAJ2627S018</t>
  </si>
  <si>
    <t>85a5e3f24ffe5d0f8c237be5c2b60fb1f608da0623ece2c1128924223d924cee</t>
  </si>
  <si>
    <t>BE/NZ2627S001</t>
  </si>
  <si>
    <t>4111e05da2d0d76274a302ab7df0bc3127a3dccd1ed0509ff56fa1981b1e5909</t>
  </si>
  <si>
    <t>BE/NZ2627S002</t>
  </si>
  <si>
    <t>318ab19dcd1d2723c83f8229819d8610bb70f2ef23a1ea943d97a42c1ae86c5f</t>
  </si>
  <si>
    <t>07CNVPS1539L1Z4</t>
  </si>
  <si>
    <t>HIGH COOL HVAC AIR CONDITIONING SYSTEMS</t>
  </si>
  <si>
    <t>1791</t>
  </si>
  <si>
    <t>05/01/2026</t>
  </si>
  <si>
    <t>27AAFCA3559A1ZZ</t>
  </si>
  <si>
    <t>BLMH2627000207</t>
  </si>
  <si>
    <t>BLMH2627000208</t>
  </si>
  <si>
    <t>BLMH2627000294</t>
  </si>
  <si>
    <t>07AABCB5576G1ZN</t>
  </si>
  <si>
    <t>BSNL</t>
  </si>
  <si>
    <t>NDCDL2600367268</t>
  </si>
  <si>
    <t>NDCDL2600367354</t>
  </si>
  <si>
    <t>NDCDL2600367420</t>
  </si>
  <si>
    <t>NDCDL2600367973</t>
  </si>
  <si>
    <t>NDCDL2600368032</t>
  </si>
  <si>
    <t>NDCDL2600368321</t>
  </si>
  <si>
    <t>NDCDL2600368345</t>
  </si>
  <si>
    <t>NDCDL2600368374</t>
  </si>
  <si>
    <t>NDCDL2600368410</t>
  </si>
  <si>
    <t>NDCDL2600368469</t>
  </si>
  <si>
    <t>NDCDL2600368592</t>
  </si>
  <si>
    <t>NDCDL2600370919</t>
  </si>
  <si>
    <t>NDCDL2600376812</t>
  </si>
  <si>
    <t>MONTH DOWNLOAD</t>
  </si>
  <si>
    <t>TOTAL TAX</t>
  </si>
  <si>
    <t>ERP TRX ID</t>
  </si>
  <si>
    <t>STATUS</t>
  </si>
  <si>
    <t>ITC TAKEN MONTH</t>
  </si>
  <si>
    <t>ITC TYPE</t>
  </si>
  <si>
    <t>2B MONTH</t>
  </si>
  <si>
    <t>LOCATION</t>
  </si>
  <si>
    <t>INV FY</t>
  </si>
  <si>
    <t>INV DATE 2</t>
  </si>
  <si>
    <t>A</t>
  </si>
  <si>
    <t>S.NO.</t>
  </si>
  <si>
    <t>GSTN &amp; INV NO.</t>
  </si>
  <si>
    <t>APR'26</t>
  </si>
  <si>
    <t>ME/25-26/29</t>
  </si>
  <si>
    <t>01/02/2026</t>
  </si>
  <si>
    <t>07AIZPD8973G2ZH</t>
  </si>
  <si>
    <t>CHESTLAW</t>
  </si>
  <si>
    <t>01057/2025-26</t>
  </si>
  <si>
    <t>24/01/2026</t>
  </si>
  <si>
    <t>01108/2025-26</t>
  </si>
  <si>
    <t>31/01/2026</t>
  </si>
  <si>
    <t>01202/2025-26</t>
  </si>
  <si>
    <t>0992/2025-26</t>
  </si>
  <si>
    <t>06/01/2026</t>
  </si>
  <si>
    <t>B2BA</t>
  </si>
  <si>
    <t>MH26C00000006706</t>
  </si>
  <si>
    <t>Credit Note</t>
  </si>
  <si>
    <t>SQUA/27/C000002</t>
  </si>
  <si>
    <t>BDLC000027/26-27</t>
  </si>
  <si>
    <t>BDLC000028/26-27</t>
  </si>
  <si>
    <t>BDLC000030/26-27</t>
  </si>
  <si>
    <t>60665</t>
  </si>
  <si>
    <t>34</t>
  </si>
  <si>
    <t>35</t>
  </si>
  <si>
    <t>38</t>
  </si>
  <si>
    <t>DE/25-26/77</t>
  </si>
  <si>
    <t>DE/25-26/78</t>
  </si>
  <si>
    <t>DE/25-26/79</t>
  </si>
  <si>
    <t>DE/25-26/80</t>
  </si>
  <si>
    <t>DE/25-26/81</t>
  </si>
  <si>
    <t>DE/25-26/82</t>
  </si>
  <si>
    <t>DE/25-26/83</t>
  </si>
  <si>
    <t>DE/25-26/84</t>
  </si>
  <si>
    <t>DE/25-26/85</t>
  </si>
  <si>
    <t>DE/25-26/86</t>
  </si>
  <si>
    <t>DE/25-26/87</t>
  </si>
  <si>
    <t>DE/25-26/88</t>
  </si>
  <si>
    <t>DE/25-26/89</t>
  </si>
  <si>
    <t>DE/25-26/90</t>
  </si>
  <si>
    <t>DE/25-26/91</t>
  </si>
  <si>
    <t>06AABCI3609K1ZN</t>
  </si>
  <si>
    <t>IPSOS RESEARCH PRIVATE LIMITED</t>
  </si>
  <si>
    <t>26060170</t>
  </si>
  <si>
    <t>CNAZBD26270073</t>
  </si>
  <si>
    <t>06AANCR0200R1Z7</t>
  </si>
  <si>
    <t>RAPPR INNOVATIONS PRIVATE LIMITED</t>
  </si>
  <si>
    <t>CN27-0001</t>
  </si>
  <si>
    <t>CN27-0002</t>
  </si>
  <si>
    <t>CN27-0003</t>
  </si>
  <si>
    <t>CN27-0004</t>
  </si>
  <si>
    <t>CN27-0005</t>
  </si>
  <si>
    <t>CN27-0006</t>
  </si>
  <si>
    <t>09AABCT0716G1ZL</t>
  </si>
  <si>
    <t>TUV SUD South Asia Private Limited</t>
  </si>
  <si>
    <t>CN0900026726</t>
  </si>
  <si>
    <t>9</t>
  </si>
  <si>
    <t>20260002</t>
  </si>
  <si>
    <t>07AAACE6958L1Z6</t>
  </si>
  <si>
    <t>EMBEE SOFTWARE PVT LTD</t>
  </si>
  <si>
    <t>DGSR2627/60008</t>
  </si>
  <si>
    <t>CN/07/26-27</t>
  </si>
  <si>
    <t>03AAPFJ5933Q1ZP</t>
  </si>
  <si>
    <t>JHAJJZ</t>
  </si>
  <si>
    <t>13037</t>
  </si>
  <si>
    <t>13622</t>
  </si>
  <si>
    <t>13623</t>
  </si>
  <si>
    <t>GST/DB/001</t>
  </si>
  <si>
    <t>Debit Note</t>
  </si>
  <si>
    <t>GSE-3613</t>
  </si>
  <si>
    <t>GSE-3614</t>
  </si>
  <si>
    <t>GSE-3616</t>
  </si>
  <si>
    <t>GSE-3618</t>
  </si>
  <si>
    <t>GSE-3619</t>
  </si>
  <si>
    <t>GSE-3620</t>
  </si>
  <si>
    <t>GSE-3621</t>
  </si>
  <si>
    <t>GSE-3622</t>
  </si>
  <si>
    <t>GSE-3623</t>
  </si>
  <si>
    <t>GSE-3624</t>
  </si>
  <si>
    <t>GSE-3625</t>
  </si>
  <si>
    <t>GSE-3626</t>
  </si>
  <si>
    <t>GSE-3627</t>
  </si>
  <si>
    <t>GSE-3628</t>
  </si>
  <si>
    <t>GSE-3629</t>
  </si>
  <si>
    <t>GSE-3630</t>
  </si>
  <si>
    <t>GSE-3631</t>
  </si>
  <si>
    <t>GSE-3632</t>
  </si>
  <si>
    <t>GSE-3633</t>
  </si>
  <si>
    <t>GSE-3634</t>
  </si>
  <si>
    <t>GSE-3635</t>
  </si>
  <si>
    <t>GSE-3636</t>
  </si>
  <si>
    <t>GSE-3637</t>
  </si>
  <si>
    <t>GSE-3638</t>
  </si>
  <si>
    <t>GSE-3639</t>
  </si>
  <si>
    <t>GSE-3640</t>
  </si>
  <si>
    <t>GSE-3641</t>
  </si>
  <si>
    <t>GSE-3642</t>
  </si>
  <si>
    <t>GSE-3643</t>
  </si>
  <si>
    <t>GSE-3644</t>
  </si>
  <si>
    <t>GSE-3645</t>
  </si>
  <si>
    <t>DN/009/26-27</t>
  </si>
  <si>
    <t>01/12/2025</t>
  </si>
  <si>
    <t>a48cd3ae79a7f8426b8b48f44bb8a091d015b7ad39df1d1e5e69090a38668fa5</t>
  </si>
  <si>
    <t>1ccac380657c65880329f3478ef128432e8e43ef1a02e12157b9f57d6d5e59fb</t>
  </si>
  <si>
    <t>657fdd810f21565bc949200f7a6687548f91c2563c49c788029ee0070b129335</t>
  </si>
  <si>
    <t>2c742f82de1508393f7f0d10780985d39c882421a78682a9f52fadc73dd31ae6</t>
  </si>
  <si>
    <t>ab6b4d5f00388c0c71787acdaa2130f6cdc61cc5aafea8b0b340a8a7565983c7</t>
  </si>
  <si>
    <t>21a72a56b703f46dc8d243cbf4e0db55565e75bea6f8450a5ff44b27ac574d22</t>
  </si>
  <si>
    <t>764eb945fdc36392e8c458a41a3c308a6c01f00e61260dc9cd1c51b90eae8fc4</t>
  </si>
  <si>
    <t>1ca1468044a362f664f714388581cd8232921487b1ae554a505ad38eb9a68560</t>
  </si>
  <si>
    <t>cfc23ec403a7785740fac1b8b40ee4f88c2e12a2a4847d53474941c1ffad7dc3</t>
  </si>
  <si>
    <t>c2482a80912ef45ad043c1c5d5310f002dba4242af81a14dd941bcdd43d8ae0d</t>
  </si>
  <si>
    <t>39e4a13935ecc2db1e02b21adeb5bd893b02b7206e971a52dffc8f846cf7b8a3</t>
  </si>
  <si>
    <t>bed56e6373d0c985c6f6c085c44e0c214d0de8fe7df6b3f4fdfc8c5d7ffc2821</t>
  </si>
  <si>
    <t>4f8d6c4322b1bbd731d6281924ca77ecc34c83cba47d9e9d35912bf5a0491dc5</t>
  </si>
  <si>
    <t>3be2dc05817abcd2a0e7e00a30b70608838d7bf9bdeb5dd823a4387f66a231d0</t>
  </si>
  <si>
    <t>3f7f9960ffff8295b4029a440ca6c9052340d4bafc4df0fe9d61d35c115b3a2e</t>
  </si>
  <si>
    <t>9d9e63e4ac5e0eb62618ed75e14a5681710c6c4e92c33ae82299c449583304b1</t>
  </si>
  <si>
    <t>7253aa2d213259d7a924c0d27d57f2e814e761d00836f77eb55f07899e8468ba</t>
  </si>
  <si>
    <t>4597f1959a5ff024432243f89291c99732d7007a9eb45b1d3653348eb81ef36b</t>
  </si>
  <si>
    <t>41e98dc786b2244d2721fff09293989736ca970c977ec8f56a1f46be68d24d79</t>
  </si>
  <si>
    <t>0cd7f39b8226d6fc94147ca28d9e526d4e2f8164a705ee246b0a991c02008f2c</t>
  </si>
  <si>
    <t>575e3f0b31e3d2783cb2a01e5bb2144e37974804b174bab780231867e77aed44</t>
  </si>
  <si>
    <t>6c87a7816596cba0c6f855fbbcc2c8dc6a4623e38c843069733de9aac804732f</t>
  </si>
  <si>
    <t>335c83adec8c44fb317275086c44cb01ce707924d9dac06cdf610126b67c6ec3</t>
  </si>
  <si>
    <t>acb00de654e09fb9e2b25270822f0aac45ccac97e27099f744dff1ce8cec17be</t>
  </si>
  <si>
    <t>22d5d49e93681c875829d229bda5e5eb3ed45fbe9f2740594141f5cfdeaa5c27</t>
  </si>
  <si>
    <t>d88c3b1707e731f9d049838638116ea0beeaa248d26bb794f86c8d4700bb15de</t>
  </si>
  <si>
    <t>Dec'25</t>
  </si>
  <si>
    <t>50298a18d163848ea218bef6aea9e40faf2adf29f3b07dbbd8359a99ab06b898</t>
  </si>
  <si>
    <t>631e5c9e07575ba34cf88ceb73a77f0c6b793bc207b87c4319385d74c2025df1</t>
  </si>
  <si>
    <t>14de6257d7a992c8b7824ab90857d9aca083dde538b3ee337b6da43681fcfaa7</t>
  </si>
  <si>
    <t>bd14c0218f7dcd4137f7cf6dd0df015c1ae8afba1296af8f48f739c92dc05e43</t>
  </si>
  <si>
    <t>b62981089328b78f1b2a131fc951a9823db7a855847fdb037eda1adb7bff7263</t>
  </si>
  <si>
    <t>efa38619e8c3e2f488c0625865242d169ebb6873599bdcc2d26d3af99b2c21f6</t>
  </si>
  <si>
    <t>962ca37fed126c72e1cddc150406d3f0240db4d8c2dd82b689476eaea8c7de75</t>
  </si>
  <si>
    <t>493a1f8afd558cb13d7f1e3b04d25aee73dc82e0f91825b1425f92902705d5b1</t>
  </si>
  <si>
    <t>75b34ca49228e457dc16f515e0e9f871db0359a1056ea9737cc5884556fbfe8e</t>
  </si>
  <si>
    <t>bbf290f97ca1cf23d6789f01cf8c00e2e36fd8259f52f86e791ea9d7308323bb</t>
  </si>
  <si>
    <t>ab137e61d949f74df0b4033502cecc25123a3a195b148b850d4b1ab42dd314a4</t>
  </si>
  <si>
    <t>a3df80d760e79eb17e4a9c4bfd53ebc9f4d2a79f5191ff2aa4b4aa25c20770db</t>
  </si>
  <si>
    <t>0f52582d10584b5762d343b5ca2d98ad518c611d711dc94175c6dd9835a882fd</t>
  </si>
  <si>
    <t>ce73e59e752a8f0d2ae01bdc019f295f3a0481cf17b8b86fab3ba12f89e1d209</t>
  </si>
  <si>
    <t>a4e6875e530bba13932394d55db53627182f4b6248e3f623361f7c12bb18ba8f</t>
  </si>
  <si>
    <t>4069811007f2d9b652006376e7803651f91776caff76f69ab747fc52ceb88e32</t>
  </si>
  <si>
    <t>b824851afa1ef51b36ce52ad35018ca35fe5152c6ff9e65cfbdb781fce539a4f</t>
  </si>
  <si>
    <t>9c093b72dbda24eddafe1d4a6765c8c804f74661b3ac84e7619890d5ee3d5784</t>
  </si>
  <si>
    <t>2d68c99d326122005174f1578ffb7940a4e0d89f387cd4fc6771722535d1d0a9</t>
  </si>
  <si>
    <t>75454f7c04325761d4f34d311a18c95692e9dd63fadf807a98992708cb1ea0db</t>
  </si>
  <si>
    <t>1c793391a59e743529e6ebada9eed179e42363157b92d5b0c9972c2617b3d4a6</t>
  </si>
  <si>
    <t>315318197fd0337b582f2308506c1959b3e9cf32283f8e076609f221e39dc334</t>
  </si>
  <si>
    <t>7a4a42ce925cd49a90b194b66f6bfbc8ba08ab30c77fd215011c53887cffe433</t>
  </si>
  <si>
    <t>06b02fe7bf662b7a3b5e9b8fe2deadc8d109786bfce526821a1fff92de15753e</t>
  </si>
  <si>
    <t>f23f5d0a133366dc82b0cefb2440a71b8416096b7f964097a7c4782f107a9f4c</t>
  </si>
  <si>
    <t>6b4424ee193a6caea8ce720369372703e03a296f22eb50ccb5cee99dc184c8ec</t>
  </si>
  <si>
    <t>b34889d5c95a967a0e574b0d44a54913ad97794034dfd130cfcaaac140faa651</t>
  </si>
  <si>
    <t>7885e0742fe5074d9c697dc20041e8038b647efb1cdaadbee71575d27867e84f</t>
  </si>
  <si>
    <t>679c1e1f30af308385cb520fba0136fea92ff17e1ad40fa654e4fb19fa6643e7</t>
  </si>
  <si>
    <t>0afb0eab8efdc99d895f6de156ae861b7f1c51312d590193b1b7d191d0b1a760</t>
  </si>
  <si>
    <t>22d9c755fdbe44b07d83ce9a308b1a968062d80cb47142d8f5e725368b7dd95a</t>
  </si>
  <si>
    <t>0dc111f2c283add584462e78faf8713ca612dc1bdc013ff1ba24cb740de284a4</t>
  </si>
  <si>
    <t>6509b3eae595e04cd74190f89328d6579f6106b46d6d654c27e0a8d1031ac2a2</t>
  </si>
  <si>
    <t>GSTIN of ISD</t>
  </si>
  <si>
    <t>ISD Document type</t>
  </si>
  <si>
    <t>ISD Document number</t>
  </si>
  <si>
    <t>ISD Document date</t>
  </si>
  <si>
    <t>Original Invoice Number</t>
  </si>
  <si>
    <t>Original invoice date</t>
  </si>
  <si>
    <t>ISD GSTR-6 Period</t>
  </si>
  <si>
    <t>ISD GSTR-6 Filing Date</t>
  </si>
  <si>
    <t>Eligibility of ITC</t>
  </si>
  <si>
    <t>07AABCG4768K3Z7</t>
  </si>
  <si>
    <t>Invoice</t>
  </si>
  <si>
    <t>GPI-HOC260300049</t>
  </si>
  <si>
    <t>MATCHED</t>
  </si>
  <si>
    <t>HO</t>
  </si>
  <si>
    <t>Fwd Rec</t>
  </si>
  <si>
    <t>Fwd Non Rec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</si>
</sst>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FFFFFF"/>
      <name val="Arial"/>
      <family val="0"/>
    </font>
    <font>
      <sz val="11"/>
      <name val="Calibri"/>
      <family val="0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/>
    </xf>
    <xf numFmtId="0" fontId="2" fillId="2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2" fontId="0" fillId="0" borderId="0" xfId="0" applyNumberFormat="1" applyAlignment="1">
      <alignment/>
    </xf>
    <xf numFmtId="2" fontId="0" fillId="0" borderId="0" xfId="0" applyNumberFormat="1">
      <alignment/>
    </xf>
    <xf numFmtId="43" fontId="0" fillId="0" borderId="0" xfId="4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7" Type="http://schemas.openxmlformats.org/officeDocument/2006/relationships/calcChain" Target="calcChain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externalLink" Target="externalLinks/externalLink1.xml" /><Relationship Id="rId5" Type="http://schemas.openxmlformats.org/officeDocument/2006/relationships/sharedStrings" Target="sharedStrings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Working/Taxation/GST/FY-2026-27/Working/Apr-26/GSTR-3B/XXGP__GST_Tax_Dump_180526.xlsb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P"/>
      <sheetName val="DL"/>
      <sheetName val="Sheet1"/>
      <sheetName val="XXGP__GST_Tax_Dump_180526 (2)"/>
      <sheetName val="XXGP__GST_Tax_Dump_180526"/>
    </sheetNames>
    <sheetDataSet>
      <sheetData sheetId="0"/>
      <sheetData sheetId="1">
        <row r="1">
          <cell r="BL1">
            <v>531273.41</v>
          </cell>
        </row>
        <row r="2">
          <cell r="BK2" t="str">
            <v>GSTIN &amp; INV</v>
          </cell>
          <cell r="BL2" t="str">
            <v>Total Tax</v>
          </cell>
          <cell r="BM2" t="str">
            <v>V-Lookuop</v>
          </cell>
          <cell r="BN2" t="str">
            <v>Diff</v>
          </cell>
          <cell r="BO2" t="str">
            <v>Remark</v>
          </cell>
          <cell r="BP2" t="str">
            <v>TRX ID</v>
          </cell>
        </row>
        <row r="3">
          <cell r="BK3" t="str">
            <v>07ABEPK2267J1ZLBK/26-27/0257</v>
          </cell>
          <cell r="BL3">
            <v>5796.62</v>
          </cell>
          <cell r="BM3" t="e">
            <v>#N/A</v>
          </cell>
          <cell r="BN3" t="e">
            <v>#N/A</v>
          </cell>
          <cell r="BO3" t="str">
            <v>Not Matched</v>
          </cell>
          <cell r="BP3">
            <v>9174931</v>
          </cell>
        </row>
        <row r="4">
          <cell r="BK4" t="str">
            <v>06AAGCD4246E1ZXDFSI2600000412</v>
          </cell>
          <cell r="BL4">
            <v>2178</v>
          </cell>
          <cell r="BM4">
            <v>38182.88</v>
          </cell>
          <cell r="BN4">
            <v>-36005</v>
          </cell>
          <cell r="BO4" t="str">
            <v>Matched</v>
          </cell>
          <cell r="BP4">
            <v>9158398</v>
          </cell>
        </row>
        <row r="5">
          <cell r="BK5" t="str">
            <v>06AAGCD4246E1ZXDFSI2600000412</v>
          </cell>
          <cell r="BL5">
            <v>1485.16</v>
          </cell>
          <cell r="BM5">
            <v>38182.88</v>
          </cell>
          <cell r="BN5">
            <v>-36698</v>
          </cell>
          <cell r="BO5" t="str">
            <v>Matched</v>
          </cell>
          <cell r="BP5">
            <v>9158398</v>
          </cell>
        </row>
        <row r="6">
          <cell r="BK6" t="str">
            <v>06AAGCD4246E1ZXDFSI2600000751</v>
          </cell>
          <cell r="BL6">
            <v>3168</v>
          </cell>
          <cell r="BM6">
            <v>36494.74</v>
          </cell>
          <cell r="BN6">
            <v>-33327</v>
          </cell>
          <cell r="BO6" t="str">
            <v>Matched</v>
          </cell>
          <cell r="BP6">
            <v>9174963</v>
          </cell>
        </row>
        <row r="7">
          <cell r="BK7" t="str">
            <v>07AAACB2894G1ZPMF2707I000063444</v>
          </cell>
          <cell r="BL7">
            <v>575.82</v>
          </cell>
          <cell r="BM7">
            <v>8534.42</v>
          </cell>
          <cell r="BN7">
            <v>-7959</v>
          </cell>
          <cell r="BO7" t="str">
            <v>Matched</v>
          </cell>
          <cell r="BP7">
            <v>9156749</v>
          </cell>
        </row>
        <row r="8">
          <cell r="BK8" t="str">
            <v>07AAACC4175D1Z0DLS2627000000593</v>
          </cell>
          <cell r="BL8">
            <v>0.5</v>
          </cell>
          <cell r="BM8">
            <v>5381.62</v>
          </cell>
          <cell r="BN8">
            <v>-5381</v>
          </cell>
          <cell r="BO8" t="str">
            <v>Matched</v>
          </cell>
          <cell r="BP8">
            <v>9155613</v>
          </cell>
        </row>
        <row r="9">
          <cell r="BK9" t="str">
            <v>07AAAFL1585H1ZDLKS01-2627-001470</v>
          </cell>
          <cell r="BL9">
            <v>7200</v>
          </cell>
          <cell r="BM9" t="e">
            <v>#N/A</v>
          </cell>
          <cell r="BN9" t="e">
            <v>#N/A</v>
          </cell>
          <cell r="BO9" t="str">
            <v>RCM</v>
          </cell>
          <cell r="BP9">
            <v>9164641</v>
          </cell>
        </row>
        <row r="10">
          <cell r="BK10" t="str">
            <v>MS/GPI/26-27/010</v>
          </cell>
          <cell r="BL10">
            <v>0</v>
          </cell>
          <cell r="BM10" t="e">
            <v>#N/A</v>
          </cell>
          <cell r="BN10" t="e">
            <v>#N/A</v>
          </cell>
          <cell r="BO10" t="str">
            <v>Zero Tax</v>
          </cell>
          <cell r="BP10">
            <v>9155278</v>
          </cell>
        </row>
        <row r="11">
          <cell r="BK11" t="str">
            <v>07AAOFS6787Q1ZVSME/26-27/98</v>
          </cell>
          <cell r="BL11">
            <v>900</v>
          </cell>
          <cell r="BM11">
            <v>900</v>
          </cell>
          <cell r="BN11">
            <v>0</v>
          </cell>
          <cell r="BO11" t="str">
            <v>Matched</v>
          </cell>
          <cell r="BP11">
            <v>9168298</v>
          </cell>
        </row>
        <row r="12">
          <cell r="BK12" t="str">
            <v>27AABCT3784C1ZDGLMS000000059723</v>
          </cell>
          <cell r="BL12">
            <v>353.61</v>
          </cell>
          <cell r="BM12">
            <v>353.61</v>
          </cell>
          <cell r="BN12">
            <v>0</v>
          </cell>
          <cell r="BO12" t="str">
            <v>Matched</v>
          </cell>
          <cell r="BP12">
            <v>9178440</v>
          </cell>
        </row>
        <row r="13">
          <cell r="BK13" t="str">
            <v>07AAACC4175D1Z0DLS2627000000653</v>
          </cell>
          <cell r="BL13">
            <v>49.5</v>
          </cell>
          <cell r="BM13">
            <v>489.18</v>
          </cell>
          <cell r="BN13">
            <v>-440</v>
          </cell>
          <cell r="BO13" t="str">
            <v>Matched</v>
          </cell>
          <cell r="BP13">
            <v>9155610</v>
          </cell>
        </row>
        <row r="14">
          <cell r="BK14" t="str">
            <v>07AABCT3518Q1ZYDE25C0000031038</v>
          </cell>
          <cell r="BL14">
            <v>-264.5</v>
          </cell>
          <cell r="BM14" t="e">
            <v>#N/A</v>
          </cell>
          <cell r="BN14" t="e">
            <v>#N/A</v>
          </cell>
          <cell r="BO14" t="str">
            <v>Not Matched</v>
          </cell>
          <cell r="BP14">
            <v>9177645</v>
          </cell>
        </row>
        <row r="15">
          <cell r="BK15" t="str">
            <v>06AAGCD4246E1ZXDFSI2600000751</v>
          </cell>
          <cell r="BL15">
            <v>1188</v>
          </cell>
          <cell r="BM15">
            <v>36494.74</v>
          </cell>
          <cell r="BN15">
            <v>-35307</v>
          </cell>
          <cell r="BO15" t="str">
            <v>Matched</v>
          </cell>
          <cell r="BP15">
            <v>9174963</v>
          </cell>
        </row>
        <row r="16">
          <cell r="BK16" t="str">
            <v>07AAACB2894G1ZPMF2707I000063444</v>
          </cell>
          <cell r="BL16">
            <v>233.46</v>
          </cell>
          <cell r="BM16">
            <v>8534.42</v>
          </cell>
          <cell r="BN16">
            <v>-8301</v>
          </cell>
          <cell r="BO16" t="str">
            <v>Matched</v>
          </cell>
          <cell r="BP16">
            <v>9156749</v>
          </cell>
        </row>
        <row r="17">
          <cell r="BK17" t="str">
            <v>07AAACB2894G1ZPMF2707I000063444</v>
          </cell>
          <cell r="BL17">
            <v>71.82</v>
          </cell>
          <cell r="BM17">
            <v>8534.42</v>
          </cell>
          <cell r="BN17">
            <v>-8463</v>
          </cell>
          <cell r="BO17" t="str">
            <v>Matched</v>
          </cell>
          <cell r="BP17">
            <v>9156749</v>
          </cell>
        </row>
        <row r="18">
          <cell r="BK18" t="str">
            <v>07AANCS0651B1ZMTXA26-00607</v>
          </cell>
          <cell r="BL18">
            <v>18</v>
          </cell>
          <cell r="BM18">
            <v>2435.38</v>
          </cell>
          <cell r="BN18">
            <v>-2417</v>
          </cell>
          <cell r="BO18" t="str">
            <v>Matched</v>
          </cell>
          <cell r="BP18">
            <v>9175014</v>
          </cell>
        </row>
        <row r="19">
          <cell r="BK19" t="str">
            <v>07AAJCS4628Q1ZMSQUA/27/T000001</v>
          </cell>
          <cell r="BL19">
            <v>142560</v>
          </cell>
          <cell r="BM19">
            <v>142560</v>
          </cell>
          <cell r="BN19">
            <v>0</v>
          </cell>
          <cell r="BO19" t="str">
            <v>Matched</v>
          </cell>
          <cell r="BP19">
            <v>9151136</v>
          </cell>
        </row>
        <row r="20">
          <cell r="BK20" t="str">
            <v>29APR2026-0020</v>
          </cell>
          <cell r="BL20">
            <v>0</v>
          </cell>
          <cell r="BM20" t="e">
            <v>#N/A</v>
          </cell>
          <cell r="BN20" t="e">
            <v>#N/A</v>
          </cell>
          <cell r="BO20" t="str">
            <v>Zero Tax</v>
          </cell>
          <cell r="BP20">
            <v>9177644</v>
          </cell>
        </row>
        <row r="21">
          <cell r="BK21" t="str">
            <v>06AAGCD4246E1ZXDFSI2600000412</v>
          </cell>
          <cell r="BL21">
            <v>1881</v>
          </cell>
          <cell r="BM21">
            <v>38182.88</v>
          </cell>
          <cell r="BN21">
            <v>-36302</v>
          </cell>
          <cell r="BO21" t="str">
            <v>Matched</v>
          </cell>
          <cell r="BP21">
            <v>9158398</v>
          </cell>
        </row>
        <row r="22">
          <cell r="BK22" t="str">
            <v>07AAACC4175D1Z0DLS2627000000590</v>
          </cell>
          <cell r="BL22">
            <v>0.28</v>
          </cell>
          <cell r="BM22">
            <v>1420.5</v>
          </cell>
          <cell r="BN22">
            <v>-1420</v>
          </cell>
          <cell r="BO22" t="str">
            <v>Matched</v>
          </cell>
          <cell r="BP22">
            <v>9155609</v>
          </cell>
        </row>
        <row r="23">
          <cell r="BK23" t="str">
            <v>07AAACC4175D1Z0DLS2627000000593</v>
          </cell>
          <cell r="BL23">
            <v>1.8</v>
          </cell>
          <cell r="BM23">
            <v>5381.62</v>
          </cell>
          <cell r="BN23">
            <v>-5380</v>
          </cell>
          <cell r="BO23" t="str">
            <v>Matched</v>
          </cell>
          <cell r="BP23">
            <v>9155613</v>
          </cell>
        </row>
        <row r="24">
          <cell r="BK24" t="str">
            <v>07AAACC4175D1Z0DLS2627000000653</v>
          </cell>
          <cell r="BL24">
            <v>1.08</v>
          </cell>
          <cell r="BM24">
            <v>489.18</v>
          </cell>
          <cell r="BN24">
            <v>-488</v>
          </cell>
          <cell r="BO24" t="str">
            <v>Matched</v>
          </cell>
          <cell r="BP24">
            <v>9155610</v>
          </cell>
        </row>
        <row r="25">
          <cell r="BK25" t="str">
            <v>07AAACC4175D1Z0DLS2627000000660</v>
          </cell>
          <cell r="BL25">
            <v>731.52</v>
          </cell>
          <cell r="BM25">
            <v>1123.84</v>
          </cell>
          <cell r="BN25">
            <v>-392</v>
          </cell>
          <cell r="BO25" t="str">
            <v>Matched</v>
          </cell>
          <cell r="BP25">
            <v>9155615</v>
          </cell>
        </row>
        <row r="26">
          <cell r="BK26" t="str">
            <v>06AAACC4175D1Z2HRF2627000000683</v>
          </cell>
          <cell r="BL26">
            <v>712.08</v>
          </cell>
          <cell r="BM26">
            <v>712.08</v>
          </cell>
          <cell r="BN26">
            <v>0</v>
          </cell>
          <cell r="BO26" t="str">
            <v>Matched</v>
          </cell>
          <cell r="BP26">
            <v>9156867</v>
          </cell>
        </row>
        <row r="27">
          <cell r="BK27" t="str">
            <v>19AABFL1894Q1ZKLCO/397/24-25</v>
          </cell>
          <cell r="BL27">
            <v>21600</v>
          </cell>
          <cell r="BM27" t="e">
            <v>#N/A</v>
          </cell>
          <cell r="BN27" t="e">
            <v>#N/A</v>
          </cell>
          <cell r="BO27" t="str">
            <v>Not Matched</v>
          </cell>
          <cell r="BP27">
            <v>9177461</v>
          </cell>
        </row>
        <row r="28">
          <cell r="BK28" t="str">
            <v>06AAGCD4246E1ZXDFSI2600000412</v>
          </cell>
          <cell r="BL28">
            <v>1881</v>
          </cell>
          <cell r="BM28">
            <v>38182.88</v>
          </cell>
          <cell r="BN28">
            <v>-36302</v>
          </cell>
          <cell r="BO28" t="str">
            <v>Matched</v>
          </cell>
          <cell r="BP28">
            <v>9158398</v>
          </cell>
        </row>
        <row r="29">
          <cell r="BK29" t="str">
            <v>06AAGCD4246E1ZXDFSI2600000751</v>
          </cell>
          <cell r="BL29">
            <v>213.87</v>
          </cell>
          <cell r="BM29">
            <v>36494.74</v>
          </cell>
          <cell r="BN29">
            <v>-36281</v>
          </cell>
          <cell r="BO29" t="str">
            <v>Matched</v>
          </cell>
          <cell r="BP29">
            <v>9174963</v>
          </cell>
        </row>
        <row r="30">
          <cell r="BK30" t="str">
            <v>06AAGCD4246E1ZXDFSI2600000751</v>
          </cell>
          <cell r="BL30">
            <v>693</v>
          </cell>
          <cell r="BM30">
            <v>36494.74</v>
          </cell>
          <cell r="BN30">
            <v>-35802</v>
          </cell>
          <cell r="BO30" t="str">
            <v>Matched</v>
          </cell>
          <cell r="BP30">
            <v>9174963</v>
          </cell>
        </row>
        <row r="31">
          <cell r="BK31" t="str">
            <v>07AATPA1288M1Z9NC/26-27/01620</v>
          </cell>
          <cell r="BL31">
            <v>0</v>
          </cell>
          <cell r="BM31" t="e">
            <v>#N/A</v>
          </cell>
          <cell r="BN31" t="e">
            <v>#N/A</v>
          </cell>
          <cell r="BO31" t="str">
            <v>Zero Tax</v>
          </cell>
          <cell r="BP31">
            <v>9175765</v>
          </cell>
        </row>
        <row r="32">
          <cell r="BK32" t="str">
            <v>07AATPA1288M1Z9NC/26-27/01620</v>
          </cell>
          <cell r="BL32">
            <v>0</v>
          </cell>
          <cell r="BM32" t="e">
            <v>#N/A</v>
          </cell>
          <cell r="BN32" t="e">
            <v>#N/A</v>
          </cell>
          <cell r="BO32" t="str">
            <v>Zero Tax</v>
          </cell>
          <cell r="BP32">
            <v>9175765</v>
          </cell>
        </row>
        <row r="33">
          <cell r="BK33" t="str">
            <v>07AATPA1288M1Z9NC/26-27/01620</v>
          </cell>
          <cell r="BL33">
            <v>0</v>
          </cell>
          <cell r="BM33" t="e">
            <v>#N/A</v>
          </cell>
          <cell r="BN33" t="e">
            <v>#N/A</v>
          </cell>
          <cell r="BO33" t="str">
            <v>Zero Tax</v>
          </cell>
          <cell r="BP33">
            <v>9175765</v>
          </cell>
        </row>
        <row r="34">
          <cell r="BK34" t="str">
            <v>GPI-HOC260400005</v>
          </cell>
          <cell r="BL34">
            <v>2700</v>
          </cell>
          <cell r="BM34" t="e">
            <v>#N/A</v>
          </cell>
          <cell r="BN34" t="e">
            <v>#N/A</v>
          </cell>
          <cell r="BO34" t="str">
            <v>RCM</v>
          </cell>
          <cell r="BP34">
            <v>9167056</v>
          </cell>
        </row>
        <row r="35">
          <cell r="BK35" t="str">
            <v>07AADCL9190Q1ZOGST/DL/2627/021</v>
          </cell>
          <cell r="BL35">
            <v>402.72</v>
          </cell>
          <cell r="BM35">
            <v>665.86</v>
          </cell>
          <cell r="BN35">
            <v>-263</v>
          </cell>
          <cell r="BO35" t="str">
            <v>Matched</v>
          </cell>
          <cell r="BP35">
            <v>9178273</v>
          </cell>
        </row>
        <row r="36">
          <cell r="BK36" t="str">
            <v>07AAECC1851C1Z50001/26-27-TDS0</v>
          </cell>
          <cell r="BL36">
            <v>0</v>
          </cell>
          <cell r="BM36" t="e">
            <v>#N/A</v>
          </cell>
          <cell r="BN36" t="e">
            <v>#N/A</v>
          </cell>
          <cell r="BO36" t="str">
            <v>Zero Tax</v>
          </cell>
          <cell r="BP36">
            <v>9151325</v>
          </cell>
        </row>
        <row r="37">
          <cell r="BK37" t="str">
            <v>16APR2026-0010</v>
          </cell>
          <cell r="BL37">
            <v>0</v>
          </cell>
          <cell r="BM37" t="e">
            <v>#N/A</v>
          </cell>
          <cell r="BN37" t="e">
            <v>#N/A</v>
          </cell>
          <cell r="BO37" t="str">
            <v>Zero Tax</v>
          </cell>
          <cell r="BP37">
            <v>9159296</v>
          </cell>
        </row>
        <row r="38">
          <cell r="BK38" t="str">
            <v>07AVQPK8011N2Z1612</v>
          </cell>
          <cell r="BL38">
            <v>1944</v>
          </cell>
          <cell r="BM38">
            <v>4734</v>
          </cell>
          <cell r="BN38">
            <v>-2790</v>
          </cell>
          <cell r="BO38" t="str">
            <v>Matched</v>
          </cell>
          <cell r="BP38">
            <v>9151235</v>
          </cell>
        </row>
        <row r="39">
          <cell r="BK39" t="str">
            <v>06AAGCD4246E1ZXDFSI2600000412</v>
          </cell>
          <cell r="BL39">
            <v>1395.99</v>
          </cell>
          <cell r="BM39">
            <v>38182.88</v>
          </cell>
          <cell r="BN39">
            <v>-36787</v>
          </cell>
          <cell r="BO39" t="str">
            <v>Matched</v>
          </cell>
          <cell r="BP39">
            <v>9158398</v>
          </cell>
        </row>
        <row r="40">
          <cell r="BK40" t="str">
            <v>06AAGCD4246E1ZXDFSI2600000751</v>
          </cell>
          <cell r="BL40">
            <v>1676.87</v>
          </cell>
          <cell r="BM40">
            <v>36494.74</v>
          </cell>
          <cell r="BN40">
            <v>-34818</v>
          </cell>
          <cell r="BO40" t="str">
            <v>Matched</v>
          </cell>
          <cell r="BP40">
            <v>9174963</v>
          </cell>
        </row>
        <row r="41">
          <cell r="BK41" t="str">
            <v>07AABCI6363G1ZLC07E262700010044</v>
          </cell>
          <cell r="BL41">
            <v>91.62</v>
          </cell>
          <cell r="BM41">
            <v>369.72</v>
          </cell>
          <cell r="BN41">
            <v>-278</v>
          </cell>
          <cell r="BO41" t="str">
            <v>Matched</v>
          </cell>
          <cell r="BP41">
            <v>9156758</v>
          </cell>
        </row>
        <row r="42">
          <cell r="BK42" t="str">
            <v>07AAACT2438A1ZV3473457367</v>
          </cell>
          <cell r="BL42">
            <v>1350</v>
          </cell>
          <cell r="BM42">
            <v>1350</v>
          </cell>
          <cell r="BN42">
            <v>0</v>
          </cell>
          <cell r="BO42" t="str">
            <v>Matched</v>
          </cell>
          <cell r="BP42">
            <v>9167995</v>
          </cell>
        </row>
        <row r="43">
          <cell r="BK43" t="str">
            <v>06AAGCD4246E1ZXDFSI2600000412</v>
          </cell>
          <cell r="BL43">
            <v>58.73</v>
          </cell>
          <cell r="BM43">
            <v>38182.88</v>
          </cell>
          <cell r="BN43">
            <v>-38124</v>
          </cell>
          <cell r="BO43" t="str">
            <v>Matched</v>
          </cell>
          <cell r="BP43">
            <v>9158398</v>
          </cell>
        </row>
        <row r="44">
          <cell r="BK44" t="str">
            <v>06AAGCD4246E1ZXDFSI2600000412</v>
          </cell>
          <cell r="BL44">
            <v>1551.97</v>
          </cell>
          <cell r="BM44">
            <v>38182.88</v>
          </cell>
          <cell r="BN44">
            <v>-36631</v>
          </cell>
          <cell r="BO44" t="str">
            <v>Matched</v>
          </cell>
          <cell r="BP44">
            <v>9158398</v>
          </cell>
        </row>
        <row r="45">
          <cell r="BK45" t="str">
            <v>06AAGCD4246E1ZXDFSI2600000751</v>
          </cell>
          <cell r="BL45">
            <v>0.05</v>
          </cell>
          <cell r="BM45">
            <v>36494.74</v>
          </cell>
          <cell r="BN45">
            <v>-36495</v>
          </cell>
          <cell r="BO45" t="str">
            <v>Matched</v>
          </cell>
          <cell r="BP45">
            <v>9174963</v>
          </cell>
        </row>
        <row r="46">
          <cell r="BK46" t="str">
            <v>07ACBPV7574P1ZN3</v>
          </cell>
          <cell r="BL46">
            <v>81</v>
          </cell>
          <cell r="BM46">
            <v>1584</v>
          </cell>
          <cell r="BN46">
            <v>-1503</v>
          </cell>
          <cell r="BO46" t="str">
            <v>Matched</v>
          </cell>
          <cell r="BP46">
            <v>9178114</v>
          </cell>
        </row>
        <row r="47">
          <cell r="BK47" t="str">
            <v>738/2025-2026</v>
          </cell>
          <cell r="BL47">
            <v>2700</v>
          </cell>
          <cell r="BM47" t="e">
            <v>#N/A</v>
          </cell>
          <cell r="BN47" t="e">
            <v>#N/A</v>
          </cell>
          <cell r="BO47" t="str">
            <v>RCM</v>
          </cell>
          <cell r="BP47">
            <v>9164022</v>
          </cell>
        </row>
        <row r="48">
          <cell r="BK48" t="str">
            <v>06AAGCD4246E1ZXDFSI2600000412</v>
          </cell>
          <cell r="BL48">
            <v>631.3</v>
          </cell>
          <cell r="BM48">
            <v>38182.88</v>
          </cell>
          <cell r="BN48">
            <v>-37552</v>
          </cell>
          <cell r="BO48" t="str">
            <v>Matched</v>
          </cell>
          <cell r="BP48">
            <v>9158398</v>
          </cell>
        </row>
        <row r="49">
          <cell r="BK49" t="str">
            <v>07AAACB2894G1ZPMF2707I000063444</v>
          </cell>
          <cell r="BL49">
            <v>282.6</v>
          </cell>
          <cell r="BM49">
            <v>8534.42</v>
          </cell>
          <cell r="BN49">
            <v>-8252</v>
          </cell>
          <cell r="BO49" t="str">
            <v>Matched</v>
          </cell>
          <cell r="BP49">
            <v>9156749</v>
          </cell>
        </row>
        <row r="50">
          <cell r="BK50" t="str">
            <v>07AANCS0651B1ZMTXA26-00607</v>
          </cell>
          <cell r="BL50">
            <v>22.68</v>
          </cell>
          <cell r="BM50">
            <v>2435.38</v>
          </cell>
          <cell r="BN50">
            <v>-2413</v>
          </cell>
          <cell r="BO50" t="str">
            <v>Matched</v>
          </cell>
          <cell r="BP50">
            <v>9175014</v>
          </cell>
        </row>
        <row r="51">
          <cell r="BK51" t="str">
            <v>27AAUFA6675M1ZI2026-27/20</v>
          </cell>
          <cell r="BL51">
            <v>0</v>
          </cell>
          <cell r="BM51" t="e">
            <v>#N/A</v>
          </cell>
          <cell r="BN51" t="e">
            <v>#N/A</v>
          </cell>
          <cell r="BO51" t="str">
            <v>Zero Tax</v>
          </cell>
          <cell r="BP51">
            <v>9140817</v>
          </cell>
        </row>
        <row r="52">
          <cell r="BK52" t="str">
            <v>07AATPA1288M1Z9NC/26-27/01620</v>
          </cell>
          <cell r="BL52">
            <v>0</v>
          </cell>
          <cell r="BM52" t="e">
            <v>#N/A</v>
          </cell>
          <cell r="BN52" t="e">
            <v>#N/A</v>
          </cell>
          <cell r="BO52" t="str">
            <v>Zero Tax</v>
          </cell>
          <cell r="BP52">
            <v>9175765</v>
          </cell>
        </row>
        <row r="53">
          <cell r="BK53" t="str">
            <v>07AAACB2894G1ZPHF2707I000137674</v>
          </cell>
          <cell r="BL53">
            <v>71.82</v>
          </cell>
          <cell r="BM53">
            <v>71.82</v>
          </cell>
          <cell r="BN53">
            <v>0</v>
          </cell>
          <cell r="BO53" t="str">
            <v>Matched</v>
          </cell>
          <cell r="BP53">
            <v>9164386</v>
          </cell>
        </row>
        <row r="54">
          <cell r="BK54" t="str">
            <v>07AAACN0474C1ZX130/26-27</v>
          </cell>
          <cell r="BL54">
            <v>2160</v>
          </cell>
          <cell r="BM54">
            <v>6014.7</v>
          </cell>
          <cell r="BN54">
            <v>-3855</v>
          </cell>
          <cell r="BO54" t="str">
            <v>Matched</v>
          </cell>
          <cell r="BP54">
            <v>9164740</v>
          </cell>
        </row>
        <row r="55">
          <cell r="BK55" t="str">
            <v>07AFGFS5626D1Z076</v>
          </cell>
          <cell r="BL55">
            <v>1080</v>
          </cell>
          <cell r="BM55">
            <v>1080</v>
          </cell>
          <cell r="BN55">
            <v>0</v>
          </cell>
          <cell r="BO55" t="str">
            <v>Matched</v>
          </cell>
          <cell r="BP55">
            <v>9164654</v>
          </cell>
        </row>
        <row r="56">
          <cell r="BK56" t="str">
            <v>07ANHPK8321J2ZT0447/2025-260</v>
          </cell>
          <cell r="BL56">
            <v>0</v>
          </cell>
          <cell r="BM56" t="e">
            <v>#N/A</v>
          </cell>
          <cell r="BN56" t="e">
            <v>#N/A</v>
          </cell>
          <cell r="BO56" t="str">
            <v>Zero Tax</v>
          </cell>
          <cell r="BP56">
            <v>9182623</v>
          </cell>
        </row>
        <row r="57">
          <cell r="BK57" t="str">
            <v>07AABCB5576G1ZN103041435400030</v>
          </cell>
          <cell r="BL57">
            <v>0</v>
          </cell>
          <cell r="BM57" t="e">
            <v>#N/A</v>
          </cell>
          <cell r="BN57" t="e">
            <v>#N/A</v>
          </cell>
          <cell r="BO57" t="str">
            <v>Zero Tax</v>
          </cell>
          <cell r="BP57">
            <v>9156759</v>
          </cell>
        </row>
        <row r="58">
          <cell r="BK58" t="str">
            <v>07AAACE6898B4ZHCI1001100320</v>
          </cell>
          <cell r="BL58">
            <v>22500</v>
          </cell>
          <cell r="BM58">
            <v>22500</v>
          </cell>
          <cell r="BN58">
            <v>0</v>
          </cell>
          <cell r="BO58" t="str">
            <v>Matched</v>
          </cell>
          <cell r="BP58">
            <v>9171115</v>
          </cell>
        </row>
        <row r="59">
          <cell r="BK59" t="str">
            <v>07AANCS0651B1ZMTXA26-006070</v>
          </cell>
          <cell r="BL59">
            <v>0</v>
          </cell>
          <cell r="BM59" t="e">
            <v>#N/A</v>
          </cell>
          <cell r="BN59" t="e">
            <v>#N/A</v>
          </cell>
          <cell r="BO59" t="str">
            <v>Zero Tax</v>
          </cell>
          <cell r="BP59">
            <v>9175014</v>
          </cell>
        </row>
        <row r="60">
          <cell r="BK60" t="str">
            <v>07AAACB2894G1ZPMF2707I000130888</v>
          </cell>
          <cell r="BL60">
            <v>71.82</v>
          </cell>
          <cell r="BM60">
            <v>385.92</v>
          </cell>
          <cell r="BN60">
            <v>-314</v>
          </cell>
          <cell r="BO60" t="str">
            <v>Matched</v>
          </cell>
          <cell r="BP60">
            <v>9156752</v>
          </cell>
        </row>
        <row r="61">
          <cell r="BK61" t="str">
            <v>07AANCS0651B1ZMTXA26-00607</v>
          </cell>
          <cell r="BL61">
            <v>224.82</v>
          </cell>
          <cell r="BM61">
            <v>2435.38</v>
          </cell>
          <cell r="BN61">
            <v>-2211</v>
          </cell>
          <cell r="BO61" t="str">
            <v>Matched</v>
          </cell>
          <cell r="BP61">
            <v>9175014</v>
          </cell>
        </row>
        <row r="62">
          <cell r="BK62" t="str">
            <v>07AAATT1103F1Z2NIRCICSI2026-270</v>
          </cell>
          <cell r="BL62">
            <v>0</v>
          </cell>
          <cell r="BM62" t="e">
            <v>#N/A</v>
          </cell>
          <cell r="BN62" t="e">
            <v>#N/A</v>
          </cell>
          <cell r="BO62" t="str">
            <v>Zero Tax</v>
          </cell>
          <cell r="BP62">
            <v>9173869</v>
          </cell>
        </row>
        <row r="63">
          <cell r="BK63" t="str">
            <v>07AAACB2894G1ZPHF2707I000101334</v>
          </cell>
          <cell r="BL63">
            <v>179.82</v>
          </cell>
          <cell r="BM63">
            <v>179.82</v>
          </cell>
          <cell r="BN63">
            <v>0</v>
          </cell>
          <cell r="BO63" t="str">
            <v>Matched</v>
          </cell>
          <cell r="BP63">
            <v>9164393</v>
          </cell>
        </row>
        <row r="64">
          <cell r="BK64" t="str">
            <v>07AAJCG9480A1ZJDL029S2627000015</v>
          </cell>
          <cell r="BL64">
            <v>1450</v>
          </cell>
          <cell r="BM64" t="e">
            <v>#N/A</v>
          </cell>
          <cell r="BN64" t="e">
            <v>#N/A</v>
          </cell>
          <cell r="BO64" t="str">
            <v>Not Matched</v>
          </cell>
          <cell r="BP64">
            <v>9156874</v>
          </cell>
        </row>
        <row r="65">
          <cell r="BK65" t="str">
            <v>07AAACC4175D1Z0DLS2627000000643</v>
          </cell>
          <cell r="BL65">
            <v>0.28</v>
          </cell>
          <cell r="BM65">
            <v>2568.6</v>
          </cell>
          <cell r="BN65">
            <v>-2568</v>
          </cell>
          <cell r="BO65" t="str">
            <v>Matched</v>
          </cell>
          <cell r="BP65">
            <v>9155607</v>
          </cell>
        </row>
        <row r="66">
          <cell r="BK66" t="str">
            <v>29APR2026-0010</v>
          </cell>
          <cell r="BL66">
            <v>0</v>
          </cell>
          <cell r="BM66" t="e">
            <v>#N/A</v>
          </cell>
          <cell r="BN66" t="e">
            <v>#N/A</v>
          </cell>
          <cell r="BO66" t="str">
            <v>Zero Tax</v>
          </cell>
          <cell r="BP66">
            <v>9177626</v>
          </cell>
        </row>
        <row r="67">
          <cell r="BK67" t="str">
            <v>07ACBPV7574P1ZN4</v>
          </cell>
          <cell r="BL67">
            <v>2653.2</v>
          </cell>
          <cell r="BM67">
            <v>6033.6</v>
          </cell>
          <cell r="BN67">
            <v>-3380</v>
          </cell>
          <cell r="BO67" t="str">
            <v>Matched</v>
          </cell>
          <cell r="BP67">
            <v>9177498</v>
          </cell>
        </row>
        <row r="68">
          <cell r="BK68" t="str">
            <v>07AADCA3655R1Z7AVZ/274/2025-26</v>
          </cell>
          <cell r="BL68">
            <v>125586.18</v>
          </cell>
          <cell r="BM68">
            <v>125586.18</v>
          </cell>
          <cell r="BN68">
            <v>0</v>
          </cell>
          <cell r="BO68" t="str">
            <v>Matched</v>
          </cell>
          <cell r="BP68">
            <v>9151134</v>
          </cell>
        </row>
        <row r="69">
          <cell r="BK69" t="str">
            <v>07AAACC4175D1Z0DLS2627000000660</v>
          </cell>
          <cell r="BL69">
            <v>384.84</v>
          </cell>
          <cell r="BM69">
            <v>1123.84</v>
          </cell>
          <cell r="BN69">
            <v>-739</v>
          </cell>
          <cell r="BO69" t="str">
            <v>Matched</v>
          </cell>
          <cell r="BP69">
            <v>9155615</v>
          </cell>
        </row>
        <row r="70">
          <cell r="BK70" t="str">
            <v>07AAECC1851C1Z50001/26-27-TDS0</v>
          </cell>
          <cell r="BL70">
            <v>0</v>
          </cell>
          <cell r="BM70" t="e">
            <v>#N/A</v>
          </cell>
          <cell r="BN70" t="e">
            <v>#N/A</v>
          </cell>
          <cell r="BO70" t="str">
            <v>Zero Tax</v>
          </cell>
          <cell r="BP70">
            <v>9151325</v>
          </cell>
        </row>
        <row r="71">
          <cell r="BK71" t="str">
            <v>01/2026-270</v>
          </cell>
          <cell r="BL71">
            <v>0</v>
          </cell>
          <cell r="BM71" t="e">
            <v>#N/A</v>
          </cell>
          <cell r="BN71" t="e">
            <v>#N/A</v>
          </cell>
          <cell r="BO71" t="str">
            <v>Zero Tax</v>
          </cell>
          <cell r="BP71">
            <v>9178237</v>
          </cell>
        </row>
        <row r="72">
          <cell r="BK72" t="str">
            <v>29APR2026-0020</v>
          </cell>
          <cell r="BL72">
            <v>0</v>
          </cell>
          <cell r="BM72" t="e">
            <v>#N/A</v>
          </cell>
          <cell r="BN72" t="e">
            <v>#N/A</v>
          </cell>
          <cell r="BO72" t="str">
            <v>Zero Tax</v>
          </cell>
          <cell r="BP72">
            <v>9177644</v>
          </cell>
        </row>
        <row r="73">
          <cell r="BK73" t="str">
            <v>27AABCT3518Q1ZWMH25I00004429548</v>
          </cell>
          <cell r="BL73">
            <v>1668.6</v>
          </cell>
          <cell r="BM73">
            <v>1669</v>
          </cell>
          <cell r="BN73">
            <v>0</v>
          </cell>
          <cell r="BO73" t="str">
            <v>Matched</v>
          </cell>
          <cell r="BP73">
            <v>9178796</v>
          </cell>
        </row>
        <row r="74">
          <cell r="BK74" t="str">
            <v>06AAGCD4246E1ZXDFSI2600000412</v>
          </cell>
          <cell r="BL74">
            <v>1188</v>
          </cell>
          <cell r="BM74">
            <v>38182.88</v>
          </cell>
          <cell r="BN74">
            <v>-36995</v>
          </cell>
          <cell r="BO74" t="str">
            <v>Matched</v>
          </cell>
          <cell r="BP74">
            <v>9158398</v>
          </cell>
        </row>
        <row r="75">
          <cell r="BK75" t="str">
            <v>06AAGCD4246E1ZXDFSI2600000751</v>
          </cell>
          <cell r="BL75">
            <v>2822.34</v>
          </cell>
          <cell r="BM75">
            <v>36494.74</v>
          </cell>
          <cell r="BN75">
            <v>-33672</v>
          </cell>
          <cell r="BO75" t="str">
            <v>Matched</v>
          </cell>
          <cell r="BP75">
            <v>9174963</v>
          </cell>
        </row>
        <row r="76">
          <cell r="BK76" t="str">
            <v>06AAGCD4246E1ZXDFSI2600000751</v>
          </cell>
          <cell r="BL76">
            <v>118.8</v>
          </cell>
          <cell r="BM76">
            <v>36494.74</v>
          </cell>
          <cell r="BN76">
            <v>-36376</v>
          </cell>
          <cell r="BO76" t="str">
            <v>Matched</v>
          </cell>
          <cell r="BP76">
            <v>9174963</v>
          </cell>
        </row>
        <row r="77">
          <cell r="BK77" t="str">
            <v>07AAACB2894G1ZPMF2707I000063997</v>
          </cell>
          <cell r="BL77">
            <v>101.7</v>
          </cell>
          <cell r="BM77">
            <v>101.7</v>
          </cell>
          <cell r="BN77">
            <v>0</v>
          </cell>
          <cell r="BO77" t="str">
            <v>Matched</v>
          </cell>
          <cell r="BP77">
            <v>9156751</v>
          </cell>
        </row>
        <row r="78">
          <cell r="BK78" t="str">
            <v>07AAACB2894G1ZPMF2707I000063444</v>
          </cell>
          <cell r="BL78">
            <v>437.58</v>
          </cell>
          <cell r="BM78">
            <v>8534.42</v>
          </cell>
          <cell r="BN78">
            <v>-8097</v>
          </cell>
          <cell r="BO78" t="str">
            <v>Matched</v>
          </cell>
          <cell r="BP78">
            <v>9156749</v>
          </cell>
        </row>
        <row r="79">
          <cell r="BK79" t="str">
            <v>07AANCS0651B1ZMTXA26-00607</v>
          </cell>
          <cell r="BL79">
            <v>193.42</v>
          </cell>
          <cell r="BM79">
            <v>2435.38</v>
          </cell>
          <cell r="BN79">
            <v>-2242</v>
          </cell>
          <cell r="BO79" t="str">
            <v>Matched</v>
          </cell>
          <cell r="BP79">
            <v>9175014</v>
          </cell>
        </row>
        <row r="80">
          <cell r="BK80" t="str">
            <v>07AATPA1288M1Z9NC/26-27/01620</v>
          </cell>
          <cell r="BL80">
            <v>0</v>
          </cell>
          <cell r="BM80" t="e">
            <v>#N/A</v>
          </cell>
          <cell r="BN80" t="e">
            <v>#N/A</v>
          </cell>
          <cell r="BO80" t="str">
            <v>Zero Tax</v>
          </cell>
          <cell r="BP80">
            <v>9175765</v>
          </cell>
        </row>
        <row r="81">
          <cell r="BK81" t="str">
            <v>06AAGCD4246E1ZXDFSI2600000751</v>
          </cell>
          <cell r="BL81">
            <v>495</v>
          </cell>
          <cell r="BM81">
            <v>36494.74</v>
          </cell>
          <cell r="BN81">
            <v>-36000</v>
          </cell>
          <cell r="BO81" t="str">
            <v>Matched</v>
          </cell>
          <cell r="BP81">
            <v>9174963</v>
          </cell>
        </row>
        <row r="82">
          <cell r="BK82" t="str">
            <v>07AAACB2894G1ZPMF2707I000063444</v>
          </cell>
          <cell r="BL82">
            <v>72</v>
          </cell>
          <cell r="BM82">
            <v>8534.42</v>
          </cell>
          <cell r="BN82">
            <v>-8462</v>
          </cell>
          <cell r="BO82" t="str">
            <v>Matched</v>
          </cell>
          <cell r="BP82">
            <v>9156749</v>
          </cell>
        </row>
        <row r="83">
          <cell r="BK83" t="str">
            <v>29AAWCA7854M1ZJCN/ACAN0</v>
          </cell>
          <cell r="BL83">
            <v>0</v>
          </cell>
          <cell r="BM83" t="e">
            <v>#N/A</v>
          </cell>
          <cell r="BN83" t="e">
            <v>#N/A</v>
          </cell>
          <cell r="BO83" t="str">
            <v>Zero Tax</v>
          </cell>
          <cell r="BP83">
            <v>9138618</v>
          </cell>
        </row>
        <row r="84">
          <cell r="BK84" t="str">
            <v>07AAACC4175D1Z0DLS2627000000355</v>
          </cell>
          <cell r="BL84">
            <v>348.74</v>
          </cell>
          <cell r="BM84">
            <v>348.74</v>
          </cell>
          <cell r="BN84">
            <v>0</v>
          </cell>
          <cell r="BO84" t="str">
            <v>Matched</v>
          </cell>
          <cell r="BP84">
            <v>9155612</v>
          </cell>
        </row>
        <row r="85">
          <cell r="BK85" t="str">
            <v>07AAACC4175D1Z0DLS2627000000642</v>
          </cell>
          <cell r="BL85">
            <v>7.2</v>
          </cell>
          <cell r="BM85">
            <v>840.1</v>
          </cell>
          <cell r="BN85">
            <v>-833</v>
          </cell>
          <cell r="BO85" t="str">
            <v>Matched</v>
          </cell>
          <cell r="BP85">
            <v>9155618</v>
          </cell>
        </row>
        <row r="86">
          <cell r="BK86" t="str">
            <v>07AAACC4175D1Z0DLS2627000000644</v>
          </cell>
          <cell r="BL86">
            <v>1.8</v>
          </cell>
          <cell r="BM86">
            <v>1873.72</v>
          </cell>
          <cell r="BN86">
            <v>-1872</v>
          </cell>
          <cell r="BO86" t="str">
            <v>Matched</v>
          </cell>
          <cell r="BP86">
            <v>9155608</v>
          </cell>
        </row>
        <row r="87">
          <cell r="BK87" t="str">
            <v>06AAACC4175D1Z2HRF2627000000686</v>
          </cell>
          <cell r="BL87">
            <v>785.7</v>
          </cell>
          <cell r="BM87">
            <v>785.7</v>
          </cell>
          <cell r="BN87">
            <v>0</v>
          </cell>
          <cell r="BO87" t="str">
            <v>Matched</v>
          </cell>
          <cell r="BP87">
            <v>9156860</v>
          </cell>
        </row>
        <row r="88">
          <cell r="BK88" t="str">
            <v>19AABFL1894Q1ZKLCO/310/24-25</v>
          </cell>
          <cell r="BL88">
            <v>21600</v>
          </cell>
          <cell r="BM88" t="e">
            <v>#N/A</v>
          </cell>
          <cell r="BN88" t="e">
            <v>#N/A</v>
          </cell>
          <cell r="BO88" t="str">
            <v>Not Matched</v>
          </cell>
          <cell r="BP88">
            <v>9177460</v>
          </cell>
        </row>
        <row r="89">
          <cell r="BK89" t="str">
            <v>07AAHAK7428G1ZHKC/EB/25-26/7870</v>
          </cell>
          <cell r="BL89">
            <v>0</v>
          </cell>
          <cell r="BM89" t="e">
            <v>#N/A</v>
          </cell>
          <cell r="BN89" t="e">
            <v>#N/A</v>
          </cell>
          <cell r="BO89" t="str">
            <v>Zero Tax</v>
          </cell>
          <cell r="BP89">
            <v>9151138</v>
          </cell>
        </row>
        <row r="90">
          <cell r="BK90" t="str">
            <v>29APR2026-0020</v>
          </cell>
          <cell r="BL90">
            <v>0</v>
          </cell>
          <cell r="BM90" t="e">
            <v>#N/A</v>
          </cell>
          <cell r="BN90" t="e">
            <v>#N/A</v>
          </cell>
          <cell r="BO90" t="str">
            <v>Zero Tax</v>
          </cell>
          <cell r="BP90">
            <v>9177644</v>
          </cell>
        </row>
        <row r="91">
          <cell r="BK91" t="str">
            <v>07AAACT2438A1ZV3473455437</v>
          </cell>
          <cell r="BL91">
            <v>5715</v>
          </cell>
          <cell r="BM91">
            <v>5715</v>
          </cell>
          <cell r="BN91">
            <v>0</v>
          </cell>
          <cell r="BO91" t="str">
            <v>Matched</v>
          </cell>
          <cell r="BP91">
            <v>9167997</v>
          </cell>
        </row>
        <row r="92">
          <cell r="BK92" t="str">
            <v>06AAGCD4246E1ZXDFSI2600000751</v>
          </cell>
          <cell r="BL92">
            <v>489.13</v>
          </cell>
          <cell r="BM92">
            <v>36494.74</v>
          </cell>
          <cell r="BN92">
            <v>-36006</v>
          </cell>
          <cell r="BO92" t="str">
            <v>Matched</v>
          </cell>
          <cell r="BP92">
            <v>9174963</v>
          </cell>
        </row>
        <row r="93">
          <cell r="BK93" t="str">
            <v>06AAGCD4246E1ZXDFSI2600000751</v>
          </cell>
          <cell r="BL93">
            <v>0.05</v>
          </cell>
          <cell r="BM93">
            <v>36494.74</v>
          </cell>
          <cell r="BN93">
            <v>-36495</v>
          </cell>
          <cell r="BO93" t="str">
            <v>Matched</v>
          </cell>
          <cell r="BP93">
            <v>9174963</v>
          </cell>
        </row>
        <row r="94">
          <cell r="BK94" t="str">
            <v>06AAGCD4246E1ZXDFSI2600000751</v>
          </cell>
          <cell r="BL94">
            <v>1732.5</v>
          </cell>
          <cell r="BM94">
            <v>36494.74</v>
          </cell>
          <cell r="BN94">
            <v>-34762</v>
          </cell>
          <cell r="BO94" t="str">
            <v>Matched</v>
          </cell>
          <cell r="BP94">
            <v>9174963</v>
          </cell>
        </row>
        <row r="95">
          <cell r="BK95" t="str">
            <v>GPI-HOC250400365</v>
          </cell>
          <cell r="BL95">
            <v>590.4</v>
          </cell>
          <cell r="BM95" t="e">
            <v>#N/A</v>
          </cell>
          <cell r="BN95" t="e">
            <v>#N/A</v>
          </cell>
          <cell r="BO95" t="str">
            <v>RCM</v>
          </cell>
          <cell r="BP95">
            <v>9177454</v>
          </cell>
        </row>
        <row r="96">
          <cell r="BK96" t="str">
            <v>741/2025-2026</v>
          </cell>
          <cell r="BL96">
            <v>117</v>
          </cell>
          <cell r="BM96" t="e">
            <v>#N/A</v>
          </cell>
          <cell r="BN96" t="e">
            <v>#N/A</v>
          </cell>
          <cell r="BO96" t="str">
            <v>RCM</v>
          </cell>
          <cell r="BP96">
            <v>9164023</v>
          </cell>
        </row>
        <row r="97">
          <cell r="BK97" t="str">
            <v>07AAACC4175D1Z0DLS2627000000354</v>
          </cell>
          <cell r="BL97">
            <v>265.86</v>
          </cell>
          <cell r="BM97">
            <v>265.86</v>
          </cell>
          <cell r="BN97">
            <v>0</v>
          </cell>
          <cell r="BO97" t="str">
            <v>Matched</v>
          </cell>
          <cell r="BP97">
            <v>9155614</v>
          </cell>
        </row>
        <row r="98">
          <cell r="BK98" t="str">
            <v>07AAACC4175D1Z0DLS2627000000593</v>
          </cell>
          <cell r="BL98">
            <v>4938.82</v>
          </cell>
          <cell r="BM98">
            <v>5381.62</v>
          </cell>
          <cell r="BN98">
            <v>-443</v>
          </cell>
          <cell r="BO98" t="str">
            <v>Matched</v>
          </cell>
          <cell r="BP98">
            <v>9155613</v>
          </cell>
        </row>
        <row r="99">
          <cell r="BK99" t="str">
            <v>07AAACC4175D1Z0DLS2627000000644</v>
          </cell>
          <cell r="BL99">
            <v>1243.84</v>
          </cell>
          <cell r="BM99">
            <v>1873.72</v>
          </cell>
          <cell r="BN99">
            <v>-630</v>
          </cell>
          <cell r="BO99" t="str">
            <v>Matched</v>
          </cell>
          <cell r="BP99">
            <v>9155608</v>
          </cell>
        </row>
        <row r="100">
          <cell r="BK100" t="str">
            <v>07AADCC3694E1ZPBDLI000511/26-27</v>
          </cell>
          <cell r="BL100">
            <v>4050</v>
          </cell>
          <cell r="BM100">
            <v>4050</v>
          </cell>
          <cell r="BN100">
            <v>0</v>
          </cell>
          <cell r="BO100" t="str">
            <v>Matched</v>
          </cell>
          <cell r="BP100">
            <v>9173789</v>
          </cell>
        </row>
        <row r="101">
          <cell r="BK101" t="str">
            <v>06AAGCD4246E1ZXDFSI2600000751</v>
          </cell>
          <cell r="BL101">
            <v>489.91</v>
          </cell>
          <cell r="BM101">
            <v>36494.74</v>
          </cell>
          <cell r="BN101">
            <v>-36005</v>
          </cell>
          <cell r="BO101" t="str">
            <v>Matched</v>
          </cell>
          <cell r="BP101">
            <v>9174963</v>
          </cell>
        </row>
        <row r="102">
          <cell r="BK102" t="str">
            <v>06AAGCD4246E1ZXDFSI2600000751</v>
          </cell>
          <cell r="BL102">
            <v>253.71</v>
          </cell>
          <cell r="BM102">
            <v>36494.74</v>
          </cell>
          <cell r="BN102">
            <v>-36241</v>
          </cell>
          <cell r="BO102" t="str">
            <v>Matched</v>
          </cell>
          <cell r="BP102">
            <v>9174963</v>
          </cell>
        </row>
        <row r="103">
          <cell r="BK103" t="str">
            <v>07AANCS0651B1ZMTXA26-00607</v>
          </cell>
          <cell r="BL103">
            <v>82.62</v>
          </cell>
          <cell r="BM103">
            <v>2435.38</v>
          </cell>
          <cell r="BN103">
            <v>-2353</v>
          </cell>
          <cell r="BO103" t="str">
            <v>Matched</v>
          </cell>
          <cell r="BP103">
            <v>9175014</v>
          </cell>
        </row>
        <row r="104">
          <cell r="BK104" t="str">
            <v>07AELPT6048J2ZV446</v>
          </cell>
          <cell r="BL104">
            <v>1980</v>
          </cell>
          <cell r="BM104">
            <v>1980</v>
          </cell>
          <cell r="BN104">
            <v>0</v>
          </cell>
          <cell r="BO104" t="str">
            <v>Matched</v>
          </cell>
          <cell r="BP104">
            <v>9175031</v>
          </cell>
        </row>
        <row r="105">
          <cell r="BK105" t="str">
            <v>07ANHPK8321J2ZT4470</v>
          </cell>
          <cell r="BL105">
            <v>0</v>
          </cell>
          <cell r="BM105" t="e">
            <v>#N/A</v>
          </cell>
          <cell r="BN105" t="e">
            <v>#N/A</v>
          </cell>
          <cell r="BO105" t="str">
            <v>Zero Tax</v>
          </cell>
          <cell r="BP105">
            <v>9178414</v>
          </cell>
        </row>
        <row r="106">
          <cell r="BK106" t="str">
            <v>09ACTPG0935H1ZE107/2026-27</v>
          </cell>
          <cell r="BL106">
            <v>222.86</v>
          </cell>
          <cell r="BM106">
            <v>1632.71</v>
          </cell>
          <cell r="BN106">
            <v>-1410</v>
          </cell>
          <cell r="BO106" t="str">
            <v>Matched</v>
          </cell>
          <cell r="BP106">
            <v>9164653</v>
          </cell>
        </row>
        <row r="107">
          <cell r="BK107" t="str">
            <v>06AAGCD4246E1ZXDFSI2600000412</v>
          </cell>
          <cell r="BL107">
            <v>693</v>
          </cell>
          <cell r="BM107">
            <v>38182.88</v>
          </cell>
          <cell r="BN107">
            <v>-37490</v>
          </cell>
          <cell r="BO107" t="str">
            <v>Matched</v>
          </cell>
          <cell r="BP107">
            <v>9158398</v>
          </cell>
        </row>
        <row r="108">
          <cell r="BK108" t="str">
            <v>06AAGCD4246E1ZXDFSI2600000412</v>
          </cell>
          <cell r="BL108">
            <v>99</v>
          </cell>
          <cell r="BM108">
            <v>38182.88</v>
          </cell>
          <cell r="BN108">
            <v>-38084</v>
          </cell>
          <cell r="BO108" t="str">
            <v>Matched</v>
          </cell>
          <cell r="BP108">
            <v>9158398</v>
          </cell>
        </row>
        <row r="109">
          <cell r="BK109" t="str">
            <v>06AAGCD4246E1ZXDFSI2600000751</v>
          </cell>
          <cell r="BL109">
            <v>1188</v>
          </cell>
          <cell r="BM109">
            <v>36494.74</v>
          </cell>
          <cell r="BN109">
            <v>-35307</v>
          </cell>
          <cell r="BO109" t="str">
            <v>Matched</v>
          </cell>
          <cell r="BP109">
            <v>9174963</v>
          </cell>
        </row>
        <row r="110">
          <cell r="BK110" t="str">
            <v>06AAGCD4246E1ZXDFSI2600000751</v>
          </cell>
          <cell r="BL110">
            <v>2603.44</v>
          </cell>
          <cell r="BM110">
            <v>36494.74</v>
          </cell>
          <cell r="BN110">
            <v>-33891</v>
          </cell>
          <cell r="BO110" t="str">
            <v>Matched</v>
          </cell>
          <cell r="BP110">
            <v>9174963</v>
          </cell>
        </row>
        <row r="111">
          <cell r="BK111" t="str">
            <v>07AANCS0651B1ZMTXA26-00607</v>
          </cell>
          <cell r="BL111">
            <v>101.08</v>
          </cell>
          <cell r="BM111">
            <v>2435.38</v>
          </cell>
          <cell r="BN111">
            <v>-2334</v>
          </cell>
          <cell r="BO111" t="str">
            <v>Matched</v>
          </cell>
          <cell r="BP111">
            <v>9175014</v>
          </cell>
        </row>
        <row r="112">
          <cell r="BK112" t="str">
            <v>GPI-HOC250400365</v>
          </cell>
          <cell r="BL112">
            <v>2250</v>
          </cell>
          <cell r="BM112" t="e">
            <v>#N/A</v>
          </cell>
          <cell r="BN112" t="e">
            <v>#N/A</v>
          </cell>
          <cell r="BO112" t="str">
            <v>RCM</v>
          </cell>
          <cell r="BP112">
            <v>9177454</v>
          </cell>
        </row>
        <row r="113">
          <cell r="BK113" t="str">
            <v>06AAACC4175D1Z2HRF2627000000687</v>
          </cell>
          <cell r="BL113">
            <v>785.7</v>
          </cell>
          <cell r="BM113">
            <v>785.7</v>
          </cell>
          <cell r="BN113">
            <v>0</v>
          </cell>
          <cell r="BO113" t="str">
            <v>Matched</v>
          </cell>
          <cell r="BP113">
            <v>9156862</v>
          </cell>
        </row>
        <row r="114">
          <cell r="BK114" t="str">
            <v>07AABCT3518Q1ZYDE25C00000031991</v>
          </cell>
          <cell r="BL114">
            <v>-47.32</v>
          </cell>
          <cell r="BM114">
            <v>-47.32</v>
          </cell>
          <cell r="BN114">
            <v>0</v>
          </cell>
          <cell r="BO114" t="str">
            <v>Matched</v>
          </cell>
          <cell r="BP114">
            <v>9178799</v>
          </cell>
        </row>
        <row r="115">
          <cell r="BK115" t="str">
            <v>07AAACE6898B4ZHCI1001100173</v>
          </cell>
          <cell r="BL115">
            <v>3081.6</v>
          </cell>
          <cell r="BM115">
            <v>3081.6</v>
          </cell>
          <cell r="BN115">
            <v>0</v>
          </cell>
          <cell r="BO115" t="str">
            <v>Matched</v>
          </cell>
          <cell r="BP115">
            <v>9177547</v>
          </cell>
        </row>
        <row r="116">
          <cell r="BK116" t="str">
            <v>GPI-HOC260400001</v>
          </cell>
          <cell r="BL116">
            <v>30476.16</v>
          </cell>
          <cell r="BM116" t="e">
            <v>#N/A</v>
          </cell>
          <cell r="BN116" t="e">
            <v>#N/A</v>
          </cell>
          <cell r="BO116" t="str">
            <v>RCM</v>
          </cell>
          <cell r="BP116">
            <v>9151216</v>
          </cell>
        </row>
        <row r="117">
          <cell r="BK117" t="str">
            <v>07AANCS0651B1ZMTXA26-006070</v>
          </cell>
          <cell r="BL117">
            <v>0</v>
          </cell>
          <cell r="BM117" t="e">
            <v>#N/A</v>
          </cell>
          <cell r="BN117" t="e">
            <v>#N/A</v>
          </cell>
          <cell r="BO117" t="str">
            <v>Zero Tax</v>
          </cell>
          <cell r="BP117">
            <v>9175014</v>
          </cell>
        </row>
        <row r="118">
          <cell r="BK118" t="str">
            <v>06AAGCD4246E1ZXDFSI2600000412</v>
          </cell>
          <cell r="BL118">
            <v>91.37</v>
          </cell>
          <cell r="BM118">
            <v>38182.88</v>
          </cell>
          <cell r="BN118">
            <v>-38092</v>
          </cell>
          <cell r="BO118" t="str">
            <v>Matched</v>
          </cell>
          <cell r="BP118">
            <v>9158398</v>
          </cell>
        </row>
        <row r="119">
          <cell r="BK119" t="str">
            <v>07AAACB2894G1ZPHF2707I000134626</v>
          </cell>
          <cell r="BL119">
            <v>71.82</v>
          </cell>
          <cell r="BM119">
            <v>71.82</v>
          </cell>
          <cell r="BN119">
            <v>0</v>
          </cell>
          <cell r="BO119" t="str">
            <v>Matched</v>
          </cell>
          <cell r="BP119">
            <v>9164380</v>
          </cell>
        </row>
        <row r="120">
          <cell r="BK120" t="str">
            <v>07ACBPV7574P1ZN3</v>
          </cell>
          <cell r="BL120">
            <v>855</v>
          </cell>
          <cell r="BM120">
            <v>1584</v>
          </cell>
          <cell r="BN120">
            <v>-729</v>
          </cell>
          <cell r="BO120" t="str">
            <v>Matched</v>
          </cell>
          <cell r="BP120">
            <v>9178114</v>
          </cell>
        </row>
        <row r="121">
          <cell r="BK121" t="str">
            <v>737/2025-2026</v>
          </cell>
          <cell r="BL121">
            <v>32.4</v>
          </cell>
          <cell r="BM121" t="e">
            <v>#N/A</v>
          </cell>
          <cell r="BN121" t="e">
            <v>#N/A</v>
          </cell>
          <cell r="BO121" t="str">
            <v>RCM</v>
          </cell>
          <cell r="BP121">
            <v>9164021</v>
          </cell>
        </row>
        <row r="122">
          <cell r="BK122" t="str">
            <v>738/2025-2026</v>
          </cell>
          <cell r="BL122">
            <v>270</v>
          </cell>
          <cell r="BM122" t="e">
            <v>#N/A</v>
          </cell>
          <cell r="BN122" t="e">
            <v>#N/A</v>
          </cell>
          <cell r="BO122" t="str">
            <v>RCM</v>
          </cell>
          <cell r="BP122">
            <v>9164022</v>
          </cell>
        </row>
        <row r="123">
          <cell r="BK123" t="str">
            <v>07AADCA3655R1Z7AVZ/272/2025-26</v>
          </cell>
          <cell r="BL123">
            <v>59171.04</v>
          </cell>
          <cell r="BM123">
            <v>59171.04</v>
          </cell>
          <cell r="BN123">
            <v>0</v>
          </cell>
          <cell r="BO123" t="str">
            <v>Matched</v>
          </cell>
          <cell r="BP123">
            <v>9151135</v>
          </cell>
        </row>
        <row r="124">
          <cell r="BK124" t="str">
            <v>07AAJCG9480A1ZJDL029S2627000014</v>
          </cell>
          <cell r="BL124">
            <v>1290</v>
          </cell>
          <cell r="BM124" t="e">
            <v>#N/A</v>
          </cell>
          <cell r="BN124" t="e">
            <v>#N/A</v>
          </cell>
          <cell r="BO124" t="str">
            <v>Not Matched</v>
          </cell>
          <cell r="BP124">
            <v>9156875</v>
          </cell>
        </row>
        <row r="125">
          <cell r="BK125" t="str">
            <v>07AAACC4175D1Z0DLS2627000000120</v>
          </cell>
          <cell r="BL125">
            <v>327.06</v>
          </cell>
          <cell r="BM125">
            <v>327.06</v>
          </cell>
          <cell r="BN125">
            <v>0</v>
          </cell>
          <cell r="BO125" t="str">
            <v>Matched</v>
          </cell>
          <cell r="BP125">
            <v>9155611</v>
          </cell>
        </row>
        <row r="126">
          <cell r="BK126" t="str">
            <v>07AADCL9190Q1ZOGST/DL/2627/021</v>
          </cell>
          <cell r="BL126">
            <v>263.14</v>
          </cell>
          <cell r="BM126">
            <v>665.86</v>
          </cell>
          <cell r="BN126">
            <v>-403</v>
          </cell>
          <cell r="BO126" t="str">
            <v>Matched</v>
          </cell>
          <cell r="BP126">
            <v>9178273</v>
          </cell>
        </row>
        <row r="127">
          <cell r="BK127" t="str">
            <v>06AAACC4175D1Z2HRF2627000000684</v>
          </cell>
          <cell r="BL127">
            <v>712.08</v>
          </cell>
          <cell r="BM127">
            <v>712.08</v>
          </cell>
          <cell r="BN127">
            <v>0</v>
          </cell>
          <cell r="BO127" t="str">
            <v>Matched</v>
          </cell>
          <cell r="BP127">
            <v>9156863</v>
          </cell>
        </row>
        <row r="128">
          <cell r="BK128" t="str">
            <v>10650</v>
          </cell>
          <cell r="BL128">
            <v>0</v>
          </cell>
          <cell r="BM128" t="e">
            <v>#N/A</v>
          </cell>
          <cell r="BN128" t="e">
            <v>#N/A</v>
          </cell>
          <cell r="BO128" t="str">
            <v>Zero Tax</v>
          </cell>
          <cell r="BP128">
            <v>9143375</v>
          </cell>
        </row>
        <row r="129">
          <cell r="BK129" t="str">
            <v>16APR2026-0010</v>
          </cell>
          <cell r="BL129">
            <v>0</v>
          </cell>
          <cell r="BM129" t="e">
            <v>#N/A</v>
          </cell>
          <cell r="BN129" t="e">
            <v>#N/A</v>
          </cell>
          <cell r="BO129" t="str">
            <v>Zero Tax</v>
          </cell>
          <cell r="BP129">
            <v>9159296</v>
          </cell>
        </row>
        <row r="130">
          <cell r="BK130" t="str">
            <v>07AABCB5576G1ZN10304143540003</v>
          </cell>
          <cell r="BL130">
            <v>1324.98</v>
          </cell>
          <cell r="BM130" t="e">
            <v>#N/A</v>
          </cell>
          <cell r="BN130" t="e">
            <v>#N/A</v>
          </cell>
          <cell r="BO130" t="str">
            <v>Not Matched</v>
          </cell>
          <cell r="BP130">
            <v>9156759</v>
          </cell>
        </row>
        <row r="131">
          <cell r="BK131" t="str">
            <v>29APR2026-0020</v>
          </cell>
          <cell r="BL131">
            <v>0</v>
          </cell>
          <cell r="BM131" t="e">
            <v>#N/A</v>
          </cell>
          <cell r="BN131" t="e">
            <v>#N/A</v>
          </cell>
          <cell r="BO131" t="str">
            <v>Zero Tax</v>
          </cell>
          <cell r="BP131">
            <v>9177644</v>
          </cell>
        </row>
        <row r="132">
          <cell r="BK132" t="str">
            <v>GPI-HOC260400003</v>
          </cell>
          <cell r="BL132">
            <v>36000</v>
          </cell>
          <cell r="BM132" t="e">
            <v>#N/A</v>
          </cell>
          <cell r="BN132" t="e">
            <v>#N/A</v>
          </cell>
          <cell r="BO132" t="str">
            <v>RCM</v>
          </cell>
          <cell r="BP132">
            <v>9151217</v>
          </cell>
        </row>
        <row r="133">
          <cell r="BK133" t="str">
            <v>06AAGCD4246E1ZXDFSI2600000751</v>
          </cell>
          <cell r="BL133">
            <v>346.5</v>
          </cell>
          <cell r="BM133">
            <v>36494.74</v>
          </cell>
          <cell r="BN133">
            <v>-36148</v>
          </cell>
          <cell r="BO133" t="str">
            <v>Matched</v>
          </cell>
          <cell r="BP133">
            <v>9174963</v>
          </cell>
        </row>
        <row r="134">
          <cell r="BK134" t="str">
            <v>06AAGCD4246E1ZXDFSI2600000751</v>
          </cell>
          <cell r="BL134">
            <v>1485</v>
          </cell>
          <cell r="BM134">
            <v>36494.74</v>
          </cell>
          <cell r="BN134">
            <v>-35010</v>
          </cell>
          <cell r="BO134" t="str">
            <v>Matched</v>
          </cell>
          <cell r="BP134">
            <v>9174963</v>
          </cell>
        </row>
        <row r="135">
          <cell r="BK135" t="str">
            <v>07AANCS0651B1ZMTXA26-00607</v>
          </cell>
          <cell r="BL135">
            <v>98.34</v>
          </cell>
          <cell r="BM135">
            <v>2435.38</v>
          </cell>
          <cell r="BN135">
            <v>-2337</v>
          </cell>
          <cell r="BO135" t="str">
            <v>Matched</v>
          </cell>
          <cell r="BP135">
            <v>9175014</v>
          </cell>
        </row>
        <row r="136">
          <cell r="BK136" t="str">
            <v>07AAACB2894G1ZPHF2707I000137673</v>
          </cell>
          <cell r="BL136">
            <v>71.82</v>
          </cell>
          <cell r="BM136">
            <v>71.82</v>
          </cell>
          <cell r="BN136">
            <v>0</v>
          </cell>
          <cell r="BO136" t="str">
            <v>Matched</v>
          </cell>
          <cell r="BP136">
            <v>9164387</v>
          </cell>
        </row>
        <row r="137">
          <cell r="BK137" t="str">
            <v>06AAACC4175D1Z2HRF2627000000691</v>
          </cell>
          <cell r="BL137">
            <v>785.7</v>
          </cell>
          <cell r="BM137">
            <v>785.7</v>
          </cell>
          <cell r="BN137">
            <v>0</v>
          </cell>
          <cell r="BO137" t="str">
            <v>Matched</v>
          </cell>
          <cell r="BP137">
            <v>9156866</v>
          </cell>
        </row>
        <row r="138">
          <cell r="BK138" t="str">
            <v>07AATPA1288M1Z9NC/26-27/0140</v>
          </cell>
          <cell r="BL138">
            <v>7711.2</v>
          </cell>
          <cell r="BM138">
            <v>7711.2</v>
          </cell>
          <cell r="BN138">
            <v>0</v>
          </cell>
          <cell r="BO138" t="str">
            <v>Matched</v>
          </cell>
          <cell r="BP138">
            <v>9175766</v>
          </cell>
        </row>
        <row r="139">
          <cell r="BK139" t="str">
            <v>10630</v>
          </cell>
          <cell r="BL139">
            <v>0</v>
          </cell>
          <cell r="BM139" t="e">
            <v>#N/A</v>
          </cell>
          <cell r="BN139" t="e">
            <v>#N/A</v>
          </cell>
          <cell r="BO139" t="str">
            <v>Zero Tax</v>
          </cell>
          <cell r="BP139">
            <v>9143377</v>
          </cell>
        </row>
        <row r="140">
          <cell r="BK140" t="str">
            <v>07AABCT3518Q1ZYDE25I00001476977</v>
          </cell>
          <cell r="BL140">
            <v>618.78</v>
          </cell>
          <cell r="BM140">
            <v>618.78</v>
          </cell>
          <cell r="BN140">
            <v>0</v>
          </cell>
          <cell r="BO140" t="str">
            <v>Matched</v>
          </cell>
          <cell r="BP140">
            <v>9177648</v>
          </cell>
        </row>
        <row r="141">
          <cell r="BK141" t="str">
            <v>06AAGCD4246E1ZXDFSI2600000412</v>
          </cell>
          <cell r="BL141">
            <v>325.98</v>
          </cell>
          <cell r="BM141">
            <v>38182.88</v>
          </cell>
          <cell r="BN141">
            <v>-37857</v>
          </cell>
          <cell r="BO141" t="str">
            <v>Matched</v>
          </cell>
          <cell r="BP141">
            <v>9158398</v>
          </cell>
        </row>
        <row r="142">
          <cell r="BK142" t="str">
            <v>06AAGCD4246E1ZXDFSI2600000751</v>
          </cell>
          <cell r="BL142">
            <v>1386</v>
          </cell>
          <cell r="BM142">
            <v>36494.74</v>
          </cell>
          <cell r="BN142">
            <v>-35109</v>
          </cell>
          <cell r="BO142" t="str">
            <v>Matched</v>
          </cell>
          <cell r="BP142">
            <v>9174963</v>
          </cell>
        </row>
        <row r="143">
          <cell r="BK143" t="str">
            <v>07AANCS0651B1ZMTXA26-00607</v>
          </cell>
          <cell r="BL143">
            <v>199.9</v>
          </cell>
          <cell r="BM143">
            <v>2435.38</v>
          </cell>
          <cell r="BN143">
            <v>-2235</v>
          </cell>
          <cell r="BO143" t="str">
            <v>Matched</v>
          </cell>
          <cell r="BP143">
            <v>9175014</v>
          </cell>
        </row>
        <row r="144">
          <cell r="BK144" t="str">
            <v>07AAACC4175D1Z0DLS2627000000590</v>
          </cell>
          <cell r="BL144">
            <v>1261.66</v>
          </cell>
          <cell r="BM144">
            <v>1420.5</v>
          </cell>
          <cell r="BN144">
            <v>-159</v>
          </cell>
          <cell r="BO144" t="str">
            <v>Matched</v>
          </cell>
          <cell r="BP144">
            <v>9155609</v>
          </cell>
        </row>
        <row r="145">
          <cell r="BK145" t="str">
            <v>07AAACC8414B1Z67026000049</v>
          </cell>
          <cell r="BL145">
            <v>26280</v>
          </cell>
          <cell r="BM145">
            <v>28440</v>
          </cell>
          <cell r="BN145">
            <v>-2160</v>
          </cell>
          <cell r="BO145" t="str">
            <v>Matched</v>
          </cell>
          <cell r="BP145">
            <v>9168297</v>
          </cell>
        </row>
        <row r="146">
          <cell r="BK146" t="str">
            <v>06AAACC4175D1Z2HRF2627000001499</v>
          </cell>
          <cell r="BL146">
            <v>785.7</v>
          </cell>
          <cell r="BM146">
            <v>785.7</v>
          </cell>
          <cell r="BN146">
            <v>0</v>
          </cell>
          <cell r="BO146" t="str">
            <v>Matched</v>
          </cell>
          <cell r="BP146">
            <v>9156868</v>
          </cell>
        </row>
        <row r="147">
          <cell r="BK147" t="str">
            <v>07IQYPS6937J1ZH70</v>
          </cell>
          <cell r="BL147">
            <v>30239.94</v>
          </cell>
          <cell r="BM147">
            <v>30240</v>
          </cell>
          <cell r="BN147">
            <v>0</v>
          </cell>
          <cell r="BO147" t="str">
            <v>Matched</v>
          </cell>
          <cell r="BP147">
            <v>9178276</v>
          </cell>
        </row>
        <row r="148">
          <cell r="BK148" t="str">
            <v>447/2025-260</v>
          </cell>
          <cell r="BL148">
            <v>0</v>
          </cell>
          <cell r="BM148" t="e">
            <v>#N/A</v>
          </cell>
          <cell r="BN148" t="e">
            <v>#N/A</v>
          </cell>
          <cell r="BO148" t="str">
            <v>Zero Tax</v>
          </cell>
          <cell r="BP148">
            <v>9182631</v>
          </cell>
        </row>
        <row r="149">
          <cell r="BK149" t="str">
            <v>07AAECC1851C1Z5CC/GN/0001/26-270</v>
          </cell>
          <cell r="BL149">
            <v>25200</v>
          </cell>
          <cell r="BM149" t="e">
            <v>#N/A</v>
          </cell>
          <cell r="BN149" t="e">
            <v>#N/A</v>
          </cell>
          <cell r="BO149" t="str">
            <v>Regime Entry made from Non Rec to Recov</v>
          </cell>
          <cell r="BP149">
            <v>107487082</v>
          </cell>
        </row>
        <row r="150">
          <cell r="BK150" t="str">
            <v>07AAACB2894G1ZPMF2707I000063444</v>
          </cell>
          <cell r="BL150">
            <v>78.3</v>
          </cell>
          <cell r="BM150">
            <v>8534.42</v>
          </cell>
          <cell r="BN150">
            <v>-8456</v>
          </cell>
          <cell r="BO150" t="str">
            <v>Matched</v>
          </cell>
          <cell r="BP150">
            <v>9156749</v>
          </cell>
        </row>
        <row r="151">
          <cell r="BK151" t="str">
            <v>07AAACN0474C1ZX130/26-27</v>
          </cell>
          <cell r="BL151">
            <v>364.5</v>
          </cell>
          <cell r="BM151">
            <v>6014.7</v>
          </cell>
          <cell r="BN151">
            <v>-5650</v>
          </cell>
          <cell r="BO151" t="str">
            <v>Matched</v>
          </cell>
          <cell r="BP151">
            <v>9164740</v>
          </cell>
        </row>
        <row r="152">
          <cell r="BK152" t="str">
            <v>1000412372420</v>
          </cell>
          <cell r="BL152">
            <v>0</v>
          </cell>
          <cell r="BM152" t="e">
            <v>#N/A</v>
          </cell>
          <cell r="BN152" t="e">
            <v>#N/A</v>
          </cell>
          <cell r="BO152" t="str">
            <v>Zero Tax</v>
          </cell>
          <cell r="BP152">
            <v>9168599</v>
          </cell>
        </row>
        <row r="153">
          <cell r="BK153" t="str">
            <v>29APR2026-0020</v>
          </cell>
          <cell r="BL153">
            <v>0</v>
          </cell>
          <cell r="BM153" t="e">
            <v>#N/A</v>
          </cell>
          <cell r="BN153" t="e">
            <v>#N/A</v>
          </cell>
          <cell r="BO153" t="str">
            <v>Zero Tax</v>
          </cell>
          <cell r="BP153">
            <v>9177644</v>
          </cell>
        </row>
        <row r="154">
          <cell r="BK154" t="str">
            <v>29APR2026-0020</v>
          </cell>
          <cell r="BL154">
            <v>0</v>
          </cell>
          <cell r="BM154" t="e">
            <v>#N/A</v>
          </cell>
          <cell r="BN154" t="e">
            <v>#N/A</v>
          </cell>
          <cell r="BO154" t="str">
            <v>Zero Tax</v>
          </cell>
          <cell r="BP154">
            <v>9177644</v>
          </cell>
        </row>
        <row r="155">
          <cell r="BK155" t="str">
            <v>27AAACT3957G3Z564065043640</v>
          </cell>
          <cell r="BL155">
            <v>0</v>
          </cell>
          <cell r="BM155" t="e">
            <v>#N/A</v>
          </cell>
          <cell r="BN155" t="e">
            <v>#N/A</v>
          </cell>
          <cell r="BO155" t="str">
            <v>Zero Tax</v>
          </cell>
          <cell r="BP155">
            <v>9167330</v>
          </cell>
        </row>
        <row r="156">
          <cell r="BK156" t="str">
            <v>07AAACE6898B4ZHCI1001100092</v>
          </cell>
          <cell r="BL156">
            <v>1800</v>
          </cell>
          <cell r="BM156">
            <v>1800</v>
          </cell>
          <cell r="BN156">
            <v>0</v>
          </cell>
          <cell r="BO156" t="str">
            <v>Matched</v>
          </cell>
          <cell r="BP156">
            <v>9150866</v>
          </cell>
        </row>
        <row r="157">
          <cell r="BK157" t="str">
            <v>07AVQPK8011N2Z1612</v>
          </cell>
          <cell r="BL157">
            <v>90</v>
          </cell>
          <cell r="BM157">
            <v>4734</v>
          </cell>
          <cell r="BN157">
            <v>-4644</v>
          </cell>
          <cell r="BO157" t="str">
            <v>Matched</v>
          </cell>
          <cell r="BP157">
            <v>9151235</v>
          </cell>
        </row>
        <row r="158">
          <cell r="BK158" t="str">
            <v>06AAGCD4246E1ZXDFSI2600000412</v>
          </cell>
          <cell r="BL158">
            <v>198</v>
          </cell>
          <cell r="BM158">
            <v>38182.88</v>
          </cell>
          <cell r="BN158">
            <v>-37985</v>
          </cell>
          <cell r="BO158" t="str">
            <v>Matched</v>
          </cell>
          <cell r="BP158">
            <v>9158398</v>
          </cell>
        </row>
        <row r="159">
          <cell r="BK159" t="str">
            <v>06AAGCD4246E1ZXDFSI2600000751</v>
          </cell>
          <cell r="BL159">
            <v>1562.64</v>
          </cell>
          <cell r="BM159">
            <v>36494.74</v>
          </cell>
          <cell r="BN159">
            <v>-34932</v>
          </cell>
          <cell r="BO159" t="str">
            <v>Matched</v>
          </cell>
          <cell r="BP159">
            <v>9174963</v>
          </cell>
        </row>
        <row r="160">
          <cell r="BK160" t="str">
            <v>06AAGCD4246E1ZXDFSI2600000751</v>
          </cell>
          <cell r="BL160">
            <v>274.58</v>
          </cell>
          <cell r="BM160">
            <v>36494.74</v>
          </cell>
          <cell r="BN160">
            <v>-36220</v>
          </cell>
          <cell r="BO160" t="str">
            <v>Matched</v>
          </cell>
          <cell r="BP160">
            <v>9174963</v>
          </cell>
        </row>
        <row r="161">
          <cell r="BK161" t="str">
            <v>07AANCS0651B1ZMTXA26-00607</v>
          </cell>
          <cell r="BL161">
            <v>106.38</v>
          </cell>
          <cell r="BM161">
            <v>2435.38</v>
          </cell>
          <cell r="BN161">
            <v>-2329</v>
          </cell>
          <cell r="BO161" t="str">
            <v>Matched</v>
          </cell>
          <cell r="BP161">
            <v>9175014</v>
          </cell>
        </row>
        <row r="162">
          <cell r="BK162" t="str">
            <v>06AAGCD4246E1ZXDFSI2600000751</v>
          </cell>
          <cell r="BL162">
            <v>3099.59</v>
          </cell>
          <cell r="BM162">
            <v>36494.74</v>
          </cell>
          <cell r="BN162">
            <v>-33395</v>
          </cell>
          <cell r="BO162" t="str">
            <v>Matched</v>
          </cell>
          <cell r="BP162">
            <v>9174963</v>
          </cell>
        </row>
        <row r="163">
          <cell r="BK163" t="str">
            <v>07AANCS0651B1ZMTXA26-00607</v>
          </cell>
          <cell r="BL163">
            <v>73.22</v>
          </cell>
          <cell r="BM163">
            <v>2435.38</v>
          </cell>
          <cell r="BN163">
            <v>-2362</v>
          </cell>
          <cell r="BO163" t="str">
            <v>Matched</v>
          </cell>
          <cell r="BP163">
            <v>9175014</v>
          </cell>
        </row>
        <row r="164">
          <cell r="BK164" t="str">
            <v>07AAACB2894G1ZPHF2707I000130293</v>
          </cell>
          <cell r="BL164">
            <v>212.94</v>
          </cell>
          <cell r="BM164">
            <v>212.94</v>
          </cell>
          <cell r="BN164">
            <v>0</v>
          </cell>
          <cell r="BO164" t="str">
            <v>Matched</v>
          </cell>
          <cell r="BP164">
            <v>9164383</v>
          </cell>
        </row>
        <row r="165">
          <cell r="BK165" t="str">
            <v>07AAACB2894G1ZPHF2707I000137672</v>
          </cell>
          <cell r="BL165">
            <v>71.82</v>
          </cell>
          <cell r="BM165">
            <v>71.82</v>
          </cell>
          <cell r="BN165">
            <v>0</v>
          </cell>
          <cell r="BO165" t="str">
            <v>Matched</v>
          </cell>
          <cell r="BP165">
            <v>9164391</v>
          </cell>
        </row>
        <row r="166">
          <cell r="BK166" t="str">
            <v>GPI-HOC250400365</v>
          </cell>
          <cell r="BL166">
            <v>4500</v>
          </cell>
          <cell r="BM166" t="e">
            <v>#N/A</v>
          </cell>
          <cell r="BN166" t="e">
            <v>#N/A</v>
          </cell>
          <cell r="BO166" t="str">
            <v>RCM</v>
          </cell>
          <cell r="BP166">
            <v>9177454</v>
          </cell>
        </row>
        <row r="167">
          <cell r="BK167" t="str">
            <v>GPI-HOC250400366</v>
          </cell>
          <cell r="BL167">
            <v>4950</v>
          </cell>
          <cell r="BM167" t="e">
            <v>#N/A</v>
          </cell>
          <cell r="BN167" t="e">
            <v>#N/A</v>
          </cell>
          <cell r="BO167" t="str">
            <v>RCM</v>
          </cell>
          <cell r="BP167">
            <v>9177451</v>
          </cell>
        </row>
        <row r="168">
          <cell r="BK168" t="str">
            <v>07AABCI6363G1ZLC07E262700010044</v>
          </cell>
          <cell r="BL168">
            <v>278.1</v>
          </cell>
          <cell r="BM168">
            <v>369.72</v>
          </cell>
          <cell r="BN168">
            <v>-92</v>
          </cell>
          <cell r="BO168" t="str">
            <v>Matched</v>
          </cell>
          <cell r="BP168">
            <v>9156758</v>
          </cell>
        </row>
        <row r="169">
          <cell r="BK169" t="str">
            <v>06AAGCD4246E1ZXDFSI2600000412</v>
          </cell>
          <cell r="BL169">
            <v>1965.97</v>
          </cell>
          <cell r="BM169">
            <v>38182.88</v>
          </cell>
          <cell r="BN169">
            <v>-36217</v>
          </cell>
          <cell r="BO169" t="str">
            <v>Matched</v>
          </cell>
          <cell r="BP169">
            <v>9158398</v>
          </cell>
        </row>
        <row r="170">
          <cell r="BK170" t="str">
            <v>06AAGCD4246E1ZXDFSI2600000751</v>
          </cell>
          <cell r="BL170">
            <v>1683</v>
          </cell>
          <cell r="BM170">
            <v>36494.74</v>
          </cell>
          <cell r="BN170">
            <v>-34812</v>
          </cell>
          <cell r="BO170" t="str">
            <v>Matched</v>
          </cell>
          <cell r="BP170">
            <v>9174963</v>
          </cell>
        </row>
        <row r="171">
          <cell r="BK171" t="str">
            <v>06AAGCD4246E1ZXDFSI2600000751</v>
          </cell>
          <cell r="BL171">
            <v>544.5</v>
          </cell>
          <cell r="BM171">
            <v>36494.74</v>
          </cell>
          <cell r="BN171">
            <v>-35950</v>
          </cell>
          <cell r="BO171" t="str">
            <v>Matched</v>
          </cell>
          <cell r="BP171">
            <v>9174963</v>
          </cell>
        </row>
        <row r="172">
          <cell r="BK172" t="str">
            <v>07AAACB2894G1ZPMF2707I000063444</v>
          </cell>
          <cell r="BL172">
            <v>251.46</v>
          </cell>
          <cell r="BM172">
            <v>8534.42</v>
          </cell>
          <cell r="BN172">
            <v>-8283</v>
          </cell>
          <cell r="BO172" t="str">
            <v>Matched</v>
          </cell>
          <cell r="BP172">
            <v>9156749</v>
          </cell>
        </row>
        <row r="173">
          <cell r="BK173" t="str">
            <v>07AANCS0651B1ZMTXA26-00607</v>
          </cell>
          <cell r="BL173">
            <v>488.44</v>
          </cell>
          <cell r="BM173">
            <v>2435.38</v>
          </cell>
          <cell r="BN173">
            <v>-1947</v>
          </cell>
          <cell r="BO173" t="str">
            <v>Matched</v>
          </cell>
          <cell r="BP173">
            <v>9175014</v>
          </cell>
        </row>
        <row r="174">
          <cell r="BK174" t="str">
            <v>07AANCS0651B1ZMTXA26-00607</v>
          </cell>
          <cell r="BL174">
            <v>73.8</v>
          </cell>
          <cell r="BM174">
            <v>2435.38</v>
          </cell>
          <cell r="BN174">
            <v>-2362</v>
          </cell>
          <cell r="BO174" t="str">
            <v>Matched</v>
          </cell>
          <cell r="BP174">
            <v>9175014</v>
          </cell>
        </row>
        <row r="175">
          <cell r="BK175" t="str">
            <v>07ANHPK8321J2ZT4470</v>
          </cell>
          <cell r="BL175">
            <v>0</v>
          </cell>
          <cell r="BM175" t="e">
            <v>#N/A</v>
          </cell>
          <cell r="BN175" t="e">
            <v>#N/A</v>
          </cell>
          <cell r="BO175" t="str">
            <v>Zero Tax</v>
          </cell>
          <cell r="BP175">
            <v>9178414</v>
          </cell>
        </row>
        <row r="176">
          <cell r="BK176" t="str">
            <v>06AAGCD4246E1ZXDFSI2600000751</v>
          </cell>
          <cell r="BL176">
            <v>79.2</v>
          </cell>
          <cell r="BM176">
            <v>36494.74</v>
          </cell>
          <cell r="BN176">
            <v>-36416</v>
          </cell>
          <cell r="BO176" t="str">
            <v>Matched</v>
          </cell>
          <cell r="BP176">
            <v>9174963</v>
          </cell>
        </row>
        <row r="177">
          <cell r="BK177" t="str">
            <v>07AAACC4175D1Z0DLS2627000000590</v>
          </cell>
          <cell r="BL177">
            <v>142.36</v>
          </cell>
          <cell r="BM177">
            <v>1420.5</v>
          </cell>
          <cell r="BN177">
            <v>-1278</v>
          </cell>
          <cell r="BO177" t="str">
            <v>Matched</v>
          </cell>
          <cell r="BP177">
            <v>9155609</v>
          </cell>
        </row>
        <row r="178">
          <cell r="BK178" t="str">
            <v>07AAACC4175D1Z0DLS2627000000590</v>
          </cell>
          <cell r="BL178">
            <v>16.2</v>
          </cell>
          <cell r="BM178">
            <v>1420.5</v>
          </cell>
          <cell r="BN178">
            <v>-1404</v>
          </cell>
          <cell r="BO178" t="str">
            <v>Matched</v>
          </cell>
          <cell r="BP178">
            <v>9155609</v>
          </cell>
        </row>
        <row r="179">
          <cell r="BK179" t="str">
            <v>07AAACC4175D1Z0DLS2627000000641</v>
          </cell>
          <cell r="BL179">
            <v>1.8</v>
          </cell>
          <cell r="BM179">
            <v>5341.12</v>
          </cell>
          <cell r="BN179">
            <v>-5339</v>
          </cell>
          <cell r="BO179" t="str">
            <v>Matched</v>
          </cell>
          <cell r="BP179">
            <v>9155619</v>
          </cell>
        </row>
        <row r="180">
          <cell r="BK180" t="str">
            <v>07AAACE6898B4ZHCI1001100350</v>
          </cell>
          <cell r="BL180">
            <v>22500</v>
          </cell>
          <cell r="BM180">
            <v>22500</v>
          </cell>
          <cell r="BN180">
            <v>0</v>
          </cell>
          <cell r="BO180" t="str">
            <v>Matched</v>
          </cell>
          <cell r="BP180">
            <v>9173874</v>
          </cell>
        </row>
        <row r="181">
          <cell r="BK181" t="str">
            <v>07ACBPV7574P1ZN3</v>
          </cell>
          <cell r="BL181">
            <v>648</v>
          </cell>
          <cell r="BM181">
            <v>1584</v>
          </cell>
          <cell r="BN181">
            <v>-936</v>
          </cell>
          <cell r="BO181" t="str">
            <v>Matched</v>
          </cell>
          <cell r="BP181">
            <v>9178114</v>
          </cell>
        </row>
        <row r="182">
          <cell r="BK182" t="str">
            <v>3540</v>
          </cell>
          <cell r="BL182">
            <v>0</v>
          </cell>
          <cell r="BM182" t="e">
            <v>#N/A</v>
          </cell>
          <cell r="BN182" t="e">
            <v>#N/A</v>
          </cell>
          <cell r="BO182" t="str">
            <v>Zero Tax</v>
          </cell>
          <cell r="BP182">
            <v>9166923</v>
          </cell>
        </row>
        <row r="183">
          <cell r="BK183" t="str">
            <v>07AAACC4175D1Z0DLS2627000000642</v>
          </cell>
          <cell r="BL183">
            <v>744.88</v>
          </cell>
          <cell r="BM183">
            <v>840.1</v>
          </cell>
          <cell r="BN183">
            <v>-95</v>
          </cell>
          <cell r="BO183" t="str">
            <v>Matched</v>
          </cell>
          <cell r="BP183">
            <v>9155618</v>
          </cell>
        </row>
        <row r="184">
          <cell r="BK184" t="str">
            <v>07AFCPB1962P1ZCHEXA2026-27/3289</v>
          </cell>
          <cell r="BL184">
            <v>360</v>
          </cell>
          <cell r="BM184">
            <v>2952</v>
          </cell>
          <cell r="BN184">
            <v>-2592</v>
          </cell>
          <cell r="BO184" t="str">
            <v>Matched</v>
          </cell>
          <cell r="BP184">
            <v>9168299</v>
          </cell>
        </row>
        <row r="185">
          <cell r="BK185" t="str">
            <v>1003701519060</v>
          </cell>
          <cell r="BL185">
            <v>0</v>
          </cell>
          <cell r="BM185" t="e">
            <v>#N/A</v>
          </cell>
          <cell r="BN185" t="e">
            <v>#N/A</v>
          </cell>
          <cell r="BO185" t="str">
            <v>Zero Tax</v>
          </cell>
          <cell r="BP185">
            <v>9167992</v>
          </cell>
        </row>
        <row r="186">
          <cell r="BK186" t="str">
            <v>27AABCT3518Q1ZWMH25I00004400331</v>
          </cell>
          <cell r="BL186">
            <v>21794.44</v>
          </cell>
          <cell r="BM186">
            <v>21795</v>
          </cell>
          <cell r="BN186">
            <v>-1</v>
          </cell>
          <cell r="BO186" t="str">
            <v>Matched</v>
          </cell>
          <cell r="BP186">
            <v>9177649</v>
          </cell>
        </row>
        <row r="187">
          <cell r="BK187" t="str">
            <v>GPI-HOC250400366</v>
          </cell>
          <cell r="BL187">
            <v>124.2</v>
          </cell>
          <cell r="BM187" t="e">
            <v>#N/A</v>
          </cell>
          <cell r="BN187" t="e">
            <v>#N/A</v>
          </cell>
          <cell r="BO187" t="str">
            <v>RCM</v>
          </cell>
          <cell r="BP187">
            <v>9177451</v>
          </cell>
        </row>
        <row r="188">
          <cell r="BK188" t="str">
            <v>07ALWPT1567E1ZJ252601606</v>
          </cell>
          <cell r="BL188">
            <v>450</v>
          </cell>
          <cell r="BM188">
            <v>450</v>
          </cell>
          <cell r="BN188">
            <v>0</v>
          </cell>
          <cell r="BO188" t="str">
            <v>Matched</v>
          </cell>
          <cell r="BP188">
            <v>9153960</v>
          </cell>
        </row>
        <row r="189">
          <cell r="BK189" t="str">
            <v>737/2025-2026</v>
          </cell>
          <cell r="BL189">
            <v>4500</v>
          </cell>
          <cell r="BM189" t="e">
            <v>#N/A</v>
          </cell>
          <cell r="BN189" t="e">
            <v>#N/A</v>
          </cell>
          <cell r="BO189" t="str">
            <v>RCM</v>
          </cell>
          <cell r="BP189">
            <v>9164021</v>
          </cell>
        </row>
        <row r="190">
          <cell r="BK190" t="str">
            <v>07AAACC4175D1Z0DLS2627000000660</v>
          </cell>
          <cell r="BL190">
            <v>5.4</v>
          </cell>
          <cell r="BM190">
            <v>1123.84</v>
          </cell>
          <cell r="BN190">
            <v>-1118</v>
          </cell>
          <cell r="BO190" t="str">
            <v>Matched</v>
          </cell>
          <cell r="BP190">
            <v>9155615</v>
          </cell>
        </row>
        <row r="191">
          <cell r="BK191" t="str">
            <v>06AAACC4175D1Z2HRF2627000000685</v>
          </cell>
          <cell r="BL191">
            <v>785.7</v>
          </cell>
          <cell r="BM191">
            <v>785.7</v>
          </cell>
          <cell r="BN191">
            <v>0</v>
          </cell>
          <cell r="BO191" t="str">
            <v>Matched</v>
          </cell>
          <cell r="BP191">
            <v>9156869</v>
          </cell>
        </row>
        <row r="192">
          <cell r="BK192" t="str">
            <v>06AAACC4175D1Z2HRF2627000000692</v>
          </cell>
          <cell r="BL192">
            <v>739.08</v>
          </cell>
          <cell r="BM192">
            <v>739.08</v>
          </cell>
          <cell r="BN192">
            <v>0</v>
          </cell>
          <cell r="BO192" t="str">
            <v>Matched</v>
          </cell>
          <cell r="BP192">
            <v>9156870</v>
          </cell>
        </row>
        <row r="193">
          <cell r="BK193" t="str">
            <v>07AAJCS4628Q1ZMSQUA/27/E0000010</v>
          </cell>
          <cell r="BL193">
            <v>0</v>
          </cell>
          <cell r="BM193" t="e">
            <v>#N/A</v>
          </cell>
          <cell r="BN193" t="e">
            <v>#N/A</v>
          </cell>
          <cell r="BO193" t="str">
            <v>Zero Tax</v>
          </cell>
          <cell r="BP193">
            <v>9172688</v>
          </cell>
        </row>
        <row r="194">
          <cell r="BK194" t="str">
            <v>07AAACC4175D1Z0DLS2627000000641</v>
          </cell>
          <cell r="BL194">
            <v>4800.7</v>
          </cell>
          <cell r="BM194">
            <v>5341.12</v>
          </cell>
          <cell r="BN194">
            <v>-540</v>
          </cell>
          <cell r="BO194" t="str">
            <v>Matched</v>
          </cell>
          <cell r="BP194">
            <v>9155619</v>
          </cell>
        </row>
        <row r="195">
          <cell r="BK195" t="str">
            <v>07AAACC4175D1Z0DLS2627000000653</v>
          </cell>
          <cell r="BL195">
            <v>26.96</v>
          </cell>
          <cell r="BM195">
            <v>489.18</v>
          </cell>
          <cell r="BN195">
            <v>-462</v>
          </cell>
          <cell r="BO195" t="str">
            <v>Matched</v>
          </cell>
          <cell r="BP195">
            <v>9155610</v>
          </cell>
        </row>
        <row r="196">
          <cell r="BK196" t="str">
            <v>1003701519510</v>
          </cell>
          <cell r="BL196">
            <v>0</v>
          </cell>
          <cell r="BM196" t="e">
            <v>#N/A</v>
          </cell>
          <cell r="BN196" t="e">
            <v>#N/A</v>
          </cell>
          <cell r="BO196" t="str">
            <v>Zero Tax</v>
          </cell>
          <cell r="BP196">
            <v>9168009</v>
          </cell>
        </row>
        <row r="197">
          <cell r="BK197" t="str">
            <v>29APR2026-0020</v>
          </cell>
          <cell r="BL197">
            <v>0</v>
          </cell>
          <cell r="BM197" t="e">
            <v>#N/A</v>
          </cell>
          <cell r="BN197" t="e">
            <v>#N/A</v>
          </cell>
          <cell r="BO197" t="str">
            <v>Zero Tax</v>
          </cell>
          <cell r="BP197">
            <v>9177644</v>
          </cell>
        </row>
        <row r="198">
          <cell r="BK198" t="str">
            <v>07AADCC3694E1ZPBDLI000510/26-27</v>
          </cell>
          <cell r="BL198">
            <v>5850</v>
          </cell>
          <cell r="BM198">
            <v>5850</v>
          </cell>
          <cell r="BN198">
            <v>0</v>
          </cell>
          <cell r="BO198" t="str">
            <v>Matched</v>
          </cell>
          <cell r="BP198">
            <v>9173788</v>
          </cell>
        </row>
        <row r="199">
          <cell r="BK199" t="str">
            <v>06AAGCD4246E1ZXDFSI2600000412</v>
          </cell>
          <cell r="BL199">
            <v>1386</v>
          </cell>
          <cell r="BM199">
            <v>38182.88</v>
          </cell>
          <cell r="BN199">
            <v>-36797</v>
          </cell>
          <cell r="BO199" t="str">
            <v>Matched</v>
          </cell>
          <cell r="BP199">
            <v>9158398</v>
          </cell>
        </row>
        <row r="200">
          <cell r="BK200" t="str">
            <v>06AAGCD4246E1ZXDFSI2600000412</v>
          </cell>
          <cell r="BL200">
            <v>792</v>
          </cell>
          <cell r="BM200">
            <v>38182.88</v>
          </cell>
          <cell r="BN200">
            <v>-37391</v>
          </cell>
          <cell r="BO200" t="str">
            <v>Matched</v>
          </cell>
          <cell r="BP200">
            <v>9158398</v>
          </cell>
        </row>
        <row r="201">
          <cell r="BK201" t="str">
            <v>06AAGCD4246E1ZXDFSI2600000412</v>
          </cell>
          <cell r="BL201">
            <v>198</v>
          </cell>
          <cell r="BM201">
            <v>38182.88</v>
          </cell>
          <cell r="BN201">
            <v>-37985</v>
          </cell>
          <cell r="BO201" t="str">
            <v>Matched</v>
          </cell>
          <cell r="BP201">
            <v>9158398</v>
          </cell>
        </row>
        <row r="202">
          <cell r="BK202" t="str">
            <v>06AAGCD4246E1ZXDFSI2600000751</v>
          </cell>
          <cell r="BL202">
            <v>0.05</v>
          </cell>
          <cell r="BM202">
            <v>36494.74</v>
          </cell>
          <cell r="BN202">
            <v>-36495</v>
          </cell>
          <cell r="BO202" t="str">
            <v>Matched</v>
          </cell>
          <cell r="BP202">
            <v>9174963</v>
          </cell>
        </row>
        <row r="203">
          <cell r="BK203" t="str">
            <v>07AAACN0474C1ZX130/26-27</v>
          </cell>
          <cell r="BL203">
            <v>1080</v>
          </cell>
          <cell r="BM203">
            <v>6014.7</v>
          </cell>
          <cell r="BN203">
            <v>-4935</v>
          </cell>
          <cell r="BO203" t="str">
            <v>Matched</v>
          </cell>
          <cell r="BP203">
            <v>9164740</v>
          </cell>
        </row>
        <row r="204">
          <cell r="BK204" t="str">
            <v>07ACBPV7574P1ZN4</v>
          </cell>
          <cell r="BL204">
            <v>2975.4</v>
          </cell>
          <cell r="BM204">
            <v>6033.6</v>
          </cell>
          <cell r="BN204">
            <v>-3058</v>
          </cell>
          <cell r="BO204" t="str">
            <v>Matched</v>
          </cell>
          <cell r="BP204">
            <v>9177498</v>
          </cell>
        </row>
        <row r="205">
          <cell r="BK205" t="str">
            <v>07AAACC4175D1Z0DLS2627000000642</v>
          </cell>
          <cell r="BL205">
            <v>88.04</v>
          </cell>
          <cell r="BM205">
            <v>840.1</v>
          </cell>
          <cell r="BN205">
            <v>-752</v>
          </cell>
          <cell r="BO205" t="str">
            <v>Matched</v>
          </cell>
          <cell r="BP205">
            <v>9155618</v>
          </cell>
        </row>
        <row r="206">
          <cell r="BK206" t="str">
            <v>07AFCPB1962P1ZCHEXA2026-27/3289</v>
          </cell>
          <cell r="BL206">
            <v>720</v>
          </cell>
          <cell r="BM206">
            <v>2952</v>
          </cell>
          <cell r="BN206">
            <v>-2232</v>
          </cell>
          <cell r="BO206" t="str">
            <v>Matched</v>
          </cell>
          <cell r="BP206">
            <v>9168299</v>
          </cell>
        </row>
        <row r="207">
          <cell r="BK207" t="str">
            <v>07AAHAK7428G1ZHKC/B2B26-27/010</v>
          </cell>
          <cell r="BL207">
            <v>243</v>
          </cell>
          <cell r="BM207">
            <v>11178</v>
          </cell>
          <cell r="BN207">
            <v>-10935</v>
          </cell>
          <cell r="BO207" t="str">
            <v>Matched</v>
          </cell>
          <cell r="BP207">
            <v>9151139</v>
          </cell>
        </row>
        <row r="208">
          <cell r="BK208" t="str">
            <v>07AAHAK7428G1ZHKC/EB/25-26/7870</v>
          </cell>
          <cell r="BL208">
            <v>0</v>
          </cell>
          <cell r="BM208" t="e">
            <v>#N/A</v>
          </cell>
          <cell r="BN208" t="e">
            <v>#N/A</v>
          </cell>
          <cell r="BO208" t="str">
            <v>Zero Tax</v>
          </cell>
          <cell r="BP208">
            <v>9151138</v>
          </cell>
        </row>
        <row r="209">
          <cell r="BK209" t="str">
            <v>07AAACB2894G1ZPMF2707I000130888</v>
          </cell>
          <cell r="BL209">
            <v>314.1</v>
          </cell>
          <cell r="BM209">
            <v>385.92</v>
          </cell>
          <cell r="BN209">
            <v>-72</v>
          </cell>
          <cell r="BO209" t="str">
            <v>Matched</v>
          </cell>
          <cell r="BP209">
            <v>9156752</v>
          </cell>
        </row>
        <row r="210">
          <cell r="BK210" t="str">
            <v>07AANCS0651B1ZMTXA26-00607</v>
          </cell>
          <cell r="BL210">
            <v>243.72</v>
          </cell>
          <cell r="BM210">
            <v>2435.38</v>
          </cell>
          <cell r="BN210">
            <v>-2192</v>
          </cell>
          <cell r="BO210" t="str">
            <v>Matched</v>
          </cell>
          <cell r="BP210">
            <v>9175014</v>
          </cell>
        </row>
        <row r="211">
          <cell r="BK211" t="str">
            <v>07AANCS0651B1ZMTXA26-00607</v>
          </cell>
          <cell r="BL211">
            <v>38.88</v>
          </cell>
          <cell r="BM211">
            <v>2435.38</v>
          </cell>
          <cell r="BN211">
            <v>-2397</v>
          </cell>
          <cell r="BO211" t="str">
            <v>Matched</v>
          </cell>
          <cell r="BP211">
            <v>9175014</v>
          </cell>
        </row>
        <row r="212">
          <cell r="BK212" t="str">
            <v>07AAACB2894G1ZPHF2707I000129884</v>
          </cell>
          <cell r="BL212">
            <v>71.82</v>
          </cell>
          <cell r="BM212">
            <v>71.82</v>
          </cell>
          <cell r="BN212">
            <v>0</v>
          </cell>
          <cell r="BO212" t="str">
            <v>Matched</v>
          </cell>
          <cell r="BP212">
            <v>9164381</v>
          </cell>
        </row>
        <row r="213">
          <cell r="BK213" t="str">
            <v>GPI-HOC260400005</v>
          </cell>
          <cell r="BL213">
            <v>2700</v>
          </cell>
          <cell r="BM213" t="e">
            <v>#N/A</v>
          </cell>
          <cell r="BN213" t="e">
            <v>#N/A</v>
          </cell>
          <cell r="BO213" t="str">
            <v>RCM</v>
          </cell>
          <cell r="BP213">
            <v>9167056</v>
          </cell>
        </row>
        <row r="214">
          <cell r="BK214" t="str">
            <v>07ACBPV7574P1ZN4</v>
          </cell>
          <cell r="BL214">
            <v>405</v>
          </cell>
          <cell r="BM214">
            <v>6033.6</v>
          </cell>
          <cell r="BN214">
            <v>-5629</v>
          </cell>
          <cell r="BO214" t="str">
            <v>Matched</v>
          </cell>
          <cell r="BP214">
            <v>9177498</v>
          </cell>
        </row>
        <row r="215">
          <cell r="BK215" t="str">
            <v>07AAACC4175D1Z0DLS2627000000643</v>
          </cell>
          <cell r="BL215">
            <v>123.34</v>
          </cell>
          <cell r="BM215">
            <v>2568.6</v>
          </cell>
          <cell r="BN215">
            <v>-2445</v>
          </cell>
          <cell r="BO215" t="str">
            <v>Matched</v>
          </cell>
          <cell r="BP215">
            <v>9155607</v>
          </cell>
        </row>
        <row r="216">
          <cell r="BK216" t="str">
            <v>09ACTPG0935H1ZE107/2026-27</v>
          </cell>
          <cell r="BL216">
            <v>964.13</v>
          </cell>
          <cell r="BM216">
            <v>1632.71</v>
          </cell>
          <cell r="BN216">
            <v>-669</v>
          </cell>
          <cell r="BO216" t="str">
            <v>Matched</v>
          </cell>
          <cell r="BP216">
            <v>9164653</v>
          </cell>
        </row>
        <row r="217">
          <cell r="BK217" t="str">
            <v>07AAAFD3228M1ZI78</v>
          </cell>
          <cell r="BL217">
            <v>117000</v>
          </cell>
          <cell r="BM217">
            <v>117000</v>
          </cell>
          <cell r="BN217">
            <v>0</v>
          </cell>
          <cell r="BO217" t="str">
            <v>Matched</v>
          </cell>
          <cell r="BP217">
            <v>9178850</v>
          </cell>
        </row>
        <row r="218">
          <cell r="BK218" t="str">
            <v>07AAECC1851C1Z5CC/GN/0001/26-27</v>
          </cell>
          <cell r="BL218">
            <v>25200</v>
          </cell>
          <cell r="BM218">
            <v>25200</v>
          </cell>
          <cell r="BN218">
            <v>0</v>
          </cell>
          <cell r="BO218" t="str">
            <v>Matched</v>
          </cell>
          <cell r="BP218">
            <v>9151133</v>
          </cell>
        </row>
        <row r="219">
          <cell r="BK219" t="str">
            <v>07AAACC4175D1Z0DLS2627000000119</v>
          </cell>
          <cell r="BL219">
            <v>673.84</v>
          </cell>
          <cell r="BM219">
            <v>673.84</v>
          </cell>
          <cell r="BN219">
            <v>0</v>
          </cell>
          <cell r="BO219" t="str">
            <v>Matched</v>
          </cell>
          <cell r="BP219">
            <v>9155617</v>
          </cell>
        </row>
        <row r="220">
          <cell r="BK220" t="str">
            <v>27AABCT3518Q1ZWMH25I00004428853</v>
          </cell>
          <cell r="BL220">
            <v>1453.5</v>
          </cell>
          <cell r="BM220">
            <v>1454</v>
          </cell>
          <cell r="BN220">
            <v>-1</v>
          </cell>
          <cell r="BO220" t="str">
            <v>Matched</v>
          </cell>
          <cell r="BP220">
            <v>9178797</v>
          </cell>
        </row>
        <row r="221">
          <cell r="BK221" t="str">
            <v>16APR2026-0010</v>
          </cell>
          <cell r="BL221">
            <v>0</v>
          </cell>
          <cell r="BM221" t="e">
            <v>#N/A</v>
          </cell>
          <cell r="BN221" t="e">
            <v>#N/A</v>
          </cell>
          <cell r="BO221" t="str">
            <v>Zero Tax</v>
          </cell>
          <cell r="BP221">
            <v>9159296</v>
          </cell>
        </row>
        <row r="222">
          <cell r="BK222" t="str">
            <v>07AVQPK8011N2Z1612-ESI0</v>
          </cell>
          <cell r="BL222">
            <v>0</v>
          </cell>
          <cell r="BM222" t="e">
            <v>#N/A</v>
          </cell>
          <cell r="BN222" t="e">
            <v>#N/A</v>
          </cell>
          <cell r="BO222" t="str">
            <v>Zero Tax</v>
          </cell>
          <cell r="BP222">
            <v>9156772</v>
          </cell>
        </row>
        <row r="223">
          <cell r="BK223" t="str">
            <v>07AAACC4175D1Z0DLS2627000000644</v>
          </cell>
          <cell r="BL223">
            <v>627.66</v>
          </cell>
          <cell r="BM223">
            <v>1873.72</v>
          </cell>
          <cell r="BN223">
            <v>-1246</v>
          </cell>
          <cell r="BO223" t="str">
            <v>Matched</v>
          </cell>
          <cell r="BP223">
            <v>9155608</v>
          </cell>
        </row>
        <row r="224">
          <cell r="BK224" t="str">
            <v>07AFCPB1962P1ZCHEXA2026-27/3289</v>
          </cell>
          <cell r="BL224">
            <v>1080</v>
          </cell>
          <cell r="BM224">
            <v>2952</v>
          </cell>
          <cell r="BN224">
            <v>-1872</v>
          </cell>
          <cell r="BO224" t="str">
            <v>Matched</v>
          </cell>
          <cell r="BP224">
            <v>9168299</v>
          </cell>
        </row>
        <row r="225">
          <cell r="BK225" t="str">
            <v>16APR2026-0010</v>
          </cell>
          <cell r="BL225">
            <v>0</v>
          </cell>
          <cell r="BM225" t="e">
            <v>#N/A</v>
          </cell>
          <cell r="BN225" t="e">
            <v>#N/A</v>
          </cell>
          <cell r="BO225" t="str">
            <v>Zero Tax</v>
          </cell>
          <cell r="BP225">
            <v>9159296</v>
          </cell>
        </row>
        <row r="226">
          <cell r="BK226" t="str">
            <v>07AAACB2894G1ZPHF2707I000097242</v>
          </cell>
          <cell r="BL226">
            <v>395.28</v>
          </cell>
          <cell r="BM226">
            <v>395.28</v>
          </cell>
          <cell r="BN226">
            <v>0</v>
          </cell>
          <cell r="BO226" t="str">
            <v>Matched</v>
          </cell>
          <cell r="BP226">
            <v>9164390</v>
          </cell>
        </row>
        <row r="227">
          <cell r="BK227" t="str">
            <v>07AAACN0474C1ZX130/26-27</v>
          </cell>
          <cell r="BL227">
            <v>1800</v>
          </cell>
          <cell r="BM227">
            <v>6014.7</v>
          </cell>
          <cell r="BN227">
            <v>-4215</v>
          </cell>
          <cell r="BO227" t="str">
            <v>Matched</v>
          </cell>
          <cell r="BP227">
            <v>9164740</v>
          </cell>
        </row>
        <row r="228">
          <cell r="BK228" t="str">
            <v>07AAACN0474C1ZX130/26-27</v>
          </cell>
          <cell r="BL228">
            <v>437.4</v>
          </cell>
          <cell r="BM228">
            <v>6014.7</v>
          </cell>
          <cell r="BN228">
            <v>-5577</v>
          </cell>
          <cell r="BO228" t="str">
            <v>Matched</v>
          </cell>
          <cell r="BP228">
            <v>9164740</v>
          </cell>
        </row>
        <row r="229">
          <cell r="BK229" t="str">
            <v>07ANXPS5012J2ZF18A</v>
          </cell>
          <cell r="BL229">
            <v>2250</v>
          </cell>
          <cell r="BM229">
            <v>2250</v>
          </cell>
          <cell r="BN229">
            <v>0</v>
          </cell>
          <cell r="BO229" t="str">
            <v>Matched</v>
          </cell>
          <cell r="BP229">
            <v>9157985</v>
          </cell>
        </row>
        <row r="230">
          <cell r="BK230" t="str">
            <v>07AFGFS5626D1Z03</v>
          </cell>
          <cell r="BL230">
            <v>96</v>
          </cell>
          <cell r="BM230">
            <v>1647</v>
          </cell>
          <cell r="BN230">
            <v>-1551</v>
          </cell>
          <cell r="BO230" t="str">
            <v>Matched</v>
          </cell>
          <cell r="BP230">
            <v>9156871</v>
          </cell>
        </row>
        <row r="231">
          <cell r="BK231" t="str">
            <v>07AAACC8414B1Z67026000049</v>
          </cell>
          <cell r="BL231">
            <v>990</v>
          </cell>
          <cell r="BM231">
            <v>28440</v>
          </cell>
          <cell r="BN231">
            <v>-27450</v>
          </cell>
          <cell r="BO231" t="str">
            <v>Matched</v>
          </cell>
          <cell r="BP231">
            <v>9168297</v>
          </cell>
        </row>
        <row r="232">
          <cell r="BK232" t="str">
            <v>741/2025-2026</v>
          </cell>
          <cell r="BL232">
            <v>162</v>
          </cell>
          <cell r="BM232" t="e">
            <v>#N/A</v>
          </cell>
          <cell r="BN232" t="e">
            <v>#N/A</v>
          </cell>
          <cell r="BO232" t="str">
            <v>RCM</v>
          </cell>
          <cell r="BP232">
            <v>9164023</v>
          </cell>
        </row>
        <row r="233">
          <cell r="BK233" t="str">
            <v>07AVQPK8011N2Z1612</v>
          </cell>
          <cell r="BL233">
            <v>2700</v>
          </cell>
          <cell r="BM233">
            <v>4734</v>
          </cell>
          <cell r="BN233">
            <v>-2034</v>
          </cell>
          <cell r="BO233" t="str">
            <v>Matched</v>
          </cell>
          <cell r="BP233">
            <v>9151235</v>
          </cell>
        </row>
        <row r="234">
          <cell r="BK234" t="str">
            <v>06AAGCD4246E1ZXDFSI2600000412</v>
          </cell>
          <cell r="BL234">
            <v>2096.09</v>
          </cell>
          <cell r="BM234">
            <v>38182.88</v>
          </cell>
          <cell r="BN234">
            <v>-36087</v>
          </cell>
          <cell r="BO234" t="str">
            <v>Matched</v>
          </cell>
          <cell r="BP234">
            <v>9158398</v>
          </cell>
        </row>
        <row r="235">
          <cell r="BK235" t="str">
            <v>06AAGCD4246E1ZXDFSI2600000751</v>
          </cell>
          <cell r="BL235">
            <v>1188</v>
          </cell>
          <cell r="BM235">
            <v>36494.74</v>
          </cell>
          <cell r="BN235">
            <v>-35307</v>
          </cell>
          <cell r="BO235" t="str">
            <v>Matched</v>
          </cell>
          <cell r="BP235">
            <v>9174963</v>
          </cell>
        </row>
        <row r="236">
          <cell r="BK236" t="str">
            <v>07AAACB2894G1ZPMF2707I000063444</v>
          </cell>
          <cell r="BL236">
            <v>431.1</v>
          </cell>
          <cell r="BM236">
            <v>8534.42</v>
          </cell>
          <cell r="BN236">
            <v>-8103</v>
          </cell>
          <cell r="BO236" t="str">
            <v>Matched</v>
          </cell>
          <cell r="BP236">
            <v>9156749</v>
          </cell>
        </row>
        <row r="237">
          <cell r="BK237" t="str">
            <v>07AANCS0651B1ZMTXA26-00607</v>
          </cell>
          <cell r="BL237">
            <v>12.24</v>
          </cell>
          <cell r="BM237">
            <v>2435.38</v>
          </cell>
          <cell r="BN237">
            <v>-2423</v>
          </cell>
          <cell r="BO237" t="str">
            <v>Matched</v>
          </cell>
          <cell r="BP237">
            <v>9175014</v>
          </cell>
        </row>
        <row r="238">
          <cell r="BK238" t="str">
            <v>GPI-HOC260400005</v>
          </cell>
          <cell r="BL238">
            <v>2700</v>
          </cell>
          <cell r="BM238" t="e">
            <v>#N/A</v>
          </cell>
          <cell r="BN238" t="e">
            <v>#N/A</v>
          </cell>
          <cell r="BO238" t="str">
            <v>RCM</v>
          </cell>
          <cell r="BP238">
            <v>9167056</v>
          </cell>
        </row>
        <row r="239">
          <cell r="BK239" t="str">
            <v>737/2025-2026</v>
          </cell>
          <cell r="BL239">
            <v>1044</v>
          </cell>
          <cell r="BM239" t="e">
            <v>#N/A</v>
          </cell>
          <cell r="BN239" t="e">
            <v>#N/A</v>
          </cell>
          <cell r="BO239" t="str">
            <v>RCM</v>
          </cell>
          <cell r="BP239">
            <v>9164021</v>
          </cell>
        </row>
        <row r="240">
          <cell r="BK240" t="str">
            <v>07AFTPC4142H1ZHGPIL/26-27/01</v>
          </cell>
          <cell r="BL240">
            <v>1462252.5</v>
          </cell>
          <cell r="BM240">
            <v>1462252</v>
          </cell>
          <cell r="BN240">
            <v>1</v>
          </cell>
          <cell r="BO240" t="str">
            <v>Matched</v>
          </cell>
          <cell r="BP240">
            <v>9151137</v>
          </cell>
        </row>
        <row r="241">
          <cell r="BK241" t="str">
            <v>9H002350660</v>
          </cell>
          <cell r="BL241">
            <v>0</v>
          </cell>
          <cell r="BM241" t="e">
            <v>#N/A</v>
          </cell>
          <cell r="BN241" t="e">
            <v>#N/A</v>
          </cell>
          <cell r="BO241" t="str">
            <v>Zero Tax</v>
          </cell>
          <cell r="BP241">
            <v>9178384</v>
          </cell>
        </row>
        <row r="242">
          <cell r="BK242" t="str">
            <v>07AAACC4175D1Z0DLS2627000000593</v>
          </cell>
          <cell r="BL242">
            <v>440.5</v>
          </cell>
          <cell r="BM242">
            <v>5381.62</v>
          </cell>
          <cell r="BN242">
            <v>-4941</v>
          </cell>
          <cell r="BO242" t="str">
            <v>Matched</v>
          </cell>
          <cell r="BP242">
            <v>9155613</v>
          </cell>
        </row>
        <row r="243">
          <cell r="BK243" t="str">
            <v>07AAACC4175D1Z0DLS2627000000653</v>
          </cell>
          <cell r="BL243">
            <v>411.64</v>
          </cell>
          <cell r="BM243">
            <v>489.18</v>
          </cell>
          <cell r="BN243">
            <v>-78</v>
          </cell>
          <cell r="BO243" t="str">
            <v>Matched</v>
          </cell>
          <cell r="BP243">
            <v>9155610</v>
          </cell>
        </row>
        <row r="244">
          <cell r="BK244" t="str">
            <v>07AAHAK7428G1ZHKC/B2B26-27/010</v>
          </cell>
          <cell r="BL244">
            <v>10934.28</v>
          </cell>
          <cell r="BM244">
            <v>11178</v>
          </cell>
          <cell r="BN244">
            <v>-244</v>
          </cell>
          <cell r="BO244" t="str">
            <v>Matched</v>
          </cell>
          <cell r="BP244">
            <v>9151139</v>
          </cell>
        </row>
        <row r="245">
          <cell r="BK245" t="str">
            <v>27AABCT3784C1ZDGLMS00000060280</v>
          </cell>
          <cell r="BL245">
            <v>-69.97</v>
          </cell>
          <cell r="BM245" t="e">
            <v>#N/A</v>
          </cell>
          <cell r="BN245" t="e">
            <v>#N/A</v>
          </cell>
          <cell r="BO245" t="str">
            <v>Not Matched</v>
          </cell>
          <cell r="BP245">
            <v>9178436</v>
          </cell>
        </row>
        <row r="246">
          <cell r="BK246" t="str">
            <v>06AAGCD4246E1ZXDFSI2600000412</v>
          </cell>
          <cell r="BL246">
            <v>1355.84</v>
          </cell>
          <cell r="BM246">
            <v>38182.88</v>
          </cell>
          <cell r="BN246">
            <v>-36827</v>
          </cell>
          <cell r="BO246" t="str">
            <v>Matched</v>
          </cell>
          <cell r="BP246">
            <v>9158398</v>
          </cell>
        </row>
        <row r="247">
          <cell r="BK247" t="str">
            <v>06AAGCD4246E1ZXDFSI2600000412</v>
          </cell>
          <cell r="BL247">
            <v>148.5</v>
          </cell>
          <cell r="BM247">
            <v>38182.88</v>
          </cell>
          <cell r="BN247">
            <v>-38034</v>
          </cell>
          <cell r="BO247" t="str">
            <v>Matched</v>
          </cell>
          <cell r="BP247">
            <v>9158398</v>
          </cell>
        </row>
        <row r="248">
          <cell r="BK248" t="str">
            <v>06AAGCD4246E1ZXDFSI2600000412</v>
          </cell>
          <cell r="BL248">
            <v>1485</v>
          </cell>
          <cell r="BM248">
            <v>38182.88</v>
          </cell>
          <cell r="BN248">
            <v>-36698</v>
          </cell>
          <cell r="BO248" t="str">
            <v>Matched</v>
          </cell>
          <cell r="BP248">
            <v>9158398</v>
          </cell>
        </row>
        <row r="249">
          <cell r="BK249" t="str">
            <v>06AAGCD4246E1ZXDFSI2600000412</v>
          </cell>
          <cell r="BL249">
            <v>148.5</v>
          </cell>
          <cell r="BM249">
            <v>38182.88</v>
          </cell>
          <cell r="BN249">
            <v>-38034</v>
          </cell>
          <cell r="BO249" t="str">
            <v>Matched</v>
          </cell>
          <cell r="BP249">
            <v>9158398</v>
          </cell>
        </row>
        <row r="250">
          <cell r="BK250" t="str">
            <v>06AAGCD4246E1ZXDFSI2600000412</v>
          </cell>
          <cell r="BL250">
            <v>49.5</v>
          </cell>
          <cell r="BM250">
            <v>38182.88</v>
          </cell>
          <cell r="BN250">
            <v>-38133</v>
          </cell>
          <cell r="BO250" t="str">
            <v>Matched</v>
          </cell>
          <cell r="BP250">
            <v>9158398</v>
          </cell>
        </row>
        <row r="251">
          <cell r="BK251" t="str">
            <v>06AAGCD4246E1ZXDFSI2600000412</v>
          </cell>
          <cell r="BL251">
            <v>2376</v>
          </cell>
          <cell r="BM251">
            <v>38182.88</v>
          </cell>
          <cell r="BN251">
            <v>-35807</v>
          </cell>
          <cell r="BO251" t="str">
            <v>Matched</v>
          </cell>
          <cell r="BP251">
            <v>9158398</v>
          </cell>
        </row>
        <row r="252">
          <cell r="BK252" t="str">
            <v>06AAGCD4246E1ZXDFSI2600000751</v>
          </cell>
          <cell r="BL252">
            <v>1527.12</v>
          </cell>
          <cell r="BM252">
            <v>36494.74</v>
          </cell>
          <cell r="BN252">
            <v>-34968</v>
          </cell>
          <cell r="BO252" t="str">
            <v>Matched</v>
          </cell>
          <cell r="BP252">
            <v>9174963</v>
          </cell>
        </row>
        <row r="253">
          <cell r="BK253" t="str">
            <v>06AAGCD4246E1ZXDFSI2600000751</v>
          </cell>
          <cell r="BL253">
            <v>742.58</v>
          </cell>
          <cell r="BM253">
            <v>36494.74</v>
          </cell>
          <cell r="BN253">
            <v>-35752</v>
          </cell>
          <cell r="BO253" t="str">
            <v>Matched</v>
          </cell>
          <cell r="BP253">
            <v>9174963</v>
          </cell>
        </row>
        <row r="254">
          <cell r="BK254" t="str">
            <v>07AAACB2894G1ZPMF2707I000063444</v>
          </cell>
          <cell r="BL254">
            <v>143.64</v>
          </cell>
          <cell r="BM254">
            <v>8534.42</v>
          </cell>
          <cell r="BN254">
            <v>-8391</v>
          </cell>
          <cell r="BO254" t="str">
            <v>Matched</v>
          </cell>
          <cell r="BP254">
            <v>9156749</v>
          </cell>
        </row>
        <row r="255">
          <cell r="BK255" t="str">
            <v>07AAACB2894G1ZPHF2707I000136786</v>
          </cell>
          <cell r="BL255">
            <v>179.82</v>
          </cell>
          <cell r="BM255">
            <v>179.82</v>
          </cell>
          <cell r="BN255">
            <v>0</v>
          </cell>
          <cell r="BO255" t="str">
            <v>Matched</v>
          </cell>
          <cell r="BP255">
            <v>9164384</v>
          </cell>
        </row>
        <row r="256">
          <cell r="BK256" t="str">
            <v>07AFGFS5626D1Z03</v>
          </cell>
          <cell r="BL256">
            <v>375</v>
          </cell>
          <cell r="BM256">
            <v>1647</v>
          </cell>
          <cell r="BN256">
            <v>-1272</v>
          </cell>
          <cell r="BO256" t="str">
            <v>Matched</v>
          </cell>
          <cell r="BP256">
            <v>9156871</v>
          </cell>
        </row>
        <row r="257">
          <cell r="BK257" t="str">
            <v>07AAACC4175D1Z0DLS2627000000643</v>
          </cell>
          <cell r="BL257">
            <v>2438.66</v>
          </cell>
          <cell r="BM257">
            <v>2568.6</v>
          </cell>
          <cell r="BN257">
            <v>-130</v>
          </cell>
          <cell r="BO257" t="str">
            <v>Matched</v>
          </cell>
          <cell r="BP257">
            <v>9155607</v>
          </cell>
        </row>
        <row r="258">
          <cell r="BK258" t="str">
            <v>GPI-HOC250400361</v>
          </cell>
          <cell r="BL258">
            <v>216000</v>
          </cell>
          <cell r="BM258" t="e">
            <v>#N/A</v>
          </cell>
          <cell r="BN258" t="e">
            <v>#N/A</v>
          </cell>
          <cell r="BO258" t="str">
            <v>RCM</v>
          </cell>
          <cell r="BP258">
            <v>9167354</v>
          </cell>
        </row>
        <row r="259">
          <cell r="BK259" t="str">
            <v>06AAGCD4246E1ZXDFSI2600000412</v>
          </cell>
          <cell r="BL259">
            <v>249.73</v>
          </cell>
          <cell r="BM259">
            <v>38182.88</v>
          </cell>
          <cell r="BN259">
            <v>-37933</v>
          </cell>
          <cell r="BO259" t="str">
            <v>Matched</v>
          </cell>
          <cell r="BP259">
            <v>9158398</v>
          </cell>
        </row>
        <row r="260">
          <cell r="BK260" t="str">
            <v>07AANCS0651B1ZMTXA26-00607</v>
          </cell>
          <cell r="BL260">
            <v>96.72</v>
          </cell>
          <cell r="BM260">
            <v>2435.38</v>
          </cell>
          <cell r="BN260">
            <v>-2339</v>
          </cell>
          <cell r="BO260" t="str">
            <v>Matched</v>
          </cell>
          <cell r="BP260">
            <v>9175014</v>
          </cell>
        </row>
        <row r="261">
          <cell r="BK261" t="str">
            <v>07ABEPK2267J1ZLBK/26-27/0202</v>
          </cell>
          <cell r="BL261">
            <v>3783.06</v>
          </cell>
          <cell r="BM261" t="e">
            <v>#N/A</v>
          </cell>
          <cell r="BN261" t="e">
            <v>#N/A</v>
          </cell>
          <cell r="BO261" t="str">
            <v>Not Matched</v>
          </cell>
          <cell r="BP261">
            <v>9171493</v>
          </cell>
        </row>
        <row r="262">
          <cell r="BK262" t="str">
            <v>06AAGCD4246E1ZXDFSI2600000412</v>
          </cell>
          <cell r="BL262">
            <v>1485</v>
          </cell>
          <cell r="BM262">
            <v>38182.88</v>
          </cell>
          <cell r="BN262">
            <v>-36698</v>
          </cell>
          <cell r="BO262" t="str">
            <v>Matched</v>
          </cell>
          <cell r="BP262">
            <v>9158398</v>
          </cell>
        </row>
        <row r="263">
          <cell r="BK263" t="str">
            <v>06AAGCD4246E1ZXDFSI2600000412</v>
          </cell>
          <cell r="BL263">
            <v>99</v>
          </cell>
          <cell r="BM263">
            <v>38182.88</v>
          </cell>
          <cell r="BN263">
            <v>-38084</v>
          </cell>
          <cell r="BO263" t="str">
            <v>Matched</v>
          </cell>
          <cell r="BP263">
            <v>9158398</v>
          </cell>
        </row>
        <row r="264">
          <cell r="BK264" t="str">
            <v>07AAACB2894G1ZPMF2707I000063444</v>
          </cell>
          <cell r="BL264">
            <v>89.82</v>
          </cell>
          <cell r="BM264">
            <v>8534.42</v>
          </cell>
          <cell r="BN264">
            <v>-8445</v>
          </cell>
          <cell r="BO264" t="str">
            <v>Matched</v>
          </cell>
          <cell r="BP264">
            <v>9156749</v>
          </cell>
        </row>
        <row r="265">
          <cell r="BK265" t="str">
            <v>07AANCS0651B1ZMTXA26-00607</v>
          </cell>
          <cell r="BL265">
            <v>82.3</v>
          </cell>
          <cell r="BM265">
            <v>2435.38</v>
          </cell>
          <cell r="BN265">
            <v>-2353</v>
          </cell>
          <cell r="BO265" t="str">
            <v>Matched</v>
          </cell>
          <cell r="BP265">
            <v>9175014</v>
          </cell>
        </row>
        <row r="266">
          <cell r="BK266" t="str">
            <v>09ACTPG0935H1ZE107/2026-27</v>
          </cell>
          <cell r="BL266">
            <v>445.72</v>
          </cell>
          <cell r="BM266">
            <v>1632.71</v>
          </cell>
          <cell r="BN266">
            <v>-1187</v>
          </cell>
          <cell r="BO266" t="str">
            <v>Matched</v>
          </cell>
          <cell r="BP266">
            <v>9164653</v>
          </cell>
        </row>
        <row r="267">
          <cell r="BK267" t="str">
            <v>06AAGCD4246E1ZXDFSI2600000751</v>
          </cell>
          <cell r="BL267">
            <v>148.5</v>
          </cell>
          <cell r="BM267">
            <v>36494.74</v>
          </cell>
          <cell r="BN267">
            <v>-36346</v>
          </cell>
          <cell r="BO267" t="str">
            <v>Matched</v>
          </cell>
          <cell r="BP267">
            <v>9174963</v>
          </cell>
        </row>
        <row r="268">
          <cell r="BK268" t="str">
            <v>07AAACB2894G1ZPMF2707I000063444</v>
          </cell>
          <cell r="BL268">
            <v>260.46</v>
          </cell>
          <cell r="BM268">
            <v>8534.42</v>
          </cell>
          <cell r="BN268">
            <v>-8274</v>
          </cell>
          <cell r="BO268" t="str">
            <v>Matched</v>
          </cell>
          <cell r="BP268">
            <v>9156749</v>
          </cell>
        </row>
        <row r="269">
          <cell r="BK269" t="str">
            <v>07AAACB2894G1ZPMF2707I000063444</v>
          </cell>
          <cell r="BL269">
            <v>550.26</v>
          </cell>
          <cell r="BM269">
            <v>8534.42</v>
          </cell>
          <cell r="BN269">
            <v>-7984</v>
          </cell>
          <cell r="BO269" t="str">
            <v>Matched</v>
          </cell>
          <cell r="BP269">
            <v>9156749</v>
          </cell>
        </row>
        <row r="270">
          <cell r="BK270" t="str">
            <v>07AAACB2894G1ZPMF2707I000063444</v>
          </cell>
          <cell r="BL270">
            <v>309.24</v>
          </cell>
          <cell r="BM270">
            <v>8534.42</v>
          </cell>
          <cell r="BN270">
            <v>-8225</v>
          </cell>
          <cell r="BO270" t="str">
            <v>Matched</v>
          </cell>
          <cell r="BP270">
            <v>9156749</v>
          </cell>
        </row>
        <row r="271">
          <cell r="BK271" t="str">
            <v>07AANCS0651B1ZMTXA26-00607</v>
          </cell>
          <cell r="BL271">
            <v>278.82</v>
          </cell>
          <cell r="BM271">
            <v>2435.38</v>
          </cell>
          <cell r="BN271">
            <v>-2157</v>
          </cell>
          <cell r="BO271" t="str">
            <v>Matched</v>
          </cell>
          <cell r="BP271">
            <v>9175014</v>
          </cell>
        </row>
        <row r="272">
          <cell r="BK272" t="str">
            <v>07AAACB2894G1ZPHF2707I000022064</v>
          </cell>
          <cell r="BL272">
            <v>269.82</v>
          </cell>
          <cell r="BM272">
            <v>269.82</v>
          </cell>
          <cell r="BN272">
            <v>0</v>
          </cell>
          <cell r="BO272" t="str">
            <v>Matched</v>
          </cell>
          <cell r="BP272">
            <v>9164389</v>
          </cell>
        </row>
        <row r="273">
          <cell r="BK273" t="str">
            <v>GPI-HOC250400365</v>
          </cell>
          <cell r="BL273">
            <v>3600</v>
          </cell>
          <cell r="BM273" t="e">
            <v>#N/A</v>
          </cell>
          <cell r="BN273" t="e">
            <v>#N/A</v>
          </cell>
          <cell r="BO273" t="str">
            <v>RCM</v>
          </cell>
          <cell r="BP273">
            <v>9177454</v>
          </cell>
        </row>
        <row r="274">
          <cell r="BK274" t="str">
            <v>1006394833300</v>
          </cell>
          <cell r="BL274">
            <v>0</v>
          </cell>
          <cell r="BM274" t="e">
            <v>#N/A</v>
          </cell>
          <cell r="BN274" t="e">
            <v>#N/A</v>
          </cell>
          <cell r="BO274" t="str">
            <v>Zero Tax</v>
          </cell>
          <cell r="BP274">
            <v>9168606</v>
          </cell>
        </row>
        <row r="275">
          <cell r="BK275" t="str">
            <v>29APR2026-0020</v>
          </cell>
          <cell r="BL275">
            <v>0</v>
          </cell>
          <cell r="BM275" t="e">
            <v>#N/A</v>
          </cell>
          <cell r="BN275" t="e">
            <v>#N/A</v>
          </cell>
          <cell r="BO275" t="str">
            <v>Zero Tax</v>
          </cell>
          <cell r="BP275">
            <v>9177644</v>
          </cell>
        </row>
        <row r="276">
          <cell r="BK276" t="str">
            <v>27AAACT3957G3Z564056337650</v>
          </cell>
          <cell r="BL276">
            <v>0</v>
          </cell>
          <cell r="BM276" t="e">
            <v>#N/A</v>
          </cell>
          <cell r="BN276" t="e">
            <v>#N/A</v>
          </cell>
          <cell r="BO276" t="str">
            <v>Zero Tax</v>
          </cell>
          <cell r="BP276">
            <v>9178380</v>
          </cell>
        </row>
        <row r="277">
          <cell r="BK277" t="str">
            <v>07AAACC4175D1Z0DLS2627000000348</v>
          </cell>
          <cell r="BL277">
            <v>518.72</v>
          </cell>
          <cell r="BM277">
            <v>518.72</v>
          </cell>
          <cell r="BN277">
            <v>0</v>
          </cell>
          <cell r="BO277" t="str">
            <v>Matched</v>
          </cell>
          <cell r="BP277">
            <v>9155616</v>
          </cell>
        </row>
        <row r="278">
          <cell r="BK278" t="str">
            <v>06AAACC4175D1Z2HRF26270000003410</v>
          </cell>
          <cell r="BL278">
            <v>0</v>
          </cell>
          <cell r="BM278" t="e">
            <v>#N/A</v>
          </cell>
          <cell r="BN278" t="e">
            <v>#N/A</v>
          </cell>
          <cell r="BO278" t="str">
            <v>Zero Tax</v>
          </cell>
          <cell r="BP278">
            <v>9156858</v>
          </cell>
        </row>
        <row r="279">
          <cell r="BK279" t="str">
            <v>19AABFL1894Q1ZKLCO/319/22-23</v>
          </cell>
          <cell r="BL279">
            <v>2968.92</v>
          </cell>
          <cell r="BM279" t="e">
            <v>#N/A</v>
          </cell>
          <cell r="BN279" t="e">
            <v>#N/A</v>
          </cell>
          <cell r="BO279" t="str">
            <v>Not Matched</v>
          </cell>
          <cell r="BP279">
            <v>9177464</v>
          </cell>
        </row>
        <row r="280">
          <cell r="BK280" t="str">
            <v>GPI-HOC260400002</v>
          </cell>
          <cell r="BL280">
            <v>12500.1</v>
          </cell>
          <cell r="BM280" t="e">
            <v>#N/A</v>
          </cell>
          <cell r="BN280" t="e">
            <v>#N/A</v>
          </cell>
          <cell r="BO280" t="str">
            <v>RCM</v>
          </cell>
          <cell r="BP280">
            <v>9151218</v>
          </cell>
        </row>
        <row r="281">
          <cell r="BK281" t="str">
            <v>07AADCC3694E1ZPBDLI000509/26-27</v>
          </cell>
          <cell r="BL281">
            <v>4050</v>
          </cell>
          <cell r="BM281">
            <v>4050</v>
          </cell>
          <cell r="BN281">
            <v>0</v>
          </cell>
          <cell r="BO281" t="str">
            <v>Matched</v>
          </cell>
          <cell r="BP281">
            <v>9166991</v>
          </cell>
        </row>
        <row r="282">
          <cell r="BK282" t="str">
            <v>07AAACC4175D1Z0DLS2627000000641</v>
          </cell>
          <cell r="BL282">
            <v>27.9</v>
          </cell>
          <cell r="BM282">
            <v>5341.12</v>
          </cell>
          <cell r="BN282">
            <v>-5313</v>
          </cell>
          <cell r="BO282" t="str">
            <v>Matched</v>
          </cell>
          <cell r="BP282">
            <v>9155619</v>
          </cell>
        </row>
        <row r="283">
          <cell r="BK283" t="str">
            <v>06AAACC4175D1Z2HRF26270000006890</v>
          </cell>
          <cell r="BL283">
            <v>0</v>
          </cell>
          <cell r="BM283" t="e">
            <v>#N/A</v>
          </cell>
          <cell r="BN283" t="e">
            <v>#N/A</v>
          </cell>
          <cell r="BO283" t="str">
            <v>Zero Tax</v>
          </cell>
          <cell r="BP283">
            <v>9156864</v>
          </cell>
        </row>
        <row r="284">
          <cell r="BK284" t="str">
            <v>06AAACC4175D1Z2HRF26270000010720</v>
          </cell>
          <cell r="BL284">
            <v>0</v>
          </cell>
          <cell r="BM284" t="e">
            <v>#N/A</v>
          </cell>
          <cell r="BN284" t="e">
            <v>#N/A</v>
          </cell>
          <cell r="BO284" t="str">
            <v>Zero Tax</v>
          </cell>
          <cell r="BP284">
            <v>9156861</v>
          </cell>
        </row>
        <row r="285">
          <cell r="BK285" t="str">
            <v>06AAACC4175D1Z2HRF26270000010720</v>
          </cell>
          <cell r="BL285">
            <v>0</v>
          </cell>
          <cell r="BM285" t="e">
            <v>#N/A</v>
          </cell>
          <cell r="BN285" t="e">
            <v>#N/A</v>
          </cell>
          <cell r="BO285" t="str">
            <v>Zero Tax</v>
          </cell>
          <cell r="BP285">
            <v>9156861</v>
          </cell>
        </row>
        <row r="286">
          <cell r="BK286" t="str">
            <v>07AAJCS4628Q1ZMSQUA/27/E0000010</v>
          </cell>
          <cell r="BL286">
            <v>0</v>
          </cell>
          <cell r="BM286" t="e">
            <v>#N/A</v>
          </cell>
          <cell r="BN286" t="e">
            <v>#N/A</v>
          </cell>
          <cell r="BO286" t="str">
            <v>Zero Tax</v>
          </cell>
          <cell r="BP286">
            <v>9172688</v>
          </cell>
        </row>
        <row r="287">
          <cell r="BK287" t="str">
            <v>06AAGCD4246E1ZXDFSI2600000751</v>
          </cell>
          <cell r="BL287">
            <v>1485</v>
          </cell>
          <cell r="BM287">
            <v>36494.74</v>
          </cell>
          <cell r="BN287">
            <v>-35010</v>
          </cell>
          <cell r="BO287" t="str">
            <v>Matched</v>
          </cell>
          <cell r="BP287">
            <v>9174963</v>
          </cell>
        </row>
        <row r="288">
          <cell r="BK288" t="str">
            <v>06AAGCD4246E1ZXDFSI2600000751</v>
          </cell>
          <cell r="BL288">
            <v>79.2</v>
          </cell>
          <cell r="BM288">
            <v>36494.74</v>
          </cell>
          <cell r="BN288">
            <v>-36416</v>
          </cell>
          <cell r="BO288" t="str">
            <v>Matched</v>
          </cell>
          <cell r="BP288">
            <v>9174963</v>
          </cell>
        </row>
        <row r="289">
          <cell r="BK289" t="str">
            <v>07AAACB2894G1ZPMF2707I000063444</v>
          </cell>
          <cell r="BL289">
            <v>2936.34</v>
          </cell>
          <cell r="BM289">
            <v>8534.42</v>
          </cell>
          <cell r="BN289">
            <v>-5598</v>
          </cell>
          <cell r="BO289" t="str">
            <v>Matched</v>
          </cell>
          <cell r="BP289">
            <v>9156749</v>
          </cell>
        </row>
        <row r="290">
          <cell r="BK290" t="str">
            <v>07AATPA1288M1Z9NC/26-27/01620</v>
          </cell>
          <cell r="BL290">
            <v>0</v>
          </cell>
          <cell r="BM290" t="e">
            <v>#N/A</v>
          </cell>
          <cell r="BN290" t="e">
            <v>#N/A</v>
          </cell>
          <cell r="BO290" t="str">
            <v>Zero Tax</v>
          </cell>
          <cell r="BP290">
            <v>9175765</v>
          </cell>
        </row>
        <row r="291">
          <cell r="BK291" t="str">
            <v>07AAACB2894G1ZPHF2707I000131905</v>
          </cell>
          <cell r="BL291">
            <v>179.82</v>
          </cell>
          <cell r="BM291">
            <v>179.82</v>
          </cell>
          <cell r="BN291">
            <v>0</v>
          </cell>
          <cell r="BO291" t="str">
            <v>Matched</v>
          </cell>
          <cell r="BP291">
            <v>9164385</v>
          </cell>
        </row>
        <row r="292">
          <cell r="BK292" t="str">
            <v>07AAACN0474C1ZX130/26-27</v>
          </cell>
          <cell r="BL292">
            <v>172.8</v>
          </cell>
          <cell r="BM292">
            <v>6014.7</v>
          </cell>
          <cell r="BN292">
            <v>-5842</v>
          </cell>
          <cell r="BO292" t="str">
            <v>Matched</v>
          </cell>
          <cell r="BP292">
            <v>9164740</v>
          </cell>
        </row>
        <row r="293">
          <cell r="BK293" t="str">
            <v>07AABCU0270A1ZZ47</v>
          </cell>
          <cell r="BL293">
            <v>324</v>
          </cell>
          <cell r="BM293">
            <v>324</v>
          </cell>
          <cell r="BN293">
            <v>0</v>
          </cell>
          <cell r="BO293" t="str">
            <v>Matched</v>
          </cell>
          <cell r="BP293">
            <v>9157982</v>
          </cell>
        </row>
        <row r="294">
          <cell r="BK294" t="str">
            <v>737/2025-2026</v>
          </cell>
          <cell r="BL294">
            <v>4500</v>
          </cell>
          <cell r="BM294" t="e">
            <v>#N/A</v>
          </cell>
          <cell r="BN294" t="e">
            <v>#N/A</v>
          </cell>
          <cell r="BO294" t="str">
            <v>RCM</v>
          </cell>
          <cell r="BP294">
            <v>9164021</v>
          </cell>
        </row>
        <row r="295">
          <cell r="BK295" t="str">
            <v>07AAACC4175D1Z0DLS2627000000644</v>
          </cell>
          <cell r="BL295">
            <v>0.44</v>
          </cell>
          <cell r="BM295">
            <v>1873.72</v>
          </cell>
          <cell r="BN295">
            <v>-1873</v>
          </cell>
          <cell r="BO295" t="str">
            <v>Matched</v>
          </cell>
          <cell r="BP295">
            <v>9155608</v>
          </cell>
        </row>
        <row r="296">
          <cell r="BK296" t="str">
            <v>06AAGCD4246E1ZXDFSI2600000412</v>
          </cell>
          <cell r="BL296">
            <v>2673</v>
          </cell>
          <cell r="BM296">
            <v>38182.88</v>
          </cell>
          <cell r="BN296">
            <v>-35510</v>
          </cell>
          <cell r="BO296" t="str">
            <v>Matched</v>
          </cell>
          <cell r="BP296">
            <v>9158398</v>
          </cell>
        </row>
        <row r="297">
          <cell r="BK297" t="str">
            <v>06AAGCD4246E1ZXDFSI2600000751</v>
          </cell>
          <cell r="BL297">
            <v>79.2</v>
          </cell>
          <cell r="BM297">
            <v>36494.74</v>
          </cell>
          <cell r="BN297">
            <v>-36416</v>
          </cell>
          <cell r="BO297" t="str">
            <v>Matched</v>
          </cell>
          <cell r="BP297">
            <v>9174963</v>
          </cell>
        </row>
        <row r="298">
          <cell r="BK298" t="str">
            <v>07AATPA1288M1Z9NC/26-27/01620</v>
          </cell>
          <cell r="BL298">
            <v>0</v>
          </cell>
          <cell r="BM298" t="e">
            <v>#N/A</v>
          </cell>
          <cell r="BN298" t="e">
            <v>#N/A</v>
          </cell>
          <cell r="BO298" t="str">
            <v>Zero Tax</v>
          </cell>
          <cell r="BP298">
            <v>9175765</v>
          </cell>
        </row>
        <row r="299">
          <cell r="BK299" t="str">
            <v>07AFGFS5626D1Z03</v>
          </cell>
          <cell r="BL299">
            <v>1176</v>
          </cell>
          <cell r="BM299">
            <v>1647</v>
          </cell>
          <cell r="BN299">
            <v>-471</v>
          </cell>
          <cell r="BO299" t="str">
            <v>Matched</v>
          </cell>
          <cell r="BP299">
            <v>9156871</v>
          </cell>
        </row>
        <row r="300">
          <cell r="BK300" t="str">
            <v>06AAGCD4246E1ZXDFSI2600000412</v>
          </cell>
          <cell r="BL300">
            <v>594</v>
          </cell>
          <cell r="BM300">
            <v>38182.88</v>
          </cell>
          <cell r="BN300">
            <v>-37589</v>
          </cell>
          <cell r="BO300" t="str">
            <v>Matched</v>
          </cell>
          <cell r="BP300">
            <v>9158398</v>
          </cell>
        </row>
        <row r="301">
          <cell r="BK301" t="str">
            <v>06AAGCD4246E1ZXDFSI2600000412</v>
          </cell>
          <cell r="BL301">
            <v>1485</v>
          </cell>
          <cell r="BM301">
            <v>38182.88</v>
          </cell>
          <cell r="BN301">
            <v>-36698</v>
          </cell>
          <cell r="BO301" t="str">
            <v>Matched</v>
          </cell>
          <cell r="BP301">
            <v>9158398</v>
          </cell>
        </row>
        <row r="302">
          <cell r="BK302" t="str">
            <v>06AAGCD4246E1ZXDFSI2600000751</v>
          </cell>
          <cell r="BL302">
            <v>1188</v>
          </cell>
          <cell r="BM302">
            <v>36494.74</v>
          </cell>
          <cell r="BN302">
            <v>-35307</v>
          </cell>
          <cell r="BO302" t="str">
            <v>Matched</v>
          </cell>
          <cell r="BP302">
            <v>9174963</v>
          </cell>
        </row>
        <row r="303">
          <cell r="BK303" t="str">
            <v>07AAACB2894G1ZPMF2707I000063444</v>
          </cell>
          <cell r="BL303">
            <v>502.74</v>
          </cell>
          <cell r="BM303">
            <v>8534.42</v>
          </cell>
          <cell r="BN303">
            <v>-8032</v>
          </cell>
          <cell r="BO303" t="str">
            <v>Matched</v>
          </cell>
          <cell r="BP303">
            <v>9156749</v>
          </cell>
        </row>
        <row r="304">
          <cell r="BK304" t="str">
            <v>07AAACC8414B1Z67026000049</v>
          </cell>
          <cell r="BL304">
            <v>1170</v>
          </cell>
          <cell r="BM304">
            <v>28440</v>
          </cell>
          <cell r="BN304">
            <v>-27270</v>
          </cell>
          <cell r="BO304" t="str">
            <v>Matched</v>
          </cell>
          <cell r="BP304">
            <v>9168297</v>
          </cell>
        </row>
        <row r="305">
          <cell r="BK305" t="str">
            <v>07AAACC4175D1Z0DLS2627000000641</v>
          </cell>
          <cell r="BL305">
            <v>510.7</v>
          </cell>
          <cell r="BM305">
            <v>5341.12</v>
          </cell>
          <cell r="BN305">
            <v>-4830</v>
          </cell>
          <cell r="BO305" t="str">
            <v>Matched</v>
          </cell>
          <cell r="BP305">
            <v>9155619</v>
          </cell>
        </row>
        <row r="306">
          <cell r="BK306" t="str">
            <v>07AAACC4175D1Z0DLS2627000000643</v>
          </cell>
          <cell r="BL306">
            <v>6.3</v>
          </cell>
          <cell r="BM306">
            <v>2568.6</v>
          </cell>
          <cell r="BN306">
            <v>-2562</v>
          </cell>
          <cell r="BO306" t="str">
            <v>Matched</v>
          </cell>
          <cell r="BP306">
            <v>9155607</v>
          </cell>
        </row>
        <row r="307">
          <cell r="BK307" t="str">
            <v>07AAACC4175D1Z0DLS2627000000660</v>
          </cell>
          <cell r="BL307">
            <v>2.08</v>
          </cell>
          <cell r="BM307">
            <v>1123.84</v>
          </cell>
          <cell r="BN307">
            <v>-1122</v>
          </cell>
          <cell r="BO307" t="str">
            <v>Matched</v>
          </cell>
          <cell r="BP307">
            <v>9155615</v>
          </cell>
        </row>
        <row r="308">
          <cell r="BK308" t="str">
            <v>07AFCPB1962P1ZCHEXA2026-27/3289</v>
          </cell>
          <cell r="BL308">
            <v>792</v>
          </cell>
          <cell r="BM308">
            <v>2952</v>
          </cell>
          <cell r="BN308">
            <v>-2160</v>
          </cell>
          <cell r="BO308" t="str">
            <v>Matched</v>
          </cell>
          <cell r="BP308">
            <v>9168299</v>
          </cell>
        </row>
        <row r="309">
          <cell r="BK309" t="str">
            <v>06AAACC4175D1Z2HRF2627000000690</v>
          </cell>
          <cell r="BL309">
            <v>785.7</v>
          </cell>
          <cell r="BM309">
            <v>785.7</v>
          </cell>
          <cell r="BN309">
            <v>0</v>
          </cell>
          <cell r="BO309" t="str">
            <v>Matched</v>
          </cell>
          <cell r="BP309">
            <v>9156859</v>
          </cell>
        </row>
        <row r="310">
          <cell r="BK310" t="str">
            <v>07AATPA1288M1Z9NC/26-27/0105</v>
          </cell>
          <cell r="BL310">
            <v>297</v>
          </cell>
          <cell r="BM310">
            <v>297</v>
          </cell>
          <cell r="BN310">
            <v>0</v>
          </cell>
          <cell r="BO310" t="str">
            <v>Matched</v>
          </cell>
          <cell r="BP310">
            <v>9166965</v>
          </cell>
        </row>
        <row r="311">
          <cell r="BK311" t="str">
            <v>9H002347070</v>
          </cell>
          <cell r="BL311">
            <v>0</v>
          </cell>
          <cell r="BM311" t="e">
            <v>#N/A</v>
          </cell>
          <cell r="BN311" t="e">
            <v>#N/A</v>
          </cell>
          <cell r="BO311" t="str">
            <v>Zero Tax</v>
          </cell>
          <cell r="BP311">
            <v>9167334</v>
          </cell>
        </row>
        <row r="312">
          <cell r="BK312" t="str">
            <v>GPI-HOC260400004</v>
          </cell>
          <cell r="BL312">
            <v>3420</v>
          </cell>
          <cell r="BM312" t="e">
            <v>#N/A</v>
          </cell>
          <cell r="BN312" t="e">
            <v>#N/A</v>
          </cell>
          <cell r="BO312" t="str">
            <v>RCM</v>
          </cell>
          <cell r="BP312">
            <v>9157040</v>
          </cell>
        </row>
        <row r="313">
          <cell r="BK313" t="str">
            <v>07ANHPK8321J2ZT447/2025-26</v>
          </cell>
          <cell r="BL313">
            <v>117399.96</v>
          </cell>
          <cell r="BM313">
            <v>117399.96</v>
          </cell>
          <cell r="BN313">
            <v>0</v>
          </cell>
          <cell r="BO313" t="str">
            <v>Matched</v>
          </cell>
          <cell r="BP313">
            <v>9178377</v>
          </cell>
        </row>
        <row r="314">
          <cell r="BK314" t="str">
            <v>06AAGCD4246E1ZXDFSI2600000412</v>
          </cell>
          <cell r="BL314">
            <v>3913.01</v>
          </cell>
          <cell r="BM314">
            <v>38182.88</v>
          </cell>
          <cell r="BN314">
            <v>-34270</v>
          </cell>
          <cell r="BO314" t="str">
            <v>Matched</v>
          </cell>
          <cell r="BP314">
            <v>9158398</v>
          </cell>
        </row>
        <row r="315">
          <cell r="BK315" t="str">
            <v>06AAGCD4246E1ZXDFSI2600000412</v>
          </cell>
          <cell r="BL315">
            <v>544.5</v>
          </cell>
          <cell r="BM315">
            <v>38182.88</v>
          </cell>
          <cell r="BN315">
            <v>-37638</v>
          </cell>
          <cell r="BO315" t="str">
            <v>Matched</v>
          </cell>
          <cell r="BP315">
            <v>9158398</v>
          </cell>
        </row>
        <row r="316">
          <cell r="BK316" t="str">
            <v>06AAGCD4246E1ZXDFSI2600000412</v>
          </cell>
          <cell r="BL316">
            <v>192.74</v>
          </cell>
          <cell r="BM316">
            <v>38182.88</v>
          </cell>
          <cell r="BN316">
            <v>-37990</v>
          </cell>
          <cell r="BO316" t="str">
            <v>Matched</v>
          </cell>
          <cell r="BP316">
            <v>9158398</v>
          </cell>
        </row>
        <row r="317">
          <cell r="BK317" t="str">
            <v>06AAGCD4246E1ZXDFSI2600000412</v>
          </cell>
          <cell r="BL317">
            <v>841.5</v>
          </cell>
          <cell r="BM317">
            <v>38182.88</v>
          </cell>
          <cell r="BN317">
            <v>-37341</v>
          </cell>
          <cell r="BO317" t="str">
            <v>Matched</v>
          </cell>
          <cell r="BP317">
            <v>9158398</v>
          </cell>
        </row>
        <row r="318">
          <cell r="BK318" t="str">
            <v>06AAGCD4246E1ZXDFSI2600000412</v>
          </cell>
          <cell r="BL318">
            <v>99</v>
          </cell>
          <cell r="BM318">
            <v>38182.88</v>
          </cell>
          <cell r="BN318">
            <v>-38084</v>
          </cell>
          <cell r="BO318" t="str">
            <v>Matched</v>
          </cell>
          <cell r="BP318">
            <v>9158398</v>
          </cell>
        </row>
        <row r="319">
          <cell r="BK319" t="str">
            <v>06AAGCD4246E1ZXDFSI2600000751</v>
          </cell>
          <cell r="BL319">
            <v>1638.31</v>
          </cell>
          <cell r="BM319">
            <v>36494.74</v>
          </cell>
          <cell r="BN319">
            <v>-34856</v>
          </cell>
          <cell r="BO319" t="str">
            <v>Matched</v>
          </cell>
          <cell r="BP319">
            <v>9174963</v>
          </cell>
        </row>
        <row r="320">
          <cell r="BK320" t="str">
            <v>07AAACB2894G1ZPMF2707I000063444</v>
          </cell>
          <cell r="BL320">
            <v>564.02</v>
          </cell>
          <cell r="BM320">
            <v>8534.42</v>
          </cell>
          <cell r="BN320">
            <v>-7970</v>
          </cell>
          <cell r="BO320" t="str">
            <v>Matched</v>
          </cell>
          <cell r="BP320">
            <v>9156749</v>
          </cell>
        </row>
        <row r="321">
          <cell r="BK321" t="str">
            <v>GPI-HOC250400365</v>
          </cell>
          <cell r="BL321">
            <v>1800</v>
          </cell>
          <cell r="BM321" t="e">
            <v>#N/A</v>
          </cell>
          <cell r="BN321" t="e">
            <v>#N/A</v>
          </cell>
          <cell r="BO321" t="str">
            <v>RCM</v>
          </cell>
          <cell r="BP321">
            <v>9177454</v>
          </cell>
        </row>
        <row r="322">
          <cell r="BK322" t="str">
            <v>06AAACC4175D1Z2HRF26270000003410</v>
          </cell>
          <cell r="BL322">
            <v>0</v>
          </cell>
          <cell r="BM322" t="e">
            <v>#N/A</v>
          </cell>
          <cell r="BN322" t="e">
            <v>#N/A</v>
          </cell>
          <cell r="BO322" t="str">
            <v>Zero Tax</v>
          </cell>
          <cell r="BP322">
            <v>9156858</v>
          </cell>
        </row>
        <row r="323">
          <cell r="BK323" t="str">
            <v>06AAACC4175D1Z2HRF2627000000688</v>
          </cell>
          <cell r="BL323">
            <v>785.7</v>
          </cell>
          <cell r="BM323">
            <v>785.7</v>
          </cell>
          <cell r="BN323">
            <v>0</v>
          </cell>
          <cell r="BO323" t="str">
            <v>Matched</v>
          </cell>
          <cell r="BP323">
            <v>9156865</v>
          </cell>
        </row>
        <row r="324">
          <cell r="BK324" t="str">
            <v>06AAACC4175D1Z2HRF26270000006890</v>
          </cell>
          <cell r="BL324">
            <v>0</v>
          </cell>
          <cell r="BM324" t="e">
            <v>#N/A</v>
          </cell>
          <cell r="BN324" t="e">
            <v>#N/A</v>
          </cell>
          <cell r="BO324" t="str">
            <v>Zero Tax</v>
          </cell>
          <cell r="BP324">
            <v>9156864</v>
          </cell>
        </row>
        <row r="325">
          <cell r="BK325" t="str">
            <v>07AAHAK7428G1ZHKC/EB/25-26/7870</v>
          </cell>
          <cell r="BL325">
            <v>0</v>
          </cell>
          <cell r="BM325" t="e">
            <v>#N/A</v>
          </cell>
          <cell r="BN325" t="e">
            <v>#N/A</v>
          </cell>
          <cell r="BO325" t="str">
            <v>Zero Tax</v>
          </cell>
          <cell r="BP325">
            <v>9151138</v>
          </cell>
        </row>
        <row r="326">
          <cell r="BK326" t="str">
            <v>07AAJCS4628Q1ZMSQUA/27/E0000010</v>
          </cell>
          <cell r="BL326">
            <v>0</v>
          </cell>
          <cell r="BM326" t="e">
            <v>#N/A</v>
          </cell>
          <cell r="BN326" t="e">
            <v>#N/A</v>
          </cell>
          <cell r="BO326" t="str">
            <v>Zero Tax</v>
          </cell>
          <cell r="BP326">
            <v>9172688</v>
          </cell>
        </row>
        <row r="327">
          <cell r="BK327" t="str">
            <v>16APR2026-0010</v>
          </cell>
          <cell r="BL327">
            <v>0</v>
          </cell>
          <cell r="BM327" t="e">
            <v>#N/A</v>
          </cell>
          <cell r="BN327" t="e">
            <v>#N/A</v>
          </cell>
          <cell r="BO327" t="str">
            <v>Zero Tax</v>
          </cell>
          <cell r="BP327">
            <v>9159296</v>
          </cell>
        </row>
        <row r="328">
          <cell r="BK328" t="str">
            <v>07AVQPK8011N2Z1612-ESI0</v>
          </cell>
          <cell r="BL328">
            <v>0</v>
          </cell>
          <cell r="BM328" t="e">
            <v>#N/A</v>
          </cell>
          <cell r="BN328" t="e">
            <v>#N/A</v>
          </cell>
          <cell r="BO328" t="str">
            <v>Zero Tax</v>
          </cell>
          <cell r="BP328">
            <v>9156772</v>
          </cell>
        </row>
        <row r="329">
          <cell r="BK329" t="str">
            <v>06AAGCD4246E1ZXDFSI2600000412</v>
          </cell>
          <cell r="BL329">
            <v>346.5</v>
          </cell>
          <cell r="BM329">
            <v>38182.88</v>
          </cell>
          <cell r="BN329">
            <v>-37836</v>
          </cell>
          <cell r="BO329" t="str">
            <v>Matched</v>
          </cell>
          <cell r="BP329">
            <v>9158398</v>
          </cell>
        </row>
        <row r="330">
          <cell r="BK330" t="str">
            <v>06AAGCD4246E1ZXDFSI2600000751</v>
          </cell>
          <cell r="BL330">
            <v>825.1</v>
          </cell>
          <cell r="BM330">
            <v>36494.74</v>
          </cell>
          <cell r="BN330">
            <v>-35670</v>
          </cell>
          <cell r="BO330" t="str">
            <v>Matched</v>
          </cell>
          <cell r="BP330">
            <v>9174963</v>
          </cell>
        </row>
        <row r="331">
          <cell r="BK331" t="str">
            <v>07AATPA1288M1Z9NC/26-27/01620</v>
          </cell>
          <cell r="BL331">
            <v>0</v>
          </cell>
          <cell r="BM331" t="e">
            <v>#N/A</v>
          </cell>
          <cell r="BN331" t="e">
            <v>#N/A</v>
          </cell>
          <cell r="BO331" t="str">
            <v>Zero Tax</v>
          </cell>
          <cell r="BP331">
            <v>9175765</v>
          </cell>
        </row>
        <row r="332">
          <cell r="BK332" t="str">
            <v>07AAACB2894G1ZPHF2707I000130245</v>
          </cell>
          <cell r="BL332">
            <v>737.64</v>
          </cell>
          <cell r="BM332">
            <v>737.64</v>
          </cell>
          <cell r="BN332">
            <v>0</v>
          </cell>
          <cell r="BO332" t="str">
            <v>Matched</v>
          </cell>
          <cell r="BP332">
            <v>9164382</v>
          </cell>
        </row>
        <row r="333">
          <cell r="BK333" t="str">
            <v>GPI-HOC250400365</v>
          </cell>
          <cell r="BL333">
            <v>4500</v>
          </cell>
          <cell r="BM333" t="e">
            <v>#N/A</v>
          </cell>
          <cell r="BN333" t="e">
            <v>#N/A</v>
          </cell>
          <cell r="BO333" t="str">
            <v>RCM</v>
          </cell>
          <cell r="BP333">
            <v>9177454</v>
          </cell>
        </row>
        <row r="334">
          <cell r="BK334" t="str">
            <v>737/2025-2026</v>
          </cell>
          <cell r="BL334">
            <v>1440</v>
          </cell>
          <cell r="BM334" t="e">
            <v>#N/A</v>
          </cell>
          <cell r="BN334" t="e">
            <v>#N/A</v>
          </cell>
          <cell r="BO334" t="str">
            <v>RCM</v>
          </cell>
          <cell r="BP334">
            <v>9164021</v>
          </cell>
        </row>
        <row r="335">
          <cell r="BK335" t="str">
            <v>738/2025-2026</v>
          </cell>
          <cell r="BL335">
            <v>18</v>
          </cell>
          <cell r="BM335" t="e">
            <v>#N/A</v>
          </cell>
          <cell r="BN335" t="e">
            <v>#N/A</v>
          </cell>
          <cell r="BO335" t="str">
            <v>RCM</v>
          </cell>
          <cell r="BP335">
            <v>9164022</v>
          </cell>
        </row>
        <row r="336">
          <cell r="BK336" t="str">
            <v>27AADCN9802F1ZGEVS/DT1124/157</v>
          </cell>
          <cell r="BL336">
            <v>900</v>
          </cell>
          <cell r="BM336" t="e">
            <v>#N/A</v>
          </cell>
          <cell r="BN336" t="e">
            <v>#N/A</v>
          </cell>
          <cell r="BO336" t="str">
            <v>Not Matched</v>
          </cell>
          <cell r="BP336">
            <v>9138442</v>
          </cell>
        </row>
        <row r="337">
          <cell r="BK337" t="str">
            <v>07AAJCG9480A1ZJG00HO-119</v>
          </cell>
          <cell r="BL337">
            <v>3.9</v>
          </cell>
          <cell r="BM337" t="e">
            <v>#N/A</v>
          </cell>
          <cell r="BN337" t="e">
            <v>#N/A</v>
          </cell>
          <cell r="BO337" t="str">
            <v>Not Matched</v>
          </cell>
          <cell r="BP337">
            <v>9119445</v>
          </cell>
        </row>
        <row r="338">
          <cell r="BK338" t="str">
            <v>07AAJCG9480A1ZJG00HO-119</v>
          </cell>
          <cell r="BL338">
            <v>38.1</v>
          </cell>
          <cell r="BM338" t="e">
            <v>#N/A</v>
          </cell>
          <cell r="BN338" t="e">
            <v>#N/A</v>
          </cell>
          <cell r="BO338" t="str">
            <v>Not Matched</v>
          </cell>
          <cell r="BP338">
            <v>9119445</v>
          </cell>
        </row>
        <row r="339">
          <cell r="BK339" t="str">
            <v>07AAJCG9480A1ZJGOOH0-114</v>
          </cell>
          <cell r="BL339">
            <v>66.54</v>
          </cell>
          <cell r="BM339" t="e">
            <v>#N/A</v>
          </cell>
          <cell r="BN339" t="e">
            <v>#N/A</v>
          </cell>
          <cell r="BO339" t="str">
            <v>Not Matched</v>
          </cell>
          <cell r="BP339">
            <v>9077332</v>
          </cell>
        </row>
        <row r="340">
          <cell r="BK340" t="str">
            <v>07BGQPS0312G1ZF5500</v>
          </cell>
          <cell r="BL340">
            <v>1782</v>
          </cell>
          <cell r="BM340">
            <v>7367.4</v>
          </cell>
          <cell r="BN340">
            <v>-5585</v>
          </cell>
          <cell r="BO340" t="str">
            <v>Matched</v>
          </cell>
          <cell r="BP340">
            <v>9122840</v>
          </cell>
        </row>
        <row r="341">
          <cell r="BK341" t="str">
            <v>07BGQPS0312G1ZF5500</v>
          </cell>
          <cell r="BL341">
            <v>16.2</v>
          </cell>
          <cell r="BM341">
            <v>7367.4</v>
          </cell>
          <cell r="BN341">
            <v>-7351</v>
          </cell>
          <cell r="BO341" t="str">
            <v>Matched</v>
          </cell>
          <cell r="BP341">
            <v>9122840</v>
          </cell>
        </row>
        <row r="342">
          <cell r="BK342" t="str">
            <v>07AAACB2100P1ZZDLSO030326553578</v>
          </cell>
          <cell r="BL342">
            <v>431.28</v>
          </cell>
          <cell r="BM342" t="e">
            <v>#N/A</v>
          </cell>
          <cell r="BN342" t="e">
            <v>#N/A</v>
          </cell>
          <cell r="BO342" t="str">
            <v>Not Matched</v>
          </cell>
          <cell r="BP342">
            <v>9087547</v>
          </cell>
        </row>
        <row r="343">
          <cell r="BK343" t="str">
            <v>07AAJCG9480A1ZJG00HO-108</v>
          </cell>
          <cell r="BL343">
            <v>123.18</v>
          </cell>
          <cell r="BM343" t="e">
            <v>#N/A</v>
          </cell>
          <cell r="BN343" t="e">
            <v>#N/A</v>
          </cell>
          <cell r="BO343" t="str">
            <v>Not Matched</v>
          </cell>
          <cell r="BP343">
            <v>9055744</v>
          </cell>
        </row>
        <row r="344">
          <cell r="BK344" t="str">
            <v>07AAJCG9480A1ZJG00HO-119</v>
          </cell>
          <cell r="BL344">
            <v>11.36</v>
          </cell>
          <cell r="BM344" t="e">
            <v>#N/A</v>
          </cell>
          <cell r="BN344" t="e">
            <v>#N/A</v>
          </cell>
          <cell r="BO344" t="str">
            <v>Not Matched</v>
          </cell>
          <cell r="BP344">
            <v>9119445</v>
          </cell>
        </row>
        <row r="345">
          <cell r="BK345" t="str">
            <v>07AAJCG9480A1ZJG00HO-120</v>
          </cell>
          <cell r="BL345">
            <v>437.14</v>
          </cell>
          <cell r="BM345" t="e">
            <v>#N/A</v>
          </cell>
          <cell r="BN345" t="e">
            <v>#N/A</v>
          </cell>
          <cell r="BO345" t="str">
            <v>Not Matched</v>
          </cell>
          <cell r="BP345">
            <v>9119444</v>
          </cell>
        </row>
        <row r="346">
          <cell r="BK346" t="str">
            <v>07AAACB2100P1ZZDLSO030326553578</v>
          </cell>
          <cell r="BL346">
            <v>116.64</v>
          </cell>
          <cell r="BM346" t="e">
            <v>#N/A</v>
          </cell>
          <cell r="BN346" t="e">
            <v>#N/A</v>
          </cell>
          <cell r="BO346" t="str">
            <v>Not Matched</v>
          </cell>
          <cell r="BP346">
            <v>9087547</v>
          </cell>
        </row>
        <row r="347">
          <cell r="BK347" t="str">
            <v>07AAJCG9480A1ZJG00HO-119</v>
          </cell>
          <cell r="BL347">
            <v>28.48</v>
          </cell>
          <cell r="BM347" t="e">
            <v>#N/A</v>
          </cell>
          <cell r="BN347" t="e">
            <v>#N/A</v>
          </cell>
          <cell r="BO347" t="str">
            <v>Not Matched</v>
          </cell>
          <cell r="BP347">
            <v>9119445</v>
          </cell>
        </row>
        <row r="348">
          <cell r="BK348" t="str">
            <v>09AABCW0017F1ZQW/SR/2526/233837</v>
          </cell>
          <cell r="BL348">
            <v>40249.44</v>
          </cell>
          <cell r="BM348">
            <v>40249.44</v>
          </cell>
          <cell r="BN348">
            <v>0</v>
          </cell>
          <cell r="BO348" t="str">
            <v>Matched</v>
          </cell>
          <cell r="BP348">
            <v>9140710</v>
          </cell>
        </row>
        <row r="349">
          <cell r="BK349" t="str">
            <v>07AACCG5199H1ZCDELI/25-26/036240</v>
          </cell>
          <cell r="BL349">
            <v>26504.64</v>
          </cell>
          <cell r="BM349" t="e">
            <v>#N/A</v>
          </cell>
          <cell r="BN349" t="e">
            <v>#N/A</v>
          </cell>
          <cell r="BO349" t="str">
            <v>Regime Entry made from Non Rec to Recov</v>
          </cell>
          <cell r="BP349">
            <v>9084969</v>
          </cell>
        </row>
        <row r="350">
          <cell r="BK350" t="str">
            <v>07AAJCG9480A1ZJGOOH0-114</v>
          </cell>
          <cell r="BL350">
            <v>175.26</v>
          </cell>
          <cell r="BM350" t="e">
            <v>#N/A</v>
          </cell>
          <cell r="BN350" t="e">
            <v>#N/A</v>
          </cell>
          <cell r="BO350" t="str">
            <v>Not Matched</v>
          </cell>
          <cell r="BP350">
            <v>9077332</v>
          </cell>
        </row>
        <row r="351">
          <cell r="BK351" t="str">
            <v>27AADCN9802F1ZGEVS/DT1124/157</v>
          </cell>
          <cell r="BL351">
            <v>1883.01</v>
          </cell>
          <cell r="BM351" t="e">
            <v>#N/A</v>
          </cell>
          <cell r="BN351" t="e">
            <v>#N/A</v>
          </cell>
          <cell r="BO351" t="str">
            <v>Not Matched</v>
          </cell>
          <cell r="BP351">
            <v>9138442</v>
          </cell>
        </row>
        <row r="352">
          <cell r="BK352" t="str">
            <v>07AAJCG9480A1ZJGOOH0-114</v>
          </cell>
          <cell r="BL352">
            <v>150.86</v>
          </cell>
          <cell r="BM352" t="e">
            <v>#N/A</v>
          </cell>
          <cell r="BN352" t="e">
            <v>#N/A</v>
          </cell>
          <cell r="BO352" t="str">
            <v>Not Matched</v>
          </cell>
          <cell r="BP352">
            <v>9077332</v>
          </cell>
        </row>
        <row r="353">
          <cell r="BK353" t="str">
            <v>07AAJCG9480A1ZJGOOH0-114</v>
          </cell>
          <cell r="BL353">
            <v>35.24</v>
          </cell>
          <cell r="BM353" t="e">
            <v>#N/A</v>
          </cell>
          <cell r="BN353" t="e">
            <v>#N/A</v>
          </cell>
          <cell r="BO353" t="str">
            <v>Not Matched</v>
          </cell>
          <cell r="BP353">
            <v>9077332</v>
          </cell>
        </row>
        <row r="354">
          <cell r="BK354" t="str">
            <v>07AAJCG9480A1ZJG00HO-108</v>
          </cell>
          <cell r="BL354">
            <v>8347.04</v>
          </cell>
          <cell r="BM354" t="e">
            <v>#N/A</v>
          </cell>
          <cell r="BN354" t="e">
            <v>#N/A</v>
          </cell>
          <cell r="BO354" t="str">
            <v>Not Matched</v>
          </cell>
          <cell r="BP354">
            <v>9055744</v>
          </cell>
        </row>
        <row r="355">
          <cell r="BK355" t="str">
            <v>07AAJCG9480A1ZJG00HO-119</v>
          </cell>
          <cell r="BL355">
            <v>55.2</v>
          </cell>
          <cell r="BM355" t="e">
            <v>#N/A</v>
          </cell>
          <cell r="BN355" t="e">
            <v>#N/A</v>
          </cell>
          <cell r="BO355" t="str">
            <v>Not Matched</v>
          </cell>
          <cell r="BP355">
            <v>9119445</v>
          </cell>
        </row>
        <row r="356">
          <cell r="BK356" t="str">
            <v>07BGQPS0312G1ZF5501</v>
          </cell>
          <cell r="BL356">
            <v>14.4</v>
          </cell>
          <cell r="BM356">
            <v>921.6</v>
          </cell>
          <cell r="BN356">
            <v>-907</v>
          </cell>
          <cell r="BO356" t="str">
            <v>Matched</v>
          </cell>
          <cell r="BP356">
            <v>9122848</v>
          </cell>
        </row>
        <row r="357">
          <cell r="BK357" t="str">
            <v>07BGQPS0312G1ZF5501</v>
          </cell>
          <cell r="BL357">
            <v>486</v>
          </cell>
          <cell r="BM357">
            <v>921.6</v>
          </cell>
          <cell r="BN357">
            <v>-436</v>
          </cell>
          <cell r="BO357" t="str">
            <v>Matched</v>
          </cell>
          <cell r="BP357">
            <v>9122848</v>
          </cell>
        </row>
        <row r="358">
          <cell r="BK358" t="str">
            <v>07BGQPS0312G1ZF5501</v>
          </cell>
          <cell r="BL358">
            <v>261</v>
          </cell>
          <cell r="BM358">
            <v>921.6</v>
          </cell>
          <cell r="BN358">
            <v>-661</v>
          </cell>
          <cell r="BO358" t="str">
            <v>Matched</v>
          </cell>
          <cell r="BP358">
            <v>9122848</v>
          </cell>
        </row>
        <row r="359">
          <cell r="BK359" t="str">
            <v>27AADCN9802F1ZGEVS/DT0325/88</v>
          </cell>
          <cell r="BL359">
            <v>1866.73</v>
          </cell>
          <cell r="BM359" t="e">
            <v>#N/A</v>
          </cell>
          <cell r="BN359" t="e">
            <v>#N/A</v>
          </cell>
          <cell r="BO359" t="str">
            <v>Not Matched</v>
          </cell>
          <cell r="BP359">
            <v>9138441</v>
          </cell>
        </row>
        <row r="360">
          <cell r="BK360" t="str">
            <v>07AAJCG9480A1ZJG00HO-119</v>
          </cell>
          <cell r="BL360">
            <v>5.18</v>
          </cell>
          <cell r="BM360" t="e">
            <v>#N/A</v>
          </cell>
          <cell r="BN360" t="e">
            <v>#N/A</v>
          </cell>
          <cell r="BO360" t="str">
            <v>Not Matched</v>
          </cell>
          <cell r="BP360">
            <v>9119445</v>
          </cell>
        </row>
        <row r="361">
          <cell r="BK361" t="str">
            <v>07AAJCG9480A1ZJG00HO-97</v>
          </cell>
          <cell r="BL361">
            <v>25.5</v>
          </cell>
          <cell r="BM361" t="e">
            <v>#N/A</v>
          </cell>
          <cell r="BN361" t="e">
            <v>#N/A</v>
          </cell>
          <cell r="BO361" t="str">
            <v>Not Matched</v>
          </cell>
          <cell r="BP361">
            <v>9055316</v>
          </cell>
        </row>
        <row r="362">
          <cell r="BK362" t="str">
            <v>07BGQPS0312G1ZF5501</v>
          </cell>
          <cell r="BL362">
            <v>23.4</v>
          </cell>
          <cell r="BM362">
            <v>921.6</v>
          </cell>
          <cell r="BN362">
            <v>-898</v>
          </cell>
          <cell r="BO362" t="str">
            <v>Matched</v>
          </cell>
          <cell r="BP362">
            <v>9122848</v>
          </cell>
        </row>
        <row r="363">
          <cell r="BK363" t="str">
            <v>07AAJCG9480A1ZJG00HO-119</v>
          </cell>
          <cell r="BL363">
            <v>13.16</v>
          </cell>
          <cell r="BM363" t="e">
            <v>#N/A</v>
          </cell>
          <cell r="BN363" t="e">
            <v>#N/A</v>
          </cell>
          <cell r="BO363" t="str">
            <v>Not Matched</v>
          </cell>
          <cell r="BP363">
            <v>9119445</v>
          </cell>
        </row>
        <row r="364">
          <cell r="BK364" t="str">
            <v>27AADCN9802F1ZGEVS/DT0325/88</v>
          </cell>
          <cell r="BL364">
            <v>900</v>
          </cell>
          <cell r="BM364" t="e">
            <v>#N/A</v>
          </cell>
          <cell r="BN364" t="e">
            <v>#N/A</v>
          </cell>
          <cell r="BO364" t="str">
            <v>Not Matched</v>
          </cell>
          <cell r="BP364">
            <v>9138441</v>
          </cell>
        </row>
        <row r="365">
          <cell r="BK365" t="str">
            <v>07AAJCG9480A1ZJG00HO-119</v>
          </cell>
          <cell r="BL365">
            <v>51.6</v>
          </cell>
          <cell r="BM365" t="e">
            <v>#N/A</v>
          </cell>
          <cell r="BN365" t="e">
            <v>#N/A</v>
          </cell>
          <cell r="BO365" t="str">
            <v>Not Matched</v>
          </cell>
          <cell r="BP365">
            <v>9119445</v>
          </cell>
        </row>
        <row r="366">
          <cell r="BK366" t="str">
            <v>07AAJCG9480A1ZJGOOH0-114</v>
          </cell>
          <cell r="BL366">
            <v>184.34</v>
          </cell>
          <cell r="BM366" t="e">
            <v>#N/A</v>
          </cell>
          <cell r="BN366" t="e">
            <v>#N/A</v>
          </cell>
          <cell r="BO366" t="str">
            <v>Not Matched</v>
          </cell>
          <cell r="BP366">
            <v>9077332</v>
          </cell>
        </row>
        <row r="367">
          <cell r="BK367" t="str">
            <v>07AAJCG9480A1ZJGOOH0-114</v>
          </cell>
          <cell r="BL367">
            <v>148.78</v>
          </cell>
          <cell r="BM367" t="e">
            <v>#N/A</v>
          </cell>
          <cell r="BN367" t="e">
            <v>#N/A</v>
          </cell>
          <cell r="BO367" t="str">
            <v>Not Matched</v>
          </cell>
          <cell r="BP367">
            <v>9077332</v>
          </cell>
        </row>
        <row r="368">
          <cell r="BK368" t="str">
            <v>07AAJCG9480A1ZJG00HO-119</v>
          </cell>
          <cell r="BL368">
            <v>7.9</v>
          </cell>
          <cell r="BM368" t="e">
            <v>#N/A</v>
          </cell>
          <cell r="BN368" t="e">
            <v>#N/A</v>
          </cell>
          <cell r="BO368" t="str">
            <v>Not Matched</v>
          </cell>
          <cell r="BP368">
            <v>9119445</v>
          </cell>
        </row>
        <row r="369">
          <cell r="BK369" t="str">
            <v>07AAJCG9480A1ZJGOOH0-114</v>
          </cell>
          <cell r="BL369">
            <v>56.42</v>
          </cell>
          <cell r="BM369" t="e">
            <v>#N/A</v>
          </cell>
          <cell r="BN369" t="e">
            <v>#N/A</v>
          </cell>
          <cell r="BO369" t="str">
            <v>Not Matched</v>
          </cell>
          <cell r="BP369">
            <v>9077332</v>
          </cell>
        </row>
        <row r="370">
          <cell r="BK370" t="str">
            <v>07AABCB5576G1ZN10304143540002</v>
          </cell>
          <cell r="BL370">
            <v>666</v>
          </cell>
          <cell r="BM370" t="e">
            <v>#N/A</v>
          </cell>
          <cell r="BN370" t="e">
            <v>#N/A</v>
          </cell>
          <cell r="BO370" t="str">
            <v>Not Matched</v>
          </cell>
          <cell r="BP370">
            <v>9105074</v>
          </cell>
        </row>
        <row r="371">
          <cell r="BK371" t="str">
            <v>09AAHCG2066N1Z6CN-004/25-26</v>
          </cell>
          <cell r="BL371">
            <v>-16090.32</v>
          </cell>
          <cell r="BM371" t="e">
            <v>#N/A</v>
          </cell>
          <cell r="BN371" t="e">
            <v>#N/A</v>
          </cell>
          <cell r="BO371" t="str">
            <v>Not Matched</v>
          </cell>
          <cell r="BP371">
            <v>9115753</v>
          </cell>
        </row>
        <row r="372">
          <cell r="BK372" t="str">
            <v>07AAACB0272G1Z5T25000045</v>
          </cell>
          <cell r="BL372">
            <v>-1794.24</v>
          </cell>
          <cell r="BM372" t="e">
            <v>#N/A</v>
          </cell>
          <cell r="BN372" t="e">
            <v>#N/A</v>
          </cell>
          <cell r="BO372" t="str">
            <v>Not Matched</v>
          </cell>
          <cell r="BP372">
            <v>9089681</v>
          </cell>
        </row>
        <row r="373">
          <cell r="BK373" t="str">
            <v>09AERPS3780E1ZX1</v>
          </cell>
          <cell r="BL373">
            <v>-126000</v>
          </cell>
          <cell r="BM373" t="e">
            <v>#N/A</v>
          </cell>
          <cell r="BN373" t="e">
            <v>#N/A</v>
          </cell>
          <cell r="BO373" t="str">
            <v>Not Matched</v>
          </cell>
          <cell r="BP373">
            <v>9072631</v>
          </cell>
        </row>
        <row r="374">
          <cell r="BK374" t="str">
            <v>07AAACB0272G1Z5H25000052</v>
          </cell>
          <cell r="BL374">
            <v>-736.02</v>
          </cell>
          <cell r="BM374" t="e">
            <v>#N/A</v>
          </cell>
          <cell r="BN374" t="e">
            <v>#N/A</v>
          </cell>
          <cell r="BO374" t="str">
            <v>Not Matched</v>
          </cell>
          <cell r="BP374">
            <v>9089702</v>
          </cell>
        </row>
        <row r="375">
          <cell r="BK375" t="str">
            <v>07AAJCG9480A1ZJG00HO-119</v>
          </cell>
          <cell r="BL375">
            <v>5.1</v>
          </cell>
          <cell r="BM375" t="e">
            <v>#N/A</v>
          </cell>
          <cell r="BN375" t="e">
            <v>#N/A</v>
          </cell>
          <cell r="BO375" t="str">
            <v>Not Matched</v>
          </cell>
          <cell r="BP375">
            <v>9119445</v>
          </cell>
        </row>
        <row r="376">
          <cell r="BK376" t="str">
            <v>07AAJCG9480A1ZJGOOH0-114</v>
          </cell>
          <cell r="BL376">
            <v>210.5</v>
          </cell>
          <cell r="BM376" t="e">
            <v>#N/A</v>
          </cell>
          <cell r="BN376" t="e">
            <v>#N/A</v>
          </cell>
          <cell r="BO376" t="str">
            <v>Not Matched</v>
          </cell>
          <cell r="BP376">
            <v>9077332</v>
          </cell>
        </row>
        <row r="377">
          <cell r="BK377" t="str">
            <v>07AADCA3655R1Z7AVZ/248/2025-260</v>
          </cell>
          <cell r="BL377">
            <v>11885.04</v>
          </cell>
          <cell r="BM377" t="e">
            <v>#N/A</v>
          </cell>
          <cell r="BN377" t="e">
            <v>#N/A</v>
          </cell>
          <cell r="BO377" t="str">
            <v>Regime Entry made from Non Rec to Recov</v>
          </cell>
          <cell r="BP377">
            <v>9084972</v>
          </cell>
        </row>
        <row r="378">
          <cell r="BK378" t="str">
            <v>07BGQPS0312G1ZF5500</v>
          </cell>
          <cell r="BL378">
            <v>351</v>
          </cell>
          <cell r="BM378">
            <v>7367.4</v>
          </cell>
          <cell r="BN378">
            <v>-7016</v>
          </cell>
          <cell r="BO378" t="str">
            <v>Matched</v>
          </cell>
          <cell r="BP378">
            <v>9122840</v>
          </cell>
        </row>
        <row r="379">
          <cell r="BK379" t="str">
            <v>07BGQPS0312G1ZF5501</v>
          </cell>
          <cell r="BL379">
            <v>68.4</v>
          </cell>
          <cell r="BM379">
            <v>921.6</v>
          </cell>
          <cell r="BN379">
            <v>-853</v>
          </cell>
          <cell r="BO379" t="str">
            <v>Matched</v>
          </cell>
          <cell r="BP379">
            <v>9122848</v>
          </cell>
        </row>
        <row r="380">
          <cell r="BK380" t="str">
            <v>07AAJCG9480A1ZJGOOH0-114</v>
          </cell>
          <cell r="BL380">
            <v>1252.8</v>
          </cell>
          <cell r="BM380" t="e">
            <v>#N/A</v>
          </cell>
          <cell r="BN380" t="e">
            <v>#N/A</v>
          </cell>
          <cell r="BO380" t="str">
            <v>Not Matched</v>
          </cell>
          <cell r="BP380">
            <v>9077332</v>
          </cell>
        </row>
        <row r="381">
          <cell r="BK381" t="str">
            <v>29AAWCA7854M1ZJCN/ABS/25-26/017</v>
          </cell>
          <cell r="BL381">
            <v>-66.9</v>
          </cell>
          <cell r="BM381" t="e">
            <v>#N/A</v>
          </cell>
          <cell r="BN381" t="e">
            <v>#N/A</v>
          </cell>
          <cell r="BO381" t="str">
            <v>Not Matched</v>
          </cell>
          <cell r="BP381">
            <v>9138622</v>
          </cell>
        </row>
        <row r="382">
          <cell r="BK382" t="str">
            <v>07BGQPS0312G1ZF5500</v>
          </cell>
          <cell r="BL382">
            <v>540</v>
          </cell>
          <cell r="BM382">
            <v>7367.4</v>
          </cell>
          <cell r="BN382">
            <v>-6827</v>
          </cell>
          <cell r="BO382" t="str">
            <v>Matched</v>
          </cell>
          <cell r="BP382">
            <v>9122840</v>
          </cell>
        </row>
        <row r="383">
          <cell r="BK383" t="str">
            <v>07BGQPS0312G1ZF5500</v>
          </cell>
          <cell r="BL383">
            <v>1170</v>
          </cell>
          <cell r="BM383">
            <v>7367.4</v>
          </cell>
          <cell r="BN383">
            <v>-6197</v>
          </cell>
          <cell r="BO383" t="str">
            <v>Matched</v>
          </cell>
          <cell r="BP383">
            <v>9122840</v>
          </cell>
        </row>
        <row r="384">
          <cell r="BK384" t="str">
            <v>07AACCG5199H1ZCDELI/25-26/03624</v>
          </cell>
          <cell r="BL384">
            <v>26504.64</v>
          </cell>
          <cell r="BM384">
            <v>26504.64</v>
          </cell>
          <cell r="BN384">
            <v>0</v>
          </cell>
          <cell r="BO384" t="str">
            <v>Matched</v>
          </cell>
          <cell r="BP384">
            <v>106636724</v>
          </cell>
        </row>
        <row r="385">
          <cell r="BK385" t="str">
            <v>07AAJCG9480A1ZJG00HO-119</v>
          </cell>
          <cell r="BL385">
            <v>1.62</v>
          </cell>
          <cell r="BM385" t="e">
            <v>#N/A</v>
          </cell>
          <cell r="BN385" t="e">
            <v>#N/A</v>
          </cell>
          <cell r="BO385" t="str">
            <v>Not Matched</v>
          </cell>
          <cell r="BP385">
            <v>9119445</v>
          </cell>
        </row>
        <row r="386">
          <cell r="BK386" t="str">
            <v>07AAACB0272G1Z5M25000113</v>
          </cell>
          <cell r="BL386">
            <v>-108000</v>
          </cell>
          <cell r="BM386" t="e">
            <v>#N/A</v>
          </cell>
          <cell r="BN386" t="e">
            <v>#N/A</v>
          </cell>
          <cell r="BO386" t="str">
            <v>Not Matched</v>
          </cell>
          <cell r="BP386">
            <v>9089695</v>
          </cell>
        </row>
        <row r="387">
          <cell r="BK387" t="str">
            <v>07BGQPS0312G1ZF5500</v>
          </cell>
          <cell r="BL387">
            <v>702</v>
          </cell>
          <cell r="BM387">
            <v>7367.4</v>
          </cell>
          <cell r="BN387">
            <v>-6665</v>
          </cell>
          <cell r="BO387" t="str">
            <v>Matched</v>
          </cell>
          <cell r="BP387">
            <v>9122840</v>
          </cell>
        </row>
        <row r="388">
          <cell r="BK388" t="str">
            <v>07AAACB0272G1Z5CI2500130</v>
          </cell>
          <cell r="BL388">
            <v>894.16</v>
          </cell>
          <cell r="BM388" t="e">
            <v>#N/A</v>
          </cell>
          <cell r="BN388" t="e">
            <v>#N/A</v>
          </cell>
          <cell r="BO388" t="str">
            <v>Not Matched</v>
          </cell>
          <cell r="BP388">
            <v>9144531</v>
          </cell>
        </row>
        <row r="389">
          <cell r="BK389" t="str">
            <v>07AAJCG9480A1ZJGOOH0-114</v>
          </cell>
          <cell r="BL389">
            <v>710.48</v>
          </cell>
          <cell r="BM389" t="e">
            <v>#N/A</v>
          </cell>
          <cell r="BN389" t="e">
            <v>#N/A</v>
          </cell>
          <cell r="BO389" t="str">
            <v>Not Matched</v>
          </cell>
          <cell r="BP389">
            <v>9077332</v>
          </cell>
        </row>
        <row r="390">
          <cell r="BK390" t="str">
            <v>07AAJCG9480A1ZJGOOH0-114</v>
          </cell>
          <cell r="BL390">
            <v>314.12</v>
          </cell>
          <cell r="BM390" t="e">
            <v>#N/A</v>
          </cell>
          <cell r="BN390" t="e">
            <v>#N/A</v>
          </cell>
          <cell r="BO390" t="str">
            <v>Not Matched</v>
          </cell>
          <cell r="BP390">
            <v>9077332</v>
          </cell>
        </row>
        <row r="391">
          <cell r="BK391" t="str">
            <v>07AAJCG9480A1ZJGOOH0-114</v>
          </cell>
          <cell r="BL391">
            <v>39.78</v>
          </cell>
          <cell r="BM391" t="e">
            <v>#N/A</v>
          </cell>
          <cell r="BN391" t="e">
            <v>#N/A</v>
          </cell>
          <cell r="BO391" t="str">
            <v>Not Matched</v>
          </cell>
          <cell r="BP391">
            <v>9077332</v>
          </cell>
        </row>
        <row r="392">
          <cell r="BK392" t="str">
            <v>07AAJCG9480A1ZJG00HO-119</v>
          </cell>
          <cell r="BL392">
            <v>5.84</v>
          </cell>
          <cell r="BM392" t="e">
            <v>#N/A</v>
          </cell>
          <cell r="BN392" t="e">
            <v>#N/A</v>
          </cell>
          <cell r="BO392" t="str">
            <v>Not Matched</v>
          </cell>
          <cell r="BP392">
            <v>9119445</v>
          </cell>
        </row>
        <row r="393">
          <cell r="BK393" t="str">
            <v>07AAJCG9480A1ZJG00HO-119</v>
          </cell>
          <cell r="BL393">
            <v>116.4</v>
          </cell>
          <cell r="BM393" t="e">
            <v>#N/A</v>
          </cell>
          <cell r="BN393" t="e">
            <v>#N/A</v>
          </cell>
          <cell r="BO393" t="str">
            <v>Not Matched</v>
          </cell>
          <cell r="BP393">
            <v>9119445</v>
          </cell>
        </row>
        <row r="394">
          <cell r="BK394" t="str">
            <v>07AAJCG9480A1ZJG00HO-119</v>
          </cell>
          <cell r="BL394">
            <v>29.34</v>
          </cell>
          <cell r="BM394" t="e">
            <v>#N/A</v>
          </cell>
          <cell r="BN394" t="e">
            <v>#N/A</v>
          </cell>
          <cell r="BO394" t="str">
            <v>Not Matched</v>
          </cell>
          <cell r="BP394">
            <v>9119445</v>
          </cell>
        </row>
        <row r="395">
          <cell r="BK395" t="str">
            <v>07AAJCG9480A1ZJG00HO-97</v>
          </cell>
          <cell r="BL395">
            <v>6</v>
          </cell>
          <cell r="BM395" t="e">
            <v>#N/A</v>
          </cell>
          <cell r="BN395" t="e">
            <v>#N/A</v>
          </cell>
          <cell r="BO395" t="str">
            <v>Not Matched</v>
          </cell>
          <cell r="BP395">
            <v>9055316</v>
          </cell>
        </row>
        <row r="396">
          <cell r="BK396" t="str">
            <v>07AAHCG2066N1ZACN-003/25-26</v>
          </cell>
          <cell r="BL396">
            <v>-11700</v>
          </cell>
          <cell r="BM396" t="e">
            <v>#N/A</v>
          </cell>
          <cell r="BN396" t="e">
            <v>#N/A</v>
          </cell>
          <cell r="BO396" t="str">
            <v>Not Matched</v>
          </cell>
          <cell r="BP396">
            <v>9115745</v>
          </cell>
        </row>
        <row r="397">
          <cell r="BK397" t="str">
            <v>07AAHCG2066N1ZACN-004/25-26</v>
          </cell>
          <cell r="BL397">
            <v>-1216.06</v>
          </cell>
          <cell r="BM397" t="e">
            <v>#N/A</v>
          </cell>
          <cell r="BN397" t="e">
            <v>#N/A</v>
          </cell>
          <cell r="BO397" t="str">
            <v>Not Matched</v>
          </cell>
          <cell r="BP397">
            <v>9115748</v>
          </cell>
        </row>
        <row r="398">
          <cell r="BK398" t="str">
            <v>07BGQPS0312G1ZF5500</v>
          </cell>
          <cell r="BL398">
            <v>1602</v>
          </cell>
          <cell r="BM398">
            <v>7367.4</v>
          </cell>
          <cell r="BN398">
            <v>-5765</v>
          </cell>
          <cell r="BO398" t="str">
            <v>Matched</v>
          </cell>
          <cell r="BP398">
            <v>9122840</v>
          </cell>
        </row>
        <row r="399">
          <cell r="BK399" t="str">
            <v>07BGQPS0312G1ZF5500</v>
          </cell>
          <cell r="BL399">
            <v>135</v>
          </cell>
          <cell r="BM399">
            <v>7367.4</v>
          </cell>
          <cell r="BN399">
            <v>-7232</v>
          </cell>
          <cell r="BO399" t="str">
            <v>Matched</v>
          </cell>
          <cell r="BP399">
            <v>9122840</v>
          </cell>
        </row>
        <row r="400">
          <cell r="BK400" t="str">
            <v>09AAHCG2066N1Z6CN-005/25-26</v>
          </cell>
          <cell r="BL400">
            <v>-2010.7</v>
          </cell>
          <cell r="BM400" t="e">
            <v>#N/A</v>
          </cell>
          <cell r="BN400" t="e">
            <v>#N/A</v>
          </cell>
          <cell r="BO400" t="str">
            <v>Not Matched</v>
          </cell>
          <cell r="BP400">
            <v>9115758</v>
          </cell>
        </row>
        <row r="401">
          <cell r="BK401" t="str">
            <v>07BGQPS0312G1ZF5500</v>
          </cell>
          <cell r="BL401">
            <v>102.6</v>
          </cell>
          <cell r="BM401">
            <v>7367.4</v>
          </cell>
          <cell r="BN401">
            <v>-7265</v>
          </cell>
          <cell r="BO401" t="str">
            <v>Matched</v>
          </cell>
          <cell r="BP401">
            <v>9122840</v>
          </cell>
        </row>
        <row r="402">
          <cell r="BK402" t="str">
            <v>07BGQPS0312G1ZF5500</v>
          </cell>
          <cell r="BL402">
            <v>28.8</v>
          </cell>
          <cell r="BM402">
            <v>7367.4</v>
          </cell>
          <cell r="BN402">
            <v>-7339</v>
          </cell>
          <cell r="BO402" t="str">
            <v>Matched</v>
          </cell>
          <cell r="BP402">
            <v>9122840</v>
          </cell>
        </row>
        <row r="403">
          <cell r="BK403" t="str">
            <v>07AAJCG9480A1ZJG00HO-120</v>
          </cell>
          <cell r="BL403">
            <v>179.14</v>
          </cell>
          <cell r="BM403" t="e">
            <v>#N/A</v>
          </cell>
          <cell r="BN403" t="e">
            <v>#N/A</v>
          </cell>
          <cell r="BO403" t="str">
            <v>Not Matched</v>
          </cell>
          <cell r="BP403">
            <v>9119444</v>
          </cell>
        </row>
        <row r="404">
          <cell r="BK404" t="str">
            <v>27AADCN9802F1ZGCA/DT1224/323</v>
          </cell>
          <cell r="BL404">
            <v>180</v>
          </cell>
          <cell r="BM404" t="e">
            <v>#N/A</v>
          </cell>
          <cell r="BN404" t="e">
            <v>#N/A</v>
          </cell>
          <cell r="BO404" t="str">
            <v>Not Matched</v>
          </cell>
          <cell r="BP404">
            <v>9138440</v>
          </cell>
        </row>
        <row r="405">
          <cell r="BK405" t="str">
            <v>07AAJCG9480A1ZJGOOH0-114</v>
          </cell>
          <cell r="BL405">
            <v>1110.8</v>
          </cell>
          <cell r="BM405" t="e">
            <v>#N/A</v>
          </cell>
          <cell r="BN405" t="e">
            <v>#N/A</v>
          </cell>
          <cell r="BO405" t="str">
            <v>Not Matched</v>
          </cell>
          <cell r="BP405">
            <v>9077332</v>
          </cell>
        </row>
        <row r="406">
          <cell r="BK406" t="str">
            <v>07BGQPS0312G1ZF5500</v>
          </cell>
          <cell r="BL406">
            <v>162</v>
          </cell>
          <cell r="BM406">
            <v>7367.4</v>
          </cell>
          <cell r="BN406">
            <v>-7205</v>
          </cell>
          <cell r="BO406" t="str">
            <v>Matched</v>
          </cell>
          <cell r="BP406">
            <v>9122840</v>
          </cell>
        </row>
        <row r="407">
          <cell r="BK407" t="str">
            <v>07BGQPS0312G1ZF5500</v>
          </cell>
          <cell r="BL407">
            <v>25.2</v>
          </cell>
          <cell r="BM407">
            <v>7367.4</v>
          </cell>
          <cell r="BN407">
            <v>-7342</v>
          </cell>
          <cell r="BO407" t="str">
            <v>Matched</v>
          </cell>
          <cell r="BP407">
            <v>9122840</v>
          </cell>
        </row>
        <row r="408">
          <cell r="BK408" t="str">
            <v>07AAJCG9480A1ZJG00HO-119</v>
          </cell>
          <cell r="BL408">
            <v>7.6</v>
          </cell>
          <cell r="BM408" t="e">
            <v>#N/A</v>
          </cell>
          <cell r="BN408" t="e">
            <v>#N/A</v>
          </cell>
          <cell r="BO408" t="str">
            <v>Not Matched</v>
          </cell>
          <cell r="BP408">
            <v>9119445</v>
          </cell>
        </row>
        <row r="409">
          <cell r="BK409" t="str">
            <v>07AAJCG9480A1ZJGOOH0-114</v>
          </cell>
          <cell r="BL409">
            <v>95.54</v>
          </cell>
          <cell r="BM409" t="e">
            <v>#N/A</v>
          </cell>
          <cell r="BN409" t="e">
            <v>#N/A</v>
          </cell>
          <cell r="BO409" t="str">
            <v>Not Matched</v>
          </cell>
          <cell r="BP409">
            <v>9077332</v>
          </cell>
        </row>
        <row r="410">
          <cell r="BK410" t="str">
            <v>07AAJCG9480A1ZJG00HO-119</v>
          </cell>
          <cell r="BL410">
            <v>19.24</v>
          </cell>
          <cell r="BM410" t="e">
            <v>#N/A</v>
          </cell>
          <cell r="BN410" t="e">
            <v>#N/A</v>
          </cell>
          <cell r="BO410" t="str">
            <v>Not Matched</v>
          </cell>
          <cell r="BP410">
            <v>9119445</v>
          </cell>
        </row>
        <row r="411">
          <cell r="BK411" t="str">
            <v>07AAJCG9480A1ZJGOOH0-114</v>
          </cell>
          <cell r="BL411">
            <v>13.92</v>
          </cell>
          <cell r="BM411" t="e">
            <v>#N/A</v>
          </cell>
          <cell r="BN411" t="e">
            <v>#N/A</v>
          </cell>
          <cell r="BO411" t="str">
            <v>Not Matched</v>
          </cell>
          <cell r="BP411">
            <v>9077332</v>
          </cell>
        </row>
        <row r="412">
          <cell r="BK412" t="str">
            <v>07BGQPS0312G1ZF5500</v>
          </cell>
          <cell r="BL412">
            <v>64.8</v>
          </cell>
          <cell r="BM412">
            <v>7367.4</v>
          </cell>
          <cell r="BN412">
            <v>-7303</v>
          </cell>
          <cell r="BO412" t="str">
            <v>Matched</v>
          </cell>
          <cell r="BP412">
            <v>9122840</v>
          </cell>
        </row>
        <row r="413">
          <cell r="BK413" t="str">
            <v>07BGQPS0312G1ZF5500</v>
          </cell>
          <cell r="BL413">
            <v>129.6</v>
          </cell>
          <cell r="BM413">
            <v>7367.4</v>
          </cell>
          <cell r="BN413">
            <v>-7238</v>
          </cell>
          <cell r="BO413" t="str">
            <v>Matched</v>
          </cell>
          <cell r="BP413">
            <v>9122840</v>
          </cell>
        </row>
        <row r="414">
          <cell r="BK414" t="str">
            <v>07AAFCI3868L1Z2IICL/25-26/12</v>
          </cell>
          <cell r="BL414">
            <v>-45000</v>
          </cell>
          <cell r="BM414" t="e">
            <v>#N/A</v>
          </cell>
          <cell r="BN414" t="e">
            <v>#N/A</v>
          </cell>
          <cell r="BO414" t="str">
            <v>Not Matched</v>
          </cell>
          <cell r="BP414">
            <v>9094246</v>
          </cell>
        </row>
        <row r="415">
          <cell r="BK415" t="str">
            <v>07AAACB0272G1Z5H250053</v>
          </cell>
          <cell r="BL415">
            <v>-2970</v>
          </cell>
          <cell r="BM415" t="e">
            <v>#N/A</v>
          </cell>
          <cell r="BN415" t="e">
            <v>#N/A</v>
          </cell>
          <cell r="BO415" t="str">
            <v>Not Matched</v>
          </cell>
          <cell r="BP415">
            <v>9091788</v>
          </cell>
        </row>
        <row r="416">
          <cell r="BK416" t="str">
            <v>07AAJCG9480A1ZJG00HO-119</v>
          </cell>
          <cell r="BL416">
            <v>9.54</v>
          </cell>
          <cell r="BM416" t="e">
            <v>#N/A</v>
          </cell>
          <cell r="BN416" t="e">
            <v>#N/A</v>
          </cell>
          <cell r="BO416" t="str">
            <v>Not Matched</v>
          </cell>
          <cell r="BP416">
            <v>9119445</v>
          </cell>
        </row>
        <row r="417">
          <cell r="BK417" t="str">
            <v>07AAJCG9480A1ZJG00HO-97</v>
          </cell>
          <cell r="BL417">
            <v>594.92</v>
          </cell>
          <cell r="BM417" t="e">
            <v>#N/A</v>
          </cell>
          <cell r="BN417" t="e">
            <v>#N/A</v>
          </cell>
          <cell r="BO417" t="str">
            <v>Not Matched</v>
          </cell>
          <cell r="BP417">
            <v>9055316</v>
          </cell>
        </row>
        <row r="418">
          <cell r="BK418" t="str">
            <v>07AAJCG9480A1ZJGOOH0-114</v>
          </cell>
          <cell r="BL418">
            <v>95.82</v>
          </cell>
          <cell r="BM418" t="e">
            <v>#N/A</v>
          </cell>
          <cell r="BN418" t="e">
            <v>#N/A</v>
          </cell>
          <cell r="BO418" t="str">
            <v>Not Matched</v>
          </cell>
          <cell r="BP418">
            <v>9077332</v>
          </cell>
        </row>
        <row r="419">
          <cell r="BK419" t="str">
            <v>07AAJCG9480A1ZJG00HO-107</v>
          </cell>
          <cell r="BL419">
            <v>91.46</v>
          </cell>
          <cell r="BM419" t="e">
            <v>#N/A</v>
          </cell>
          <cell r="BN419" t="e">
            <v>#N/A</v>
          </cell>
          <cell r="BO419" t="str">
            <v>Not Matched</v>
          </cell>
          <cell r="BP419">
            <v>9055745</v>
          </cell>
        </row>
        <row r="420">
          <cell r="BK420" t="str">
            <v>07AAJCG9480A1ZJG00HO-119</v>
          </cell>
          <cell r="BL420">
            <v>21.24</v>
          </cell>
          <cell r="BM420" t="e">
            <v>#N/A</v>
          </cell>
          <cell r="BN420" t="e">
            <v>#N/A</v>
          </cell>
          <cell r="BO420" t="str">
            <v>Not Matched</v>
          </cell>
          <cell r="BP420">
            <v>9119445</v>
          </cell>
        </row>
        <row r="421">
          <cell r="BK421" t="str">
            <v>07AAJCG9480A1ZJGOOH0-114</v>
          </cell>
          <cell r="BL421">
            <v>183.1</v>
          </cell>
          <cell r="BM421" t="e">
            <v>#N/A</v>
          </cell>
          <cell r="BN421" t="e">
            <v>#N/A</v>
          </cell>
          <cell r="BO421" t="str">
            <v>Not Matched</v>
          </cell>
          <cell r="BP421">
            <v>9077332</v>
          </cell>
        </row>
        <row r="422">
          <cell r="BK422" t="str">
            <v>07AAJCG9480A1ZJGOOH0-114</v>
          </cell>
          <cell r="BL422">
            <v>125.72</v>
          </cell>
          <cell r="BM422" t="e">
            <v>#N/A</v>
          </cell>
          <cell r="BN422" t="e">
            <v>#N/A</v>
          </cell>
          <cell r="BO422" t="str">
            <v>Not Matched</v>
          </cell>
          <cell r="BP422">
            <v>9077332</v>
          </cell>
        </row>
        <row r="423">
          <cell r="BK423" t="str">
            <v>07AAJCG9480A1ZJGOOH0-114</v>
          </cell>
          <cell r="BL423">
            <v>136.8</v>
          </cell>
          <cell r="BM423" t="e">
            <v>#N/A</v>
          </cell>
          <cell r="BN423" t="e">
            <v>#N/A</v>
          </cell>
          <cell r="BO423" t="str">
            <v>Not Matched</v>
          </cell>
          <cell r="BP423">
            <v>9077332</v>
          </cell>
        </row>
        <row r="424">
          <cell r="BK424" t="str">
            <v>07AAJCG9480A1ZJGOOH0-114</v>
          </cell>
          <cell r="BL424">
            <v>49.14</v>
          </cell>
          <cell r="BM424" t="e">
            <v>#N/A</v>
          </cell>
          <cell r="BN424" t="e">
            <v>#N/A</v>
          </cell>
          <cell r="BO424" t="str">
            <v>Not Matched</v>
          </cell>
          <cell r="BP424">
            <v>9077332</v>
          </cell>
        </row>
        <row r="425">
          <cell r="BK425" t="str">
            <v>07BGQPS0312G1ZF5500</v>
          </cell>
          <cell r="BL425">
            <v>21.6</v>
          </cell>
          <cell r="BM425">
            <v>7367.4</v>
          </cell>
          <cell r="BN425">
            <v>-7346</v>
          </cell>
          <cell r="BO425" t="str">
            <v>Matched</v>
          </cell>
          <cell r="BP425">
            <v>9122840</v>
          </cell>
        </row>
        <row r="426">
          <cell r="BK426" t="str">
            <v>29AAYCS9135K1Z9Give/25-26/0297</v>
          </cell>
          <cell r="BL426">
            <v>-47752.43</v>
          </cell>
          <cell r="BM426" t="e">
            <v>#N/A</v>
          </cell>
          <cell r="BN426" t="e">
            <v>#N/A</v>
          </cell>
          <cell r="BO426" t="str">
            <v>Not Matched</v>
          </cell>
          <cell r="BP426">
            <v>106278768</v>
          </cell>
        </row>
        <row r="427">
          <cell r="BK427" t="str">
            <v>07AADCA3655R1Z7AVZ/248/2025-26</v>
          </cell>
          <cell r="BL427">
            <v>11885.04</v>
          </cell>
          <cell r="BM427">
            <v>11885.04</v>
          </cell>
          <cell r="BN427">
            <v>0</v>
          </cell>
          <cell r="BO427" t="str">
            <v>Matched</v>
          </cell>
          <cell r="BP427">
            <v>106304313</v>
          </cell>
        </row>
        <row r="428">
          <cell r="BK428" t="str">
            <v>07AAJCG9480A1ZJG00HO-119</v>
          </cell>
          <cell r="BL428">
            <v>28.16</v>
          </cell>
          <cell r="BM428" t="e">
            <v>#N/A</v>
          </cell>
          <cell r="BN428" t="e">
            <v>#N/A</v>
          </cell>
          <cell r="BO428" t="str">
            <v>Not Matched</v>
          </cell>
          <cell r="BP428">
            <v>9119445</v>
          </cell>
        </row>
        <row r="429">
          <cell r="BK429" t="str">
            <v>27AADCN9802F1ZGCA/DT1224/323</v>
          </cell>
          <cell r="BL429">
            <v>180</v>
          </cell>
          <cell r="BM429" t="e">
            <v>#N/A</v>
          </cell>
          <cell r="BN429" t="e">
            <v>#N/A</v>
          </cell>
          <cell r="BO429" t="str">
            <v>Not Matched</v>
          </cell>
          <cell r="BP429">
            <v>9138440</v>
          </cell>
        </row>
        <row r="430">
          <cell r="BK430" t="str">
            <v>07AAJCG9480A1ZJG00HO-119</v>
          </cell>
          <cell r="BL430">
            <v>3.58</v>
          </cell>
          <cell r="BM430" t="e">
            <v>#N/A</v>
          </cell>
          <cell r="BN430" t="e">
            <v>#N/A</v>
          </cell>
          <cell r="BO430" t="str">
            <v>Not Matched</v>
          </cell>
          <cell r="BP430">
            <v>9119445</v>
          </cell>
        </row>
        <row r="431">
          <cell r="BK431" t="str">
            <v>07BGQPS0312G1ZF5500</v>
          </cell>
          <cell r="BL431">
            <v>81</v>
          </cell>
          <cell r="BM431">
            <v>7367.4</v>
          </cell>
          <cell r="BN431">
            <v>-7286</v>
          </cell>
          <cell r="BO431" t="str">
            <v>Matched</v>
          </cell>
          <cell r="BP431">
            <v>9122840</v>
          </cell>
        </row>
        <row r="432">
          <cell r="BK432" t="str">
            <v>07BGQPS0312G1ZF5501</v>
          </cell>
          <cell r="BL432">
            <v>43.2</v>
          </cell>
          <cell r="BM432">
            <v>921.6</v>
          </cell>
          <cell r="BN432">
            <v>-878</v>
          </cell>
          <cell r="BO432" t="str">
            <v>Matched</v>
          </cell>
          <cell r="BP432">
            <v>9122848</v>
          </cell>
        </row>
        <row r="433">
          <cell r="BK433" t="str">
            <v>07AAECC1851C1Z5CCPL/2025-26/01</v>
          </cell>
          <cell r="BL433">
            <v>25200</v>
          </cell>
          <cell r="BM433" t="e">
            <v>#N/A</v>
          </cell>
          <cell r="BN433" t="e">
            <v>#N/A</v>
          </cell>
          <cell r="BO433" t="str">
            <v>Not Matched</v>
          </cell>
          <cell r="BP433">
            <v>9119571</v>
          </cell>
        </row>
        <row r="434">
          <cell r="BK434" t="str">
            <v>07AAJCS4628Q1ZMGPI/SE/12/25-26</v>
          </cell>
          <cell r="BL434">
            <v>-5400</v>
          </cell>
          <cell r="BM434" t="e">
            <v>#N/A</v>
          </cell>
          <cell r="BN434" t="e">
            <v>#N/A</v>
          </cell>
          <cell r="BO434" t="str">
            <v>Not Matched</v>
          </cell>
          <cell r="BP434">
            <v>9084989</v>
          </cell>
        </row>
        <row r="435">
          <cell r="BK435" t="str">
            <v>07AAJCG9480A1ZJG00HO-119</v>
          </cell>
          <cell r="BL435">
            <v>4.8</v>
          </cell>
          <cell r="BM435" t="e">
            <v>#N/A</v>
          </cell>
          <cell r="BN435" t="e">
            <v>#N/A</v>
          </cell>
          <cell r="BO435" t="str">
            <v>Not Matched</v>
          </cell>
          <cell r="BP435">
            <v>9119445</v>
          </cell>
        </row>
        <row r="436">
          <cell r="BK436" t="str">
            <v>07AAJCG9480A1ZJG00HO-119</v>
          </cell>
          <cell r="BL436">
            <v>7.22</v>
          </cell>
          <cell r="BM436" t="e">
            <v>#N/A</v>
          </cell>
          <cell r="BN436" t="e">
            <v>#N/A</v>
          </cell>
          <cell r="BO436" t="str">
            <v>Not Matched</v>
          </cell>
          <cell r="BP436">
            <v>9119445</v>
          </cell>
        </row>
        <row r="437">
          <cell r="BK437" t="str">
            <v>07AAJCG9480A1ZJGOOH0-114</v>
          </cell>
          <cell r="BL437">
            <v>23.4</v>
          </cell>
          <cell r="BM437" t="e">
            <v>#N/A</v>
          </cell>
          <cell r="BN437" t="e">
            <v>#N/A</v>
          </cell>
          <cell r="BO437" t="str">
            <v>Not Matched</v>
          </cell>
          <cell r="BP437">
            <v>9077332</v>
          </cell>
        </row>
        <row r="438">
          <cell r="BK438" t="str">
            <v>07AAJCG9480A1ZJG00HO-119</v>
          </cell>
          <cell r="BL438">
            <v>3.7</v>
          </cell>
          <cell r="BM438" t="e">
            <v>#N/A</v>
          </cell>
          <cell r="BN438" t="e">
            <v>#N/A</v>
          </cell>
          <cell r="BO438" t="str">
            <v>Not Matched</v>
          </cell>
          <cell r="BP438">
            <v>9119445</v>
          </cell>
        </row>
        <row r="439">
          <cell r="BK439" t="str">
            <v>07AAACB2894G1ZPCN22580</v>
          </cell>
          <cell r="BL439">
            <v>-1078.56</v>
          </cell>
          <cell r="BM439" t="e">
            <v>#N/A</v>
          </cell>
          <cell r="BN439" t="e">
            <v>#N/A</v>
          </cell>
          <cell r="BO439" t="str">
            <v>Not Matched</v>
          </cell>
          <cell r="BP439">
            <v>9138069</v>
          </cell>
        </row>
        <row r="440">
          <cell r="BK440" t="str">
            <v>07AAACB2100P1ZZDLSO030326553578</v>
          </cell>
          <cell r="BL440">
            <v>95.22</v>
          </cell>
          <cell r="BM440" t="e">
            <v>#N/A</v>
          </cell>
          <cell r="BN440" t="e">
            <v>#N/A</v>
          </cell>
          <cell r="BO440" t="str">
            <v>Not Matched</v>
          </cell>
          <cell r="BP440">
            <v>9087547</v>
          </cell>
        </row>
        <row r="441">
          <cell r="BK441" t="str">
            <v>07AAJCG9480A1ZJG00HO-119</v>
          </cell>
          <cell r="BL441">
            <v>7.38</v>
          </cell>
          <cell r="BM441" t="e">
            <v>#N/A</v>
          </cell>
          <cell r="BN441" t="e">
            <v>#N/A</v>
          </cell>
          <cell r="BO441" t="str">
            <v>Not Matched</v>
          </cell>
          <cell r="BP441">
            <v>9119445</v>
          </cell>
        </row>
        <row r="442">
          <cell r="BK442" t="str">
            <v>07AAJCG9480A1ZJG00HO-97</v>
          </cell>
          <cell r="BL442">
            <v>33.52</v>
          </cell>
          <cell r="BM442" t="e">
            <v>#N/A</v>
          </cell>
          <cell r="BN442" t="e">
            <v>#N/A</v>
          </cell>
          <cell r="BO442" t="str">
            <v>Not Matched</v>
          </cell>
          <cell r="BP442">
            <v>9055316</v>
          </cell>
        </row>
        <row r="443">
          <cell r="BK443" t="str">
            <v>06AAACC4175D1Z2HRF2526000074941</v>
          </cell>
          <cell r="BL443">
            <v>785.7</v>
          </cell>
          <cell r="BM443">
            <v>785.7</v>
          </cell>
          <cell r="BN443">
            <v>0</v>
          </cell>
          <cell r="BO443" t="str">
            <v>Matched</v>
          </cell>
          <cell r="BP443">
            <v>9081084</v>
          </cell>
        </row>
        <row r="444">
          <cell r="BK444" t="str">
            <v>07BGQPS0312G1ZF5501</v>
          </cell>
          <cell r="BL444">
            <v>25.2</v>
          </cell>
          <cell r="BM444">
            <v>921.6</v>
          </cell>
          <cell r="BN444">
            <v>-896</v>
          </cell>
          <cell r="BO444" t="str">
            <v>Matched</v>
          </cell>
          <cell r="BP444">
            <v>9122848</v>
          </cell>
        </row>
        <row r="445">
          <cell r="BK445" t="str">
            <v>07AAJCG9480A1ZJGOOH0-114</v>
          </cell>
          <cell r="BL445">
            <v>335.72</v>
          </cell>
          <cell r="BM445" t="e">
            <v>#N/A</v>
          </cell>
          <cell r="BN445" t="e">
            <v>#N/A</v>
          </cell>
          <cell r="BO445" t="str">
            <v>Not Matched</v>
          </cell>
          <cell r="BP445">
            <v>9077332</v>
          </cell>
        </row>
        <row r="446">
          <cell r="BK446" t="str">
            <v>27AADCN9802F1ZGCA/DT1224/2470</v>
          </cell>
          <cell r="BL446">
            <v>180</v>
          </cell>
          <cell r="BM446" t="e">
            <v>#N/A</v>
          </cell>
          <cell r="BN446" t="e">
            <v>#N/A</v>
          </cell>
          <cell r="BO446" t="str">
            <v>Not Matched</v>
          </cell>
          <cell r="BP446">
            <v>9138443</v>
          </cell>
        </row>
        <row r="447">
          <cell r="BK447" t="str">
            <v>07AAJCG9480A1ZJG00HO-119</v>
          </cell>
          <cell r="BL447">
            <v>6.7</v>
          </cell>
          <cell r="BM447" t="e">
            <v>#N/A</v>
          </cell>
          <cell r="BN447" t="e">
            <v>#N/A</v>
          </cell>
          <cell r="BO447" t="str">
            <v>Not Matched</v>
          </cell>
          <cell r="BP447">
            <v>9119445</v>
          </cell>
        </row>
        <row r="448">
          <cell r="BK448" t="str">
            <v>07AAACB2100P1ZZDLSO030326553578</v>
          </cell>
          <cell r="BL448">
            <v>89.82</v>
          </cell>
          <cell r="BM448" t="e">
            <v>#N/A</v>
          </cell>
          <cell r="BN448" t="e">
            <v>#N/A</v>
          </cell>
          <cell r="BO448" t="str">
            <v>Not Matched</v>
          </cell>
          <cell r="BP448">
            <v>9087547</v>
          </cell>
        </row>
        <row r="449">
          <cell r="BK449" t="str">
            <v>09AERPS3780E1ZX87</v>
          </cell>
          <cell r="BL449">
            <v>-63000</v>
          </cell>
          <cell r="BM449" t="e">
            <v>#N/A</v>
          </cell>
          <cell r="BN449" t="e">
            <v>#N/A</v>
          </cell>
          <cell r="BO449" t="str">
            <v>Not Matched</v>
          </cell>
          <cell r="BP449">
            <v>9103841</v>
          </cell>
        </row>
        <row r="450">
          <cell r="BK450" t="str">
            <v>07BGQPS0312G1ZF5500</v>
          </cell>
          <cell r="BL450">
            <v>453.6</v>
          </cell>
          <cell r="BM450">
            <v>7367.4</v>
          </cell>
          <cell r="BN450">
            <v>-6914</v>
          </cell>
          <cell r="BO450" t="str">
            <v>Matched</v>
          </cell>
          <cell r="BP450">
            <v>9122840</v>
          </cell>
        </row>
        <row r="451">
          <cell r="BK451" t="str">
            <v>07AAJCG9480A1ZJG00HO-119</v>
          </cell>
          <cell r="BL451">
            <v>56.82</v>
          </cell>
          <cell r="BM451" t="e">
            <v>#N/A</v>
          </cell>
          <cell r="BN451" t="e">
            <v>#N/A</v>
          </cell>
          <cell r="BO451" t="str">
            <v>Not Matched</v>
          </cell>
          <cell r="BP451">
            <v>9119445</v>
          </cell>
        </row>
        <row r="452">
          <cell r="BK452" t="str">
            <v>07AAJCG9480A1ZJG00HO-120</v>
          </cell>
          <cell r="BL452">
            <v>154.28</v>
          </cell>
          <cell r="BM452" t="e">
            <v>#N/A</v>
          </cell>
          <cell r="BN452" t="e">
            <v>#N/A</v>
          </cell>
          <cell r="BO452" t="str">
            <v>Not Matched</v>
          </cell>
          <cell r="BP452">
            <v>9119444</v>
          </cell>
        </row>
        <row r="453">
          <cell r="BK453" t="str">
            <v>07AAJCG9480A1ZJG00HO-97</v>
          </cell>
          <cell r="BL453">
            <v>14</v>
          </cell>
          <cell r="BM453" t="e">
            <v>#N/A</v>
          </cell>
          <cell r="BN453" t="e">
            <v>#N/A</v>
          </cell>
          <cell r="BO453" t="str">
            <v>Not Matched</v>
          </cell>
          <cell r="BP453">
            <v>9055316</v>
          </cell>
        </row>
        <row r="454">
          <cell r="BK454" t="str">
            <v>07AAJCG9480A1ZJGOOH0-114</v>
          </cell>
          <cell r="BL454">
            <v>666.52</v>
          </cell>
          <cell r="BM454" t="e">
            <v>#N/A</v>
          </cell>
          <cell r="BN454" t="e">
            <v>#N/A</v>
          </cell>
          <cell r="BO454" t="str">
            <v>Not Matched</v>
          </cell>
          <cell r="BP454">
            <v>9077332</v>
          </cell>
        </row>
        <row r="455">
          <cell r="BK455" t="str">
            <v>07AAJCG9480A1ZJG00HO-119</v>
          </cell>
          <cell r="BL455">
            <v>4.12</v>
          </cell>
          <cell r="BM455" t="e">
            <v>#N/A</v>
          </cell>
          <cell r="BN455" t="e">
            <v>#N/A</v>
          </cell>
          <cell r="BO455" t="str">
            <v>Not Matched</v>
          </cell>
          <cell r="BP455">
            <v>9119445</v>
          </cell>
        </row>
        <row r="456">
          <cell r="BK456" t="str">
            <v>07AAJCG9480A1ZJG00HO-119</v>
          </cell>
          <cell r="BL456">
            <v>3.5</v>
          </cell>
          <cell r="BM456" t="e">
            <v>#N/A</v>
          </cell>
          <cell r="BN456" t="e">
            <v>#N/A</v>
          </cell>
          <cell r="BO456" t="str">
            <v>Not Matched</v>
          </cell>
          <cell r="BP456">
            <v>9119445</v>
          </cell>
        </row>
        <row r="457">
          <cell r="BK457" t="str">
            <v>07AAJCG9480A1ZJGOOH0-114</v>
          </cell>
          <cell r="BL457">
            <v>64.48</v>
          </cell>
          <cell r="BM457" t="e">
            <v>#N/A</v>
          </cell>
          <cell r="BN457" t="e">
            <v>#N/A</v>
          </cell>
          <cell r="BO457" t="str">
            <v>Not Matched</v>
          </cell>
          <cell r="BP457">
            <v>9077332</v>
          </cell>
        </row>
        <row r="458">
          <cell r="BK458" t="str">
            <v>07AAJCG9480A1ZJG00HO-95</v>
          </cell>
          <cell r="BL458">
            <v>134.06</v>
          </cell>
          <cell r="BM458" t="e">
            <v>#N/A</v>
          </cell>
          <cell r="BN458" t="e">
            <v>#N/A</v>
          </cell>
          <cell r="BO458" t="str">
            <v>Not Matched</v>
          </cell>
          <cell r="BP458">
            <v>9026166</v>
          </cell>
        </row>
        <row r="459">
          <cell r="BK459" t="str">
            <v>07AAJCG9480A1ZJG00HO-91</v>
          </cell>
          <cell r="BL459">
            <v>59.72</v>
          </cell>
          <cell r="BM459" t="e">
            <v>#N/A</v>
          </cell>
          <cell r="BN459" t="e">
            <v>#N/A</v>
          </cell>
          <cell r="BO459" t="str">
            <v>Not Matched</v>
          </cell>
          <cell r="BP459">
            <v>9026178</v>
          </cell>
        </row>
        <row r="460">
          <cell r="BK460" t="str">
            <v>07AAJCG9480A1ZJG00HO-92</v>
          </cell>
          <cell r="BL460">
            <v>5.28</v>
          </cell>
          <cell r="BM460" t="e">
            <v>#N/A</v>
          </cell>
          <cell r="BN460" t="e">
            <v>#N/A</v>
          </cell>
          <cell r="BO460" t="str">
            <v>Not Matched</v>
          </cell>
          <cell r="BP460">
            <v>9028509</v>
          </cell>
        </row>
        <row r="461">
          <cell r="BK461" t="str">
            <v>07AABCB5582A1Z1BT/2271</v>
          </cell>
          <cell r="BL461">
            <v>12150</v>
          </cell>
          <cell r="BM461" t="e">
            <v>#N/A</v>
          </cell>
          <cell r="BN461" t="e">
            <v>#N/A</v>
          </cell>
          <cell r="BO461" t="str">
            <v>Not Matched</v>
          </cell>
          <cell r="BP461">
            <v>9004611</v>
          </cell>
        </row>
        <row r="462">
          <cell r="BK462" t="str">
            <v>07AAJCG9480A1ZJG00HO-92</v>
          </cell>
          <cell r="BL462">
            <v>6.96</v>
          </cell>
          <cell r="BM462" t="e">
            <v>#N/A</v>
          </cell>
          <cell r="BN462" t="e">
            <v>#N/A</v>
          </cell>
          <cell r="BO462" t="str">
            <v>Not Matched</v>
          </cell>
          <cell r="BP462">
            <v>9028509</v>
          </cell>
        </row>
        <row r="463">
          <cell r="BK463" t="str">
            <v>07AAJCG9480A1ZJG00HO-92</v>
          </cell>
          <cell r="BL463">
            <v>38.86</v>
          </cell>
          <cell r="BM463" t="e">
            <v>#N/A</v>
          </cell>
          <cell r="BN463" t="e">
            <v>#N/A</v>
          </cell>
          <cell r="BO463" t="str">
            <v>Not Matched</v>
          </cell>
          <cell r="BP463">
            <v>9028509</v>
          </cell>
        </row>
        <row r="464">
          <cell r="BK464" t="str">
            <v>07AAJCG9480A1ZJG00HO-92</v>
          </cell>
          <cell r="BL464">
            <v>16.2</v>
          </cell>
          <cell r="BM464" t="e">
            <v>#N/A</v>
          </cell>
          <cell r="BN464" t="e">
            <v>#N/A</v>
          </cell>
          <cell r="BO464" t="str">
            <v>Not Matched</v>
          </cell>
          <cell r="BP464">
            <v>9028509</v>
          </cell>
        </row>
        <row r="465">
          <cell r="BK465" t="str">
            <v>07AAJCG9480A1ZJG00HO-91</v>
          </cell>
          <cell r="BL465">
            <v>173.9</v>
          </cell>
          <cell r="BM465" t="e">
            <v>#N/A</v>
          </cell>
          <cell r="BN465" t="e">
            <v>#N/A</v>
          </cell>
          <cell r="BO465" t="str">
            <v>Not Matched</v>
          </cell>
          <cell r="BP465">
            <v>9026178</v>
          </cell>
        </row>
        <row r="466">
          <cell r="BK466" t="str">
            <v>07AAJCG9480A1ZJG00HO-91</v>
          </cell>
          <cell r="BL466">
            <v>699.4</v>
          </cell>
          <cell r="BM466" t="e">
            <v>#N/A</v>
          </cell>
          <cell r="BN466" t="e">
            <v>#N/A</v>
          </cell>
          <cell r="BO466" t="str">
            <v>Not Matched</v>
          </cell>
          <cell r="BP466">
            <v>9026178</v>
          </cell>
        </row>
        <row r="467">
          <cell r="BK467" t="str">
            <v>07AAJCG9480A1ZJG00HO-91</v>
          </cell>
          <cell r="BL467">
            <v>196</v>
          </cell>
          <cell r="BM467" t="e">
            <v>#N/A</v>
          </cell>
          <cell r="BN467" t="e">
            <v>#N/A</v>
          </cell>
          <cell r="BO467" t="str">
            <v>Not Matched</v>
          </cell>
          <cell r="BP467">
            <v>9026178</v>
          </cell>
        </row>
        <row r="468">
          <cell r="BK468" t="str">
            <v>07AAJCG9480A1ZJG00HO-113</v>
          </cell>
          <cell r="BL468">
            <v>1265</v>
          </cell>
          <cell r="BM468" t="e">
            <v>#N/A</v>
          </cell>
          <cell r="BN468" t="e">
            <v>#N/A</v>
          </cell>
          <cell r="BO468" t="str">
            <v>Not Matched</v>
          </cell>
          <cell r="BP468">
            <v>9053244</v>
          </cell>
        </row>
        <row r="469">
          <cell r="BK469" t="str">
            <v>07AAJCG9480A1ZJG00HO-95</v>
          </cell>
          <cell r="BL469">
            <v>17.16</v>
          </cell>
          <cell r="BM469" t="e">
            <v>#N/A</v>
          </cell>
          <cell r="BN469" t="e">
            <v>#N/A</v>
          </cell>
          <cell r="BO469" t="str">
            <v>Not Matched</v>
          </cell>
          <cell r="BP469">
            <v>9026166</v>
          </cell>
        </row>
        <row r="470">
          <cell r="BK470" t="str">
            <v>07AAJCG9480A1ZJG00HO-90</v>
          </cell>
          <cell r="BL470">
            <v>2974.6</v>
          </cell>
          <cell r="BM470" t="e">
            <v>#N/A</v>
          </cell>
          <cell r="BN470" t="e">
            <v>#N/A</v>
          </cell>
          <cell r="BO470" t="str">
            <v>Not Matched</v>
          </cell>
          <cell r="BP470">
            <v>9026179</v>
          </cell>
        </row>
        <row r="471">
          <cell r="BK471" t="str">
            <v>07AAJCG9480A1ZJG00HO-95</v>
          </cell>
          <cell r="BL471">
            <v>153.04</v>
          </cell>
          <cell r="BM471" t="e">
            <v>#N/A</v>
          </cell>
          <cell r="BN471" t="e">
            <v>#N/A</v>
          </cell>
          <cell r="BO471" t="str">
            <v>Not Matched</v>
          </cell>
          <cell r="BP471">
            <v>9026166</v>
          </cell>
        </row>
        <row r="472">
          <cell r="BK472" t="str">
            <v>07AAJCG9480A1ZJG00HO-76</v>
          </cell>
          <cell r="BL472">
            <v>114.4</v>
          </cell>
          <cell r="BM472" t="e">
            <v>#N/A</v>
          </cell>
          <cell r="BN472" t="e">
            <v>#N/A</v>
          </cell>
          <cell r="BO472" t="str">
            <v>Not Matched</v>
          </cell>
          <cell r="BP472">
            <v>9026174</v>
          </cell>
        </row>
        <row r="473">
          <cell r="BK473" t="str">
            <v>07AAJCG9480A1ZJG00HO-91</v>
          </cell>
          <cell r="BL473">
            <v>60</v>
          </cell>
          <cell r="BM473" t="e">
            <v>#N/A</v>
          </cell>
          <cell r="BN473" t="e">
            <v>#N/A</v>
          </cell>
          <cell r="BO473" t="str">
            <v>Not Matched</v>
          </cell>
          <cell r="BP473">
            <v>9026178</v>
          </cell>
        </row>
        <row r="474">
          <cell r="BK474" t="str">
            <v>07AAJCG9480A1ZJG00HO-91</v>
          </cell>
          <cell r="BL474">
            <v>707.66</v>
          </cell>
          <cell r="BM474" t="e">
            <v>#N/A</v>
          </cell>
          <cell r="BN474" t="e">
            <v>#N/A</v>
          </cell>
          <cell r="BO474" t="str">
            <v>Not Matched</v>
          </cell>
          <cell r="BP474">
            <v>9026178</v>
          </cell>
        </row>
        <row r="475">
          <cell r="BK475" t="str">
            <v>07AAJCG9480A1ZJG00HO-92</v>
          </cell>
          <cell r="BL475">
            <v>10.34</v>
          </cell>
          <cell r="BM475" t="e">
            <v>#N/A</v>
          </cell>
          <cell r="BN475" t="e">
            <v>#N/A</v>
          </cell>
          <cell r="BO475" t="str">
            <v>Not Matched</v>
          </cell>
          <cell r="BP475">
            <v>9028509</v>
          </cell>
        </row>
        <row r="476">
          <cell r="BK476" t="str">
            <v>07AAJCG9480A1ZJG00HO-92</v>
          </cell>
          <cell r="BL476">
            <v>8.66</v>
          </cell>
          <cell r="BM476" t="e">
            <v>#N/A</v>
          </cell>
          <cell r="BN476" t="e">
            <v>#N/A</v>
          </cell>
          <cell r="BO476" t="str">
            <v>Not Matched</v>
          </cell>
          <cell r="BP476">
            <v>9028509</v>
          </cell>
        </row>
        <row r="477">
          <cell r="BK477" t="str">
            <v>07AAJCG9480A1ZJG00HO-95</v>
          </cell>
          <cell r="BL477">
            <v>36</v>
          </cell>
          <cell r="BM477" t="e">
            <v>#N/A</v>
          </cell>
          <cell r="BN477" t="e">
            <v>#N/A</v>
          </cell>
          <cell r="BO477" t="str">
            <v>Not Matched</v>
          </cell>
          <cell r="BP477">
            <v>9026166</v>
          </cell>
        </row>
        <row r="478">
          <cell r="BK478" t="str">
            <v>07AAJCG9480A1ZJG00HO-92</v>
          </cell>
          <cell r="BL478">
            <v>6.34</v>
          </cell>
          <cell r="BM478" t="e">
            <v>#N/A</v>
          </cell>
          <cell r="BN478" t="e">
            <v>#N/A</v>
          </cell>
          <cell r="BO478" t="str">
            <v>Not Matched</v>
          </cell>
          <cell r="BP478">
            <v>9028509</v>
          </cell>
        </row>
        <row r="479">
          <cell r="BK479" t="str">
            <v>07AAJCG9480A1ZJG00HO-95</v>
          </cell>
          <cell r="BL479">
            <v>56</v>
          </cell>
          <cell r="BM479" t="e">
            <v>#N/A</v>
          </cell>
          <cell r="BN479" t="e">
            <v>#N/A</v>
          </cell>
          <cell r="BO479" t="str">
            <v>Not Matched</v>
          </cell>
          <cell r="BP479">
            <v>9026166</v>
          </cell>
        </row>
        <row r="480">
          <cell r="BK480" t="str">
            <v>07AAJCG9480A1ZJG00HO-95</v>
          </cell>
          <cell r="BL480">
            <v>23.92</v>
          </cell>
          <cell r="BM480" t="e">
            <v>#N/A</v>
          </cell>
          <cell r="BN480" t="e">
            <v>#N/A</v>
          </cell>
          <cell r="BO480" t="str">
            <v>Not Matched</v>
          </cell>
          <cell r="BP480">
            <v>9026166</v>
          </cell>
        </row>
        <row r="481">
          <cell r="BK481" t="str">
            <v>07AAJCG9480A1ZJG00HO-95</v>
          </cell>
          <cell r="BL481">
            <v>1716.12</v>
          </cell>
          <cell r="BM481" t="e">
            <v>#N/A</v>
          </cell>
          <cell r="BN481" t="e">
            <v>#N/A</v>
          </cell>
          <cell r="BO481" t="str">
            <v>Not Matched</v>
          </cell>
          <cell r="BP481">
            <v>9026166</v>
          </cell>
        </row>
        <row r="482">
          <cell r="BK482" t="str">
            <v>07AAJCG9480A1ZJG00HO-91</v>
          </cell>
          <cell r="BL482">
            <v>165.86</v>
          </cell>
          <cell r="BM482" t="e">
            <v>#N/A</v>
          </cell>
          <cell r="BN482" t="e">
            <v>#N/A</v>
          </cell>
          <cell r="BO482" t="str">
            <v>Not Matched</v>
          </cell>
          <cell r="BP482">
            <v>9026178</v>
          </cell>
        </row>
        <row r="483">
          <cell r="BK483" t="str">
            <v>07AAJCG9480A1ZJG00HO-96</v>
          </cell>
          <cell r="BL483">
            <v>5.72</v>
          </cell>
          <cell r="BM483" t="e">
            <v>#N/A</v>
          </cell>
          <cell r="BN483" t="e">
            <v>#N/A</v>
          </cell>
          <cell r="BO483" t="str">
            <v>Not Matched</v>
          </cell>
          <cell r="BP483">
            <v>9028504</v>
          </cell>
        </row>
        <row r="484">
          <cell r="BK484" t="str">
            <v>07AAJCG9480A1ZJG00HO-96</v>
          </cell>
          <cell r="BL484">
            <v>14</v>
          </cell>
          <cell r="BM484" t="e">
            <v>#N/A</v>
          </cell>
          <cell r="BN484" t="e">
            <v>#N/A</v>
          </cell>
          <cell r="BO484" t="str">
            <v>Not Matched</v>
          </cell>
          <cell r="BP484">
            <v>9028504</v>
          </cell>
        </row>
        <row r="485">
          <cell r="BK485" t="str">
            <v>07AAJCG9480A1ZJG00HO-92</v>
          </cell>
          <cell r="BL485">
            <v>9.6</v>
          </cell>
          <cell r="BM485" t="e">
            <v>#N/A</v>
          </cell>
          <cell r="BN485" t="e">
            <v>#N/A</v>
          </cell>
          <cell r="BO485" t="str">
            <v>Not Matched</v>
          </cell>
          <cell r="BP485">
            <v>9028509</v>
          </cell>
        </row>
        <row r="486">
          <cell r="BK486" t="str">
            <v>07AAJCG9480A1ZJG00HO-96</v>
          </cell>
          <cell r="BL486">
            <v>50.28</v>
          </cell>
          <cell r="BM486" t="e">
            <v>#N/A</v>
          </cell>
          <cell r="BN486" t="e">
            <v>#N/A</v>
          </cell>
          <cell r="BO486" t="str">
            <v>Not Matched</v>
          </cell>
          <cell r="BP486">
            <v>9028504</v>
          </cell>
        </row>
        <row r="487">
          <cell r="BK487" t="str">
            <v>07AAJCG9480A1ZJG00HO-88</v>
          </cell>
          <cell r="BL487">
            <v>57.14</v>
          </cell>
          <cell r="BM487" t="e">
            <v>#N/A</v>
          </cell>
          <cell r="BN487" t="e">
            <v>#N/A</v>
          </cell>
          <cell r="BO487" t="str">
            <v>Not Matched</v>
          </cell>
          <cell r="BP487">
            <v>9026168</v>
          </cell>
        </row>
        <row r="488">
          <cell r="BK488" t="str">
            <v>07AAJCG9480A1ZJG00HO-76</v>
          </cell>
          <cell r="BL488">
            <v>698.04</v>
          </cell>
          <cell r="BM488" t="e">
            <v>#N/A</v>
          </cell>
          <cell r="BN488" t="e">
            <v>#N/A</v>
          </cell>
          <cell r="BO488" t="str">
            <v>Not Matched</v>
          </cell>
          <cell r="BP488">
            <v>9026174</v>
          </cell>
        </row>
        <row r="489">
          <cell r="BK489" t="str">
            <v>07AAJCG9480A1ZJG00HO-92</v>
          </cell>
          <cell r="BL489">
            <v>8.1</v>
          </cell>
          <cell r="BM489" t="e">
            <v>#N/A</v>
          </cell>
          <cell r="BN489" t="e">
            <v>#N/A</v>
          </cell>
          <cell r="BO489" t="str">
            <v>Not Matched</v>
          </cell>
          <cell r="BP489">
            <v>9028509</v>
          </cell>
        </row>
        <row r="490">
          <cell r="BK490" t="str">
            <v>07AAJCG9480A1ZJG00HO-92</v>
          </cell>
          <cell r="BL490">
            <v>4.34</v>
          </cell>
          <cell r="BM490" t="e">
            <v>#N/A</v>
          </cell>
          <cell r="BN490" t="e">
            <v>#N/A</v>
          </cell>
          <cell r="BO490" t="str">
            <v>Not Matched</v>
          </cell>
          <cell r="BP490">
            <v>9028509</v>
          </cell>
        </row>
        <row r="491">
          <cell r="BK491" t="str">
            <v>07AAJCG9480A1ZJG00HO-92</v>
          </cell>
          <cell r="BL491">
            <v>4.52</v>
          </cell>
          <cell r="BM491" t="e">
            <v>#N/A</v>
          </cell>
          <cell r="BN491" t="e">
            <v>#N/A</v>
          </cell>
          <cell r="BO491" t="str">
            <v>Not Matched</v>
          </cell>
          <cell r="BP491">
            <v>9028509</v>
          </cell>
        </row>
        <row r="492">
          <cell r="BK492" t="str">
            <v>07AAJCG9480A1ZJG00HO-92</v>
          </cell>
          <cell r="BL492">
            <v>10.7</v>
          </cell>
          <cell r="BM492" t="e">
            <v>#N/A</v>
          </cell>
          <cell r="BN492" t="e">
            <v>#N/A</v>
          </cell>
          <cell r="BO492" t="str">
            <v>Not Matched</v>
          </cell>
          <cell r="BP492">
            <v>9028509</v>
          </cell>
        </row>
        <row r="493">
          <cell r="BK493" t="str">
            <v>07AAJCG9480A1ZJG00HO-92</v>
          </cell>
          <cell r="BL493">
            <v>22.82</v>
          </cell>
          <cell r="BM493" t="e">
            <v>#N/A</v>
          </cell>
          <cell r="BN493" t="e">
            <v>#N/A</v>
          </cell>
          <cell r="BO493" t="str">
            <v>Not Matched</v>
          </cell>
          <cell r="BP493">
            <v>9028509</v>
          </cell>
        </row>
        <row r="494">
          <cell r="BK494" t="str">
            <v>07AABCB5582A1Z1BT/2270</v>
          </cell>
          <cell r="BL494">
            <v>17172</v>
          </cell>
          <cell r="BM494" t="e">
            <v>#N/A</v>
          </cell>
          <cell r="BN494" t="e">
            <v>#N/A</v>
          </cell>
          <cell r="BO494" t="str">
            <v>Not Matched</v>
          </cell>
          <cell r="BP494">
            <v>9004563</v>
          </cell>
        </row>
        <row r="495">
          <cell r="BK495" t="str">
            <v>07AAJCG9480A1ZJG00HO-92</v>
          </cell>
          <cell r="BL495">
            <v>8.36</v>
          </cell>
          <cell r="BM495" t="e">
            <v>#N/A</v>
          </cell>
          <cell r="BN495" t="e">
            <v>#N/A</v>
          </cell>
          <cell r="BO495" t="str">
            <v>Not Matched</v>
          </cell>
          <cell r="BP495">
            <v>9028509</v>
          </cell>
        </row>
        <row r="496">
          <cell r="BK496" t="str">
            <v>07AAJCG9480A1ZJG00HO-82</v>
          </cell>
          <cell r="BL496">
            <v>66.54</v>
          </cell>
          <cell r="BM496" t="e">
            <v>#N/A</v>
          </cell>
          <cell r="BN496" t="e">
            <v>#N/A</v>
          </cell>
          <cell r="BO496" t="str">
            <v>Not Matched</v>
          </cell>
          <cell r="BP496">
            <v>9002649</v>
          </cell>
        </row>
        <row r="497">
          <cell r="BK497" t="str">
            <v>07AAJCG9480A1ZJG00HO-82</v>
          </cell>
          <cell r="BL497">
            <v>462.86</v>
          </cell>
          <cell r="BM497" t="e">
            <v>#N/A</v>
          </cell>
          <cell r="BN497" t="e">
            <v>#N/A</v>
          </cell>
          <cell r="BO497" t="str">
            <v>Not Matched</v>
          </cell>
          <cell r="BP497">
            <v>9002649</v>
          </cell>
        </row>
        <row r="498">
          <cell r="BK498" t="str">
            <v>07AAJCG9480A1ZJG00HO-92</v>
          </cell>
          <cell r="BL498">
            <v>4.02</v>
          </cell>
          <cell r="BM498" t="e">
            <v>#N/A</v>
          </cell>
          <cell r="BN498" t="e">
            <v>#N/A</v>
          </cell>
          <cell r="BO498" t="str">
            <v>Not Matched</v>
          </cell>
          <cell r="BP498">
            <v>9028509</v>
          </cell>
        </row>
        <row r="499">
          <cell r="BK499" t="str">
            <v>07AAJCG9480A1ZJG00HO-92</v>
          </cell>
          <cell r="BL499">
            <v>12.72</v>
          </cell>
          <cell r="BM499" t="e">
            <v>#N/A</v>
          </cell>
          <cell r="BN499" t="e">
            <v>#N/A</v>
          </cell>
          <cell r="BO499" t="str">
            <v>Not Matched</v>
          </cell>
          <cell r="BP499">
            <v>9028509</v>
          </cell>
        </row>
        <row r="500">
          <cell r="BK500" t="str">
            <v>07AAJCG9480A1ZJG00HO-96</v>
          </cell>
          <cell r="BL500">
            <v>12</v>
          </cell>
          <cell r="BM500" t="e">
            <v>#N/A</v>
          </cell>
          <cell r="BN500" t="e">
            <v>#N/A</v>
          </cell>
          <cell r="BO500" t="str">
            <v>Not Matched</v>
          </cell>
          <cell r="BP500">
            <v>9028504</v>
          </cell>
        </row>
        <row r="501">
          <cell r="BK501" t="str">
            <v>07AAJCG9480A1ZJG00HO-96</v>
          </cell>
          <cell r="BL501">
            <v>286.02</v>
          </cell>
          <cell r="BM501" t="e">
            <v>#N/A</v>
          </cell>
          <cell r="BN501" t="e">
            <v>#N/A</v>
          </cell>
          <cell r="BO501" t="str">
            <v>Not Matched</v>
          </cell>
          <cell r="BP501">
            <v>9028504</v>
          </cell>
        </row>
        <row r="502">
          <cell r="BK502" t="str">
            <v>07AABCB5582A1Z1BT/2271</v>
          </cell>
          <cell r="BL502">
            <v>16524</v>
          </cell>
          <cell r="BM502" t="e">
            <v>#N/A</v>
          </cell>
          <cell r="BN502" t="e">
            <v>#N/A</v>
          </cell>
          <cell r="BO502" t="str">
            <v>Not Matched</v>
          </cell>
          <cell r="BP502">
            <v>9004611</v>
          </cell>
        </row>
        <row r="503">
          <cell r="BK503" t="str">
            <v>07AAACB2894G1ZPMF2607C000352825</v>
          </cell>
          <cell r="BL503">
            <v>-13895.04</v>
          </cell>
          <cell r="BM503" t="e">
            <v>#N/A</v>
          </cell>
          <cell r="BN503" t="e">
            <v>#N/A</v>
          </cell>
          <cell r="BO503" t="str">
            <v>Not Matched</v>
          </cell>
          <cell r="BP503">
            <v>9029676</v>
          </cell>
        </row>
        <row r="504">
          <cell r="BK504" t="str">
            <v>07AAJCG9480A1ZJG00HO-92</v>
          </cell>
          <cell r="BL504">
            <v>6.96</v>
          </cell>
          <cell r="BM504" t="e">
            <v>#N/A</v>
          </cell>
          <cell r="BN504" t="e">
            <v>#N/A</v>
          </cell>
          <cell r="BO504" t="str">
            <v>Not Matched</v>
          </cell>
          <cell r="BP504">
            <v>9028509</v>
          </cell>
        </row>
        <row r="505">
          <cell r="BK505" t="str">
            <v>07AAJCG9480A1ZJG00HO-92</v>
          </cell>
          <cell r="BL505">
            <v>13.58</v>
          </cell>
          <cell r="BM505" t="e">
            <v>#N/A</v>
          </cell>
          <cell r="BN505" t="e">
            <v>#N/A</v>
          </cell>
          <cell r="BO505" t="str">
            <v>Not Matched</v>
          </cell>
          <cell r="BP505">
            <v>9028509</v>
          </cell>
        </row>
        <row r="506">
          <cell r="BK506" t="str">
            <v>07AAJCG9480A1ZJG00HO-92</v>
          </cell>
          <cell r="BL506">
            <v>6.16</v>
          </cell>
          <cell r="BM506" t="e">
            <v>#N/A</v>
          </cell>
          <cell r="BN506" t="e">
            <v>#N/A</v>
          </cell>
          <cell r="BO506" t="str">
            <v>Not Matched</v>
          </cell>
          <cell r="BP506">
            <v>9028509</v>
          </cell>
        </row>
        <row r="507">
          <cell r="BK507" t="str">
            <v>07AAJCG9480A1ZJG00HO-91</v>
          </cell>
          <cell r="BL507">
            <v>218.94</v>
          </cell>
          <cell r="BM507" t="e">
            <v>#N/A</v>
          </cell>
          <cell r="BN507" t="e">
            <v>#N/A</v>
          </cell>
          <cell r="BO507" t="str">
            <v>Not Matched</v>
          </cell>
          <cell r="BP507">
            <v>9026178</v>
          </cell>
        </row>
        <row r="508">
          <cell r="BK508" t="str">
            <v>07AAJCG9480A1ZJG00HO-91</v>
          </cell>
          <cell r="BL508">
            <v>50.86</v>
          </cell>
          <cell r="BM508" t="e">
            <v>#N/A</v>
          </cell>
          <cell r="BN508" t="e">
            <v>#N/A</v>
          </cell>
          <cell r="BO508" t="str">
            <v>Not Matched</v>
          </cell>
          <cell r="BP508">
            <v>9026178</v>
          </cell>
        </row>
        <row r="509">
          <cell r="BK509" t="str">
            <v>07AABCB5582A1Z1BT/2273</v>
          </cell>
          <cell r="BL509">
            <v>32400</v>
          </cell>
          <cell r="BM509" t="e">
            <v>#N/A</v>
          </cell>
          <cell r="BN509" t="e">
            <v>#N/A</v>
          </cell>
          <cell r="BO509" t="str">
            <v>Not Matched</v>
          </cell>
          <cell r="BP509">
            <v>9004719</v>
          </cell>
        </row>
        <row r="510">
          <cell r="BK510" t="str">
            <v>07AABCB5582A1Z1BT/2272</v>
          </cell>
          <cell r="BL510">
            <v>8424</v>
          </cell>
          <cell r="BM510" t="e">
            <v>#N/A</v>
          </cell>
          <cell r="BN510" t="e">
            <v>#N/A</v>
          </cell>
          <cell r="BO510" t="str">
            <v>Not Matched</v>
          </cell>
          <cell r="BP510">
            <v>9004707</v>
          </cell>
        </row>
        <row r="511">
          <cell r="BK511" t="str">
            <v>07AAJCG9480A1ZJG00HO-91</v>
          </cell>
          <cell r="BL511">
            <v>22.38</v>
          </cell>
          <cell r="BM511" t="e">
            <v>#N/A</v>
          </cell>
          <cell r="BN511" t="e">
            <v>#N/A</v>
          </cell>
          <cell r="BO511" t="str">
            <v>Not Matched</v>
          </cell>
          <cell r="BP511">
            <v>9026178</v>
          </cell>
        </row>
        <row r="512">
          <cell r="BK512" t="str">
            <v>07AAGCE8453J1ZAETP/2526/12/539</v>
          </cell>
          <cell r="BL512">
            <v>-127523.16</v>
          </cell>
          <cell r="BM512" t="e">
            <v>#N/A</v>
          </cell>
          <cell r="BN512" t="e">
            <v>#N/A</v>
          </cell>
          <cell r="BO512" t="str">
            <v>Not Matched</v>
          </cell>
          <cell r="BP512">
            <v>9048425</v>
          </cell>
        </row>
        <row r="513">
          <cell r="BK513" t="str">
            <v>07AAJCG9480A1ZJG00HO-82</v>
          </cell>
          <cell r="BL513">
            <v>145.72</v>
          </cell>
          <cell r="BM513" t="e">
            <v>#N/A</v>
          </cell>
          <cell r="BN513" t="e">
            <v>#N/A</v>
          </cell>
          <cell r="BO513" t="str">
            <v>Not Matched</v>
          </cell>
          <cell r="BP513">
            <v>9002649</v>
          </cell>
        </row>
        <row r="514">
          <cell r="BK514" t="str">
            <v>07AABCB5582A1Z1BT/2270</v>
          </cell>
          <cell r="BL514">
            <v>12150</v>
          </cell>
          <cell r="BM514" t="e">
            <v>#N/A</v>
          </cell>
          <cell r="BN514" t="e">
            <v>#N/A</v>
          </cell>
          <cell r="BO514" t="str">
            <v>Not Matched</v>
          </cell>
          <cell r="BP514">
            <v>9004563</v>
          </cell>
        </row>
        <row r="515">
          <cell r="BK515" t="str">
            <v>07AABCB5582A1Z1BT/2272</v>
          </cell>
          <cell r="BL515">
            <v>24300</v>
          </cell>
          <cell r="BM515" t="e">
            <v>#N/A</v>
          </cell>
          <cell r="BN515" t="e">
            <v>#N/A</v>
          </cell>
          <cell r="BO515" t="str">
            <v>Not Matched</v>
          </cell>
          <cell r="BP515">
            <v>9004707</v>
          </cell>
        </row>
        <row r="516">
          <cell r="BK516" t="str">
            <v>27AAACI7573H1ZC22M50395000051</v>
          </cell>
          <cell r="BL516">
            <v>2700</v>
          </cell>
          <cell r="BM516" t="e">
            <v>#N/A</v>
          </cell>
          <cell r="BN516" t="e">
            <v>#N/A</v>
          </cell>
          <cell r="BO516" t="str">
            <v>Not Matched</v>
          </cell>
          <cell r="BP516">
            <v>9010051</v>
          </cell>
        </row>
        <row r="517">
          <cell r="BK517" t="str">
            <v>07AAJCG9480A1ZJG00HO-92</v>
          </cell>
          <cell r="BL517">
            <v>7.58</v>
          </cell>
          <cell r="BM517" t="e">
            <v>#N/A</v>
          </cell>
          <cell r="BN517" t="e">
            <v>#N/A</v>
          </cell>
          <cell r="BO517" t="str">
            <v>Not Matched</v>
          </cell>
          <cell r="BP517">
            <v>9028509</v>
          </cell>
        </row>
        <row r="518">
          <cell r="BK518" t="str">
            <v>07AAJCG9480A1ZJG00HO-92</v>
          </cell>
          <cell r="BL518">
            <v>19.06</v>
          </cell>
          <cell r="BM518" t="e">
            <v>#N/A</v>
          </cell>
          <cell r="BN518" t="e">
            <v>#N/A</v>
          </cell>
          <cell r="BO518" t="str">
            <v>Not Matched</v>
          </cell>
          <cell r="BP518">
            <v>9028509</v>
          </cell>
        </row>
        <row r="519">
          <cell r="BK519" t="str">
            <v>07AAJCG9480A1ZJG00HO-92</v>
          </cell>
          <cell r="BL519">
            <v>6.34</v>
          </cell>
          <cell r="BM519" t="e">
            <v>#N/A</v>
          </cell>
          <cell r="BN519" t="e">
            <v>#N/A</v>
          </cell>
          <cell r="BO519" t="str">
            <v>Not Matched</v>
          </cell>
          <cell r="BP519">
            <v>9028509</v>
          </cell>
        </row>
        <row r="520">
          <cell r="BK520" t="str">
            <v>07AAJCG9480A1ZJG00HO-92</v>
          </cell>
          <cell r="BL520">
            <v>40.64</v>
          </cell>
          <cell r="BM520" t="e">
            <v>#N/A</v>
          </cell>
          <cell r="BN520" t="e">
            <v>#N/A</v>
          </cell>
          <cell r="BO520" t="str">
            <v>Not Matched</v>
          </cell>
          <cell r="BP520">
            <v>9028509</v>
          </cell>
        </row>
        <row r="521">
          <cell r="BK521" t="str">
            <v>07AAJCG9480A1ZJG00HO-91</v>
          </cell>
          <cell r="BL521">
            <v>179.08</v>
          </cell>
          <cell r="BM521" t="e">
            <v>#N/A</v>
          </cell>
          <cell r="BN521" t="e">
            <v>#N/A</v>
          </cell>
          <cell r="BO521" t="str">
            <v>Not Matched</v>
          </cell>
          <cell r="BP521">
            <v>9026178</v>
          </cell>
        </row>
        <row r="522">
          <cell r="BK522" t="str">
            <v>07AAJCG9480A1ZJG00HO-91</v>
          </cell>
          <cell r="BL522">
            <v>95.34</v>
          </cell>
          <cell r="BM522" t="e">
            <v>#N/A</v>
          </cell>
          <cell r="BN522" t="e">
            <v>#N/A</v>
          </cell>
          <cell r="BO522" t="str">
            <v>Not Matched</v>
          </cell>
          <cell r="BP522">
            <v>9026178</v>
          </cell>
        </row>
        <row r="523">
          <cell r="BK523" t="str">
            <v>07AAJCG9480A1ZJG00HO-92</v>
          </cell>
          <cell r="BL523">
            <v>6.72</v>
          </cell>
          <cell r="BM523" t="e">
            <v>#N/A</v>
          </cell>
          <cell r="BN523" t="e">
            <v>#N/A</v>
          </cell>
          <cell r="BO523" t="str">
            <v>Not Matched</v>
          </cell>
          <cell r="BP523">
            <v>9028509</v>
          </cell>
        </row>
        <row r="524">
          <cell r="BK524" t="str">
            <v>07AAJCG9480A1ZJG00HO-92</v>
          </cell>
          <cell r="BL524">
            <v>9.42</v>
          </cell>
          <cell r="BM524" t="e">
            <v>#N/A</v>
          </cell>
          <cell r="BN524" t="e">
            <v>#N/A</v>
          </cell>
          <cell r="BO524" t="str">
            <v>Not Matched</v>
          </cell>
          <cell r="BP524">
            <v>9028509</v>
          </cell>
        </row>
        <row r="525">
          <cell r="BK525" t="str">
            <v>07AAJCG9480A1ZJG00HO-82</v>
          </cell>
          <cell r="BL525">
            <v>493.69</v>
          </cell>
          <cell r="BM525" t="e">
            <v>#N/A</v>
          </cell>
          <cell r="BN525" t="e">
            <v>#N/A</v>
          </cell>
          <cell r="BO525" t="str">
            <v>Not Matched</v>
          </cell>
          <cell r="BP525">
            <v>9002649</v>
          </cell>
        </row>
        <row r="526">
          <cell r="BK526" t="str">
            <v>07AAJCG9480A1ZJG00HO-91</v>
          </cell>
          <cell r="BL526">
            <v>192</v>
          </cell>
          <cell r="BM526" t="e">
            <v>#N/A</v>
          </cell>
          <cell r="BN526" t="e">
            <v>#N/A</v>
          </cell>
          <cell r="BO526" t="str">
            <v>Not Matched</v>
          </cell>
          <cell r="BP526">
            <v>9026178</v>
          </cell>
        </row>
        <row r="527">
          <cell r="BK527" t="str">
            <v>07AAHCS2907G1ZF9312405019</v>
          </cell>
          <cell r="BL527">
            <v>75468.24</v>
          </cell>
          <cell r="BM527" t="e">
            <v>#N/A</v>
          </cell>
          <cell r="BN527" t="e">
            <v>#N/A</v>
          </cell>
          <cell r="BO527" t="str">
            <v>Not Matched</v>
          </cell>
          <cell r="BP527">
            <v>9036376</v>
          </cell>
        </row>
        <row r="528">
          <cell r="BK528" t="str">
            <v>07AAJCG9480A1ZJG00HO-91</v>
          </cell>
          <cell r="BL528">
            <v>65.16</v>
          </cell>
          <cell r="BM528" t="e">
            <v>#N/A</v>
          </cell>
          <cell r="BN528" t="e">
            <v>#N/A</v>
          </cell>
          <cell r="BO528" t="str">
            <v>Not Matched</v>
          </cell>
          <cell r="BP528">
            <v>9026178</v>
          </cell>
        </row>
        <row r="529">
          <cell r="BK529" t="str">
            <v>07AABCT3518Q1ZYDE25C0000026755</v>
          </cell>
          <cell r="BL529">
            <v>-552.26</v>
          </cell>
          <cell r="BM529" t="e">
            <v>#N/A</v>
          </cell>
          <cell r="BN529" t="e">
            <v>#N/A</v>
          </cell>
          <cell r="BO529" t="str">
            <v>Not Matched</v>
          </cell>
          <cell r="BP529">
            <v>9000114</v>
          </cell>
        </row>
        <row r="530">
          <cell r="BK530" t="str">
            <v>07AAJCG9480A1ZJG00HO-91</v>
          </cell>
          <cell r="BL530">
            <v>15</v>
          </cell>
          <cell r="BM530" t="e">
            <v>#N/A</v>
          </cell>
          <cell r="BN530" t="e">
            <v>#N/A</v>
          </cell>
          <cell r="BO530" t="str">
            <v>Not Matched</v>
          </cell>
          <cell r="BP530">
            <v>9026178</v>
          </cell>
        </row>
        <row r="531">
          <cell r="BK531" t="str">
            <v>07AAJCG9480A1ZJG00HO-92</v>
          </cell>
          <cell r="BL531">
            <v>3.62</v>
          </cell>
          <cell r="BM531" t="e">
            <v>#N/A</v>
          </cell>
          <cell r="BN531" t="e">
            <v>#N/A</v>
          </cell>
          <cell r="BO531" t="str">
            <v>Not Matched</v>
          </cell>
          <cell r="BP531">
            <v>9028509</v>
          </cell>
        </row>
        <row r="532">
          <cell r="BK532" t="str">
            <v>07AAJCG9480A1ZJG00HO-96</v>
          </cell>
          <cell r="BL532">
            <v>25.5</v>
          </cell>
          <cell r="BM532" t="e">
            <v>#N/A</v>
          </cell>
          <cell r="BN532" t="e">
            <v>#N/A</v>
          </cell>
          <cell r="BO532" t="str">
            <v>Not Matched</v>
          </cell>
          <cell r="BP532">
            <v>9028504</v>
          </cell>
        </row>
        <row r="533">
          <cell r="BK533" t="str">
            <v>07AAJCS4628Q1ZMGPI/SE/11/25-26</v>
          </cell>
          <cell r="BL533">
            <v>-5400</v>
          </cell>
          <cell r="BM533" t="e">
            <v>#N/A</v>
          </cell>
          <cell r="BN533" t="e">
            <v>#N/A</v>
          </cell>
          <cell r="BO533" t="str">
            <v>Not Matched</v>
          </cell>
          <cell r="BP533">
            <v>9009558</v>
          </cell>
        </row>
        <row r="534">
          <cell r="BK534" t="str">
            <v>07AAACB0272G1Z5T2500045</v>
          </cell>
          <cell r="BL534">
            <v>1794.24</v>
          </cell>
          <cell r="BM534" t="e">
            <v>#N/A</v>
          </cell>
          <cell r="BN534" t="e">
            <v>#N/A</v>
          </cell>
          <cell r="BO534" t="str">
            <v>Not Matched</v>
          </cell>
          <cell r="BP534">
            <v>9022244</v>
          </cell>
        </row>
        <row r="535">
          <cell r="BK535" t="str">
            <v>07AAJCG9480A1ZJG00HO-92</v>
          </cell>
          <cell r="BL535">
            <v>7.58</v>
          </cell>
          <cell r="BM535" t="e">
            <v>#N/A</v>
          </cell>
          <cell r="BN535" t="e">
            <v>#N/A</v>
          </cell>
          <cell r="BO535" t="str">
            <v>Not Matched</v>
          </cell>
          <cell r="BP535">
            <v>9028509</v>
          </cell>
        </row>
        <row r="536">
          <cell r="BK536" t="str">
            <v>07AAJCG9480A1ZJG00HO-92</v>
          </cell>
          <cell r="BL536">
            <v>45.26</v>
          </cell>
          <cell r="BM536" t="e">
            <v>#N/A</v>
          </cell>
          <cell r="BN536" t="e">
            <v>#N/A</v>
          </cell>
          <cell r="BO536" t="str">
            <v>Not Matched</v>
          </cell>
          <cell r="BP536">
            <v>9028509</v>
          </cell>
        </row>
        <row r="537">
          <cell r="BK537" t="str">
            <v>07AAJCG9480A1ZJG00HO-91</v>
          </cell>
          <cell r="BL537">
            <v>179.08</v>
          </cell>
          <cell r="BM537" t="e">
            <v>#N/A</v>
          </cell>
          <cell r="BN537" t="e">
            <v>#N/A</v>
          </cell>
          <cell r="BO537" t="str">
            <v>Not Matched</v>
          </cell>
          <cell r="BP537">
            <v>9026178</v>
          </cell>
        </row>
        <row r="538">
          <cell r="BK538" t="str">
            <v>07AAJCG9480A1ZJG00HO-91</v>
          </cell>
          <cell r="BL538">
            <v>31.88</v>
          </cell>
          <cell r="BM538" t="e">
            <v>#N/A</v>
          </cell>
          <cell r="BN538" t="e">
            <v>#N/A</v>
          </cell>
          <cell r="BO538" t="str">
            <v>Not Matched</v>
          </cell>
          <cell r="BP538">
            <v>9026178</v>
          </cell>
        </row>
        <row r="539">
          <cell r="BK539" t="str">
            <v>07AAJCG9480A1ZJG00HO-91</v>
          </cell>
          <cell r="BL539">
            <v>1398.8</v>
          </cell>
          <cell r="BM539" t="e">
            <v>#N/A</v>
          </cell>
          <cell r="BN539" t="e">
            <v>#N/A</v>
          </cell>
          <cell r="BO539" t="str">
            <v>Not Matched</v>
          </cell>
          <cell r="BP539">
            <v>9026178</v>
          </cell>
        </row>
        <row r="540">
          <cell r="BK540" t="str">
            <v>27AALFC6319F1ZFDEBIT/2025-26/39</v>
          </cell>
          <cell r="BL540">
            <v>-97848</v>
          </cell>
          <cell r="BM540" t="e">
            <v>#N/A</v>
          </cell>
          <cell r="BN540" t="e">
            <v>#N/A</v>
          </cell>
          <cell r="BO540" t="str">
            <v>Not Matched</v>
          </cell>
          <cell r="BP540">
            <v>9053533</v>
          </cell>
        </row>
        <row r="541">
          <cell r="BK541" t="str">
            <v>07AABCB5582A1Z1BT/2272</v>
          </cell>
          <cell r="BL541">
            <v>4050</v>
          </cell>
          <cell r="BM541" t="e">
            <v>#N/A</v>
          </cell>
          <cell r="BN541" t="e">
            <v>#N/A</v>
          </cell>
          <cell r="BO541" t="str">
            <v>Not Matched</v>
          </cell>
          <cell r="BP541">
            <v>9004707</v>
          </cell>
        </row>
        <row r="542">
          <cell r="BK542" t="str">
            <v>07AAJCG9480A1ZJG00HO-64</v>
          </cell>
          <cell r="BL542">
            <v>45.7</v>
          </cell>
          <cell r="BM542" t="e">
            <v>#N/A</v>
          </cell>
          <cell r="BN542" t="e">
            <v>#N/A</v>
          </cell>
          <cell r="BO542" t="str">
            <v>Not Matched</v>
          </cell>
          <cell r="BP542">
            <v>8941063</v>
          </cell>
        </row>
        <row r="543">
          <cell r="BK543" t="str">
            <v>07AAJCG9480A1ZJG00HO-71</v>
          </cell>
          <cell r="BL543">
            <v>35.7</v>
          </cell>
          <cell r="BM543" t="e">
            <v>#N/A</v>
          </cell>
          <cell r="BN543" t="e">
            <v>#N/A</v>
          </cell>
          <cell r="BO543" t="str">
            <v>Not Matched</v>
          </cell>
          <cell r="BP543">
            <v>8940257</v>
          </cell>
        </row>
        <row r="544">
          <cell r="BK544" t="str">
            <v>07AAJCG9480A1ZJG00HO-66</v>
          </cell>
          <cell r="BL544">
            <v>12.7</v>
          </cell>
          <cell r="BM544" t="e">
            <v>#N/A</v>
          </cell>
          <cell r="BN544" t="e">
            <v>#N/A</v>
          </cell>
          <cell r="BO544" t="str">
            <v>Not Matched</v>
          </cell>
          <cell r="BP544">
            <v>8959498</v>
          </cell>
        </row>
        <row r="545">
          <cell r="BK545" t="str">
            <v>07AAJCG9480A1ZJG00HO-66</v>
          </cell>
          <cell r="BL545">
            <v>11.58</v>
          </cell>
          <cell r="BM545" t="e">
            <v>#N/A</v>
          </cell>
          <cell r="BN545" t="e">
            <v>#N/A</v>
          </cell>
          <cell r="BO545" t="str">
            <v>Not Matched</v>
          </cell>
          <cell r="BP545">
            <v>8959498</v>
          </cell>
        </row>
        <row r="546">
          <cell r="BK546" t="str">
            <v>07AAJCG9480A1ZJG00HO-69</v>
          </cell>
          <cell r="BL546">
            <v>34.66</v>
          </cell>
          <cell r="BM546" t="e">
            <v>#N/A</v>
          </cell>
          <cell r="BN546" t="e">
            <v>#N/A</v>
          </cell>
          <cell r="BO546" t="str">
            <v>Not Matched</v>
          </cell>
          <cell r="BP546">
            <v>8958706</v>
          </cell>
        </row>
        <row r="547">
          <cell r="BK547" t="str">
            <v>07CNVPS1539L1Z41789</v>
          </cell>
          <cell r="BL547">
            <v>4617</v>
          </cell>
          <cell r="BM547" t="e">
            <v>#N/A</v>
          </cell>
          <cell r="BN547" t="e">
            <v>#N/A</v>
          </cell>
          <cell r="BO547" t="str">
            <v>Not Matched</v>
          </cell>
          <cell r="BP547">
            <v>8975963</v>
          </cell>
        </row>
        <row r="548">
          <cell r="BK548" t="str">
            <v>07AAJCG9480A1ZJG00HO-71</v>
          </cell>
          <cell r="BL548">
            <v>267.26</v>
          </cell>
          <cell r="BM548" t="e">
            <v>#N/A</v>
          </cell>
          <cell r="BN548" t="e">
            <v>#N/A</v>
          </cell>
          <cell r="BO548" t="str">
            <v>Not Matched</v>
          </cell>
          <cell r="BP548">
            <v>8940257</v>
          </cell>
        </row>
        <row r="549">
          <cell r="BK549" t="str">
            <v>07AAJCG9480A1ZJG00HO-71</v>
          </cell>
          <cell r="BL549">
            <v>157.26</v>
          </cell>
          <cell r="BM549" t="e">
            <v>#N/A</v>
          </cell>
          <cell r="BN549" t="e">
            <v>#N/A</v>
          </cell>
          <cell r="BO549" t="str">
            <v>Not Matched</v>
          </cell>
          <cell r="BP549">
            <v>8940257</v>
          </cell>
        </row>
        <row r="550">
          <cell r="BK550" t="str">
            <v>07AAJCG9480A1ZJG00HO-71</v>
          </cell>
          <cell r="BL550">
            <v>746.2</v>
          </cell>
          <cell r="BM550" t="e">
            <v>#N/A</v>
          </cell>
          <cell r="BN550" t="e">
            <v>#N/A</v>
          </cell>
          <cell r="BO550" t="str">
            <v>Not Matched</v>
          </cell>
          <cell r="BP550">
            <v>8940257</v>
          </cell>
        </row>
        <row r="551">
          <cell r="BK551" t="str">
            <v>07AAJCG9480A1ZJG00HO-74</v>
          </cell>
          <cell r="BL551">
            <v>156.04</v>
          </cell>
          <cell r="BM551" t="e">
            <v>#N/A</v>
          </cell>
          <cell r="BN551" t="e">
            <v>#N/A</v>
          </cell>
          <cell r="BO551" t="str">
            <v>Not Matched</v>
          </cell>
          <cell r="BP551">
            <v>8959496</v>
          </cell>
        </row>
        <row r="552">
          <cell r="BK552" t="str">
            <v>07AAJCG9480A1ZJG00HO-73</v>
          </cell>
          <cell r="BL552">
            <v>622.38</v>
          </cell>
          <cell r="BM552" t="e">
            <v>#N/A</v>
          </cell>
          <cell r="BN552" t="e">
            <v>#N/A</v>
          </cell>
          <cell r="BO552" t="str">
            <v>Not Matched</v>
          </cell>
          <cell r="BP552">
            <v>8958708</v>
          </cell>
        </row>
        <row r="553">
          <cell r="BK553" t="str">
            <v>07AAJCG9480A1ZJG00HO-64</v>
          </cell>
          <cell r="BL553">
            <v>26.66</v>
          </cell>
          <cell r="BM553" t="e">
            <v>#N/A</v>
          </cell>
          <cell r="BN553" t="e">
            <v>#N/A</v>
          </cell>
          <cell r="BO553" t="str">
            <v>Not Matched</v>
          </cell>
          <cell r="BP553">
            <v>8941063</v>
          </cell>
        </row>
        <row r="554">
          <cell r="BK554" t="str">
            <v>07AAJCG9480A1ZJG00HO-71</v>
          </cell>
          <cell r="BL554">
            <v>445.42</v>
          </cell>
          <cell r="BM554" t="e">
            <v>#N/A</v>
          </cell>
          <cell r="BN554" t="e">
            <v>#N/A</v>
          </cell>
          <cell r="BO554" t="str">
            <v>Not Matched</v>
          </cell>
          <cell r="BP554">
            <v>8940257</v>
          </cell>
        </row>
        <row r="555">
          <cell r="BK555" t="str">
            <v>07AAJCG9480A1ZJG00HO-71</v>
          </cell>
          <cell r="BL555">
            <v>1191.72</v>
          </cell>
          <cell r="BM555" t="e">
            <v>#N/A</v>
          </cell>
          <cell r="BN555" t="e">
            <v>#N/A</v>
          </cell>
          <cell r="BO555" t="str">
            <v>Not Matched</v>
          </cell>
          <cell r="BP555">
            <v>8940257</v>
          </cell>
        </row>
        <row r="556">
          <cell r="BK556" t="str">
            <v>07AAJCG9480A1ZJG00HO-71</v>
          </cell>
          <cell r="BL556">
            <v>1716.12</v>
          </cell>
          <cell r="BM556" t="e">
            <v>#N/A</v>
          </cell>
          <cell r="BN556" t="e">
            <v>#N/A</v>
          </cell>
          <cell r="BO556" t="str">
            <v>Not Matched</v>
          </cell>
          <cell r="BP556">
            <v>8940257</v>
          </cell>
        </row>
        <row r="557">
          <cell r="BK557" t="str">
            <v>07AAJCG9480A1ZJG00HO-71</v>
          </cell>
          <cell r="BL557">
            <v>46.56</v>
          </cell>
          <cell r="BM557" t="e">
            <v>#N/A</v>
          </cell>
          <cell r="BN557" t="e">
            <v>#N/A</v>
          </cell>
          <cell r="BO557" t="str">
            <v>Not Matched</v>
          </cell>
          <cell r="BP557">
            <v>8940257</v>
          </cell>
        </row>
        <row r="558">
          <cell r="BK558" t="str">
            <v>07AAJCG9480A1ZJG00HO-71</v>
          </cell>
          <cell r="BL558">
            <v>179.82</v>
          </cell>
          <cell r="BM558" t="e">
            <v>#N/A</v>
          </cell>
          <cell r="BN558" t="e">
            <v>#N/A</v>
          </cell>
          <cell r="BO558" t="str">
            <v>Not Matched</v>
          </cell>
          <cell r="BP558">
            <v>8940257</v>
          </cell>
        </row>
        <row r="559">
          <cell r="BK559" t="str">
            <v>07AAJCG9480A1ZJG00HO-66</v>
          </cell>
          <cell r="BL559">
            <v>7.8</v>
          </cell>
          <cell r="BM559" t="e">
            <v>#N/A</v>
          </cell>
          <cell r="BN559" t="e">
            <v>#N/A</v>
          </cell>
          <cell r="BO559" t="str">
            <v>Not Matched</v>
          </cell>
          <cell r="BP559">
            <v>8959498</v>
          </cell>
        </row>
        <row r="560">
          <cell r="BK560" t="str">
            <v>07AAJCG9480A1ZJG00HO-75</v>
          </cell>
          <cell r="BL560">
            <v>161.92</v>
          </cell>
          <cell r="BM560" t="e">
            <v>#N/A</v>
          </cell>
          <cell r="BN560" t="e">
            <v>#N/A</v>
          </cell>
          <cell r="BO560" t="str">
            <v>Not Matched</v>
          </cell>
          <cell r="BP560">
            <v>8958705</v>
          </cell>
        </row>
        <row r="561">
          <cell r="BK561" t="str">
            <v>07AAJCG9480A1ZJG00HO-71</v>
          </cell>
          <cell r="BL561">
            <v>215.38</v>
          </cell>
          <cell r="BM561" t="e">
            <v>#N/A</v>
          </cell>
          <cell r="BN561" t="e">
            <v>#N/A</v>
          </cell>
          <cell r="BO561" t="str">
            <v>Not Matched</v>
          </cell>
          <cell r="BP561">
            <v>8940257</v>
          </cell>
        </row>
        <row r="562">
          <cell r="BK562" t="str">
            <v>07AAJCG9480A1ZJG00HO-66</v>
          </cell>
          <cell r="BL562">
            <v>28.78</v>
          </cell>
          <cell r="BM562" t="e">
            <v>#N/A</v>
          </cell>
          <cell r="BN562" t="e">
            <v>#N/A</v>
          </cell>
          <cell r="BO562" t="str">
            <v>Not Matched</v>
          </cell>
          <cell r="BP562">
            <v>8959498</v>
          </cell>
        </row>
        <row r="563">
          <cell r="BK563" t="str">
            <v>07AAJCG9480A1ZJG00HO-75</v>
          </cell>
          <cell r="BL563">
            <v>14.28</v>
          </cell>
          <cell r="BM563" t="e">
            <v>#N/A</v>
          </cell>
          <cell r="BN563" t="e">
            <v>#N/A</v>
          </cell>
          <cell r="BO563" t="str">
            <v>Not Matched</v>
          </cell>
          <cell r="BP563">
            <v>8958705</v>
          </cell>
        </row>
        <row r="564">
          <cell r="BK564" t="str">
            <v>07AAJCG9480A1ZJG00HO-71</v>
          </cell>
          <cell r="BL564">
            <v>4548.82</v>
          </cell>
          <cell r="BM564" t="e">
            <v>#N/A</v>
          </cell>
          <cell r="BN564" t="e">
            <v>#N/A</v>
          </cell>
          <cell r="BO564" t="str">
            <v>Not Matched</v>
          </cell>
          <cell r="BP564">
            <v>8940257</v>
          </cell>
        </row>
        <row r="565">
          <cell r="BK565" t="str">
            <v>07AAJCG9480A1ZJG00HO-71</v>
          </cell>
          <cell r="BL565">
            <v>383.72</v>
          </cell>
          <cell r="BM565" t="e">
            <v>#N/A</v>
          </cell>
          <cell r="BN565" t="e">
            <v>#N/A</v>
          </cell>
          <cell r="BO565" t="str">
            <v>Not Matched</v>
          </cell>
          <cell r="BP565">
            <v>8940257</v>
          </cell>
        </row>
        <row r="566">
          <cell r="BK566" t="str">
            <v>07AAJCG9480A1ZJG00HO-70</v>
          </cell>
          <cell r="BL566">
            <v>128.68</v>
          </cell>
          <cell r="BM566" t="e">
            <v>#N/A</v>
          </cell>
          <cell r="BN566" t="e">
            <v>#N/A</v>
          </cell>
          <cell r="BO566" t="str">
            <v>Not Matched</v>
          </cell>
          <cell r="BP566">
            <v>8958707</v>
          </cell>
        </row>
        <row r="567">
          <cell r="BK567" t="str">
            <v>07AAJCG9480A1ZJG00HO-75</v>
          </cell>
          <cell r="BL567">
            <v>198.34</v>
          </cell>
          <cell r="BM567" t="e">
            <v>#N/A</v>
          </cell>
          <cell r="BN567" t="e">
            <v>#N/A</v>
          </cell>
          <cell r="BO567" t="str">
            <v>Not Matched</v>
          </cell>
          <cell r="BP567">
            <v>8958705</v>
          </cell>
        </row>
        <row r="568">
          <cell r="BK568" t="str">
            <v>07AAJCG9480A1ZJG00HO-75</v>
          </cell>
          <cell r="BL568">
            <v>160</v>
          </cell>
          <cell r="BM568" t="e">
            <v>#N/A</v>
          </cell>
          <cell r="BN568" t="e">
            <v>#N/A</v>
          </cell>
          <cell r="BO568" t="str">
            <v>Not Matched</v>
          </cell>
          <cell r="BP568">
            <v>8958705</v>
          </cell>
        </row>
        <row r="569">
          <cell r="BK569" t="str">
            <v>07AAJCG9480A1ZJG00HO-70</v>
          </cell>
          <cell r="BL569">
            <v>112.76</v>
          </cell>
          <cell r="BM569" t="e">
            <v>#N/A</v>
          </cell>
          <cell r="BN569" t="e">
            <v>#N/A</v>
          </cell>
          <cell r="BO569" t="str">
            <v>Not Matched</v>
          </cell>
          <cell r="BP569">
            <v>8958707</v>
          </cell>
        </row>
        <row r="570">
          <cell r="BK570" t="str">
            <v>07AAJCG9480A1ZJG00HO-75</v>
          </cell>
          <cell r="BL570">
            <v>83.58</v>
          </cell>
          <cell r="BM570" t="e">
            <v>#N/A</v>
          </cell>
          <cell r="BN570" t="e">
            <v>#N/A</v>
          </cell>
          <cell r="BO570" t="str">
            <v>Not Matched</v>
          </cell>
          <cell r="BP570">
            <v>8958705</v>
          </cell>
        </row>
        <row r="571">
          <cell r="BK571" t="str">
            <v>07AAJCG9480A1ZJG00HO-71</v>
          </cell>
          <cell r="BL571">
            <v>100.96</v>
          </cell>
          <cell r="BM571" t="e">
            <v>#N/A</v>
          </cell>
          <cell r="BN571" t="e">
            <v>#N/A</v>
          </cell>
          <cell r="BO571" t="str">
            <v>Not Matched</v>
          </cell>
          <cell r="BP571">
            <v>8940257</v>
          </cell>
        </row>
        <row r="572">
          <cell r="BK572" t="str">
            <v>07AAJCG9480A1ZJG00HO-71</v>
          </cell>
          <cell r="BL572">
            <v>40.56</v>
          </cell>
          <cell r="BM572" t="e">
            <v>#N/A</v>
          </cell>
          <cell r="BN572" t="e">
            <v>#N/A</v>
          </cell>
          <cell r="BO572" t="str">
            <v>Not Matched</v>
          </cell>
          <cell r="BP572">
            <v>8940257</v>
          </cell>
        </row>
        <row r="573">
          <cell r="BK573" t="str">
            <v>07AAJCG9480A1ZJG00HO-71</v>
          </cell>
          <cell r="BL573">
            <v>282.04</v>
          </cell>
          <cell r="BM573" t="e">
            <v>#N/A</v>
          </cell>
          <cell r="BN573" t="e">
            <v>#N/A</v>
          </cell>
          <cell r="BO573" t="str">
            <v>Not Matched</v>
          </cell>
          <cell r="BP573">
            <v>8940257</v>
          </cell>
        </row>
        <row r="574">
          <cell r="BK574" t="str">
            <v>07AAJCG9480A1ZJG00HO-75</v>
          </cell>
          <cell r="BL574">
            <v>210.04</v>
          </cell>
          <cell r="BM574" t="e">
            <v>#N/A</v>
          </cell>
          <cell r="BN574" t="e">
            <v>#N/A</v>
          </cell>
          <cell r="BO574" t="str">
            <v>Not Matched</v>
          </cell>
          <cell r="BP574">
            <v>8958705</v>
          </cell>
        </row>
        <row r="575">
          <cell r="BK575" t="str">
            <v>07AAJCG9480A1ZJG00HO-83</v>
          </cell>
          <cell r="BL575">
            <v>260.12</v>
          </cell>
          <cell r="BM575" t="e">
            <v>#N/A</v>
          </cell>
          <cell r="BN575" t="e">
            <v>#N/A</v>
          </cell>
          <cell r="BO575" t="str">
            <v>Not Matched</v>
          </cell>
          <cell r="BP575">
            <v>8975242</v>
          </cell>
        </row>
        <row r="576">
          <cell r="BK576" t="str">
            <v>07AAJCG9480A1ZJG00HO-66</v>
          </cell>
          <cell r="BL576">
            <v>13.8</v>
          </cell>
          <cell r="BM576" t="e">
            <v>#N/A</v>
          </cell>
          <cell r="BN576" t="e">
            <v>#N/A</v>
          </cell>
          <cell r="BO576" t="str">
            <v>Not Matched</v>
          </cell>
          <cell r="BP576">
            <v>8959498</v>
          </cell>
        </row>
        <row r="577">
          <cell r="BK577" t="str">
            <v>07CNVPS1539L1Z41791</v>
          </cell>
          <cell r="BL577">
            <v>1111.5</v>
          </cell>
          <cell r="BM577">
            <v>7151.22</v>
          </cell>
          <cell r="BN577">
            <v>-6040</v>
          </cell>
          <cell r="BO577" t="str">
            <v>Matched</v>
          </cell>
          <cell r="BP577">
            <v>8977074</v>
          </cell>
        </row>
        <row r="578">
          <cell r="BK578" t="str">
            <v>07AAJCG9480A1ZJG00HO-64</v>
          </cell>
          <cell r="BL578">
            <v>22.84</v>
          </cell>
          <cell r="BM578" t="e">
            <v>#N/A</v>
          </cell>
          <cell r="BN578" t="e">
            <v>#N/A</v>
          </cell>
          <cell r="BO578" t="str">
            <v>Not Matched</v>
          </cell>
          <cell r="BP578">
            <v>8941063</v>
          </cell>
        </row>
        <row r="579">
          <cell r="BK579" t="str">
            <v>07AAJCG9480A1ZJG00HO-71</v>
          </cell>
          <cell r="BL579">
            <v>470.04</v>
          </cell>
          <cell r="BM579" t="e">
            <v>#N/A</v>
          </cell>
          <cell r="BN579" t="e">
            <v>#N/A</v>
          </cell>
          <cell r="BO579" t="str">
            <v>Not Matched</v>
          </cell>
          <cell r="BP579">
            <v>8940257</v>
          </cell>
        </row>
        <row r="580">
          <cell r="BK580" t="str">
            <v>07AAJCG9480A1ZJG00HO-71</v>
          </cell>
          <cell r="BL580">
            <v>69.32</v>
          </cell>
          <cell r="BM580" t="e">
            <v>#N/A</v>
          </cell>
          <cell r="BN580" t="e">
            <v>#N/A</v>
          </cell>
          <cell r="BO580" t="str">
            <v>Not Matched</v>
          </cell>
          <cell r="BP580">
            <v>8940257</v>
          </cell>
        </row>
        <row r="581">
          <cell r="BK581" t="str">
            <v>07AAJCG9480A1ZJG00HO-66</v>
          </cell>
          <cell r="BL581">
            <v>5.54</v>
          </cell>
          <cell r="BM581" t="e">
            <v>#N/A</v>
          </cell>
          <cell r="BN581" t="e">
            <v>#N/A</v>
          </cell>
          <cell r="BO581" t="str">
            <v>Not Matched</v>
          </cell>
          <cell r="BP581">
            <v>8959498</v>
          </cell>
        </row>
        <row r="582">
          <cell r="BK582" t="str">
            <v>07AAJCG9480A1ZJG00HO-66</v>
          </cell>
          <cell r="BL582">
            <v>4.48</v>
          </cell>
          <cell r="BM582" t="e">
            <v>#N/A</v>
          </cell>
          <cell r="BN582" t="e">
            <v>#N/A</v>
          </cell>
          <cell r="BO582" t="str">
            <v>Not Matched</v>
          </cell>
          <cell r="BP582">
            <v>8959498</v>
          </cell>
        </row>
        <row r="583">
          <cell r="BK583" t="str">
            <v>07AAJCG9480A1ZJG00HO-74</v>
          </cell>
          <cell r="BL583">
            <v>123.44</v>
          </cell>
          <cell r="BM583" t="e">
            <v>#N/A</v>
          </cell>
          <cell r="BN583" t="e">
            <v>#N/A</v>
          </cell>
          <cell r="BO583" t="str">
            <v>Not Matched</v>
          </cell>
          <cell r="BP583">
            <v>8959496</v>
          </cell>
        </row>
        <row r="584">
          <cell r="BK584" t="str">
            <v>07AAJCG9480A1ZJG00HO-75</v>
          </cell>
          <cell r="BL584">
            <v>111.2</v>
          </cell>
          <cell r="BM584" t="e">
            <v>#N/A</v>
          </cell>
          <cell r="BN584" t="e">
            <v>#N/A</v>
          </cell>
          <cell r="BO584" t="str">
            <v>Not Matched</v>
          </cell>
          <cell r="BP584">
            <v>8958705</v>
          </cell>
        </row>
        <row r="585">
          <cell r="BK585" t="str">
            <v>07AAACB2100P1ZZDLSO030126482096</v>
          </cell>
          <cell r="BL585">
            <v>185.04</v>
          </cell>
          <cell r="BM585" t="e">
            <v>#N/A</v>
          </cell>
          <cell r="BN585" t="e">
            <v>#N/A</v>
          </cell>
          <cell r="BO585" t="str">
            <v>Not Matched</v>
          </cell>
          <cell r="BP585">
            <v>8959492</v>
          </cell>
        </row>
        <row r="586">
          <cell r="BK586" t="str">
            <v>07AAJCG9480A1ZJG00HO-71</v>
          </cell>
          <cell r="BL586">
            <v>1012.28</v>
          </cell>
          <cell r="BM586" t="e">
            <v>#N/A</v>
          </cell>
          <cell r="BN586" t="e">
            <v>#N/A</v>
          </cell>
          <cell r="BO586" t="str">
            <v>Not Matched</v>
          </cell>
          <cell r="BP586">
            <v>8940257</v>
          </cell>
        </row>
        <row r="587">
          <cell r="BK587" t="str">
            <v>07AAJCG9480A1ZJG00HO-71</v>
          </cell>
          <cell r="BL587">
            <v>84.56</v>
          </cell>
          <cell r="BM587" t="e">
            <v>#N/A</v>
          </cell>
          <cell r="BN587" t="e">
            <v>#N/A</v>
          </cell>
          <cell r="BO587" t="str">
            <v>Not Matched</v>
          </cell>
          <cell r="BP587">
            <v>8940257</v>
          </cell>
        </row>
        <row r="588">
          <cell r="BK588" t="str">
            <v>07CNVPS1539L1Z41789</v>
          </cell>
          <cell r="BL588">
            <v>4104</v>
          </cell>
          <cell r="BM588" t="e">
            <v>#N/A</v>
          </cell>
          <cell r="BN588" t="e">
            <v>#N/A</v>
          </cell>
          <cell r="BO588" t="str">
            <v>Not Matched</v>
          </cell>
          <cell r="BP588">
            <v>8975963</v>
          </cell>
        </row>
        <row r="589">
          <cell r="BK589" t="str">
            <v>07CNVPS1539L1Z41789</v>
          </cell>
          <cell r="BL589">
            <v>940.5</v>
          </cell>
          <cell r="BM589" t="e">
            <v>#N/A</v>
          </cell>
          <cell r="BN589" t="e">
            <v>#N/A</v>
          </cell>
          <cell r="BO589" t="str">
            <v>Not Matched</v>
          </cell>
          <cell r="BP589">
            <v>8975963</v>
          </cell>
        </row>
        <row r="590">
          <cell r="BK590" t="str">
            <v>07CNVPS1539L1Z41789</v>
          </cell>
          <cell r="BL590">
            <v>2821.5</v>
          </cell>
          <cell r="BM590" t="e">
            <v>#N/A</v>
          </cell>
          <cell r="BN590" t="e">
            <v>#N/A</v>
          </cell>
          <cell r="BO590" t="str">
            <v>Not Matched</v>
          </cell>
          <cell r="BP590">
            <v>8975963</v>
          </cell>
        </row>
        <row r="591">
          <cell r="BK591" t="str">
            <v>07AAJCG9480A1ZJG00HO-83</v>
          </cell>
          <cell r="BL591">
            <v>133.32</v>
          </cell>
          <cell r="BM591" t="e">
            <v>#N/A</v>
          </cell>
          <cell r="BN591" t="e">
            <v>#N/A</v>
          </cell>
          <cell r="BO591" t="str">
            <v>Not Matched</v>
          </cell>
          <cell r="BP591">
            <v>8975242</v>
          </cell>
        </row>
        <row r="592">
          <cell r="BK592" t="str">
            <v>07AAJCG9480A1ZJG00HO-66</v>
          </cell>
          <cell r="BL592">
            <v>43.16</v>
          </cell>
          <cell r="BM592" t="e">
            <v>#N/A</v>
          </cell>
          <cell r="BN592" t="e">
            <v>#N/A</v>
          </cell>
          <cell r="BO592" t="str">
            <v>Not Matched</v>
          </cell>
          <cell r="BP592">
            <v>8959498</v>
          </cell>
        </row>
        <row r="593">
          <cell r="BK593" t="str">
            <v>07AAJCG9480A1ZJG00HO-69</v>
          </cell>
          <cell r="BL593">
            <v>13.6</v>
          </cell>
          <cell r="BM593" t="e">
            <v>#N/A</v>
          </cell>
          <cell r="BN593" t="e">
            <v>#N/A</v>
          </cell>
          <cell r="BO593" t="str">
            <v>Not Matched</v>
          </cell>
          <cell r="BP593">
            <v>8958706</v>
          </cell>
        </row>
        <row r="594">
          <cell r="BK594" t="str">
            <v>07AAJCG9480A1ZJG00HO-75</v>
          </cell>
          <cell r="BL594">
            <v>43.72</v>
          </cell>
          <cell r="BM594" t="e">
            <v>#N/A</v>
          </cell>
          <cell r="BN594" t="e">
            <v>#N/A</v>
          </cell>
          <cell r="BO594" t="str">
            <v>Not Matched</v>
          </cell>
          <cell r="BP594">
            <v>8958705</v>
          </cell>
        </row>
        <row r="595">
          <cell r="BK595" t="str">
            <v>07AAJCG9480A1ZJG00HO-69</v>
          </cell>
          <cell r="BL595">
            <v>14.28</v>
          </cell>
          <cell r="BM595" t="e">
            <v>#N/A</v>
          </cell>
          <cell r="BN595" t="e">
            <v>#N/A</v>
          </cell>
          <cell r="BO595" t="str">
            <v>Not Matched</v>
          </cell>
          <cell r="BP595">
            <v>8958706</v>
          </cell>
        </row>
        <row r="596">
          <cell r="BK596" t="str">
            <v>07AAJCG9480A1ZJG00HO-71</v>
          </cell>
          <cell r="BL596">
            <v>128.68</v>
          </cell>
          <cell r="BM596" t="e">
            <v>#N/A</v>
          </cell>
          <cell r="BN596" t="e">
            <v>#N/A</v>
          </cell>
          <cell r="BO596" t="str">
            <v>Not Matched</v>
          </cell>
          <cell r="BP596">
            <v>8940257</v>
          </cell>
        </row>
        <row r="597">
          <cell r="BK597" t="str">
            <v>07CNVPS1539L1Z41789</v>
          </cell>
          <cell r="BL597">
            <v>1111.5</v>
          </cell>
          <cell r="BM597" t="e">
            <v>#N/A</v>
          </cell>
          <cell r="BN597" t="e">
            <v>#N/A</v>
          </cell>
          <cell r="BO597" t="str">
            <v>Not Matched</v>
          </cell>
          <cell r="BP597">
            <v>8975963</v>
          </cell>
        </row>
        <row r="598">
          <cell r="BK598" t="str">
            <v>07AAJCG9480A1ZJG00HO-69</v>
          </cell>
          <cell r="BL598">
            <v>170.28</v>
          </cell>
          <cell r="BM598" t="e">
            <v>#N/A</v>
          </cell>
          <cell r="BN598" t="e">
            <v>#N/A</v>
          </cell>
          <cell r="BO598" t="str">
            <v>Not Matched</v>
          </cell>
          <cell r="BP598">
            <v>8958706</v>
          </cell>
        </row>
        <row r="599">
          <cell r="BK599" t="str">
            <v>07AAJCG9480A1ZJG00HO-70</v>
          </cell>
          <cell r="BL599">
            <v>186.56</v>
          </cell>
          <cell r="BM599" t="e">
            <v>#N/A</v>
          </cell>
          <cell r="BN599" t="e">
            <v>#N/A</v>
          </cell>
          <cell r="BO599" t="str">
            <v>Not Matched</v>
          </cell>
          <cell r="BP599">
            <v>8958707</v>
          </cell>
        </row>
        <row r="600">
          <cell r="BK600" t="str">
            <v>07AAACB2100P1ZZDLSO030126482096</v>
          </cell>
          <cell r="BL600">
            <v>431.28</v>
          </cell>
          <cell r="BM600" t="e">
            <v>#N/A</v>
          </cell>
          <cell r="BN600" t="e">
            <v>#N/A</v>
          </cell>
          <cell r="BO600" t="str">
            <v>Not Matched</v>
          </cell>
          <cell r="BP600">
            <v>8959492</v>
          </cell>
        </row>
        <row r="601">
          <cell r="BK601" t="str">
            <v>07CNVPS1539L1Z41791</v>
          </cell>
          <cell r="BL601">
            <v>410.4</v>
          </cell>
          <cell r="BM601">
            <v>7151.22</v>
          </cell>
          <cell r="BN601">
            <v>-6741</v>
          </cell>
          <cell r="BO601" t="str">
            <v>Matched</v>
          </cell>
          <cell r="BP601">
            <v>8977074</v>
          </cell>
        </row>
        <row r="602">
          <cell r="BK602" t="str">
            <v>07CNVPS1539L1Z41791</v>
          </cell>
          <cell r="BL602">
            <v>239.4</v>
          </cell>
          <cell r="BM602">
            <v>7151.22</v>
          </cell>
          <cell r="BN602">
            <v>-6912</v>
          </cell>
          <cell r="BO602" t="str">
            <v>Matched</v>
          </cell>
          <cell r="BP602">
            <v>8977074</v>
          </cell>
        </row>
        <row r="603">
          <cell r="BK603" t="str">
            <v>07AAJCG9480A1ZJG00HO-83</v>
          </cell>
          <cell r="BL603">
            <v>134.54</v>
          </cell>
          <cell r="BM603" t="e">
            <v>#N/A</v>
          </cell>
          <cell r="BN603" t="e">
            <v>#N/A</v>
          </cell>
          <cell r="BO603" t="str">
            <v>Not Matched</v>
          </cell>
          <cell r="BP603">
            <v>8975242</v>
          </cell>
        </row>
        <row r="604">
          <cell r="BK604" t="str">
            <v>07AAJCG9480A1ZJG00HO-71</v>
          </cell>
          <cell r="BL604">
            <v>93.9</v>
          </cell>
          <cell r="BM604" t="e">
            <v>#N/A</v>
          </cell>
          <cell r="BN604" t="e">
            <v>#N/A</v>
          </cell>
          <cell r="BO604" t="str">
            <v>Not Matched</v>
          </cell>
          <cell r="BP604">
            <v>8940257</v>
          </cell>
        </row>
        <row r="605">
          <cell r="BK605" t="str">
            <v>07AAJCG9480A1ZJG00HO-71</v>
          </cell>
          <cell r="BL605">
            <v>386.72</v>
          </cell>
          <cell r="BM605" t="e">
            <v>#N/A</v>
          </cell>
          <cell r="BN605" t="e">
            <v>#N/A</v>
          </cell>
          <cell r="BO605" t="str">
            <v>Not Matched</v>
          </cell>
          <cell r="BP605">
            <v>8940257</v>
          </cell>
        </row>
        <row r="606">
          <cell r="BK606" t="str">
            <v>07AAJCG9480A1ZJG00HO-75</v>
          </cell>
          <cell r="BL606">
            <v>148.56</v>
          </cell>
          <cell r="BM606" t="e">
            <v>#N/A</v>
          </cell>
          <cell r="BN606" t="e">
            <v>#N/A</v>
          </cell>
          <cell r="BO606" t="str">
            <v>Not Matched</v>
          </cell>
          <cell r="BP606">
            <v>8958705</v>
          </cell>
        </row>
        <row r="607">
          <cell r="BK607" t="str">
            <v>07AAJCG9480A1ZJG00HO-69</v>
          </cell>
          <cell r="BL607">
            <v>5.58</v>
          </cell>
          <cell r="BM607" t="e">
            <v>#N/A</v>
          </cell>
          <cell r="BN607" t="e">
            <v>#N/A</v>
          </cell>
          <cell r="BO607" t="str">
            <v>Not Matched</v>
          </cell>
          <cell r="BP607">
            <v>8958706</v>
          </cell>
        </row>
        <row r="608">
          <cell r="BK608" t="str">
            <v>07AAJCG9480A1ZJG00HO-73</v>
          </cell>
          <cell r="BL608">
            <v>1789.32</v>
          </cell>
          <cell r="BM608" t="e">
            <v>#N/A</v>
          </cell>
          <cell r="BN608" t="e">
            <v>#N/A</v>
          </cell>
          <cell r="BO608" t="str">
            <v>Not Matched</v>
          </cell>
          <cell r="BP608">
            <v>8958708</v>
          </cell>
        </row>
        <row r="609">
          <cell r="BK609" t="str">
            <v>07AAJCG9480A1ZJG00HO-75</v>
          </cell>
          <cell r="BL609">
            <v>31.2</v>
          </cell>
          <cell r="BM609" t="e">
            <v>#N/A</v>
          </cell>
          <cell r="BN609" t="e">
            <v>#N/A</v>
          </cell>
          <cell r="BO609" t="str">
            <v>Not Matched</v>
          </cell>
          <cell r="BP609">
            <v>8958705</v>
          </cell>
        </row>
        <row r="610">
          <cell r="BK610" t="str">
            <v>07AAJCG9480A1ZJG00HO-69</v>
          </cell>
          <cell r="BL610">
            <v>49.34</v>
          </cell>
          <cell r="BM610" t="e">
            <v>#N/A</v>
          </cell>
          <cell r="BN610" t="e">
            <v>#N/A</v>
          </cell>
          <cell r="BO610" t="str">
            <v>Not Matched</v>
          </cell>
          <cell r="BP610">
            <v>8958706</v>
          </cell>
        </row>
        <row r="611">
          <cell r="BK611" t="str">
            <v>07AAJCG9480A1ZJG00HO-73</v>
          </cell>
          <cell r="BL611">
            <v>1742.66</v>
          </cell>
          <cell r="BM611" t="e">
            <v>#N/A</v>
          </cell>
          <cell r="BN611" t="e">
            <v>#N/A</v>
          </cell>
          <cell r="BO611" t="str">
            <v>Not Matched</v>
          </cell>
          <cell r="BP611">
            <v>8958708</v>
          </cell>
        </row>
        <row r="612">
          <cell r="BK612" t="str">
            <v>07AAJCG9480A1ZJG00HO-83</v>
          </cell>
          <cell r="BL612">
            <v>651.4</v>
          </cell>
          <cell r="BM612" t="e">
            <v>#N/A</v>
          </cell>
          <cell r="BN612" t="e">
            <v>#N/A</v>
          </cell>
          <cell r="BO612" t="str">
            <v>Not Matched</v>
          </cell>
          <cell r="BP612">
            <v>8975242</v>
          </cell>
        </row>
        <row r="613">
          <cell r="BK613" t="str">
            <v>07AAJCG9480A1ZJG00HO-71</v>
          </cell>
          <cell r="BL613">
            <v>182.44</v>
          </cell>
          <cell r="BM613" t="e">
            <v>#N/A</v>
          </cell>
          <cell r="BN613" t="e">
            <v>#N/A</v>
          </cell>
          <cell r="BO613" t="str">
            <v>Not Matched</v>
          </cell>
          <cell r="BP613">
            <v>8940257</v>
          </cell>
        </row>
        <row r="614">
          <cell r="BK614" t="str">
            <v>07AAJCG9480A1ZJG00HO-71</v>
          </cell>
          <cell r="BL614">
            <v>51.44</v>
          </cell>
          <cell r="BM614" t="e">
            <v>#N/A</v>
          </cell>
          <cell r="BN614" t="e">
            <v>#N/A</v>
          </cell>
          <cell r="BO614" t="str">
            <v>Not Matched</v>
          </cell>
          <cell r="BP614">
            <v>8940257</v>
          </cell>
        </row>
        <row r="615">
          <cell r="BK615" t="str">
            <v>07AAJCG9480A1ZJG00HO-71</v>
          </cell>
          <cell r="BL615">
            <v>496.68</v>
          </cell>
          <cell r="BM615" t="e">
            <v>#N/A</v>
          </cell>
          <cell r="BN615" t="e">
            <v>#N/A</v>
          </cell>
          <cell r="BO615" t="str">
            <v>Not Matched</v>
          </cell>
          <cell r="BP615">
            <v>8940257</v>
          </cell>
        </row>
        <row r="616">
          <cell r="BK616" t="str">
            <v>07AAJCG9480A1ZJG00HO-71</v>
          </cell>
          <cell r="BL616">
            <v>100.96</v>
          </cell>
          <cell r="BM616" t="e">
            <v>#N/A</v>
          </cell>
          <cell r="BN616" t="e">
            <v>#N/A</v>
          </cell>
          <cell r="BO616" t="str">
            <v>Not Matched</v>
          </cell>
          <cell r="BP616">
            <v>8940257</v>
          </cell>
        </row>
        <row r="617">
          <cell r="BK617" t="str">
            <v>07AAJCG9480A1ZJG00HO-75</v>
          </cell>
          <cell r="BL617">
            <v>10.28</v>
          </cell>
          <cell r="BM617" t="e">
            <v>#N/A</v>
          </cell>
          <cell r="BN617" t="e">
            <v>#N/A</v>
          </cell>
          <cell r="BO617" t="str">
            <v>Not Matched</v>
          </cell>
          <cell r="BP617">
            <v>8958705</v>
          </cell>
        </row>
        <row r="618">
          <cell r="BK618" t="str">
            <v>07AAJCG9480A1ZJG00HO-66</v>
          </cell>
          <cell r="BL618">
            <v>13.46</v>
          </cell>
          <cell r="BM618" t="e">
            <v>#N/A</v>
          </cell>
          <cell r="BN618" t="e">
            <v>#N/A</v>
          </cell>
          <cell r="BO618" t="str">
            <v>Not Matched</v>
          </cell>
          <cell r="BP618">
            <v>8959498</v>
          </cell>
        </row>
        <row r="619">
          <cell r="BK619" t="str">
            <v>07AAJCG9480A1ZJG00HO-75</v>
          </cell>
          <cell r="BL619">
            <v>46.3</v>
          </cell>
          <cell r="BM619" t="e">
            <v>#N/A</v>
          </cell>
          <cell r="BN619" t="e">
            <v>#N/A</v>
          </cell>
          <cell r="BO619" t="str">
            <v>Not Matched</v>
          </cell>
          <cell r="BP619">
            <v>8958705</v>
          </cell>
        </row>
        <row r="620">
          <cell r="BK620" t="str">
            <v>07CNVPS1539L1Z41789</v>
          </cell>
          <cell r="BL620">
            <v>2308.5</v>
          </cell>
          <cell r="BM620" t="e">
            <v>#N/A</v>
          </cell>
          <cell r="BN620" t="e">
            <v>#N/A</v>
          </cell>
          <cell r="BO620" t="str">
            <v>Not Matched</v>
          </cell>
          <cell r="BP620">
            <v>8975963</v>
          </cell>
        </row>
        <row r="621">
          <cell r="BK621" t="str">
            <v>07AAJCG9480A1ZJG00HO-71</v>
          </cell>
          <cell r="BL621">
            <v>43.2</v>
          </cell>
          <cell r="BM621" t="e">
            <v>#N/A</v>
          </cell>
          <cell r="BN621" t="e">
            <v>#N/A</v>
          </cell>
          <cell r="BO621" t="str">
            <v>Not Matched</v>
          </cell>
          <cell r="BP621">
            <v>8940257</v>
          </cell>
        </row>
        <row r="622">
          <cell r="BK622" t="str">
            <v>07AAJCG9480A1ZJG00HO-71</v>
          </cell>
          <cell r="BL622">
            <v>15.56</v>
          </cell>
          <cell r="BM622" t="e">
            <v>#N/A</v>
          </cell>
          <cell r="BN622" t="e">
            <v>#N/A</v>
          </cell>
          <cell r="BO622" t="str">
            <v>Not Matched</v>
          </cell>
          <cell r="BP622">
            <v>8940257</v>
          </cell>
        </row>
        <row r="623">
          <cell r="BK623" t="str">
            <v>07CNVPS1539L1Z41791</v>
          </cell>
          <cell r="BL623">
            <v>376.2</v>
          </cell>
          <cell r="BM623">
            <v>7151.22</v>
          </cell>
          <cell r="BN623">
            <v>-6775</v>
          </cell>
          <cell r="BO623" t="str">
            <v>Matched</v>
          </cell>
          <cell r="BP623">
            <v>8977074</v>
          </cell>
        </row>
        <row r="624">
          <cell r="BK624" t="str">
            <v>07CNVPS1539L1Z41791</v>
          </cell>
          <cell r="BL624">
            <v>246.24</v>
          </cell>
          <cell r="BM624">
            <v>7151.22</v>
          </cell>
          <cell r="BN624">
            <v>-6905</v>
          </cell>
          <cell r="BO624" t="str">
            <v>Matched</v>
          </cell>
          <cell r="BP624">
            <v>8977074</v>
          </cell>
        </row>
        <row r="625">
          <cell r="BK625" t="str">
            <v>07CNVPS1539L1Z41791</v>
          </cell>
          <cell r="BL625">
            <v>4240.8</v>
          </cell>
          <cell r="BM625">
            <v>7151.22</v>
          </cell>
          <cell r="BN625">
            <v>-2910</v>
          </cell>
          <cell r="BO625" t="str">
            <v>Matched</v>
          </cell>
          <cell r="BP625">
            <v>8977074</v>
          </cell>
        </row>
        <row r="626">
          <cell r="BK626" t="str">
            <v>07AAJCG9480A1ZJG00HO-66</v>
          </cell>
          <cell r="BL626">
            <v>10.7</v>
          </cell>
          <cell r="BM626" t="e">
            <v>#N/A</v>
          </cell>
          <cell r="BN626" t="e">
            <v>#N/A</v>
          </cell>
          <cell r="BO626" t="str">
            <v>Not Matched</v>
          </cell>
          <cell r="BP626">
            <v>8959498</v>
          </cell>
        </row>
        <row r="627">
          <cell r="BK627" t="str">
            <v>07AAJCG9480A1ZJG00HO-75</v>
          </cell>
          <cell r="BL627">
            <v>699.44</v>
          </cell>
          <cell r="BM627" t="e">
            <v>#N/A</v>
          </cell>
          <cell r="BN627" t="e">
            <v>#N/A</v>
          </cell>
          <cell r="BO627" t="str">
            <v>Not Matched</v>
          </cell>
          <cell r="BP627">
            <v>8958705</v>
          </cell>
        </row>
        <row r="628">
          <cell r="BK628" t="str">
            <v>07AAJCG9480A1ZJG00HO-75</v>
          </cell>
          <cell r="BL628">
            <v>50.78</v>
          </cell>
          <cell r="BM628" t="e">
            <v>#N/A</v>
          </cell>
          <cell r="BN628" t="e">
            <v>#N/A</v>
          </cell>
          <cell r="BO628" t="str">
            <v>Not Matched</v>
          </cell>
          <cell r="BP628">
            <v>8958705</v>
          </cell>
        </row>
        <row r="629">
          <cell r="BK629" t="str">
            <v>07CNVPS1539L1Z41791</v>
          </cell>
          <cell r="BL629">
            <v>198.36</v>
          </cell>
          <cell r="BM629">
            <v>7151.22</v>
          </cell>
          <cell r="BN629">
            <v>-6953</v>
          </cell>
          <cell r="BO629" t="str">
            <v>Matched</v>
          </cell>
          <cell r="BP629">
            <v>8977074</v>
          </cell>
        </row>
        <row r="630">
          <cell r="BK630" t="str">
            <v>07AAJCG9480A1ZJG00HO-81</v>
          </cell>
          <cell r="BL630">
            <v>1090</v>
          </cell>
          <cell r="BM630" t="e">
            <v>#N/A</v>
          </cell>
          <cell r="BN630" t="e">
            <v>#N/A</v>
          </cell>
          <cell r="BO630" t="str">
            <v>Not Matched</v>
          </cell>
          <cell r="BP630">
            <v>8975240</v>
          </cell>
        </row>
        <row r="631">
          <cell r="BK631" t="str">
            <v>07AAJCG9480A1ZJG00HO-75</v>
          </cell>
          <cell r="BL631">
            <v>53.54</v>
          </cell>
          <cell r="BM631" t="e">
            <v>#N/A</v>
          </cell>
          <cell r="BN631" t="e">
            <v>#N/A</v>
          </cell>
          <cell r="BO631" t="str">
            <v>Not Matched</v>
          </cell>
          <cell r="BP631">
            <v>8958705</v>
          </cell>
        </row>
        <row r="632">
          <cell r="BK632" t="str">
            <v>07AAJCG9480A1ZJG00HO-61</v>
          </cell>
          <cell r="BL632">
            <v>1487.3</v>
          </cell>
          <cell r="BM632" t="e">
            <v>#N/A</v>
          </cell>
          <cell r="BN632" t="e">
            <v>#N/A</v>
          </cell>
          <cell r="BO632" t="str">
            <v>Not Matched</v>
          </cell>
          <cell r="BP632">
            <v>8930615</v>
          </cell>
        </row>
        <row r="633">
          <cell r="BK633" t="str">
            <v>07AAJCG9480A1ZJG00HO-75</v>
          </cell>
          <cell r="BL633">
            <v>53.54</v>
          </cell>
          <cell r="BM633" t="e">
            <v>#N/A</v>
          </cell>
          <cell r="BN633" t="e">
            <v>#N/A</v>
          </cell>
          <cell r="BO633" t="str">
            <v>Not Matched</v>
          </cell>
          <cell r="BP633">
            <v>8958705</v>
          </cell>
        </row>
        <row r="634">
          <cell r="BK634" t="str">
            <v>07AAJCG9480A1ZJG00HO-69</v>
          </cell>
          <cell r="BL634">
            <v>186.56</v>
          </cell>
          <cell r="BM634" t="e">
            <v>#N/A</v>
          </cell>
          <cell r="BN634" t="e">
            <v>#N/A</v>
          </cell>
          <cell r="BO634" t="str">
            <v>Not Matched</v>
          </cell>
          <cell r="BP634">
            <v>8958706</v>
          </cell>
        </row>
        <row r="635">
          <cell r="BK635" t="str">
            <v>07AAJCG9480A1ZJG00HO-75</v>
          </cell>
          <cell r="BL635">
            <v>53.54</v>
          </cell>
          <cell r="BM635" t="e">
            <v>#N/A</v>
          </cell>
          <cell r="BN635" t="e">
            <v>#N/A</v>
          </cell>
          <cell r="BO635" t="str">
            <v>Not Matched</v>
          </cell>
          <cell r="BP635">
            <v>8958705</v>
          </cell>
        </row>
        <row r="636">
          <cell r="BK636" t="str">
            <v>07AAJCG9480A1ZJG00HO-69</v>
          </cell>
          <cell r="BL636">
            <v>11.48</v>
          </cell>
          <cell r="BM636" t="e">
            <v>#N/A</v>
          </cell>
          <cell r="BN636" t="e">
            <v>#N/A</v>
          </cell>
          <cell r="BO636" t="str">
            <v>Not Matched</v>
          </cell>
          <cell r="BP636">
            <v>8958706</v>
          </cell>
        </row>
        <row r="637">
          <cell r="BK637" t="str">
            <v>07AAJCG9480A1ZJG00HO-69</v>
          </cell>
          <cell r="BL637">
            <v>32.18</v>
          </cell>
          <cell r="BM637" t="e">
            <v>#N/A</v>
          </cell>
          <cell r="BN637" t="e">
            <v>#N/A</v>
          </cell>
          <cell r="BO637" t="str">
            <v>Not Matched</v>
          </cell>
          <cell r="BP637">
            <v>8958706</v>
          </cell>
        </row>
        <row r="638">
          <cell r="BK638" t="str">
            <v>07AAJCG9480A1ZJG00HO-71</v>
          </cell>
          <cell r="BL638">
            <v>36.4</v>
          </cell>
          <cell r="BM638" t="e">
            <v>#N/A</v>
          </cell>
          <cell r="BN638" t="e">
            <v>#N/A</v>
          </cell>
          <cell r="BO638" t="str">
            <v>Not Matched</v>
          </cell>
          <cell r="BP638">
            <v>8940257</v>
          </cell>
        </row>
        <row r="639">
          <cell r="BK639" t="str">
            <v>07AAJCG9480A1ZJG00HO-71</v>
          </cell>
          <cell r="BL639">
            <v>93.34</v>
          </cell>
          <cell r="BM639" t="e">
            <v>#N/A</v>
          </cell>
          <cell r="BN639" t="e">
            <v>#N/A</v>
          </cell>
          <cell r="BO639" t="str">
            <v>Not Matched</v>
          </cell>
          <cell r="BP639">
            <v>8940257</v>
          </cell>
        </row>
        <row r="640">
          <cell r="BK640" t="str">
            <v>07AAACB2100P1ZZDLSO030126482096</v>
          </cell>
          <cell r="BL640">
            <v>116.64</v>
          </cell>
          <cell r="BM640" t="e">
            <v>#N/A</v>
          </cell>
          <cell r="BN640" t="e">
            <v>#N/A</v>
          </cell>
          <cell r="BO640" t="str">
            <v>Not Matched</v>
          </cell>
          <cell r="BP640">
            <v>8959492</v>
          </cell>
        </row>
        <row r="641">
          <cell r="BK641" t="str">
            <v>07AAJCG9480A1ZJG00HO-66</v>
          </cell>
          <cell r="BL641">
            <v>27.9</v>
          </cell>
          <cell r="BM641" t="e">
            <v>#N/A</v>
          </cell>
          <cell r="BN641" t="e">
            <v>#N/A</v>
          </cell>
          <cell r="BO641" t="str">
            <v>Not Matched</v>
          </cell>
          <cell r="BP641">
            <v>8959498</v>
          </cell>
        </row>
        <row r="642">
          <cell r="BK642" t="str">
            <v>07AAJCG9480A1ZJG00HO-66</v>
          </cell>
          <cell r="BL642">
            <v>1.46</v>
          </cell>
          <cell r="BM642" t="e">
            <v>#N/A</v>
          </cell>
          <cell r="BN642" t="e">
            <v>#N/A</v>
          </cell>
          <cell r="BO642" t="str">
            <v>Not Matched</v>
          </cell>
          <cell r="BP642">
            <v>8959498</v>
          </cell>
        </row>
        <row r="643">
          <cell r="BK643" t="str">
            <v>07AAJCG9480A1ZJG00HO-72</v>
          </cell>
          <cell r="BL643">
            <v>44.34</v>
          </cell>
          <cell r="BM643" t="e">
            <v>#N/A</v>
          </cell>
          <cell r="BN643" t="e">
            <v>#N/A</v>
          </cell>
          <cell r="BO643" t="str">
            <v>Not Matched</v>
          </cell>
          <cell r="BP643">
            <v>8959495</v>
          </cell>
        </row>
        <row r="644">
          <cell r="BK644" t="str">
            <v>07AAJCG9480A1ZJG00HO-69</v>
          </cell>
          <cell r="BL644">
            <v>62.9</v>
          </cell>
          <cell r="BM644" t="e">
            <v>#N/A</v>
          </cell>
          <cell r="BN644" t="e">
            <v>#N/A</v>
          </cell>
          <cell r="BO644" t="str">
            <v>Not Matched</v>
          </cell>
          <cell r="BP644">
            <v>8958706</v>
          </cell>
        </row>
        <row r="645">
          <cell r="BK645" t="str">
            <v>07AAJCG9480A1ZJG00HO-66</v>
          </cell>
          <cell r="BL645">
            <v>6.5</v>
          </cell>
          <cell r="BM645" t="e">
            <v>#N/A</v>
          </cell>
          <cell r="BN645" t="e">
            <v>#N/A</v>
          </cell>
          <cell r="BO645" t="str">
            <v>Not Matched</v>
          </cell>
          <cell r="BP645">
            <v>8959498</v>
          </cell>
        </row>
        <row r="646">
          <cell r="BK646" t="str">
            <v>07AAJCG9480A1ZJG00HO-74</v>
          </cell>
          <cell r="BL646">
            <v>57.14</v>
          </cell>
          <cell r="BM646" t="e">
            <v>#N/A</v>
          </cell>
          <cell r="BN646" t="e">
            <v>#N/A</v>
          </cell>
          <cell r="BO646" t="str">
            <v>Not Matched</v>
          </cell>
          <cell r="BP646">
            <v>8959496</v>
          </cell>
        </row>
        <row r="647">
          <cell r="BK647" t="str">
            <v>07AAJCG9480A1ZJG00HO-70</v>
          </cell>
          <cell r="BL647">
            <v>62.9</v>
          </cell>
          <cell r="BM647" t="e">
            <v>#N/A</v>
          </cell>
          <cell r="BN647" t="e">
            <v>#N/A</v>
          </cell>
          <cell r="BO647" t="str">
            <v>Not Matched</v>
          </cell>
          <cell r="BP647">
            <v>8958707</v>
          </cell>
        </row>
        <row r="648">
          <cell r="BK648" t="str">
            <v>07AAJCG9480A1ZJG00HO-73</v>
          </cell>
          <cell r="BL648">
            <v>2722.78</v>
          </cell>
          <cell r="BM648" t="e">
            <v>#N/A</v>
          </cell>
          <cell r="BN648" t="e">
            <v>#N/A</v>
          </cell>
          <cell r="BO648" t="str">
            <v>Not Matched</v>
          </cell>
          <cell r="BP648">
            <v>8958708</v>
          </cell>
        </row>
        <row r="649">
          <cell r="BK649" t="str">
            <v>07AAJCG9480A1ZJG00HO-75</v>
          </cell>
          <cell r="BL649">
            <v>339.28</v>
          </cell>
          <cell r="BM649" t="e">
            <v>#N/A</v>
          </cell>
          <cell r="BN649" t="e">
            <v>#N/A</v>
          </cell>
          <cell r="BO649" t="str">
            <v>Not Matched</v>
          </cell>
          <cell r="BP649">
            <v>8958705</v>
          </cell>
        </row>
        <row r="650">
          <cell r="BK650" t="str">
            <v>07AAJCG9480A1ZJG00HO-75</v>
          </cell>
          <cell r="BL650">
            <v>725.58</v>
          </cell>
          <cell r="BM650" t="e">
            <v>#N/A</v>
          </cell>
          <cell r="BN650" t="e">
            <v>#N/A</v>
          </cell>
          <cell r="BO650" t="str">
            <v>Not Matched</v>
          </cell>
          <cell r="BP650">
            <v>8958705</v>
          </cell>
        </row>
        <row r="651">
          <cell r="BK651" t="str">
            <v>07CNVPS1539L1Z41789</v>
          </cell>
          <cell r="BL651">
            <v>123.98</v>
          </cell>
          <cell r="BM651" t="e">
            <v>#N/A</v>
          </cell>
          <cell r="BN651" t="e">
            <v>#N/A</v>
          </cell>
          <cell r="BO651" t="str">
            <v>Not Matched</v>
          </cell>
          <cell r="BP651">
            <v>8975963</v>
          </cell>
        </row>
        <row r="652">
          <cell r="BK652" t="str">
            <v>07AAJCG9480A1ZJG00HO-63</v>
          </cell>
          <cell r="BL652">
            <v>67.86</v>
          </cell>
          <cell r="BM652" t="e">
            <v>#N/A</v>
          </cell>
          <cell r="BN652" t="e">
            <v>#N/A</v>
          </cell>
          <cell r="BO652" t="str">
            <v>Not Matched</v>
          </cell>
          <cell r="BP652">
            <v>8930619</v>
          </cell>
        </row>
        <row r="653">
          <cell r="BK653" t="str">
            <v>07AAJCG9480A1ZJG00HO-68</v>
          </cell>
          <cell r="BL653">
            <v>177.62</v>
          </cell>
          <cell r="BM653" t="e">
            <v>#N/A</v>
          </cell>
          <cell r="BN653" t="e">
            <v>#N/A</v>
          </cell>
          <cell r="BO653" t="str">
            <v>Not Matched</v>
          </cell>
          <cell r="BP653">
            <v>8959497</v>
          </cell>
        </row>
        <row r="654">
          <cell r="BK654" t="str">
            <v>07AAJCG9480A1ZJG00HO-66</v>
          </cell>
          <cell r="BL654">
            <v>23.46</v>
          </cell>
          <cell r="BM654" t="e">
            <v>#N/A</v>
          </cell>
          <cell r="BN654" t="e">
            <v>#N/A</v>
          </cell>
          <cell r="BO654" t="str">
            <v>Not Matched</v>
          </cell>
          <cell r="BP654">
            <v>8959498</v>
          </cell>
        </row>
        <row r="655">
          <cell r="BK655" t="str">
            <v>07AAJCG9480A1ZJG00HO-73</v>
          </cell>
          <cell r="BL655">
            <v>1400.34</v>
          </cell>
          <cell r="BM655" t="e">
            <v>#N/A</v>
          </cell>
          <cell r="BN655" t="e">
            <v>#N/A</v>
          </cell>
          <cell r="BO655" t="str">
            <v>Not Matched</v>
          </cell>
          <cell r="BP655">
            <v>8958708</v>
          </cell>
        </row>
        <row r="656">
          <cell r="BK656" t="str">
            <v>07CNVPS1539L1Z41791</v>
          </cell>
          <cell r="BL656">
            <v>328.32</v>
          </cell>
          <cell r="BM656">
            <v>7151.22</v>
          </cell>
          <cell r="BN656">
            <v>-6823</v>
          </cell>
          <cell r="BO656" t="str">
            <v>Matched</v>
          </cell>
          <cell r="BP656">
            <v>8977074</v>
          </cell>
        </row>
        <row r="657">
          <cell r="BK657" t="str">
            <v>07AAJCG9480A1ZJG00HO-66</v>
          </cell>
          <cell r="BL657">
            <v>5.26</v>
          </cell>
          <cell r="BM657" t="e">
            <v>#N/A</v>
          </cell>
          <cell r="BN657" t="e">
            <v>#N/A</v>
          </cell>
          <cell r="BO657" t="str">
            <v>Not Matched</v>
          </cell>
          <cell r="BP657">
            <v>8959498</v>
          </cell>
        </row>
        <row r="658">
          <cell r="BK658" t="str">
            <v>07AAJCG9480A1ZJG00HO-49</v>
          </cell>
          <cell r="BL658">
            <v>5.18</v>
          </cell>
          <cell r="BM658" t="e">
            <v>#N/A</v>
          </cell>
          <cell r="BN658" t="e">
            <v>#N/A</v>
          </cell>
          <cell r="BO658" t="str">
            <v>Not Matched</v>
          </cell>
          <cell r="BP658">
            <v>8874950</v>
          </cell>
        </row>
        <row r="659">
          <cell r="BK659" t="str">
            <v>07AAJCG9480A1ZJG00HO-49</v>
          </cell>
          <cell r="BL659">
            <v>5.34</v>
          </cell>
          <cell r="BM659" t="e">
            <v>#N/A</v>
          </cell>
          <cell r="BN659" t="e">
            <v>#N/A</v>
          </cell>
          <cell r="BO659" t="str">
            <v>Not Matched</v>
          </cell>
          <cell r="BP659">
            <v>8874950</v>
          </cell>
        </row>
        <row r="660">
          <cell r="BK660" t="str">
            <v>07AAJCG9480A1ZJG00HO-49</v>
          </cell>
          <cell r="BL660">
            <v>10.92</v>
          </cell>
          <cell r="BM660" t="e">
            <v>#N/A</v>
          </cell>
          <cell r="BN660" t="e">
            <v>#N/A</v>
          </cell>
          <cell r="BO660" t="str">
            <v>Not Matched</v>
          </cell>
          <cell r="BP660">
            <v>8874950</v>
          </cell>
        </row>
        <row r="661">
          <cell r="BK661" t="str">
            <v>07AAJCG9480A1ZJG00HO-49</v>
          </cell>
          <cell r="BL661">
            <v>13</v>
          </cell>
          <cell r="BM661" t="e">
            <v>#N/A</v>
          </cell>
          <cell r="BN661" t="e">
            <v>#N/A</v>
          </cell>
          <cell r="BO661" t="str">
            <v>Not Matched</v>
          </cell>
          <cell r="BP661">
            <v>8874950</v>
          </cell>
        </row>
        <row r="662">
          <cell r="BK662" t="str">
            <v>07AAJCG9480A1ZJG00HO-49</v>
          </cell>
          <cell r="BL662">
            <v>14.78</v>
          </cell>
          <cell r="BM662" t="e">
            <v>#N/A</v>
          </cell>
          <cell r="BN662" t="e">
            <v>#N/A</v>
          </cell>
          <cell r="BO662" t="str">
            <v>Not Matched</v>
          </cell>
          <cell r="BP662">
            <v>8874950</v>
          </cell>
        </row>
        <row r="663">
          <cell r="BK663" t="str">
            <v>07AAJCG9480A1ZJG00HO-49</v>
          </cell>
          <cell r="BL663">
            <v>49.26</v>
          </cell>
          <cell r="BM663" t="e">
            <v>#N/A</v>
          </cell>
          <cell r="BN663" t="e">
            <v>#N/A</v>
          </cell>
          <cell r="BO663" t="str">
            <v>Not Matched</v>
          </cell>
          <cell r="BP663">
            <v>8874950</v>
          </cell>
        </row>
        <row r="664">
          <cell r="BK664" t="str">
            <v>07AAJCG9480A1ZJG00HO-49</v>
          </cell>
          <cell r="BL664">
            <v>7.32</v>
          </cell>
          <cell r="BM664" t="e">
            <v>#N/A</v>
          </cell>
          <cell r="BN664" t="e">
            <v>#N/A</v>
          </cell>
          <cell r="BO664" t="str">
            <v>Not Matched</v>
          </cell>
          <cell r="BP664">
            <v>8874950</v>
          </cell>
        </row>
        <row r="665">
          <cell r="BK665" t="str">
            <v>07AAJCG9480A1ZJG00HO-49</v>
          </cell>
          <cell r="BL665">
            <v>12.6</v>
          </cell>
          <cell r="BM665" t="e">
            <v>#N/A</v>
          </cell>
          <cell r="BN665" t="e">
            <v>#N/A</v>
          </cell>
          <cell r="BO665" t="str">
            <v>Not Matched</v>
          </cell>
          <cell r="BP665">
            <v>8874950</v>
          </cell>
        </row>
        <row r="666">
          <cell r="BK666" t="str">
            <v>07AAJCG9480A1ZJG00HO-49</v>
          </cell>
          <cell r="BL666">
            <v>6.94</v>
          </cell>
          <cell r="BM666" t="e">
            <v>#N/A</v>
          </cell>
          <cell r="BN666" t="e">
            <v>#N/A</v>
          </cell>
          <cell r="BO666" t="str">
            <v>Not Matched</v>
          </cell>
          <cell r="BP666">
            <v>8874950</v>
          </cell>
        </row>
        <row r="667">
          <cell r="BK667" t="str">
            <v>07AAJCG9480A1ZJG00HO-49</v>
          </cell>
          <cell r="BL667">
            <v>10.2</v>
          </cell>
          <cell r="BM667" t="e">
            <v>#N/A</v>
          </cell>
          <cell r="BN667" t="e">
            <v>#N/A</v>
          </cell>
          <cell r="BO667" t="str">
            <v>Not Matched</v>
          </cell>
          <cell r="BP667">
            <v>8874950</v>
          </cell>
        </row>
        <row r="668">
          <cell r="BK668" t="str">
            <v>07AAJCG9480A1ZJG00HO-49</v>
          </cell>
          <cell r="BL668">
            <v>14.24</v>
          </cell>
          <cell r="BM668" t="e">
            <v>#N/A</v>
          </cell>
          <cell r="BN668" t="e">
            <v>#N/A</v>
          </cell>
          <cell r="BO668" t="str">
            <v>Not Matched</v>
          </cell>
          <cell r="BP668">
            <v>8874950</v>
          </cell>
        </row>
        <row r="669">
          <cell r="BK669" t="str">
            <v>07AAJCG9480A1ZJG00HO-49</v>
          </cell>
          <cell r="BL669">
            <v>36.3</v>
          </cell>
          <cell r="BM669" t="e">
            <v>#N/A</v>
          </cell>
          <cell r="BN669" t="e">
            <v>#N/A</v>
          </cell>
          <cell r="BO669" t="str">
            <v>Not Matched</v>
          </cell>
          <cell r="BP669">
            <v>8874950</v>
          </cell>
        </row>
        <row r="670">
          <cell r="BK670" t="str">
            <v>07AAJCG9480A1ZJG00HO-49</v>
          </cell>
          <cell r="BL670">
            <v>7.28</v>
          </cell>
          <cell r="BM670" t="e">
            <v>#N/A</v>
          </cell>
          <cell r="BN670" t="e">
            <v>#N/A</v>
          </cell>
          <cell r="BO670" t="str">
            <v>Not Matched</v>
          </cell>
          <cell r="BP670">
            <v>8874950</v>
          </cell>
        </row>
        <row r="671">
          <cell r="BK671" t="str">
            <v>07AAJCG9480A1ZJG00HO-49</v>
          </cell>
          <cell r="BL671">
            <v>72.16</v>
          </cell>
          <cell r="BM671" t="e">
            <v>#N/A</v>
          </cell>
          <cell r="BN671" t="e">
            <v>#N/A</v>
          </cell>
          <cell r="BO671" t="str">
            <v>Not Matched</v>
          </cell>
          <cell r="BP671">
            <v>8874950</v>
          </cell>
        </row>
        <row r="672">
          <cell r="BK672" t="str">
            <v>07AAJCG9480A1ZJG00HO-51</v>
          </cell>
          <cell r="BL672">
            <v>130.28</v>
          </cell>
          <cell r="BM672" t="e">
            <v>#N/A</v>
          </cell>
          <cell r="BN672" t="e">
            <v>#N/A</v>
          </cell>
          <cell r="BO672" t="str">
            <v>Not Matched</v>
          </cell>
          <cell r="BP672">
            <v>8907821</v>
          </cell>
        </row>
        <row r="673">
          <cell r="BK673" t="str">
            <v>07AAJCG9480A1ZJG00HO-51</v>
          </cell>
          <cell r="BL673">
            <v>14.1</v>
          </cell>
          <cell r="BM673" t="e">
            <v>#N/A</v>
          </cell>
          <cell r="BN673" t="e">
            <v>#N/A</v>
          </cell>
          <cell r="BO673" t="str">
            <v>Not Matched</v>
          </cell>
          <cell r="BP673">
            <v>8907821</v>
          </cell>
        </row>
        <row r="674">
          <cell r="BK674" t="str">
            <v>06AAFCN6567R1ZLSIT25NGWOO16O9</v>
          </cell>
          <cell r="BL674">
            <v>900</v>
          </cell>
          <cell r="BM674" t="e">
            <v>#N/A</v>
          </cell>
          <cell r="BN674" t="e">
            <v>#N/A</v>
          </cell>
          <cell r="BO674" t="str">
            <v>Not Matched</v>
          </cell>
          <cell r="BP674">
            <v>8907824</v>
          </cell>
        </row>
        <row r="675">
          <cell r="BK675" t="str">
            <v>07AAJCG9480A1ZJG00HO-60</v>
          </cell>
          <cell r="BL675">
            <v>106.96</v>
          </cell>
          <cell r="BM675" t="e">
            <v>#N/A</v>
          </cell>
          <cell r="BN675" t="e">
            <v>#N/A</v>
          </cell>
          <cell r="BO675" t="str">
            <v>Not Matched</v>
          </cell>
          <cell r="BP675">
            <v>8918469</v>
          </cell>
        </row>
        <row r="676">
          <cell r="BK676" t="str">
            <v>07AAJCG9480A1ZJG00HO-62</v>
          </cell>
          <cell r="BL676">
            <v>20.56</v>
          </cell>
          <cell r="BM676" t="e">
            <v>#N/A</v>
          </cell>
          <cell r="BN676" t="e">
            <v>#N/A</v>
          </cell>
          <cell r="BO676" t="str">
            <v>Not Matched</v>
          </cell>
          <cell r="BP676">
            <v>8918467</v>
          </cell>
        </row>
        <row r="677">
          <cell r="BK677" t="str">
            <v>07AAJCG9480A1ZJG00HO-49</v>
          </cell>
          <cell r="BL677">
            <v>24</v>
          </cell>
          <cell r="BM677" t="e">
            <v>#N/A</v>
          </cell>
          <cell r="BN677" t="e">
            <v>#N/A</v>
          </cell>
          <cell r="BO677" t="str">
            <v>Not Matched</v>
          </cell>
          <cell r="BP677">
            <v>8874950</v>
          </cell>
        </row>
        <row r="678">
          <cell r="BK678" t="str">
            <v>07AAJCS4628Q1ZMGPI/SE/09/25-26</v>
          </cell>
          <cell r="BL678">
            <v>-5400</v>
          </cell>
          <cell r="BM678" t="e">
            <v>#N/A</v>
          </cell>
          <cell r="BN678" t="e">
            <v>#N/A</v>
          </cell>
          <cell r="BO678" t="str">
            <v>Not Matched</v>
          </cell>
          <cell r="BP678">
            <v>8874424</v>
          </cell>
        </row>
        <row r="679">
          <cell r="BK679" t="str">
            <v>07AAACB0272G1Z5H2500053</v>
          </cell>
          <cell r="BL679">
            <v>2970</v>
          </cell>
          <cell r="BM679" t="e">
            <v>#N/A</v>
          </cell>
          <cell r="BN679" t="e">
            <v>#N/A</v>
          </cell>
          <cell r="BO679" t="str">
            <v>Not Matched</v>
          </cell>
          <cell r="BP679">
            <v>8862738</v>
          </cell>
        </row>
        <row r="680">
          <cell r="BK680" t="str">
            <v>07AAJCG9480A1ZJG00HO-49</v>
          </cell>
          <cell r="BL680">
            <v>2.9</v>
          </cell>
          <cell r="BM680" t="e">
            <v>#N/A</v>
          </cell>
          <cell r="BN680" t="e">
            <v>#N/A</v>
          </cell>
          <cell r="BO680" t="str">
            <v>Not Matched</v>
          </cell>
          <cell r="BP680">
            <v>8874950</v>
          </cell>
        </row>
        <row r="681">
          <cell r="BK681" t="str">
            <v>07AAJCG9480A1ZJG00HO-56</v>
          </cell>
          <cell r="BL681">
            <v>141.14</v>
          </cell>
          <cell r="BM681" t="e">
            <v>#N/A</v>
          </cell>
          <cell r="BN681" t="e">
            <v>#N/A</v>
          </cell>
          <cell r="BO681" t="str">
            <v>Not Matched</v>
          </cell>
          <cell r="BP681">
            <v>8918464</v>
          </cell>
        </row>
        <row r="682">
          <cell r="BK682" t="str">
            <v>07AAJCG9480A1ZJG00HO-49</v>
          </cell>
          <cell r="BL682">
            <v>4.58</v>
          </cell>
          <cell r="BM682" t="e">
            <v>#N/A</v>
          </cell>
          <cell r="BN682" t="e">
            <v>#N/A</v>
          </cell>
          <cell r="BO682" t="str">
            <v>Not Matched</v>
          </cell>
          <cell r="BP682">
            <v>8874950</v>
          </cell>
        </row>
        <row r="683">
          <cell r="BK683" t="str">
            <v>07AAJCG9480A1ZJG00HO-49</v>
          </cell>
          <cell r="BL683">
            <v>3.6</v>
          </cell>
          <cell r="BM683" t="e">
            <v>#N/A</v>
          </cell>
          <cell r="BN683" t="e">
            <v>#N/A</v>
          </cell>
          <cell r="BO683" t="str">
            <v>Not Matched</v>
          </cell>
          <cell r="BP683">
            <v>8874950</v>
          </cell>
        </row>
        <row r="684">
          <cell r="BK684" t="str">
            <v>07AAJCG9480A1ZJG00HO-56</v>
          </cell>
          <cell r="BL684">
            <v>540</v>
          </cell>
          <cell r="BM684" t="e">
            <v>#N/A</v>
          </cell>
          <cell r="BN684" t="e">
            <v>#N/A</v>
          </cell>
          <cell r="BO684" t="str">
            <v>Not Matched</v>
          </cell>
          <cell r="BP684">
            <v>8918464</v>
          </cell>
        </row>
        <row r="685">
          <cell r="BK685" t="str">
            <v>27AABCI2726B1Z2MH12526076143895</v>
          </cell>
          <cell r="BL685">
            <v>399.45</v>
          </cell>
          <cell r="BM685" t="e">
            <v>#N/A</v>
          </cell>
          <cell r="BN685" t="e">
            <v>#N/A</v>
          </cell>
          <cell r="BO685" t="str">
            <v>Not Matched</v>
          </cell>
          <cell r="BP685">
            <v>101078299</v>
          </cell>
        </row>
        <row r="686">
          <cell r="BK686" t="str">
            <v>07AAJCG9480A1ZJG00HO-49</v>
          </cell>
          <cell r="BL686">
            <v>22.18</v>
          </cell>
          <cell r="BM686" t="e">
            <v>#N/A</v>
          </cell>
          <cell r="BN686" t="e">
            <v>#N/A</v>
          </cell>
          <cell r="BO686" t="str">
            <v>Not Matched</v>
          </cell>
          <cell r="BP686">
            <v>8874950</v>
          </cell>
        </row>
        <row r="687">
          <cell r="BK687" t="str">
            <v>07AAJCG9480A1ZJG00HO-49</v>
          </cell>
          <cell r="BL687">
            <v>4.16</v>
          </cell>
          <cell r="BM687" t="e">
            <v>#N/A</v>
          </cell>
          <cell r="BN687" t="e">
            <v>#N/A</v>
          </cell>
          <cell r="BO687" t="str">
            <v>Not Matched</v>
          </cell>
          <cell r="BP687">
            <v>8874950</v>
          </cell>
        </row>
        <row r="688">
          <cell r="BK688" t="str">
            <v>07AAGCE8453J1ZAETPL/2526/12/539</v>
          </cell>
          <cell r="BL688">
            <v>127523.16</v>
          </cell>
          <cell r="BM688" t="e">
            <v>#N/A</v>
          </cell>
          <cell r="BN688" t="e">
            <v>#N/A</v>
          </cell>
          <cell r="BO688" t="str">
            <v>Not Matched</v>
          </cell>
          <cell r="BP688">
            <v>8878629</v>
          </cell>
        </row>
        <row r="689">
          <cell r="BK689" t="str">
            <v>07AAPPS0333K1ZF228</v>
          </cell>
          <cell r="BL689">
            <v>8190</v>
          </cell>
          <cell r="BM689" t="e">
            <v>#N/A</v>
          </cell>
          <cell r="BN689" t="e">
            <v>#N/A</v>
          </cell>
          <cell r="BO689" t="str">
            <v>Not Matched</v>
          </cell>
          <cell r="BP689">
            <v>8903346</v>
          </cell>
        </row>
        <row r="690">
          <cell r="BK690" t="str">
            <v>07AAJCG9480A1ZJG00HO-49</v>
          </cell>
          <cell r="BL690">
            <v>8.9</v>
          </cell>
          <cell r="BM690" t="e">
            <v>#N/A</v>
          </cell>
          <cell r="BN690" t="e">
            <v>#N/A</v>
          </cell>
          <cell r="BO690" t="str">
            <v>Not Matched</v>
          </cell>
          <cell r="BP690">
            <v>8874950</v>
          </cell>
        </row>
        <row r="691">
          <cell r="BK691" t="str">
            <v>07AAJCG9480A1ZJG00HO-49</v>
          </cell>
          <cell r="BL691">
            <v>5.32</v>
          </cell>
          <cell r="BM691" t="e">
            <v>#N/A</v>
          </cell>
          <cell r="BN691" t="e">
            <v>#N/A</v>
          </cell>
          <cell r="BO691" t="str">
            <v>Not Matched</v>
          </cell>
          <cell r="BP691">
            <v>8874950</v>
          </cell>
        </row>
        <row r="692">
          <cell r="BK692" t="str">
            <v>07AAJCG9480A1ZJG00HO-49</v>
          </cell>
          <cell r="BL692">
            <v>7.7</v>
          </cell>
          <cell r="BM692" t="e">
            <v>#N/A</v>
          </cell>
          <cell r="BN692" t="e">
            <v>#N/A</v>
          </cell>
          <cell r="BO692" t="str">
            <v>Not Matched</v>
          </cell>
          <cell r="BP692">
            <v>8874950</v>
          </cell>
        </row>
        <row r="693">
          <cell r="BK693" t="str">
            <v>07AABCT3518Q1ZYDL25C00000021787</v>
          </cell>
          <cell r="BL693">
            <v>-1839.96</v>
          </cell>
          <cell r="BM693" t="e">
            <v>#N/A</v>
          </cell>
          <cell r="BN693" t="e">
            <v>#N/A</v>
          </cell>
          <cell r="BO693" t="str">
            <v>Not Matched</v>
          </cell>
          <cell r="BP693">
            <v>8893082</v>
          </cell>
        </row>
        <row r="694">
          <cell r="BK694" t="str">
            <v>09AHBPD5861G1ZG45658</v>
          </cell>
          <cell r="BL694">
            <v>-173340</v>
          </cell>
          <cell r="BM694" t="e">
            <v>#N/A</v>
          </cell>
          <cell r="BN694" t="e">
            <v>#N/A</v>
          </cell>
          <cell r="BO694" t="str">
            <v>Not Matched</v>
          </cell>
          <cell r="BP694">
            <v>8891842</v>
          </cell>
        </row>
        <row r="695">
          <cell r="BK695" t="str">
            <v>07AAJCG9480A1ZJG00HO-56</v>
          </cell>
          <cell r="BL695">
            <v>12.86</v>
          </cell>
          <cell r="BM695" t="e">
            <v>#N/A</v>
          </cell>
          <cell r="BN695" t="e">
            <v>#N/A</v>
          </cell>
          <cell r="BO695" t="str">
            <v>Not Matched</v>
          </cell>
          <cell r="BP695">
            <v>8918464</v>
          </cell>
        </row>
        <row r="696">
          <cell r="BK696" t="str">
            <v>07AAJCG9480A1ZJG00HO-56</v>
          </cell>
          <cell r="BL696">
            <v>31.2</v>
          </cell>
          <cell r="BM696" t="e">
            <v>#N/A</v>
          </cell>
          <cell r="BN696" t="e">
            <v>#N/A</v>
          </cell>
          <cell r="BO696" t="str">
            <v>Not Matched</v>
          </cell>
          <cell r="BP696">
            <v>8918464</v>
          </cell>
        </row>
        <row r="697">
          <cell r="BK697" t="str">
            <v>07AAJCG9480A1ZJG00HO-60</v>
          </cell>
          <cell r="BL697">
            <v>447.62</v>
          </cell>
          <cell r="BM697" t="e">
            <v>#N/A</v>
          </cell>
          <cell r="BN697" t="e">
            <v>#N/A</v>
          </cell>
          <cell r="BO697" t="str">
            <v>Not Matched</v>
          </cell>
          <cell r="BP697">
            <v>8918469</v>
          </cell>
        </row>
        <row r="698">
          <cell r="BK698" t="str">
            <v>07AAJCG9480A1ZJG00HO-51</v>
          </cell>
          <cell r="BL698">
            <v>128.96</v>
          </cell>
          <cell r="BM698" t="e">
            <v>#N/A</v>
          </cell>
          <cell r="BN698" t="e">
            <v>#N/A</v>
          </cell>
          <cell r="BO698" t="str">
            <v>Not Matched</v>
          </cell>
          <cell r="BP698">
            <v>8907821</v>
          </cell>
        </row>
        <row r="699">
          <cell r="BK699" t="str">
            <v>07AAJCG9480A1ZJG00HO-54</v>
          </cell>
          <cell r="BL699">
            <v>1270</v>
          </cell>
          <cell r="BM699" t="e">
            <v>#N/A</v>
          </cell>
          <cell r="BN699" t="e">
            <v>#N/A</v>
          </cell>
          <cell r="BO699" t="str">
            <v>Not Matched</v>
          </cell>
          <cell r="BP699">
            <v>8907817</v>
          </cell>
        </row>
        <row r="700">
          <cell r="BK700" t="str">
            <v>07AAJCG9480A1ZJG00HO-49</v>
          </cell>
          <cell r="BL700">
            <v>104.06</v>
          </cell>
          <cell r="BM700" t="e">
            <v>#N/A</v>
          </cell>
          <cell r="BN700" t="e">
            <v>#N/A</v>
          </cell>
          <cell r="BO700" t="str">
            <v>Not Matched</v>
          </cell>
          <cell r="BP700">
            <v>8874950</v>
          </cell>
        </row>
        <row r="701">
          <cell r="BK701" t="str">
            <v>07AABCI2726B1Z4DL2252606AF006390</v>
          </cell>
          <cell r="BL701">
            <v>186.46</v>
          </cell>
          <cell r="BM701" t="e">
            <v>#N/A</v>
          </cell>
          <cell r="BN701" t="e">
            <v>#N/A</v>
          </cell>
          <cell r="BO701" t="str">
            <v>Not Matched</v>
          </cell>
          <cell r="BP701">
            <v>101078292</v>
          </cell>
        </row>
        <row r="702">
          <cell r="BK702" t="str">
            <v>07AAJCG9480A1ZJG00HO-49</v>
          </cell>
          <cell r="BL702">
            <v>12.84</v>
          </cell>
          <cell r="BM702" t="e">
            <v>#N/A</v>
          </cell>
          <cell r="BN702" t="e">
            <v>#N/A</v>
          </cell>
          <cell r="BO702" t="str">
            <v>Not Matched</v>
          </cell>
          <cell r="BP702">
            <v>8874950</v>
          </cell>
        </row>
        <row r="703">
          <cell r="BK703" t="str">
            <v>07AAPPS0333K1ZF228</v>
          </cell>
          <cell r="BL703">
            <v>270</v>
          </cell>
          <cell r="BM703" t="e">
            <v>#N/A</v>
          </cell>
          <cell r="BN703" t="e">
            <v>#N/A</v>
          </cell>
          <cell r="BO703" t="str">
            <v>Not Matched</v>
          </cell>
          <cell r="BP703">
            <v>8903346</v>
          </cell>
        </row>
        <row r="704">
          <cell r="BK704" t="str">
            <v>07ASGPB8163K1ZK1122-2656-2657</v>
          </cell>
          <cell r="BL704">
            <v>828</v>
          </cell>
          <cell r="BM704" t="e">
            <v>#N/A</v>
          </cell>
          <cell r="BN704" t="e">
            <v>#N/A</v>
          </cell>
          <cell r="BO704" t="str">
            <v>Not Matched</v>
          </cell>
          <cell r="BP704">
            <v>8864895</v>
          </cell>
        </row>
        <row r="705">
          <cell r="BK705" t="str">
            <v>07AAJCG9480A1ZJG00HO-49</v>
          </cell>
          <cell r="BL705">
            <v>31.88</v>
          </cell>
          <cell r="BM705" t="e">
            <v>#N/A</v>
          </cell>
          <cell r="BN705" t="e">
            <v>#N/A</v>
          </cell>
          <cell r="BO705" t="str">
            <v>Not Matched</v>
          </cell>
          <cell r="BP705">
            <v>8874950</v>
          </cell>
        </row>
        <row r="706">
          <cell r="BK706" t="str">
            <v>07AAJCG9480A1ZJG00HO-49</v>
          </cell>
          <cell r="BL706">
            <v>8.58</v>
          </cell>
          <cell r="BM706" t="e">
            <v>#N/A</v>
          </cell>
          <cell r="BN706" t="e">
            <v>#N/A</v>
          </cell>
          <cell r="BO706" t="str">
            <v>Not Matched</v>
          </cell>
          <cell r="BP706">
            <v>8874950</v>
          </cell>
        </row>
        <row r="707">
          <cell r="BK707" t="str">
            <v>07AAJCG9480A1ZJG00HO-49</v>
          </cell>
          <cell r="BL707">
            <v>5.48</v>
          </cell>
          <cell r="BM707" t="e">
            <v>#N/A</v>
          </cell>
          <cell r="BN707" t="e">
            <v>#N/A</v>
          </cell>
          <cell r="BO707" t="str">
            <v>Not Matched</v>
          </cell>
          <cell r="BP707">
            <v>8874950</v>
          </cell>
        </row>
        <row r="708">
          <cell r="BK708" t="str">
            <v>07AAJCG9480A1ZJG00HO-49</v>
          </cell>
          <cell r="BL708">
            <v>42.1</v>
          </cell>
          <cell r="BM708" t="e">
            <v>#N/A</v>
          </cell>
          <cell r="BN708" t="e">
            <v>#N/A</v>
          </cell>
          <cell r="BO708" t="str">
            <v>Not Matched</v>
          </cell>
          <cell r="BP708">
            <v>8874950</v>
          </cell>
        </row>
        <row r="709">
          <cell r="BK709" t="str">
            <v>07AAJCG9480A1ZJG00HO-49</v>
          </cell>
          <cell r="BL709">
            <v>14.88</v>
          </cell>
          <cell r="BM709" t="e">
            <v>#N/A</v>
          </cell>
          <cell r="BN709" t="e">
            <v>#N/A</v>
          </cell>
          <cell r="BO709" t="str">
            <v>Not Matched</v>
          </cell>
          <cell r="BP709">
            <v>8874950</v>
          </cell>
        </row>
        <row r="710">
          <cell r="BK710" t="str">
            <v>07AAJCG9480A1ZJG00HO-49</v>
          </cell>
          <cell r="BL710">
            <v>20.16</v>
          </cell>
          <cell r="BM710" t="e">
            <v>#N/A</v>
          </cell>
          <cell r="BN710" t="e">
            <v>#N/A</v>
          </cell>
          <cell r="BO710" t="str">
            <v>Not Matched</v>
          </cell>
          <cell r="BP710">
            <v>8874950</v>
          </cell>
        </row>
        <row r="711">
          <cell r="BK711" t="str">
            <v>07AAJCG9480A1ZJG00HO-56</v>
          </cell>
          <cell r="BL711">
            <v>160.08</v>
          </cell>
          <cell r="BM711" t="e">
            <v>#N/A</v>
          </cell>
          <cell r="BN711" t="e">
            <v>#N/A</v>
          </cell>
          <cell r="BO711" t="str">
            <v>Not Matched</v>
          </cell>
          <cell r="BP711">
            <v>8918464</v>
          </cell>
        </row>
        <row r="712">
          <cell r="BK712" t="str">
            <v>07AAHCE0138R1ZBEFM/2526/1056</v>
          </cell>
          <cell r="BL712">
            <v>35999.46</v>
          </cell>
          <cell r="BM712" t="e">
            <v>#N/A</v>
          </cell>
          <cell r="BN712" t="e">
            <v>#N/A</v>
          </cell>
          <cell r="BO712" t="str">
            <v>Not Matched</v>
          </cell>
          <cell r="BP712">
            <v>8902815</v>
          </cell>
        </row>
        <row r="713">
          <cell r="BK713" t="str">
            <v>07AAJCG9480A1ZJG00HO-49</v>
          </cell>
          <cell r="BL713">
            <v>69.16</v>
          </cell>
          <cell r="BM713" t="e">
            <v>#N/A</v>
          </cell>
          <cell r="BN713" t="e">
            <v>#N/A</v>
          </cell>
          <cell r="BO713" t="str">
            <v>Not Matched</v>
          </cell>
          <cell r="BP713">
            <v>8874950</v>
          </cell>
        </row>
        <row r="714">
          <cell r="BK714" t="str">
            <v>07AAJCG9480A1ZJG00HO-49</v>
          </cell>
          <cell r="BL714">
            <v>4.5</v>
          </cell>
          <cell r="BM714" t="e">
            <v>#N/A</v>
          </cell>
          <cell r="BN714" t="e">
            <v>#N/A</v>
          </cell>
          <cell r="BO714" t="str">
            <v>Not Matched</v>
          </cell>
          <cell r="BP714">
            <v>8874950</v>
          </cell>
        </row>
        <row r="715">
          <cell r="BK715" t="str">
            <v>07AAJCG9480A1ZJG00HO-49</v>
          </cell>
          <cell r="BL715">
            <v>5.32</v>
          </cell>
          <cell r="BM715" t="e">
            <v>#N/A</v>
          </cell>
          <cell r="BN715" t="e">
            <v>#N/A</v>
          </cell>
          <cell r="BO715" t="str">
            <v>Not Matched</v>
          </cell>
          <cell r="BP715">
            <v>8874950</v>
          </cell>
        </row>
        <row r="716">
          <cell r="BK716" t="str">
            <v>07AAJCG9480A1ZJG00HO-49</v>
          </cell>
          <cell r="BL716">
            <v>48.58</v>
          </cell>
          <cell r="BM716" t="e">
            <v>#N/A</v>
          </cell>
          <cell r="BN716" t="e">
            <v>#N/A</v>
          </cell>
          <cell r="BO716" t="str">
            <v>Not Matched</v>
          </cell>
          <cell r="BP716">
            <v>8874950</v>
          </cell>
        </row>
        <row r="717">
          <cell r="BK717" t="str">
            <v>27AABCT3784C1ZDGLMS00000051448</v>
          </cell>
          <cell r="BL717">
            <v>-5434.34</v>
          </cell>
          <cell r="BM717" t="e">
            <v>#N/A</v>
          </cell>
          <cell r="BN717" t="e">
            <v>#N/A</v>
          </cell>
          <cell r="BO717" t="str">
            <v>Not Matched</v>
          </cell>
          <cell r="BP717">
            <v>8893090</v>
          </cell>
        </row>
        <row r="718">
          <cell r="BK718" t="str">
            <v>07AAJCG9480A1ZJG00HO-56</v>
          </cell>
          <cell r="BL718">
            <v>153.04</v>
          </cell>
          <cell r="BM718" t="e">
            <v>#N/A</v>
          </cell>
          <cell r="BN718" t="e">
            <v>#N/A</v>
          </cell>
          <cell r="BO718" t="str">
            <v>Not Matched</v>
          </cell>
          <cell r="BP718">
            <v>8918464</v>
          </cell>
        </row>
        <row r="719">
          <cell r="BK719" t="str">
            <v>07AAJCG9480A1ZJG00HO-60</v>
          </cell>
          <cell r="BL719">
            <v>1182.86</v>
          </cell>
          <cell r="BM719" t="e">
            <v>#N/A</v>
          </cell>
          <cell r="BN719" t="e">
            <v>#N/A</v>
          </cell>
          <cell r="BO719" t="str">
            <v>Not Matched</v>
          </cell>
          <cell r="BP719">
            <v>8918469</v>
          </cell>
        </row>
        <row r="720">
          <cell r="BK720" t="str">
            <v>07AAJCG9480A1ZJG00HO-48</v>
          </cell>
          <cell r="BL720">
            <v>1136.8</v>
          </cell>
          <cell r="BM720" t="e">
            <v>#N/A</v>
          </cell>
          <cell r="BN720" t="e">
            <v>#N/A</v>
          </cell>
          <cell r="BO720" t="str">
            <v>Not Matched</v>
          </cell>
          <cell r="BP720">
            <v>8918471</v>
          </cell>
        </row>
        <row r="721">
          <cell r="BK721" t="str">
            <v>07AAJCG9480A1ZJG00HO-49</v>
          </cell>
          <cell r="BL721">
            <v>3.14</v>
          </cell>
          <cell r="BM721" t="e">
            <v>#N/A</v>
          </cell>
          <cell r="BN721" t="e">
            <v>#N/A</v>
          </cell>
          <cell r="BO721" t="str">
            <v>Not Matched</v>
          </cell>
          <cell r="BP721">
            <v>8874950</v>
          </cell>
        </row>
        <row r="722">
          <cell r="BK722" t="str">
            <v>07AAJCG9480A1ZJG00HO-49</v>
          </cell>
          <cell r="BL722">
            <v>4.9</v>
          </cell>
          <cell r="BM722" t="e">
            <v>#N/A</v>
          </cell>
          <cell r="BN722" t="e">
            <v>#N/A</v>
          </cell>
          <cell r="BO722" t="str">
            <v>Not Matched</v>
          </cell>
          <cell r="BP722">
            <v>8874950</v>
          </cell>
        </row>
        <row r="723">
          <cell r="BK723" t="str">
            <v>07AAJCG9480A1ZJG00HO-49</v>
          </cell>
          <cell r="BL723">
            <v>7.08</v>
          </cell>
          <cell r="BM723" t="e">
            <v>#N/A</v>
          </cell>
          <cell r="BN723" t="e">
            <v>#N/A</v>
          </cell>
          <cell r="BO723" t="str">
            <v>Not Matched</v>
          </cell>
          <cell r="BP723">
            <v>8874950</v>
          </cell>
        </row>
        <row r="724">
          <cell r="BK724" t="str">
            <v>07AAJCG9480A1ZJG00HO-49</v>
          </cell>
          <cell r="BL724">
            <v>19.36</v>
          </cell>
          <cell r="BM724" t="e">
            <v>#N/A</v>
          </cell>
          <cell r="BN724" t="e">
            <v>#N/A</v>
          </cell>
          <cell r="BO724" t="str">
            <v>Not Matched</v>
          </cell>
          <cell r="BP724">
            <v>8874950</v>
          </cell>
        </row>
        <row r="725">
          <cell r="BK725" t="str">
            <v>07AAACB0272G1Z5M2500113</v>
          </cell>
          <cell r="BL725">
            <v>108000</v>
          </cell>
          <cell r="BM725" t="e">
            <v>#N/A</v>
          </cell>
          <cell r="BN725" t="e">
            <v>#N/A</v>
          </cell>
          <cell r="BO725" t="str">
            <v>Not Matched</v>
          </cell>
          <cell r="BP725">
            <v>8891996</v>
          </cell>
        </row>
        <row r="726">
          <cell r="BK726" t="str">
            <v>07AAJCG9480A1ZJG00HO-49</v>
          </cell>
          <cell r="BL726">
            <v>45.26</v>
          </cell>
          <cell r="BM726" t="e">
            <v>#N/A</v>
          </cell>
          <cell r="BN726" t="e">
            <v>#N/A</v>
          </cell>
          <cell r="BO726" t="str">
            <v>Not Matched</v>
          </cell>
          <cell r="BP726">
            <v>8874950</v>
          </cell>
        </row>
        <row r="727">
          <cell r="BK727" t="str">
            <v>07AAJCG9480A1ZJG00HO-51</v>
          </cell>
          <cell r="BL727">
            <v>211.36</v>
          </cell>
          <cell r="BM727" t="e">
            <v>#N/A</v>
          </cell>
          <cell r="BN727" t="e">
            <v>#N/A</v>
          </cell>
          <cell r="BO727" t="str">
            <v>Not Matched</v>
          </cell>
          <cell r="BP727">
            <v>8907821</v>
          </cell>
        </row>
        <row r="728">
          <cell r="BK728" t="str">
            <v>07AAJCG9480A1ZJG00HO-51</v>
          </cell>
          <cell r="BL728">
            <v>65.78</v>
          </cell>
          <cell r="BM728" t="e">
            <v>#N/A</v>
          </cell>
          <cell r="BN728" t="e">
            <v>#N/A</v>
          </cell>
          <cell r="BO728" t="str">
            <v>Not Matched</v>
          </cell>
          <cell r="BP728">
            <v>8907821</v>
          </cell>
        </row>
        <row r="729">
          <cell r="BK729" t="str">
            <v>07AAJCG9480A1ZJG00HO-56</v>
          </cell>
          <cell r="BL729">
            <v>175.24</v>
          </cell>
          <cell r="BM729" t="e">
            <v>#N/A</v>
          </cell>
          <cell r="BN729" t="e">
            <v>#N/A</v>
          </cell>
          <cell r="BO729" t="str">
            <v>Not Matched</v>
          </cell>
          <cell r="BP729">
            <v>8918464</v>
          </cell>
        </row>
        <row r="730">
          <cell r="BK730" t="str">
            <v>07AAJCG9480A1ZJG00HO-53</v>
          </cell>
          <cell r="BL730">
            <v>860</v>
          </cell>
          <cell r="BM730" t="e">
            <v>#N/A</v>
          </cell>
          <cell r="BN730" t="e">
            <v>#N/A</v>
          </cell>
          <cell r="BO730" t="str">
            <v>Not Matched</v>
          </cell>
          <cell r="BP730">
            <v>8907816</v>
          </cell>
        </row>
        <row r="731">
          <cell r="BK731" t="str">
            <v>07AAJCG9480A1ZJG00HO-52</v>
          </cell>
          <cell r="BL731">
            <v>448.48</v>
          </cell>
          <cell r="BM731" t="e">
            <v>#N/A</v>
          </cell>
          <cell r="BN731" t="e">
            <v>#N/A</v>
          </cell>
          <cell r="BO731" t="str">
            <v>Not Matched</v>
          </cell>
          <cell r="BP731">
            <v>8907818</v>
          </cell>
        </row>
        <row r="732">
          <cell r="BK732" t="str">
            <v>07AAJCG9480A1ZJG00HO-60</v>
          </cell>
          <cell r="BL732">
            <v>179.14</v>
          </cell>
          <cell r="BM732" t="e">
            <v>#N/A</v>
          </cell>
          <cell r="BN732" t="e">
            <v>#N/A</v>
          </cell>
          <cell r="BO732" t="str">
            <v>Not Matched</v>
          </cell>
          <cell r="BP732">
            <v>8918469</v>
          </cell>
        </row>
        <row r="733">
          <cell r="BK733" t="str">
            <v>07AAJCG9480A1ZJG00HO-49</v>
          </cell>
          <cell r="BL733">
            <v>7.24</v>
          </cell>
          <cell r="BM733" t="e">
            <v>#N/A</v>
          </cell>
          <cell r="BN733" t="e">
            <v>#N/A</v>
          </cell>
          <cell r="BO733" t="str">
            <v>Not Matched</v>
          </cell>
          <cell r="BP733">
            <v>8874950</v>
          </cell>
        </row>
        <row r="734">
          <cell r="BK734" t="str">
            <v>07AAJCG9480A1ZJG00HO-49</v>
          </cell>
          <cell r="BL734">
            <v>11.64</v>
          </cell>
          <cell r="BM734" t="e">
            <v>#N/A</v>
          </cell>
          <cell r="BN734" t="e">
            <v>#N/A</v>
          </cell>
          <cell r="BO734" t="str">
            <v>Not Matched</v>
          </cell>
          <cell r="BP734">
            <v>8874950</v>
          </cell>
        </row>
        <row r="735">
          <cell r="BK735" t="str">
            <v>07AAJCG9480A1ZJG00HO-49</v>
          </cell>
          <cell r="BL735">
            <v>7.98</v>
          </cell>
          <cell r="BM735" t="e">
            <v>#N/A</v>
          </cell>
          <cell r="BN735" t="e">
            <v>#N/A</v>
          </cell>
          <cell r="BO735" t="str">
            <v>Not Matched</v>
          </cell>
          <cell r="BP735">
            <v>8874950</v>
          </cell>
        </row>
        <row r="736">
          <cell r="BK736" t="str">
            <v>07AAJCG9480A1ZJG00HO-49</v>
          </cell>
          <cell r="BL736">
            <v>6.62</v>
          </cell>
          <cell r="BM736" t="e">
            <v>#N/A</v>
          </cell>
          <cell r="BN736" t="e">
            <v>#N/A</v>
          </cell>
          <cell r="BO736" t="str">
            <v>Not Matched</v>
          </cell>
          <cell r="BP736">
            <v>8874950</v>
          </cell>
        </row>
        <row r="737">
          <cell r="BK737" t="str">
            <v>06AAFCN6567R1ZLSIT25NGWOO16O9</v>
          </cell>
          <cell r="BL737">
            <v>900</v>
          </cell>
          <cell r="BM737" t="e">
            <v>#N/A</v>
          </cell>
          <cell r="BN737" t="e">
            <v>#N/A</v>
          </cell>
          <cell r="BO737" t="str">
            <v>Not Matched</v>
          </cell>
          <cell r="BP737">
            <v>8907824</v>
          </cell>
        </row>
        <row r="738">
          <cell r="BK738" t="str">
            <v>07AAHCE0138R1ZBEFM/2526/1055</v>
          </cell>
          <cell r="BL738">
            <v>20233.12</v>
          </cell>
          <cell r="BM738" t="e">
            <v>#N/A</v>
          </cell>
          <cell r="BN738" t="e">
            <v>#N/A</v>
          </cell>
          <cell r="BO738" t="str">
            <v>Not Matched</v>
          </cell>
          <cell r="BP738">
            <v>8902812</v>
          </cell>
        </row>
        <row r="739">
          <cell r="BK739" t="str">
            <v>06AAFCN6567R1ZLSIT25NGWOO16O9</v>
          </cell>
          <cell r="BL739">
            <v>900</v>
          </cell>
          <cell r="BM739" t="e">
            <v>#N/A</v>
          </cell>
          <cell r="BN739" t="e">
            <v>#N/A</v>
          </cell>
          <cell r="BO739" t="str">
            <v>Not Matched</v>
          </cell>
          <cell r="BP739">
            <v>8907824</v>
          </cell>
        </row>
        <row r="740">
          <cell r="BK740" t="str">
            <v>07AAACB0272G1Z5H2500052</v>
          </cell>
          <cell r="BL740">
            <v>736.02</v>
          </cell>
          <cell r="BM740" t="e">
            <v>#N/A</v>
          </cell>
          <cell r="BN740" t="e">
            <v>#N/A</v>
          </cell>
          <cell r="BO740" t="str">
            <v>Not Matched</v>
          </cell>
          <cell r="BP740">
            <v>8862735</v>
          </cell>
        </row>
        <row r="741">
          <cell r="BK741" t="str">
            <v>07AAJCG9480A1ZJG00HO-51</v>
          </cell>
          <cell r="BL741">
            <v>49.7</v>
          </cell>
          <cell r="BM741" t="e">
            <v>#N/A</v>
          </cell>
          <cell r="BN741" t="e">
            <v>#N/A</v>
          </cell>
          <cell r="BO741" t="str">
            <v>Not Matched</v>
          </cell>
          <cell r="BP741">
            <v>8907821</v>
          </cell>
        </row>
        <row r="742">
          <cell r="BK742" t="str">
            <v>07AAJCG9480A1ZJG00HO-49</v>
          </cell>
          <cell r="BL742">
            <v>8.5</v>
          </cell>
          <cell r="BM742" t="e">
            <v>#N/A</v>
          </cell>
          <cell r="BN742" t="e">
            <v>#N/A</v>
          </cell>
          <cell r="BO742" t="str">
            <v>Not Matched</v>
          </cell>
          <cell r="BP742">
            <v>8874950</v>
          </cell>
        </row>
        <row r="743">
          <cell r="BK743" t="str">
            <v>07AAJCG9480A1ZJG00HO-49</v>
          </cell>
          <cell r="BL743">
            <v>8.8</v>
          </cell>
          <cell r="BM743" t="e">
            <v>#N/A</v>
          </cell>
          <cell r="BN743" t="e">
            <v>#N/A</v>
          </cell>
          <cell r="BO743" t="str">
            <v>Not Matched</v>
          </cell>
          <cell r="BP743">
            <v>8874950</v>
          </cell>
        </row>
        <row r="744">
          <cell r="BK744" t="str">
            <v>06AACCL4494J1Z8LNC/25-26/5110</v>
          </cell>
          <cell r="BL744">
            <v>10296.59</v>
          </cell>
          <cell r="BM744">
            <v>10122.11</v>
          </cell>
          <cell r="BN744">
            <v>174</v>
          </cell>
          <cell r="BO744" t="str">
            <v>Matched</v>
          </cell>
          <cell r="BP744">
            <v>8855909</v>
          </cell>
        </row>
        <row r="745">
          <cell r="BK745" t="str">
            <v>07AAACB2100P1ZZDLSO031125408364</v>
          </cell>
          <cell r="BL745">
            <v>185.04</v>
          </cell>
          <cell r="BM745" t="e">
            <v>#N/A</v>
          </cell>
          <cell r="BN745" t="e">
            <v>#N/A</v>
          </cell>
          <cell r="BO745" t="str">
            <v>Not Matched</v>
          </cell>
          <cell r="BP745">
            <v>8837015</v>
          </cell>
        </row>
        <row r="746">
          <cell r="BK746" t="str">
            <v>27AABCT3784C1ZDGLMS00000049362</v>
          </cell>
          <cell r="BL746">
            <v>-72.99</v>
          </cell>
          <cell r="BM746" t="e">
            <v>#N/A</v>
          </cell>
          <cell r="BN746" t="e">
            <v>#N/A</v>
          </cell>
          <cell r="BO746" t="str">
            <v>Not Matched</v>
          </cell>
          <cell r="BP746">
            <v>8837093</v>
          </cell>
        </row>
        <row r="747">
          <cell r="BK747" t="str">
            <v>07ASGPB8163K1ZK1093/2025-26</v>
          </cell>
          <cell r="BL747">
            <v>-190</v>
          </cell>
          <cell r="BM747" t="e">
            <v>#N/A</v>
          </cell>
          <cell r="BN747" t="e">
            <v>#N/A</v>
          </cell>
          <cell r="BO747" t="str">
            <v>Not Matched</v>
          </cell>
          <cell r="BP747">
            <v>99862469</v>
          </cell>
        </row>
        <row r="748">
          <cell r="BK748" t="str">
            <v>27AACCN6194P1ZP272612BP05AFT995</v>
          </cell>
          <cell r="BL748">
            <v>328.4</v>
          </cell>
          <cell r="BM748">
            <v>289</v>
          </cell>
          <cell r="BN748">
            <v>39</v>
          </cell>
          <cell r="BO748" t="str">
            <v>Matched</v>
          </cell>
          <cell r="BP748">
            <v>99889790</v>
          </cell>
        </row>
        <row r="749">
          <cell r="BK749" t="str">
            <v>07AAACC0462F1Z60N25MAN102491173</v>
          </cell>
          <cell r="BL749">
            <v>-2250</v>
          </cell>
          <cell r="BM749" t="e">
            <v>#N/A</v>
          </cell>
          <cell r="BN749" t="e">
            <v>#N/A</v>
          </cell>
          <cell r="BO749" t="str">
            <v>Not Matched</v>
          </cell>
          <cell r="BP749">
            <v>8847962</v>
          </cell>
        </row>
        <row r="750">
          <cell r="BK750" t="str">
            <v>07AAACB0272G1Z5CD250190</v>
          </cell>
          <cell r="BL750">
            <v>-5.5</v>
          </cell>
          <cell r="BM750" t="e">
            <v>#N/A</v>
          </cell>
          <cell r="BN750" t="e">
            <v>#N/A</v>
          </cell>
          <cell r="BO750" t="str">
            <v>Not Matched</v>
          </cell>
          <cell r="BP750">
            <v>8849260</v>
          </cell>
        </row>
        <row r="751">
          <cell r="BK751" t="str">
            <v>27AAACI7573H1ZC22O41263</v>
          </cell>
          <cell r="BL751">
            <v>167.94</v>
          </cell>
          <cell r="BM751" t="e">
            <v>#N/A</v>
          </cell>
          <cell r="BN751" t="e">
            <v>#N/A</v>
          </cell>
          <cell r="BO751" t="str">
            <v>Not Matched</v>
          </cell>
          <cell r="BP751">
            <v>8828223</v>
          </cell>
        </row>
        <row r="752">
          <cell r="BK752" t="str">
            <v>07AAJCG9480A1ZJGOOHO/25</v>
          </cell>
          <cell r="BL752">
            <v>382.58</v>
          </cell>
          <cell r="BM752" t="e">
            <v>#N/A</v>
          </cell>
          <cell r="BN752" t="e">
            <v>#N/A</v>
          </cell>
          <cell r="BO752" t="str">
            <v>Not Matched</v>
          </cell>
          <cell r="BP752">
            <v>8845339</v>
          </cell>
        </row>
        <row r="753">
          <cell r="BK753" t="str">
            <v>07AAJCG9480A1ZJGOOHO/25</v>
          </cell>
          <cell r="BL753">
            <v>1544.94</v>
          </cell>
          <cell r="BM753" t="e">
            <v>#N/A</v>
          </cell>
          <cell r="BN753" t="e">
            <v>#N/A</v>
          </cell>
          <cell r="BO753" t="str">
            <v>Not Matched</v>
          </cell>
          <cell r="BP753">
            <v>8845339</v>
          </cell>
        </row>
        <row r="754">
          <cell r="BK754" t="str">
            <v>07AABCB5582A1Z145961</v>
          </cell>
          <cell r="BL754">
            <v>458730</v>
          </cell>
          <cell r="BM754" t="e">
            <v>#N/A</v>
          </cell>
          <cell r="BN754" t="e">
            <v>#N/A</v>
          </cell>
          <cell r="BO754" t="str">
            <v>Not Matched</v>
          </cell>
          <cell r="BP754">
            <v>8854262</v>
          </cell>
        </row>
        <row r="755">
          <cell r="BK755" t="str">
            <v>07AAJCG9480A1ZJGOOHO/25</v>
          </cell>
          <cell r="BL755">
            <v>244.06</v>
          </cell>
          <cell r="BM755" t="e">
            <v>#N/A</v>
          </cell>
          <cell r="BN755" t="e">
            <v>#N/A</v>
          </cell>
          <cell r="BO755" t="str">
            <v>Not Matched</v>
          </cell>
          <cell r="BP755">
            <v>8845339</v>
          </cell>
        </row>
        <row r="756">
          <cell r="BK756" t="str">
            <v>07AAJCG9480A1ZJGOOHO/25</v>
          </cell>
          <cell r="BL756">
            <v>198.46</v>
          </cell>
          <cell r="BM756" t="e">
            <v>#N/A</v>
          </cell>
          <cell r="BN756" t="e">
            <v>#N/A</v>
          </cell>
          <cell r="BO756" t="str">
            <v>Not Matched</v>
          </cell>
          <cell r="BP756">
            <v>8845339</v>
          </cell>
        </row>
        <row r="757">
          <cell r="BK757" t="str">
            <v>07AAJCG9480A1ZJGOOHO/25</v>
          </cell>
          <cell r="BL757">
            <v>89.08</v>
          </cell>
          <cell r="BM757" t="e">
            <v>#N/A</v>
          </cell>
          <cell r="BN757" t="e">
            <v>#N/A</v>
          </cell>
          <cell r="BO757" t="str">
            <v>Not Matched</v>
          </cell>
          <cell r="BP757">
            <v>8845339</v>
          </cell>
        </row>
        <row r="758">
          <cell r="BK758" t="str">
            <v>07ACBPV7574P1ZN76</v>
          </cell>
          <cell r="BL758">
            <v>162</v>
          </cell>
          <cell r="BM758" t="e">
            <v>#N/A</v>
          </cell>
          <cell r="BN758" t="e">
            <v>#N/A</v>
          </cell>
          <cell r="BO758" t="str">
            <v>Not Matched</v>
          </cell>
          <cell r="BP758">
            <v>8842469</v>
          </cell>
        </row>
        <row r="759">
          <cell r="BK759" t="str">
            <v>07AAACB0272G1Z5CD2500030</v>
          </cell>
          <cell r="BL759">
            <v>-6.56</v>
          </cell>
          <cell r="BM759" t="e">
            <v>#N/A</v>
          </cell>
          <cell r="BN759" t="e">
            <v>#N/A</v>
          </cell>
          <cell r="BO759" t="str">
            <v>Not Matched</v>
          </cell>
          <cell r="BP759">
            <v>8845987</v>
          </cell>
        </row>
        <row r="760">
          <cell r="BK760" t="str">
            <v>07AAJCG9480A1ZJGOOHO/25</v>
          </cell>
          <cell r="BL760">
            <v>87.86</v>
          </cell>
          <cell r="BM760" t="e">
            <v>#N/A</v>
          </cell>
          <cell r="BN760" t="e">
            <v>#N/A</v>
          </cell>
          <cell r="BO760" t="str">
            <v>Not Matched</v>
          </cell>
          <cell r="BP760">
            <v>8845339</v>
          </cell>
        </row>
        <row r="761">
          <cell r="BK761" t="str">
            <v>07AAJCG9480A1ZJGOOHO/25</v>
          </cell>
          <cell r="BL761">
            <v>40.26</v>
          </cell>
          <cell r="BM761" t="e">
            <v>#N/A</v>
          </cell>
          <cell r="BN761" t="e">
            <v>#N/A</v>
          </cell>
          <cell r="BO761" t="str">
            <v>Not Matched</v>
          </cell>
          <cell r="BP761">
            <v>8845339</v>
          </cell>
        </row>
        <row r="762">
          <cell r="BK762" t="str">
            <v>07AAJCG9480A1ZJGOOHO/25</v>
          </cell>
          <cell r="BL762">
            <v>183.04</v>
          </cell>
          <cell r="BM762" t="e">
            <v>#N/A</v>
          </cell>
          <cell r="BN762" t="e">
            <v>#N/A</v>
          </cell>
          <cell r="BO762" t="str">
            <v>Not Matched</v>
          </cell>
          <cell r="BP762">
            <v>8845339</v>
          </cell>
        </row>
        <row r="763">
          <cell r="BK763" t="str">
            <v>07AAJCG9480A1ZJGOOHO/25</v>
          </cell>
          <cell r="BL763">
            <v>32.96</v>
          </cell>
          <cell r="BM763" t="e">
            <v>#N/A</v>
          </cell>
          <cell r="BN763" t="e">
            <v>#N/A</v>
          </cell>
          <cell r="BO763" t="str">
            <v>Not Matched</v>
          </cell>
          <cell r="BP763">
            <v>8845339</v>
          </cell>
        </row>
        <row r="764">
          <cell r="BK764" t="str">
            <v>07AAJCG9480A1ZJGOOHO/25</v>
          </cell>
          <cell r="BL764">
            <v>268.94</v>
          </cell>
          <cell r="BM764" t="e">
            <v>#N/A</v>
          </cell>
          <cell r="BN764" t="e">
            <v>#N/A</v>
          </cell>
          <cell r="BO764" t="str">
            <v>Not Matched</v>
          </cell>
          <cell r="BP764">
            <v>8845339</v>
          </cell>
        </row>
        <row r="765">
          <cell r="BK765" t="str">
            <v>07AAJCG9480A1ZJGOOHO/25</v>
          </cell>
          <cell r="BL765">
            <v>2745.9</v>
          </cell>
          <cell r="BM765" t="e">
            <v>#N/A</v>
          </cell>
          <cell r="BN765" t="e">
            <v>#N/A</v>
          </cell>
          <cell r="BO765" t="str">
            <v>Not Matched</v>
          </cell>
          <cell r="BP765">
            <v>8845339</v>
          </cell>
        </row>
        <row r="766">
          <cell r="BK766" t="str">
            <v>07AAJCG9480A1ZJGOOHO/25</v>
          </cell>
          <cell r="BL766">
            <v>138.66</v>
          </cell>
          <cell r="BM766" t="e">
            <v>#N/A</v>
          </cell>
          <cell r="BN766" t="e">
            <v>#N/A</v>
          </cell>
          <cell r="BO766" t="str">
            <v>Not Matched</v>
          </cell>
          <cell r="BP766">
            <v>8845339</v>
          </cell>
        </row>
        <row r="767">
          <cell r="BK767" t="str">
            <v>07AAACB0272G1Z5CD2500060</v>
          </cell>
          <cell r="BL767">
            <v>-6.88</v>
          </cell>
          <cell r="BM767" t="e">
            <v>#N/A</v>
          </cell>
          <cell r="BN767" t="e">
            <v>#N/A</v>
          </cell>
          <cell r="BO767" t="str">
            <v>Not Matched</v>
          </cell>
          <cell r="BP767">
            <v>8845988</v>
          </cell>
        </row>
        <row r="768">
          <cell r="BK768" t="str">
            <v>07AACCN6194P2ZQ072612BP04AGO519</v>
          </cell>
          <cell r="BL768">
            <v>867</v>
          </cell>
          <cell r="BM768">
            <v>867</v>
          </cell>
          <cell r="BN768">
            <v>0</v>
          </cell>
          <cell r="BO768" t="str">
            <v>Matched</v>
          </cell>
          <cell r="BP768">
            <v>100070387</v>
          </cell>
        </row>
        <row r="769">
          <cell r="BK769" t="str">
            <v>07AAJCG9480A1ZJGOOHO/25</v>
          </cell>
          <cell r="BL769">
            <v>800.82</v>
          </cell>
          <cell r="BM769" t="e">
            <v>#N/A</v>
          </cell>
          <cell r="BN769" t="e">
            <v>#N/A</v>
          </cell>
          <cell r="BO769" t="str">
            <v>Not Matched</v>
          </cell>
          <cell r="BP769">
            <v>8845339</v>
          </cell>
        </row>
        <row r="770">
          <cell r="BK770" t="str">
            <v>07AAJCG9480A1ZJGOOHO/25</v>
          </cell>
          <cell r="BL770">
            <v>21.96</v>
          </cell>
          <cell r="BM770" t="e">
            <v>#N/A</v>
          </cell>
          <cell r="BN770" t="e">
            <v>#N/A</v>
          </cell>
          <cell r="BO770" t="str">
            <v>Not Matched</v>
          </cell>
          <cell r="BP770">
            <v>8845339</v>
          </cell>
        </row>
        <row r="771">
          <cell r="BK771" t="str">
            <v>07AAJCG9480A1ZJGOOHO/25</v>
          </cell>
          <cell r="BL771">
            <v>16.02</v>
          </cell>
          <cell r="BM771" t="e">
            <v>#N/A</v>
          </cell>
          <cell r="BN771" t="e">
            <v>#N/A</v>
          </cell>
          <cell r="BO771" t="str">
            <v>Not Matched</v>
          </cell>
          <cell r="BP771">
            <v>8845339</v>
          </cell>
        </row>
        <row r="772">
          <cell r="BK772" t="str">
            <v>07AAJCG9480A1ZJGOOHO/25</v>
          </cell>
          <cell r="BL772">
            <v>99.3</v>
          </cell>
          <cell r="BM772" t="e">
            <v>#N/A</v>
          </cell>
          <cell r="BN772" t="e">
            <v>#N/A</v>
          </cell>
          <cell r="BO772" t="str">
            <v>Not Matched</v>
          </cell>
          <cell r="BP772">
            <v>8845339</v>
          </cell>
        </row>
        <row r="773">
          <cell r="BK773" t="str">
            <v>07AAJCG9480A1ZJGOOHO/25</v>
          </cell>
          <cell r="BL773">
            <v>250.02</v>
          </cell>
          <cell r="BM773" t="e">
            <v>#N/A</v>
          </cell>
          <cell r="BN773" t="e">
            <v>#N/A</v>
          </cell>
          <cell r="BO773" t="str">
            <v>Not Matched</v>
          </cell>
          <cell r="BP773">
            <v>8845339</v>
          </cell>
        </row>
        <row r="774">
          <cell r="BK774" t="str">
            <v>07AAJCG9480A1ZJGOOHO/25</v>
          </cell>
          <cell r="BL774">
            <v>39.66</v>
          </cell>
          <cell r="BM774" t="e">
            <v>#N/A</v>
          </cell>
          <cell r="BN774" t="e">
            <v>#N/A</v>
          </cell>
          <cell r="BO774" t="str">
            <v>Not Matched</v>
          </cell>
          <cell r="BP774">
            <v>8845339</v>
          </cell>
        </row>
        <row r="775">
          <cell r="BK775" t="str">
            <v>07AAJCG9480A1ZJGOOHO/25</v>
          </cell>
          <cell r="BL775">
            <v>80.54</v>
          </cell>
          <cell r="BM775" t="e">
            <v>#N/A</v>
          </cell>
          <cell r="BN775" t="e">
            <v>#N/A</v>
          </cell>
          <cell r="BO775" t="str">
            <v>Not Matched</v>
          </cell>
          <cell r="BP775">
            <v>8845339</v>
          </cell>
        </row>
        <row r="776">
          <cell r="BK776" t="str">
            <v>07AAJCG9480A1ZJGOOHO/25</v>
          </cell>
          <cell r="BL776">
            <v>30.82</v>
          </cell>
          <cell r="BM776" t="e">
            <v>#N/A</v>
          </cell>
          <cell r="BN776" t="e">
            <v>#N/A</v>
          </cell>
          <cell r="BO776" t="str">
            <v>Not Matched</v>
          </cell>
          <cell r="BP776">
            <v>8845339</v>
          </cell>
        </row>
        <row r="777">
          <cell r="BK777" t="str">
            <v>07ASGPB8163K1ZK1131</v>
          </cell>
          <cell r="BL777">
            <v>2502</v>
          </cell>
          <cell r="BM777">
            <v>2502</v>
          </cell>
          <cell r="BN777">
            <v>0</v>
          </cell>
          <cell r="BO777" t="str">
            <v>Matched</v>
          </cell>
          <cell r="BP777">
            <v>8854263</v>
          </cell>
        </row>
        <row r="778">
          <cell r="BK778" t="str">
            <v>07AABCI2726B1Z4DL2252607AF372790</v>
          </cell>
          <cell r="BL778">
            <v>306.2</v>
          </cell>
          <cell r="BM778" t="e">
            <v>#N/A</v>
          </cell>
          <cell r="BN778" t="e">
            <v>#N/A</v>
          </cell>
          <cell r="BO778" t="str">
            <v>Not Matched</v>
          </cell>
          <cell r="BP778">
            <v>100070520</v>
          </cell>
        </row>
        <row r="779">
          <cell r="BK779" t="str">
            <v>07AABCB5576G1ZNNDCDL25002190110</v>
          </cell>
          <cell r="BL779">
            <v>127.26</v>
          </cell>
          <cell r="BM779" t="e">
            <v>#N/A</v>
          </cell>
          <cell r="BN779" t="e">
            <v>#N/A</v>
          </cell>
          <cell r="BO779" t="str">
            <v>Not Matched</v>
          </cell>
          <cell r="BP779">
            <v>8855041</v>
          </cell>
        </row>
        <row r="780">
          <cell r="BK780" t="str">
            <v>07ASGPB8163K1ZK1093/2025-26</v>
          </cell>
          <cell r="BL780">
            <v>-270</v>
          </cell>
          <cell r="BM780" t="e">
            <v>#N/A</v>
          </cell>
          <cell r="BN780" t="e">
            <v>#N/A</v>
          </cell>
          <cell r="BO780" t="str">
            <v>Not Matched</v>
          </cell>
          <cell r="BP780">
            <v>99862514</v>
          </cell>
        </row>
        <row r="781">
          <cell r="BK781" t="str">
            <v>07AAACB0272G1Z5M2500082</v>
          </cell>
          <cell r="BL781">
            <v>108000</v>
          </cell>
          <cell r="BM781" t="e">
            <v>#N/A</v>
          </cell>
          <cell r="BN781" t="e">
            <v>#N/A</v>
          </cell>
          <cell r="BO781" t="str">
            <v>Not Matched</v>
          </cell>
          <cell r="BP781">
            <v>8817530</v>
          </cell>
        </row>
        <row r="782">
          <cell r="BK782" t="str">
            <v>07AAJCG9480A1ZJGOOHO/25</v>
          </cell>
          <cell r="BL782">
            <v>91.52</v>
          </cell>
          <cell r="BM782" t="e">
            <v>#N/A</v>
          </cell>
          <cell r="BN782" t="e">
            <v>#N/A</v>
          </cell>
          <cell r="BO782" t="str">
            <v>Not Matched</v>
          </cell>
          <cell r="BP782">
            <v>8845339</v>
          </cell>
        </row>
        <row r="783">
          <cell r="BK783" t="str">
            <v>07AAJCG9480A1ZJGOOHO/25</v>
          </cell>
          <cell r="BL783">
            <v>1708.56</v>
          </cell>
          <cell r="BM783" t="e">
            <v>#N/A</v>
          </cell>
          <cell r="BN783" t="e">
            <v>#N/A</v>
          </cell>
          <cell r="BO783" t="str">
            <v>Not Matched</v>
          </cell>
          <cell r="BP783">
            <v>8845339</v>
          </cell>
        </row>
        <row r="784">
          <cell r="BK784" t="str">
            <v>07AAJCG9480A1ZJGOOHO/25</v>
          </cell>
          <cell r="BL784">
            <v>53.7</v>
          </cell>
          <cell r="BM784" t="e">
            <v>#N/A</v>
          </cell>
          <cell r="BN784" t="e">
            <v>#N/A</v>
          </cell>
          <cell r="BO784" t="str">
            <v>Not Matched</v>
          </cell>
          <cell r="BP784">
            <v>8845339</v>
          </cell>
        </row>
        <row r="785">
          <cell r="BK785" t="str">
            <v>07AAJCG9480A1ZJGOOHO/25</v>
          </cell>
          <cell r="BL785">
            <v>9.16</v>
          </cell>
          <cell r="BM785" t="e">
            <v>#N/A</v>
          </cell>
          <cell r="BN785" t="e">
            <v>#N/A</v>
          </cell>
          <cell r="BO785" t="str">
            <v>Not Matched</v>
          </cell>
          <cell r="BP785">
            <v>8845339</v>
          </cell>
        </row>
        <row r="786">
          <cell r="BK786" t="str">
            <v>07AAJCG9480A1ZJGOOHO/25</v>
          </cell>
          <cell r="BL786">
            <v>101.6</v>
          </cell>
          <cell r="BM786" t="e">
            <v>#N/A</v>
          </cell>
          <cell r="BN786" t="e">
            <v>#N/A</v>
          </cell>
          <cell r="BO786" t="str">
            <v>Not Matched</v>
          </cell>
          <cell r="BP786">
            <v>8845339</v>
          </cell>
        </row>
        <row r="787">
          <cell r="BK787" t="str">
            <v>07AABCT3518Q1ZYDE25C0000016615</v>
          </cell>
          <cell r="BL787">
            <v>-2910.6</v>
          </cell>
          <cell r="BM787" t="e">
            <v>#N/A</v>
          </cell>
          <cell r="BN787" t="e">
            <v>#N/A</v>
          </cell>
          <cell r="BO787" t="str">
            <v>Not Matched</v>
          </cell>
          <cell r="BP787">
            <v>8837073</v>
          </cell>
        </row>
        <row r="788">
          <cell r="BK788" t="str">
            <v>07AABCB5576G1ZNNDCDL25002196650</v>
          </cell>
          <cell r="BL788">
            <v>374.4</v>
          </cell>
          <cell r="BM788" t="e">
            <v>#N/A</v>
          </cell>
          <cell r="BN788" t="e">
            <v>#N/A</v>
          </cell>
          <cell r="BO788" t="str">
            <v>Not Matched</v>
          </cell>
          <cell r="BP788">
            <v>8855045</v>
          </cell>
        </row>
        <row r="789">
          <cell r="BK789" t="str">
            <v>07AAACB2100P1ZZDLSO031125408364</v>
          </cell>
          <cell r="BL789">
            <v>431.28</v>
          </cell>
          <cell r="BM789" t="e">
            <v>#N/A</v>
          </cell>
          <cell r="BN789" t="e">
            <v>#N/A</v>
          </cell>
          <cell r="BO789" t="str">
            <v>Not Matched</v>
          </cell>
          <cell r="BP789">
            <v>8837015</v>
          </cell>
        </row>
        <row r="790">
          <cell r="BK790" t="str">
            <v>07AAACL0212A2ZI1126/2025-26</v>
          </cell>
          <cell r="BL790">
            <v>6300</v>
          </cell>
          <cell r="BM790" t="e">
            <v>#N/A</v>
          </cell>
          <cell r="BN790" t="e">
            <v>#N/A</v>
          </cell>
          <cell r="BO790" t="str">
            <v>Not Matched</v>
          </cell>
          <cell r="BP790">
            <v>8855157</v>
          </cell>
        </row>
        <row r="791">
          <cell r="BK791" t="str">
            <v>07AABCB5582A1Z145961</v>
          </cell>
          <cell r="BL791">
            <v>901080</v>
          </cell>
          <cell r="BM791" t="e">
            <v>#N/A</v>
          </cell>
          <cell r="BN791" t="e">
            <v>#N/A</v>
          </cell>
          <cell r="BO791" t="str">
            <v>Not Matched</v>
          </cell>
          <cell r="BP791">
            <v>8854262</v>
          </cell>
        </row>
        <row r="792">
          <cell r="BK792" t="str">
            <v>07AAJCG9480A1ZJGOOHO/25</v>
          </cell>
          <cell r="BL792">
            <v>229.12</v>
          </cell>
          <cell r="BM792" t="e">
            <v>#N/A</v>
          </cell>
          <cell r="BN792" t="e">
            <v>#N/A</v>
          </cell>
          <cell r="BO792" t="str">
            <v>Not Matched</v>
          </cell>
          <cell r="BP792">
            <v>8845339</v>
          </cell>
        </row>
        <row r="793">
          <cell r="BK793" t="str">
            <v>07AAACB0272G1Z5CD2500010</v>
          </cell>
          <cell r="BL793">
            <v>-6.56</v>
          </cell>
          <cell r="BM793" t="e">
            <v>#N/A</v>
          </cell>
          <cell r="BN793" t="e">
            <v>#N/A</v>
          </cell>
          <cell r="BO793" t="str">
            <v>Not Matched</v>
          </cell>
          <cell r="BP793">
            <v>8845986</v>
          </cell>
        </row>
        <row r="794">
          <cell r="BK794" t="str">
            <v>07AAJCG9480A1ZJGOOHO/25</v>
          </cell>
          <cell r="BL794">
            <v>142.78</v>
          </cell>
          <cell r="BM794" t="e">
            <v>#N/A</v>
          </cell>
          <cell r="BN794" t="e">
            <v>#N/A</v>
          </cell>
          <cell r="BO794" t="str">
            <v>Not Matched</v>
          </cell>
          <cell r="BP794">
            <v>8845339</v>
          </cell>
        </row>
        <row r="795">
          <cell r="BK795" t="str">
            <v>07AAJCG9480A1ZJGOOHO/25</v>
          </cell>
          <cell r="BL795">
            <v>69.26</v>
          </cell>
          <cell r="BM795" t="e">
            <v>#N/A</v>
          </cell>
          <cell r="BN795" t="e">
            <v>#N/A</v>
          </cell>
          <cell r="BO795" t="str">
            <v>Not Matched</v>
          </cell>
          <cell r="BP795">
            <v>8845339</v>
          </cell>
        </row>
        <row r="796">
          <cell r="BK796" t="str">
            <v>07AABCB5576G1ZNNDCDL25002182940</v>
          </cell>
          <cell r="BL796">
            <v>673.02</v>
          </cell>
          <cell r="BM796" t="e">
            <v>#N/A</v>
          </cell>
          <cell r="BN796" t="e">
            <v>#N/A</v>
          </cell>
          <cell r="BO796" t="str">
            <v>Not Matched</v>
          </cell>
          <cell r="BP796">
            <v>8855040</v>
          </cell>
        </row>
        <row r="797">
          <cell r="BK797" t="str">
            <v>19AACCN6194P1ZM192622BP05AAI362</v>
          </cell>
          <cell r="BL797">
            <v>960</v>
          </cell>
          <cell r="BM797">
            <v>960</v>
          </cell>
          <cell r="BN797">
            <v>0</v>
          </cell>
          <cell r="BO797" t="str">
            <v>Matched</v>
          </cell>
          <cell r="BP797">
            <v>100070266</v>
          </cell>
        </row>
        <row r="798">
          <cell r="BK798" t="str">
            <v>07AAACB0272G1Z5CD2500020</v>
          </cell>
          <cell r="BL798">
            <v>-6.56</v>
          </cell>
          <cell r="BM798" t="e">
            <v>#N/A</v>
          </cell>
          <cell r="BN798" t="e">
            <v>#N/A</v>
          </cell>
          <cell r="BO798" t="str">
            <v>Not Matched</v>
          </cell>
          <cell r="BP798">
            <v>8845984</v>
          </cell>
        </row>
        <row r="799">
          <cell r="BK799" t="str">
            <v>07AAJCG9480A1ZJGOOHO/25</v>
          </cell>
          <cell r="BL799">
            <v>1742.64</v>
          </cell>
          <cell r="BM799" t="e">
            <v>#N/A</v>
          </cell>
          <cell r="BN799" t="e">
            <v>#N/A</v>
          </cell>
          <cell r="BO799" t="str">
            <v>Not Matched</v>
          </cell>
          <cell r="BP799">
            <v>8845339</v>
          </cell>
        </row>
        <row r="800">
          <cell r="BK800" t="str">
            <v>07AAJCG9480A1ZJGOOHO/25</v>
          </cell>
          <cell r="BL800">
            <v>109.84</v>
          </cell>
          <cell r="BM800" t="e">
            <v>#N/A</v>
          </cell>
          <cell r="BN800" t="e">
            <v>#N/A</v>
          </cell>
          <cell r="BO800" t="str">
            <v>Not Matched</v>
          </cell>
          <cell r="BP800">
            <v>8845339</v>
          </cell>
        </row>
        <row r="801">
          <cell r="BK801" t="str">
            <v>07AAACB0272G1Z5CD2500050</v>
          </cell>
          <cell r="BL801">
            <v>-6.88</v>
          </cell>
          <cell r="BM801" t="e">
            <v>#N/A</v>
          </cell>
          <cell r="BN801" t="e">
            <v>#N/A</v>
          </cell>
          <cell r="BO801" t="str">
            <v>Not Matched</v>
          </cell>
          <cell r="BP801">
            <v>8845985</v>
          </cell>
        </row>
        <row r="802">
          <cell r="BK802" t="str">
            <v>07AAACB2100P1ZZDLSO031125408364</v>
          </cell>
          <cell r="BL802">
            <v>116.64</v>
          </cell>
          <cell r="BM802" t="e">
            <v>#N/A</v>
          </cell>
          <cell r="BN802" t="e">
            <v>#N/A</v>
          </cell>
          <cell r="BO802" t="str">
            <v>Not Matched</v>
          </cell>
          <cell r="BP802">
            <v>8837015</v>
          </cell>
        </row>
        <row r="803">
          <cell r="BK803" t="str">
            <v>07AAJCG9480A1ZJGOOHO/25</v>
          </cell>
          <cell r="BL803">
            <v>37.98</v>
          </cell>
          <cell r="BM803" t="e">
            <v>#N/A</v>
          </cell>
          <cell r="BN803" t="e">
            <v>#N/A</v>
          </cell>
          <cell r="BO803" t="str">
            <v>Not Matched</v>
          </cell>
          <cell r="BP803">
            <v>8845339</v>
          </cell>
        </row>
        <row r="804">
          <cell r="BK804" t="str">
            <v>07AAJCG9480A1ZJGOOHO/25</v>
          </cell>
          <cell r="BL804">
            <v>274.26</v>
          </cell>
          <cell r="BM804" t="e">
            <v>#N/A</v>
          </cell>
          <cell r="BN804" t="e">
            <v>#N/A</v>
          </cell>
          <cell r="BO804" t="str">
            <v>Not Matched</v>
          </cell>
          <cell r="BP804">
            <v>8845339</v>
          </cell>
        </row>
        <row r="805">
          <cell r="BK805" t="str">
            <v>07AAJCG9480A1ZJGOOHO/25</v>
          </cell>
          <cell r="BL805">
            <v>792</v>
          </cell>
          <cell r="BM805" t="e">
            <v>#N/A</v>
          </cell>
          <cell r="BN805" t="e">
            <v>#N/A</v>
          </cell>
          <cell r="BO805" t="str">
            <v>Not Matched</v>
          </cell>
          <cell r="BP805">
            <v>8845339</v>
          </cell>
        </row>
        <row r="806">
          <cell r="BK806" t="str">
            <v>07AAACB0272G1Z5CD2500040</v>
          </cell>
          <cell r="BL806">
            <v>-6.88</v>
          </cell>
          <cell r="BM806" t="e">
            <v>#N/A</v>
          </cell>
          <cell r="BN806" t="e">
            <v>#N/A</v>
          </cell>
          <cell r="BO806" t="str">
            <v>Not Matched</v>
          </cell>
          <cell r="BP806">
            <v>8845989</v>
          </cell>
        </row>
        <row r="807">
          <cell r="BK807" t="str">
            <v>07AABCT3518Q1ZYDE25C0000018858</v>
          </cell>
          <cell r="BL807">
            <v>-3704.18</v>
          </cell>
          <cell r="BM807" t="e">
            <v>#N/A</v>
          </cell>
          <cell r="BN807" t="e">
            <v>#N/A</v>
          </cell>
          <cell r="BO807" t="str">
            <v>Not Matched</v>
          </cell>
          <cell r="BP807">
            <v>8837156</v>
          </cell>
        </row>
        <row r="808">
          <cell r="BK808" t="str">
            <v>07AAJCS4628Q1ZMGPI/SE/08/25-26</v>
          </cell>
          <cell r="BL808">
            <v>-5400</v>
          </cell>
          <cell r="BM808" t="e">
            <v>#N/A</v>
          </cell>
          <cell r="BN808" t="e">
            <v>#N/A</v>
          </cell>
          <cell r="BO808" t="str">
            <v>Not Matched</v>
          </cell>
          <cell r="BP808">
            <v>8836430</v>
          </cell>
        </row>
        <row r="809">
          <cell r="BK809" t="str">
            <v>07AAJCG9480A1ZJG00HO/12</v>
          </cell>
          <cell r="BL809">
            <v>33.02</v>
          </cell>
          <cell r="BM809" t="e">
            <v>#N/A</v>
          </cell>
          <cell r="BN809" t="e">
            <v>#N/A</v>
          </cell>
          <cell r="BO809" t="str">
            <v>Not Matched</v>
          </cell>
          <cell r="BP809">
            <v>8761504</v>
          </cell>
        </row>
        <row r="810">
          <cell r="BK810" t="str">
            <v>07AAJCG9480A1ZJG00HO/12</v>
          </cell>
          <cell r="BL810">
            <v>33.92</v>
          </cell>
          <cell r="BM810" t="e">
            <v>#N/A</v>
          </cell>
          <cell r="BN810" t="e">
            <v>#N/A</v>
          </cell>
          <cell r="BO810" t="str">
            <v>Not Matched</v>
          </cell>
          <cell r="BP810">
            <v>8761504</v>
          </cell>
        </row>
        <row r="811">
          <cell r="BK811" t="str">
            <v>07AAJCG9480A1ZJG00HO/12</v>
          </cell>
          <cell r="BL811">
            <v>10.86</v>
          </cell>
          <cell r="BM811" t="e">
            <v>#N/A</v>
          </cell>
          <cell r="BN811" t="e">
            <v>#N/A</v>
          </cell>
          <cell r="BO811" t="str">
            <v>Not Matched</v>
          </cell>
          <cell r="BP811">
            <v>8761504</v>
          </cell>
        </row>
        <row r="812">
          <cell r="BK812" t="str">
            <v>07AAJCG9480A1ZJG00HO/13</v>
          </cell>
          <cell r="BL812">
            <v>114</v>
          </cell>
          <cell r="BM812" t="e">
            <v>#N/A</v>
          </cell>
          <cell r="BN812" t="e">
            <v>#N/A</v>
          </cell>
          <cell r="BO812" t="str">
            <v>Not Matched</v>
          </cell>
          <cell r="BP812">
            <v>8761507</v>
          </cell>
        </row>
        <row r="813">
          <cell r="BK813" t="str">
            <v>07AAJCG9480A1ZJG00HO/13</v>
          </cell>
          <cell r="BL813">
            <v>122.12</v>
          </cell>
          <cell r="BM813" t="e">
            <v>#N/A</v>
          </cell>
          <cell r="BN813" t="e">
            <v>#N/A</v>
          </cell>
          <cell r="BO813" t="str">
            <v>Not Matched</v>
          </cell>
          <cell r="BP813">
            <v>8761507</v>
          </cell>
        </row>
        <row r="814">
          <cell r="BK814" t="str">
            <v>07AAJCG9480A1ZJG00HO/13</v>
          </cell>
          <cell r="BL814">
            <v>50.88</v>
          </cell>
          <cell r="BM814" t="e">
            <v>#N/A</v>
          </cell>
          <cell r="BN814" t="e">
            <v>#N/A</v>
          </cell>
          <cell r="BO814" t="str">
            <v>Not Matched</v>
          </cell>
          <cell r="BP814">
            <v>8761507</v>
          </cell>
        </row>
        <row r="815">
          <cell r="BK815" t="str">
            <v>07AAACB2100P1ZZDLSO030725248900</v>
          </cell>
          <cell r="BL815">
            <v>-732.96</v>
          </cell>
          <cell r="BM815" t="e">
            <v>#N/A</v>
          </cell>
          <cell r="BN815" t="e">
            <v>#N/A</v>
          </cell>
          <cell r="BO815" t="str">
            <v>Not Matched</v>
          </cell>
          <cell r="BP815">
            <v>99251075</v>
          </cell>
        </row>
        <row r="816">
          <cell r="BK816" t="str">
            <v>07AAJCG9480A1ZJG00HO/13</v>
          </cell>
          <cell r="BL816">
            <v>347.32</v>
          </cell>
          <cell r="BM816" t="e">
            <v>#N/A</v>
          </cell>
          <cell r="BN816" t="e">
            <v>#N/A</v>
          </cell>
          <cell r="BO816" t="str">
            <v>Not Matched</v>
          </cell>
          <cell r="BP816">
            <v>8761507</v>
          </cell>
        </row>
        <row r="817">
          <cell r="BK817" t="str">
            <v>07AAJCG9480A1ZJG00HO/12</v>
          </cell>
          <cell r="BL817">
            <v>10.28</v>
          </cell>
          <cell r="BM817" t="e">
            <v>#N/A</v>
          </cell>
          <cell r="BN817" t="e">
            <v>#N/A</v>
          </cell>
          <cell r="BO817" t="str">
            <v>Not Matched</v>
          </cell>
          <cell r="BP817">
            <v>8761504</v>
          </cell>
        </row>
        <row r="818">
          <cell r="BK818" t="str">
            <v>07AAJCG9480A1ZJG00HO/13</v>
          </cell>
          <cell r="BL818">
            <v>36.24</v>
          </cell>
          <cell r="BM818" t="e">
            <v>#N/A</v>
          </cell>
          <cell r="BN818" t="e">
            <v>#N/A</v>
          </cell>
          <cell r="BO818" t="str">
            <v>Not Matched</v>
          </cell>
          <cell r="BP818">
            <v>8761507</v>
          </cell>
        </row>
        <row r="819">
          <cell r="BK819" t="str">
            <v>07AACCN6194P2ZQ072622BP06AAI495</v>
          </cell>
          <cell r="BL819">
            <v>23.8</v>
          </cell>
          <cell r="BM819">
            <v>24</v>
          </cell>
          <cell r="BN819">
            <v>0</v>
          </cell>
          <cell r="BO819" t="str">
            <v>Matched</v>
          </cell>
          <cell r="BP819">
            <v>98288088</v>
          </cell>
        </row>
        <row r="820">
          <cell r="BK820" t="str">
            <v>07AAACB2100P1ZZDLSO031025371289</v>
          </cell>
          <cell r="BL820">
            <v>431.28</v>
          </cell>
          <cell r="BM820" t="e">
            <v>#N/A</v>
          </cell>
          <cell r="BN820" t="e">
            <v>#N/A</v>
          </cell>
          <cell r="BO820" t="str">
            <v>Not Matched</v>
          </cell>
          <cell r="BP820">
            <v>8797769</v>
          </cell>
        </row>
        <row r="821">
          <cell r="BK821" t="str">
            <v>07AAJCG9480A1ZJG00HO/12</v>
          </cell>
          <cell r="BL821">
            <v>13.84</v>
          </cell>
          <cell r="BM821" t="e">
            <v>#N/A</v>
          </cell>
          <cell r="BN821" t="e">
            <v>#N/A</v>
          </cell>
          <cell r="BO821" t="str">
            <v>Not Matched</v>
          </cell>
          <cell r="BP821">
            <v>8761504</v>
          </cell>
        </row>
        <row r="822">
          <cell r="BK822" t="str">
            <v>07AAJCG9480A1ZJG00HO/13</v>
          </cell>
          <cell r="BL822">
            <v>26.46</v>
          </cell>
          <cell r="BM822" t="e">
            <v>#N/A</v>
          </cell>
          <cell r="BN822" t="e">
            <v>#N/A</v>
          </cell>
          <cell r="BO822" t="str">
            <v>Not Matched</v>
          </cell>
          <cell r="BP822">
            <v>8761507</v>
          </cell>
        </row>
        <row r="823">
          <cell r="BK823" t="str">
            <v>07AABCB5576G1ZNNDCDL25001999510</v>
          </cell>
          <cell r="BL823">
            <v>122.94</v>
          </cell>
          <cell r="BM823" t="e">
            <v>#N/A</v>
          </cell>
          <cell r="BN823" t="e">
            <v>#N/A</v>
          </cell>
          <cell r="BO823" t="str">
            <v>Not Matched</v>
          </cell>
          <cell r="BP823">
            <v>8798045</v>
          </cell>
        </row>
        <row r="824">
          <cell r="BK824" t="str">
            <v>07AAJCS4628Q1ZMGPI/SE/07/25-26</v>
          </cell>
          <cell r="BL824">
            <v>-5400</v>
          </cell>
          <cell r="BM824" t="e">
            <v>#N/A</v>
          </cell>
          <cell r="BN824" t="e">
            <v>#N/A</v>
          </cell>
          <cell r="BO824" t="str">
            <v>Not Matched</v>
          </cell>
          <cell r="BP824">
            <v>8777515</v>
          </cell>
        </row>
        <row r="825">
          <cell r="BK825" t="str">
            <v>07AAJCG9480A1ZJG00HO/11</v>
          </cell>
          <cell r="BL825">
            <v>221.66</v>
          </cell>
          <cell r="BM825" t="e">
            <v>#N/A</v>
          </cell>
          <cell r="BN825" t="e">
            <v>#N/A</v>
          </cell>
          <cell r="BO825" t="str">
            <v>Not Matched</v>
          </cell>
          <cell r="BP825">
            <v>8766863</v>
          </cell>
        </row>
        <row r="826">
          <cell r="BK826" t="str">
            <v>07AIUPB4136G2Z97</v>
          </cell>
          <cell r="BL826">
            <v>413.1</v>
          </cell>
          <cell r="BM826" t="e">
            <v>#N/A</v>
          </cell>
          <cell r="BN826" t="e">
            <v>#N/A</v>
          </cell>
          <cell r="BO826" t="str">
            <v>Not Matched</v>
          </cell>
          <cell r="BP826">
            <v>8797319</v>
          </cell>
        </row>
        <row r="827">
          <cell r="BK827" t="str">
            <v>07AABCB5576G1ZNNDCDL25001910410</v>
          </cell>
          <cell r="BL827">
            <v>122.76</v>
          </cell>
          <cell r="BM827" t="e">
            <v>#N/A</v>
          </cell>
          <cell r="BN827" t="e">
            <v>#N/A</v>
          </cell>
          <cell r="BO827" t="str">
            <v>Not Matched</v>
          </cell>
          <cell r="BP827">
            <v>8798039</v>
          </cell>
        </row>
        <row r="828">
          <cell r="BK828" t="str">
            <v>07AAACM0828R1Z5MTDL003080112670</v>
          </cell>
          <cell r="BL828">
            <v>76.68</v>
          </cell>
          <cell r="BM828" t="e">
            <v>#N/A</v>
          </cell>
          <cell r="BN828" t="e">
            <v>#N/A</v>
          </cell>
          <cell r="BO828" t="str">
            <v>Not Matched</v>
          </cell>
          <cell r="BP828">
            <v>8797724</v>
          </cell>
        </row>
        <row r="829">
          <cell r="BK829" t="str">
            <v>07AAJCG9480A1ZJG00HO/12</v>
          </cell>
          <cell r="BL829">
            <v>2.98</v>
          </cell>
          <cell r="BM829" t="e">
            <v>#N/A</v>
          </cell>
          <cell r="BN829" t="e">
            <v>#N/A</v>
          </cell>
          <cell r="BO829" t="str">
            <v>Not Matched</v>
          </cell>
          <cell r="BP829">
            <v>8761504</v>
          </cell>
        </row>
        <row r="830">
          <cell r="BK830" t="str">
            <v>07AAJCG9480A1ZJG00HO/12</v>
          </cell>
          <cell r="BL830">
            <v>62.32</v>
          </cell>
          <cell r="BM830" t="e">
            <v>#N/A</v>
          </cell>
          <cell r="BN830" t="e">
            <v>#N/A</v>
          </cell>
          <cell r="BO830" t="str">
            <v>Not Matched</v>
          </cell>
          <cell r="BP830">
            <v>8761504</v>
          </cell>
        </row>
        <row r="831">
          <cell r="BK831" t="str">
            <v>07AIUPB4136G2Z97</v>
          </cell>
          <cell r="BL831">
            <v>4860</v>
          </cell>
          <cell r="BM831" t="e">
            <v>#N/A</v>
          </cell>
          <cell r="BN831" t="e">
            <v>#N/A</v>
          </cell>
          <cell r="BO831" t="str">
            <v>Not Matched</v>
          </cell>
          <cell r="BP831">
            <v>8797319</v>
          </cell>
        </row>
        <row r="832">
          <cell r="BK832" t="str">
            <v>07AABCB5576G1ZNNDCDL25001928070</v>
          </cell>
          <cell r="BL832">
            <v>110.88</v>
          </cell>
          <cell r="BM832" t="e">
            <v>#N/A</v>
          </cell>
          <cell r="BN832" t="e">
            <v>#N/A</v>
          </cell>
          <cell r="BO832" t="str">
            <v>Not Matched</v>
          </cell>
          <cell r="BP832">
            <v>8798041</v>
          </cell>
        </row>
        <row r="833">
          <cell r="BK833" t="str">
            <v>07AIUPB4136G2Z95</v>
          </cell>
          <cell r="BL833">
            <v>7614</v>
          </cell>
          <cell r="BM833" t="e">
            <v>#N/A</v>
          </cell>
          <cell r="BN833" t="e">
            <v>#N/A</v>
          </cell>
          <cell r="BO833" t="str">
            <v>Not Matched</v>
          </cell>
          <cell r="BP833">
            <v>8802736</v>
          </cell>
        </row>
        <row r="834">
          <cell r="BK834" t="str">
            <v>07AIUPB4136G2Z97</v>
          </cell>
          <cell r="BL834">
            <v>4374</v>
          </cell>
          <cell r="BM834" t="e">
            <v>#N/A</v>
          </cell>
          <cell r="BN834" t="e">
            <v>#N/A</v>
          </cell>
          <cell r="BO834" t="str">
            <v>Not Matched</v>
          </cell>
          <cell r="BP834">
            <v>8797319</v>
          </cell>
        </row>
        <row r="835">
          <cell r="BK835" t="str">
            <v>07AAJCG9480A1ZJG00HO/13</v>
          </cell>
          <cell r="BL835">
            <v>11.2</v>
          </cell>
          <cell r="BM835" t="e">
            <v>#N/A</v>
          </cell>
          <cell r="BN835" t="e">
            <v>#N/A</v>
          </cell>
          <cell r="BO835" t="str">
            <v>Not Matched</v>
          </cell>
          <cell r="BP835">
            <v>8761507</v>
          </cell>
        </row>
        <row r="836">
          <cell r="BK836" t="str">
            <v>07AAJCG9480A1ZJG00HO/12</v>
          </cell>
          <cell r="BL836">
            <v>3.4</v>
          </cell>
          <cell r="BM836" t="e">
            <v>#N/A</v>
          </cell>
          <cell r="BN836" t="e">
            <v>#N/A</v>
          </cell>
          <cell r="BO836" t="str">
            <v>Not Matched</v>
          </cell>
          <cell r="BP836">
            <v>8761504</v>
          </cell>
        </row>
        <row r="837">
          <cell r="BK837" t="str">
            <v>07AAJCG9480A1ZJG00HO/13</v>
          </cell>
          <cell r="BL837">
            <v>8.96</v>
          </cell>
          <cell r="BM837" t="e">
            <v>#N/A</v>
          </cell>
          <cell r="BN837" t="e">
            <v>#N/A</v>
          </cell>
          <cell r="BO837" t="str">
            <v>Not Matched</v>
          </cell>
          <cell r="BP837">
            <v>8761507</v>
          </cell>
        </row>
        <row r="838">
          <cell r="BK838" t="str">
            <v>07AAJCG9480A1ZJG00HO/12</v>
          </cell>
          <cell r="BL838">
            <v>48.7</v>
          </cell>
          <cell r="BM838" t="e">
            <v>#N/A</v>
          </cell>
          <cell r="BN838" t="e">
            <v>#N/A</v>
          </cell>
          <cell r="BO838" t="str">
            <v>Not Matched</v>
          </cell>
          <cell r="BP838">
            <v>8761504</v>
          </cell>
        </row>
        <row r="839">
          <cell r="BK839" t="str">
            <v>07AAACB2100P1ZZDLSO031025371289</v>
          </cell>
          <cell r="BL839">
            <v>185.04</v>
          </cell>
          <cell r="BM839" t="e">
            <v>#N/A</v>
          </cell>
          <cell r="BN839" t="e">
            <v>#N/A</v>
          </cell>
          <cell r="BO839" t="str">
            <v>Not Matched</v>
          </cell>
          <cell r="BP839">
            <v>8797769</v>
          </cell>
        </row>
        <row r="840">
          <cell r="BK840" t="str">
            <v>07AAJCG9480A1ZJG00HO/12</v>
          </cell>
          <cell r="BL840">
            <v>14.26</v>
          </cell>
          <cell r="BM840" t="e">
            <v>#N/A</v>
          </cell>
          <cell r="BN840" t="e">
            <v>#N/A</v>
          </cell>
          <cell r="BO840" t="str">
            <v>Not Matched</v>
          </cell>
          <cell r="BP840">
            <v>8761504</v>
          </cell>
        </row>
        <row r="841">
          <cell r="BK841" t="str">
            <v>07AIUPB4136G2Z97</v>
          </cell>
          <cell r="BL841">
            <v>534.6</v>
          </cell>
          <cell r="BM841" t="e">
            <v>#N/A</v>
          </cell>
          <cell r="BN841" t="e">
            <v>#N/A</v>
          </cell>
          <cell r="BO841" t="str">
            <v>Not Matched</v>
          </cell>
          <cell r="BP841">
            <v>8797319</v>
          </cell>
        </row>
        <row r="842">
          <cell r="BK842" t="str">
            <v>07AIUPB4136G2Z97</v>
          </cell>
          <cell r="BL842">
            <v>1458</v>
          </cell>
          <cell r="BM842" t="e">
            <v>#N/A</v>
          </cell>
          <cell r="BN842" t="e">
            <v>#N/A</v>
          </cell>
          <cell r="BO842" t="str">
            <v>Not Matched</v>
          </cell>
          <cell r="BP842">
            <v>8797319</v>
          </cell>
        </row>
        <row r="843">
          <cell r="BK843" t="str">
            <v>07AIUPB4136G2Z95</v>
          </cell>
          <cell r="BL843">
            <v>3384</v>
          </cell>
          <cell r="BM843" t="e">
            <v>#N/A</v>
          </cell>
          <cell r="BN843" t="e">
            <v>#N/A</v>
          </cell>
          <cell r="BO843" t="str">
            <v>Not Matched</v>
          </cell>
          <cell r="BP843">
            <v>8802736</v>
          </cell>
        </row>
        <row r="844">
          <cell r="BK844" t="str">
            <v>07AABCB5582A1Z1BT/2241</v>
          </cell>
          <cell r="BL844">
            <v>23652</v>
          </cell>
          <cell r="BM844" t="e">
            <v>#N/A</v>
          </cell>
          <cell r="BN844" t="e">
            <v>#N/A</v>
          </cell>
          <cell r="BO844" t="str">
            <v>Not Matched</v>
          </cell>
          <cell r="BP844">
            <v>8811970</v>
          </cell>
        </row>
        <row r="845">
          <cell r="BK845" t="str">
            <v>07AAJCG9480A1ZJG00HO/12</v>
          </cell>
          <cell r="BL845">
            <v>6.78</v>
          </cell>
          <cell r="BM845" t="e">
            <v>#N/A</v>
          </cell>
          <cell r="BN845" t="e">
            <v>#N/A</v>
          </cell>
          <cell r="BO845" t="str">
            <v>Not Matched</v>
          </cell>
          <cell r="BP845">
            <v>8761504</v>
          </cell>
        </row>
        <row r="846">
          <cell r="BK846" t="str">
            <v>07AAJCG9480A1ZJG00HO/12</v>
          </cell>
          <cell r="BL846">
            <v>9.78</v>
          </cell>
          <cell r="BM846" t="e">
            <v>#N/A</v>
          </cell>
          <cell r="BN846" t="e">
            <v>#N/A</v>
          </cell>
          <cell r="BO846" t="str">
            <v>Not Matched</v>
          </cell>
          <cell r="BP846">
            <v>8761504</v>
          </cell>
        </row>
        <row r="847">
          <cell r="BK847" t="str">
            <v>07AAJCG9480A1ZJG00HO/12</v>
          </cell>
          <cell r="BL847">
            <v>4.34</v>
          </cell>
          <cell r="BM847" t="e">
            <v>#N/A</v>
          </cell>
          <cell r="BN847" t="e">
            <v>#N/A</v>
          </cell>
          <cell r="BO847" t="str">
            <v>Not Matched</v>
          </cell>
          <cell r="BP847">
            <v>8761504</v>
          </cell>
        </row>
        <row r="848">
          <cell r="BK848" t="str">
            <v>07AACCN6194P2ZQ072612BP04ACB413</v>
          </cell>
          <cell r="BL848">
            <v>412.76</v>
          </cell>
          <cell r="BM848">
            <v>375</v>
          </cell>
          <cell r="BN848">
            <v>38</v>
          </cell>
          <cell r="BO848" t="str">
            <v>Matched</v>
          </cell>
          <cell r="BP848">
            <v>98288194</v>
          </cell>
        </row>
        <row r="849">
          <cell r="BK849" t="str">
            <v>33AACCN6194P2ZV332612BP04AAO103</v>
          </cell>
          <cell r="BL849">
            <v>334.65</v>
          </cell>
          <cell r="BM849">
            <v>335</v>
          </cell>
          <cell r="BN849">
            <v>0</v>
          </cell>
          <cell r="BO849" t="str">
            <v>Matched</v>
          </cell>
          <cell r="BP849">
            <v>98288196</v>
          </cell>
        </row>
        <row r="850">
          <cell r="BK850" t="str">
            <v>07AAJCG9480A1ZJG00HO/13</v>
          </cell>
          <cell r="BL850">
            <v>45.4</v>
          </cell>
          <cell r="BM850" t="e">
            <v>#N/A</v>
          </cell>
          <cell r="BN850" t="e">
            <v>#N/A</v>
          </cell>
          <cell r="BO850" t="str">
            <v>Not Matched</v>
          </cell>
          <cell r="BP850">
            <v>8761507</v>
          </cell>
        </row>
        <row r="851">
          <cell r="BK851" t="str">
            <v>07AAJCG9480A1ZJG00HO/13</v>
          </cell>
          <cell r="BL851">
            <v>10.18</v>
          </cell>
          <cell r="BM851" t="e">
            <v>#N/A</v>
          </cell>
          <cell r="BN851" t="e">
            <v>#N/A</v>
          </cell>
          <cell r="BO851" t="str">
            <v>Not Matched</v>
          </cell>
          <cell r="BP851">
            <v>8761507</v>
          </cell>
        </row>
        <row r="852">
          <cell r="BK852" t="str">
            <v>07AAJCG9480A1ZJG00HO/13</v>
          </cell>
          <cell r="BL852">
            <v>21.94</v>
          </cell>
          <cell r="BM852" t="e">
            <v>#N/A</v>
          </cell>
          <cell r="BN852" t="e">
            <v>#N/A</v>
          </cell>
          <cell r="BO852" t="str">
            <v>Not Matched</v>
          </cell>
          <cell r="BP852">
            <v>8761507</v>
          </cell>
        </row>
        <row r="853">
          <cell r="BK853" t="str">
            <v>07AAJCG9480A1ZJG00HO/12</v>
          </cell>
          <cell r="BL853">
            <v>26.08</v>
          </cell>
          <cell r="BM853" t="e">
            <v>#N/A</v>
          </cell>
          <cell r="BN853" t="e">
            <v>#N/A</v>
          </cell>
          <cell r="BO853" t="str">
            <v>Not Matched</v>
          </cell>
          <cell r="BP853">
            <v>8761504</v>
          </cell>
        </row>
        <row r="854">
          <cell r="BK854" t="str">
            <v>07AABCB5582A1Z1BT/2240</v>
          </cell>
          <cell r="BL854">
            <v>26352</v>
          </cell>
          <cell r="BM854" t="e">
            <v>#N/A</v>
          </cell>
          <cell r="BN854" t="e">
            <v>#N/A</v>
          </cell>
          <cell r="BO854" t="str">
            <v>Not Matched</v>
          </cell>
          <cell r="BP854">
            <v>8811962</v>
          </cell>
        </row>
        <row r="855">
          <cell r="BK855" t="str">
            <v>07AABCB5582A1Z1BT/2243</v>
          </cell>
          <cell r="BL855">
            <v>20304</v>
          </cell>
          <cell r="BM855" t="e">
            <v>#N/A</v>
          </cell>
          <cell r="BN855" t="e">
            <v>#N/A</v>
          </cell>
          <cell r="BO855" t="str">
            <v>Not Matched</v>
          </cell>
          <cell r="BP855">
            <v>8811975</v>
          </cell>
        </row>
        <row r="856">
          <cell r="BK856" t="str">
            <v>07AIUPB4136G2Z97</v>
          </cell>
          <cell r="BL856">
            <v>688.5</v>
          </cell>
          <cell r="BM856" t="e">
            <v>#N/A</v>
          </cell>
          <cell r="BN856" t="e">
            <v>#N/A</v>
          </cell>
          <cell r="BO856" t="str">
            <v>Not Matched</v>
          </cell>
          <cell r="BP856">
            <v>8797319</v>
          </cell>
        </row>
        <row r="857">
          <cell r="BK857" t="str">
            <v>07AIUPB4136G2Z97</v>
          </cell>
          <cell r="BL857">
            <v>2754</v>
          </cell>
          <cell r="BM857" t="e">
            <v>#N/A</v>
          </cell>
          <cell r="BN857" t="e">
            <v>#N/A</v>
          </cell>
          <cell r="BO857" t="str">
            <v>Not Matched</v>
          </cell>
          <cell r="BP857">
            <v>8797319</v>
          </cell>
        </row>
        <row r="858">
          <cell r="BK858" t="str">
            <v>07AIUPB4136G2Z97</v>
          </cell>
          <cell r="BL858">
            <v>24948</v>
          </cell>
          <cell r="BM858" t="e">
            <v>#N/A</v>
          </cell>
          <cell r="BN858" t="e">
            <v>#N/A</v>
          </cell>
          <cell r="BO858" t="str">
            <v>Not Matched</v>
          </cell>
          <cell r="BP858">
            <v>8797319</v>
          </cell>
        </row>
        <row r="859">
          <cell r="BK859" t="str">
            <v>07AAJCG9480A1ZJG00HO/13</v>
          </cell>
          <cell r="BL859">
            <v>50.38</v>
          </cell>
          <cell r="BM859" t="e">
            <v>#N/A</v>
          </cell>
          <cell r="BN859" t="e">
            <v>#N/A</v>
          </cell>
          <cell r="BO859" t="str">
            <v>Not Matched</v>
          </cell>
          <cell r="BP859">
            <v>8761507</v>
          </cell>
        </row>
        <row r="860">
          <cell r="BK860" t="str">
            <v>07AAJCG9480A1ZJG00HO/13</v>
          </cell>
          <cell r="BL860">
            <v>30.54</v>
          </cell>
          <cell r="BM860" t="e">
            <v>#N/A</v>
          </cell>
          <cell r="BN860" t="e">
            <v>#N/A</v>
          </cell>
          <cell r="BO860" t="str">
            <v>Not Matched</v>
          </cell>
          <cell r="BP860">
            <v>8761507</v>
          </cell>
        </row>
        <row r="861">
          <cell r="BK861" t="str">
            <v>07AAJCG9480A1ZJG00HO/12</v>
          </cell>
          <cell r="BL861">
            <v>4.16</v>
          </cell>
          <cell r="BM861" t="e">
            <v>#N/A</v>
          </cell>
          <cell r="BN861" t="e">
            <v>#N/A</v>
          </cell>
          <cell r="BO861" t="str">
            <v>Not Matched</v>
          </cell>
          <cell r="BP861">
            <v>8761504</v>
          </cell>
        </row>
        <row r="862">
          <cell r="BK862" t="str">
            <v>07AAJCG9480A1ZJG00HO/12</v>
          </cell>
          <cell r="BL862">
            <v>9.66</v>
          </cell>
          <cell r="BM862" t="e">
            <v>#N/A</v>
          </cell>
          <cell r="BN862" t="e">
            <v>#N/A</v>
          </cell>
          <cell r="BO862" t="str">
            <v>Not Matched</v>
          </cell>
          <cell r="BP862">
            <v>8761504</v>
          </cell>
        </row>
        <row r="863">
          <cell r="BK863" t="str">
            <v>07AAJCG9480A1ZJG00HO/13</v>
          </cell>
          <cell r="BL863">
            <v>11.4</v>
          </cell>
          <cell r="BM863" t="e">
            <v>#N/A</v>
          </cell>
          <cell r="BN863" t="e">
            <v>#N/A</v>
          </cell>
          <cell r="BO863" t="str">
            <v>Not Matched</v>
          </cell>
          <cell r="BP863">
            <v>8761507</v>
          </cell>
        </row>
        <row r="864">
          <cell r="BK864" t="str">
            <v>07AAJCG9480A1ZJG00HO/12</v>
          </cell>
          <cell r="BL864">
            <v>27.14</v>
          </cell>
          <cell r="BM864" t="e">
            <v>#N/A</v>
          </cell>
          <cell r="BN864" t="e">
            <v>#N/A</v>
          </cell>
          <cell r="BO864" t="str">
            <v>Not Matched</v>
          </cell>
          <cell r="BP864">
            <v>8761504</v>
          </cell>
        </row>
        <row r="865">
          <cell r="BK865" t="str">
            <v>07AIUPB4136G2Z97</v>
          </cell>
          <cell r="BL865">
            <v>926.64</v>
          </cell>
          <cell r="BM865" t="e">
            <v>#N/A</v>
          </cell>
          <cell r="BN865" t="e">
            <v>#N/A</v>
          </cell>
          <cell r="BO865" t="str">
            <v>Not Matched</v>
          </cell>
          <cell r="BP865">
            <v>8797319</v>
          </cell>
        </row>
        <row r="866">
          <cell r="BK866" t="str">
            <v>07AIUPB4136G2Z97</v>
          </cell>
          <cell r="BL866">
            <v>265.68</v>
          </cell>
          <cell r="BM866" t="e">
            <v>#N/A</v>
          </cell>
          <cell r="BN866" t="e">
            <v>#N/A</v>
          </cell>
          <cell r="BO866" t="str">
            <v>Not Matched</v>
          </cell>
          <cell r="BP866">
            <v>8797319</v>
          </cell>
        </row>
        <row r="867">
          <cell r="BK867" t="str">
            <v>07AABCB5576G1ZNNDCDL25001897950</v>
          </cell>
          <cell r="BL867">
            <v>576.18</v>
          </cell>
          <cell r="BM867" t="e">
            <v>#N/A</v>
          </cell>
          <cell r="BN867" t="e">
            <v>#N/A</v>
          </cell>
          <cell r="BO867" t="str">
            <v>Not Matched</v>
          </cell>
          <cell r="BP867">
            <v>8798036</v>
          </cell>
        </row>
        <row r="868">
          <cell r="BK868" t="str">
            <v>07AAJCG9480A1ZJG00HO/12</v>
          </cell>
          <cell r="BL868">
            <v>31.04</v>
          </cell>
          <cell r="BM868" t="e">
            <v>#N/A</v>
          </cell>
          <cell r="BN868" t="e">
            <v>#N/A</v>
          </cell>
          <cell r="BO868" t="str">
            <v>Not Matched</v>
          </cell>
          <cell r="BP868">
            <v>8761504</v>
          </cell>
        </row>
        <row r="869">
          <cell r="BK869" t="str">
            <v>07AAJCG9480A1ZJG00HO/12</v>
          </cell>
          <cell r="BL869">
            <v>7.64</v>
          </cell>
          <cell r="BM869" t="e">
            <v>#N/A</v>
          </cell>
          <cell r="BN869" t="e">
            <v>#N/A</v>
          </cell>
          <cell r="BO869" t="str">
            <v>Not Matched</v>
          </cell>
          <cell r="BP869">
            <v>8761504</v>
          </cell>
        </row>
        <row r="870">
          <cell r="BK870" t="str">
            <v>07AAJCG9480A1ZJG00HO/12</v>
          </cell>
          <cell r="BL870">
            <v>3.84</v>
          </cell>
          <cell r="BM870" t="e">
            <v>#N/A</v>
          </cell>
          <cell r="BN870" t="e">
            <v>#N/A</v>
          </cell>
          <cell r="BO870" t="str">
            <v>Not Matched</v>
          </cell>
          <cell r="BP870">
            <v>8761504</v>
          </cell>
        </row>
        <row r="871">
          <cell r="BK871" t="str">
            <v>07AAJCG9480A1ZJG00HO/12</v>
          </cell>
          <cell r="BL871">
            <v>9.66</v>
          </cell>
          <cell r="BM871" t="e">
            <v>#N/A</v>
          </cell>
          <cell r="BN871" t="e">
            <v>#N/A</v>
          </cell>
          <cell r="BO871" t="str">
            <v>Not Matched</v>
          </cell>
          <cell r="BP871">
            <v>8761504</v>
          </cell>
        </row>
        <row r="872">
          <cell r="BK872" t="str">
            <v>07AAJCG9480A1ZJG00HO/12</v>
          </cell>
          <cell r="BL872">
            <v>43.88</v>
          </cell>
          <cell r="BM872" t="e">
            <v>#N/A</v>
          </cell>
          <cell r="BN872" t="e">
            <v>#N/A</v>
          </cell>
          <cell r="BO872" t="str">
            <v>Not Matched</v>
          </cell>
          <cell r="BP872">
            <v>8761504</v>
          </cell>
        </row>
        <row r="873">
          <cell r="BK873" t="str">
            <v>07AAJCG9480A1ZJG00HO/13</v>
          </cell>
          <cell r="BL873">
            <v>38</v>
          </cell>
          <cell r="BM873" t="e">
            <v>#N/A</v>
          </cell>
          <cell r="BN873" t="e">
            <v>#N/A</v>
          </cell>
          <cell r="BO873" t="str">
            <v>Not Matched</v>
          </cell>
          <cell r="BP873">
            <v>8761507</v>
          </cell>
        </row>
        <row r="874">
          <cell r="BK874" t="str">
            <v>07AAJCG9480A1ZJG00HO/12</v>
          </cell>
          <cell r="BL874">
            <v>15.6</v>
          </cell>
          <cell r="BM874" t="e">
            <v>#N/A</v>
          </cell>
          <cell r="BN874" t="e">
            <v>#N/A</v>
          </cell>
          <cell r="BO874" t="str">
            <v>Not Matched</v>
          </cell>
          <cell r="BP874">
            <v>8761504</v>
          </cell>
        </row>
        <row r="875">
          <cell r="BK875" t="str">
            <v>07AAJCG9480A1ZJG00HO/12</v>
          </cell>
          <cell r="BL875">
            <v>25.34</v>
          </cell>
          <cell r="BM875" t="e">
            <v>#N/A</v>
          </cell>
          <cell r="BN875" t="e">
            <v>#N/A</v>
          </cell>
          <cell r="BO875" t="str">
            <v>Not Matched</v>
          </cell>
          <cell r="BP875">
            <v>8761504</v>
          </cell>
        </row>
        <row r="876">
          <cell r="BK876" t="str">
            <v>07AAJCG9480A1ZJG00HO/13</v>
          </cell>
          <cell r="BL876">
            <v>228</v>
          </cell>
          <cell r="BM876" t="e">
            <v>#N/A</v>
          </cell>
          <cell r="BN876" t="e">
            <v>#N/A</v>
          </cell>
          <cell r="BO876" t="str">
            <v>Not Matched</v>
          </cell>
          <cell r="BP876">
            <v>8761507</v>
          </cell>
        </row>
        <row r="877">
          <cell r="BK877" t="str">
            <v>07AAJCG9480A1ZJG00HO/13</v>
          </cell>
          <cell r="BL877">
            <v>66.16</v>
          </cell>
          <cell r="BM877" t="e">
            <v>#N/A</v>
          </cell>
          <cell r="BN877" t="e">
            <v>#N/A</v>
          </cell>
          <cell r="BO877" t="str">
            <v>Not Matched</v>
          </cell>
          <cell r="BP877">
            <v>8761507</v>
          </cell>
        </row>
        <row r="878">
          <cell r="BK878" t="str">
            <v>07AAJCG9480A1ZJG00HO/12</v>
          </cell>
          <cell r="BL878">
            <v>55.06</v>
          </cell>
          <cell r="BM878" t="e">
            <v>#N/A</v>
          </cell>
          <cell r="BN878" t="e">
            <v>#N/A</v>
          </cell>
          <cell r="BO878" t="str">
            <v>Not Matched</v>
          </cell>
          <cell r="BP878">
            <v>8761504</v>
          </cell>
        </row>
        <row r="879">
          <cell r="BK879" t="str">
            <v>07AIUPB4136G2Z97</v>
          </cell>
          <cell r="BL879">
            <v>1239.3</v>
          </cell>
          <cell r="BM879" t="e">
            <v>#N/A</v>
          </cell>
          <cell r="BN879" t="e">
            <v>#N/A</v>
          </cell>
          <cell r="BO879" t="str">
            <v>Not Matched</v>
          </cell>
          <cell r="BP879">
            <v>8797319</v>
          </cell>
        </row>
        <row r="880">
          <cell r="BK880" t="str">
            <v>07AIUPB4136G2Z97</v>
          </cell>
          <cell r="BL880">
            <v>5346</v>
          </cell>
          <cell r="BM880" t="e">
            <v>#N/A</v>
          </cell>
          <cell r="BN880" t="e">
            <v>#N/A</v>
          </cell>
          <cell r="BO880" t="str">
            <v>Not Matched</v>
          </cell>
          <cell r="BP880">
            <v>8797319</v>
          </cell>
        </row>
        <row r="881">
          <cell r="BK881" t="str">
            <v>07AIUPB4136G2Z97</v>
          </cell>
          <cell r="BL881">
            <v>275.4</v>
          </cell>
          <cell r="BM881" t="e">
            <v>#N/A</v>
          </cell>
          <cell r="BN881" t="e">
            <v>#N/A</v>
          </cell>
          <cell r="BO881" t="str">
            <v>Not Matched</v>
          </cell>
          <cell r="BP881">
            <v>8797319</v>
          </cell>
        </row>
        <row r="882">
          <cell r="BK882" t="str">
            <v>07AABCB5576G1ZNNDCDL25001933650</v>
          </cell>
          <cell r="BL882">
            <v>320.4</v>
          </cell>
          <cell r="BM882" t="e">
            <v>#N/A</v>
          </cell>
          <cell r="BN882" t="e">
            <v>#N/A</v>
          </cell>
          <cell r="BO882" t="str">
            <v>Not Matched</v>
          </cell>
          <cell r="BP882">
            <v>8798042</v>
          </cell>
        </row>
        <row r="883">
          <cell r="BK883" t="str">
            <v>07AAACB2100P1ZZDLSO030825286329</v>
          </cell>
          <cell r="BL883">
            <v>-732.96</v>
          </cell>
          <cell r="BM883" t="e">
            <v>#N/A</v>
          </cell>
          <cell r="BN883" t="e">
            <v>#N/A</v>
          </cell>
          <cell r="BO883" t="str">
            <v>Not Matched</v>
          </cell>
          <cell r="BP883">
            <v>99251141</v>
          </cell>
        </row>
        <row r="884">
          <cell r="BK884" t="str">
            <v>07AAACB2100P1ZZDLSO030925332360</v>
          </cell>
          <cell r="BL884">
            <v>-732.96</v>
          </cell>
          <cell r="BM884" t="e">
            <v>#N/A</v>
          </cell>
          <cell r="BN884" t="e">
            <v>#N/A</v>
          </cell>
          <cell r="BO884" t="str">
            <v>Not Matched</v>
          </cell>
          <cell r="BP884">
            <v>99251289</v>
          </cell>
        </row>
        <row r="885">
          <cell r="BK885" t="str">
            <v>07AABCB5582A1Z1BT/2242</v>
          </cell>
          <cell r="BL885">
            <v>13716</v>
          </cell>
          <cell r="BM885" t="e">
            <v>#N/A</v>
          </cell>
          <cell r="BN885" t="e">
            <v>#N/A</v>
          </cell>
          <cell r="BO885" t="str">
            <v>Not Matched</v>
          </cell>
          <cell r="BP885">
            <v>8811973</v>
          </cell>
        </row>
        <row r="886">
          <cell r="BK886" t="str">
            <v>07BQUPK1146E2ZR76</v>
          </cell>
          <cell r="BL886">
            <v>396</v>
          </cell>
          <cell r="BM886" t="e">
            <v>#N/A</v>
          </cell>
          <cell r="BN886" t="e">
            <v>#N/A</v>
          </cell>
          <cell r="BO886" t="str">
            <v>Not Matched</v>
          </cell>
          <cell r="BP886">
            <v>8771898</v>
          </cell>
        </row>
        <row r="887">
          <cell r="BK887" t="str">
            <v>07AIUPB4136G2Z97</v>
          </cell>
          <cell r="BL887">
            <v>26778.6</v>
          </cell>
          <cell r="BM887" t="e">
            <v>#N/A</v>
          </cell>
          <cell r="BN887" t="e">
            <v>#N/A</v>
          </cell>
          <cell r="BO887" t="str">
            <v>Not Matched</v>
          </cell>
          <cell r="BP887">
            <v>8797319</v>
          </cell>
        </row>
        <row r="888">
          <cell r="BK888" t="str">
            <v>07AABCB5576G1ZNNDCDL25001907550</v>
          </cell>
          <cell r="BL888">
            <v>122.94</v>
          </cell>
          <cell r="BM888" t="e">
            <v>#N/A</v>
          </cell>
          <cell r="BN888" t="e">
            <v>#N/A</v>
          </cell>
          <cell r="BO888" t="str">
            <v>Not Matched</v>
          </cell>
          <cell r="BP888">
            <v>8798038</v>
          </cell>
        </row>
        <row r="889">
          <cell r="BK889" t="str">
            <v>07AABCB5576G1ZNNDCDL25001915230</v>
          </cell>
          <cell r="BL889">
            <v>122.76</v>
          </cell>
          <cell r="BM889" t="e">
            <v>#N/A</v>
          </cell>
          <cell r="BN889" t="e">
            <v>#N/A</v>
          </cell>
          <cell r="BO889" t="str">
            <v>Not Matched</v>
          </cell>
          <cell r="BP889">
            <v>8798040</v>
          </cell>
        </row>
        <row r="890">
          <cell r="BK890" t="str">
            <v>07AAJCG9480A1ZJG00HO/13</v>
          </cell>
          <cell r="BL890">
            <v>4.08</v>
          </cell>
          <cell r="BM890" t="e">
            <v>#N/A</v>
          </cell>
          <cell r="BN890" t="e">
            <v>#N/A</v>
          </cell>
          <cell r="BO890" t="str">
            <v>Not Matched</v>
          </cell>
          <cell r="BP890">
            <v>8761507</v>
          </cell>
        </row>
        <row r="891">
          <cell r="BK891" t="str">
            <v>07AAACB2100P1ZZDLSO031025371289</v>
          </cell>
          <cell r="BL891">
            <v>116.64</v>
          </cell>
          <cell r="BM891" t="e">
            <v>#N/A</v>
          </cell>
          <cell r="BN891" t="e">
            <v>#N/A</v>
          </cell>
          <cell r="BO891" t="str">
            <v>Not Matched</v>
          </cell>
          <cell r="BP891">
            <v>8797769</v>
          </cell>
        </row>
        <row r="892">
          <cell r="BK892" t="str">
            <v>07AIUPB4136G2Z97</v>
          </cell>
          <cell r="BL892">
            <v>6480</v>
          </cell>
          <cell r="BM892" t="e">
            <v>#N/A</v>
          </cell>
          <cell r="BN892" t="e">
            <v>#N/A</v>
          </cell>
          <cell r="BO892" t="str">
            <v>Not Matched</v>
          </cell>
          <cell r="BP892">
            <v>8797319</v>
          </cell>
        </row>
        <row r="893">
          <cell r="BK893" t="str">
            <v>07AAJCG9480A1ZJG00HO/12</v>
          </cell>
          <cell r="BL893">
            <v>9.5</v>
          </cell>
          <cell r="BM893" t="e">
            <v>#N/A</v>
          </cell>
          <cell r="BN893" t="e">
            <v>#N/A</v>
          </cell>
          <cell r="BO893" t="str">
            <v>Not Matched</v>
          </cell>
          <cell r="BP893">
            <v>8761504</v>
          </cell>
        </row>
        <row r="894">
          <cell r="BK894" t="str">
            <v>07AAJCG9480A1ZJG00HO/12</v>
          </cell>
          <cell r="BL894">
            <v>10.86</v>
          </cell>
          <cell r="BM894" t="e">
            <v>#N/A</v>
          </cell>
          <cell r="BN894" t="e">
            <v>#N/A</v>
          </cell>
          <cell r="BO894" t="str">
            <v>Not Matched</v>
          </cell>
          <cell r="BP894">
            <v>8761504</v>
          </cell>
        </row>
        <row r="895">
          <cell r="BK895" t="str">
            <v>07AAJCG9480A1ZJG00HO/12</v>
          </cell>
          <cell r="BL895">
            <v>86.96</v>
          </cell>
          <cell r="BM895" t="e">
            <v>#N/A</v>
          </cell>
          <cell r="BN895" t="e">
            <v>#N/A</v>
          </cell>
          <cell r="BO895" t="str">
            <v>Not Matched</v>
          </cell>
          <cell r="BP895">
            <v>8761504</v>
          </cell>
        </row>
        <row r="896">
          <cell r="BK896" t="str">
            <v>07AAJCG9480A1ZJG00HO/13</v>
          </cell>
          <cell r="BL896">
            <v>16.8</v>
          </cell>
          <cell r="BM896" t="e">
            <v>#N/A</v>
          </cell>
          <cell r="BN896" t="e">
            <v>#N/A</v>
          </cell>
          <cell r="BO896" t="str">
            <v>Not Matched</v>
          </cell>
          <cell r="BP896">
            <v>8761507</v>
          </cell>
        </row>
        <row r="897">
          <cell r="BK897" t="str">
            <v>07AAJCG9480A1ZJG00HO/12</v>
          </cell>
          <cell r="BL897">
            <v>9.22</v>
          </cell>
          <cell r="BM897" t="e">
            <v>#N/A</v>
          </cell>
          <cell r="BN897" t="e">
            <v>#N/A</v>
          </cell>
          <cell r="BO897" t="str">
            <v>Not Matched</v>
          </cell>
          <cell r="BP897">
            <v>8761504</v>
          </cell>
        </row>
        <row r="898">
          <cell r="BK898" t="str">
            <v>07AAJCG9480A1ZJG00HO/13</v>
          </cell>
          <cell r="BL898">
            <v>13.24</v>
          </cell>
          <cell r="BM898" t="e">
            <v>#N/A</v>
          </cell>
          <cell r="BN898" t="e">
            <v>#N/A</v>
          </cell>
          <cell r="BO898" t="str">
            <v>Not Matched</v>
          </cell>
          <cell r="BP898">
            <v>8761507</v>
          </cell>
        </row>
        <row r="899">
          <cell r="BK899" t="str">
            <v>07AABCB5576G1ZNNDCDL25001941100</v>
          </cell>
          <cell r="BL899">
            <v>122.76</v>
          </cell>
          <cell r="BM899" t="e">
            <v>#N/A</v>
          </cell>
          <cell r="BN899" t="e">
            <v>#N/A</v>
          </cell>
          <cell r="BO899" t="str">
            <v>Not Matched</v>
          </cell>
          <cell r="BP899">
            <v>8798043</v>
          </cell>
        </row>
        <row r="900">
          <cell r="BK900" t="str">
            <v>07AAJCG9480A1ZJG00HO/12</v>
          </cell>
          <cell r="BL900">
            <v>8.7</v>
          </cell>
          <cell r="BM900" t="e">
            <v>#N/A</v>
          </cell>
          <cell r="BN900" t="e">
            <v>#N/A</v>
          </cell>
          <cell r="BO900" t="str">
            <v>Not Matched</v>
          </cell>
          <cell r="BP900">
            <v>8761504</v>
          </cell>
        </row>
        <row r="901">
          <cell r="BK901" t="str">
            <v>07AAJCG9480A1ZJG00HO/12</v>
          </cell>
          <cell r="BL901">
            <v>305.04</v>
          </cell>
          <cell r="BM901" t="e">
            <v>#N/A</v>
          </cell>
          <cell r="BN901" t="e">
            <v>#N/A</v>
          </cell>
          <cell r="BO901" t="str">
            <v>Not Matched</v>
          </cell>
          <cell r="BP901">
            <v>8761504</v>
          </cell>
        </row>
        <row r="902">
          <cell r="BK902" t="str">
            <v>07AAJCG9480A1ZJG00HO/12</v>
          </cell>
          <cell r="BL902">
            <v>14.8</v>
          </cell>
          <cell r="BM902" t="e">
            <v>#N/A</v>
          </cell>
          <cell r="BN902" t="e">
            <v>#N/A</v>
          </cell>
          <cell r="BO902" t="str">
            <v>Not Matched</v>
          </cell>
          <cell r="BP902">
            <v>8761504</v>
          </cell>
        </row>
        <row r="903">
          <cell r="BK903" t="str">
            <v>07AAJCG9480A1ZJG00HO/13</v>
          </cell>
          <cell r="BL903">
            <v>2.54</v>
          </cell>
          <cell r="BM903" t="e">
            <v>#N/A</v>
          </cell>
          <cell r="BN903" t="e">
            <v>#N/A</v>
          </cell>
          <cell r="BO903" t="str">
            <v>Not Matched</v>
          </cell>
          <cell r="BP903">
            <v>8761507</v>
          </cell>
        </row>
        <row r="904">
          <cell r="BK904" t="str">
            <v>07AAJCG9480A1ZJG00HO/12</v>
          </cell>
          <cell r="BL904">
            <v>4.16</v>
          </cell>
          <cell r="BM904" t="e">
            <v>#N/A</v>
          </cell>
          <cell r="BN904" t="e">
            <v>#N/A</v>
          </cell>
          <cell r="BO904" t="str">
            <v>Not Matched</v>
          </cell>
          <cell r="BP904">
            <v>8761504</v>
          </cell>
        </row>
        <row r="905">
          <cell r="BK905" t="str">
            <v>07AAJCG9480A1ZJG00HO/13</v>
          </cell>
          <cell r="BL905">
            <v>10.18</v>
          </cell>
          <cell r="BM905" t="e">
            <v>#N/A</v>
          </cell>
          <cell r="BN905" t="e">
            <v>#N/A</v>
          </cell>
          <cell r="BO905" t="str">
            <v>Not Matched</v>
          </cell>
          <cell r="BP905">
            <v>8761507</v>
          </cell>
        </row>
        <row r="906">
          <cell r="BK906" t="str">
            <v>07AAACH2702H1Z2FCU2625260762608</v>
          </cell>
          <cell r="BL906">
            <v>10800</v>
          </cell>
          <cell r="BM906" t="e">
            <v>#N/A</v>
          </cell>
          <cell r="BN906" t="e">
            <v>#N/A</v>
          </cell>
          <cell r="BO906" t="str">
            <v>Not Matched</v>
          </cell>
          <cell r="BP906">
            <v>8815482</v>
          </cell>
        </row>
        <row r="907">
          <cell r="BK907" t="str">
            <v>07AAJCG9480A1ZJG00HO/12</v>
          </cell>
          <cell r="BL907">
            <v>34.78</v>
          </cell>
          <cell r="BM907" t="e">
            <v>#N/A</v>
          </cell>
          <cell r="BN907" t="e">
            <v>#N/A</v>
          </cell>
          <cell r="BO907" t="str">
            <v>Not Matched</v>
          </cell>
          <cell r="BP907">
            <v>8761504</v>
          </cell>
        </row>
        <row r="908">
          <cell r="BK908" t="str">
            <v>07AAJCG9480A1ZJG00HO/12</v>
          </cell>
          <cell r="BL908">
            <v>91.2</v>
          </cell>
          <cell r="BM908" t="e">
            <v>#N/A</v>
          </cell>
          <cell r="BN908" t="e">
            <v>#N/A</v>
          </cell>
          <cell r="BO908" t="str">
            <v>Not Matched</v>
          </cell>
          <cell r="BP908">
            <v>8761504</v>
          </cell>
        </row>
        <row r="909">
          <cell r="BK909" t="str">
            <v>07AAJCG9480A1ZJG00HO/12</v>
          </cell>
          <cell r="BL909">
            <v>20.36</v>
          </cell>
          <cell r="BM909" t="e">
            <v>#N/A</v>
          </cell>
          <cell r="BN909" t="e">
            <v>#N/A</v>
          </cell>
          <cell r="BO909" t="str">
            <v>Not Matched</v>
          </cell>
          <cell r="BP909">
            <v>8761504</v>
          </cell>
        </row>
        <row r="910">
          <cell r="BK910" t="str">
            <v>07AAJCG9480A1ZJG00HO/13</v>
          </cell>
          <cell r="BL910">
            <v>130.28</v>
          </cell>
          <cell r="BM910" t="e">
            <v>#N/A</v>
          </cell>
          <cell r="BN910" t="e">
            <v>#N/A</v>
          </cell>
          <cell r="BO910" t="str">
            <v>Not Matched</v>
          </cell>
          <cell r="BP910">
            <v>8761507</v>
          </cell>
        </row>
        <row r="911">
          <cell r="BK911" t="str">
            <v>07AAJCG9480A1ZJG00HO/12</v>
          </cell>
          <cell r="BL911">
            <v>12.22</v>
          </cell>
          <cell r="BM911" t="e">
            <v>#N/A</v>
          </cell>
          <cell r="BN911" t="e">
            <v>#N/A</v>
          </cell>
          <cell r="BO911" t="str">
            <v>Not Matched</v>
          </cell>
          <cell r="BP911">
            <v>8761504</v>
          </cell>
        </row>
        <row r="912">
          <cell r="BK912" t="str">
            <v>07AIUPB4136G2Z97</v>
          </cell>
          <cell r="BL912">
            <v>137.7</v>
          </cell>
          <cell r="BM912" t="e">
            <v>#N/A</v>
          </cell>
          <cell r="BN912" t="e">
            <v>#N/A</v>
          </cell>
          <cell r="BO912" t="str">
            <v>Not Matched</v>
          </cell>
          <cell r="BP912">
            <v>8797319</v>
          </cell>
        </row>
        <row r="913">
          <cell r="BK913" t="str">
            <v>07AACCG5199H1ZCDN-01976</v>
          </cell>
          <cell r="BL913">
            <v>-2511.18</v>
          </cell>
          <cell r="BM913" t="e">
            <v>#N/A</v>
          </cell>
          <cell r="BN913" t="e">
            <v>#N/A</v>
          </cell>
          <cell r="BO913" t="str">
            <v>Not Matched</v>
          </cell>
          <cell r="BP913">
            <v>8778743</v>
          </cell>
        </row>
        <row r="914">
          <cell r="BK914" t="str">
            <v>07AAJCG9480A1ZJG00HO/12</v>
          </cell>
          <cell r="BL914">
            <v>33.04</v>
          </cell>
          <cell r="BM914" t="e">
            <v>#N/A</v>
          </cell>
          <cell r="BN914" t="e">
            <v>#N/A</v>
          </cell>
          <cell r="BO914" t="str">
            <v>Not Matched</v>
          </cell>
          <cell r="BP914">
            <v>8761504</v>
          </cell>
        </row>
        <row r="915">
          <cell r="BK915" t="str">
            <v>07AABCB5576G1ZNNDCDL25001895830</v>
          </cell>
          <cell r="BL915">
            <v>110.52</v>
          </cell>
          <cell r="BM915" t="e">
            <v>#N/A</v>
          </cell>
          <cell r="BN915" t="e">
            <v>#N/A</v>
          </cell>
          <cell r="BO915" t="str">
            <v>Not Matched</v>
          </cell>
          <cell r="BP915">
            <v>8798035</v>
          </cell>
        </row>
        <row r="916">
          <cell r="BK916" t="str">
            <v>07AAJCG9480A1ZJG00HO/12</v>
          </cell>
          <cell r="BL916">
            <v>11.76</v>
          </cell>
          <cell r="BM916" t="e">
            <v>#N/A</v>
          </cell>
          <cell r="BN916" t="e">
            <v>#N/A</v>
          </cell>
          <cell r="BO916" t="str">
            <v>Not Matched</v>
          </cell>
          <cell r="BP916">
            <v>8761504</v>
          </cell>
        </row>
        <row r="917">
          <cell r="BK917" t="str">
            <v>07AAJCG9480A1ZJG00HO/12</v>
          </cell>
          <cell r="BL917">
            <v>9.04</v>
          </cell>
          <cell r="BM917" t="e">
            <v>#N/A</v>
          </cell>
          <cell r="BN917" t="e">
            <v>#N/A</v>
          </cell>
          <cell r="BO917" t="str">
            <v>Not Matched</v>
          </cell>
          <cell r="BP917">
            <v>8761504</v>
          </cell>
        </row>
        <row r="918">
          <cell r="BK918" t="str">
            <v>09AADCW4398P1ZBWCl/25-26/48</v>
          </cell>
          <cell r="BL918">
            <v>13500</v>
          </cell>
          <cell r="BM918" t="e">
            <v>#N/A</v>
          </cell>
          <cell r="BN918" t="e">
            <v>#N/A</v>
          </cell>
          <cell r="BO918" t="str">
            <v>Not Matched</v>
          </cell>
          <cell r="BP918">
            <v>8796738</v>
          </cell>
        </row>
        <row r="919">
          <cell r="BK919" t="str">
            <v>07AABCB5576G1ZNNDCDL25001895640</v>
          </cell>
          <cell r="BL919">
            <v>144.54</v>
          </cell>
          <cell r="BM919" t="e">
            <v>#N/A</v>
          </cell>
          <cell r="BN919" t="e">
            <v>#N/A</v>
          </cell>
          <cell r="BO919" t="str">
            <v>Not Matched</v>
          </cell>
          <cell r="BP919">
            <v>8798034</v>
          </cell>
        </row>
        <row r="920">
          <cell r="BK920" t="str">
            <v>07AABCB5576G1ZNNDCDL25001999430</v>
          </cell>
          <cell r="BL920">
            <v>110.88</v>
          </cell>
          <cell r="BM920" t="e">
            <v>#N/A</v>
          </cell>
          <cell r="BN920" t="e">
            <v>#N/A</v>
          </cell>
          <cell r="BO920" t="str">
            <v>Not Matched</v>
          </cell>
          <cell r="BP920">
            <v>8798044</v>
          </cell>
        </row>
        <row r="921">
          <cell r="BK921" t="str">
            <v>07AAJCG9480A1ZJG00HO/12</v>
          </cell>
          <cell r="BL921">
            <v>64.12</v>
          </cell>
          <cell r="BM921" t="e">
            <v>#N/A</v>
          </cell>
          <cell r="BN921" t="e">
            <v>#N/A</v>
          </cell>
          <cell r="BO921" t="str">
            <v>Not Matched</v>
          </cell>
          <cell r="BP921">
            <v>8761504</v>
          </cell>
        </row>
        <row r="922">
          <cell r="BK922" t="str">
            <v>07AIUPB4136G2Z97</v>
          </cell>
          <cell r="BL922">
            <v>2794.5</v>
          </cell>
          <cell r="BM922" t="e">
            <v>#N/A</v>
          </cell>
          <cell r="BN922" t="e">
            <v>#N/A</v>
          </cell>
          <cell r="BO922" t="str">
            <v>Not Matched</v>
          </cell>
          <cell r="BP922">
            <v>8797319</v>
          </cell>
        </row>
        <row r="923">
          <cell r="BK923" t="str">
            <v>07AABCB5576G1ZNNDCDL25001901950</v>
          </cell>
          <cell r="BL923">
            <v>122.76</v>
          </cell>
          <cell r="BM923" t="e">
            <v>#N/A</v>
          </cell>
          <cell r="BN923" t="e">
            <v>#N/A</v>
          </cell>
          <cell r="BO923" t="str">
            <v>Not Matched</v>
          </cell>
          <cell r="BP923">
            <v>8798037</v>
          </cell>
        </row>
        <row r="924">
          <cell r="BK924" t="str">
            <v>07AAACC0462F1Z6MN25MAN102491173</v>
          </cell>
          <cell r="BL924">
            <v>2250</v>
          </cell>
          <cell r="BM924" t="e">
            <v>#N/A</v>
          </cell>
          <cell r="BN924" t="e">
            <v>#N/A</v>
          </cell>
          <cell r="BO924" t="str">
            <v>Not Matched</v>
          </cell>
          <cell r="BP924">
            <v>8811815</v>
          </cell>
        </row>
        <row r="925">
          <cell r="BK925" t="str">
            <v>07AABCB5582A1Z1BT/2242</v>
          </cell>
          <cell r="BL925">
            <v>1296</v>
          </cell>
          <cell r="BM925" t="e">
            <v>#N/A</v>
          </cell>
          <cell r="BN925" t="e">
            <v>#N/A</v>
          </cell>
          <cell r="BO925" t="str">
            <v>Not Matched</v>
          </cell>
          <cell r="BP925">
            <v>8811973</v>
          </cell>
        </row>
        <row r="926">
          <cell r="BK926" t="str">
            <v>07AAJCG9480A1ZJG00HO/13</v>
          </cell>
          <cell r="BL926">
            <v>244.22</v>
          </cell>
          <cell r="BM926" t="e">
            <v>#N/A</v>
          </cell>
          <cell r="BN926" t="e">
            <v>#N/A</v>
          </cell>
          <cell r="BO926" t="str">
            <v>Not Matched</v>
          </cell>
          <cell r="BP926">
            <v>8761507</v>
          </cell>
        </row>
        <row r="927">
          <cell r="BK927" t="str">
            <v>07AAJCG9480A1ZJG00HO/12</v>
          </cell>
          <cell r="BL927">
            <v>24.42</v>
          </cell>
          <cell r="BM927" t="e">
            <v>#N/A</v>
          </cell>
          <cell r="BN927" t="e">
            <v>#N/A</v>
          </cell>
          <cell r="BO927" t="str">
            <v>Not Matched</v>
          </cell>
          <cell r="BP927">
            <v>8761504</v>
          </cell>
        </row>
        <row r="928">
          <cell r="BK928" t="str">
            <v>07AAJCG9480A1ZJG00HO/12</v>
          </cell>
          <cell r="BL928">
            <v>143.46</v>
          </cell>
          <cell r="BM928" t="e">
            <v>#N/A</v>
          </cell>
          <cell r="BN928" t="e">
            <v>#N/A</v>
          </cell>
          <cell r="BO928" t="str">
            <v>Not Matched</v>
          </cell>
          <cell r="BP928">
            <v>8761504</v>
          </cell>
        </row>
        <row r="929">
          <cell r="BK929" t="str">
            <v>07AAJCG9480A1ZJG00HO/12</v>
          </cell>
          <cell r="BL929">
            <v>7.78</v>
          </cell>
          <cell r="BM929" t="e">
            <v>#N/A</v>
          </cell>
          <cell r="BN929" t="e">
            <v>#N/A</v>
          </cell>
          <cell r="BO929" t="str">
            <v>Not Matched</v>
          </cell>
          <cell r="BP929">
            <v>8761504</v>
          </cell>
        </row>
        <row r="930">
          <cell r="BK930" t="str">
            <v>07AAJCG9480A1ZJG00HO/12</v>
          </cell>
          <cell r="BL930">
            <v>62.32</v>
          </cell>
          <cell r="BM930" t="e">
            <v>#N/A</v>
          </cell>
          <cell r="BN930" t="e">
            <v>#N/A</v>
          </cell>
          <cell r="BO930" t="str">
            <v>Not Matched</v>
          </cell>
          <cell r="BP930">
            <v>8761504</v>
          </cell>
        </row>
        <row r="931">
          <cell r="BK931" t="str">
            <v>07AAJCG9480A1ZJG00HO/12</v>
          </cell>
          <cell r="BL931">
            <v>44.34</v>
          </cell>
          <cell r="BM931" t="e">
            <v>#N/A</v>
          </cell>
          <cell r="BN931" t="e">
            <v>#N/A</v>
          </cell>
          <cell r="BO931" t="str">
            <v>Not Matched</v>
          </cell>
          <cell r="BP931">
            <v>8761504</v>
          </cell>
        </row>
        <row r="932">
          <cell r="BK932" t="str">
            <v>07AIUPB4136G2Z95</v>
          </cell>
          <cell r="BL932">
            <v>2538</v>
          </cell>
          <cell r="BM932" t="e">
            <v>#N/A</v>
          </cell>
          <cell r="BN932" t="e">
            <v>#N/A</v>
          </cell>
          <cell r="BO932" t="str">
            <v>Not Matched</v>
          </cell>
          <cell r="BP932">
            <v>8802736</v>
          </cell>
        </row>
        <row r="933">
          <cell r="BK933" t="str">
            <v>07AIUPB4136G2Z95</v>
          </cell>
          <cell r="BL933">
            <v>864</v>
          </cell>
          <cell r="BM933" t="e">
            <v>#N/A</v>
          </cell>
          <cell r="BN933" t="e">
            <v>#N/A</v>
          </cell>
          <cell r="BO933" t="str">
            <v>Not Matched</v>
          </cell>
          <cell r="BP933">
            <v>8802736</v>
          </cell>
        </row>
        <row r="934">
          <cell r="BK934" t="str">
            <v>07AABCB5582A1Z1BT/2198</v>
          </cell>
          <cell r="BL934">
            <v>8100</v>
          </cell>
          <cell r="BM934" t="e">
            <v>#N/A</v>
          </cell>
          <cell r="BN934" t="e">
            <v>#N/A</v>
          </cell>
          <cell r="BO934" t="str">
            <v>Not Matched</v>
          </cell>
          <cell r="BP934">
            <v>8757427</v>
          </cell>
        </row>
        <row r="935">
          <cell r="BK935" t="str">
            <v>27AABCT3784C1ZDGLMS000000041970</v>
          </cell>
          <cell r="BL935">
            <v>-16727.81</v>
          </cell>
          <cell r="BM935" t="e">
            <v>#N/A</v>
          </cell>
          <cell r="BN935" t="e">
            <v>#N/A</v>
          </cell>
          <cell r="BO935" t="str">
            <v>Not Matched</v>
          </cell>
          <cell r="BP935">
            <v>8746054</v>
          </cell>
        </row>
        <row r="936">
          <cell r="BK936" t="str">
            <v>07AABCT3518Q1ZYDE25C000009885</v>
          </cell>
          <cell r="BL936">
            <v>-3062.08</v>
          </cell>
          <cell r="BM936" t="e">
            <v>#N/A</v>
          </cell>
          <cell r="BN936" t="e">
            <v>#N/A</v>
          </cell>
          <cell r="BO936" t="str">
            <v>Not Matched</v>
          </cell>
          <cell r="BP936">
            <v>8746413</v>
          </cell>
        </row>
        <row r="937">
          <cell r="BK937" t="str">
            <v>27AAACI7573H1ZCEGHI-20250726-25</v>
          </cell>
          <cell r="BL937">
            <v>43.74</v>
          </cell>
          <cell r="BM937" t="e">
            <v>#N/A</v>
          </cell>
          <cell r="BN937" t="e">
            <v>#N/A</v>
          </cell>
          <cell r="BO937" t="str">
            <v>Not Matched</v>
          </cell>
          <cell r="BP937">
            <v>8746854</v>
          </cell>
        </row>
        <row r="938">
          <cell r="BK938" t="str">
            <v>07AAACB0272G1Z5I2500069</v>
          </cell>
          <cell r="BL938">
            <v>-1086</v>
          </cell>
          <cell r="BM938" t="e">
            <v>#N/A</v>
          </cell>
          <cell r="BN938" t="e">
            <v>#N/A</v>
          </cell>
          <cell r="BO938" t="str">
            <v>Not Matched</v>
          </cell>
          <cell r="BP938">
            <v>8728555</v>
          </cell>
        </row>
        <row r="939">
          <cell r="BK939" t="str">
            <v>06AACCF4245K1ZNSR20725-273</v>
          </cell>
          <cell r="BL939">
            <v>127.22</v>
          </cell>
          <cell r="BM939" t="e">
            <v>#N/A</v>
          </cell>
          <cell r="BN939" t="e">
            <v>#N/A</v>
          </cell>
          <cell r="BO939" t="str">
            <v>Not Matched</v>
          </cell>
          <cell r="BP939">
            <v>8743771</v>
          </cell>
        </row>
        <row r="940">
          <cell r="BK940" t="str">
            <v>07AACFR7407E1ZE5/HO/2025-2026</v>
          </cell>
          <cell r="BL940">
            <v>-1440</v>
          </cell>
          <cell r="BM940" t="e">
            <v>#N/A</v>
          </cell>
          <cell r="BN940" t="e">
            <v>#N/A</v>
          </cell>
          <cell r="BO940" t="str">
            <v>Not Matched</v>
          </cell>
          <cell r="BP940">
            <v>8742798</v>
          </cell>
        </row>
        <row r="941">
          <cell r="BK941" t="str">
            <v>07AABCB5582A1Z1FG00004427</v>
          </cell>
          <cell r="BL941">
            <v>137170</v>
          </cell>
          <cell r="BM941" t="e">
            <v>#N/A</v>
          </cell>
          <cell r="BN941" t="e">
            <v>#N/A</v>
          </cell>
          <cell r="BO941" t="str">
            <v>Not Matched</v>
          </cell>
          <cell r="BP941">
            <v>8734659</v>
          </cell>
        </row>
        <row r="942">
          <cell r="BK942" t="str">
            <v>07AABCB5582A1Z1BT/2199</v>
          </cell>
          <cell r="BL942">
            <v>12960</v>
          </cell>
          <cell r="BM942" t="e">
            <v>#N/A</v>
          </cell>
          <cell r="BN942" t="e">
            <v>#N/A</v>
          </cell>
          <cell r="BO942" t="str">
            <v>Not Matched</v>
          </cell>
          <cell r="BP942">
            <v>8757453</v>
          </cell>
        </row>
        <row r="943">
          <cell r="BK943" t="str">
            <v>07AABCB5582A1Z1BT/2200</v>
          </cell>
          <cell r="BL943">
            <v>12960</v>
          </cell>
          <cell r="BM943" t="e">
            <v>#N/A</v>
          </cell>
          <cell r="BN943" t="e">
            <v>#N/A</v>
          </cell>
          <cell r="BO943" t="str">
            <v>Not Matched</v>
          </cell>
          <cell r="BP943">
            <v>8757466</v>
          </cell>
        </row>
        <row r="944">
          <cell r="BK944" t="str">
            <v>07AADCL9190Q1ZOLGA/DL/2526/367</v>
          </cell>
          <cell r="BL944">
            <v>1710</v>
          </cell>
          <cell r="BM944" t="e">
            <v>#N/A</v>
          </cell>
          <cell r="BN944" t="e">
            <v>#N/A</v>
          </cell>
          <cell r="BO944" t="str">
            <v>Not Matched</v>
          </cell>
          <cell r="BP944">
            <v>8753931</v>
          </cell>
        </row>
        <row r="945">
          <cell r="BK945" t="str">
            <v>06AACCF4245K1ZNSR20725-273</v>
          </cell>
          <cell r="BL945">
            <v>115.92</v>
          </cell>
          <cell r="BM945" t="e">
            <v>#N/A</v>
          </cell>
          <cell r="BN945" t="e">
            <v>#N/A</v>
          </cell>
          <cell r="BO945" t="str">
            <v>Not Matched</v>
          </cell>
          <cell r="BP945">
            <v>8743771</v>
          </cell>
        </row>
        <row r="946">
          <cell r="BK946" t="str">
            <v>06AACCF4245K1ZNSR20725-273</v>
          </cell>
          <cell r="BL946">
            <v>103.82</v>
          </cell>
          <cell r="BM946" t="e">
            <v>#N/A</v>
          </cell>
          <cell r="BN946" t="e">
            <v>#N/A</v>
          </cell>
          <cell r="BO946" t="str">
            <v>Not Matched</v>
          </cell>
          <cell r="BP946">
            <v>8743771</v>
          </cell>
        </row>
        <row r="947">
          <cell r="BK947" t="str">
            <v>06AACCF4245K1ZNSR20725-273</v>
          </cell>
          <cell r="BL947">
            <v>410.39</v>
          </cell>
          <cell r="BM947" t="e">
            <v>#N/A</v>
          </cell>
          <cell r="BN947" t="e">
            <v>#N/A</v>
          </cell>
          <cell r="BO947" t="str">
            <v>Not Matched</v>
          </cell>
          <cell r="BP947">
            <v>8743771</v>
          </cell>
        </row>
        <row r="948">
          <cell r="BK948" t="str">
            <v>07AAATT4704C1ZVASSO/25-26/01855</v>
          </cell>
          <cell r="BL948">
            <v>1728</v>
          </cell>
          <cell r="BM948" t="e">
            <v>#N/A</v>
          </cell>
          <cell r="BN948" t="e">
            <v>#N/A</v>
          </cell>
          <cell r="BO948" t="str">
            <v>Not Matched</v>
          </cell>
          <cell r="BP948">
            <v>8737233</v>
          </cell>
        </row>
        <row r="949">
          <cell r="BK949" t="str">
            <v>06AACCF4245K1ZNSR20725-273</v>
          </cell>
          <cell r="BL949">
            <v>311.51</v>
          </cell>
          <cell r="BM949" t="e">
            <v>#N/A</v>
          </cell>
          <cell r="BN949" t="e">
            <v>#N/A</v>
          </cell>
          <cell r="BO949" t="str">
            <v>Not Matched</v>
          </cell>
          <cell r="BP949">
            <v>8743771</v>
          </cell>
        </row>
        <row r="950">
          <cell r="BK950" t="str">
            <v>27AABCT3784C1ZDGLMS000000040757</v>
          </cell>
          <cell r="BL950">
            <v>-2682.24</v>
          </cell>
          <cell r="BM950" t="e">
            <v>#N/A</v>
          </cell>
          <cell r="BN950" t="e">
            <v>#N/A</v>
          </cell>
          <cell r="BO950" t="str">
            <v>Not Matched</v>
          </cell>
          <cell r="BP950">
            <v>8746037</v>
          </cell>
        </row>
        <row r="951">
          <cell r="BK951" t="str">
            <v>27AABCT3784C1ZDGLMS000000038692</v>
          </cell>
          <cell r="BL951">
            <v>-1265.34</v>
          </cell>
          <cell r="BM951" t="e">
            <v>#N/A</v>
          </cell>
          <cell r="BN951" t="e">
            <v>#N/A</v>
          </cell>
          <cell r="BO951" t="str">
            <v>Not Matched</v>
          </cell>
          <cell r="BP951">
            <v>8746069</v>
          </cell>
        </row>
        <row r="952">
          <cell r="BK952" t="str">
            <v>07AABCT3518Q1ZYDE25C000010028</v>
          </cell>
          <cell r="BL952">
            <v>-364.68</v>
          </cell>
          <cell r="BM952" t="e">
            <v>#N/A</v>
          </cell>
          <cell r="BN952" t="e">
            <v>#N/A</v>
          </cell>
          <cell r="BO952" t="str">
            <v>Not Matched</v>
          </cell>
          <cell r="BP952">
            <v>8746410</v>
          </cell>
        </row>
        <row r="953">
          <cell r="BK953" t="str">
            <v>07AABCB5582A1Z1BT/2199</v>
          </cell>
          <cell r="BL953">
            <v>16200</v>
          </cell>
          <cell r="BM953" t="e">
            <v>#N/A</v>
          </cell>
          <cell r="BN953" t="e">
            <v>#N/A</v>
          </cell>
          <cell r="BO953" t="str">
            <v>Not Matched</v>
          </cell>
          <cell r="BP953">
            <v>8757453</v>
          </cell>
        </row>
        <row r="954">
          <cell r="BK954" t="str">
            <v>07AAACS8577K1ZRT0825071R3790</v>
          </cell>
          <cell r="BL954">
            <v>2996</v>
          </cell>
          <cell r="BM954" t="e">
            <v>#N/A</v>
          </cell>
          <cell r="BN954" t="e">
            <v>#N/A</v>
          </cell>
          <cell r="BO954" t="str">
            <v>Not Matched</v>
          </cell>
          <cell r="BP954">
            <v>8769311</v>
          </cell>
        </row>
        <row r="955">
          <cell r="BK955" t="str">
            <v>07AABCB5582A1Z1BT/2198</v>
          </cell>
          <cell r="BL955">
            <v>18576</v>
          </cell>
          <cell r="BM955" t="e">
            <v>#N/A</v>
          </cell>
          <cell r="BN955" t="e">
            <v>#N/A</v>
          </cell>
          <cell r="BO955" t="str">
            <v>Not Matched</v>
          </cell>
          <cell r="BP955">
            <v>8757427</v>
          </cell>
        </row>
        <row r="956">
          <cell r="BK956" t="str">
            <v>07AABCB5582A1Z1BT/2200</v>
          </cell>
          <cell r="BL956">
            <v>16200</v>
          </cell>
          <cell r="BM956" t="e">
            <v>#N/A</v>
          </cell>
          <cell r="BN956" t="e">
            <v>#N/A</v>
          </cell>
          <cell r="BO956" t="str">
            <v>Not Matched</v>
          </cell>
          <cell r="BP956">
            <v>8757466</v>
          </cell>
        </row>
        <row r="957">
          <cell r="BK957" t="str">
            <v>07AAICT2867R1ZFN1233/2526/V0510</v>
          </cell>
          <cell r="BL957">
            <v>405495</v>
          </cell>
          <cell r="BM957" t="e">
            <v>#N/A</v>
          </cell>
          <cell r="BN957" t="e">
            <v>#N/A</v>
          </cell>
          <cell r="BO957" t="str">
            <v>Not Matched</v>
          </cell>
          <cell r="BP957">
            <v>8750968</v>
          </cell>
        </row>
        <row r="958">
          <cell r="BK958" t="str">
            <v>06AACCF4245K1ZNSR20725-273</v>
          </cell>
          <cell r="BL958">
            <v>29.44</v>
          </cell>
          <cell r="BM958" t="e">
            <v>#N/A</v>
          </cell>
          <cell r="BN958" t="e">
            <v>#N/A</v>
          </cell>
          <cell r="BO958" t="str">
            <v>Not Matched</v>
          </cell>
          <cell r="BP958">
            <v>8743771</v>
          </cell>
        </row>
        <row r="959">
          <cell r="BK959" t="str">
            <v>06AACCF4245K1ZNSR20725-273</v>
          </cell>
          <cell r="BL959">
            <v>5.49</v>
          </cell>
          <cell r="BM959" t="e">
            <v>#N/A</v>
          </cell>
          <cell r="BN959" t="e">
            <v>#N/A</v>
          </cell>
          <cell r="BO959" t="str">
            <v>Not Matched</v>
          </cell>
          <cell r="BP959">
            <v>8743771</v>
          </cell>
        </row>
        <row r="960">
          <cell r="BK960" t="str">
            <v>07AAJCS4628Q1ZMGPI/SE/06/25-26</v>
          </cell>
          <cell r="BL960">
            <v>-5400</v>
          </cell>
          <cell r="BM960" t="e">
            <v>#N/A</v>
          </cell>
          <cell r="BN960" t="e">
            <v>#N/A</v>
          </cell>
          <cell r="BO960" t="str">
            <v>Not Matched</v>
          </cell>
          <cell r="BP960">
            <v>8721853</v>
          </cell>
        </row>
        <row r="961">
          <cell r="BK961" t="str">
            <v>07AAACB2100P1ZZDLSO030925332360</v>
          </cell>
          <cell r="BL961">
            <v>116.64</v>
          </cell>
          <cell r="BM961" t="e">
            <v>#N/A</v>
          </cell>
          <cell r="BN961" t="e">
            <v>#N/A</v>
          </cell>
          <cell r="BO961" t="str">
            <v>Not Matched</v>
          </cell>
          <cell r="BP961">
            <v>8726340</v>
          </cell>
        </row>
        <row r="962">
          <cell r="BK962" t="str">
            <v>06AACCF4245K1ZNSR20725-273</v>
          </cell>
          <cell r="BL962">
            <v>104.54</v>
          </cell>
          <cell r="BM962" t="e">
            <v>#N/A</v>
          </cell>
          <cell r="BN962" t="e">
            <v>#N/A</v>
          </cell>
          <cell r="BO962" t="str">
            <v>Not Matched</v>
          </cell>
          <cell r="BP962">
            <v>8743771</v>
          </cell>
        </row>
        <row r="963">
          <cell r="BK963" t="str">
            <v>06AACCF4245K1ZNSR20725-273</v>
          </cell>
          <cell r="BL963">
            <v>115.92</v>
          </cell>
          <cell r="BM963" t="e">
            <v>#N/A</v>
          </cell>
          <cell r="BN963" t="e">
            <v>#N/A</v>
          </cell>
          <cell r="BO963" t="str">
            <v>Not Matched</v>
          </cell>
          <cell r="BP963">
            <v>8743771</v>
          </cell>
        </row>
        <row r="964">
          <cell r="BK964" t="str">
            <v>07AAACB2100P1ZZDLSO030925332360</v>
          </cell>
          <cell r="BL964">
            <v>185.04</v>
          </cell>
          <cell r="BM964" t="e">
            <v>#N/A</v>
          </cell>
          <cell r="BN964" t="e">
            <v>#N/A</v>
          </cell>
          <cell r="BO964" t="str">
            <v>Not Matched</v>
          </cell>
          <cell r="BP964">
            <v>8726340</v>
          </cell>
        </row>
        <row r="965">
          <cell r="BK965" t="str">
            <v>07AADCL9190Q1ZOLGA/DL/2526/369</v>
          </cell>
          <cell r="BL965">
            <v>31.5</v>
          </cell>
          <cell r="BM965" t="e">
            <v>#N/A</v>
          </cell>
          <cell r="BN965" t="e">
            <v>#N/A</v>
          </cell>
          <cell r="BO965" t="str">
            <v>Not Matched</v>
          </cell>
          <cell r="BP965">
            <v>8753539</v>
          </cell>
        </row>
        <row r="966">
          <cell r="BK966" t="str">
            <v>07AABCT3518Q1ZYDE25C0000013626</v>
          </cell>
          <cell r="BL966">
            <v>-12729.2</v>
          </cell>
          <cell r="BM966" t="e">
            <v>#N/A</v>
          </cell>
          <cell r="BN966" t="e">
            <v>#N/A</v>
          </cell>
          <cell r="BO966" t="str">
            <v>Not Matched</v>
          </cell>
          <cell r="BP966">
            <v>8749002</v>
          </cell>
        </row>
        <row r="967">
          <cell r="BK967" t="str">
            <v>06AACCF4245K1ZNSR20725-273</v>
          </cell>
          <cell r="BL967">
            <v>69.56</v>
          </cell>
          <cell r="BM967" t="e">
            <v>#N/A</v>
          </cell>
          <cell r="BN967" t="e">
            <v>#N/A</v>
          </cell>
          <cell r="BO967" t="str">
            <v>Not Matched</v>
          </cell>
          <cell r="BP967">
            <v>8743771</v>
          </cell>
        </row>
        <row r="968">
          <cell r="BK968" t="str">
            <v>06AACCF4245K1ZNSR20725-273</v>
          </cell>
          <cell r="BL968">
            <v>488.38</v>
          </cell>
          <cell r="BM968" t="e">
            <v>#N/A</v>
          </cell>
          <cell r="BN968" t="e">
            <v>#N/A</v>
          </cell>
          <cell r="BO968" t="str">
            <v>Not Matched</v>
          </cell>
          <cell r="BP968">
            <v>8743771</v>
          </cell>
        </row>
        <row r="969">
          <cell r="BK969" t="str">
            <v>06AACCF4245K1ZNSR20725-273</v>
          </cell>
          <cell r="BL969">
            <v>122.55</v>
          </cell>
          <cell r="BM969" t="e">
            <v>#N/A</v>
          </cell>
          <cell r="BN969" t="e">
            <v>#N/A</v>
          </cell>
          <cell r="BO969" t="str">
            <v>Not Matched</v>
          </cell>
          <cell r="BP969">
            <v>8743771</v>
          </cell>
        </row>
        <row r="970">
          <cell r="BK970" t="str">
            <v>27AAACI7573H1ZC1291733800003</v>
          </cell>
          <cell r="BL970">
            <v>5376.6</v>
          </cell>
          <cell r="BM970" t="e">
            <v>#N/A</v>
          </cell>
          <cell r="BN970" t="e">
            <v>#N/A</v>
          </cell>
          <cell r="BO970" t="str">
            <v>Not Matched</v>
          </cell>
          <cell r="BP970">
            <v>8746691</v>
          </cell>
        </row>
        <row r="971">
          <cell r="BK971" t="str">
            <v>07AADCL9190Q1ZOLGA/DL/2526/368</v>
          </cell>
          <cell r="BL971">
            <v>1710</v>
          </cell>
          <cell r="BM971" t="e">
            <v>#N/A</v>
          </cell>
          <cell r="BN971" t="e">
            <v>#N/A</v>
          </cell>
          <cell r="BO971" t="str">
            <v>Not Matched</v>
          </cell>
          <cell r="BP971">
            <v>8753930</v>
          </cell>
        </row>
        <row r="972">
          <cell r="BK972" t="str">
            <v>06AACCF4245K1ZNSR20725-273</v>
          </cell>
          <cell r="BL972">
            <v>337.73</v>
          </cell>
          <cell r="BM972" t="e">
            <v>#N/A</v>
          </cell>
          <cell r="BN972" t="e">
            <v>#N/A</v>
          </cell>
          <cell r="BO972" t="str">
            <v>Not Matched</v>
          </cell>
          <cell r="BP972">
            <v>8743771</v>
          </cell>
        </row>
        <row r="973">
          <cell r="BK973" t="str">
            <v>06AACCF4245K1ZNSR20725-273</v>
          </cell>
          <cell r="BL973">
            <v>124.56</v>
          </cell>
          <cell r="BM973" t="e">
            <v>#N/A</v>
          </cell>
          <cell r="BN973" t="e">
            <v>#N/A</v>
          </cell>
          <cell r="BO973" t="str">
            <v>Not Matched</v>
          </cell>
          <cell r="BP973">
            <v>8743771</v>
          </cell>
        </row>
        <row r="974">
          <cell r="BK974" t="str">
            <v>06AACCF4245K1ZNSR20725-273</v>
          </cell>
          <cell r="BL974">
            <v>56.44</v>
          </cell>
          <cell r="BM974" t="e">
            <v>#N/A</v>
          </cell>
          <cell r="BN974" t="e">
            <v>#N/A</v>
          </cell>
          <cell r="BO974" t="str">
            <v>Not Matched</v>
          </cell>
          <cell r="BP974">
            <v>8743771</v>
          </cell>
        </row>
        <row r="975">
          <cell r="BK975" t="str">
            <v>07AAACB2100P1ZZDLSO030925332360</v>
          </cell>
          <cell r="BL975">
            <v>431.28</v>
          </cell>
          <cell r="BM975" t="e">
            <v>#N/A</v>
          </cell>
          <cell r="BN975" t="e">
            <v>#N/A</v>
          </cell>
          <cell r="BO975" t="str">
            <v>Not Matched</v>
          </cell>
          <cell r="BP975">
            <v>8726340</v>
          </cell>
        </row>
        <row r="976">
          <cell r="BK976" t="str">
            <v>06AACCF4245K1ZNSR20725-273</v>
          </cell>
          <cell r="BL976">
            <v>148.68</v>
          </cell>
          <cell r="BM976" t="e">
            <v>#N/A</v>
          </cell>
          <cell r="BN976" t="e">
            <v>#N/A</v>
          </cell>
          <cell r="BO976" t="str">
            <v>Not Matched</v>
          </cell>
          <cell r="BP976">
            <v>8743771</v>
          </cell>
        </row>
        <row r="977">
          <cell r="BK977" t="str">
            <v>06AACCF4245K1ZNSR20725-273</v>
          </cell>
          <cell r="BL977">
            <v>21.83</v>
          </cell>
          <cell r="BM977" t="e">
            <v>#N/A</v>
          </cell>
          <cell r="BN977" t="e">
            <v>#N/A</v>
          </cell>
          <cell r="BO977" t="str">
            <v>Not Matched</v>
          </cell>
          <cell r="BP977">
            <v>8743771</v>
          </cell>
        </row>
        <row r="978">
          <cell r="BK978" t="str">
            <v>06AACCF4245K1ZNSR20725-273</v>
          </cell>
          <cell r="BL978">
            <v>19.51</v>
          </cell>
          <cell r="BM978" t="e">
            <v>#N/A</v>
          </cell>
          <cell r="BN978" t="e">
            <v>#N/A</v>
          </cell>
          <cell r="BO978" t="str">
            <v>Not Matched</v>
          </cell>
          <cell r="BP978">
            <v>8743771</v>
          </cell>
        </row>
        <row r="979">
          <cell r="BK979" t="str">
            <v>07AAACB2100P1ZZDLSO030825286329</v>
          </cell>
          <cell r="BL979">
            <v>431.28</v>
          </cell>
          <cell r="BM979" t="e">
            <v>#N/A</v>
          </cell>
          <cell r="BN979" t="e">
            <v>#N/A</v>
          </cell>
          <cell r="BO979" t="str">
            <v>Not Matched</v>
          </cell>
          <cell r="BP979">
            <v>8689851</v>
          </cell>
        </row>
        <row r="980">
          <cell r="BK980" t="str">
            <v>07AAACM6396E2ZCHO7CN1020250103</v>
          </cell>
          <cell r="BL980">
            <v>-23400</v>
          </cell>
          <cell r="BM980" t="e">
            <v>#N/A</v>
          </cell>
          <cell r="BN980" t="e">
            <v>#N/A</v>
          </cell>
          <cell r="BO980" t="str">
            <v>Not Matched</v>
          </cell>
          <cell r="BP980">
            <v>8679167</v>
          </cell>
        </row>
        <row r="981">
          <cell r="BK981" t="str">
            <v>07AAACB2100P1ZZDLSO030825286329</v>
          </cell>
          <cell r="BL981">
            <v>116.64</v>
          </cell>
          <cell r="BM981" t="e">
            <v>#N/A</v>
          </cell>
          <cell r="BN981" t="e">
            <v>#N/A</v>
          </cell>
          <cell r="BO981" t="str">
            <v>Not Matched</v>
          </cell>
          <cell r="BP981">
            <v>8689851</v>
          </cell>
        </row>
        <row r="982">
          <cell r="BK982" t="str">
            <v>07AAAFB6405G1ZWD50/0ABA</v>
          </cell>
          <cell r="BL982">
            <v>117000</v>
          </cell>
          <cell r="BM982" t="e">
            <v>#N/A</v>
          </cell>
          <cell r="BN982" t="e">
            <v>#N/A</v>
          </cell>
          <cell r="BO982" t="str">
            <v>Not Matched</v>
          </cell>
          <cell r="BP982">
            <v>8671527</v>
          </cell>
        </row>
        <row r="983">
          <cell r="BK983" t="str">
            <v>07AAACB0272G1Z5I2500069</v>
          </cell>
          <cell r="BL983">
            <v>1086</v>
          </cell>
          <cell r="BM983" t="e">
            <v>#N/A</v>
          </cell>
          <cell r="BN983" t="e">
            <v>#N/A</v>
          </cell>
          <cell r="BO983" t="str">
            <v>Not Matched</v>
          </cell>
          <cell r="BP983">
            <v>8708678</v>
          </cell>
        </row>
        <row r="984">
          <cell r="BK984" t="str">
            <v>27AABCT3784C1ZDGLMS00000037406</v>
          </cell>
          <cell r="BL984">
            <v>-2689.7</v>
          </cell>
          <cell r="BM984" t="e">
            <v>#N/A</v>
          </cell>
          <cell r="BN984" t="e">
            <v>#N/A</v>
          </cell>
          <cell r="BO984" t="str">
            <v>Not Matched</v>
          </cell>
          <cell r="BP984">
            <v>8671190</v>
          </cell>
        </row>
        <row r="985">
          <cell r="BK985" t="str">
            <v>07AAACT5980F1Z8TT0100725INC2604</v>
          </cell>
          <cell r="BL985">
            <v>1307.12</v>
          </cell>
          <cell r="BM985" t="e">
            <v>#N/A</v>
          </cell>
          <cell r="BN985" t="e">
            <v>#N/A</v>
          </cell>
          <cell r="BO985" t="str">
            <v>Not Matched</v>
          </cell>
          <cell r="BP985">
            <v>8674904</v>
          </cell>
        </row>
        <row r="986">
          <cell r="BK986" t="str">
            <v>07BGQPS0312G1ZF4848</v>
          </cell>
          <cell r="BL986">
            <v>25.2</v>
          </cell>
          <cell r="BM986" t="e">
            <v>#N/A</v>
          </cell>
          <cell r="BN986" t="e">
            <v>#N/A</v>
          </cell>
          <cell r="BO986" t="str">
            <v>Not Matched</v>
          </cell>
          <cell r="BP986">
            <v>8683902</v>
          </cell>
        </row>
        <row r="987">
          <cell r="BK987" t="str">
            <v>07BGQPS0312G1ZF4848</v>
          </cell>
          <cell r="BL987">
            <v>32.4</v>
          </cell>
          <cell r="BM987" t="e">
            <v>#N/A</v>
          </cell>
          <cell r="BN987" t="e">
            <v>#N/A</v>
          </cell>
          <cell r="BO987" t="str">
            <v>Not Matched</v>
          </cell>
          <cell r="BP987">
            <v>8683902</v>
          </cell>
        </row>
        <row r="988">
          <cell r="BK988" t="str">
            <v>07AABCB5576G1ZNNDCDL25001184140</v>
          </cell>
          <cell r="BL988">
            <v>61.2</v>
          </cell>
          <cell r="BM988" t="e">
            <v>#N/A</v>
          </cell>
          <cell r="BN988" t="e">
            <v>#N/A</v>
          </cell>
          <cell r="BO988" t="str">
            <v>Not Matched</v>
          </cell>
          <cell r="BP988">
            <v>8683979</v>
          </cell>
        </row>
        <row r="989">
          <cell r="BK989" t="str">
            <v>07AAACT5980F1Z8TT0100725INC2604</v>
          </cell>
          <cell r="BL989">
            <v>116.64</v>
          </cell>
          <cell r="BM989" t="e">
            <v>#N/A</v>
          </cell>
          <cell r="BN989" t="e">
            <v>#N/A</v>
          </cell>
          <cell r="BO989" t="str">
            <v>Not Matched</v>
          </cell>
          <cell r="BP989">
            <v>8674904</v>
          </cell>
        </row>
        <row r="990">
          <cell r="BK990" t="str">
            <v>07AAACS8577K1ZRT0625071R3804</v>
          </cell>
          <cell r="BL990">
            <v>-2017.98</v>
          </cell>
          <cell r="BM990" t="e">
            <v>#N/A</v>
          </cell>
          <cell r="BN990" t="e">
            <v>#N/A</v>
          </cell>
          <cell r="BO990" t="str">
            <v>Not Matched</v>
          </cell>
          <cell r="BP990">
            <v>96407077</v>
          </cell>
        </row>
        <row r="991">
          <cell r="BK991" t="str">
            <v>07AAJCS4628Q1ZMGPI/SE/05/25-26</v>
          </cell>
          <cell r="BL991">
            <v>-5400</v>
          </cell>
          <cell r="BM991" t="e">
            <v>#N/A</v>
          </cell>
          <cell r="BN991" t="e">
            <v>#N/A</v>
          </cell>
          <cell r="BO991" t="str">
            <v>Not Matched</v>
          </cell>
          <cell r="BP991">
            <v>8680084</v>
          </cell>
        </row>
        <row r="992">
          <cell r="BK992" t="str">
            <v>07AAACT5980F1Z8TT0100725INC2604</v>
          </cell>
          <cell r="BL992">
            <v>2024.28</v>
          </cell>
          <cell r="BM992" t="e">
            <v>#N/A</v>
          </cell>
          <cell r="BN992" t="e">
            <v>#N/A</v>
          </cell>
          <cell r="BO992" t="str">
            <v>Not Matched</v>
          </cell>
          <cell r="BP992">
            <v>8674904</v>
          </cell>
        </row>
        <row r="993">
          <cell r="BK993" t="str">
            <v>27AABCT3784C1ZDGLMS00000037925</v>
          </cell>
          <cell r="BL993">
            <v>-130.98</v>
          </cell>
          <cell r="BM993" t="e">
            <v>#N/A</v>
          </cell>
          <cell r="BN993" t="e">
            <v>#N/A</v>
          </cell>
          <cell r="BO993" t="str">
            <v>Not Matched</v>
          </cell>
          <cell r="BP993">
            <v>8671191</v>
          </cell>
        </row>
        <row r="994">
          <cell r="BK994" t="str">
            <v>07AAACS8577K1ZRT0625071R3804</v>
          </cell>
          <cell r="BL994">
            <v>2017.98</v>
          </cell>
          <cell r="BM994" t="e">
            <v>#N/A</v>
          </cell>
          <cell r="BN994" t="e">
            <v>#N/A</v>
          </cell>
          <cell r="BO994" t="str">
            <v>Not Matched</v>
          </cell>
          <cell r="BP994">
            <v>8711048</v>
          </cell>
        </row>
        <row r="995">
          <cell r="BK995" t="str">
            <v>07BGQPS0312G1ZF4848</v>
          </cell>
          <cell r="BL995">
            <v>7.2</v>
          </cell>
          <cell r="BM995" t="e">
            <v>#N/A</v>
          </cell>
          <cell r="BN995" t="e">
            <v>#N/A</v>
          </cell>
          <cell r="BO995" t="str">
            <v>Not Matched</v>
          </cell>
          <cell r="BP995">
            <v>8683902</v>
          </cell>
        </row>
        <row r="996">
          <cell r="BK996" t="str">
            <v>07BGQPS0312G1ZF4848</v>
          </cell>
          <cell r="BL996">
            <v>63</v>
          </cell>
          <cell r="BM996" t="e">
            <v>#N/A</v>
          </cell>
          <cell r="BN996" t="e">
            <v>#N/A</v>
          </cell>
          <cell r="BO996" t="str">
            <v>Not Matched</v>
          </cell>
          <cell r="BP996">
            <v>8683902</v>
          </cell>
        </row>
        <row r="997">
          <cell r="BK997" t="str">
            <v>27AABCT3784C1ZDGLMS00000037850</v>
          </cell>
          <cell r="BL997">
            <v>82.72</v>
          </cell>
          <cell r="BM997" t="e">
            <v>#N/A</v>
          </cell>
          <cell r="BN997" t="e">
            <v>#N/A</v>
          </cell>
          <cell r="BO997" t="str">
            <v>Not Matched</v>
          </cell>
          <cell r="BP997">
            <v>8671186</v>
          </cell>
        </row>
        <row r="998">
          <cell r="BK998" t="str">
            <v>07AAACB0272G1Z5CI2500080</v>
          </cell>
          <cell r="BL998">
            <v>24</v>
          </cell>
          <cell r="BM998" t="e">
            <v>#N/A</v>
          </cell>
          <cell r="BN998" t="e">
            <v>#N/A</v>
          </cell>
          <cell r="BO998" t="str">
            <v>Not Matched</v>
          </cell>
          <cell r="BP998">
            <v>8708871</v>
          </cell>
        </row>
        <row r="999">
          <cell r="BK999" t="str">
            <v>07AAACT5980F1Z8TT0100725INC2604</v>
          </cell>
          <cell r="BL999">
            <v>349.92</v>
          </cell>
          <cell r="BM999" t="e">
            <v>#N/A</v>
          </cell>
          <cell r="BN999" t="e">
            <v>#N/A</v>
          </cell>
          <cell r="BO999" t="str">
            <v>Not Matched</v>
          </cell>
          <cell r="BP999">
            <v>8674904</v>
          </cell>
        </row>
        <row r="1000">
          <cell r="BK1000" t="str">
            <v>07AAACT5980F1Z8TT0100725INC2604</v>
          </cell>
          <cell r="BL1000">
            <v>4096.94</v>
          </cell>
          <cell r="BM1000" t="e">
            <v>#N/A</v>
          </cell>
          <cell r="BN1000" t="e">
            <v>#N/A</v>
          </cell>
          <cell r="BO1000" t="str">
            <v>Not Matched</v>
          </cell>
          <cell r="BP1000">
            <v>8674904</v>
          </cell>
        </row>
        <row r="1001">
          <cell r="BK1001" t="str">
            <v>27AADCN9802F1ZGCA/DT0725/2621</v>
          </cell>
          <cell r="BL1001">
            <v>2700</v>
          </cell>
          <cell r="BM1001" t="e">
            <v>#N/A</v>
          </cell>
          <cell r="BN1001" t="e">
            <v>#N/A</v>
          </cell>
          <cell r="BO1001" t="str">
            <v>Not Matched</v>
          </cell>
          <cell r="BP1001">
            <v>8690622</v>
          </cell>
        </row>
        <row r="1002">
          <cell r="BK1002" t="str">
            <v>27AAACC6233A1Z972025202610670</v>
          </cell>
          <cell r="BL1002">
            <v>2700</v>
          </cell>
          <cell r="BM1002" t="e">
            <v>#N/A</v>
          </cell>
          <cell r="BN1002" t="e">
            <v>#N/A</v>
          </cell>
          <cell r="BO1002" t="str">
            <v>Not Matched</v>
          </cell>
          <cell r="BP1002">
            <v>8690631</v>
          </cell>
        </row>
        <row r="1003">
          <cell r="BK1003" t="str">
            <v>07BGQPS0312G1ZF4848</v>
          </cell>
          <cell r="BL1003">
            <v>225</v>
          </cell>
          <cell r="BM1003" t="e">
            <v>#N/A</v>
          </cell>
          <cell r="BN1003" t="e">
            <v>#N/A</v>
          </cell>
          <cell r="BO1003" t="str">
            <v>Not Matched</v>
          </cell>
          <cell r="BP1003">
            <v>8683902</v>
          </cell>
        </row>
        <row r="1004">
          <cell r="BK1004" t="str">
            <v>07BGQPS0312G1ZF4848</v>
          </cell>
          <cell r="BL1004">
            <v>1.8</v>
          </cell>
          <cell r="BM1004" t="e">
            <v>#N/A</v>
          </cell>
          <cell r="BN1004" t="e">
            <v>#N/A</v>
          </cell>
          <cell r="BO1004" t="str">
            <v>Not Matched</v>
          </cell>
          <cell r="BP1004">
            <v>8683902</v>
          </cell>
        </row>
        <row r="1005">
          <cell r="BK1005" t="str">
            <v>07BGQPS0312G1ZF4848</v>
          </cell>
          <cell r="BL1005">
            <v>810</v>
          </cell>
          <cell r="BM1005" t="e">
            <v>#N/A</v>
          </cell>
          <cell r="BN1005" t="e">
            <v>#N/A</v>
          </cell>
          <cell r="BO1005" t="str">
            <v>Not Matched</v>
          </cell>
          <cell r="BP1005">
            <v>8683902</v>
          </cell>
        </row>
        <row r="1006">
          <cell r="BK1006" t="str">
            <v>07BGQPS0312G1ZF4848</v>
          </cell>
          <cell r="BL1006">
            <v>162</v>
          </cell>
          <cell r="BM1006" t="e">
            <v>#N/A</v>
          </cell>
          <cell r="BN1006" t="e">
            <v>#N/A</v>
          </cell>
          <cell r="BO1006" t="str">
            <v>Not Matched</v>
          </cell>
          <cell r="BP1006">
            <v>8683902</v>
          </cell>
        </row>
        <row r="1007">
          <cell r="BK1007" t="str">
            <v>07AAACB2100P1ZZDLSO030825286329</v>
          </cell>
          <cell r="BL1007">
            <v>185.04</v>
          </cell>
          <cell r="BM1007" t="e">
            <v>#N/A</v>
          </cell>
          <cell r="BN1007" t="e">
            <v>#N/A</v>
          </cell>
          <cell r="BO1007" t="str">
            <v>Not Matched</v>
          </cell>
          <cell r="BP1007">
            <v>8689851</v>
          </cell>
        </row>
        <row r="1008">
          <cell r="BK1008" t="str">
            <v>07AABCB5582A1Z12183</v>
          </cell>
          <cell r="BL1008">
            <v>19764</v>
          </cell>
          <cell r="BM1008" t="e">
            <v>#N/A</v>
          </cell>
          <cell r="BN1008" t="e">
            <v>#N/A</v>
          </cell>
          <cell r="BO1008" t="str">
            <v>Not Matched</v>
          </cell>
          <cell r="BP1008">
            <v>8644207</v>
          </cell>
        </row>
        <row r="1009">
          <cell r="BK1009" t="str">
            <v>07AABCB5582A1Z12182</v>
          </cell>
          <cell r="BL1009">
            <v>18792</v>
          </cell>
          <cell r="BM1009" t="e">
            <v>#N/A</v>
          </cell>
          <cell r="BN1009" t="e">
            <v>#N/A</v>
          </cell>
          <cell r="BO1009" t="str">
            <v>Not Matched</v>
          </cell>
          <cell r="BP1009">
            <v>8644208</v>
          </cell>
        </row>
        <row r="1010">
          <cell r="BK1010" t="str">
            <v>07AABCB5582A1Z12184</v>
          </cell>
          <cell r="BL1010">
            <v>1620</v>
          </cell>
          <cell r="BM1010" t="e">
            <v>#N/A</v>
          </cell>
          <cell r="BN1010" t="e">
            <v>#N/A</v>
          </cell>
          <cell r="BO1010" t="str">
            <v>Not Matched</v>
          </cell>
          <cell r="BP1010">
            <v>8644218</v>
          </cell>
        </row>
        <row r="1011">
          <cell r="BK1011" t="str">
            <v>07AVQPK8011N2Z1530</v>
          </cell>
          <cell r="BL1011">
            <v>6840</v>
          </cell>
          <cell r="BM1011" t="e">
            <v>#N/A</v>
          </cell>
          <cell r="BN1011" t="e">
            <v>#N/A</v>
          </cell>
          <cell r="BO1011" t="str">
            <v>Not Matched</v>
          </cell>
          <cell r="BP1011">
            <v>8605549</v>
          </cell>
        </row>
        <row r="1012">
          <cell r="BK1012" t="str">
            <v>07AVQPK8011N2Z1531</v>
          </cell>
          <cell r="BL1012">
            <v>40</v>
          </cell>
          <cell r="BM1012" t="e">
            <v>#N/A</v>
          </cell>
          <cell r="BN1012" t="e">
            <v>#N/A</v>
          </cell>
          <cell r="BO1012" t="str">
            <v>Not Matched</v>
          </cell>
          <cell r="BP1012">
            <v>8605540</v>
          </cell>
        </row>
        <row r="1013">
          <cell r="BK1013" t="str">
            <v>07AABCB5582A1Z1BT/2195</v>
          </cell>
          <cell r="BL1013">
            <v>21600</v>
          </cell>
          <cell r="BM1013" t="e">
            <v>#N/A</v>
          </cell>
          <cell r="BN1013" t="e">
            <v>#N/A</v>
          </cell>
          <cell r="BO1013" t="str">
            <v>Not Matched</v>
          </cell>
          <cell r="BP1013">
            <v>8658924</v>
          </cell>
        </row>
        <row r="1014">
          <cell r="BK1014" t="str">
            <v>07AABCB5576G1ZNNDCDL25001072840</v>
          </cell>
          <cell r="BL1014">
            <v>100.8</v>
          </cell>
          <cell r="BM1014" t="e">
            <v>#N/A</v>
          </cell>
          <cell r="BN1014" t="e">
            <v>#N/A</v>
          </cell>
          <cell r="BO1014" t="str">
            <v>Not Matched</v>
          </cell>
          <cell r="BP1014">
            <v>8659937</v>
          </cell>
        </row>
        <row r="1015">
          <cell r="BK1015" t="str">
            <v>07AABCB5576G1ZNNDCDL25001126070</v>
          </cell>
          <cell r="BL1015">
            <v>98.28</v>
          </cell>
          <cell r="BM1015" t="e">
            <v>#N/A</v>
          </cell>
          <cell r="BN1015" t="e">
            <v>#N/A</v>
          </cell>
          <cell r="BO1015" t="str">
            <v>Not Matched</v>
          </cell>
          <cell r="BP1015">
            <v>8659940</v>
          </cell>
        </row>
        <row r="1016">
          <cell r="BK1016" t="str">
            <v>07AABCB5582A1Z1BT/2194</v>
          </cell>
          <cell r="BL1016">
            <v>8100</v>
          </cell>
          <cell r="BM1016" t="e">
            <v>#N/A</v>
          </cell>
          <cell r="BN1016" t="e">
            <v>#N/A</v>
          </cell>
          <cell r="BO1016" t="str">
            <v>Not Matched</v>
          </cell>
          <cell r="BP1016">
            <v>8658922</v>
          </cell>
        </row>
        <row r="1017">
          <cell r="BK1017" t="str">
            <v>07AABCB5582A1Z1BT/2196</v>
          </cell>
          <cell r="BL1017">
            <v>11880</v>
          </cell>
          <cell r="BM1017" t="e">
            <v>#N/A</v>
          </cell>
          <cell r="BN1017" t="e">
            <v>#N/A</v>
          </cell>
          <cell r="BO1017" t="str">
            <v>Not Matched</v>
          </cell>
          <cell r="BP1017">
            <v>8658894</v>
          </cell>
        </row>
        <row r="1018">
          <cell r="BK1018" t="str">
            <v>07AAACB0272G1Z5CD2500090</v>
          </cell>
          <cell r="BL1018">
            <v>-64.78</v>
          </cell>
          <cell r="BM1018" t="e">
            <v>#N/A</v>
          </cell>
          <cell r="BN1018" t="e">
            <v>#N/A</v>
          </cell>
          <cell r="BO1018" t="str">
            <v>Not Matched</v>
          </cell>
          <cell r="BP1018">
            <v>8609489</v>
          </cell>
        </row>
        <row r="1019">
          <cell r="BK1019" t="str">
            <v>07AABCB5582A1Z12185</v>
          </cell>
          <cell r="BL1019">
            <v>17820</v>
          </cell>
          <cell r="BM1019" t="e">
            <v>#N/A</v>
          </cell>
          <cell r="BN1019" t="e">
            <v>#N/A</v>
          </cell>
          <cell r="BO1019" t="str">
            <v>Not Matched</v>
          </cell>
          <cell r="BP1019">
            <v>8643935</v>
          </cell>
        </row>
        <row r="1020">
          <cell r="BK1020" t="str">
            <v>07AAACB2100P1ZZDLSO030725248900</v>
          </cell>
          <cell r="BL1020">
            <v>431.28</v>
          </cell>
          <cell r="BM1020" t="e">
            <v>#N/A</v>
          </cell>
          <cell r="BN1020" t="e">
            <v>#N/A</v>
          </cell>
          <cell r="BO1020" t="str">
            <v>Not Matched</v>
          </cell>
          <cell r="BP1020">
            <v>8625185</v>
          </cell>
        </row>
        <row r="1021">
          <cell r="BK1021" t="str">
            <v>07AAAAP3929N1Z68061A</v>
          </cell>
          <cell r="BL1021">
            <v>157.5</v>
          </cell>
          <cell r="BM1021" t="e">
            <v>#N/A</v>
          </cell>
          <cell r="BN1021" t="e">
            <v>#N/A</v>
          </cell>
          <cell r="BO1021" t="str">
            <v>Not Matched</v>
          </cell>
          <cell r="BP1021">
            <v>8648711</v>
          </cell>
        </row>
        <row r="1022">
          <cell r="BK1022" t="str">
            <v>07AAACM0828R1Z5MTDL003080111275</v>
          </cell>
          <cell r="BL1022">
            <v>306.36</v>
          </cell>
          <cell r="BM1022" t="e">
            <v>#N/A</v>
          </cell>
          <cell r="BN1022" t="e">
            <v>#N/A</v>
          </cell>
          <cell r="BO1022" t="str">
            <v>Not Matched</v>
          </cell>
          <cell r="BP1022">
            <v>8595749</v>
          </cell>
        </row>
        <row r="1023">
          <cell r="BK1023" t="str">
            <v>07AABCB5582A1Z12185</v>
          </cell>
          <cell r="BL1023">
            <v>3564</v>
          </cell>
          <cell r="BM1023" t="e">
            <v>#N/A</v>
          </cell>
          <cell r="BN1023" t="e">
            <v>#N/A</v>
          </cell>
          <cell r="BO1023" t="str">
            <v>Not Matched</v>
          </cell>
          <cell r="BP1023">
            <v>8643935</v>
          </cell>
        </row>
        <row r="1024">
          <cell r="BK1024" t="str">
            <v>07AABCB5582A1Z12184</v>
          </cell>
          <cell r="BL1024">
            <v>22464</v>
          </cell>
          <cell r="BM1024" t="e">
            <v>#N/A</v>
          </cell>
          <cell r="BN1024" t="e">
            <v>#N/A</v>
          </cell>
          <cell r="BO1024" t="str">
            <v>Not Matched</v>
          </cell>
          <cell r="BP1024">
            <v>8644218</v>
          </cell>
        </row>
        <row r="1025">
          <cell r="BK1025" t="str">
            <v>07AABCB5576G1ZNNDCDL25001049100</v>
          </cell>
          <cell r="BL1025">
            <v>65.52</v>
          </cell>
          <cell r="BM1025" t="e">
            <v>#N/A</v>
          </cell>
          <cell r="BN1025" t="e">
            <v>#N/A</v>
          </cell>
          <cell r="BO1025" t="str">
            <v>Not Matched</v>
          </cell>
          <cell r="BP1025">
            <v>8659931</v>
          </cell>
        </row>
        <row r="1026">
          <cell r="BK1026" t="str">
            <v>07AABCB5582A1Z1BT/2194</v>
          </cell>
          <cell r="BL1026">
            <v>29160</v>
          </cell>
          <cell r="BM1026" t="e">
            <v>#N/A</v>
          </cell>
          <cell r="BN1026" t="e">
            <v>#N/A</v>
          </cell>
          <cell r="BO1026" t="str">
            <v>Not Matched</v>
          </cell>
          <cell r="BP1026">
            <v>8658922</v>
          </cell>
        </row>
        <row r="1027">
          <cell r="BK1027" t="str">
            <v>07AAACB0272G1Z5CD250103</v>
          </cell>
          <cell r="BL1027">
            <v>-242.54</v>
          </cell>
          <cell r="BM1027" t="e">
            <v>#N/A</v>
          </cell>
          <cell r="BN1027" t="e">
            <v>#N/A</v>
          </cell>
          <cell r="BO1027" t="str">
            <v>Not Matched</v>
          </cell>
          <cell r="BP1027">
            <v>8609487</v>
          </cell>
        </row>
        <row r="1028">
          <cell r="BK1028" t="str">
            <v>07AAACB0272G1Z5CD250101</v>
          </cell>
          <cell r="BL1028">
            <v>-283.3</v>
          </cell>
          <cell r="BM1028" t="e">
            <v>#N/A</v>
          </cell>
          <cell r="BN1028" t="e">
            <v>#N/A</v>
          </cell>
          <cell r="BO1028" t="str">
            <v>Not Matched</v>
          </cell>
          <cell r="BP1028">
            <v>8609482</v>
          </cell>
        </row>
        <row r="1029">
          <cell r="BK1029" t="str">
            <v>07AAACB0272G1Z5CD250102</v>
          </cell>
          <cell r="BL1029">
            <v>-283.3</v>
          </cell>
          <cell r="BM1029" t="e">
            <v>#N/A</v>
          </cell>
          <cell r="BN1029" t="e">
            <v>#N/A</v>
          </cell>
          <cell r="BO1029" t="str">
            <v>Not Matched</v>
          </cell>
          <cell r="BP1029">
            <v>8609486</v>
          </cell>
        </row>
        <row r="1030">
          <cell r="BK1030" t="str">
            <v>07AAACB0272G1Z5CD250096</v>
          </cell>
          <cell r="BL1030">
            <v>-4.32</v>
          </cell>
          <cell r="BM1030" t="e">
            <v>#N/A</v>
          </cell>
          <cell r="BN1030" t="e">
            <v>#N/A</v>
          </cell>
          <cell r="BO1030" t="str">
            <v>Not Matched</v>
          </cell>
          <cell r="BP1030">
            <v>8609488</v>
          </cell>
        </row>
        <row r="1031">
          <cell r="BK1031" t="str">
            <v>07AAACB0272G1Z5CD250097</v>
          </cell>
          <cell r="BL1031">
            <v>-178.76</v>
          </cell>
          <cell r="BM1031" t="e">
            <v>#N/A</v>
          </cell>
          <cell r="BN1031" t="e">
            <v>#N/A</v>
          </cell>
          <cell r="BO1031" t="str">
            <v>Not Matched</v>
          </cell>
          <cell r="BP1031">
            <v>8609490</v>
          </cell>
        </row>
        <row r="1032">
          <cell r="BK1032" t="str">
            <v>07AABCB5576G1ZNNDCDL25001064010</v>
          </cell>
          <cell r="BL1032">
            <v>256.68</v>
          </cell>
          <cell r="BM1032" t="e">
            <v>#N/A</v>
          </cell>
          <cell r="BN1032" t="e">
            <v>#N/A</v>
          </cell>
          <cell r="BO1032" t="str">
            <v>Not Matched</v>
          </cell>
          <cell r="BP1032">
            <v>8659936</v>
          </cell>
        </row>
        <row r="1033">
          <cell r="BK1033" t="str">
            <v>07AABCB5576G1ZNNDCDL25001073970</v>
          </cell>
          <cell r="BL1033">
            <v>98.28</v>
          </cell>
          <cell r="BM1033" t="e">
            <v>#N/A</v>
          </cell>
          <cell r="BN1033" t="e">
            <v>#N/A</v>
          </cell>
          <cell r="BO1033" t="str">
            <v>Not Matched</v>
          </cell>
          <cell r="BP1033">
            <v>8659938</v>
          </cell>
        </row>
        <row r="1034">
          <cell r="BK1034" t="str">
            <v>07AABCB5576G1ZNNDCDL25001134670</v>
          </cell>
          <cell r="BL1034">
            <v>100.8</v>
          </cell>
          <cell r="BM1034" t="e">
            <v>#N/A</v>
          </cell>
          <cell r="BN1034" t="e">
            <v>#N/A</v>
          </cell>
          <cell r="BO1034" t="str">
            <v>Not Matched</v>
          </cell>
          <cell r="BP1034">
            <v>8659941</v>
          </cell>
        </row>
        <row r="1035">
          <cell r="BK1035" t="str">
            <v>07AABCB5582A1Z1BT/2193</v>
          </cell>
          <cell r="BL1035">
            <v>16200</v>
          </cell>
          <cell r="BM1035" t="e">
            <v>#N/A</v>
          </cell>
          <cell r="BN1035" t="e">
            <v>#N/A</v>
          </cell>
          <cell r="BO1035" t="str">
            <v>Not Matched</v>
          </cell>
          <cell r="BP1035">
            <v>8658915</v>
          </cell>
        </row>
        <row r="1036">
          <cell r="BK1036" t="str">
            <v>07AAACB0272G1Z5D2500837</v>
          </cell>
          <cell r="BL1036">
            <v>0.36</v>
          </cell>
          <cell r="BM1036" t="e">
            <v>#N/A</v>
          </cell>
          <cell r="BN1036" t="e">
            <v>#N/A</v>
          </cell>
          <cell r="BO1036" t="str">
            <v>Not Matched</v>
          </cell>
          <cell r="BP1036">
            <v>8612321</v>
          </cell>
        </row>
        <row r="1037">
          <cell r="BK1037" t="str">
            <v>07AAACB0272G1Z5CD250100</v>
          </cell>
          <cell r="BL1037">
            <v>-242.54</v>
          </cell>
          <cell r="BM1037" t="e">
            <v>#N/A</v>
          </cell>
          <cell r="BN1037" t="e">
            <v>#N/A</v>
          </cell>
          <cell r="BO1037" t="str">
            <v>Not Matched</v>
          </cell>
          <cell r="BP1037">
            <v>8609485</v>
          </cell>
        </row>
        <row r="1038">
          <cell r="BK1038" t="str">
            <v>07AAACB2100P1ZZDLSO030725248900</v>
          </cell>
          <cell r="BL1038">
            <v>185.04</v>
          </cell>
          <cell r="BM1038" t="e">
            <v>#N/A</v>
          </cell>
          <cell r="BN1038" t="e">
            <v>#N/A</v>
          </cell>
          <cell r="BO1038" t="str">
            <v>Not Matched</v>
          </cell>
          <cell r="BP1038">
            <v>8625185</v>
          </cell>
        </row>
        <row r="1039">
          <cell r="BK1039" t="str">
            <v>07AAACB2100P1ZZDLSO030725248900</v>
          </cell>
          <cell r="BL1039">
            <v>116.64</v>
          </cell>
          <cell r="BM1039" t="e">
            <v>#N/A</v>
          </cell>
          <cell r="BN1039" t="e">
            <v>#N/A</v>
          </cell>
          <cell r="BO1039" t="str">
            <v>Not Matched</v>
          </cell>
          <cell r="BP1039">
            <v>8625185</v>
          </cell>
        </row>
        <row r="1040">
          <cell r="BK1040" t="str">
            <v>07AABCB5576G1ZNNDCDL25001058270</v>
          </cell>
          <cell r="BL1040">
            <v>105.84</v>
          </cell>
          <cell r="BM1040" t="e">
            <v>#N/A</v>
          </cell>
          <cell r="BN1040" t="e">
            <v>#N/A</v>
          </cell>
          <cell r="BO1040" t="str">
            <v>Not Matched</v>
          </cell>
          <cell r="BP1040">
            <v>8659933</v>
          </cell>
        </row>
        <row r="1041">
          <cell r="BK1041" t="str">
            <v>07AABCB5582A1Z1BT/2195</v>
          </cell>
          <cell r="BL1041">
            <v>8100</v>
          </cell>
          <cell r="BM1041" t="e">
            <v>#N/A</v>
          </cell>
          <cell r="BN1041" t="e">
            <v>#N/A</v>
          </cell>
          <cell r="BO1041" t="str">
            <v>Not Matched</v>
          </cell>
          <cell r="BP1041">
            <v>8658924</v>
          </cell>
        </row>
        <row r="1042">
          <cell r="BK1042" t="str">
            <v>07AVQPK8011N2Z1531</v>
          </cell>
          <cell r="BL1042">
            <v>120</v>
          </cell>
          <cell r="BM1042" t="e">
            <v>#N/A</v>
          </cell>
          <cell r="BN1042" t="e">
            <v>#N/A</v>
          </cell>
          <cell r="BO1042" t="str">
            <v>Not Matched</v>
          </cell>
          <cell r="BP1042">
            <v>8605540</v>
          </cell>
        </row>
        <row r="1043">
          <cell r="BK1043" t="str">
            <v>07AAAAP3929N1Z68061A</v>
          </cell>
          <cell r="BL1043">
            <v>91.36</v>
          </cell>
          <cell r="BM1043" t="e">
            <v>#N/A</v>
          </cell>
          <cell r="BN1043" t="e">
            <v>#N/A</v>
          </cell>
          <cell r="BO1043" t="str">
            <v>Not Matched</v>
          </cell>
          <cell r="BP1043">
            <v>8648711</v>
          </cell>
        </row>
        <row r="1044">
          <cell r="BK1044" t="str">
            <v>07AVQPK8011N2Z1531</v>
          </cell>
          <cell r="BL1044">
            <v>100</v>
          </cell>
          <cell r="BM1044" t="e">
            <v>#N/A</v>
          </cell>
          <cell r="BN1044" t="e">
            <v>#N/A</v>
          </cell>
          <cell r="BO1044" t="str">
            <v>Not Matched</v>
          </cell>
          <cell r="BP1044">
            <v>8605540</v>
          </cell>
        </row>
        <row r="1045">
          <cell r="BK1045" t="str">
            <v>36AAFCI6021H1ZRILS1097CN</v>
          </cell>
          <cell r="BL1045">
            <v>-75038.76</v>
          </cell>
          <cell r="BM1045" t="e">
            <v>#N/A</v>
          </cell>
          <cell r="BN1045" t="e">
            <v>#N/A</v>
          </cell>
          <cell r="BO1045" t="str">
            <v>Not Matched</v>
          </cell>
          <cell r="BP1045">
            <v>8605983</v>
          </cell>
        </row>
        <row r="1046">
          <cell r="BK1046" t="str">
            <v>33AABCC3835F1Z345778</v>
          </cell>
          <cell r="BL1046">
            <v>-23096.88</v>
          </cell>
          <cell r="BM1046" t="e">
            <v>#N/A</v>
          </cell>
          <cell r="BN1046" t="e">
            <v>#N/A</v>
          </cell>
          <cell r="BO1046" t="str">
            <v>Not Matched</v>
          </cell>
          <cell r="BP1046">
            <v>8648707</v>
          </cell>
        </row>
        <row r="1047">
          <cell r="BK1047" t="str">
            <v>33AABCC3835F1Z345748</v>
          </cell>
          <cell r="BL1047">
            <v>-71215.38</v>
          </cell>
          <cell r="BM1047" t="e">
            <v>#N/A</v>
          </cell>
          <cell r="BN1047" t="e">
            <v>#N/A</v>
          </cell>
          <cell r="BO1047" t="str">
            <v>Not Matched</v>
          </cell>
          <cell r="BP1047">
            <v>8648712</v>
          </cell>
        </row>
        <row r="1048">
          <cell r="BK1048" t="str">
            <v>07AABCB5576G1ZNNDCDL2500105072</v>
          </cell>
          <cell r="BL1048">
            <v>379.44</v>
          </cell>
          <cell r="BM1048" t="e">
            <v>#N/A</v>
          </cell>
          <cell r="BN1048" t="e">
            <v>#N/A</v>
          </cell>
          <cell r="BO1048" t="str">
            <v>Not Matched</v>
          </cell>
          <cell r="BP1048">
            <v>8659932</v>
          </cell>
        </row>
        <row r="1049">
          <cell r="BK1049" t="str">
            <v>07AABCB5576G1ZNNDCDL25001060060</v>
          </cell>
          <cell r="BL1049">
            <v>105.84</v>
          </cell>
          <cell r="BM1049" t="e">
            <v>#N/A</v>
          </cell>
          <cell r="BN1049" t="e">
            <v>#N/A</v>
          </cell>
          <cell r="BO1049" t="str">
            <v>Not Matched</v>
          </cell>
          <cell r="BP1049">
            <v>8659935</v>
          </cell>
        </row>
        <row r="1050">
          <cell r="BK1050" t="str">
            <v>07AABCB5582A1Z1BT/2193</v>
          </cell>
          <cell r="BL1050">
            <v>24840</v>
          </cell>
          <cell r="BM1050" t="e">
            <v>#N/A</v>
          </cell>
          <cell r="BN1050" t="e">
            <v>#N/A</v>
          </cell>
          <cell r="BO1050" t="str">
            <v>Not Matched</v>
          </cell>
          <cell r="BP1050">
            <v>8658915</v>
          </cell>
        </row>
        <row r="1051">
          <cell r="BK1051" t="str">
            <v>07AAHAK7428G1ZHKC/EB/25-26/125</v>
          </cell>
          <cell r="BL1051">
            <v>5.76</v>
          </cell>
          <cell r="BM1051" t="e">
            <v>#N/A</v>
          </cell>
          <cell r="BN1051" t="e">
            <v>#N/A</v>
          </cell>
          <cell r="BO1051" t="str">
            <v>Not Matched</v>
          </cell>
          <cell r="BP1051">
            <v>8550969</v>
          </cell>
        </row>
        <row r="1052">
          <cell r="BK1052" t="str">
            <v>07AAACB0446L1ZU2025507800002190</v>
          </cell>
          <cell r="BL1052">
            <v>6490.92</v>
          </cell>
          <cell r="BM1052" t="e">
            <v>#N/A</v>
          </cell>
          <cell r="BN1052" t="e">
            <v>#N/A</v>
          </cell>
          <cell r="BO1052" t="str">
            <v>Not Matched</v>
          </cell>
          <cell r="BP1052">
            <v>8552205</v>
          </cell>
        </row>
        <row r="1053">
          <cell r="BK1053" t="str">
            <v>07AVRPM7455K1ZR2025-26/109</v>
          </cell>
          <cell r="BL1053">
            <v>6022.8</v>
          </cell>
          <cell r="BM1053" t="e">
            <v>#N/A</v>
          </cell>
          <cell r="BN1053" t="e">
            <v>#N/A</v>
          </cell>
          <cell r="BO1053" t="str">
            <v>Not Matched</v>
          </cell>
          <cell r="BP1053">
            <v>8578517</v>
          </cell>
        </row>
        <row r="1054">
          <cell r="BK1054" t="str">
            <v>07AVRPM7455K1ZR2025-26/109</v>
          </cell>
          <cell r="BL1054">
            <v>-1.26</v>
          </cell>
          <cell r="BM1054" t="e">
            <v>#N/A</v>
          </cell>
          <cell r="BN1054" t="e">
            <v>#N/A</v>
          </cell>
          <cell r="BO1054" t="str">
            <v>Not Matched</v>
          </cell>
          <cell r="BP1054">
            <v>8578517</v>
          </cell>
        </row>
        <row r="1055">
          <cell r="BK1055" t="str">
            <v>07AAJCS4628Q1ZMGPI/SE/03/25-26</v>
          </cell>
          <cell r="BL1055">
            <v>-5400</v>
          </cell>
          <cell r="BM1055" t="e">
            <v>#N/A</v>
          </cell>
          <cell r="BN1055" t="e">
            <v>#N/A</v>
          </cell>
          <cell r="BO1055" t="str">
            <v>Not Matched</v>
          </cell>
          <cell r="BP1055">
            <v>8551063</v>
          </cell>
        </row>
        <row r="1056">
          <cell r="BK1056" t="str">
            <v>07AABCB5576G1ZNNDCDL25000803030</v>
          </cell>
          <cell r="BL1056">
            <v>379.44</v>
          </cell>
          <cell r="BM1056" t="e">
            <v>#N/A</v>
          </cell>
          <cell r="BN1056" t="e">
            <v>#N/A</v>
          </cell>
          <cell r="BO1056" t="str">
            <v>Not Matched</v>
          </cell>
          <cell r="BP1056">
            <v>8595699</v>
          </cell>
        </row>
        <row r="1057">
          <cell r="BK1057" t="str">
            <v>07AAACB0272G1Z5CD2500100</v>
          </cell>
          <cell r="BL1057">
            <v>-61.28</v>
          </cell>
          <cell r="BM1057" t="e">
            <v>#N/A</v>
          </cell>
          <cell r="BN1057" t="e">
            <v>#N/A</v>
          </cell>
          <cell r="BO1057" t="str">
            <v>Not Matched</v>
          </cell>
          <cell r="BP1057">
            <v>8553606</v>
          </cell>
        </row>
        <row r="1058">
          <cell r="BK1058" t="str">
            <v>27AAACI7573H1ZC1291733800002</v>
          </cell>
          <cell r="BL1058">
            <v>8325.18</v>
          </cell>
          <cell r="BM1058" t="e">
            <v>#N/A</v>
          </cell>
          <cell r="BN1058" t="e">
            <v>#N/A</v>
          </cell>
          <cell r="BO1058" t="str">
            <v>Not Matched</v>
          </cell>
          <cell r="BP1058">
            <v>8585746</v>
          </cell>
        </row>
        <row r="1059">
          <cell r="BK1059" t="str">
            <v>07AAHAK7428G1ZHKC/EB/25-26/125</v>
          </cell>
          <cell r="BL1059">
            <v>332.28</v>
          </cell>
          <cell r="BM1059" t="e">
            <v>#N/A</v>
          </cell>
          <cell r="BN1059" t="e">
            <v>#N/A</v>
          </cell>
          <cell r="BO1059" t="str">
            <v>Not Matched</v>
          </cell>
          <cell r="BP1059">
            <v>8550969</v>
          </cell>
        </row>
        <row r="1060">
          <cell r="BK1060" t="str">
            <v>07AABCB5576G1ZNNDCDL25000788520</v>
          </cell>
          <cell r="BL1060">
            <v>111.96</v>
          </cell>
          <cell r="BM1060" t="e">
            <v>#N/A</v>
          </cell>
          <cell r="BN1060" t="e">
            <v>#N/A</v>
          </cell>
          <cell r="BO1060" t="str">
            <v>Not Matched</v>
          </cell>
          <cell r="BP1060">
            <v>8595697</v>
          </cell>
        </row>
        <row r="1061">
          <cell r="BK1061" t="str">
            <v>07AAHAK7428G1ZHKC/EB/25-26/125</v>
          </cell>
          <cell r="BL1061">
            <v>13.86</v>
          </cell>
          <cell r="BM1061" t="e">
            <v>#N/A</v>
          </cell>
          <cell r="BN1061" t="e">
            <v>#N/A</v>
          </cell>
          <cell r="BO1061" t="str">
            <v>Not Matched</v>
          </cell>
          <cell r="BP1061">
            <v>8550969</v>
          </cell>
        </row>
        <row r="1062">
          <cell r="BK1062" t="str">
            <v>07AAACB0272G1Z5M25000250</v>
          </cell>
          <cell r="BL1062">
            <v>540</v>
          </cell>
          <cell r="BM1062" t="e">
            <v>#N/A</v>
          </cell>
          <cell r="BN1062" t="e">
            <v>#N/A</v>
          </cell>
          <cell r="BO1062" t="str">
            <v>Not Matched</v>
          </cell>
          <cell r="BP1062">
            <v>8597770</v>
          </cell>
        </row>
        <row r="1063">
          <cell r="BK1063" t="str">
            <v>06AAACX0540P1Z7XSPL/25-26/CN-1</v>
          </cell>
          <cell r="BL1063">
            <v>-30285</v>
          </cell>
          <cell r="BM1063" t="e">
            <v>#N/A</v>
          </cell>
          <cell r="BN1063" t="e">
            <v>#N/A</v>
          </cell>
          <cell r="BO1063" t="str">
            <v>Not Matched</v>
          </cell>
          <cell r="BP1063">
            <v>8560468</v>
          </cell>
        </row>
        <row r="1064">
          <cell r="BK1064" t="str">
            <v>07AABCB5576G1ZNNDCDL25000836070</v>
          </cell>
          <cell r="BL1064">
            <v>111.96</v>
          </cell>
          <cell r="BM1064" t="e">
            <v>#N/A</v>
          </cell>
          <cell r="BN1064" t="e">
            <v>#N/A</v>
          </cell>
          <cell r="BO1064" t="str">
            <v>Not Matched</v>
          </cell>
          <cell r="BP1064">
            <v>8595703</v>
          </cell>
        </row>
        <row r="1065">
          <cell r="BK1065" t="str">
            <v>27AABCT3518Q1ZWMH25I0000089363</v>
          </cell>
          <cell r="BL1065">
            <v>1797.84</v>
          </cell>
          <cell r="BM1065" t="e">
            <v>#N/A</v>
          </cell>
          <cell r="BN1065" t="e">
            <v>#N/A</v>
          </cell>
          <cell r="BO1065" t="str">
            <v>Not Matched</v>
          </cell>
          <cell r="BP1065">
            <v>8577695</v>
          </cell>
        </row>
        <row r="1066">
          <cell r="BK1066" t="str">
            <v>07AABCB5576G1ZNNDCDL25000846090</v>
          </cell>
          <cell r="BL1066">
            <v>111.96</v>
          </cell>
          <cell r="BM1066" t="e">
            <v>#N/A</v>
          </cell>
          <cell r="BN1066" t="e">
            <v>#N/A</v>
          </cell>
          <cell r="BO1066" t="str">
            <v>Not Matched</v>
          </cell>
          <cell r="BP1066">
            <v>8595705</v>
          </cell>
        </row>
        <row r="1067">
          <cell r="BK1067" t="str">
            <v>07AABCB5576G1ZNNDCDL25000808440</v>
          </cell>
          <cell r="BL1067">
            <v>109.44</v>
          </cell>
          <cell r="BM1067" t="e">
            <v>#N/A</v>
          </cell>
          <cell r="BN1067" t="e">
            <v>#N/A</v>
          </cell>
          <cell r="BO1067" t="str">
            <v>Not Matched</v>
          </cell>
          <cell r="BP1067">
            <v>8595700</v>
          </cell>
        </row>
        <row r="1068">
          <cell r="BK1068" t="str">
            <v>07AACFR7407E1ZE05/HO/2025-2026</v>
          </cell>
          <cell r="BL1068">
            <v>1440</v>
          </cell>
          <cell r="BM1068" t="e">
            <v>#N/A</v>
          </cell>
          <cell r="BN1068" t="e">
            <v>#N/A</v>
          </cell>
          <cell r="BO1068" t="str">
            <v>Not Matched</v>
          </cell>
          <cell r="BP1068">
            <v>8526944</v>
          </cell>
        </row>
        <row r="1069">
          <cell r="BK1069" t="str">
            <v>07AABCB5582A1Z1BT/2158</v>
          </cell>
          <cell r="BL1069">
            <v>6964.28</v>
          </cell>
          <cell r="BM1069" t="e">
            <v>#N/A</v>
          </cell>
          <cell r="BN1069" t="e">
            <v>#N/A</v>
          </cell>
          <cell r="BO1069" t="str">
            <v>Not Matched</v>
          </cell>
          <cell r="BP1069">
            <v>8521851</v>
          </cell>
        </row>
        <row r="1070">
          <cell r="BK1070" t="str">
            <v>07AABCB5582A1Z1BT/2160</v>
          </cell>
          <cell r="BL1070">
            <v>4821.4</v>
          </cell>
          <cell r="BM1070" t="e">
            <v>#N/A</v>
          </cell>
          <cell r="BN1070" t="e">
            <v>#N/A</v>
          </cell>
          <cell r="BO1070" t="str">
            <v>Not Matched</v>
          </cell>
          <cell r="BP1070">
            <v>8526090</v>
          </cell>
        </row>
        <row r="1071">
          <cell r="BK1071" t="str">
            <v>07AABCB5582A1Z1BT/2157</v>
          </cell>
          <cell r="BL1071">
            <v>5892.86</v>
          </cell>
          <cell r="BM1071" t="e">
            <v>#N/A</v>
          </cell>
          <cell r="BN1071" t="e">
            <v>#N/A</v>
          </cell>
          <cell r="BO1071" t="str">
            <v>Not Matched</v>
          </cell>
          <cell r="BP1071">
            <v>8526110</v>
          </cell>
        </row>
        <row r="1072">
          <cell r="BK1072" t="str">
            <v>07AABCB5582A1Z1BT/2157</v>
          </cell>
          <cell r="BL1072">
            <v>4821.42</v>
          </cell>
          <cell r="BM1072" t="e">
            <v>#N/A</v>
          </cell>
          <cell r="BN1072" t="e">
            <v>#N/A</v>
          </cell>
          <cell r="BO1072" t="str">
            <v>Not Matched</v>
          </cell>
          <cell r="BP1072">
            <v>8526110</v>
          </cell>
        </row>
        <row r="1073">
          <cell r="BK1073" t="str">
            <v>07AAECR2901G1ZPGst/24-25/0049</v>
          </cell>
          <cell r="BL1073">
            <v>413.1</v>
          </cell>
          <cell r="BM1073" t="e">
            <v>#N/A</v>
          </cell>
          <cell r="BN1073" t="e">
            <v>#N/A</v>
          </cell>
          <cell r="BO1073" t="str">
            <v>Not Matched</v>
          </cell>
          <cell r="BP1073">
            <v>8516101</v>
          </cell>
        </row>
        <row r="1074">
          <cell r="BK1074" t="str">
            <v>07AABCB5582A1Z1BT/2162</v>
          </cell>
          <cell r="BL1074">
            <v>6964.28</v>
          </cell>
          <cell r="BM1074" t="e">
            <v>#N/A</v>
          </cell>
          <cell r="BN1074" t="e">
            <v>#N/A</v>
          </cell>
          <cell r="BO1074" t="str">
            <v>Not Matched</v>
          </cell>
          <cell r="BP1074">
            <v>8526107</v>
          </cell>
        </row>
        <row r="1075">
          <cell r="BK1075" t="str">
            <v>07AABCB5582A1Z1BT/2162</v>
          </cell>
          <cell r="BL1075">
            <v>9107.14</v>
          </cell>
          <cell r="BM1075" t="e">
            <v>#N/A</v>
          </cell>
          <cell r="BN1075" t="e">
            <v>#N/A</v>
          </cell>
          <cell r="BO1075" t="str">
            <v>Not Matched</v>
          </cell>
          <cell r="BP1075">
            <v>8526107</v>
          </cell>
        </row>
        <row r="1076">
          <cell r="BK1076" t="str">
            <v>07AAECR2901G1ZPGst/24-25/0040</v>
          </cell>
          <cell r="BL1076">
            <v>198</v>
          </cell>
          <cell r="BM1076" t="e">
            <v>#N/A</v>
          </cell>
          <cell r="BN1076" t="e">
            <v>#N/A</v>
          </cell>
          <cell r="BO1076" t="str">
            <v>Not Matched</v>
          </cell>
          <cell r="BP1076">
            <v>8516102</v>
          </cell>
        </row>
        <row r="1077">
          <cell r="BK1077" t="str">
            <v>07AABCB5582A1Z1BT/2160</v>
          </cell>
          <cell r="BL1077">
            <v>4500</v>
          </cell>
          <cell r="BM1077" t="e">
            <v>#N/A</v>
          </cell>
          <cell r="BN1077" t="e">
            <v>#N/A</v>
          </cell>
          <cell r="BO1077" t="str">
            <v>Not Matched</v>
          </cell>
          <cell r="BP1077">
            <v>8526090</v>
          </cell>
        </row>
        <row r="1078">
          <cell r="BK1078" t="str">
            <v>07AABCB5582A1Z1BT/2159</v>
          </cell>
          <cell r="BL1078">
            <v>4500</v>
          </cell>
          <cell r="BM1078" t="e">
            <v>#N/A</v>
          </cell>
          <cell r="BN1078" t="e">
            <v>#N/A</v>
          </cell>
          <cell r="BO1078" t="str">
            <v>Not Matched</v>
          </cell>
          <cell r="BP1078">
            <v>8526112</v>
          </cell>
        </row>
        <row r="1079">
          <cell r="BK1079" t="str">
            <v>07AABCB5582A1Z1BT/2159</v>
          </cell>
          <cell r="BL1079">
            <v>4500</v>
          </cell>
          <cell r="BM1079" t="e">
            <v>#N/A</v>
          </cell>
          <cell r="BN1079" t="e">
            <v>#N/A</v>
          </cell>
          <cell r="BO1079" t="str">
            <v>Not Matched</v>
          </cell>
          <cell r="BP1079">
            <v>8526112</v>
          </cell>
        </row>
        <row r="1080">
          <cell r="BK1080" t="str">
            <v>07AABCB5582A1Z1BT/2158</v>
          </cell>
          <cell r="BL1080">
            <v>4500</v>
          </cell>
          <cell r="BM1080" t="e">
            <v>#N/A</v>
          </cell>
          <cell r="BN1080" t="e">
            <v>#N/A</v>
          </cell>
          <cell r="BO1080" t="str">
            <v>Not Matched</v>
          </cell>
          <cell r="BP1080">
            <v>8521851</v>
          </cell>
        </row>
        <row r="1081">
          <cell r="BK1081" t="str">
            <v>07AABCB5582A1Z1BT/2161</v>
          </cell>
          <cell r="BL1081">
            <v>5142.86</v>
          </cell>
          <cell r="BM1081" t="e">
            <v>#N/A</v>
          </cell>
          <cell r="BN1081" t="e">
            <v>#N/A</v>
          </cell>
          <cell r="BO1081" t="str">
            <v>Not Matched</v>
          </cell>
          <cell r="BP1081">
            <v>8526119</v>
          </cell>
        </row>
        <row r="1082">
          <cell r="BK1082" t="str">
            <v>36AAFCI6021H1ZRILS1097</v>
          </cell>
          <cell r="BL1082">
            <v>75038.76</v>
          </cell>
          <cell r="BM1082" t="e">
            <v>#N/A</v>
          </cell>
          <cell r="BN1082" t="e">
            <v>#N/A</v>
          </cell>
          <cell r="BO1082" t="str">
            <v>Not Matched</v>
          </cell>
          <cell r="BP1082">
            <v>8508024</v>
          </cell>
        </row>
        <row r="1083">
          <cell r="BK1083" t="str">
            <v>07AABCB5582A1Z1BT/2160</v>
          </cell>
          <cell r="BL1083">
            <v>5892.86</v>
          </cell>
          <cell r="BM1083" t="e">
            <v>#N/A</v>
          </cell>
          <cell r="BN1083" t="e">
            <v>#N/A</v>
          </cell>
          <cell r="BO1083" t="str">
            <v>Not Matched</v>
          </cell>
          <cell r="BP1083">
            <v>8526090</v>
          </cell>
        </row>
        <row r="1084">
          <cell r="BK1084" t="str">
            <v>07AABCB5582A1Z1BT/2157</v>
          </cell>
          <cell r="BL1084">
            <v>4500</v>
          </cell>
          <cell r="BM1084" t="e">
            <v>#N/A</v>
          </cell>
          <cell r="BN1084" t="e">
            <v>#N/A</v>
          </cell>
          <cell r="BO1084" t="str">
            <v>Not Matched</v>
          </cell>
          <cell r="BP1084">
            <v>8526110</v>
          </cell>
        </row>
        <row r="1085">
          <cell r="BK1085" t="str">
            <v>07AABCB5582A1Z1BT/2161</v>
          </cell>
          <cell r="BL1085">
            <v>6964.28</v>
          </cell>
          <cell r="BM1085" t="e">
            <v>#N/A</v>
          </cell>
          <cell r="BN1085" t="e">
            <v>#N/A</v>
          </cell>
          <cell r="BO1085" t="str">
            <v>Not Matched</v>
          </cell>
          <cell r="BP1085">
            <v>8526119</v>
          </cell>
        </row>
        <row r="1086">
          <cell r="BK1086" t="str">
            <v>07AAECR2901G1ZPGst/24-25/0049</v>
          </cell>
          <cell r="BL1086">
            <v>808.7</v>
          </cell>
          <cell r="BM1086" t="e">
            <v>#N/A</v>
          </cell>
          <cell r="BN1086" t="e">
            <v>#N/A</v>
          </cell>
          <cell r="BO1086" t="str">
            <v>Not Matched</v>
          </cell>
          <cell r="BP1086">
            <v>8516101</v>
          </cell>
        </row>
        <row r="1087">
          <cell r="BK1087" t="str">
            <v>07AABCB5582A1Z1BT/2159</v>
          </cell>
          <cell r="BL1087">
            <v>4821.42</v>
          </cell>
          <cell r="BM1087" t="e">
            <v>#N/A</v>
          </cell>
          <cell r="BN1087" t="e">
            <v>#N/A</v>
          </cell>
          <cell r="BO1087" t="str">
            <v>Not Matched</v>
          </cell>
          <cell r="BP1087">
            <v>8526112</v>
          </cell>
        </row>
        <row r="1088">
          <cell r="BK1088" t="str">
            <v>27BWCPV7777E1ZW139</v>
          </cell>
          <cell r="BL1088">
            <v>11625</v>
          </cell>
          <cell r="BM1088" t="e">
            <v>#N/A</v>
          </cell>
          <cell r="BN1088" t="e">
            <v>#N/A</v>
          </cell>
          <cell r="BO1088" t="str">
            <v>Not Matched</v>
          </cell>
          <cell r="BP1088">
            <v>8432074</v>
          </cell>
        </row>
        <row r="1089">
          <cell r="BK1089" t="str">
            <v>07AAATI0499M1Z9M2526INV/002963</v>
          </cell>
          <cell r="BL1089">
            <v>540</v>
          </cell>
          <cell r="BM1089" t="e">
            <v>#N/A</v>
          </cell>
          <cell r="BN1089" t="e">
            <v>#N/A</v>
          </cell>
          <cell r="BO1089" t="str">
            <v>Not Matched</v>
          </cell>
          <cell r="BP1089">
            <v>8485226</v>
          </cell>
        </row>
        <row r="1090">
          <cell r="BK1090" t="str">
            <v>27BWCPV7777E1ZW140</v>
          </cell>
          <cell r="BL1090">
            <v>1500</v>
          </cell>
          <cell r="BM1090" t="e">
            <v>#N/A</v>
          </cell>
          <cell r="BN1090" t="e">
            <v>#N/A</v>
          </cell>
          <cell r="BO1090" t="str">
            <v>Not Matched</v>
          </cell>
          <cell r="BP1090">
            <v>8432078</v>
          </cell>
        </row>
        <row r="1091">
          <cell r="BK1091" t="str">
            <v>07AAACE6958L1Z6MARCHTDS0</v>
          </cell>
          <cell r="BL1091">
            <v>0</v>
          </cell>
          <cell r="BM1091" t="e">
            <v>#N/A</v>
          </cell>
          <cell r="BN1091" t="e">
            <v>#N/A</v>
          </cell>
          <cell r="BO1091" t="str">
            <v>Zero Tax</v>
          </cell>
          <cell r="BP1091">
            <v>9159255</v>
          </cell>
        </row>
        <row r="1092">
          <cell r="BK1092" t="str">
            <v>07AABFL1894Q1ZPMARCHTDS0</v>
          </cell>
          <cell r="BL1092">
            <v>0</v>
          </cell>
          <cell r="BM1092" t="e">
            <v>#N/A</v>
          </cell>
          <cell r="BN1092" t="e">
            <v>#N/A</v>
          </cell>
          <cell r="BO1092" t="str">
            <v>Zero Tax</v>
          </cell>
          <cell r="BP1092">
            <v>9159587</v>
          </cell>
        </row>
        <row r="1093">
          <cell r="BK1093" t="str">
            <v>07AABCH9680D1ZIMARCHTDS0</v>
          </cell>
          <cell r="BL1093">
            <v>0</v>
          </cell>
          <cell r="BM1093" t="e">
            <v>#N/A</v>
          </cell>
          <cell r="BN1093" t="e">
            <v>#N/A</v>
          </cell>
          <cell r="BO1093" t="str">
            <v>Zero Tax</v>
          </cell>
          <cell r="BP1093">
            <v>9159800</v>
          </cell>
        </row>
        <row r="1094">
          <cell r="BK1094" t="str">
            <v>MARCHTDS0</v>
          </cell>
          <cell r="BL1094">
            <v>0</v>
          </cell>
          <cell r="BM1094" t="e">
            <v>#N/A</v>
          </cell>
          <cell r="BN1094" t="e">
            <v>#N/A</v>
          </cell>
          <cell r="BO1094" t="str">
            <v>Zero Tax</v>
          </cell>
          <cell r="BP1094">
            <v>9164294</v>
          </cell>
        </row>
        <row r="1095">
          <cell r="BK1095" t="str">
            <v>07AAACI9641L1Z8TDS-MAR26-PROV0</v>
          </cell>
          <cell r="BL1095">
            <v>0</v>
          </cell>
          <cell r="BM1095" t="e">
            <v>#N/A</v>
          </cell>
          <cell r="BN1095" t="e">
            <v>#N/A</v>
          </cell>
          <cell r="BO1095" t="str">
            <v>Zero Tax</v>
          </cell>
          <cell r="BP1095">
            <v>9157372</v>
          </cell>
        </row>
        <row r="1096">
          <cell r="BK1096" t="str">
            <v>22AACCK3929M1ZFWRITEOFF-ADV0</v>
          </cell>
          <cell r="BL1096">
            <v>0</v>
          </cell>
          <cell r="BM1096" t="e">
            <v>#N/A</v>
          </cell>
          <cell r="BN1096" t="e">
            <v>#N/A</v>
          </cell>
          <cell r="BO1096" t="str">
            <v>Zero Tax</v>
          </cell>
          <cell r="BP1096">
            <v>9155562</v>
          </cell>
        </row>
        <row r="1097">
          <cell r="BK1097" t="str">
            <v>07AAACB0272G1Z5H2500128</v>
          </cell>
          <cell r="BL1097">
            <v>16142.4</v>
          </cell>
          <cell r="BM1097" t="e">
            <v>#N/A</v>
          </cell>
          <cell r="BN1097" t="e">
            <v>#N/A</v>
          </cell>
          <cell r="BO1097" t="str">
            <v>Not Matched</v>
          </cell>
          <cell r="BP1097">
            <v>9164496</v>
          </cell>
        </row>
        <row r="1098">
          <cell r="BK1098" t="str">
            <v>07AAACE6958L1Z6MARCH2026TDS0</v>
          </cell>
          <cell r="BL1098">
            <v>0</v>
          </cell>
          <cell r="BM1098" t="e">
            <v>#N/A</v>
          </cell>
          <cell r="BN1098" t="e">
            <v>#N/A</v>
          </cell>
          <cell r="BO1098" t="str">
            <v>Zero Tax</v>
          </cell>
          <cell r="BP1098">
            <v>9157279</v>
          </cell>
        </row>
        <row r="1099">
          <cell r="BK1099" t="str">
            <v>07AAHCS8324F1ZAMARCHTDS0</v>
          </cell>
          <cell r="BL1099">
            <v>0</v>
          </cell>
          <cell r="BM1099" t="e">
            <v>#N/A</v>
          </cell>
          <cell r="BN1099" t="e">
            <v>#N/A</v>
          </cell>
          <cell r="BO1099" t="str">
            <v>Zero Tax</v>
          </cell>
          <cell r="BP1099">
            <v>9159007</v>
          </cell>
        </row>
        <row r="1100">
          <cell r="BK1100" t="str">
            <v>27AASFT7710Q1Z7MARCHTDS0</v>
          </cell>
          <cell r="BL1100">
            <v>0</v>
          </cell>
          <cell r="BM1100" t="e">
            <v>#N/A</v>
          </cell>
          <cell r="BN1100" t="e">
            <v>#N/A</v>
          </cell>
          <cell r="BO1100" t="str">
            <v>Zero Tax</v>
          </cell>
          <cell r="BP1100">
            <v>9159009</v>
          </cell>
        </row>
        <row r="1101">
          <cell r="BK1101" t="str">
            <v>27AABFL1894Q1ZNMARCHTDS0</v>
          </cell>
          <cell r="BL1101">
            <v>0</v>
          </cell>
          <cell r="BM1101" t="e">
            <v>#N/A</v>
          </cell>
          <cell r="BN1101" t="e">
            <v>#N/A</v>
          </cell>
          <cell r="BO1101" t="str">
            <v>Zero Tax</v>
          </cell>
          <cell r="BP1101">
            <v>9159611</v>
          </cell>
        </row>
        <row r="1102">
          <cell r="BK1102" t="str">
            <v>36AABFL1894Q1ZOMARCHTDS0</v>
          </cell>
          <cell r="BL1102">
            <v>0</v>
          </cell>
          <cell r="BM1102" t="e">
            <v>#N/A</v>
          </cell>
          <cell r="BN1102" t="e">
            <v>#N/A</v>
          </cell>
          <cell r="BO1102" t="str">
            <v>Zero Tax</v>
          </cell>
          <cell r="BP1102">
            <v>9159649</v>
          </cell>
        </row>
        <row r="1103">
          <cell r="BK1103" t="str">
            <v>06AABCB5730G1Z1WRITEOFF-ADV0</v>
          </cell>
          <cell r="BL1103">
            <v>0</v>
          </cell>
          <cell r="BM1103" t="e">
            <v>#N/A</v>
          </cell>
          <cell r="BN1103" t="e">
            <v>#N/A</v>
          </cell>
          <cell r="BO1103" t="str">
            <v>Zero Tax</v>
          </cell>
          <cell r="BP1103">
            <v>9155593</v>
          </cell>
        </row>
        <row r="1104">
          <cell r="BK1104" t="str">
            <v>07AAAFB6405G1ZWMARCHTDS0</v>
          </cell>
          <cell r="BL1104">
            <v>0</v>
          </cell>
          <cell r="BM1104" t="e">
            <v>#N/A</v>
          </cell>
          <cell r="BN1104" t="e">
            <v>#N/A</v>
          </cell>
          <cell r="BO1104" t="str">
            <v>Zero Tax</v>
          </cell>
          <cell r="BP1104">
            <v>9158877</v>
          </cell>
        </row>
        <row r="1105">
          <cell r="BK1105" t="str">
            <v>07AAAFB6405G1ZWMARCHTDS0</v>
          </cell>
          <cell r="BL1105">
            <v>0</v>
          </cell>
          <cell r="BM1105" t="e">
            <v>#N/A</v>
          </cell>
          <cell r="BN1105" t="e">
            <v>#N/A</v>
          </cell>
          <cell r="BO1105" t="str">
            <v>Zero Tax</v>
          </cell>
          <cell r="BP1105">
            <v>9158877</v>
          </cell>
        </row>
        <row r="1106">
          <cell r="BK1106" t="str">
            <v>07AAACI9641L1Z8TDS-MAR26-PROV0</v>
          </cell>
          <cell r="BL1106">
            <v>0</v>
          </cell>
          <cell r="BM1106" t="e">
            <v>#N/A</v>
          </cell>
          <cell r="BN1106" t="e">
            <v>#N/A</v>
          </cell>
          <cell r="BO1106" t="str">
            <v>Zero Tax</v>
          </cell>
          <cell r="BP1106">
            <v>9157372</v>
          </cell>
        </row>
        <row r="1107">
          <cell r="BK1107" t="str">
            <v>06BCIPA3655G3ZTWRITEOFF-0010</v>
          </cell>
          <cell r="BL1107">
            <v>0</v>
          </cell>
          <cell r="BM1107" t="e">
            <v>#N/A</v>
          </cell>
          <cell r="BN1107" t="e">
            <v>#N/A</v>
          </cell>
          <cell r="BO1107" t="str">
            <v>Zero Tax</v>
          </cell>
          <cell r="BP1107">
            <v>9155556</v>
          </cell>
        </row>
        <row r="1108">
          <cell r="BK1108" t="str">
            <v>07AABCB5582A1Z1ELB-14763-162180</v>
          </cell>
          <cell r="BL1108">
            <v>0</v>
          </cell>
          <cell r="BM1108" t="e">
            <v>#N/A</v>
          </cell>
          <cell r="BN1108" t="e">
            <v>#N/A</v>
          </cell>
          <cell r="BO1108" t="str">
            <v>Zero Tax</v>
          </cell>
          <cell r="BP1108">
            <v>9155327</v>
          </cell>
        </row>
        <row r="1109">
          <cell r="BK1109" t="str">
            <v>ESICMAY200</v>
          </cell>
          <cell r="BL1109">
            <v>0</v>
          </cell>
          <cell r="BM1109" t="e">
            <v>#N/A</v>
          </cell>
          <cell r="BN1109" t="e">
            <v>#N/A</v>
          </cell>
          <cell r="BO1109" t="str">
            <v>Zero Tax</v>
          </cell>
          <cell r="BP1109">
            <v>5127015</v>
          </cell>
        </row>
        <row r="1110">
          <cell r="BK1110" t="str">
            <v>07ABBCS0291E1ZMWRITEBACK0</v>
          </cell>
          <cell r="BL1110">
            <v>0</v>
          </cell>
          <cell r="BM1110" t="e">
            <v>#N/A</v>
          </cell>
          <cell r="BN1110" t="e">
            <v>#N/A</v>
          </cell>
          <cell r="BO1110" t="str">
            <v>Zero Tax</v>
          </cell>
          <cell r="BP1110">
            <v>9155719</v>
          </cell>
        </row>
        <row r="1111">
          <cell r="BK1111" t="str">
            <v>07AABCB5582A1Z1ELB-0000160540</v>
          </cell>
          <cell r="BL1111">
            <v>0</v>
          </cell>
          <cell r="BM1111" t="e">
            <v>#N/A</v>
          </cell>
          <cell r="BN1111" t="e">
            <v>#N/A</v>
          </cell>
          <cell r="BO1111" t="str">
            <v>Zero Tax</v>
          </cell>
          <cell r="BP1111">
            <v>9155328</v>
          </cell>
        </row>
        <row r="1112">
          <cell r="BK1112" t="str">
            <v>07AAACB0272G1Z5H2500099</v>
          </cell>
          <cell r="BL1112">
            <v>3883.2</v>
          </cell>
          <cell r="BM1112" t="e">
            <v>#N/A</v>
          </cell>
          <cell r="BN1112" t="e">
            <v>#N/A</v>
          </cell>
          <cell r="BO1112" t="str">
            <v>Not Matched</v>
          </cell>
          <cell r="BP1112">
            <v>9164507</v>
          </cell>
        </row>
        <row r="1113">
          <cell r="BK1113" t="str">
            <v>07AAACB0272G1Z5M2500151</v>
          </cell>
          <cell r="BL1113">
            <v>270</v>
          </cell>
          <cell r="BM1113" t="e">
            <v>#N/A</v>
          </cell>
          <cell r="BN1113" t="e">
            <v>#N/A</v>
          </cell>
          <cell r="BO1113" t="str">
            <v>Not Matched</v>
          </cell>
          <cell r="BP1113">
            <v>9167654</v>
          </cell>
        </row>
        <row r="1114">
          <cell r="BK1114" t="str">
            <v>27AABFL1894Q1ZNMARCHTDS0</v>
          </cell>
          <cell r="BL1114">
            <v>0</v>
          </cell>
          <cell r="BM1114" t="e">
            <v>#N/A</v>
          </cell>
          <cell r="BN1114" t="e">
            <v>#N/A</v>
          </cell>
          <cell r="BO1114" t="str">
            <v>Zero Tax</v>
          </cell>
          <cell r="BP1114">
            <v>9159611</v>
          </cell>
        </row>
        <row r="1115">
          <cell r="BK1115" t="str">
            <v>MARCHTDS0</v>
          </cell>
          <cell r="BL1115">
            <v>0</v>
          </cell>
          <cell r="BM1115" t="e">
            <v>#N/A</v>
          </cell>
          <cell r="BN1115" t="e">
            <v>#N/A</v>
          </cell>
          <cell r="BO1115" t="str">
            <v>Zero Tax</v>
          </cell>
          <cell r="BP1115">
            <v>9164294</v>
          </cell>
        </row>
        <row r="1116">
          <cell r="BK1116" t="str">
            <v>06AAICT2573N1ZUTDSPROV010</v>
          </cell>
          <cell r="BL1116">
            <v>0</v>
          </cell>
          <cell r="BM1116" t="e">
            <v>#N/A</v>
          </cell>
          <cell r="BN1116" t="e">
            <v>#N/A</v>
          </cell>
          <cell r="BO1116" t="str">
            <v>Zero Tax</v>
          </cell>
          <cell r="BP1116">
            <v>9163895</v>
          </cell>
        </row>
        <row r="1117">
          <cell r="BK1117" t="str">
            <v>09AAKFC1201H1ZVMARCHTDS0</v>
          </cell>
          <cell r="BL1117">
            <v>0</v>
          </cell>
          <cell r="BM1117" t="e">
            <v>#N/A</v>
          </cell>
          <cell r="BN1117" t="e">
            <v>#N/A</v>
          </cell>
          <cell r="BO1117" t="str">
            <v>Zero Tax</v>
          </cell>
          <cell r="BP1117">
            <v>9158883</v>
          </cell>
        </row>
        <row r="1118">
          <cell r="BK1118" t="str">
            <v>07AAFCT6332G1ZDMARCHTDS0</v>
          </cell>
          <cell r="BL1118">
            <v>0</v>
          </cell>
          <cell r="BM1118" t="e">
            <v>#N/A</v>
          </cell>
          <cell r="BN1118" t="e">
            <v>#N/A</v>
          </cell>
          <cell r="BO1118" t="str">
            <v>Zero Tax</v>
          </cell>
          <cell r="BP1118">
            <v>9159095</v>
          </cell>
        </row>
        <row r="1119">
          <cell r="BK1119" t="str">
            <v>06ACHFS9180N1ZDMARCHTDS0</v>
          </cell>
          <cell r="BL1119">
            <v>0</v>
          </cell>
          <cell r="BM1119" t="e">
            <v>#N/A</v>
          </cell>
          <cell r="BN1119" t="e">
            <v>#N/A</v>
          </cell>
          <cell r="BO1119" t="str">
            <v>Zero Tax</v>
          </cell>
          <cell r="BP1119">
            <v>9159730</v>
          </cell>
        </row>
        <row r="1120">
          <cell r="BK1120" t="str">
            <v>06AANCR0200R1Z7MARCHTDS0</v>
          </cell>
          <cell r="BL1120">
            <v>0</v>
          </cell>
          <cell r="BM1120" t="e">
            <v>#N/A</v>
          </cell>
          <cell r="BN1120" t="e">
            <v>#N/A</v>
          </cell>
          <cell r="BO1120" t="str">
            <v>Zero Tax</v>
          </cell>
          <cell r="BP1120">
            <v>9157424</v>
          </cell>
        </row>
        <row r="1121">
          <cell r="BK1121" t="str">
            <v>06AABCT0716G1ZRMARCHTDS20260</v>
          </cell>
          <cell r="BL1121">
            <v>0</v>
          </cell>
          <cell r="BM1121" t="e">
            <v>#N/A</v>
          </cell>
          <cell r="BN1121" t="e">
            <v>#N/A</v>
          </cell>
          <cell r="BO1121" t="str">
            <v>Zero Tax</v>
          </cell>
          <cell r="BP1121">
            <v>9164991</v>
          </cell>
        </row>
        <row r="1122">
          <cell r="BK1122" t="str">
            <v>07AADCA3655R1Z7TDS-MAR26-PROV0</v>
          </cell>
          <cell r="BL1122">
            <v>0</v>
          </cell>
          <cell r="BM1122" t="e">
            <v>#N/A</v>
          </cell>
          <cell r="BN1122" t="e">
            <v>#N/A</v>
          </cell>
          <cell r="BO1122" t="str">
            <v>Zero Tax</v>
          </cell>
          <cell r="BP1122">
            <v>9157362</v>
          </cell>
        </row>
        <row r="1123">
          <cell r="BK1123" t="str">
            <v>24AADCS0030Q1ZGTDSMARCH20260</v>
          </cell>
          <cell r="BL1123">
            <v>0</v>
          </cell>
          <cell r="BM1123" t="e">
            <v>#N/A</v>
          </cell>
          <cell r="BN1123" t="e">
            <v>#N/A</v>
          </cell>
          <cell r="BO1123" t="str">
            <v>Zero Tax</v>
          </cell>
          <cell r="BP1123">
            <v>9168438</v>
          </cell>
        </row>
        <row r="1124">
          <cell r="BK1124" t="str">
            <v>07AFVPJ5260K1ZWWRITEOFF-TDS0</v>
          </cell>
          <cell r="BL1124">
            <v>0</v>
          </cell>
          <cell r="BM1124" t="e">
            <v>#N/A</v>
          </cell>
          <cell r="BN1124" t="e">
            <v>#N/A</v>
          </cell>
          <cell r="BO1124" t="str">
            <v>Zero Tax</v>
          </cell>
          <cell r="BP1124">
            <v>9155591</v>
          </cell>
        </row>
        <row r="1125">
          <cell r="BK1125" t="str">
            <v>WRITEOFF-TDS0</v>
          </cell>
          <cell r="BL1125">
            <v>0</v>
          </cell>
          <cell r="BM1125" t="e">
            <v>#N/A</v>
          </cell>
          <cell r="BN1125" t="e">
            <v>#N/A</v>
          </cell>
          <cell r="BO1125" t="str">
            <v>Zero Tax</v>
          </cell>
          <cell r="BP1125">
            <v>9155592</v>
          </cell>
        </row>
        <row r="1126">
          <cell r="BK1126" t="str">
            <v>07AAACB0272G1Z5CD2501070</v>
          </cell>
          <cell r="BL1126">
            <v>0</v>
          </cell>
          <cell r="BM1126" t="e">
            <v>#N/A</v>
          </cell>
          <cell r="BN1126" t="e">
            <v>#N/A</v>
          </cell>
          <cell r="BO1126" t="str">
            <v>Zero Tax</v>
          </cell>
          <cell r="BP1126">
            <v>9167810</v>
          </cell>
        </row>
        <row r="1127">
          <cell r="BK1127" t="str">
            <v>07AAFCP5076M1ZXWRITEBACK0</v>
          </cell>
          <cell r="BL1127">
            <v>0</v>
          </cell>
          <cell r="BM1127" t="e">
            <v>#N/A</v>
          </cell>
          <cell r="BN1127" t="e">
            <v>#N/A</v>
          </cell>
          <cell r="BO1127" t="str">
            <v>Zero Tax</v>
          </cell>
          <cell r="BP1127">
            <v>9155700</v>
          </cell>
        </row>
        <row r="1128">
          <cell r="BK1128" t="str">
            <v>07AAACE6958L1Z631MARCH2026TDS0</v>
          </cell>
          <cell r="BL1128">
            <v>0</v>
          </cell>
          <cell r="BM1128" t="e">
            <v>#N/A</v>
          </cell>
          <cell r="BN1128" t="e">
            <v>#N/A</v>
          </cell>
          <cell r="BO1128" t="str">
            <v>Zero Tax</v>
          </cell>
          <cell r="BP1128">
            <v>9157280</v>
          </cell>
        </row>
        <row r="1129">
          <cell r="BK1129" t="str">
            <v>33AAACH1925Q2ZGMARCHTDS0</v>
          </cell>
          <cell r="BL1129">
            <v>0</v>
          </cell>
          <cell r="BM1129" t="e">
            <v>#N/A</v>
          </cell>
          <cell r="BN1129" t="e">
            <v>#N/A</v>
          </cell>
          <cell r="BO1129" t="str">
            <v>Zero Tax</v>
          </cell>
          <cell r="BP1129">
            <v>9159126</v>
          </cell>
        </row>
        <row r="1130">
          <cell r="BK1130" t="str">
            <v>07AABCH9680D1ZIMARCHTDS0</v>
          </cell>
          <cell r="BL1130">
            <v>0</v>
          </cell>
          <cell r="BM1130" t="e">
            <v>#N/A</v>
          </cell>
          <cell r="BN1130" t="e">
            <v>#N/A</v>
          </cell>
          <cell r="BO1130" t="str">
            <v>Zero Tax</v>
          </cell>
          <cell r="BP1130">
            <v>9159800</v>
          </cell>
        </row>
        <row r="1131">
          <cell r="BK1131" t="str">
            <v>29AACCP7457K2ZSMARCHTDS20260</v>
          </cell>
          <cell r="BL1131">
            <v>0</v>
          </cell>
          <cell r="BM1131" t="e">
            <v>#N/A</v>
          </cell>
          <cell r="BN1131" t="e">
            <v>#N/A</v>
          </cell>
          <cell r="BO1131" t="str">
            <v>Zero Tax</v>
          </cell>
          <cell r="BP1131">
            <v>9157451</v>
          </cell>
        </row>
        <row r="1132">
          <cell r="BK1132" t="str">
            <v>07ALWPT1567E1ZJTDS-MAR26-PROV0</v>
          </cell>
          <cell r="BL1132">
            <v>0</v>
          </cell>
          <cell r="BM1132" t="e">
            <v>#N/A</v>
          </cell>
          <cell r="BN1132" t="e">
            <v>#N/A</v>
          </cell>
          <cell r="BO1132" t="str">
            <v>Zero Tax</v>
          </cell>
          <cell r="BP1132">
            <v>9157373</v>
          </cell>
        </row>
        <row r="1133">
          <cell r="BK1133" t="str">
            <v>TDSMARCH20260</v>
          </cell>
          <cell r="BL1133">
            <v>0</v>
          </cell>
          <cell r="BM1133" t="e">
            <v>#N/A</v>
          </cell>
          <cell r="BN1133" t="e">
            <v>#N/A</v>
          </cell>
          <cell r="BO1133" t="str">
            <v>Zero Tax</v>
          </cell>
          <cell r="BP1133">
            <v>9168437</v>
          </cell>
        </row>
        <row r="1134">
          <cell r="BK1134" t="str">
            <v>07AADPL0202E2ZIWRITEOFF-1170</v>
          </cell>
          <cell r="BL1134">
            <v>0</v>
          </cell>
          <cell r="BM1134" t="e">
            <v>#N/A</v>
          </cell>
          <cell r="BN1134" t="e">
            <v>#N/A</v>
          </cell>
          <cell r="BO1134" t="str">
            <v>Zero Tax</v>
          </cell>
          <cell r="BP1134">
            <v>9155561</v>
          </cell>
        </row>
        <row r="1135">
          <cell r="BK1135" t="str">
            <v>07AAGCM7122A1ZXREFUND0</v>
          </cell>
          <cell r="BL1135">
            <v>0</v>
          </cell>
          <cell r="BM1135" t="e">
            <v>#N/A</v>
          </cell>
          <cell r="BN1135" t="e">
            <v>#N/A</v>
          </cell>
          <cell r="BO1135" t="str">
            <v>Zero Tax</v>
          </cell>
          <cell r="BP1135">
            <v>9167690</v>
          </cell>
        </row>
        <row r="1136">
          <cell r="BK1136" t="str">
            <v>07AAACB0272G1Z5CD2502970</v>
          </cell>
          <cell r="BL1136">
            <v>0</v>
          </cell>
          <cell r="BM1136" t="e">
            <v>#N/A</v>
          </cell>
          <cell r="BN1136" t="e">
            <v>#N/A</v>
          </cell>
          <cell r="BO1136" t="str">
            <v>Zero Tax</v>
          </cell>
          <cell r="BP1136">
            <v>9168807</v>
          </cell>
        </row>
        <row r="1137">
          <cell r="BK1137" t="str">
            <v>07AAICR1079H1Z8REPL/25-26/2500</v>
          </cell>
          <cell r="BL1137">
            <v>97020</v>
          </cell>
          <cell r="BM1137" t="e">
            <v>#N/A</v>
          </cell>
          <cell r="BN1137" t="e">
            <v>#N/A</v>
          </cell>
          <cell r="BO1137" t="str">
            <v>Regime Entry made from Non Rec to Recov</v>
          </cell>
          <cell r="BP1137">
            <v>107778826</v>
          </cell>
        </row>
        <row r="1138">
          <cell r="BK1138" t="str">
            <v>07AAJCG9480A1ZJASPERMAIL0</v>
          </cell>
          <cell r="BL1138">
            <v>0</v>
          </cell>
          <cell r="BM1138" t="e">
            <v>#N/A</v>
          </cell>
          <cell r="BN1138" t="e">
            <v>#N/A</v>
          </cell>
          <cell r="BO1138" t="str">
            <v>Zero Tax</v>
          </cell>
          <cell r="BP1138">
            <v>9158394</v>
          </cell>
        </row>
        <row r="1139">
          <cell r="BK1139" t="str">
            <v>07AABCB5582A1Z1EJ00010603-113960</v>
          </cell>
          <cell r="BL1139">
            <v>0</v>
          </cell>
          <cell r="BM1139" t="e">
            <v>#N/A</v>
          </cell>
          <cell r="BN1139" t="e">
            <v>#N/A</v>
          </cell>
          <cell r="BO1139" t="str">
            <v>Zero Tax</v>
          </cell>
          <cell r="BP1139">
            <v>9155326</v>
          </cell>
        </row>
        <row r="1140">
          <cell r="BK1140" t="str">
            <v>27AAJCG9480A1ZHN-88800440</v>
          </cell>
          <cell r="BL1140">
            <v>0</v>
          </cell>
          <cell r="BM1140" t="e">
            <v>#N/A</v>
          </cell>
          <cell r="BN1140" t="e">
            <v>#N/A</v>
          </cell>
          <cell r="BO1140" t="str">
            <v>Zero Tax</v>
          </cell>
          <cell r="BP1140">
            <v>9147338</v>
          </cell>
        </row>
        <row r="1141">
          <cell r="BK1141" t="str">
            <v>07AAACB0272G1Z5H2500112</v>
          </cell>
          <cell r="BL1141">
            <v>14049.3</v>
          </cell>
          <cell r="BM1141" t="e">
            <v>#N/A</v>
          </cell>
          <cell r="BN1141" t="e">
            <v>#N/A</v>
          </cell>
          <cell r="BO1141" t="str">
            <v>Not Matched</v>
          </cell>
          <cell r="BP1141">
            <v>9167710</v>
          </cell>
        </row>
        <row r="1142">
          <cell r="BK1142" t="str">
            <v>03AAPFJ5933Q1ZPWRITEBACK0</v>
          </cell>
          <cell r="BL1142">
            <v>0</v>
          </cell>
          <cell r="BM1142" t="e">
            <v>#N/A</v>
          </cell>
          <cell r="BN1142" t="e">
            <v>#N/A</v>
          </cell>
          <cell r="BO1142" t="str">
            <v>Zero Tax</v>
          </cell>
          <cell r="BP1142">
            <v>9155712</v>
          </cell>
        </row>
        <row r="1143">
          <cell r="BK1143" t="str">
            <v>07ABBCS0291E1ZMWRITEBACK0</v>
          </cell>
          <cell r="BL1143">
            <v>0</v>
          </cell>
          <cell r="BM1143" t="e">
            <v>#N/A</v>
          </cell>
          <cell r="BN1143" t="e">
            <v>#N/A</v>
          </cell>
          <cell r="BO1143" t="str">
            <v>Zero Tax</v>
          </cell>
          <cell r="BP1143">
            <v>9155719</v>
          </cell>
        </row>
        <row r="1144">
          <cell r="BK1144" t="str">
            <v>27AEUPR5565B1Z0WRITEBACK0</v>
          </cell>
          <cell r="BL1144">
            <v>0</v>
          </cell>
          <cell r="BM1144" t="e">
            <v>#N/A</v>
          </cell>
          <cell r="BN1144" t="e">
            <v>#N/A</v>
          </cell>
          <cell r="BO1144" t="str">
            <v>Zero Tax</v>
          </cell>
          <cell r="BP1144">
            <v>9155710</v>
          </cell>
        </row>
        <row r="1145">
          <cell r="BK1145" t="str">
            <v>07AAACB0272G1Z5H2500101</v>
          </cell>
          <cell r="BL1145">
            <v>1440.6</v>
          </cell>
          <cell r="BM1145" t="e">
            <v>#N/A</v>
          </cell>
          <cell r="BN1145" t="e">
            <v>#N/A</v>
          </cell>
          <cell r="BO1145" t="str">
            <v>Not Matched</v>
          </cell>
          <cell r="BP1145">
            <v>9164506</v>
          </cell>
        </row>
        <row r="1146">
          <cell r="BK1146" t="str">
            <v>33AAACH1925Q2ZGWRITEBACK0</v>
          </cell>
          <cell r="BL1146">
            <v>0</v>
          </cell>
          <cell r="BM1146" t="e">
            <v>#N/A</v>
          </cell>
          <cell r="BN1146" t="e">
            <v>#N/A</v>
          </cell>
          <cell r="BO1146" t="str">
            <v>Zero Tax</v>
          </cell>
          <cell r="BP1146">
            <v>9155696</v>
          </cell>
        </row>
        <row r="1147">
          <cell r="BK1147" t="str">
            <v>07AACCG5199H1ZCTDS-MAR26-PROV0</v>
          </cell>
          <cell r="BL1147">
            <v>0</v>
          </cell>
          <cell r="BM1147" t="e">
            <v>#N/A</v>
          </cell>
          <cell r="BN1147" t="e">
            <v>#N/A</v>
          </cell>
          <cell r="BO1147" t="str">
            <v>Zero Tax</v>
          </cell>
          <cell r="BP1147">
            <v>9157365</v>
          </cell>
        </row>
        <row r="1148">
          <cell r="BK1148" t="str">
            <v>TDSMARCH20260</v>
          </cell>
          <cell r="BL1148">
            <v>0</v>
          </cell>
          <cell r="BM1148" t="e">
            <v>#N/A</v>
          </cell>
          <cell r="BN1148" t="e">
            <v>#N/A</v>
          </cell>
          <cell r="BO1148" t="str">
            <v>Zero Tax</v>
          </cell>
          <cell r="BP1148">
            <v>9168437</v>
          </cell>
        </row>
        <row r="1149">
          <cell r="BK1149" t="str">
            <v>TDSMARCH20260</v>
          </cell>
          <cell r="BL1149">
            <v>0</v>
          </cell>
          <cell r="BM1149" t="e">
            <v>#N/A</v>
          </cell>
          <cell r="BN1149" t="e">
            <v>#N/A</v>
          </cell>
          <cell r="BO1149" t="str">
            <v>Zero Tax</v>
          </cell>
          <cell r="BP1149">
            <v>9168437</v>
          </cell>
        </row>
        <row r="1150">
          <cell r="BK1150" t="str">
            <v>WRITEOFF-1139430</v>
          </cell>
          <cell r="BL1150">
            <v>0</v>
          </cell>
          <cell r="BM1150" t="e">
            <v>#N/A</v>
          </cell>
          <cell r="BN1150" t="e">
            <v>#N/A</v>
          </cell>
          <cell r="BO1150" t="str">
            <v>Zero Tax</v>
          </cell>
          <cell r="BP1150">
            <v>9155531</v>
          </cell>
        </row>
        <row r="1151">
          <cell r="BK1151" t="str">
            <v>07AAJCG9480A1ZJASPERMAIL0</v>
          </cell>
          <cell r="BL1151">
            <v>0</v>
          </cell>
          <cell r="BM1151" t="e">
            <v>#N/A</v>
          </cell>
          <cell r="BN1151" t="e">
            <v>#N/A</v>
          </cell>
          <cell r="BO1151" t="str">
            <v>Zero Tax</v>
          </cell>
          <cell r="BP1151">
            <v>9158394</v>
          </cell>
        </row>
        <row r="1152">
          <cell r="BK1152" t="str">
            <v>33AAACH1925Q2ZGMARCHTDS0</v>
          </cell>
          <cell r="BL1152">
            <v>0</v>
          </cell>
          <cell r="BM1152" t="e">
            <v>#N/A</v>
          </cell>
          <cell r="BN1152" t="e">
            <v>#N/A</v>
          </cell>
          <cell r="BO1152" t="str">
            <v>Zero Tax</v>
          </cell>
          <cell r="BP1152">
            <v>9159126</v>
          </cell>
        </row>
        <row r="1153">
          <cell r="BK1153" t="str">
            <v>19AABFL1894Q1ZKMARCHTDS0</v>
          </cell>
          <cell r="BL1153">
            <v>0</v>
          </cell>
          <cell r="BM1153" t="e">
            <v>#N/A</v>
          </cell>
          <cell r="BN1153" t="e">
            <v>#N/A</v>
          </cell>
          <cell r="BO1153" t="str">
            <v>Zero Tax</v>
          </cell>
          <cell r="BP1153">
            <v>9159695</v>
          </cell>
        </row>
        <row r="1154">
          <cell r="BK1154" t="str">
            <v>06ACHFS9180N1ZDMARCHTDS0</v>
          </cell>
          <cell r="BL1154">
            <v>0</v>
          </cell>
          <cell r="BM1154" t="e">
            <v>#N/A</v>
          </cell>
          <cell r="BN1154" t="e">
            <v>#N/A</v>
          </cell>
          <cell r="BO1154" t="str">
            <v>Zero Tax</v>
          </cell>
          <cell r="BP1154">
            <v>9159730</v>
          </cell>
        </row>
        <row r="1155">
          <cell r="BK1155" t="str">
            <v>07AAACM6396E2ZCMARCHTDS20260</v>
          </cell>
          <cell r="BL1155">
            <v>0</v>
          </cell>
          <cell r="BM1155" t="e">
            <v>#N/A</v>
          </cell>
          <cell r="BN1155" t="e">
            <v>#N/A</v>
          </cell>
          <cell r="BO1155" t="str">
            <v>Zero Tax</v>
          </cell>
          <cell r="BP1155">
            <v>9157436</v>
          </cell>
        </row>
        <row r="1156">
          <cell r="BK1156" t="str">
            <v>07AAACB0272G1Z5H2500110</v>
          </cell>
          <cell r="BL1156">
            <v>5948.64</v>
          </cell>
          <cell r="BM1156" t="e">
            <v>#N/A</v>
          </cell>
          <cell r="BN1156" t="e">
            <v>#N/A</v>
          </cell>
          <cell r="BO1156" t="str">
            <v>Not Matched</v>
          </cell>
          <cell r="BP1156">
            <v>9164452</v>
          </cell>
        </row>
        <row r="1157">
          <cell r="BK1157" t="str">
            <v>07AAACB0272G1Z5H2500116</v>
          </cell>
          <cell r="BL1157">
            <v>3010.5</v>
          </cell>
          <cell r="BM1157" t="e">
            <v>#N/A</v>
          </cell>
          <cell r="BN1157" t="e">
            <v>#N/A</v>
          </cell>
          <cell r="BO1157" t="str">
            <v>Not Matched</v>
          </cell>
          <cell r="BP1157">
            <v>9167711</v>
          </cell>
        </row>
        <row r="1158">
          <cell r="BK1158" t="str">
            <v>07AAACB0272G1Z5H2500117</v>
          </cell>
          <cell r="BL1158">
            <v>52752.96</v>
          </cell>
          <cell r="BM1158" t="e">
            <v>#N/A</v>
          </cell>
          <cell r="BN1158" t="e">
            <v>#N/A</v>
          </cell>
          <cell r="BO1158" t="str">
            <v>Not Matched</v>
          </cell>
          <cell r="BP1158">
            <v>9164503</v>
          </cell>
        </row>
        <row r="1159">
          <cell r="BK1159" t="str">
            <v>07AAACE6958L1Z6MARCH2026TDS0</v>
          </cell>
          <cell r="BL1159">
            <v>0</v>
          </cell>
          <cell r="BM1159" t="e">
            <v>#N/A</v>
          </cell>
          <cell r="BN1159" t="e">
            <v>#N/A</v>
          </cell>
          <cell r="BO1159" t="str">
            <v>Zero Tax</v>
          </cell>
          <cell r="BP1159">
            <v>9157279</v>
          </cell>
        </row>
        <row r="1160">
          <cell r="BK1160" t="str">
            <v>07AAACB0272G1Z5M2500153</v>
          </cell>
          <cell r="BL1160">
            <v>360</v>
          </cell>
          <cell r="BM1160" t="e">
            <v>#N/A</v>
          </cell>
          <cell r="BN1160" t="e">
            <v>#N/A</v>
          </cell>
          <cell r="BO1160" t="str">
            <v>Not Matched</v>
          </cell>
          <cell r="BP1160">
            <v>9167691</v>
          </cell>
        </row>
        <row r="1161">
          <cell r="BK1161" t="str">
            <v>07AAACE6958L1Z631MARCH2026TDS0</v>
          </cell>
          <cell r="BL1161">
            <v>0</v>
          </cell>
          <cell r="BM1161" t="e">
            <v>#N/A</v>
          </cell>
          <cell r="BN1161" t="e">
            <v>#N/A</v>
          </cell>
          <cell r="BO1161" t="str">
            <v>Zero Tax</v>
          </cell>
          <cell r="BP1161">
            <v>9157280</v>
          </cell>
        </row>
        <row r="1162">
          <cell r="BK1162" t="str">
            <v>07AAACB0446L1ZU26307S000096</v>
          </cell>
          <cell r="BL1162">
            <v>149.5</v>
          </cell>
          <cell r="BM1162">
            <v>149.5</v>
          </cell>
          <cell r="BN1162">
            <v>0</v>
          </cell>
          <cell r="BO1162" t="str">
            <v>Matched</v>
          </cell>
          <cell r="BP1162">
            <v>9151251</v>
          </cell>
        </row>
        <row r="1163">
          <cell r="BK1163" t="str">
            <v>27AAJCG9480A1ZHN-88800440</v>
          </cell>
          <cell r="BL1163">
            <v>0</v>
          </cell>
          <cell r="BM1163" t="e">
            <v>#N/A</v>
          </cell>
          <cell r="BN1163" t="e">
            <v>#N/A</v>
          </cell>
          <cell r="BO1163" t="str">
            <v>Zero Tax</v>
          </cell>
          <cell r="BP1163">
            <v>9147338</v>
          </cell>
        </row>
        <row r="1164">
          <cell r="BK1164" t="str">
            <v>07AAFCT6332G1ZDMARCHTDS0</v>
          </cell>
          <cell r="BL1164">
            <v>0</v>
          </cell>
          <cell r="BM1164" t="e">
            <v>#N/A</v>
          </cell>
          <cell r="BN1164" t="e">
            <v>#N/A</v>
          </cell>
          <cell r="BO1164" t="str">
            <v>Zero Tax</v>
          </cell>
          <cell r="BP1164">
            <v>9159095</v>
          </cell>
        </row>
        <row r="1165">
          <cell r="BK1165" t="str">
            <v>07AABFL1894Q1ZPMARCHTDS0</v>
          </cell>
          <cell r="BL1165">
            <v>0</v>
          </cell>
          <cell r="BM1165" t="e">
            <v>#N/A</v>
          </cell>
          <cell r="BN1165" t="e">
            <v>#N/A</v>
          </cell>
          <cell r="BO1165" t="str">
            <v>Zero Tax</v>
          </cell>
          <cell r="BP1165">
            <v>9159587</v>
          </cell>
        </row>
        <row r="1166">
          <cell r="BK1166" t="str">
            <v>MARCHTDS0</v>
          </cell>
          <cell r="BL1166">
            <v>0</v>
          </cell>
          <cell r="BM1166" t="e">
            <v>#N/A</v>
          </cell>
          <cell r="BN1166" t="e">
            <v>#N/A</v>
          </cell>
          <cell r="BO1166" t="str">
            <v>Zero Tax</v>
          </cell>
          <cell r="BP1166">
            <v>9164294</v>
          </cell>
        </row>
        <row r="1167">
          <cell r="BK1167" t="str">
            <v>07AAACM6396E2ZCMARCHTDS20260</v>
          </cell>
          <cell r="BL1167">
            <v>0</v>
          </cell>
          <cell r="BM1167" t="e">
            <v>#N/A</v>
          </cell>
          <cell r="BN1167" t="e">
            <v>#N/A</v>
          </cell>
          <cell r="BO1167" t="str">
            <v>Zero Tax</v>
          </cell>
          <cell r="BP1167">
            <v>9157436</v>
          </cell>
        </row>
        <row r="1168">
          <cell r="BK1168" t="str">
            <v>06AABCT0716G1ZRMARCHTDS20260</v>
          </cell>
          <cell r="BL1168">
            <v>0</v>
          </cell>
          <cell r="BM1168" t="e">
            <v>#N/A</v>
          </cell>
          <cell r="BN1168" t="e">
            <v>#N/A</v>
          </cell>
          <cell r="BO1168" t="str">
            <v>Zero Tax</v>
          </cell>
          <cell r="BP1168">
            <v>9164991</v>
          </cell>
        </row>
        <row r="1169">
          <cell r="BK1169" t="str">
            <v>07AAACB0272G1Z5CD250107</v>
          </cell>
          <cell r="BL1169">
            <v>-377.8</v>
          </cell>
          <cell r="BM1169">
            <v>-378</v>
          </cell>
          <cell r="BN1169">
            <v>0</v>
          </cell>
          <cell r="BO1169" t="str">
            <v>Matched</v>
          </cell>
          <cell r="BP1169">
            <v>9167810</v>
          </cell>
        </row>
        <row r="1170">
          <cell r="BK1170" t="str">
            <v>07AAACE6958L1Z6MARCHTDS0</v>
          </cell>
          <cell r="BL1170">
            <v>0</v>
          </cell>
          <cell r="BM1170" t="e">
            <v>#N/A</v>
          </cell>
          <cell r="BN1170" t="e">
            <v>#N/A</v>
          </cell>
          <cell r="BO1170" t="str">
            <v>Zero Tax</v>
          </cell>
          <cell r="BP1170">
            <v>9159255</v>
          </cell>
        </row>
        <row r="1171">
          <cell r="BK1171" t="str">
            <v>TDSMARCH20260</v>
          </cell>
          <cell r="BL1171">
            <v>0</v>
          </cell>
          <cell r="BM1171" t="e">
            <v>#N/A</v>
          </cell>
          <cell r="BN1171" t="e">
            <v>#N/A</v>
          </cell>
          <cell r="BO1171" t="str">
            <v>Zero Tax</v>
          </cell>
          <cell r="BP1171">
            <v>9168437</v>
          </cell>
        </row>
        <row r="1172">
          <cell r="BK1172" t="str">
            <v>07AADCA3655R1Z7AVZ/263/2025-260</v>
          </cell>
          <cell r="BL1172">
            <v>11811.6</v>
          </cell>
          <cell r="BM1172" t="e">
            <v>#N/A</v>
          </cell>
          <cell r="BN1172" t="e">
            <v>#N/A</v>
          </cell>
          <cell r="BO1172" t="str">
            <v>Regime Entry made from Non Rec to Recov</v>
          </cell>
          <cell r="BP1172">
            <v>107487301</v>
          </cell>
        </row>
        <row r="1173">
          <cell r="BK1173" t="str">
            <v>MARCHTDS0</v>
          </cell>
          <cell r="BL1173">
            <v>0</v>
          </cell>
          <cell r="BM1173" t="e">
            <v>#N/A</v>
          </cell>
          <cell r="BN1173" t="e">
            <v>#N/A</v>
          </cell>
          <cell r="BO1173" t="str">
            <v>Zero Tax</v>
          </cell>
          <cell r="BP1173">
            <v>9158985</v>
          </cell>
        </row>
        <row r="1174">
          <cell r="BK1174" t="str">
            <v>27AASFT7710Q1Z7MARCHTDS0</v>
          </cell>
          <cell r="BL1174">
            <v>0</v>
          </cell>
          <cell r="BM1174" t="e">
            <v>#N/A</v>
          </cell>
          <cell r="BN1174" t="e">
            <v>#N/A</v>
          </cell>
          <cell r="BO1174" t="str">
            <v>Zero Tax</v>
          </cell>
          <cell r="BP1174">
            <v>9159009</v>
          </cell>
        </row>
        <row r="1175">
          <cell r="BK1175" t="str">
            <v>07AAACM6396E2ZCMARCHTDS0</v>
          </cell>
          <cell r="BL1175">
            <v>0</v>
          </cell>
          <cell r="BM1175" t="e">
            <v>#N/A</v>
          </cell>
          <cell r="BN1175" t="e">
            <v>#N/A</v>
          </cell>
          <cell r="BO1175" t="str">
            <v>Zero Tax</v>
          </cell>
          <cell r="BP1175">
            <v>9159093</v>
          </cell>
        </row>
        <row r="1176">
          <cell r="BK1176" t="str">
            <v>36AABFL1894Q1ZOMARCHTDS0</v>
          </cell>
          <cell r="BL1176">
            <v>0</v>
          </cell>
          <cell r="BM1176" t="e">
            <v>#N/A</v>
          </cell>
          <cell r="BN1176" t="e">
            <v>#N/A</v>
          </cell>
          <cell r="BO1176" t="str">
            <v>Zero Tax</v>
          </cell>
          <cell r="BP1176">
            <v>9159649</v>
          </cell>
        </row>
        <row r="1177">
          <cell r="BK1177" t="str">
            <v>06ACHFS9180N1ZDMARCHTDS0</v>
          </cell>
          <cell r="BL1177">
            <v>0</v>
          </cell>
          <cell r="BM1177" t="e">
            <v>#N/A</v>
          </cell>
          <cell r="BN1177" t="e">
            <v>#N/A</v>
          </cell>
          <cell r="BO1177" t="str">
            <v>Zero Tax</v>
          </cell>
          <cell r="BP1177">
            <v>9159730</v>
          </cell>
        </row>
        <row r="1178">
          <cell r="BK1178" t="str">
            <v>07DURPR1724Q1ZPMARCHTDS0</v>
          </cell>
          <cell r="BL1178">
            <v>0</v>
          </cell>
          <cell r="BM1178" t="e">
            <v>#N/A</v>
          </cell>
          <cell r="BN1178" t="e">
            <v>#N/A</v>
          </cell>
          <cell r="BO1178" t="str">
            <v>Zero Tax</v>
          </cell>
          <cell r="BP1178">
            <v>9157456</v>
          </cell>
        </row>
        <row r="1179">
          <cell r="BK1179" t="str">
            <v>07AACCG5199H1ZCTDS-MAR26-PROV0</v>
          </cell>
          <cell r="BL1179">
            <v>0</v>
          </cell>
          <cell r="BM1179" t="e">
            <v>#N/A</v>
          </cell>
          <cell r="BN1179" t="e">
            <v>#N/A</v>
          </cell>
          <cell r="BO1179" t="str">
            <v>Zero Tax</v>
          </cell>
          <cell r="BP1179">
            <v>9157365</v>
          </cell>
        </row>
        <row r="1180">
          <cell r="BK1180" t="str">
            <v>07AAACB0446L1ZU2026307R00005230</v>
          </cell>
          <cell r="BL1180">
            <v>2285.34</v>
          </cell>
          <cell r="BM1180">
            <v>2285.34</v>
          </cell>
          <cell r="BN1180">
            <v>0</v>
          </cell>
          <cell r="BO1180" t="str">
            <v>Matched</v>
          </cell>
          <cell r="BP1180">
            <v>9155601</v>
          </cell>
        </row>
        <row r="1181">
          <cell r="BK1181" t="str">
            <v>07AAACB0272G1Z5M2500150</v>
          </cell>
          <cell r="BL1181">
            <v>360</v>
          </cell>
          <cell r="BM1181" t="e">
            <v>#N/A</v>
          </cell>
          <cell r="BN1181" t="e">
            <v>#N/A</v>
          </cell>
          <cell r="BO1181" t="str">
            <v>Not Matched</v>
          </cell>
          <cell r="BP1181">
            <v>9167605</v>
          </cell>
        </row>
        <row r="1182">
          <cell r="BK1182" t="str">
            <v>07AAACB0272G1Z5M2500152</v>
          </cell>
          <cell r="BL1182">
            <v>270</v>
          </cell>
          <cell r="BM1182" t="e">
            <v>#N/A</v>
          </cell>
          <cell r="BN1182" t="e">
            <v>#N/A</v>
          </cell>
          <cell r="BO1182" t="str">
            <v>Not Matched</v>
          </cell>
          <cell r="BP1182">
            <v>9167677</v>
          </cell>
        </row>
        <row r="1183">
          <cell r="BK1183" t="str">
            <v>07AAACB0446L1ZU26307S000132</v>
          </cell>
          <cell r="BL1183">
            <v>108.72</v>
          </cell>
          <cell r="BM1183">
            <v>108.72</v>
          </cell>
          <cell r="BN1183">
            <v>0</v>
          </cell>
          <cell r="BO1183" t="str">
            <v>Matched</v>
          </cell>
          <cell r="BP1183">
            <v>9151250</v>
          </cell>
        </row>
        <row r="1184">
          <cell r="BK1184" t="str">
            <v>27AACCN0870G1ZLMARCHTDS0</v>
          </cell>
          <cell r="BL1184">
            <v>0</v>
          </cell>
          <cell r="BM1184" t="e">
            <v>#N/A</v>
          </cell>
          <cell r="BN1184" t="e">
            <v>#N/A</v>
          </cell>
          <cell r="BO1184" t="str">
            <v>Zero Tax</v>
          </cell>
          <cell r="BP1184">
            <v>9159005</v>
          </cell>
        </row>
        <row r="1185">
          <cell r="BK1185" t="str">
            <v>27AACCN0870G1ZLMARCHTDS0</v>
          </cell>
          <cell r="BL1185">
            <v>0</v>
          </cell>
          <cell r="BM1185" t="e">
            <v>#N/A</v>
          </cell>
          <cell r="BN1185" t="e">
            <v>#N/A</v>
          </cell>
          <cell r="BO1185" t="str">
            <v>Zero Tax</v>
          </cell>
          <cell r="BP1185">
            <v>9159005</v>
          </cell>
        </row>
        <row r="1186">
          <cell r="BK1186" t="str">
            <v>36AABFL1894Q1ZOMARCHTDS0</v>
          </cell>
          <cell r="BL1186">
            <v>0</v>
          </cell>
          <cell r="BM1186" t="e">
            <v>#N/A</v>
          </cell>
          <cell r="BN1186" t="e">
            <v>#N/A</v>
          </cell>
          <cell r="BO1186" t="str">
            <v>Zero Tax</v>
          </cell>
          <cell r="BP1186">
            <v>9159649</v>
          </cell>
        </row>
        <row r="1187">
          <cell r="BK1187" t="str">
            <v>27AAACD3958P1Z3MARCHTDS0</v>
          </cell>
          <cell r="BL1187">
            <v>0</v>
          </cell>
          <cell r="BM1187" t="e">
            <v>#N/A</v>
          </cell>
          <cell r="BN1187" t="e">
            <v>#N/A</v>
          </cell>
          <cell r="BO1187" t="str">
            <v>Zero Tax</v>
          </cell>
          <cell r="BP1187">
            <v>9157283</v>
          </cell>
        </row>
        <row r="1188">
          <cell r="BK1188" t="str">
            <v>29AACCP7457K2ZSMARCHTDS0</v>
          </cell>
          <cell r="BL1188">
            <v>0</v>
          </cell>
          <cell r="BM1188" t="e">
            <v>#N/A</v>
          </cell>
          <cell r="BN1188" t="e">
            <v>#N/A</v>
          </cell>
          <cell r="BO1188" t="str">
            <v>Zero Tax</v>
          </cell>
          <cell r="BP1188">
            <v>9157445</v>
          </cell>
        </row>
        <row r="1189">
          <cell r="BK1189" t="str">
            <v>07DURPR1724Q1ZPMARCHTDS0</v>
          </cell>
          <cell r="BL1189">
            <v>0</v>
          </cell>
          <cell r="BM1189" t="e">
            <v>#N/A</v>
          </cell>
          <cell r="BN1189" t="e">
            <v>#N/A</v>
          </cell>
          <cell r="BO1189" t="str">
            <v>Zero Tax</v>
          </cell>
          <cell r="BP1189">
            <v>9157456</v>
          </cell>
        </row>
        <row r="1190">
          <cell r="BK1190" t="str">
            <v>29AACCP7457K2ZSMARCHTDS20260</v>
          </cell>
          <cell r="BL1190">
            <v>0</v>
          </cell>
          <cell r="BM1190" t="e">
            <v>#N/A</v>
          </cell>
          <cell r="BN1190" t="e">
            <v>#N/A</v>
          </cell>
          <cell r="BO1190" t="str">
            <v>Zero Tax</v>
          </cell>
          <cell r="BP1190">
            <v>9157451</v>
          </cell>
        </row>
        <row r="1191">
          <cell r="BK1191" t="str">
            <v>07AAACB0272G1Z5TDSHOTELMARCH-260</v>
          </cell>
          <cell r="BL1191">
            <v>0</v>
          </cell>
          <cell r="BM1191" t="e">
            <v>#N/A</v>
          </cell>
          <cell r="BN1191" t="e">
            <v>#N/A</v>
          </cell>
          <cell r="BO1191" t="str">
            <v>Zero Tax</v>
          </cell>
          <cell r="BP1191">
            <v>9168624</v>
          </cell>
        </row>
        <row r="1192">
          <cell r="BK1192" t="str">
            <v>06AAEFE1763C1ZWTDSMARCH20260</v>
          </cell>
          <cell r="BL1192">
            <v>0</v>
          </cell>
          <cell r="BM1192" t="e">
            <v>#N/A</v>
          </cell>
          <cell r="BN1192" t="e">
            <v>#N/A</v>
          </cell>
          <cell r="BO1192" t="str">
            <v>Zero Tax</v>
          </cell>
          <cell r="BP1192">
            <v>9172108</v>
          </cell>
        </row>
        <row r="1193">
          <cell r="BK1193" t="str">
            <v>07AABCB5582A1Z1FG-9530-100930</v>
          </cell>
          <cell r="BL1193">
            <v>0</v>
          </cell>
          <cell r="BM1193" t="e">
            <v>#N/A</v>
          </cell>
          <cell r="BN1193" t="e">
            <v>#N/A</v>
          </cell>
          <cell r="BO1193" t="str">
            <v>Zero Tax</v>
          </cell>
          <cell r="BP1193">
            <v>9155331</v>
          </cell>
        </row>
        <row r="1194">
          <cell r="BK1194" t="str">
            <v>07AAACB0272G1Z5H2500118</v>
          </cell>
          <cell r="BL1194">
            <v>1310.4</v>
          </cell>
          <cell r="BM1194" t="e">
            <v>#N/A</v>
          </cell>
          <cell r="BN1194" t="e">
            <v>#N/A</v>
          </cell>
          <cell r="BO1194" t="str">
            <v>Not Matched</v>
          </cell>
          <cell r="BP1194">
            <v>9164458</v>
          </cell>
        </row>
        <row r="1195">
          <cell r="BK1195" t="str">
            <v>27AAACD3958P1Z3MARCHTDS0</v>
          </cell>
          <cell r="BL1195">
            <v>0</v>
          </cell>
          <cell r="BM1195" t="e">
            <v>#N/A</v>
          </cell>
          <cell r="BN1195" t="e">
            <v>#N/A</v>
          </cell>
          <cell r="BO1195" t="str">
            <v>Zero Tax</v>
          </cell>
          <cell r="BP1195">
            <v>9157283</v>
          </cell>
        </row>
        <row r="1196">
          <cell r="BK1196" t="str">
            <v>07AAACB0272G1Z5T2500050</v>
          </cell>
          <cell r="BL1196">
            <v>1397.16</v>
          </cell>
          <cell r="BM1196" t="e">
            <v>#N/A</v>
          </cell>
          <cell r="BN1196" t="e">
            <v>#N/A</v>
          </cell>
          <cell r="BO1196" t="str">
            <v>Not Matched</v>
          </cell>
          <cell r="BP1196">
            <v>9164633</v>
          </cell>
        </row>
        <row r="1197">
          <cell r="BK1197" t="str">
            <v>07AAACB0272G1Z5T2500052</v>
          </cell>
          <cell r="BL1197">
            <v>10958.22</v>
          </cell>
          <cell r="BM1197" t="e">
            <v>#N/A</v>
          </cell>
          <cell r="BN1197" t="e">
            <v>#N/A</v>
          </cell>
          <cell r="BO1197" t="str">
            <v>Not Matched</v>
          </cell>
          <cell r="BP1197">
            <v>9164637</v>
          </cell>
        </row>
        <row r="1198">
          <cell r="BK1198" t="str">
            <v>19AABFL1894Q1ZKMARCHTDS0</v>
          </cell>
          <cell r="BL1198">
            <v>0</v>
          </cell>
          <cell r="BM1198" t="e">
            <v>#N/A</v>
          </cell>
          <cell r="BN1198" t="e">
            <v>#N/A</v>
          </cell>
          <cell r="BO1198" t="str">
            <v>Zero Tax</v>
          </cell>
          <cell r="BP1198">
            <v>9159695</v>
          </cell>
        </row>
        <row r="1199">
          <cell r="BK1199" t="str">
            <v>07AADCA3655R1Z7TDS-MAR26-PROV0</v>
          </cell>
          <cell r="BL1199">
            <v>0</v>
          </cell>
          <cell r="BM1199" t="e">
            <v>#N/A</v>
          </cell>
          <cell r="BN1199" t="e">
            <v>#N/A</v>
          </cell>
          <cell r="BO1199" t="str">
            <v>Zero Tax</v>
          </cell>
          <cell r="BP1199">
            <v>9157362</v>
          </cell>
        </row>
        <row r="1200">
          <cell r="BK1200" t="str">
            <v>06AAEFE1763C1ZWTDSMARCH20260</v>
          </cell>
          <cell r="BL1200">
            <v>0</v>
          </cell>
          <cell r="BM1200" t="e">
            <v>#N/A</v>
          </cell>
          <cell r="BN1200" t="e">
            <v>#N/A</v>
          </cell>
          <cell r="BO1200" t="str">
            <v>Zero Tax</v>
          </cell>
          <cell r="BP1200">
            <v>9172108</v>
          </cell>
        </row>
        <row r="1201">
          <cell r="BK1201" t="str">
            <v>01AMAPR5896H1ZVWRITEOFF-41620</v>
          </cell>
          <cell r="BL1201">
            <v>0</v>
          </cell>
          <cell r="BM1201" t="e">
            <v>#N/A</v>
          </cell>
          <cell r="BN1201" t="e">
            <v>#N/A</v>
          </cell>
          <cell r="BO1201" t="str">
            <v>Zero Tax</v>
          </cell>
          <cell r="BP1201">
            <v>9155513</v>
          </cell>
        </row>
        <row r="1202">
          <cell r="BK1202" t="str">
            <v>09AAKFC1201H1ZVMARCHTDS0</v>
          </cell>
          <cell r="BL1202">
            <v>0</v>
          </cell>
          <cell r="BM1202" t="e">
            <v>#N/A</v>
          </cell>
          <cell r="BN1202" t="e">
            <v>#N/A</v>
          </cell>
          <cell r="BO1202" t="str">
            <v>Zero Tax</v>
          </cell>
          <cell r="BP1202">
            <v>9158883</v>
          </cell>
        </row>
        <row r="1203">
          <cell r="BK1203" t="str">
            <v>06AANCR0200R1Z7MARCHTDS0</v>
          </cell>
          <cell r="BL1203">
            <v>0</v>
          </cell>
          <cell r="BM1203" t="e">
            <v>#N/A</v>
          </cell>
          <cell r="BN1203" t="e">
            <v>#N/A</v>
          </cell>
          <cell r="BO1203" t="str">
            <v>Zero Tax</v>
          </cell>
          <cell r="BP1203">
            <v>9157424</v>
          </cell>
        </row>
        <row r="1204">
          <cell r="BK1204" t="str">
            <v>29AACCP7457K2ZSMARCHTDS0</v>
          </cell>
          <cell r="BL1204">
            <v>0</v>
          </cell>
          <cell r="BM1204" t="e">
            <v>#N/A</v>
          </cell>
          <cell r="BN1204" t="e">
            <v>#N/A</v>
          </cell>
          <cell r="BO1204" t="str">
            <v>Zero Tax</v>
          </cell>
          <cell r="BP1204">
            <v>9157445</v>
          </cell>
        </row>
        <row r="1205">
          <cell r="BK1205" t="str">
            <v>07ALWPT1567E1ZJTDS-MAR26-PROV0</v>
          </cell>
          <cell r="BL1205">
            <v>0</v>
          </cell>
          <cell r="BM1205" t="e">
            <v>#N/A</v>
          </cell>
          <cell r="BN1205" t="e">
            <v>#N/A</v>
          </cell>
          <cell r="BO1205" t="str">
            <v>Zero Tax</v>
          </cell>
          <cell r="BP1205">
            <v>9157373</v>
          </cell>
        </row>
        <row r="1206">
          <cell r="BK1206" t="str">
            <v>24AADCS0030Q1ZGTDSMARCH20260</v>
          </cell>
          <cell r="BL1206">
            <v>0</v>
          </cell>
          <cell r="BM1206" t="e">
            <v>#N/A</v>
          </cell>
          <cell r="BN1206" t="e">
            <v>#N/A</v>
          </cell>
          <cell r="BO1206" t="str">
            <v>Zero Tax</v>
          </cell>
          <cell r="BP1206">
            <v>9168438</v>
          </cell>
        </row>
        <row r="1207">
          <cell r="BK1207" t="str">
            <v>29AAECP5056A1ZLTDS-01PROV0</v>
          </cell>
          <cell r="BL1207">
            <v>0</v>
          </cell>
          <cell r="BM1207" t="e">
            <v>#N/A</v>
          </cell>
          <cell r="BN1207" t="e">
            <v>#N/A</v>
          </cell>
          <cell r="BO1207" t="str">
            <v>Zero Tax</v>
          </cell>
          <cell r="BP1207">
            <v>9157081</v>
          </cell>
        </row>
        <row r="1208">
          <cell r="BK1208" t="str">
            <v>24AADCS0030Q1ZGTDSMARCH20260</v>
          </cell>
          <cell r="BL1208">
            <v>0</v>
          </cell>
          <cell r="BM1208" t="e">
            <v>#N/A</v>
          </cell>
          <cell r="BN1208" t="e">
            <v>#N/A</v>
          </cell>
          <cell r="BO1208" t="str">
            <v>Zero Tax</v>
          </cell>
          <cell r="BP1208">
            <v>9168438</v>
          </cell>
        </row>
        <row r="1209">
          <cell r="BK1209" t="str">
            <v>07AABCB5582A1Z1FG00008830-103420</v>
          </cell>
          <cell r="BL1209">
            <v>0</v>
          </cell>
          <cell r="BM1209" t="e">
            <v>#N/A</v>
          </cell>
          <cell r="BN1209" t="e">
            <v>#N/A</v>
          </cell>
          <cell r="BO1209" t="str">
            <v>Zero Tax</v>
          </cell>
          <cell r="BP1209">
            <v>9158556</v>
          </cell>
        </row>
        <row r="1210">
          <cell r="BK1210" t="str">
            <v>27AAACB0446L1ZS2026327R00021506</v>
          </cell>
          <cell r="BL1210">
            <v>1020.34</v>
          </cell>
          <cell r="BM1210">
            <v>1020.34</v>
          </cell>
          <cell r="BN1210">
            <v>0</v>
          </cell>
          <cell r="BO1210" t="str">
            <v>Matched</v>
          </cell>
          <cell r="BP1210">
            <v>9164661</v>
          </cell>
        </row>
        <row r="1211">
          <cell r="BK1211" t="str">
            <v>07AAACB0272G1Z5M2500155</v>
          </cell>
          <cell r="BL1211">
            <v>360</v>
          </cell>
          <cell r="BM1211" t="e">
            <v>#N/A</v>
          </cell>
          <cell r="BN1211" t="e">
            <v>#N/A</v>
          </cell>
          <cell r="BO1211" t="str">
            <v>Not Matched</v>
          </cell>
          <cell r="BP1211">
            <v>9167693</v>
          </cell>
        </row>
        <row r="1212">
          <cell r="BK1212" t="str">
            <v>07AAHCS8324F1ZAMARCHTDS0</v>
          </cell>
          <cell r="BL1212">
            <v>0</v>
          </cell>
          <cell r="BM1212" t="e">
            <v>#N/A</v>
          </cell>
          <cell r="BN1212" t="e">
            <v>#N/A</v>
          </cell>
          <cell r="BO1212" t="str">
            <v>Zero Tax</v>
          </cell>
          <cell r="BP1212">
            <v>9159007</v>
          </cell>
        </row>
        <row r="1213">
          <cell r="BK1213" t="str">
            <v>29AAECP5056A1ZLTDS-01PROV0</v>
          </cell>
          <cell r="BL1213">
            <v>0</v>
          </cell>
          <cell r="BM1213" t="e">
            <v>#N/A</v>
          </cell>
          <cell r="BN1213" t="e">
            <v>#N/A</v>
          </cell>
          <cell r="BO1213" t="str">
            <v>Zero Tax</v>
          </cell>
          <cell r="BP1213">
            <v>9157081</v>
          </cell>
        </row>
        <row r="1214">
          <cell r="BK1214" t="str">
            <v>24AADCS0030Q1ZGTDSMARCH20260</v>
          </cell>
          <cell r="BL1214">
            <v>0</v>
          </cell>
          <cell r="BM1214" t="e">
            <v>#N/A</v>
          </cell>
          <cell r="BN1214" t="e">
            <v>#N/A</v>
          </cell>
          <cell r="BO1214" t="str">
            <v>Zero Tax</v>
          </cell>
          <cell r="BP1214">
            <v>9168438</v>
          </cell>
        </row>
        <row r="1215">
          <cell r="BK1215" t="str">
            <v>06AAICT2573N1ZUTDSPROV010</v>
          </cell>
          <cell r="BL1215">
            <v>0</v>
          </cell>
          <cell r="BM1215" t="e">
            <v>#N/A</v>
          </cell>
          <cell r="BN1215" t="e">
            <v>#N/A</v>
          </cell>
          <cell r="BO1215" t="str">
            <v>Zero Tax</v>
          </cell>
          <cell r="BP1215">
            <v>9163895</v>
          </cell>
        </row>
        <row r="1216">
          <cell r="BK1216" t="str">
            <v>07AAACB0272G1Z5H2500109</v>
          </cell>
          <cell r="BL1216">
            <v>2061</v>
          </cell>
          <cell r="BM1216" t="e">
            <v>#N/A</v>
          </cell>
          <cell r="BN1216" t="e">
            <v>#N/A</v>
          </cell>
          <cell r="BO1216" t="str">
            <v>Not Matched</v>
          </cell>
          <cell r="BP1216">
            <v>9164638</v>
          </cell>
        </row>
        <row r="1217">
          <cell r="BK1217" t="str">
            <v>07AAACB0272G1Z5M2500154</v>
          </cell>
          <cell r="BL1217">
            <v>360</v>
          </cell>
          <cell r="BM1217" t="e">
            <v>#N/A</v>
          </cell>
          <cell r="BN1217" t="e">
            <v>#N/A</v>
          </cell>
          <cell r="BO1217" t="str">
            <v>Not Matched</v>
          </cell>
          <cell r="BP1217">
            <v>9167692</v>
          </cell>
        </row>
        <row r="1218">
          <cell r="BK1218" t="str">
            <v>07AAACE6958L1Z6MARCH2026TDS0</v>
          </cell>
          <cell r="BL1218">
            <v>0</v>
          </cell>
          <cell r="BM1218" t="e">
            <v>#N/A</v>
          </cell>
          <cell r="BN1218" t="e">
            <v>#N/A</v>
          </cell>
          <cell r="BO1218" t="str">
            <v>Zero Tax</v>
          </cell>
          <cell r="BP1218">
            <v>9157279</v>
          </cell>
        </row>
        <row r="1219">
          <cell r="BK1219" t="str">
            <v>MARCHTDS0</v>
          </cell>
          <cell r="BL1219">
            <v>0</v>
          </cell>
          <cell r="BM1219" t="e">
            <v>#N/A</v>
          </cell>
          <cell r="BN1219" t="e">
            <v>#N/A</v>
          </cell>
          <cell r="BO1219" t="str">
            <v>Zero Tax</v>
          </cell>
          <cell r="BP1219">
            <v>9158985</v>
          </cell>
        </row>
        <row r="1220">
          <cell r="BK1220" t="str">
            <v>07AAACM6396E2ZCMARCHTDS0</v>
          </cell>
          <cell r="BL1220">
            <v>0</v>
          </cell>
          <cell r="BM1220" t="e">
            <v>#N/A</v>
          </cell>
          <cell r="BN1220" t="e">
            <v>#N/A</v>
          </cell>
          <cell r="BO1220" t="str">
            <v>Zero Tax</v>
          </cell>
          <cell r="BP1220">
            <v>9159093</v>
          </cell>
        </row>
        <row r="1221">
          <cell r="BK1221" t="str">
            <v>06AABCT0716G1ZRMARCHTDS0</v>
          </cell>
          <cell r="BL1221">
            <v>0</v>
          </cell>
          <cell r="BM1221" t="e">
            <v>#N/A</v>
          </cell>
          <cell r="BN1221" t="e">
            <v>#N/A</v>
          </cell>
          <cell r="BO1221" t="str">
            <v>Zero Tax</v>
          </cell>
          <cell r="BP1221">
            <v>9159097</v>
          </cell>
        </row>
        <row r="1222">
          <cell r="BK1222" t="str">
            <v>ESICMAY200</v>
          </cell>
          <cell r="BL1222">
            <v>0</v>
          </cell>
          <cell r="BM1222" t="e">
            <v>#N/A</v>
          </cell>
          <cell r="BN1222" t="e">
            <v>#N/A</v>
          </cell>
          <cell r="BO1222" t="str">
            <v>Zero Tax</v>
          </cell>
          <cell r="BP1222">
            <v>5127015</v>
          </cell>
        </row>
        <row r="1223">
          <cell r="BK1223" t="str">
            <v>07AAACB0272G1Z5H2500111</v>
          </cell>
          <cell r="BL1223">
            <v>4502.88</v>
          </cell>
          <cell r="BM1223" t="e">
            <v>#N/A</v>
          </cell>
          <cell r="BN1223" t="e">
            <v>#N/A</v>
          </cell>
          <cell r="BO1223" t="str">
            <v>Not Matched</v>
          </cell>
          <cell r="BP1223">
            <v>9164505</v>
          </cell>
        </row>
        <row r="1224">
          <cell r="BK1224" t="str">
            <v>06AABCT0716G1ZRMARCHTDS0</v>
          </cell>
          <cell r="BL1224">
            <v>0</v>
          </cell>
          <cell r="BM1224" t="e">
            <v>#N/A</v>
          </cell>
          <cell r="BN1224" t="e">
            <v>#N/A</v>
          </cell>
          <cell r="BO1224" t="str">
            <v>Zero Tax</v>
          </cell>
          <cell r="BP1224">
            <v>9159097</v>
          </cell>
        </row>
        <row r="1225">
          <cell r="BK1225" t="str">
            <v>19AABFL1894Q1ZKMARCHTDS0</v>
          </cell>
          <cell r="BL1225">
            <v>0</v>
          </cell>
          <cell r="BM1225" t="e">
            <v>#N/A</v>
          </cell>
          <cell r="BN1225" t="e">
            <v>#N/A</v>
          </cell>
          <cell r="BO1225" t="str">
            <v>Zero Tax</v>
          </cell>
          <cell r="BP1225">
            <v>9159695</v>
          </cell>
        </row>
        <row r="1226">
          <cell r="BK1226" t="str">
            <v>MARCHTDS0</v>
          </cell>
          <cell r="BL1226">
            <v>0</v>
          </cell>
          <cell r="BM1226" t="e">
            <v>#N/A</v>
          </cell>
          <cell r="BN1226" t="e">
            <v>#N/A</v>
          </cell>
          <cell r="BO1226" t="str">
            <v>Zero Tax</v>
          </cell>
          <cell r="BP1226">
            <v>9164294</v>
          </cell>
        </row>
        <row r="1227">
          <cell r="BK1227" t="str">
            <v>07AAECR6622C1ZNWRITEOFF-01270</v>
          </cell>
          <cell r="BL1227">
            <v>0</v>
          </cell>
          <cell r="BM1227" t="e">
            <v>#N/A</v>
          </cell>
          <cell r="BN1227" t="e">
            <v>#N/A</v>
          </cell>
          <cell r="BO1227" t="str">
            <v>Zero Tax</v>
          </cell>
          <cell r="BP1227">
            <v>9155532</v>
          </cell>
        </row>
        <row r="1228">
          <cell r="BK1228" t="str">
            <v>29AACCO4128Q1ZWWRITEOFF-ADV0</v>
          </cell>
          <cell r="BL1228">
            <v>0</v>
          </cell>
          <cell r="BM1228" t="e">
            <v>#N/A</v>
          </cell>
          <cell r="BN1228" t="e">
            <v>#N/A</v>
          </cell>
          <cell r="BO1228" t="str">
            <v>Zero Tax</v>
          </cell>
          <cell r="BP1228">
            <v>9155560</v>
          </cell>
        </row>
        <row r="1229">
          <cell r="BK1229" t="str">
            <v>07AAACB0272G1Z5CD250297</v>
          </cell>
          <cell r="BL1229">
            <v>-58.82</v>
          </cell>
          <cell r="BM1229" t="e">
            <v>#N/A</v>
          </cell>
          <cell r="BN1229" t="e">
            <v>#N/A</v>
          </cell>
          <cell r="BO1229" t="str">
            <v>Not Matched</v>
          </cell>
          <cell r="BP1229">
            <v>9168807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659CD0-1D83-405C-9575-2077D134A0DA}">
  <sheetPr codeName=""/>
  <dimension ref="A2:AH979"/>
  <sheetViews>
    <sheetView tabSelected="1" workbookViewId="0" topLeftCell="V1">
      <pane ySplit="3" topLeftCell="A41" activePane="bottomLeft" state="frozen"/>
      <selection pane="topLeft" activeCell="A1" sqref="A1"/>
      <selection pane="bottomLeft" activeCell="Y3" sqref="Y3"/>
    </sheetView>
  </sheetViews>
  <sheetFormatPr defaultColWidth="9.18303571428571" defaultRowHeight="14.5"/>
  <cols>
    <col min="1" max="2" width="9.14285714285714" style="5"/>
    <col min="3" max="4" width="20" style="5" customWidth="1"/>
    <col min="5" max="5" width="16.8571428571429" style="5" customWidth="1"/>
    <col min="6" max="7" width="15.8571428571429" style="5" customWidth="1"/>
    <col min="8" max="20" width="20" style="5" customWidth="1"/>
    <col min="21" max="21" width="9.14285714285714" style="5" customWidth="1"/>
    <col min="22" max="22" width="23.2857142857143" style="5" customWidth="1"/>
    <col min="23" max="23" width="14" style="5" customWidth="1"/>
    <col min="24" max="24" width="19.8571428571429" style="5" customWidth="1"/>
    <col min="25" max="25" width="15.2857142857143" style="5" customWidth="1"/>
    <col min="26" max="16384" width="9.14285714285714" style="5"/>
  </cols>
  <sheetData>
    <row r="2" spans="11:25" ht="14.5">
      <c r="K2" s="5">
        <f>SUBTOTAL(9,K4:K979)</f>
        <v>10922596.180000002</v>
      </c>
      <c r="L2" s="5">
        <f>SUBTOTAL(9,L4:L979)</f>
        <v>124222.90999999999</v>
      </c>
      <c r="M2" s="5">
        <f>SUBTOTAL(9,M4:M979)</f>
        <v>916078.23000000033</v>
      </c>
      <c r="N2" s="5">
        <f>SUBTOTAL(9,N4:N979)</f>
        <v>916078.23000000033</v>
      </c>
      <c r="O2" s="5">
        <f>SUBTOTAL(9,O4:O979)</f>
        <v>0</v>
      </c>
      <c r="Y2" s="12">
        <f>SUBTOTAL(9,Y4:Y979)</f>
        <v>1956379.3700000006</v>
      </c>
    </row>
    <row r="3" spans="1:34" ht="14.5">
      <c r="A3" t="s">
        <v>1749</v>
      </c>
      <c r="B3" t="s">
        <v>1750</v>
      </c>
      <c r="C3" s="8" t="s">
        <v>0</v>
      </c>
      <c r="D3" s="8" t="s">
        <v>1</v>
      </c>
      <c r="E3" s="6" t="s">
        <v>13</v>
      </c>
      <c r="F3" s="6" t="s">
        <v>14</v>
      </c>
      <c r="G3" s="6" t="s">
        <v>15</v>
      </c>
      <c r="H3" s="6" t="s">
        <v>16</v>
      </c>
      <c r="I3" s="8" t="s">
        <v>2</v>
      </c>
      <c r="J3" s="8" t="s">
        <v>3</v>
      </c>
      <c r="K3" s="8" t="s">
        <v>4</v>
      </c>
      <c r="L3" s="6" t="s">
        <v>17</v>
      </c>
      <c r="M3" s="6" t="s">
        <v>18</v>
      </c>
      <c r="N3" s="6" t="s">
        <v>19</v>
      </c>
      <c r="O3" s="6" t="s">
        <v>20</v>
      </c>
      <c r="P3" s="8" t="s">
        <v>5</v>
      </c>
      <c r="Q3" s="8" t="s">
        <v>6</v>
      </c>
      <c r="R3" s="8" t="s">
        <v>7</v>
      </c>
      <c r="S3" s="8" t="s">
        <v>8</v>
      </c>
      <c r="T3" s="8" t="s">
        <v>9</v>
      </c>
      <c r="U3" s="8" t="s">
        <v>10</v>
      </c>
      <c r="V3" s="8" t="s">
        <v>11</v>
      </c>
      <c r="W3" s="8" t="s">
        <v>12</v>
      </c>
      <c r="X3" s="9" t="s">
        <v>1738</v>
      </c>
      <c r="Y3" s="9" t="s">
        <v>1739</v>
      </c>
      <c r="Z3" s="9" t="s">
        <v>1740</v>
      </c>
      <c r="AA3" s="9" t="s">
        <v>1741</v>
      </c>
      <c r="AB3" s="9" t="s">
        <v>1742</v>
      </c>
      <c r="AC3" s="9" t="s">
        <v>1743</v>
      </c>
      <c r="AD3" s="9" t="s">
        <v>1744</v>
      </c>
      <c r="AE3" s="9" t="s">
        <v>1745</v>
      </c>
      <c r="AF3" s="9" t="s">
        <v>1746</v>
      </c>
      <c r="AG3" s="9" t="s">
        <v>1747</v>
      </c>
      <c r="AH3" s="9" t="s">
        <v>1748</v>
      </c>
    </row>
    <row r="4" spans="1:34" ht="14.5" hidden="1">
      <c r="A4" s="5">
        <v>1</v>
      </c>
      <c r="B4" s="5" t="str">
        <f>C4&amp;E4</f>
        <v>27AAACP8376M1ZR9H00234707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2">
        <v>1526</v>
      </c>
      <c r="I4" s="1" t="s">
        <v>26</v>
      </c>
      <c r="J4" s="3" t="s">
        <v>27</v>
      </c>
      <c r="K4" s="2">
        <v>1292.9000000000001</v>
      </c>
      <c r="L4" s="2">
        <v>0</v>
      </c>
      <c r="M4" s="2">
        <v>116.37</v>
      </c>
      <c r="N4" s="2">
        <v>116.37</v>
      </c>
      <c r="O4" s="2">
        <v>0</v>
      </c>
      <c r="P4" s="7" t="s">
        <v>28</v>
      </c>
      <c r="Q4" s="1" t="s">
        <v>29</v>
      </c>
      <c r="R4" s="3" t="s">
        <v>27</v>
      </c>
      <c r="S4" s="1" t="s">
        <v>30</v>
      </c>
      <c r="T4" s="4" t="s">
        <v>31</v>
      </c>
      <c r="U4" s="7" t="s">
        <v>32</v>
      </c>
      <c r="V4" s="7" t="s">
        <v>33</v>
      </c>
      <c r="W4" s="7" t="s">
        <v>25</v>
      </c>
      <c r="X4" s="7" t="s">
        <v>1751</v>
      </c>
      <c r="Y4" s="10">
        <f>L4+M4+N4+O4</f>
        <v>232.74000000000001</v>
      </c>
      <c r="AH4" s="5" t="e">
        <f>VLOOKUP(B4,[1]DL!$BK:$BP,6,0)</f>
        <v>#N/A</v>
      </c>
    </row>
    <row r="5" spans="1:34" ht="14.5" hidden="1">
      <c r="A5" s="5">
        <v>2</v>
      </c>
      <c r="B5" s="5" t="str">
        <f t="shared" si="0" ref="B5:B68">C5&amp;E5</f>
        <v>27AAACP8376M1ZR9H00235066</v>
      </c>
      <c r="C5" s="1" t="s">
        <v>21</v>
      </c>
      <c r="D5" s="1" t="s">
        <v>22</v>
      </c>
      <c r="E5" s="1" t="s">
        <v>34</v>
      </c>
      <c r="F5" s="1" t="s">
        <v>24</v>
      </c>
      <c r="G5" s="1" t="s">
        <v>35</v>
      </c>
      <c r="H5" s="2">
        <v>1526</v>
      </c>
      <c r="I5" s="1" t="s">
        <v>26</v>
      </c>
      <c r="J5" s="3" t="s">
        <v>27</v>
      </c>
      <c r="K5" s="2">
        <v>1292.9000000000001</v>
      </c>
      <c r="L5" s="2">
        <v>0</v>
      </c>
      <c r="M5" s="2">
        <v>116.37</v>
      </c>
      <c r="N5" s="2">
        <v>116.37</v>
      </c>
      <c r="O5" s="2">
        <v>0</v>
      </c>
      <c r="P5" s="7" t="s">
        <v>28</v>
      </c>
      <c r="Q5" s="1" t="s">
        <v>29</v>
      </c>
      <c r="R5" s="3" t="s">
        <v>27</v>
      </c>
      <c r="S5" s="1" t="s">
        <v>30</v>
      </c>
      <c r="T5" s="4" t="s">
        <v>31</v>
      </c>
      <c r="U5" s="7" t="s">
        <v>32</v>
      </c>
      <c r="V5" s="7" t="s">
        <v>36</v>
      </c>
      <c r="W5" s="7" t="s">
        <v>35</v>
      </c>
      <c r="X5" s="7" t="s">
        <v>1751</v>
      </c>
      <c r="Y5" s="10">
        <f t="shared" si="1" ref="Y5:Y68">L5+M5+N5+O5</f>
        <v>232.74000000000001</v>
      </c>
      <c r="AH5" s="5" t="e">
        <f>VLOOKUP(B5,[1]DL!$BK:$BP,6,0)</f>
        <v>#N/A</v>
      </c>
    </row>
    <row r="6" spans="1:34" ht="14.5" hidden="1">
      <c r="A6" s="5">
        <v>3</v>
      </c>
      <c r="B6" s="5" t="str">
        <f t="shared" si="0"/>
        <v>27AAACP8376M1ZR9H00235378</v>
      </c>
      <c r="C6" s="1" t="s">
        <v>21</v>
      </c>
      <c r="D6" s="1" t="s">
        <v>22</v>
      </c>
      <c r="E6" s="1" t="s">
        <v>37</v>
      </c>
      <c r="F6" s="1" t="s">
        <v>24</v>
      </c>
      <c r="G6" s="1" t="s">
        <v>38</v>
      </c>
      <c r="H6" s="2">
        <v>1526</v>
      </c>
      <c r="I6" s="1" t="s">
        <v>26</v>
      </c>
      <c r="J6" s="3" t="s">
        <v>27</v>
      </c>
      <c r="K6" s="2">
        <v>1292.9000000000001</v>
      </c>
      <c r="L6" s="2">
        <v>0</v>
      </c>
      <c r="M6" s="2">
        <v>116.37</v>
      </c>
      <c r="N6" s="2">
        <v>116.37</v>
      </c>
      <c r="O6" s="2">
        <v>0</v>
      </c>
      <c r="P6" s="7" t="s">
        <v>28</v>
      </c>
      <c r="Q6" s="1" t="s">
        <v>29</v>
      </c>
      <c r="R6" s="3" t="s">
        <v>27</v>
      </c>
      <c r="S6" s="1" t="s">
        <v>30</v>
      </c>
      <c r="T6" s="4" t="s">
        <v>31</v>
      </c>
      <c r="U6" s="7" t="s">
        <v>32</v>
      </c>
      <c r="V6" s="7" t="s">
        <v>39</v>
      </c>
      <c r="W6" s="7" t="s">
        <v>38</v>
      </c>
      <c r="X6" s="7" t="s">
        <v>1751</v>
      </c>
      <c r="Y6" s="10">
        <f t="shared" si="1"/>
        <v>232.74000000000001</v>
      </c>
      <c r="AH6" s="5" t="e">
        <f>VLOOKUP(B6,[1]DL!$BK:$BP,6,0)</f>
        <v>#N/A</v>
      </c>
    </row>
    <row r="7" spans="1:34" ht="14.5" hidden="1">
      <c r="A7" s="5">
        <v>4</v>
      </c>
      <c r="B7" s="5" t="str">
        <f t="shared" si="0"/>
        <v>06AHIPN8594R1Z62026-27/CL/11</v>
      </c>
      <c r="C7" s="1" t="s">
        <v>40</v>
      </c>
      <c r="D7" s="1" t="s">
        <v>41</v>
      </c>
      <c r="E7" s="1" t="s">
        <v>42</v>
      </c>
      <c r="F7" s="1" t="s">
        <v>24</v>
      </c>
      <c r="G7" s="1" t="s">
        <v>43</v>
      </c>
      <c r="H7" s="2">
        <v>56640</v>
      </c>
      <c r="I7" s="1" t="s">
        <v>44</v>
      </c>
      <c r="J7" s="3" t="s">
        <v>27</v>
      </c>
      <c r="K7" s="2">
        <v>48000</v>
      </c>
      <c r="L7" s="2">
        <v>8640</v>
      </c>
      <c r="M7" s="2">
        <v>0</v>
      </c>
      <c r="N7" s="2">
        <v>0</v>
      </c>
      <c r="O7" s="2">
        <v>0</v>
      </c>
      <c r="P7" s="7" t="s">
        <v>28</v>
      </c>
      <c r="Q7" s="1" t="s">
        <v>29</v>
      </c>
      <c r="R7" s="3" t="s">
        <v>45</v>
      </c>
      <c r="S7" s="1" t="s">
        <v>46</v>
      </c>
      <c r="T7" s="4" t="s">
        <v>31</v>
      </c>
      <c r="U7" s="7" t="s">
        <v>46</v>
      </c>
      <c r="V7" s="7" t="s">
        <v>46</v>
      </c>
      <c r="W7" s="7" t="s">
        <v>46</v>
      </c>
      <c r="X7" s="7" t="s">
        <v>1751</v>
      </c>
      <c r="Y7" s="10">
        <f t="shared" si="1"/>
        <v>8640</v>
      </c>
      <c r="AH7" s="5" t="e">
        <f>VLOOKUP(B7,[1]DL!$BK:$BP,6,0)</f>
        <v>#N/A</v>
      </c>
    </row>
    <row r="8" spans="1:34" ht="14.5" hidden="1">
      <c r="A8" s="5">
        <v>5</v>
      </c>
      <c r="B8" s="5" t="str">
        <f t="shared" si="0"/>
        <v>06AHIPN8594R1Z62026-27/CL/12</v>
      </c>
      <c r="C8" s="1" t="s">
        <v>40</v>
      </c>
      <c r="D8" s="1" t="s">
        <v>41</v>
      </c>
      <c r="E8" s="1" t="s">
        <v>47</v>
      </c>
      <c r="F8" s="1" t="s">
        <v>24</v>
      </c>
      <c r="G8" s="1" t="s">
        <v>43</v>
      </c>
      <c r="H8" s="2">
        <v>17747.20</v>
      </c>
      <c r="I8" s="1" t="s">
        <v>44</v>
      </c>
      <c r="J8" s="3" t="s">
        <v>27</v>
      </c>
      <c r="K8" s="2">
        <v>15040</v>
      </c>
      <c r="L8" s="2">
        <v>2707.20</v>
      </c>
      <c r="M8" s="2">
        <v>0</v>
      </c>
      <c r="N8" s="2">
        <v>0</v>
      </c>
      <c r="O8" s="2">
        <v>0</v>
      </c>
      <c r="P8" s="7" t="s">
        <v>28</v>
      </c>
      <c r="Q8" s="1" t="s">
        <v>29</v>
      </c>
      <c r="R8" s="3" t="s">
        <v>45</v>
      </c>
      <c r="S8" s="1" t="s">
        <v>46</v>
      </c>
      <c r="T8" s="4" t="s">
        <v>31</v>
      </c>
      <c r="U8" s="7" t="s">
        <v>46</v>
      </c>
      <c r="V8" s="7" t="s">
        <v>46</v>
      </c>
      <c r="W8" s="7" t="s">
        <v>46</v>
      </c>
      <c r="X8" s="7" t="s">
        <v>1751</v>
      </c>
      <c r="Y8" s="10">
        <f t="shared" si="1"/>
        <v>2707.1999999999998</v>
      </c>
      <c r="AH8" s="5" t="e">
        <f>VLOOKUP(B8,[1]DL!$BK:$BP,6,0)</f>
        <v>#N/A</v>
      </c>
    </row>
    <row r="9" spans="1:34" ht="14.5" hidden="1">
      <c r="A9" s="5">
        <v>6</v>
      </c>
      <c r="B9" s="5" t="str">
        <f t="shared" si="0"/>
        <v>06AHIPN8594R1Z62026-27/CL/13</v>
      </c>
      <c r="C9" s="1" t="s">
        <v>40</v>
      </c>
      <c r="D9" s="1" t="s">
        <v>41</v>
      </c>
      <c r="E9" s="1" t="s">
        <v>48</v>
      </c>
      <c r="F9" s="1" t="s">
        <v>24</v>
      </c>
      <c r="G9" s="1" t="s">
        <v>43</v>
      </c>
      <c r="H9" s="2">
        <v>196204.5</v>
      </c>
      <c r="I9" s="1" t="s">
        <v>44</v>
      </c>
      <c r="J9" s="3" t="s">
        <v>27</v>
      </c>
      <c r="K9" s="2">
        <v>166275</v>
      </c>
      <c r="L9" s="2">
        <v>29929.5</v>
      </c>
      <c r="M9" s="2">
        <v>0</v>
      </c>
      <c r="N9" s="2">
        <v>0</v>
      </c>
      <c r="O9" s="2">
        <v>0</v>
      </c>
      <c r="P9" s="7" t="s">
        <v>28</v>
      </c>
      <c r="Q9" s="1" t="s">
        <v>29</v>
      </c>
      <c r="R9" s="3" t="s">
        <v>45</v>
      </c>
      <c r="S9" s="1" t="s">
        <v>46</v>
      </c>
      <c r="T9" s="4" t="s">
        <v>31</v>
      </c>
      <c r="U9" s="7" t="s">
        <v>46</v>
      </c>
      <c r="V9" s="7" t="s">
        <v>46</v>
      </c>
      <c r="W9" s="7" t="s">
        <v>46</v>
      </c>
      <c r="X9" s="7" t="s">
        <v>1751</v>
      </c>
      <c r="Y9" s="10">
        <f t="shared" si="1"/>
        <v>29929.5</v>
      </c>
      <c r="AH9" s="5" t="e">
        <f>VLOOKUP(B9,[1]DL!$BK:$BP,6,0)</f>
        <v>#N/A</v>
      </c>
    </row>
    <row r="10" spans="1:34" ht="14.5" hidden="1">
      <c r="A10" s="5">
        <v>7</v>
      </c>
      <c r="B10" s="5" t="str">
        <f t="shared" si="0"/>
        <v>06AHIPN8594R1Z62026-27/CL/14</v>
      </c>
      <c r="C10" s="1" t="s">
        <v>40</v>
      </c>
      <c r="D10" s="1" t="s">
        <v>41</v>
      </c>
      <c r="E10" s="1" t="s">
        <v>49</v>
      </c>
      <c r="F10" s="1" t="s">
        <v>24</v>
      </c>
      <c r="G10" s="1" t="s">
        <v>50</v>
      </c>
      <c r="H10" s="2">
        <v>87910</v>
      </c>
      <c r="I10" s="1" t="s">
        <v>44</v>
      </c>
      <c r="J10" s="3" t="s">
        <v>27</v>
      </c>
      <c r="K10" s="2">
        <v>74500</v>
      </c>
      <c r="L10" s="2">
        <v>13410</v>
      </c>
      <c r="M10" s="2">
        <v>0</v>
      </c>
      <c r="N10" s="2">
        <v>0</v>
      </c>
      <c r="O10" s="2">
        <v>0</v>
      </c>
      <c r="P10" s="7" t="s">
        <v>28</v>
      </c>
      <c r="Q10" s="1" t="s">
        <v>29</v>
      </c>
      <c r="R10" s="3" t="s">
        <v>45</v>
      </c>
      <c r="S10" s="1" t="s">
        <v>46</v>
      </c>
      <c r="T10" s="4" t="s">
        <v>31</v>
      </c>
      <c r="U10" s="7" t="s">
        <v>46</v>
      </c>
      <c r="V10" s="7" t="s">
        <v>46</v>
      </c>
      <c r="W10" s="7" t="s">
        <v>46</v>
      </c>
      <c r="X10" s="7" t="s">
        <v>1751</v>
      </c>
      <c r="Y10" s="10">
        <f t="shared" si="1"/>
        <v>13410</v>
      </c>
      <c r="AH10" s="5" t="e">
        <f>VLOOKUP(B10,[1]DL!$BK:$BP,6,0)</f>
        <v>#N/A</v>
      </c>
    </row>
    <row r="11" spans="1:34" ht="14.5" hidden="1">
      <c r="A11" s="5">
        <v>8</v>
      </c>
      <c r="B11" s="5" t="str">
        <f t="shared" si="0"/>
        <v>06AHIPN8594R1Z62026-27/CL/15</v>
      </c>
      <c r="C11" s="1" t="s">
        <v>40</v>
      </c>
      <c r="D11" s="1" t="s">
        <v>41</v>
      </c>
      <c r="E11" s="1" t="s">
        <v>51</v>
      </c>
      <c r="F11" s="1" t="s">
        <v>24</v>
      </c>
      <c r="G11" s="1" t="s">
        <v>52</v>
      </c>
      <c r="H11" s="2">
        <v>785880</v>
      </c>
      <c r="I11" s="1" t="s">
        <v>44</v>
      </c>
      <c r="J11" s="3" t="s">
        <v>27</v>
      </c>
      <c r="K11" s="2">
        <v>666000</v>
      </c>
      <c r="L11" s="2">
        <v>119880</v>
      </c>
      <c r="M11" s="2">
        <v>0</v>
      </c>
      <c r="N11" s="2">
        <v>0</v>
      </c>
      <c r="O11" s="2">
        <v>0</v>
      </c>
      <c r="P11" s="7" t="s">
        <v>28</v>
      </c>
      <c r="Q11" s="1" t="s">
        <v>29</v>
      </c>
      <c r="R11" s="3" t="s">
        <v>45</v>
      </c>
      <c r="S11" s="1" t="s">
        <v>46</v>
      </c>
      <c r="T11" s="4" t="s">
        <v>31</v>
      </c>
      <c r="U11" s="7" t="s">
        <v>46</v>
      </c>
      <c r="V11" s="7" t="s">
        <v>46</v>
      </c>
      <c r="W11" s="7" t="s">
        <v>46</v>
      </c>
      <c r="X11" s="7" t="s">
        <v>1751</v>
      </c>
      <c r="Y11" s="10">
        <f t="shared" si="1"/>
        <v>119880</v>
      </c>
      <c r="AH11" s="5" t="e">
        <f>VLOOKUP(B11,[1]DL!$BK:$BP,6,0)</f>
        <v>#N/A</v>
      </c>
    </row>
    <row r="12" spans="1:34" ht="14.5" hidden="1">
      <c r="A12" s="5">
        <v>9</v>
      </c>
      <c r="B12" s="5" t="str">
        <f t="shared" si="0"/>
        <v>06AHIPN8594R1Z62026-27/CL11</v>
      </c>
      <c r="C12" s="1" t="s">
        <v>40</v>
      </c>
      <c r="D12" s="1" t="s">
        <v>41</v>
      </c>
      <c r="E12" s="1" t="s">
        <v>53</v>
      </c>
      <c r="F12" s="1" t="s">
        <v>24</v>
      </c>
      <c r="G12" s="1" t="s">
        <v>54</v>
      </c>
      <c r="H12" s="2">
        <v>50150</v>
      </c>
      <c r="I12" s="1" t="s">
        <v>44</v>
      </c>
      <c r="J12" s="3" t="s">
        <v>27</v>
      </c>
      <c r="K12" s="2">
        <v>42500</v>
      </c>
      <c r="L12" s="2">
        <v>7650</v>
      </c>
      <c r="M12" s="2">
        <v>0</v>
      </c>
      <c r="N12" s="2">
        <v>0</v>
      </c>
      <c r="O12" s="2">
        <v>0</v>
      </c>
      <c r="P12" s="7" t="s">
        <v>28</v>
      </c>
      <c r="Q12" s="1" t="s">
        <v>29</v>
      </c>
      <c r="R12" s="3" t="s">
        <v>45</v>
      </c>
      <c r="S12" s="1" t="s">
        <v>46</v>
      </c>
      <c r="T12" s="4" t="s">
        <v>31</v>
      </c>
      <c r="U12" s="7" t="s">
        <v>46</v>
      </c>
      <c r="V12" s="7" t="s">
        <v>46</v>
      </c>
      <c r="W12" s="7" t="s">
        <v>46</v>
      </c>
      <c r="X12" s="7" t="s">
        <v>1751</v>
      </c>
      <c r="Y12" s="10">
        <f t="shared" si="1"/>
        <v>7650</v>
      </c>
      <c r="AH12" s="5" t="e">
        <f>VLOOKUP(B12,[1]DL!$BK:$BP,6,0)</f>
        <v>#N/A</v>
      </c>
    </row>
    <row r="13" spans="1:34" ht="14.5" hidden="1">
      <c r="A13" s="5">
        <v>10</v>
      </c>
      <c r="B13" s="5" t="str">
        <f t="shared" si="0"/>
        <v>06AHIPN8594R1Z62026-27/CL110</v>
      </c>
      <c r="C13" s="1" t="s">
        <v>40</v>
      </c>
      <c r="D13" s="1" t="s">
        <v>41</v>
      </c>
      <c r="E13" s="1" t="s">
        <v>55</v>
      </c>
      <c r="F13" s="1" t="s">
        <v>24</v>
      </c>
      <c r="G13" s="1" t="s">
        <v>43</v>
      </c>
      <c r="H13" s="2">
        <v>15812</v>
      </c>
      <c r="I13" s="1" t="s">
        <v>44</v>
      </c>
      <c r="J13" s="3" t="s">
        <v>27</v>
      </c>
      <c r="K13" s="2">
        <v>13400</v>
      </c>
      <c r="L13" s="2">
        <v>2412</v>
      </c>
      <c r="M13" s="2">
        <v>0</v>
      </c>
      <c r="N13" s="2">
        <v>0</v>
      </c>
      <c r="O13" s="2">
        <v>0</v>
      </c>
      <c r="P13" s="7" t="s">
        <v>28</v>
      </c>
      <c r="Q13" s="1" t="s">
        <v>29</v>
      </c>
      <c r="R13" s="3" t="s">
        <v>45</v>
      </c>
      <c r="S13" s="1" t="s">
        <v>46</v>
      </c>
      <c r="T13" s="4" t="s">
        <v>31</v>
      </c>
      <c r="U13" s="7" t="s">
        <v>46</v>
      </c>
      <c r="V13" s="7" t="s">
        <v>46</v>
      </c>
      <c r="W13" s="7" t="s">
        <v>46</v>
      </c>
      <c r="X13" s="7" t="s">
        <v>1751</v>
      </c>
      <c r="Y13" s="10">
        <f t="shared" si="1"/>
        <v>2412</v>
      </c>
      <c r="AH13" s="5" t="e">
        <f>VLOOKUP(B13,[1]DL!$BK:$BP,6,0)</f>
        <v>#N/A</v>
      </c>
    </row>
    <row r="14" spans="1:34" ht="14.5" hidden="1">
      <c r="A14" s="5">
        <v>11</v>
      </c>
      <c r="B14" s="5" t="str">
        <f t="shared" si="0"/>
        <v>06AHIPN8594R1Z62026-27/CL111</v>
      </c>
      <c r="C14" s="1" t="s">
        <v>40</v>
      </c>
      <c r="D14" s="1" t="s">
        <v>41</v>
      </c>
      <c r="E14" s="1" t="s">
        <v>56</v>
      </c>
      <c r="F14" s="1" t="s">
        <v>24</v>
      </c>
      <c r="G14" s="1" t="s">
        <v>43</v>
      </c>
      <c r="H14" s="2">
        <v>16520</v>
      </c>
      <c r="I14" s="1" t="s">
        <v>44</v>
      </c>
      <c r="J14" s="3" t="s">
        <v>27</v>
      </c>
      <c r="K14" s="2">
        <v>14000</v>
      </c>
      <c r="L14" s="2">
        <v>2520</v>
      </c>
      <c r="M14" s="2">
        <v>0</v>
      </c>
      <c r="N14" s="2">
        <v>0</v>
      </c>
      <c r="O14" s="2">
        <v>0</v>
      </c>
      <c r="P14" s="7" t="s">
        <v>28</v>
      </c>
      <c r="Q14" s="1" t="s">
        <v>29</v>
      </c>
      <c r="R14" s="3" t="s">
        <v>45</v>
      </c>
      <c r="S14" s="1" t="s">
        <v>46</v>
      </c>
      <c r="T14" s="4" t="s">
        <v>31</v>
      </c>
      <c r="U14" s="7" t="s">
        <v>46</v>
      </c>
      <c r="V14" s="7" t="s">
        <v>46</v>
      </c>
      <c r="W14" s="7" t="s">
        <v>46</v>
      </c>
      <c r="X14" s="7" t="s">
        <v>1751</v>
      </c>
      <c r="Y14" s="10">
        <f t="shared" si="1"/>
        <v>2520</v>
      </c>
      <c r="AH14" s="5" t="e">
        <f>VLOOKUP(B14,[1]DL!$BK:$BP,6,0)</f>
        <v>#N/A</v>
      </c>
    </row>
    <row r="15" spans="1:34" ht="14.5" hidden="1">
      <c r="A15" s="5">
        <v>12</v>
      </c>
      <c r="B15" s="5" t="str">
        <f t="shared" si="0"/>
        <v>06AHIPN8594R1Z62026-27/CL112</v>
      </c>
      <c r="C15" s="1" t="s">
        <v>40</v>
      </c>
      <c r="D15" s="1" t="s">
        <v>41</v>
      </c>
      <c r="E15" s="1" t="s">
        <v>57</v>
      </c>
      <c r="F15" s="1" t="s">
        <v>24</v>
      </c>
      <c r="G15" s="1" t="s">
        <v>43</v>
      </c>
      <c r="H15" s="2">
        <v>2950</v>
      </c>
      <c r="I15" s="1" t="s">
        <v>44</v>
      </c>
      <c r="J15" s="3" t="s">
        <v>27</v>
      </c>
      <c r="K15" s="2">
        <v>2500</v>
      </c>
      <c r="L15" s="2">
        <v>450</v>
      </c>
      <c r="M15" s="2">
        <v>0</v>
      </c>
      <c r="N15" s="2">
        <v>0</v>
      </c>
      <c r="O15" s="2">
        <v>0</v>
      </c>
      <c r="P15" s="7" t="s">
        <v>28</v>
      </c>
      <c r="Q15" s="1" t="s">
        <v>29</v>
      </c>
      <c r="R15" s="3" t="s">
        <v>45</v>
      </c>
      <c r="S15" s="1" t="s">
        <v>46</v>
      </c>
      <c r="T15" s="4" t="s">
        <v>31</v>
      </c>
      <c r="U15" s="7" t="s">
        <v>46</v>
      </c>
      <c r="V15" s="7" t="s">
        <v>46</v>
      </c>
      <c r="W15" s="7" t="s">
        <v>46</v>
      </c>
      <c r="X15" s="7" t="s">
        <v>1751</v>
      </c>
      <c r="Y15" s="10">
        <f t="shared" si="1"/>
        <v>450</v>
      </c>
      <c r="AH15" s="5" t="e">
        <f>VLOOKUP(B15,[1]DL!$BK:$BP,6,0)</f>
        <v>#N/A</v>
      </c>
    </row>
    <row r="16" spans="1:34" ht="14.5" hidden="1">
      <c r="A16" s="5">
        <v>13</v>
      </c>
      <c r="B16" s="5" t="str">
        <f t="shared" si="0"/>
        <v>06AHIPN8594R1Z62026-27/CL113</v>
      </c>
      <c r="C16" s="1" t="s">
        <v>40</v>
      </c>
      <c r="D16" s="1" t="s">
        <v>41</v>
      </c>
      <c r="E16" s="1" t="s">
        <v>58</v>
      </c>
      <c r="F16" s="1" t="s">
        <v>24</v>
      </c>
      <c r="G16" s="1" t="s">
        <v>43</v>
      </c>
      <c r="H16" s="2">
        <v>4167.76</v>
      </c>
      <c r="I16" s="1" t="s">
        <v>44</v>
      </c>
      <c r="J16" s="3" t="s">
        <v>27</v>
      </c>
      <c r="K16" s="2">
        <v>3532</v>
      </c>
      <c r="L16" s="2">
        <v>635.76</v>
      </c>
      <c r="M16" s="2">
        <v>0</v>
      </c>
      <c r="N16" s="2">
        <v>0</v>
      </c>
      <c r="O16" s="2">
        <v>0</v>
      </c>
      <c r="P16" s="7" t="s">
        <v>28</v>
      </c>
      <c r="Q16" s="1" t="s">
        <v>29</v>
      </c>
      <c r="R16" s="3" t="s">
        <v>45</v>
      </c>
      <c r="S16" s="1" t="s">
        <v>46</v>
      </c>
      <c r="T16" s="4" t="s">
        <v>31</v>
      </c>
      <c r="U16" s="7" t="s">
        <v>46</v>
      </c>
      <c r="V16" s="7" t="s">
        <v>46</v>
      </c>
      <c r="W16" s="7" t="s">
        <v>46</v>
      </c>
      <c r="X16" s="7" t="s">
        <v>1751</v>
      </c>
      <c r="Y16" s="10">
        <f t="shared" si="1"/>
        <v>635.75999999999999</v>
      </c>
      <c r="AH16" s="5" t="e">
        <f>VLOOKUP(B16,[1]DL!$BK:$BP,6,0)</f>
        <v>#N/A</v>
      </c>
    </row>
    <row r="17" spans="1:34" ht="14.5" hidden="1">
      <c r="A17" s="5">
        <v>14</v>
      </c>
      <c r="B17" s="5" t="str">
        <f t="shared" si="0"/>
        <v>06AHIPN8594R1Z62026-27/CL114</v>
      </c>
      <c r="C17" s="1" t="s">
        <v>40</v>
      </c>
      <c r="D17" s="1" t="s">
        <v>41</v>
      </c>
      <c r="E17" s="1" t="s">
        <v>59</v>
      </c>
      <c r="F17" s="1" t="s">
        <v>24</v>
      </c>
      <c r="G17" s="1" t="s">
        <v>43</v>
      </c>
      <c r="H17" s="2">
        <v>416.54</v>
      </c>
      <c r="I17" s="1" t="s">
        <v>44</v>
      </c>
      <c r="J17" s="3" t="s">
        <v>27</v>
      </c>
      <c r="K17" s="2">
        <v>353</v>
      </c>
      <c r="L17" s="2">
        <v>63.54</v>
      </c>
      <c r="M17" s="2">
        <v>0</v>
      </c>
      <c r="N17" s="2">
        <v>0</v>
      </c>
      <c r="O17" s="2">
        <v>0</v>
      </c>
      <c r="P17" s="7" t="s">
        <v>28</v>
      </c>
      <c r="Q17" s="1" t="s">
        <v>29</v>
      </c>
      <c r="R17" s="3" t="s">
        <v>45</v>
      </c>
      <c r="S17" s="1" t="s">
        <v>46</v>
      </c>
      <c r="T17" s="4" t="s">
        <v>31</v>
      </c>
      <c r="U17" s="7" t="s">
        <v>46</v>
      </c>
      <c r="V17" s="7" t="s">
        <v>46</v>
      </c>
      <c r="W17" s="7" t="s">
        <v>46</v>
      </c>
      <c r="X17" s="7" t="s">
        <v>1751</v>
      </c>
      <c r="Y17" s="10">
        <f t="shared" si="1"/>
        <v>63.539999999999999</v>
      </c>
      <c r="AH17" s="5" t="e">
        <f>VLOOKUP(B17,[1]DL!$BK:$BP,6,0)</f>
        <v>#N/A</v>
      </c>
    </row>
    <row r="18" spans="1:34" ht="14.5" hidden="1">
      <c r="A18" s="5">
        <v>15</v>
      </c>
      <c r="B18" s="5" t="str">
        <f t="shared" si="0"/>
        <v>06AHIPN8594R1Z62026-27/CL115</v>
      </c>
      <c r="C18" s="1" t="s">
        <v>40</v>
      </c>
      <c r="D18" s="1" t="s">
        <v>41</v>
      </c>
      <c r="E18" s="1" t="s">
        <v>60</v>
      </c>
      <c r="F18" s="1" t="s">
        <v>24</v>
      </c>
      <c r="G18" s="1" t="s">
        <v>43</v>
      </c>
      <c r="H18" s="2">
        <v>14278</v>
      </c>
      <c r="I18" s="1" t="s">
        <v>44</v>
      </c>
      <c r="J18" s="3" t="s">
        <v>27</v>
      </c>
      <c r="K18" s="2">
        <v>12100</v>
      </c>
      <c r="L18" s="2">
        <v>2178</v>
      </c>
      <c r="M18" s="2">
        <v>0</v>
      </c>
      <c r="N18" s="2">
        <v>0</v>
      </c>
      <c r="O18" s="2">
        <v>0</v>
      </c>
      <c r="P18" s="7" t="s">
        <v>28</v>
      </c>
      <c r="Q18" s="1" t="s">
        <v>29</v>
      </c>
      <c r="R18" s="3" t="s">
        <v>45</v>
      </c>
      <c r="S18" s="1" t="s">
        <v>46</v>
      </c>
      <c r="T18" s="4" t="s">
        <v>31</v>
      </c>
      <c r="U18" s="7" t="s">
        <v>46</v>
      </c>
      <c r="V18" s="7" t="s">
        <v>46</v>
      </c>
      <c r="W18" s="7" t="s">
        <v>46</v>
      </c>
      <c r="X18" s="7" t="s">
        <v>1751</v>
      </c>
      <c r="Y18" s="10">
        <f t="shared" si="1"/>
        <v>2178</v>
      </c>
      <c r="AH18" s="5" t="e">
        <f>VLOOKUP(B18,[1]DL!$BK:$BP,6,0)</f>
        <v>#N/A</v>
      </c>
    </row>
    <row r="19" spans="1:34" ht="14.5" hidden="1">
      <c r="A19" s="5">
        <v>16</v>
      </c>
      <c r="B19" s="5" t="str">
        <f t="shared" si="0"/>
        <v>06AHIPN8594R1Z62026-27/CL116</v>
      </c>
      <c r="C19" s="1" t="s">
        <v>40</v>
      </c>
      <c r="D19" s="1" t="s">
        <v>41</v>
      </c>
      <c r="E19" s="1" t="s">
        <v>61</v>
      </c>
      <c r="F19" s="1" t="s">
        <v>24</v>
      </c>
      <c r="G19" s="1" t="s">
        <v>43</v>
      </c>
      <c r="H19" s="2">
        <v>5310</v>
      </c>
      <c r="I19" s="1" t="s">
        <v>44</v>
      </c>
      <c r="J19" s="3" t="s">
        <v>27</v>
      </c>
      <c r="K19" s="2">
        <v>4500</v>
      </c>
      <c r="L19" s="2">
        <v>810</v>
      </c>
      <c r="M19" s="2">
        <v>0</v>
      </c>
      <c r="N19" s="2">
        <v>0</v>
      </c>
      <c r="O19" s="2">
        <v>0</v>
      </c>
      <c r="P19" s="7" t="s">
        <v>28</v>
      </c>
      <c r="Q19" s="1" t="s">
        <v>29</v>
      </c>
      <c r="R19" s="3" t="s">
        <v>45</v>
      </c>
      <c r="S19" s="1" t="s">
        <v>46</v>
      </c>
      <c r="T19" s="4" t="s">
        <v>31</v>
      </c>
      <c r="U19" s="7" t="s">
        <v>46</v>
      </c>
      <c r="V19" s="7" t="s">
        <v>46</v>
      </c>
      <c r="W19" s="7" t="s">
        <v>46</v>
      </c>
      <c r="X19" s="7" t="s">
        <v>1751</v>
      </c>
      <c r="Y19" s="10">
        <f t="shared" si="1"/>
        <v>810</v>
      </c>
      <c r="AH19" s="5" t="e">
        <f>VLOOKUP(B19,[1]DL!$BK:$BP,6,0)</f>
        <v>#N/A</v>
      </c>
    </row>
    <row r="20" spans="1:34" ht="14.5" hidden="1">
      <c r="A20" s="5">
        <v>17</v>
      </c>
      <c r="B20" s="5" t="str">
        <f t="shared" si="0"/>
        <v>06AHIPN8594R1Z62026-27/CL117</v>
      </c>
      <c r="C20" s="1" t="s">
        <v>40</v>
      </c>
      <c r="D20" s="1" t="s">
        <v>41</v>
      </c>
      <c r="E20" s="1" t="s">
        <v>62</v>
      </c>
      <c r="F20" s="1" t="s">
        <v>24</v>
      </c>
      <c r="G20" s="1" t="s">
        <v>43</v>
      </c>
      <c r="H20" s="2">
        <v>38350</v>
      </c>
      <c r="I20" s="1" t="s">
        <v>44</v>
      </c>
      <c r="J20" s="3" t="s">
        <v>27</v>
      </c>
      <c r="K20" s="2">
        <v>32500</v>
      </c>
      <c r="L20" s="2">
        <v>5850</v>
      </c>
      <c r="M20" s="2">
        <v>0</v>
      </c>
      <c r="N20" s="2">
        <v>0</v>
      </c>
      <c r="O20" s="2">
        <v>0</v>
      </c>
      <c r="P20" s="7" t="s">
        <v>28</v>
      </c>
      <c r="Q20" s="1" t="s">
        <v>29</v>
      </c>
      <c r="R20" s="3" t="s">
        <v>45</v>
      </c>
      <c r="S20" s="1" t="s">
        <v>46</v>
      </c>
      <c r="T20" s="4" t="s">
        <v>31</v>
      </c>
      <c r="U20" s="7" t="s">
        <v>46</v>
      </c>
      <c r="V20" s="7" t="s">
        <v>46</v>
      </c>
      <c r="W20" s="7" t="s">
        <v>46</v>
      </c>
      <c r="X20" s="7" t="s">
        <v>1751</v>
      </c>
      <c r="Y20" s="10">
        <f t="shared" si="1"/>
        <v>5850</v>
      </c>
      <c r="AH20" s="5" t="e">
        <f>VLOOKUP(B20,[1]DL!$BK:$BP,6,0)</f>
        <v>#N/A</v>
      </c>
    </row>
    <row r="21" spans="1:34" ht="14.5" hidden="1">
      <c r="A21" s="5">
        <v>18</v>
      </c>
      <c r="B21" s="5" t="str">
        <f t="shared" si="0"/>
        <v>06AHIPN8594R1Z62026-27/CL118</v>
      </c>
      <c r="C21" s="1" t="s">
        <v>40</v>
      </c>
      <c r="D21" s="1" t="s">
        <v>41</v>
      </c>
      <c r="E21" s="1" t="s">
        <v>63</v>
      </c>
      <c r="F21" s="1" t="s">
        <v>24</v>
      </c>
      <c r="G21" s="1" t="s">
        <v>43</v>
      </c>
      <c r="H21" s="2">
        <v>41359</v>
      </c>
      <c r="I21" s="1" t="s">
        <v>44</v>
      </c>
      <c r="J21" s="3" t="s">
        <v>27</v>
      </c>
      <c r="K21" s="2">
        <v>35050</v>
      </c>
      <c r="L21" s="2">
        <v>6309</v>
      </c>
      <c r="M21" s="2">
        <v>0</v>
      </c>
      <c r="N21" s="2">
        <v>0</v>
      </c>
      <c r="O21" s="2">
        <v>0</v>
      </c>
      <c r="P21" s="7" t="s">
        <v>28</v>
      </c>
      <c r="Q21" s="1" t="s">
        <v>29</v>
      </c>
      <c r="R21" s="3" t="s">
        <v>45</v>
      </c>
      <c r="S21" s="1" t="s">
        <v>46</v>
      </c>
      <c r="T21" s="4" t="s">
        <v>31</v>
      </c>
      <c r="U21" s="7" t="s">
        <v>46</v>
      </c>
      <c r="V21" s="7" t="s">
        <v>46</v>
      </c>
      <c r="W21" s="7" t="s">
        <v>46</v>
      </c>
      <c r="X21" s="7" t="s">
        <v>1751</v>
      </c>
      <c r="Y21" s="10">
        <f t="shared" si="1"/>
        <v>6309</v>
      </c>
      <c r="AH21" s="5" t="e">
        <f>VLOOKUP(B21,[1]DL!$BK:$BP,6,0)</f>
        <v>#N/A</v>
      </c>
    </row>
    <row r="22" spans="1:34" ht="14.5" hidden="1">
      <c r="A22" s="5">
        <v>19</v>
      </c>
      <c r="B22" s="5" t="str">
        <f t="shared" si="0"/>
        <v>06AHIPN8594R1Z62026-27/CL12</v>
      </c>
      <c r="C22" s="1" t="s">
        <v>40</v>
      </c>
      <c r="D22" s="1" t="s">
        <v>41</v>
      </c>
      <c r="E22" s="1" t="s">
        <v>64</v>
      </c>
      <c r="F22" s="1" t="s">
        <v>24</v>
      </c>
      <c r="G22" s="1" t="s">
        <v>54</v>
      </c>
      <c r="H22" s="2">
        <v>11800</v>
      </c>
      <c r="I22" s="1" t="s">
        <v>44</v>
      </c>
      <c r="J22" s="3" t="s">
        <v>27</v>
      </c>
      <c r="K22" s="2">
        <v>10000</v>
      </c>
      <c r="L22" s="2">
        <v>1800</v>
      </c>
      <c r="M22" s="2">
        <v>0</v>
      </c>
      <c r="N22" s="2">
        <v>0</v>
      </c>
      <c r="O22" s="2">
        <v>0</v>
      </c>
      <c r="P22" s="7" t="s">
        <v>28</v>
      </c>
      <c r="Q22" s="1" t="s">
        <v>29</v>
      </c>
      <c r="R22" s="3" t="s">
        <v>45</v>
      </c>
      <c r="S22" s="1" t="s">
        <v>46</v>
      </c>
      <c r="T22" s="4" t="s">
        <v>31</v>
      </c>
      <c r="U22" s="7" t="s">
        <v>46</v>
      </c>
      <c r="V22" s="7" t="s">
        <v>46</v>
      </c>
      <c r="W22" s="7" t="s">
        <v>46</v>
      </c>
      <c r="X22" s="7" t="s">
        <v>1751</v>
      </c>
      <c r="Y22" s="10">
        <f t="shared" si="1"/>
        <v>1800</v>
      </c>
      <c r="AH22" s="5" t="e">
        <f>VLOOKUP(B22,[1]DL!$BK:$BP,6,0)</f>
        <v>#N/A</v>
      </c>
    </row>
    <row r="23" spans="1:34" ht="14.5" hidden="1">
      <c r="A23" s="5">
        <v>20</v>
      </c>
      <c r="B23" s="5" t="str">
        <f t="shared" si="0"/>
        <v>06AHIPN8594R1Z62026-27/CL120</v>
      </c>
      <c r="C23" s="1" t="s">
        <v>40</v>
      </c>
      <c r="D23" s="1" t="s">
        <v>41</v>
      </c>
      <c r="E23" s="1" t="s">
        <v>65</v>
      </c>
      <c r="F23" s="1" t="s">
        <v>24</v>
      </c>
      <c r="G23" s="1" t="s">
        <v>50</v>
      </c>
      <c r="H23" s="2">
        <v>106.20</v>
      </c>
      <c r="I23" s="1" t="s">
        <v>44</v>
      </c>
      <c r="J23" s="3" t="s">
        <v>27</v>
      </c>
      <c r="K23" s="2">
        <v>90</v>
      </c>
      <c r="L23" s="2">
        <v>16.20</v>
      </c>
      <c r="M23" s="2">
        <v>0</v>
      </c>
      <c r="N23" s="2">
        <v>0</v>
      </c>
      <c r="O23" s="2">
        <v>0</v>
      </c>
      <c r="P23" s="7" t="s">
        <v>28</v>
      </c>
      <c r="Q23" s="1" t="s">
        <v>29</v>
      </c>
      <c r="R23" s="3" t="s">
        <v>45</v>
      </c>
      <c r="S23" s="1" t="s">
        <v>46</v>
      </c>
      <c r="T23" s="4" t="s">
        <v>31</v>
      </c>
      <c r="U23" s="7" t="s">
        <v>46</v>
      </c>
      <c r="V23" s="7" t="s">
        <v>46</v>
      </c>
      <c r="W23" s="7" t="s">
        <v>46</v>
      </c>
      <c r="X23" s="7" t="s">
        <v>1751</v>
      </c>
      <c r="Y23" s="10">
        <f t="shared" si="1"/>
        <v>16.199999999999999</v>
      </c>
      <c r="AH23" s="5" t="e">
        <f>VLOOKUP(B23,[1]DL!$BK:$BP,6,0)</f>
        <v>#N/A</v>
      </c>
    </row>
    <row r="24" spans="1:34" ht="14.5" hidden="1">
      <c r="A24" s="5">
        <v>21</v>
      </c>
      <c r="B24" s="5" t="str">
        <f t="shared" si="0"/>
        <v>06AHIPN8594R1Z62026-27/CL122</v>
      </c>
      <c r="C24" s="1" t="s">
        <v>40</v>
      </c>
      <c r="D24" s="1" t="s">
        <v>41</v>
      </c>
      <c r="E24" s="1" t="s">
        <v>66</v>
      </c>
      <c r="F24" s="1" t="s">
        <v>24</v>
      </c>
      <c r="G24" s="1" t="s">
        <v>50</v>
      </c>
      <c r="H24" s="2">
        <v>133.34</v>
      </c>
      <c r="I24" s="1" t="s">
        <v>44</v>
      </c>
      <c r="J24" s="3" t="s">
        <v>27</v>
      </c>
      <c r="K24" s="2">
        <v>113</v>
      </c>
      <c r="L24" s="2">
        <v>20.34</v>
      </c>
      <c r="M24" s="2">
        <v>0</v>
      </c>
      <c r="N24" s="2">
        <v>0</v>
      </c>
      <c r="O24" s="2">
        <v>0</v>
      </c>
      <c r="P24" s="7" t="s">
        <v>28</v>
      </c>
      <c r="Q24" s="1" t="s">
        <v>29</v>
      </c>
      <c r="R24" s="3" t="s">
        <v>45</v>
      </c>
      <c r="S24" s="1" t="s">
        <v>46</v>
      </c>
      <c r="T24" s="4" t="s">
        <v>31</v>
      </c>
      <c r="U24" s="7" t="s">
        <v>46</v>
      </c>
      <c r="V24" s="7" t="s">
        <v>46</v>
      </c>
      <c r="W24" s="7" t="s">
        <v>46</v>
      </c>
      <c r="X24" s="7" t="s">
        <v>1751</v>
      </c>
      <c r="Y24" s="10">
        <f t="shared" si="1"/>
        <v>20.34</v>
      </c>
      <c r="AH24" s="5" t="e">
        <f>VLOOKUP(B24,[1]DL!$BK:$BP,6,0)</f>
        <v>#N/A</v>
      </c>
    </row>
    <row r="25" spans="1:34" ht="14.5" hidden="1">
      <c r="A25" s="5">
        <v>22</v>
      </c>
      <c r="B25" s="5" t="str">
        <f t="shared" si="0"/>
        <v>06AHIPN8594R1Z62026-27/CL124</v>
      </c>
      <c r="C25" s="1" t="s">
        <v>40</v>
      </c>
      <c r="D25" s="1" t="s">
        <v>41</v>
      </c>
      <c r="E25" s="1" t="s">
        <v>67</v>
      </c>
      <c r="F25" s="1" t="s">
        <v>24</v>
      </c>
      <c r="G25" s="1" t="s">
        <v>50</v>
      </c>
      <c r="H25" s="2">
        <v>368.16</v>
      </c>
      <c r="I25" s="1" t="s">
        <v>44</v>
      </c>
      <c r="J25" s="3" t="s">
        <v>27</v>
      </c>
      <c r="K25" s="2">
        <v>312</v>
      </c>
      <c r="L25" s="2">
        <v>56.16</v>
      </c>
      <c r="M25" s="2">
        <v>0</v>
      </c>
      <c r="N25" s="2">
        <v>0</v>
      </c>
      <c r="O25" s="2">
        <v>0</v>
      </c>
      <c r="P25" s="7" t="s">
        <v>28</v>
      </c>
      <c r="Q25" s="1" t="s">
        <v>29</v>
      </c>
      <c r="R25" s="3" t="s">
        <v>45</v>
      </c>
      <c r="S25" s="1" t="s">
        <v>46</v>
      </c>
      <c r="T25" s="4" t="s">
        <v>31</v>
      </c>
      <c r="U25" s="7" t="s">
        <v>46</v>
      </c>
      <c r="V25" s="7" t="s">
        <v>46</v>
      </c>
      <c r="W25" s="7" t="s">
        <v>46</v>
      </c>
      <c r="X25" s="7" t="s">
        <v>1751</v>
      </c>
      <c r="Y25" s="10">
        <f t="shared" si="1"/>
        <v>56.159999999999997</v>
      </c>
      <c r="AH25" s="5" t="e">
        <f>VLOOKUP(B25,[1]DL!$BK:$BP,6,0)</f>
        <v>#N/A</v>
      </c>
    </row>
    <row r="26" spans="1:34" ht="14.5" hidden="1">
      <c r="A26" s="5">
        <v>23</v>
      </c>
      <c r="B26" s="5" t="str">
        <f t="shared" si="0"/>
        <v>06AHIPN8594R1Z62026-27/CL126</v>
      </c>
      <c r="C26" s="1" t="s">
        <v>40</v>
      </c>
      <c r="D26" s="1" t="s">
        <v>41</v>
      </c>
      <c r="E26" s="1" t="s">
        <v>68</v>
      </c>
      <c r="F26" s="1" t="s">
        <v>24</v>
      </c>
      <c r="G26" s="1" t="s">
        <v>50</v>
      </c>
      <c r="H26" s="2">
        <v>38.94</v>
      </c>
      <c r="I26" s="1" t="s">
        <v>44</v>
      </c>
      <c r="J26" s="3" t="s">
        <v>27</v>
      </c>
      <c r="K26" s="2">
        <v>33</v>
      </c>
      <c r="L26" s="2">
        <v>5.94</v>
      </c>
      <c r="M26" s="2">
        <v>0</v>
      </c>
      <c r="N26" s="2">
        <v>0</v>
      </c>
      <c r="O26" s="2">
        <v>0</v>
      </c>
      <c r="P26" s="7" t="s">
        <v>28</v>
      </c>
      <c r="Q26" s="1" t="s">
        <v>29</v>
      </c>
      <c r="R26" s="3" t="s">
        <v>45</v>
      </c>
      <c r="S26" s="1" t="s">
        <v>46</v>
      </c>
      <c r="T26" s="4" t="s">
        <v>31</v>
      </c>
      <c r="U26" s="7" t="s">
        <v>46</v>
      </c>
      <c r="V26" s="7" t="s">
        <v>46</v>
      </c>
      <c r="W26" s="7" t="s">
        <v>46</v>
      </c>
      <c r="X26" s="7" t="s">
        <v>1751</v>
      </c>
      <c r="Y26" s="10">
        <f t="shared" si="1"/>
        <v>5.9400000000000004</v>
      </c>
      <c r="AH26" s="5" t="e">
        <f>VLOOKUP(B26,[1]DL!$BK:$BP,6,0)</f>
        <v>#N/A</v>
      </c>
    </row>
    <row r="27" spans="1:34" ht="14.5" hidden="1">
      <c r="A27" s="5">
        <v>24</v>
      </c>
      <c r="B27" s="5" t="str">
        <f t="shared" si="0"/>
        <v>06AHIPN8594R1Z62026-27/CL128</v>
      </c>
      <c r="C27" s="1" t="s">
        <v>40</v>
      </c>
      <c r="D27" s="1" t="s">
        <v>41</v>
      </c>
      <c r="E27" s="1" t="s">
        <v>69</v>
      </c>
      <c r="F27" s="1" t="s">
        <v>24</v>
      </c>
      <c r="G27" s="1" t="s">
        <v>70</v>
      </c>
      <c r="H27" s="2">
        <v>70800</v>
      </c>
      <c r="I27" s="1" t="s">
        <v>44</v>
      </c>
      <c r="J27" s="3" t="s">
        <v>27</v>
      </c>
      <c r="K27" s="2">
        <v>60000</v>
      </c>
      <c r="L27" s="2">
        <v>10800</v>
      </c>
      <c r="M27" s="2">
        <v>0</v>
      </c>
      <c r="N27" s="2">
        <v>0</v>
      </c>
      <c r="O27" s="2">
        <v>0</v>
      </c>
      <c r="P27" s="7" t="s">
        <v>28</v>
      </c>
      <c r="Q27" s="1" t="s">
        <v>29</v>
      </c>
      <c r="R27" s="3" t="s">
        <v>45</v>
      </c>
      <c r="S27" s="1" t="s">
        <v>46</v>
      </c>
      <c r="T27" s="4" t="s">
        <v>31</v>
      </c>
      <c r="U27" s="7" t="s">
        <v>46</v>
      </c>
      <c r="V27" s="7" t="s">
        <v>46</v>
      </c>
      <c r="W27" s="7" t="s">
        <v>46</v>
      </c>
      <c r="X27" s="7" t="s">
        <v>1751</v>
      </c>
      <c r="Y27" s="10">
        <f t="shared" si="1"/>
        <v>10800</v>
      </c>
      <c r="AH27" s="5" t="e">
        <f>VLOOKUP(B27,[1]DL!$BK:$BP,6,0)</f>
        <v>#N/A</v>
      </c>
    </row>
    <row r="28" spans="1:34" ht="14.5" hidden="1">
      <c r="A28" s="5">
        <v>25</v>
      </c>
      <c r="B28" s="5" t="str">
        <f t="shared" si="0"/>
        <v>06AHIPN8594R1Z62026-27/CL129</v>
      </c>
      <c r="C28" s="1" t="s">
        <v>40</v>
      </c>
      <c r="D28" s="1" t="s">
        <v>41</v>
      </c>
      <c r="E28" s="1" t="s">
        <v>71</v>
      </c>
      <c r="F28" s="1" t="s">
        <v>24</v>
      </c>
      <c r="G28" s="1" t="s">
        <v>70</v>
      </c>
      <c r="H28" s="2">
        <v>22420</v>
      </c>
      <c r="I28" s="1" t="s">
        <v>44</v>
      </c>
      <c r="J28" s="3" t="s">
        <v>27</v>
      </c>
      <c r="K28" s="2">
        <v>19000</v>
      </c>
      <c r="L28" s="2">
        <v>3420</v>
      </c>
      <c r="M28" s="2">
        <v>0</v>
      </c>
      <c r="N28" s="2">
        <v>0</v>
      </c>
      <c r="O28" s="2">
        <v>0</v>
      </c>
      <c r="P28" s="7" t="s">
        <v>28</v>
      </c>
      <c r="Q28" s="1" t="s">
        <v>29</v>
      </c>
      <c r="R28" s="3" t="s">
        <v>45</v>
      </c>
      <c r="S28" s="1" t="s">
        <v>46</v>
      </c>
      <c r="T28" s="4" t="s">
        <v>31</v>
      </c>
      <c r="U28" s="7" t="s">
        <v>46</v>
      </c>
      <c r="V28" s="7" t="s">
        <v>46</v>
      </c>
      <c r="W28" s="7" t="s">
        <v>46</v>
      </c>
      <c r="X28" s="7" t="s">
        <v>1751</v>
      </c>
      <c r="Y28" s="10">
        <f t="shared" si="1"/>
        <v>3420</v>
      </c>
      <c r="AH28" s="5" t="e">
        <f>VLOOKUP(B28,[1]DL!$BK:$BP,6,0)</f>
        <v>#N/A</v>
      </c>
    </row>
    <row r="29" spans="1:34" ht="14.5" hidden="1">
      <c r="A29" s="5">
        <v>26</v>
      </c>
      <c r="B29" s="5" t="str">
        <f t="shared" si="0"/>
        <v>06AHIPN8594R1Z62026-27/CL13</v>
      </c>
      <c r="C29" s="1" t="s">
        <v>40</v>
      </c>
      <c r="D29" s="1" t="s">
        <v>41</v>
      </c>
      <c r="E29" s="1" t="s">
        <v>72</v>
      </c>
      <c r="F29" s="1" t="s">
        <v>24</v>
      </c>
      <c r="G29" s="1" t="s">
        <v>54</v>
      </c>
      <c r="H29" s="2">
        <v>4130</v>
      </c>
      <c r="I29" s="1" t="s">
        <v>44</v>
      </c>
      <c r="J29" s="3" t="s">
        <v>27</v>
      </c>
      <c r="K29" s="2">
        <v>3500</v>
      </c>
      <c r="L29" s="2">
        <v>630</v>
      </c>
      <c r="M29" s="2">
        <v>0</v>
      </c>
      <c r="N29" s="2">
        <v>0</v>
      </c>
      <c r="O29" s="2">
        <v>0</v>
      </c>
      <c r="P29" s="7" t="s">
        <v>28</v>
      </c>
      <c r="Q29" s="1" t="s">
        <v>29</v>
      </c>
      <c r="R29" s="3" t="s">
        <v>45</v>
      </c>
      <c r="S29" s="1" t="s">
        <v>46</v>
      </c>
      <c r="T29" s="4" t="s">
        <v>31</v>
      </c>
      <c r="U29" s="7" t="s">
        <v>46</v>
      </c>
      <c r="V29" s="7" t="s">
        <v>46</v>
      </c>
      <c r="W29" s="7" t="s">
        <v>46</v>
      </c>
      <c r="X29" s="7" t="s">
        <v>1751</v>
      </c>
      <c r="Y29" s="10">
        <f t="shared" si="1"/>
        <v>630</v>
      </c>
      <c r="AH29" s="5" t="e">
        <f>VLOOKUP(B29,[1]DL!$BK:$BP,6,0)</f>
        <v>#N/A</v>
      </c>
    </row>
    <row r="30" spans="1:34" ht="14.5" hidden="1">
      <c r="A30" s="5">
        <v>27</v>
      </c>
      <c r="B30" s="5" t="str">
        <f t="shared" si="0"/>
        <v>06AHIPN8594R1Z62026-27/CL130</v>
      </c>
      <c r="C30" s="1" t="s">
        <v>40</v>
      </c>
      <c r="D30" s="1" t="s">
        <v>41</v>
      </c>
      <c r="E30" s="1" t="s">
        <v>73</v>
      </c>
      <c r="F30" s="1" t="s">
        <v>24</v>
      </c>
      <c r="G30" s="1" t="s">
        <v>52</v>
      </c>
      <c r="H30" s="2">
        <v>69620</v>
      </c>
      <c r="I30" s="1" t="s">
        <v>44</v>
      </c>
      <c r="J30" s="3" t="s">
        <v>27</v>
      </c>
      <c r="K30" s="2">
        <v>59000</v>
      </c>
      <c r="L30" s="2">
        <v>10620</v>
      </c>
      <c r="M30" s="2">
        <v>0</v>
      </c>
      <c r="N30" s="2">
        <v>0</v>
      </c>
      <c r="O30" s="2">
        <v>0</v>
      </c>
      <c r="P30" s="7" t="s">
        <v>28</v>
      </c>
      <c r="Q30" s="1" t="s">
        <v>29</v>
      </c>
      <c r="R30" s="3" t="s">
        <v>45</v>
      </c>
      <c r="S30" s="1" t="s">
        <v>46</v>
      </c>
      <c r="T30" s="4" t="s">
        <v>31</v>
      </c>
      <c r="U30" s="7" t="s">
        <v>46</v>
      </c>
      <c r="V30" s="7" t="s">
        <v>46</v>
      </c>
      <c r="W30" s="7" t="s">
        <v>46</v>
      </c>
      <c r="X30" s="7" t="s">
        <v>1751</v>
      </c>
      <c r="Y30" s="10">
        <f t="shared" si="1"/>
        <v>10620</v>
      </c>
      <c r="AH30" s="5" t="e">
        <f>VLOOKUP(B30,[1]DL!$BK:$BP,6,0)</f>
        <v>#N/A</v>
      </c>
    </row>
    <row r="31" spans="1:34" ht="14.5" hidden="1">
      <c r="A31" s="5">
        <v>28</v>
      </c>
      <c r="B31" s="5" t="str">
        <f t="shared" si="0"/>
        <v>06AHIPN8594R1Z62026-27/CL131</v>
      </c>
      <c r="C31" s="1" t="s">
        <v>40</v>
      </c>
      <c r="D31" s="1" t="s">
        <v>41</v>
      </c>
      <c r="E31" s="1" t="s">
        <v>74</v>
      </c>
      <c r="F31" s="1" t="s">
        <v>24</v>
      </c>
      <c r="G31" s="1" t="s">
        <v>52</v>
      </c>
      <c r="H31" s="2">
        <v>27140</v>
      </c>
      <c r="I31" s="1" t="s">
        <v>44</v>
      </c>
      <c r="J31" s="3" t="s">
        <v>27</v>
      </c>
      <c r="K31" s="2">
        <v>23000</v>
      </c>
      <c r="L31" s="2">
        <v>4140</v>
      </c>
      <c r="M31" s="2">
        <v>0</v>
      </c>
      <c r="N31" s="2">
        <v>0</v>
      </c>
      <c r="O31" s="2">
        <v>0</v>
      </c>
      <c r="P31" s="7" t="s">
        <v>28</v>
      </c>
      <c r="Q31" s="1" t="s">
        <v>29</v>
      </c>
      <c r="R31" s="3" t="s">
        <v>45</v>
      </c>
      <c r="S31" s="1" t="s">
        <v>46</v>
      </c>
      <c r="T31" s="4" t="s">
        <v>31</v>
      </c>
      <c r="U31" s="7" t="s">
        <v>46</v>
      </c>
      <c r="V31" s="7" t="s">
        <v>46</v>
      </c>
      <c r="W31" s="7" t="s">
        <v>46</v>
      </c>
      <c r="X31" s="7" t="s">
        <v>1751</v>
      </c>
      <c r="Y31" s="10">
        <f t="shared" si="1"/>
        <v>4140</v>
      </c>
      <c r="AH31" s="5" t="e">
        <f>VLOOKUP(B31,[1]DL!$BK:$BP,6,0)</f>
        <v>#N/A</v>
      </c>
    </row>
    <row r="32" spans="1:34" ht="14.5" hidden="1">
      <c r="A32" s="5">
        <v>29</v>
      </c>
      <c r="B32" s="5" t="str">
        <f t="shared" si="0"/>
        <v>06AHIPN8594R1Z62026-27/CL132</v>
      </c>
      <c r="C32" s="1" t="s">
        <v>40</v>
      </c>
      <c r="D32" s="1" t="s">
        <v>41</v>
      </c>
      <c r="E32" s="1" t="s">
        <v>75</v>
      </c>
      <c r="F32" s="1" t="s">
        <v>24</v>
      </c>
      <c r="G32" s="1" t="s">
        <v>76</v>
      </c>
      <c r="H32" s="2">
        <v>12390</v>
      </c>
      <c r="I32" s="1" t="s">
        <v>44</v>
      </c>
      <c r="J32" s="3" t="s">
        <v>27</v>
      </c>
      <c r="K32" s="2">
        <v>10500</v>
      </c>
      <c r="L32" s="2">
        <v>1890</v>
      </c>
      <c r="M32" s="2">
        <v>0</v>
      </c>
      <c r="N32" s="2">
        <v>0</v>
      </c>
      <c r="O32" s="2">
        <v>0</v>
      </c>
      <c r="P32" s="7" t="s">
        <v>28</v>
      </c>
      <c r="Q32" s="1" t="s">
        <v>29</v>
      </c>
      <c r="R32" s="3" t="s">
        <v>45</v>
      </c>
      <c r="S32" s="1" t="s">
        <v>46</v>
      </c>
      <c r="T32" s="4" t="s">
        <v>31</v>
      </c>
      <c r="U32" s="7" t="s">
        <v>46</v>
      </c>
      <c r="V32" s="7" t="s">
        <v>46</v>
      </c>
      <c r="W32" s="7" t="s">
        <v>46</v>
      </c>
      <c r="X32" s="7" t="s">
        <v>1751</v>
      </c>
      <c r="Y32" s="10">
        <f t="shared" si="1"/>
        <v>1890</v>
      </c>
      <c r="AH32" s="5" t="e">
        <f>VLOOKUP(B32,[1]DL!$BK:$BP,6,0)</f>
        <v>#N/A</v>
      </c>
    </row>
    <row r="33" spans="1:34" ht="14.5" hidden="1">
      <c r="A33" s="5">
        <v>30</v>
      </c>
      <c r="B33" s="5" t="str">
        <f t="shared" si="0"/>
        <v>06AHIPN8594R1Z62026-27/CL133</v>
      </c>
      <c r="C33" s="1" t="s">
        <v>40</v>
      </c>
      <c r="D33" s="1" t="s">
        <v>41</v>
      </c>
      <c r="E33" s="1" t="s">
        <v>77</v>
      </c>
      <c r="F33" s="1" t="s">
        <v>24</v>
      </c>
      <c r="G33" s="1" t="s">
        <v>76</v>
      </c>
      <c r="H33" s="2">
        <v>12980</v>
      </c>
      <c r="I33" s="1" t="s">
        <v>44</v>
      </c>
      <c r="J33" s="3" t="s">
        <v>27</v>
      </c>
      <c r="K33" s="2">
        <v>11000</v>
      </c>
      <c r="L33" s="2">
        <v>1980</v>
      </c>
      <c r="M33" s="2">
        <v>0</v>
      </c>
      <c r="N33" s="2">
        <v>0</v>
      </c>
      <c r="O33" s="2">
        <v>0</v>
      </c>
      <c r="P33" s="7" t="s">
        <v>28</v>
      </c>
      <c r="Q33" s="1" t="s">
        <v>29</v>
      </c>
      <c r="R33" s="3" t="s">
        <v>45</v>
      </c>
      <c r="S33" s="1" t="s">
        <v>46</v>
      </c>
      <c r="T33" s="4" t="s">
        <v>31</v>
      </c>
      <c r="U33" s="7" t="s">
        <v>46</v>
      </c>
      <c r="V33" s="7" t="s">
        <v>46</v>
      </c>
      <c r="W33" s="7" t="s">
        <v>46</v>
      </c>
      <c r="X33" s="7" t="s">
        <v>1751</v>
      </c>
      <c r="Y33" s="10">
        <f t="shared" si="1"/>
        <v>1980</v>
      </c>
      <c r="AH33" s="5" t="e">
        <f>VLOOKUP(B33,[1]DL!$BK:$BP,6,0)</f>
        <v>#N/A</v>
      </c>
    </row>
    <row r="34" spans="1:34" ht="14.5" hidden="1">
      <c r="A34" s="5">
        <v>31</v>
      </c>
      <c r="B34" s="5" t="str">
        <f t="shared" si="0"/>
        <v>06AHIPN8594R1Z62026-27/CL14</v>
      </c>
      <c r="C34" s="1" t="s">
        <v>40</v>
      </c>
      <c r="D34" s="1" t="s">
        <v>41</v>
      </c>
      <c r="E34" s="1" t="s">
        <v>78</v>
      </c>
      <c r="F34" s="1" t="s">
        <v>24</v>
      </c>
      <c r="G34" s="1" t="s">
        <v>54</v>
      </c>
      <c r="H34" s="2">
        <v>47790</v>
      </c>
      <c r="I34" s="1" t="s">
        <v>44</v>
      </c>
      <c r="J34" s="3" t="s">
        <v>27</v>
      </c>
      <c r="K34" s="2">
        <v>40500</v>
      </c>
      <c r="L34" s="2">
        <v>7290</v>
      </c>
      <c r="M34" s="2">
        <v>0</v>
      </c>
      <c r="N34" s="2">
        <v>0</v>
      </c>
      <c r="O34" s="2">
        <v>0</v>
      </c>
      <c r="P34" s="7" t="s">
        <v>28</v>
      </c>
      <c r="Q34" s="1" t="s">
        <v>29</v>
      </c>
      <c r="R34" s="3" t="s">
        <v>45</v>
      </c>
      <c r="S34" s="1" t="s">
        <v>46</v>
      </c>
      <c r="T34" s="4" t="s">
        <v>31</v>
      </c>
      <c r="U34" s="7" t="s">
        <v>46</v>
      </c>
      <c r="V34" s="7" t="s">
        <v>46</v>
      </c>
      <c r="W34" s="7" t="s">
        <v>46</v>
      </c>
      <c r="X34" s="7" t="s">
        <v>1751</v>
      </c>
      <c r="Y34" s="10">
        <f t="shared" si="1"/>
        <v>7290</v>
      </c>
      <c r="AH34" s="5" t="e">
        <f>VLOOKUP(B34,[1]DL!$BK:$BP,6,0)</f>
        <v>#N/A</v>
      </c>
    </row>
    <row r="35" spans="1:34" ht="14.5" hidden="1">
      <c r="A35" s="5">
        <v>32</v>
      </c>
      <c r="B35" s="5" t="str">
        <f t="shared" si="0"/>
        <v>06AHIPN8594R1Z62026-27/CL15</v>
      </c>
      <c r="C35" s="1" t="s">
        <v>40</v>
      </c>
      <c r="D35" s="1" t="s">
        <v>41</v>
      </c>
      <c r="E35" s="1" t="s">
        <v>79</v>
      </c>
      <c r="F35" s="1" t="s">
        <v>24</v>
      </c>
      <c r="G35" s="1" t="s">
        <v>54</v>
      </c>
      <c r="H35" s="2">
        <v>10030</v>
      </c>
      <c r="I35" s="1" t="s">
        <v>44</v>
      </c>
      <c r="J35" s="3" t="s">
        <v>27</v>
      </c>
      <c r="K35" s="2">
        <v>8500</v>
      </c>
      <c r="L35" s="2">
        <v>1530</v>
      </c>
      <c r="M35" s="2">
        <v>0</v>
      </c>
      <c r="N35" s="2">
        <v>0</v>
      </c>
      <c r="O35" s="2">
        <v>0</v>
      </c>
      <c r="P35" s="7" t="s">
        <v>28</v>
      </c>
      <c r="Q35" s="1" t="s">
        <v>29</v>
      </c>
      <c r="R35" s="3" t="s">
        <v>45</v>
      </c>
      <c r="S35" s="1" t="s">
        <v>46</v>
      </c>
      <c r="T35" s="4" t="s">
        <v>31</v>
      </c>
      <c r="U35" s="7" t="s">
        <v>46</v>
      </c>
      <c r="V35" s="7" t="s">
        <v>46</v>
      </c>
      <c r="W35" s="7" t="s">
        <v>46</v>
      </c>
      <c r="X35" s="7" t="s">
        <v>1751</v>
      </c>
      <c r="Y35" s="10">
        <f t="shared" si="1"/>
        <v>1530</v>
      </c>
      <c r="AH35" s="5" t="e">
        <f>VLOOKUP(B35,[1]DL!$BK:$BP,6,0)</f>
        <v>#N/A</v>
      </c>
    </row>
    <row r="36" spans="1:34" ht="14.5" hidden="1">
      <c r="A36" s="5">
        <v>33</v>
      </c>
      <c r="B36" s="5" t="str">
        <f t="shared" si="0"/>
        <v>06AHIPN8594R1Z62026-27/CL16</v>
      </c>
      <c r="C36" s="1" t="s">
        <v>40</v>
      </c>
      <c r="D36" s="1" t="s">
        <v>41</v>
      </c>
      <c r="E36" s="1" t="s">
        <v>80</v>
      </c>
      <c r="F36" s="1" t="s">
        <v>24</v>
      </c>
      <c r="G36" s="1" t="s">
        <v>54</v>
      </c>
      <c r="H36" s="2">
        <v>4130</v>
      </c>
      <c r="I36" s="1" t="s">
        <v>44</v>
      </c>
      <c r="J36" s="3" t="s">
        <v>27</v>
      </c>
      <c r="K36" s="2">
        <v>3500</v>
      </c>
      <c r="L36" s="2">
        <v>630</v>
      </c>
      <c r="M36" s="2">
        <v>0</v>
      </c>
      <c r="N36" s="2">
        <v>0</v>
      </c>
      <c r="O36" s="2">
        <v>0</v>
      </c>
      <c r="P36" s="7" t="s">
        <v>28</v>
      </c>
      <c r="Q36" s="1" t="s">
        <v>29</v>
      </c>
      <c r="R36" s="3" t="s">
        <v>45</v>
      </c>
      <c r="S36" s="1" t="s">
        <v>46</v>
      </c>
      <c r="T36" s="4" t="s">
        <v>31</v>
      </c>
      <c r="U36" s="7" t="s">
        <v>46</v>
      </c>
      <c r="V36" s="7" t="s">
        <v>46</v>
      </c>
      <c r="W36" s="7" t="s">
        <v>46</v>
      </c>
      <c r="X36" s="7" t="s">
        <v>1751</v>
      </c>
      <c r="Y36" s="10">
        <f t="shared" si="1"/>
        <v>630</v>
      </c>
      <c r="AH36" s="5" t="e">
        <f>VLOOKUP(B36,[1]DL!$BK:$BP,6,0)</f>
        <v>#N/A</v>
      </c>
    </row>
    <row r="37" spans="1:34" ht="14.5" hidden="1">
      <c r="A37" s="5">
        <v>34</v>
      </c>
      <c r="B37" s="5" t="str">
        <f t="shared" si="0"/>
        <v>06AHIPN8594R1Z62026-27/CL17</v>
      </c>
      <c r="C37" s="1" t="s">
        <v>40</v>
      </c>
      <c r="D37" s="1" t="s">
        <v>41</v>
      </c>
      <c r="E37" s="1" t="s">
        <v>81</v>
      </c>
      <c r="F37" s="1" t="s">
        <v>24</v>
      </c>
      <c r="G37" s="1" t="s">
        <v>54</v>
      </c>
      <c r="H37" s="2">
        <v>4130</v>
      </c>
      <c r="I37" s="1" t="s">
        <v>44</v>
      </c>
      <c r="J37" s="3" t="s">
        <v>27</v>
      </c>
      <c r="K37" s="2">
        <v>3500</v>
      </c>
      <c r="L37" s="2">
        <v>630</v>
      </c>
      <c r="M37" s="2">
        <v>0</v>
      </c>
      <c r="N37" s="2">
        <v>0</v>
      </c>
      <c r="O37" s="2">
        <v>0</v>
      </c>
      <c r="P37" s="7" t="s">
        <v>28</v>
      </c>
      <c r="Q37" s="1" t="s">
        <v>29</v>
      </c>
      <c r="R37" s="3" t="s">
        <v>45</v>
      </c>
      <c r="S37" s="1" t="s">
        <v>46</v>
      </c>
      <c r="T37" s="4" t="s">
        <v>31</v>
      </c>
      <c r="U37" s="7" t="s">
        <v>46</v>
      </c>
      <c r="V37" s="7" t="s">
        <v>46</v>
      </c>
      <c r="W37" s="7" t="s">
        <v>46</v>
      </c>
      <c r="X37" s="7" t="s">
        <v>1751</v>
      </c>
      <c r="Y37" s="10">
        <f t="shared" si="1"/>
        <v>630</v>
      </c>
      <c r="AH37" s="5" t="e">
        <f>VLOOKUP(B37,[1]DL!$BK:$BP,6,0)</f>
        <v>#N/A</v>
      </c>
    </row>
    <row r="38" spans="1:34" ht="14.5" hidden="1">
      <c r="A38" s="5">
        <v>35</v>
      </c>
      <c r="B38" s="5" t="str">
        <f t="shared" si="0"/>
        <v>06AHIPN8594R1Z62026-27/CL18</v>
      </c>
      <c r="C38" s="1" t="s">
        <v>40</v>
      </c>
      <c r="D38" s="1" t="s">
        <v>41</v>
      </c>
      <c r="E38" s="1" t="s">
        <v>82</v>
      </c>
      <c r="F38" s="1" t="s">
        <v>24</v>
      </c>
      <c r="G38" s="1" t="s">
        <v>43</v>
      </c>
      <c r="H38" s="2">
        <v>2004.35</v>
      </c>
      <c r="I38" s="1" t="s">
        <v>44</v>
      </c>
      <c r="J38" s="3" t="s">
        <v>27</v>
      </c>
      <c r="K38" s="2">
        <v>1698.60</v>
      </c>
      <c r="L38" s="2">
        <v>305.75</v>
      </c>
      <c r="M38" s="2">
        <v>0</v>
      </c>
      <c r="N38" s="2">
        <v>0</v>
      </c>
      <c r="O38" s="2">
        <v>0</v>
      </c>
      <c r="P38" s="7" t="s">
        <v>28</v>
      </c>
      <c r="Q38" s="1" t="s">
        <v>29</v>
      </c>
      <c r="R38" s="3" t="s">
        <v>45</v>
      </c>
      <c r="S38" s="1" t="s">
        <v>46</v>
      </c>
      <c r="T38" s="4" t="s">
        <v>31</v>
      </c>
      <c r="U38" s="7" t="s">
        <v>46</v>
      </c>
      <c r="V38" s="7" t="s">
        <v>46</v>
      </c>
      <c r="W38" s="7" t="s">
        <v>46</v>
      </c>
      <c r="X38" s="7" t="s">
        <v>1751</v>
      </c>
      <c r="Y38" s="10">
        <f t="shared" si="1"/>
        <v>305.75</v>
      </c>
      <c r="AH38" s="5" t="e">
        <f>VLOOKUP(B38,[1]DL!$BK:$BP,6,0)</f>
        <v>#N/A</v>
      </c>
    </row>
    <row r="39" spans="1:34" ht="14.5" hidden="1">
      <c r="A39" s="5">
        <v>36</v>
      </c>
      <c r="B39" s="5" t="str">
        <f t="shared" si="0"/>
        <v>06AHIPN8594R1Z62026-27/CL19</v>
      </c>
      <c r="C39" s="1" t="s">
        <v>40</v>
      </c>
      <c r="D39" s="1" t="s">
        <v>41</v>
      </c>
      <c r="E39" s="1" t="s">
        <v>83</v>
      </c>
      <c r="F39" s="1" t="s">
        <v>24</v>
      </c>
      <c r="G39" s="1" t="s">
        <v>43</v>
      </c>
      <c r="H39" s="2">
        <v>78824</v>
      </c>
      <c r="I39" s="1" t="s">
        <v>44</v>
      </c>
      <c r="J39" s="3" t="s">
        <v>27</v>
      </c>
      <c r="K39" s="2">
        <v>66800</v>
      </c>
      <c r="L39" s="2">
        <v>12024</v>
      </c>
      <c r="M39" s="2">
        <v>0</v>
      </c>
      <c r="N39" s="2">
        <v>0</v>
      </c>
      <c r="O39" s="2">
        <v>0</v>
      </c>
      <c r="P39" s="7" t="s">
        <v>28</v>
      </c>
      <c r="Q39" s="1" t="s">
        <v>29</v>
      </c>
      <c r="R39" s="3" t="s">
        <v>45</v>
      </c>
      <c r="S39" s="1" t="s">
        <v>46</v>
      </c>
      <c r="T39" s="4" t="s">
        <v>31</v>
      </c>
      <c r="U39" s="7" t="s">
        <v>46</v>
      </c>
      <c r="V39" s="7" t="s">
        <v>46</v>
      </c>
      <c r="W39" s="7" t="s">
        <v>46</v>
      </c>
      <c r="X39" s="7" t="s">
        <v>1751</v>
      </c>
      <c r="Y39" s="10">
        <f t="shared" si="1"/>
        <v>12024</v>
      </c>
      <c r="AH39" s="5" t="e">
        <f>VLOOKUP(B39,[1]DL!$BK:$BP,6,0)</f>
        <v>#N/A</v>
      </c>
    </row>
    <row r="40" spans="1:34" ht="14.5" hidden="1">
      <c r="A40" s="5">
        <v>37</v>
      </c>
      <c r="B40" s="5" t="str">
        <f t="shared" si="0"/>
        <v>27AAACT3957G7Z16405633765</v>
      </c>
      <c r="C40" s="1" t="s">
        <v>84</v>
      </c>
      <c r="D40" s="1" t="s">
        <v>85</v>
      </c>
      <c r="E40" s="1" t="s">
        <v>86</v>
      </c>
      <c r="F40" s="1" t="s">
        <v>24</v>
      </c>
      <c r="G40" s="1" t="s">
        <v>87</v>
      </c>
      <c r="H40" s="2">
        <v>3283</v>
      </c>
      <c r="I40" s="1" t="s">
        <v>26</v>
      </c>
      <c r="J40" s="3" t="s">
        <v>27</v>
      </c>
      <c r="K40" s="2">
        <v>2782.5</v>
      </c>
      <c r="L40" s="2">
        <v>0</v>
      </c>
      <c r="M40" s="2">
        <v>250.43</v>
      </c>
      <c r="N40" s="2">
        <v>250.43</v>
      </c>
      <c r="O40" s="2">
        <v>0</v>
      </c>
      <c r="P40" s="7" t="s">
        <v>28</v>
      </c>
      <c r="Q40" s="1" t="s">
        <v>29</v>
      </c>
      <c r="R40" s="3" t="s">
        <v>27</v>
      </c>
      <c r="S40" s="1" t="s">
        <v>30</v>
      </c>
      <c r="T40" s="4" t="s">
        <v>31</v>
      </c>
      <c r="U40" s="7" t="s">
        <v>32</v>
      </c>
      <c r="V40" s="7" t="s">
        <v>88</v>
      </c>
      <c r="W40" s="7" t="s">
        <v>89</v>
      </c>
      <c r="X40" s="7" t="s">
        <v>1751</v>
      </c>
      <c r="Y40" s="10">
        <f t="shared" si="1"/>
        <v>500.86000000000001</v>
      </c>
      <c r="AH40" s="5" t="e">
        <f>VLOOKUP(B40,[1]DL!$BK:$BP,6,0)</f>
        <v>#N/A</v>
      </c>
    </row>
    <row r="41" spans="1:34" ht="14.5">
      <c r="A41" s="5">
        <v>38</v>
      </c>
      <c r="B41" s="5" t="str">
        <f t="shared" si="0"/>
        <v>07AAACB2894G1ZPHF2707I000022064</v>
      </c>
      <c r="C41" s="1" t="s">
        <v>90</v>
      </c>
      <c r="D41" s="1" t="s">
        <v>91</v>
      </c>
      <c r="E41" s="1" t="s">
        <v>92</v>
      </c>
      <c r="F41" s="1" t="s">
        <v>24</v>
      </c>
      <c r="G41" s="1" t="s">
        <v>93</v>
      </c>
      <c r="H41" s="2">
        <v>1768.82</v>
      </c>
      <c r="I41" s="1" t="s">
        <v>44</v>
      </c>
      <c r="J41" s="3" t="s">
        <v>27</v>
      </c>
      <c r="K41" s="2">
        <v>1499</v>
      </c>
      <c r="L41" s="2">
        <v>0</v>
      </c>
      <c r="M41" s="2">
        <v>134.91</v>
      </c>
      <c r="N41" s="2">
        <v>134.91</v>
      </c>
      <c r="O41" s="2">
        <v>0</v>
      </c>
      <c r="P41" s="7" t="s">
        <v>28</v>
      </c>
      <c r="Q41" s="1" t="s">
        <v>94</v>
      </c>
      <c r="R41" s="3" t="s">
        <v>45</v>
      </c>
      <c r="S41" s="1" t="s">
        <v>46</v>
      </c>
      <c r="T41" s="4" t="s">
        <v>31</v>
      </c>
      <c r="U41" s="7" t="s">
        <v>46</v>
      </c>
      <c r="V41" s="7" t="s">
        <v>46</v>
      </c>
      <c r="W41" s="7" t="s">
        <v>46</v>
      </c>
      <c r="X41" s="7" t="s">
        <v>1751</v>
      </c>
      <c r="Y41" s="10">
        <f t="shared" si="1"/>
        <v>269.81999999999999</v>
      </c>
      <c r="Z41" s="5">
        <v>9164389</v>
      </c>
      <c r="AA41" s="5" t="s">
        <v>1922</v>
      </c>
      <c r="AB41" s="5" t="s">
        <v>1751</v>
      </c>
      <c r="AC41" s="5" t="s">
        <v>1924</v>
      </c>
      <c r="AE41" s="5" t="s">
        <v>1923</v>
      </c>
      <c r="AH41" s="5">
        <f>VLOOKUP(B41,[1]DL!$BK:$BP,6,0)</f>
        <v>9164389</v>
      </c>
    </row>
    <row r="42" spans="1:34" ht="14.5">
      <c r="A42" s="5">
        <v>39</v>
      </c>
      <c r="B42" s="5" t="str">
        <f t="shared" si="0"/>
        <v>07AAACB2894G1ZPHF2707I000097242</v>
      </c>
      <c r="C42" s="1" t="s">
        <v>90</v>
      </c>
      <c r="D42" s="1" t="s">
        <v>91</v>
      </c>
      <c r="E42" s="1" t="s">
        <v>95</v>
      </c>
      <c r="F42" s="1" t="s">
        <v>24</v>
      </c>
      <c r="G42" s="1" t="s">
        <v>93</v>
      </c>
      <c r="H42" s="2">
        <v>2591.2800000000002</v>
      </c>
      <c r="I42" s="1" t="s">
        <v>44</v>
      </c>
      <c r="J42" s="3" t="s">
        <v>27</v>
      </c>
      <c r="K42" s="2">
        <v>2196</v>
      </c>
      <c r="L42" s="2">
        <v>0</v>
      </c>
      <c r="M42" s="2">
        <v>197.64</v>
      </c>
      <c r="N42" s="2">
        <v>197.64</v>
      </c>
      <c r="O42" s="2">
        <v>0</v>
      </c>
      <c r="P42" s="7" t="s">
        <v>28</v>
      </c>
      <c r="Q42" s="1" t="s">
        <v>94</v>
      </c>
      <c r="R42" s="3" t="s">
        <v>45</v>
      </c>
      <c r="S42" s="1" t="s">
        <v>46</v>
      </c>
      <c r="T42" s="4" t="s">
        <v>31</v>
      </c>
      <c r="U42" s="7" t="s">
        <v>46</v>
      </c>
      <c r="V42" s="7" t="s">
        <v>46</v>
      </c>
      <c r="W42" s="7" t="s">
        <v>46</v>
      </c>
      <c r="X42" s="7" t="s">
        <v>1751</v>
      </c>
      <c r="Y42" s="10">
        <f t="shared" si="1"/>
        <v>395.27999999999997</v>
      </c>
      <c r="Z42" s="5">
        <v>9164390</v>
      </c>
      <c r="AA42" s="5" t="s">
        <v>1922</v>
      </c>
      <c r="AB42" s="5" t="s">
        <v>1751</v>
      </c>
      <c r="AC42" s="5" t="s">
        <v>1924</v>
      </c>
      <c r="AE42" s="5" t="s">
        <v>1923</v>
      </c>
      <c r="AH42" s="5">
        <f>VLOOKUP(B42,[1]DL!$BK:$BP,6,0)</f>
        <v>9164390</v>
      </c>
    </row>
    <row r="43" spans="1:34" ht="14.5" hidden="1">
      <c r="A43" s="5">
        <v>40</v>
      </c>
      <c r="B43" s="5" t="str">
        <f t="shared" si="0"/>
        <v>07AAACB2894G1ZPHF2707I000098690</v>
      </c>
      <c r="C43" s="1" t="s">
        <v>90</v>
      </c>
      <c r="D43" s="1" t="s">
        <v>91</v>
      </c>
      <c r="E43" s="1" t="s">
        <v>96</v>
      </c>
      <c r="F43" s="1" t="s">
        <v>24</v>
      </c>
      <c r="G43" s="1" t="s">
        <v>93</v>
      </c>
      <c r="H43" s="2">
        <v>6733.23</v>
      </c>
      <c r="I43" s="1" t="s">
        <v>44</v>
      </c>
      <c r="J43" s="3" t="s">
        <v>27</v>
      </c>
      <c r="K43" s="2">
        <v>5706.13</v>
      </c>
      <c r="L43" s="2">
        <v>0</v>
      </c>
      <c r="M43" s="2">
        <v>513.54999999999995</v>
      </c>
      <c r="N43" s="2">
        <v>513.54999999999995</v>
      </c>
      <c r="O43" s="2">
        <v>0</v>
      </c>
      <c r="P43" s="7" t="s">
        <v>28</v>
      </c>
      <c r="Q43" s="1" t="s">
        <v>94</v>
      </c>
      <c r="R43" s="3" t="s">
        <v>45</v>
      </c>
      <c r="S43" s="1" t="s">
        <v>46</v>
      </c>
      <c r="T43" s="4" t="s">
        <v>31</v>
      </c>
      <c r="U43" s="7" t="s">
        <v>46</v>
      </c>
      <c r="V43" s="7" t="s">
        <v>46</v>
      </c>
      <c r="W43" s="7" t="s">
        <v>46</v>
      </c>
      <c r="X43" s="7" t="s">
        <v>1751</v>
      </c>
      <c r="Y43" s="10">
        <f t="shared" si="1"/>
        <v>1027.0999999999999</v>
      </c>
      <c r="AH43" s="5" t="e">
        <f>VLOOKUP(B43,[1]DL!$BK:$BP,6,0)</f>
        <v>#N/A</v>
      </c>
    </row>
    <row r="44" spans="1:34" ht="14.5">
      <c r="A44" s="5">
        <v>41</v>
      </c>
      <c r="B44" s="5" t="str">
        <f t="shared" si="0"/>
        <v>07AAACB2894G1ZPHF2707I000101334</v>
      </c>
      <c r="C44" s="1" t="s">
        <v>90</v>
      </c>
      <c r="D44" s="1" t="s">
        <v>91</v>
      </c>
      <c r="E44" s="1" t="s">
        <v>97</v>
      </c>
      <c r="F44" s="1" t="s">
        <v>24</v>
      </c>
      <c r="G44" s="1" t="s">
        <v>93</v>
      </c>
      <c r="H44" s="2">
        <v>1178.82</v>
      </c>
      <c r="I44" s="1" t="s">
        <v>44</v>
      </c>
      <c r="J44" s="3" t="s">
        <v>27</v>
      </c>
      <c r="K44" s="2">
        <v>999</v>
      </c>
      <c r="L44" s="2">
        <v>0</v>
      </c>
      <c r="M44" s="2">
        <v>89.91</v>
      </c>
      <c r="N44" s="2">
        <v>89.91</v>
      </c>
      <c r="O44" s="2">
        <v>0</v>
      </c>
      <c r="P44" s="7" t="s">
        <v>28</v>
      </c>
      <c r="Q44" s="1" t="s">
        <v>94</v>
      </c>
      <c r="R44" s="3" t="s">
        <v>45</v>
      </c>
      <c r="S44" s="1" t="s">
        <v>46</v>
      </c>
      <c r="T44" s="4" t="s">
        <v>31</v>
      </c>
      <c r="U44" s="7" t="s">
        <v>46</v>
      </c>
      <c r="V44" s="7" t="s">
        <v>46</v>
      </c>
      <c r="W44" s="7" t="s">
        <v>46</v>
      </c>
      <c r="X44" s="7" t="s">
        <v>1751</v>
      </c>
      <c r="Y44" s="10">
        <f t="shared" si="1"/>
        <v>179.81999999999999</v>
      </c>
      <c r="Z44" s="5">
        <v>9164393</v>
      </c>
      <c r="AA44" s="5" t="s">
        <v>1922</v>
      </c>
      <c r="AB44" s="5" t="s">
        <v>1751</v>
      </c>
      <c r="AC44" s="5" t="s">
        <v>1925</v>
      </c>
      <c r="AE44" s="5" t="s">
        <v>1923</v>
      </c>
      <c r="AH44" s="5">
        <f>VLOOKUP(B44,[1]DL!$BK:$BP,6,0)</f>
        <v>9164393</v>
      </c>
    </row>
    <row r="45" spans="1:34" ht="14.5">
      <c r="A45" s="5">
        <v>42</v>
      </c>
      <c r="B45" s="5" t="str">
        <f t="shared" si="0"/>
        <v>07AAACB2894G1ZPHF2707I000129884</v>
      </c>
      <c r="C45" s="1" t="s">
        <v>90</v>
      </c>
      <c r="D45" s="1" t="s">
        <v>91</v>
      </c>
      <c r="E45" s="1" t="s">
        <v>98</v>
      </c>
      <c r="F45" s="1" t="s">
        <v>24</v>
      </c>
      <c r="G45" s="1" t="s">
        <v>93</v>
      </c>
      <c r="H45" s="2">
        <v>470.82</v>
      </c>
      <c r="I45" s="1" t="s">
        <v>44</v>
      </c>
      <c r="J45" s="3" t="s">
        <v>27</v>
      </c>
      <c r="K45" s="2">
        <v>399</v>
      </c>
      <c r="L45" s="2">
        <v>0</v>
      </c>
      <c r="M45" s="2">
        <v>35.909999999999997</v>
      </c>
      <c r="N45" s="2">
        <v>35.909999999999997</v>
      </c>
      <c r="O45" s="2">
        <v>0</v>
      </c>
      <c r="P45" s="7" t="s">
        <v>28</v>
      </c>
      <c r="Q45" s="1" t="s">
        <v>94</v>
      </c>
      <c r="R45" s="3" t="s">
        <v>45</v>
      </c>
      <c r="S45" s="1" t="s">
        <v>46</v>
      </c>
      <c r="T45" s="4" t="s">
        <v>31</v>
      </c>
      <c r="U45" s="7" t="s">
        <v>46</v>
      </c>
      <c r="V45" s="7" t="s">
        <v>46</v>
      </c>
      <c r="W45" s="7" t="s">
        <v>46</v>
      </c>
      <c r="X45" s="7" t="s">
        <v>1751</v>
      </c>
      <c r="Y45" s="10">
        <f t="shared" si="1"/>
        <v>71.819999999999993</v>
      </c>
      <c r="Z45" s="5">
        <v>9164381</v>
      </c>
      <c r="AA45" s="5" t="s">
        <v>1922</v>
      </c>
      <c r="AB45" s="5" t="s">
        <v>1751</v>
      </c>
      <c r="AC45" s="5" t="s">
        <v>1924</v>
      </c>
      <c r="AE45" s="5" t="s">
        <v>1923</v>
      </c>
      <c r="AH45" s="5">
        <f>VLOOKUP(B45,[1]DL!$BK:$BP,6,0)</f>
        <v>9164381</v>
      </c>
    </row>
    <row r="46" spans="1:34" ht="14.5">
      <c r="A46" s="5">
        <v>43</v>
      </c>
      <c r="B46" s="5" t="str">
        <f t="shared" si="0"/>
        <v>07AAACB2894G1ZPHF2707I000130245</v>
      </c>
      <c r="C46" s="1" t="s">
        <v>90</v>
      </c>
      <c r="D46" s="1" t="s">
        <v>91</v>
      </c>
      <c r="E46" s="1" t="s">
        <v>99</v>
      </c>
      <c r="F46" s="1" t="s">
        <v>24</v>
      </c>
      <c r="G46" s="1" t="s">
        <v>93</v>
      </c>
      <c r="H46" s="2">
        <v>4835.6400000000003</v>
      </c>
      <c r="I46" s="1" t="s">
        <v>44</v>
      </c>
      <c r="J46" s="3" t="s">
        <v>27</v>
      </c>
      <c r="K46" s="2">
        <v>4098</v>
      </c>
      <c r="L46" s="2">
        <v>0</v>
      </c>
      <c r="M46" s="2">
        <v>368.82</v>
      </c>
      <c r="N46" s="2">
        <v>368.82</v>
      </c>
      <c r="O46" s="2">
        <v>0</v>
      </c>
      <c r="P46" s="7" t="s">
        <v>28</v>
      </c>
      <c r="Q46" s="1" t="s">
        <v>94</v>
      </c>
      <c r="R46" s="3" t="s">
        <v>45</v>
      </c>
      <c r="S46" s="1" t="s">
        <v>46</v>
      </c>
      <c r="T46" s="4" t="s">
        <v>31</v>
      </c>
      <c r="U46" s="7" t="s">
        <v>46</v>
      </c>
      <c r="V46" s="7" t="s">
        <v>46</v>
      </c>
      <c r="W46" s="7" t="s">
        <v>46</v>
      </c>
      <c r="X46" s="7" t="s">
        <v>1751</v>
      </c>
      <c r="Y46" s="10">
        <f t="shared" si="1"/>
        <v>737.63999999999999</v>
      </c>
      <c r="Z46" s="5">
        <v>9164382</v>
      </c>
      <c r="AA46" s="5" t="s">
        <v>1922</v>
      </c>
      <c r="AB46" s="5" t="s">
        <v>1751</v>
      </c>
      <c r="AC46" s="5" t="s">
        <v>1924</v>
      </c>
      <c r="AE46" s="5" t="s">
        <v>1923</v>
      </c>
      <c r="AH46" s="5">
        <f>VLOOKUP(B46,[1]DL!$BK:$BP,6,0)</f>
        <v>9164382</v>
      </c>
    </row>
    <row r="47" spans="1:34" ht="14.5">
      <c r="A47" s="5">
        <v>44</v>
      </c>
      <c r="B47" s="5" t="str">
        <f t="shared" si="0"/>
        <v>07AAACB2894G1ZPHF2707I000130293</v>
      </c>
      <c r="C47" s="1" t="s">
        <v>90</v>
      </c>
      <c r="D47" s="1" t="s">
        <v>91</v>
      </c>
      <c r="E47" s="1" t="s">
        <v>100</v>
      </c>
      <c r="F47" s="1" t="s">
        <v>24</v>
      </c>
      <c r="G47" s="1" t="s">
        <v>93</v>
      </c>
      <c r="H47" s="2">
        <v>1395.94</v>
      </c>
      <c r="I47" s="1" t="s">
        <v>44</v>
      </c>
      <c r="J47" s="3" t="s">
        <v>27</v>
      </c>
      <c r="K47" s="2">
        <v>1183</v>
      </c>
      <c r="L47" s="2">
        <v>0</v>
      </c>
      <c r="M47" s="2">
        <v>106.47</v>
      </c>
      <c r="N47" s="2">
        <v>106.47</v>
      </c>
      <c r="O47" s="2">
        <v>0</v>
      </c>
      <c r="P47" s="7" t="s">
        <v>28</v>
      </c>
      <c r="Q47" s="1" t="s">
        <v>94</v>
      </c>
      <c r="R47" s="3" t="s">
        <v>45</v>
      </c>
      <c r="S47" s="1" t="s">
        <v>46</v>
      </c>
      <c r="T47" s="4" t="s">
        <v>31</v>
      </c>
      <c r="U47" s="7" t="s">
        <v>46</v>
      </c>
      <c r="V47" s="7" t="s">
        <v>46</v>
      </c>
      <c r="W47" s="7" t="s">
        <v>46</v>
      </c>
      <c r="X47" s="7" t="s">
        <v>1751</v>
      </c>
      <c r="Y47" s="10">
        <f t="shared" si="1"/>
        <v>212.94</v>
      </c>
      <c r="Z47" s="5">
        <v>9164383</v>
      </c>
      <c r="AA47" s="5" t="s">
        <v>1922</v>
      </c>
      <c r="AB47" s="5" t="s">
        <v>1751</v>
      </c>
      <c r="AC47" s="5" t="s">
        <v>1925</v>
      </c>
      <c r="AE47" s="5" t="s">
        <v>1923</v>
      </c>
      <c r="AH47" s="5">
        <f>VLOOKUP(B47,[1]DL!$BK:$BP,6,0)</f>
        <v>9164383</v>
      </c>
    </row>
    <row r="48" spans="1:34" ht="14.5">
      <c r="A48" s="5">
        <v>45</v>
      </c>
      <c r="B48" s="5" t="str">
        <f t="shared" si="0"/>
        <v>07AAACB2894G1ZPHF2707I000131905</v>
      </c>
      <c r="C48" s="1" t="s">
        <v>90</v>
      </c>
      <c r="D48" s="1" t="s">
        <v>91</v>
      </c>
      <c r="E48" s="1" t="s">
        <v>101</v>
      </c>
      <c r="F48" s="1" t="s">
        <v>24</v>
      </c>
      <c r="G48" s="1" t="s">
        <v>93</v>
      </c>
      <c r="H48" s="2">
        <v>1178.82</v>
      </c>
      <c r="I48" s="1" t="s">
        <v>44</v>
      </c>
      <c r="J48" s="3" t="s">
        <v>27</v>
      </c>
      <c r="K48" s="2">
        <v>999</v>
      </c>
      <c r="L48" s="2">
        <v>0</v>
      </c>
      <c r="M48" s="2">
        <v>89.91</v>
      </c>
      <c r="N48" s="2">
        <v>89.91</v>
      </c>
      <c r="O48" s="2">
        <v>0</v>
      </c>
      <c r="P48" s="7" t="s">
        <v>28</v>
      </c>
      <c r="Q48" s="1" t="s">
        <v>94</v>
      </c>
      <c r="R48" s="3" t="s">
        <v>45</v>
      </c>
      <c r="S48" s="1" t="s">
        <v>46</v>
      </c>
      <c r="T48" s="4" t="s">
        <v>31</v>
      </c>
      <c r="U48" s="7" t="s">
        <v>46</v>
      </c>
      <c r="V48" s="7" t="s">
        <v>46</v>
      </c>
      <c r="W48" s="7" t="s">
        <v>46</v>
      </c>
      <c r="X48" s="7" t="s">
        <v>1751</v>
      </c>
      <c r="Y48" s="10">
        <f t="shared" si="1"/>
        <v>179.81999999999999</v>
      </c>
      <c r="Z48" s="5">
        <v>9164385</v>
      </c>
      <c r="AA48" s="5" t="s">
        <v>1922</v>
      </c>
      <c r="AB48" s="5" t="s">
        <v>1751</v>
      </c>
      <c r="AC48" s="5" t="s">
        <v>1924</v>
      </c>
      <c r="AE48" s="5" t="s">
        <v>1923</v>
      </c>
      <c r="AH48" s="5">
        <f>VLOOKUP(B48,[1]DL!$BK:$BP,6,0)</f>
        <v>9164385</v>
      </c>
    </row>
    <row r="49" spans="1:34" ht="14.5">
      <c r="A49" s="5">
        <v>46</v>
      </c>
      <c r="B49" s="5" t="str">
        <f t="shared" si="0"/>
        <v>07AAACB2894G1ZPHF2707I000134626</v>
      </c>
      <c r="C49" s="1" t="s">
        <v>90</v>
      </c>
      <c r="D49" s="1" t="s">
        <v>91</v>
      </c>
      <c r="E49" s="1" t="s">
        <v>102</v>
      </c>
      <c r="F49" s="1" t="s">
        <v>24</v>
      </c>
      <c r="G49" s="1" t="s">
        <v>93</v>
      </c>
      <c r="H49" s="2">
        <v>470.82</v>
      </c>
      <c r="I49" s="1" t="s">
        <v>44</v>
      </c>
      <c r="J49" s="3" t="s">
        <v>27</v>
      </c>
      <c r="K49" s="2">
        <v>399</v>
      </c>
      <c r="L49" s="2">
        <v>0</v>
      </c>
      <c r="M49" s="2">
        <v>35.909999999999997</v>
      </c>
      <c r="N49" s="2">
        <v>35.909999999999997</v>
      </c>
      <c r="O49" s="2">
        <v>0</v>
      </c>
      <c r="P49" s="7" t="s">
        <v>28</v>
      </c>
      <c r="Q49" s="1" t="s">
        <v>94</v>
      </c>
      <c r="R49" s="3" t="s">
        <v>45</v>
      </c>
      <c r="S49" s="1" t="s">
        <v>46</v>
      </c>
      <c r="T49" s="4" t="s">
        <v>31</v>
      </c>
      <c r="U49" s="7" t="s">
        <v>46</v>
      </c>
      <c r="V49" s="7" t="s">
        <v>46</v>
      </c>
      <c r="W49" s="7" t="s">
        <v>46</v>
      </c>
      <c r="X49" s="7" t="s">
        <v>1751</v>
      </c>
      <c r="Y49" s="10">
        <f t="shared" si="1"/>
        <v>71.819999999999993</v>
      </c>
      <c r="Z49" s="5">
        <v>9164380</v>
      </c>
      <c r="AA49" s="5" t="s">
        <v>1922</v>
      </c>
      <c r="AB49" s="5" t="s">
        <v>1751</v>
      </c>
      <c r="AC49" s="5" t="s">
        <v>1924</v>
      </c>
      <c r="AE49" s="5" t="s">
        <v>1923</v>
      </c>
      <c r="AH49" s="5">
        <f>VLOOKUP(B49,[1]DL!$BK:$BP,6,0)</f>
        <v>9164380</v>
      </c>
    </row>
    <row r="50" spans="1:34" ht="14.5">
      <c r="A50" s="5">
        <v>47</v>
      </c>
      <c r="B50" s="5" t="str">
        <f t="shared" si="0"/>
        <v>07AAACB2894G1ZPHF2707I000136786</v>
      </c>
      <c r="C50" s="1" t="s">
        <v>90</v>
      </c>
      <c r="D50" s="1" t="s">
        <v>91</v>
      </c>
      <c r="E50" s="1" t="s">
        <v>103</v>
      </c>
      <c r="F50" s="1" t="s">
        <v>24</v>
      </c>
      <c r="G50" s="1" t="s">
        <v>93</v>
      </c>
      <c r="H50" s="2">
        <v>1178.82</v>
      </c>
      <c r="I50" s="1" t="s">
        <v>44</v>
      </c>
      <c r="J50" s="3" t="s">
        <v>27</v>
      </c>
      <c r="K50" s="2">
        <v>999</v>
      </c>
      <c r="L50" s="2">
        <v>0</v>
      </c>
      <c r="M50" s="2">
        <v>89.91</v>
      </c>
      <c r="N50" s="2">
        <v>89.91</v>
      </c>
      <c r="O50" s="2">
        <v>0</v>
      </c>
      <c r="P50" s="7" t="s">
        <v>28</v>
      </c>
      <c r="Q50" s="1" t="s">
        <v>94</v>
      </c>
      <c r="R50" s="3" t="s">
        <v>45</v>
      </c>
      <c r="S50" s="1" t="s">
        <v>46</v>
      </c>
      <c r="T50" s="4" t="s">
        <v>31</v>
      </c>
      <c r="U50" s="7" t="s">
        <v>46</v>
      </c>
      <c r="V50" s="7" t="s">
        <v>46</v>
      </c>
      <c r="W50" s="7" t="s">
        <v>46</v>
      </c>
      <c r="X50" s="7" t="s">
        <v>1751</v>
      </c>
      <c r="Y50" s="10">
        <f t="shared" si="1"/>
        <v>179.81999999999999</v>
      </c>
      <c r="Z50" s="5">
        <v>9164384</v>
      </c>
      <c r="AA50" s="5" t="s">
        <v>1922</v>
      </c>
      <c r="AB50" s="5" t="s">
        <v>1751</v>
      </c>
      <c r="AC50" s="5" t="s">
        <v>1924</v>
      </c>
      <c r="AE50" s="5" t="s">
        <v>1923</v>
      </c>
      <c r="AH50" s="5">
        <f>VLOOKUP(B50,[1]DL!$BK:$BP,6,0)</f>
        <v>9164384</v>
      </c>
    </row>
    <row r="51" spans="1:34" ht="14.5">
      <c r="A51" s="5">
        <v>48</v>
      </c>
      <c r="B51" s="5" t="str">
        <f t="shared" si="0"/>
        <v>07AAACB2894G1ZPHF2707I000137672</v>
      </c>
      <c r="C51" s="1" t="s">
        <v>90</v>
      </c>
      <c r="D51" s="1" t="s">
        <v>91</v>
      </c>
      <c r="E51" s="1" t="s">
        <v>104</v>
      </c>
      <c r="F51" s="1" t="s">
        <v>24</v>
      </c>
      <c r="G51" s="1" t="s">
        <v>93</v>
      </c>
      <c r="H51" s="2">
        <v>470.82</v>
      </c>
      <c r="I51" s="1" t="s">
        <v>44</v>
      </c>
      <c r="J51" s="3" t="s">
        <v>27</v>
      </c>
      <c r="K51" s="2">
        <v>399</v>
      </c>
      <c r="L51" s="2">
        <v>0</v>
      </c>
      <c r="M51" s="2">
        <v>35.909999999999997</v>
      </c>
      <c r="N51" s="2">
        <v>35.909999999999997</v>
      </c>
      <c r="O51" s="2">
        <v>0</v>
      </c>
      <c r="P51" s="7" t="s">
        <v>28</v>
      </c>
      <c r="Q51" s="1" t="s">
        <v>94</v>
      </c>
      <c r="R51" s="3" t="s">
        <v>45</v>
      </c>
      <c r="S51" s="1" t="s">
        <v>46</v>
      </c>
      <c r="T51" s="4" t="s">
        <v>31</v>
      </c>
      <c r="U51" s="7" t="s">
        <v>46</v>
      </c>
      <c r="V51" s="7" t="s">
        <v>46</v>
      </c>
      <c r="W51" s="7" t="s">
        <v>46</v>
      </c>
      <c r="X51" s="7" t="s">
        <v>1751</v>
      </c>
      <c r="Y51" s="10">
        <f t="shared" si="1"/>
        <v>71.819999999999993</v>
      </c>
      <c r="Z51" s="5">
        <v>9164391</v>
      </c>
      <c r="AA51" s="5" t="s">
        <v>1922</v>
      </c>
      <c r="AB51" s="5" t="s">
        <v>1751</v>
      </c>
      <c r="AC51" s="5" t="s">
        <v>1924</v>
      </c>
      <c r="AE51" s="5" t="s">
        <v>1923</v>
      </c>
      <c r="AH51" s="5">
        <f>VLOOKUP(B51,[1]DL!$BK:$BP,6,0)</f>
        <v>9164391</v>
      </c>
    </row>
    <row r="52" spans="1:34" ht="14.5">
      <c r="A52" s="5">
        <v>49</v>
      </c>
      <c r="B52" s="5" t="str">
        <f t="shared" si="0"/>
        <v>07AAACB2894G1ZPHF2707I000137673</v>
      </c>
      <c r="C52" s="1" t="s">
        <v>90</v>
      </c>
      <c r="D52" s="1" t="s">
        <v>91</v>
      </c>
      <c r="E52" s="1" t="s">
        <v>105</v>
      </c>
      <c r="F52" s="1" t="s">
        <v>24</v>
      </c>
      <c r="G52" s="1" t="s">
        <v>93</v>
      </c>
      <c r="H52" s="2">
        <v>470.82</v>
      </c>
      <c r="I52" s="1" t="s">
        <v>44</v>
      </c>
      <c r="J52" s="3" t="s">
        <v>27</v>
      </c>
      <c r="K52" s="2">
        <v>399</v>
      </c>
      <c r="L52" s="2">
        <v>0</v>
      </c>
      <c r="M52" s="2">
        <v>35.909999999999997</v>
      </c>
      <c r="N52" s="2">
        <v>35.909999999999997</v>
      </c>
      <c r="O52" s="2">
        <v>0</v>
      </c>
      <c r="P52" s="7" t="s">
        <v>28</v>
      </c>
      <c r="Q52" s="1" t="s">
        <v>94</v>
      </c>
      <c r="R52" s="3" t="s">
        <v>45</v>
      </c>
      <c r="S52" s="1" t="s">
        <v>46</v>
      </c>
      <c r="T52" s="4" t="s">
        <v>31</v>
      </c>
      <c r="U52" s="7" t="s">
        <v>46</v>
      </c>
      <c r="V52" s="7" t="s">
        <v>46</v>
      </c>
      <c r="W52" s="7" t="s">
        <v>46</v>
      </c>
      <c r="X52" s="7" t="s">
        <v>1751</v>
      </c>
      <c r="Y52" s="10">
        <f t="shared" si="1"/>
        <v>71.819999999999993</v>
      </c>
      <c r="Z52" s="5">
        <v>9164387</v>
      </c>
      <c r="AA52" s="5" t="s">
        <v>1922</v>
      </c>
      <c r="AB52" s="5" t="s">
        <v>1751</v>
      </c>
      <c r="AC52" s="5" t="s">
        <v>1924</v>
      </c>
      <c r="AE52" s="5" t="s">
        <v>1923</v>
      </c>
      <c r="AH52" s="5">
        <f>VLOOKUP(B52,[1]DL!$BK:$BP,6,0)</f>
        <v>9164387</v>
      </c>
    </row>
    <row r="53" spans="1:34" ht="14.5">
      <c r="A53" s="5">
        <v>50</v>
      </c>
      <c r="B53" s="5" t="str">
        <f t="shared" si="0"/>
        <v>07AAACB2894G1ZPHF2707I000137674</v>
      </c>
      <c r="C53" s="1" t="s">
        <v>90</v>
      </c>
      <c r="D53" s="1" t="s">
        <v>91</v>
      </c>
      <c r="E53" s="1" t="s">
        <v>106</v>
      </c>
      <c r="F53" s="1" t="s">
        <v>24</v>
      </c>
      <c r="G53" s="1" t="s">
        <v>93</v>
      </c>
      <c r="H53" s="2">
        <v>470.82</v>
      </c>
      <c r="I53" s="1" t="s">
        <v>44</v>
      </c>
      <c r="J53" s="3" t="s">
        <v>27</v>
      </c>
      <c r="K53" s="2">
        <v>399</v>
      </c>
      <c r="L53" s="2">
        <v>0</v>
      </c>
      <c r="M53" s="2">
        <v>35.909999999999997</v>
      </c>
      <c r="N53" s="2">
        <v>35.909999999999997</v>
      </c>
      <c r="O53" s="2">
        <v>0</v>
      </c>
      <c r="P53" s="7" t="s">
        <v>28</v>
      </c>
      <c r="Q53" s="1" t="s">
        <v>94</v>
      </c>
      <c r="R53" s="3" t="s">
        <v>45</v>
      </c>
      <c r="S53" s="1" t="s">
        <v>46</v>
      </c>
      <c r="T53" s="4" t="s">
        <v>31</v>
      </c>
      <c r="U53" s="7" t="s">
        <v>46</v>
      </c>
      <c r="V53" s="7" t="s">
        <v>46</v>
      </c>
      <c r="W53" s="7" t="s">
        <v>46</v>
      </c>
      <c r="X53" s="7" t="s">
        <v>1751</v>
      </c>
      <c r="Y53" s="10">
        <f t="shared" si="1"/>
        <v>71.819999999999993</v>
      </c>
      <c r="Z53" s="5">
        <v>9164386</v>
      </c>
      <c r="AA53" s="5" t="s">
        <v>1922</v>
      </c>
      <c r="AB53" s="5" t="s">
        <v>1751</v>
      </c>
      <c r="AC53" s="5" t="s">
        <v>1924</v>
      </c>
      <c r="AE53" s="5" t="s">
        <v>1923</v>
      </c>
      <c r="AH53" s="5">
        <f>VLOOKUP(B53,[1]DL!$BK:$BP,6,0)</f>
        <v>9164386</v>
      </c>
    </row>
    <row r="54" spans="1:34" ht="14.5">
      <c r="A54" s="5">
        <v>51</v>
      </c>
      <c r="B54" s="5" t="str">
        <f t="shared" si="0"/>
        <v>07AAACB2894G1ZPMF2707I000063444</v>
      </c>
      <c r="C54" s="1" t="s">
        <v>90</v>
      </c>
      <c r="D54" s="1" t="s">
        <v>91</v>
      </c>
      <c r="E54" s="1" t="s">
        <v>107</v>
      </c>
      <c r="F54" s="1" t="s">
        <v>24</v>
      </c>
      <c r="G54" s="1" t="s">
        <v>93</v>
      </c>
      <c r="H54" s="2">
        <v>55947.90</v>
      </c>
      <c r="I54" s="1" t="s">
        <v>44</v>
      </c>
      <c r="J54" s="3" t="s">
        <v>27</v>
      </c>
      <c r="K54" s="2">
        <v>47413.48</v>
      </c>
      <c r="L54" s="2">
        <v>0</v>
      </c>
      <c r="M54" s="2">
        <v>4267.21</v>
      </c>
      <c r="N54" s="2">
        <v>4267.21</v>
      </c>
      <c r="O54" s="2">
        <v>0</v>
      </c>
      <c r="P54" s="7" t="s">
        <v>28</v>
      </c>
      <c r="Q54" s="1" t="s">
        <v>94</v>
      </c>
      <c r="R54" s="3" t="s">
        <v>45</v>
      </c>
      <c r="S54" s="1" t="s">
        <v>46</v>
      </c>
      <c r="T54" s="4" t="s">
        <v>31</v>
      </c>
      <c r="U54" s="7" t="s">
        <v>46</v>
      </c>
      <c r="V54" s="7" t="s">
        <v>46</v>
      </c>
      <c r="W54" s="7" t="s">
        <v>46</v>
      </c>
      <c r="X54" s="7" t="s">
        <v>1751</v>
      </c>
      <c r="Y54" s="10">
        <f t="shared" si="1"/>
        <v>8534.4200000000001</v>
      </c>
      <c r="Z54" s="5">
        <v>9156749</v>
      </c>
      <c r="AA54" s="5" t="s">
        <v>1922</v>
      </c>
      <c r="AB54" s="5" t="s">
        <v>1751</v>
      </c>
      <c r="AC54" s="5" t="s">
        <v>1924</v>
      </c>
      <c r="AE54" s="5" t="s">
        <v>1923</v>
      </c>
      <c r="AH54" s="5">
        <f>VLOOKUP(B54,[1]DL!$BK:$BP,6,0)</f>
        <v>9156749</v>
      </c>
    </row>
    <row r="55" spans="1:34" ht="14.5">
      <c r="A55" s="5">
        <v>52</v>
      </c>
      <c r="B55" s="5" t="str">
        <f t="shared" si="0"/>
        <v>07AAACB2894G1ZPMF2707I000063997</v>
      </c>
      <c r="C55" s="1" t="s">
        <v>90</v>
      </c>
      <c r="D55" s="1" t="s">
        <v>91</v>
      </c>
      <c r="E55" s="1" t="s">
        <v>108</v>
      </c>
      <c r="F55" s="1" t="s">
        <v>24</v>
      </c>
      <c r="G55" s="1" t="s">
        <v>93</v>
      </c>
      <c r="H55" s="2">
        <v>666.70</v>
      </c>
      <c r="I55" s="1" t="s">
        <v>44</v>
      </c>
      <c r="J55" s="3" t="s">
        <v>27</v>
      </c>
      <c r="K55" s="2">
        <v>565</v>
      </c>
      <c r="L55" s="2">
        <v>0</v>
      </c>
      <c r="M55" s="2">
        <v>50.85</v>
      </c>
      <c r="N55" s="2">
        <v>50.85</v>
      </c>
      <c r="O55" s="2">
        <v>0</v>
      </c>
      <c r="P55" s="7" t="s">
        <v>28</v>
      </c>
      <c r="Q55" s="1" t="s">
        <v>94</v>
      </c>
      <c r="R55" s="3" t="s">
        <v>45</v>
      </c>
      <c r="S55" s="1" t="s">
        <v>46</v>
      </c>
      <c r="T55" s="4" t="s">
        <v>31</v>
      </c>
      <c r="U55" s="7" t="s">
        <v>46</v>
      </c>
      <c r="V55" s="7" t="s">
        <v>46</v>
      </c>
      <c r="W55" s="7" t="s">
        <v>46</v>
      </c>
      <c r="X55" s="7" t="s">
        <v>1751</v>
      </c>
      <c r="Y55" s="10">
        <f t="shared" si="1"/>
        <v>101.7</v>
      </c>
      <c r="Z55" s="5">
        <v>9156751</v>
      </c>
      <c r="AA55" s="5" t="s">
        <v>1922</v>
      </c>
      <c r="AB55" s="5" t="s">
        <v>1751</v>
      </c>
      <c r="AC55" s="5" t="s">
        <v>1924</v>
      </c>
      <c r="AE55" s="5" t="s">
        <v>1923</v>
      </c>
      <c r="AH55" s="5">
        <f>VLOOKUP(B55,[1]DL!$BK:$BP,6,0)</f>
        <v>9156751</v>
      </c>
    </row>
    <row r="56" spans="1:34" ht="14.5">
      <c r="A56" s="5">
        <v>53</v>
      </c>
      <c r="B56" s="5" t="str">
        <f t="shared" si="0"/>
        <v>07AAACB2894G1ZPMF2707I000130888</v>
      </c>
      <c r="C56" s="1" t="s">
        <v>90</v>
      </c>
      <c r="D56" s="1" t="s">
        <v>91</v>
      </c>
      <c r="E56" s="1" t="s">
        <v>109</v>
      </c>
      <c r="F56" s="1" t="s">
        <v>24</v>
      </c>
      <c r="G56" s="1" t="s">
        <v>93</v>
      </c>
      <c r="H56" s="2">
        <v>2529.92</v>
      </c>
      <c r="I56" s="1" t="s">
        <v>44</v>
      </c>
      <c r="J56" s="3" t="s">
        <v>27</v>
      </c>
      <c r="K56" s="2">
        <v>2144</v>
      </c>
      <c r="L56" s="2">
        <v>0</v>
      </c>
      <c r="M56" s="2">
        <v>192.96</v>
      </c>
      <c r="N56" s="2">
        <v>192.96</v>
      </c>
      <c r="O56" s="2">
        <v>0</v>
      </c>
      <c r="P56" s="7" t="s">
        <v>28</v>
      </c>
      <c r="Q56" s="1" t="s">
        <v>94</v>
      </c>
      <c r="R56" s="3" t="s">
        <v>45</v>
      </c>
      <c r="S56" s="1" t="s">
        <v>46</v>
      </c>
      <c r="T56" s="4" t="s">
        <v>31</v>
      </c>
      <c r="U56" s="7" t="s">
        <v>46</v>
      </c>
      <c r="V56" s="7" t="s">
        <v>46</v>
      </c>
      <c r="W56" s="7" t="s">
        <v>46</v>
      </c>
      <c r="X56" s="7" t="s">
        <v>1751</v>
      </c>
      <c r="Y56" s="10">
        <f t="shared" si="1"/>
        <v>385.92000000000002</v>
      </c>
      <c r="Z56" s="5">
        <v>9156752</v>
      </c>
      <c r="AA56" s="5" t="s">
        <v>1922</v>
      </c>
      <c r="AB56" s="5" t="s">
        <v>1751</v>
      </c>
      <c r="AC56" s="5" t="s">
        <v>1924</v>
      </c>
      <c r="AE56" s="5" t="s">
        <v>1923</v>
      </c>
      <c r="AH56" s="5">
        <f>VLOOKUP(B56,[1]DL!$BK:$BP,6,0)</f>
        <v>9156752</v>
      </c>
    </row>
    <row r="57" spans="1:34" ht="14.5" hidden="1">
      <c r="A57" s="5">
        <v>54</v>
      </c>
      <c r="B57" s="5" t="str">
        <f t="shared" si="0"/>
        <v>07AAACB2894G1ZPMF2707I000174104</v>
      </c>
      <c r="C57" s="1" t="s">
        <v>90</v>
      </c>
      <c r="D57" s="1" t="s">
        <v>91</v>
      </c>
      <c r="E57" s="1" t="s">
        <v>110</v>
      </c>
      <c r="F57" s="1" t="s">
        <v>24</v>
      </c>
      <c r="G57" s="1" t="s">
        <v>93</v>
      </c>
      <c r="H57" s="2">
        <v>592.36</v>
      </c>
      <c r="I57" s="1" t="s">
        <v>44</v>
      </c>
      <c r="J57" s="3" t="s">
        <v>27</v>
      </c>
      <c r="K57" s="2">
        <v>502</v>
      </c>
      <c r="L57" s="2">
        <v>0</v>
      </c>
      <c r="M57" s="2">
        <v>45.18</v>
      </c>
      <c r="N57" s="2">
        <v>45.18</v>
      </c>
      <c r="O57" s="2">
        <v>0</v>
      </c>
      <c r="P57" s="7" t="s">
        <v>28</v>
      </c>
      <c r="Q57" s="1" t="s">
        <v>94</v>
      </c>
      <c r="R57" s="3" t="s">
        <v>45</v>
      </c>
      <c r="S57" s="1" t="s">
        <v>46</v>
      </c>
      <c r="T57" s="4" t="s">
        <v>31</v>
      </c>
      <c r="U57" s="7" t="s">
        <v>46</v>
      </c>
      <c r="V57" s="7" t="s">
        <v>46</v>
      </c>
      <c r="W57" s="7" t="s">
        <v>46</v>
      </c>
      <c r="X57" s="7" t="s">
        <v>1751</v>
      </c>
      <c r="Y57" s="10">
        <f t="shared" si="1"/>
        <v>90.359999999999999</v>
      </c>
      <c r="AH57" s="5" t="e">
        <f>VLOOKUP(B57,[1]DL!$BK:$BP,6,0)</f>
        <v>#N/A</v>
      </c>
    </row>
    <row r="58" spans="1:34" ht="14.5" hidden="1">
      <c r="A58" s="5">
        <v>55</v>
      </c>
      <c r="B58" s="5" t="str">
        <f t="shared" si="0"/>
        <v>07AAIFD8361K1Z2DN/APR26MH/001</v>
      </c>
      <c r="C58" s="1" t="s">
        <v>111</v>
      </c>
      <c r="D58" s="1" t="s">
        <v>112</v>
      </c>
      <c r="E58" s="1" t="s">
        <v>113</v>
      </c>
      <c r="F58" s="1" t="s">
        <v>24</v>
      </c>
      <c r="G58" s="1" t="s">
        <v>50</v>
      </c>
      <c r="H58" s="2">
        <v>2242</v>
      </c>
      <c r="I58" s="1" t="s">
        <v>44</v>
      </c>
      <c r="J58" s="3" t="s">
        <v>27</v>
      </c>
      <c r="K58" s="2">
        <v>1900</v>
      </c>
      <c r="L58" s="2">
        <v>0</v>
      </c>
      <c r="M58" s="2">
        <v>171</v>
      </c>
      <c r="N58" s="2">
        <v>171</v>
      </c>
      <c r="O58" s="2">
        <v>0</v>
      </c>
      <c r="P58" s="7" t="s">
        <v>28</v>
      </c>
      <c r="Q58" s="1" t="s">
        <v>94</v>
      </c>
      <c r="R58" s="3" t="s">
        <v>45</v>
      </c>
      <c r="S58" s="1" t="s">
        <v>46</v>
      </c>
      <c r="T58" s="4" t="s">
        <v>31</v>
      </c>
      <c r="U58" s="7" t="s">
        <v>32</v>
      </c>
      <c r="V58" s="7" t="s">
        <v>114</v>
      </c>
      <c r="W58" s="7" t="s">
        <v>50</v>
      </c>
      <c r="X58" s="7" t="s">
        <v>1751</v>
      </c>
      <c r="Y58" s="10">
        <f t="shared" si="1"/>
        <v>342</v>
      </c>
      <c r="AH58" s="5" t="e">
        <f>VLOOKUP(B58,[1]DL!$BK:$BP,6,0)</f>
        <v>#N/A</v>
      </c>
    </row>
    <row r="59" spans="1:34" ht="14.5" hidden="1">
      <c r="A59" s="5">
        <v>56</v>
      </c>
      <c r="B59" s="5" t="str">
        <f t="shared" si="0"/>
        <v>07AAIFD8361K1Z2DN/APR26MH/002</v>
      </c>
      <c r="C59" s="1" t="s">
        <v>111</v>
      </c>
      <c r="D59" s="1" t="s">
        <v>112</v>
      </c>
      <c r="E59" s="1" t="s">
        <v>115</v>
      </c>
      <c r="F59" s="1" t="s">
        <v>24</v>
      </c>
      <c r="G59" s="1" t="s">
        <v>50</v>
      </c>
      <c r="H59" s="2">
        <v>9617</v>
      </c>
      <c r="I59" s="1" t="s">
        <v>44</v>
      </c>
      <c r="J59" s="3" t="s">
        <v>27</v>
      </c>
      <c r="K59" s="2">
        <v>8150</v>
      </c>
      <c r="L59" s="2">
        <v>0</v>
      </c>
      <c r="M59" s="2">
        <v>733.5</v>
      </c>
      <c r="N59" s="2">
        <v>733.5</v>
      </c>
      <c r="O59" s="2">
        <v>0</v>
      </c>
      <c r="P59" s="7" t="s">
        <v>28</v>
      </c>
      <c r="Q59" s="1" t="s">
        <v>94</v>
      </c>
      <c r="R59" s="3" t="s">
        <v>45</v>
      </c>
      <c r="S59" s="1" t="s">
        <v>46</v>
      </c>
      <c r="T59" s="4" t="s">
        <v>31</v>
      </c>
      <c r="U59" s="7" t="s">
        <v>32</v>
      </c>
      <c r="V59" s="7" t="s">
        <v>116</v>
      </c>
      <c r="W59" s="7" t="s">
        <v>50</v>
      </c>
      <c r="X59" s="7" t="s">
        <v>1751</v>
      </c>
      <c r="Y59" s="10">
        <f t="shared" si="1"/>
        <v>1467</v>
      </c>
      <c r="AH59" s="5" t="e">
        <f>VLOOKUP(B59,[1]DL!$BK:$BP,6,0)</f>
        <v>#N/A</v>
      </c>
    </row>
    <row r="60" spans="1:34" ht="14.5" hidden="1">
      <c r="A60" s="5">
        <v>57</v>
      </c>
      <c r="B60" s="5" t="str">
        <f t="shared" si="0"/>
        <v>07ABMPW2002K1ZIWI/26-27/15</v>
      </c>
      <c r="C60" s="1" t="s">
        <v>117</v>
      </c>
      <c r="D60" s="1" t="s">
        <v>118</v>
      </c>
      <c r="E60" s="1" t="s">
        <v>119</v>
      </c>
      <c r="F60" s="1" t="s">
        <v>24</v>
      </c>
      <c r="G60" s="1" t="s">
        <v>43</v>
      </c>
      <c r="H60" s="2">
        <v>841</v>
      </c>
      <c r="I60" s="1" t="s">
        <v>44</v>
      </c>
      <c r="J60" s="3" t="s">
        <v>27</v>
      </c>
      <c r="K60" s="2">
        <v>712.28</v>
      </c>
      <c r="L60" s="2">
        <v>0</v>
      </c>
      <c r="M60" s="2">
        <v>64.11</v>
      </c>
      <c r="N60" s="2">
        <v>64.11</v>
      </c>
      <c r="O60" s="2">
        <v>0</v>
      </c>
      <c r="P60" s="7" t="s">
        <v>28</v>
      </c>
      <c r="Q60" s="1" t="s">
        <v>120</v>
      </c>
      <c r="R60" s="3" t="s">
        <v>45</v>
      </c>
      <c r="S60" s="1" t="s">
        <v>46</v>
      </c>
      <c r="T60" s="4" t="s">
        <v>31</v>
      </c>
      <c r="U60" s="7" t="s">
        <v>32</v>
      </c>
      <c r="V60" s="7" t="s">
        <v>121</v>
      </c>
      <c r="W60" s="7" t="s">
        <v>43</v>
      </c>
      <c r="X60" s="7" t="s">
        <v>1751</v>
      </c>
      <c r="Y60" s="10">
        <f t="shared" si="1"/>
        <v>128.22</v>
      </c>
      <c r="AH60" s="5" t="e">
        <f>VLOOKUP(B60,[1]DL!$BK:$BP,6,0)</f>
        <v>#N/A</v>
      </c>
    </row>
    <row r="61" spans="1:34" ht="14.5" hidden="1">
      <c r="A61" s="5">
        <v>58</v>
      </c>
      <c r="B61" s="5" t="str">
        <f t="shared" si="0"/>
        <v>07ABMPW2002K1ZIWI/26-27/17</v>
      </c>
      <c r="C61" s="1" t="s">
        <v>117</v>
      </c>
      <c r="D61" s="1" t="s">
        <v>118</v>
      </c>
      <c r="E61" s="1" t="s">
        <v>122</v>
      </c>
      <c r="F61" s="1" t="s">
        <v>24</v>
      </c>
      <c r="G61" s="1" t="s">
        <v>43</v>
      </c>
      <c r="H61" s="2">
        <v>23494</v>
      </c>
      <c r="I61" s="1" t="s">
        <v>44</v>
      </c>
      <c r="J61" s="3" t="s">
        <v>27</v>
      </c>
      <c r="K61" s="2">
        <v>19910</v>
      </c>
      <c r="L61" s="2">
        <v>0</v>
      </c>
      <c r="M61" s="2">
        <v>1791.90</v>
      </c>
      <c r="N61" s="2">
        <v>1791.90</v>
      </c>
      <c r="O61" s="2">
        <v>0</v>
      </c>
      <c r="P61" s="7" t="s">
        <v>28</v>
      </c>
      <c r="Q61" s="1" t="s">
        <v>120</v>
      </c>
      <c r="R61" s="3" t="s">
        <v>45</v>
      </c>
      <c r="S61" s="1" t="s">
        <v>46</v>
      </c>
      <c r="T61" s="4" t="s">
        <v>31</v>
      </c>
      <c r="U61" s="7" t="s">
        <v>32</v>
      </c>
      <c r="V61" s="7" t="s">
        <v>123</v>
      </c>
      <c r="W61" s="7" t="s">
        <v>43</v>
      </c>
      <c r="X61" s="7" t="s">
        <v>1751</v>
      </c>
      <c r="Y61" s="10">
        <f t="shared" si="1"/>
        <v>3583.8000000000002</v>
      </c>
      <c r="AH61" s="5" t="e">
        <f>VLOOKUP(B61,[1]DL!$BK:$BP,6,0)</f>
        <v>#N/A</v>
      </c>
    </row>
    <row r="62" spans="1:34" ht="14.5" hidden="1">
      <c r="A62" s="5">
        <v>59</v>
      </c>
      <c r="B62" s="5" t="str">
        <f t="shared" si="0"/>
        <v>07ABMPW2002K1ZIWI/26-27/29</v>
      </c>
      <c r="C62" s="1" t="s">
        <v>117</v>
      </c>
      <c r="D62" s="1" t="s">
        <v>118</v>
      </c>
      <c r="E62" s="1" t="s">
        <v>124</v>
      </c>
      <c r="F62" s="1" t="s">
        <v>24</v>
      </c>
      <c r="G62" s="1" t="s">
        <v>125</v>
      </c>
      <c r="H62" s="2">
        <v>2596</v>
      </c>
      <c r="I62" s="1" t="s">
        <v>44</v>
      </c>
      <c r="J62" s="3" t="s">
        <v>27</v>
      </c>
      <c r="K62" s="2">
        <v>2200</v>
      </c>
      <c r="L62" s="2">
        <v>0</v>
      </c>
      <c r="M62" s="2">
        <v>198</v>
      </c>
      <c r="N62" s="2">
        <v>198</v>
      </c>
      <c r="O62" s="2">
        <v>0</v>
      </c>
      <c r="P62" s="7" t="s">
        <v>28</v>
      </c>
      <c r="Q62" s="1" t="s">
        <v>120</v>
      </c>
      <c r="R62" s="3" t="s">
        <v>45</v>
      </c>
      <c r="S62" s="1" t="s">
        <v>46</v>
      </c>
      <c r="T62" s="4" t="s">
        <v>31</v>
      </c>
      <c r="U62" s="7" t="s">
        <v>32</v>
      </c>
      <c r="V62" s="7" t="s">
        <v>126</v>
      </c>
      <c r="W62" s="7" t="s">
        <v>125</v>
      </c>
      <c r="X62" s="7" t="s">
        <v>1751</v>
      </c>
      <c r="Y62" s="10">
        <f t="shared" si="1"/>
        <v>396</v>
      </c>
      <c r="AH62" s="5" t="e">
        <f>VLOOKUP(B62,[1]DL!$BK:$BP,6,0)</f>
        <v>#N/A</v>
      </c>
    </row>
    <row r="63" spans="1:34" ht="14.5" hidden="1">
      <c r="A63" s="5">
        <v>60</v>
      </c>
      <c r="B63" s="5" t="str">
        <f t="shared" si="0"/>
        <v>07ABMPW2002K1ZIWI/26-27/59</v>
      </c>
      <c r="C63" s="1" t="s">
        <v>117</v>
      </c>
      <c r="D63" s="1" t="s">
        <v>118</v>
      </c>
      <c r="E63" s="1" t="s">
        <v>127</v>
      </c>
      <c r="F63" s="1" t="s">
        <v>24</v>
      </c>
      <c r="G63" s="1" t="s">
        <v>128</v>
      </c>
      <c r="H63" s="2">
        <v>980</v>
      </c>
      <c r="I63" s="1" t="s">
        <v>44</v>
      </c>
      <c r="J63" s="3" t="s">
        <v>27</v>
      </c>
      <c r="K63" s="2">
        <v>830.51</v>
      </c>
      <c r="L63" s="2">
        <v>0</v>
      </c>
      <c r="M63" s="2">
        <v>74.75</v>
      </c>
      <c r="N63" s="2">
        <v>74.75</v>
      </c>
      <c r="O63" s="2">
        <v>0</v>
      </c>
      <c r="P63" s="7" t="s">
        <v>28</v>
      </c>
      <c r="Q63" s="1" t="s">
        <v>120</v>
      </c>
      <c r="R63" s="3" t="s">
        <v>45</v>
      </c>
      <c r="S63" s="1" t="s">
        <v>46</v>
      </c>
      <c r="T63" s="4" t="s">
        <v>31</v>
      </c>
      <c r="U63" s="7" t="s">
        <v>32</v>
      </c>
      <c r="V63" s="7" t="s">
        <v>129</v>
      </c>
      <c r="W63" s="7" t="s">
        <v>128</v>
      </c>
      <c r="X63" s="7" t="s">
        <v>1751</v>
      </c>
      <c r="Y63" s="10">
        <f t="shared" si="1"/>
        <v>149.5</v>
      </c>
      <c r="AH63" s="5" t="e">
        <f>VLOOKUP(B63,[1]DL!$BK:$BP,6,0)</f>
        <v>#N/A</v>
      </c>
    </row>
    <row r="64" spans="1:34" ht="14.5" hidden="1">
      <c r="A64" s="5">
        <v>61</v>
      </c>
      <c r="B64" s="5" t="str">
        <f t="shared" si="0"/>
        <v>07BOIPG5946J1ZLGSIS070</v>
      </c>
      <c r="C64" s="1" t="s">
        <v>130</v>
      </c>
      <c r="D64" s="1" t="s">
        <v>131</v>
      </c>
      <c r="E64" s="1" t="s">
        <v>132</v>
      </c>
      <c r="F64" s="1" t="s">
        <v>24</v>
      </c>
      <c r="G64" s="1" t="s">
        <v>133</v>
      </c>
      <c r="H64" s="2">
        <v>5434</v>
      </c>
      <c r="I64" s="1" t="s">
        <v>44</v>
      </c>
      <c r="J64" s="3" t="s">
        <v>27</v>
      </c>
      <c r="K64" s="2">
        <v>4605</v>
      </c>
      <c r="L64" s="2">
        <v>0</v>
      </c>
      <c r="M64" s="2">
        <v>414.45</v>
      </c>
      <c r="N64" s="2">
        <v>414.45</v>
      </c>
      <c r="O64" s="2">
        <v>0</v>
      </c>
      <c r="P64" s="7" t="s">
        <v>28</v>
      </c>
      <c r="Q64" s="1" t="s">
        <v>29</v>
      </c>
      <c r="R64" s="3" t="s">
        <v>45</v>
      </c>
      <c r="S64" s="1" t="s">
        <v>46</v>
      </c>
      <c r="T64" s="4" t="s">
        <v>31</v>
      </c>
      <c r="U64" s="7" t="s">
        <v>46</v>
      </c>
      <c r="V64" s="7" t="s">
        <v>46</v>
      </c>
      <c r="W64" s="7" t="s">
        <v>46</v>
      </c>
      <c r="X64" s="7" t="s">
        <v>1751</v>
      </c>
      <c r="Y64" s="10">
        <f t="shared" si="1"/>
        <v>828.89999999999998</v>
      </c>
      <c r="AH64" s="5" t="e">
        <f>VLOOKUP(B64,[1]DL!$BK:$BP,6,0)</f>
        <v>#N/A</v>
      </c>
    </row>
    <row r="65" spans="1:34" ht="14.5" hidden="1">
      <c r="A65" s="5">
        <v>62</v>
      </c>
      <c r="B65" s="5" t="str">
        <f t="shared" si="0"/>
        <v>07AAACB1534F4Z5M260430004647618</v>
      </c>
      <c r="C65" s="1" t="s">
        <v>134</v>
      </c>
      <c r="D65" s="1" t="s">
        <v>135</v>
      </c>
      <c r="E65" s="1" t="s">
        <v>136</v>
      </c>
      <c r="F65" s="1" t="s">
        <v>24</v>
      </c>
      <c r="G65" s="1" t="s">
        <v>76</v>
      </c>
      <c r="H65" s="2">
        <v>354</v>
      </c>
      <c r="I65" s="1" t="s">
        <v>44</v>
      </c>
      <c r="J65" s="3" t="s">
        <v>27</v>
      </c>
      <c r="K65" s="2">
        <v>300</v>
      </c>
      <c r="L65" s="2">
        <v>0</v>
      </c>
      <c r="M65" s="2">
        <v>27</v>
      </c>
      <c r="N65" s="2">
        <v>27</v>
      </c>
      <c r="O65" s="2">
        <v>0</v>
      </c>
      <c r="P65" s="7" t="s">
        <v>28</v>
      </c>
      <c r="Q65" s="1" t="s">
        <v>29</v>
      </c>
      <c r="R65" s="3" t="s">
        <v>45</v>
      </c>
      <c r="S65" s="1" t="s">
        <v>46</v>
      </c>
      <c r="T65" s="4" t="s">
        <v>31</v>
      </c>
      <c r="U65" s="7" t="s">
        <v>46</v>
      </c>
      <c r="V65" s="7" t="s">
        <v>46</v>
      </c>
      <c r="W65" s="7" t="s">
        <v>46</v>
      </c>
      <c r="X65" s="7" t="s">
        <v>1751</v>
      </c>
      <c r="Y65" s="10">
        <f t="shared" si="1"/>
        <v>54</v>
      </c>
      <c r="AH65" s="5" t="e">
        <f>VLOOKUP(B65,[1]DL!$BK:$BP,6,0)</f>
        <v>#N/A</v>
      </c>
    </row>
    <row r="66" spans="1:34" ht="14.5" hidden="1">
      <c r="A66" s="5">
        <v>63</v>
      </c>
      <c r="B66" s="5" t="str">
        <f t="shared" si="0"/>
        <v>06AAHCG4524D1ZYSR32626-1012</v>
      </c>
      <c r="C66" s="1" t="s">
        <v>137</v>
      </c>
      <c r="D66" s="1" t="s">
        <v>138</v>
      </c>
      <c r="E66" s="1" t="s">
        <v>139</v>
      </c>
      <c r="F66" s="1" t="s">
        <v>24</v>
      </c>
      <c r="G66" s="1" t="s">
        <v>140</v>
      </c>
      <c r="H66" s="2">
        <v>12644.25</v>
      </c>
      <c r="I66" s="1" t="s">
        <v>44</v>
      </c>
      <c r="J66" s="3" t="s">
        <v>27</v>
      </c>
      <c r="K66" s="2">
        <v>10715.46</v>
      </c>
      <c r="L66" s="2">
        <v>1928.79</v>
      </c>
      <c r="M66" s="2">
        <v>0</v>
      </c>
      <c r="N66" s="2">
        <v>0</v>
      </c>
      <c r="O66" s="2">
        <v>0</v>
      </c>
      <c r="P66" s="7" t="s">
        <v>28</v>
      </c>
      <c r="Q66" s="1" t="s">
        <v>29</v>
      </c>
      <c r="R66" s="3" t="s">
        <v>45</v>
      </c>
      <c r="S66" s="1" t="s">
        <v>46</v>
      </c>
      <c r="T66" s="4" t="s">
        <v>31</v>
      </c>
      <c r="U66" s="7" t="s">
        <v>46</v>
      </c>
      <c r="V66" s="7" t="s">
        <v>46</v>
      </c>
      <c r="W66" s="7" t="s">
        <v>46</v>
      </c>
      <c r="X66" s="7" t="s">
        <v>1751</v>
      </c>
      <c r="Y66" s="10">
        <f t="shared" si="1"/>
        <v>1928.79</v>
      </c>
      <c r="AH66" s="5" t="e">
        <f>VLOOKUP(B66,[1]DL!$BK:$BP,6,0)</f>
        <v>#N/A</v>
      </c>
    </row>
    <row r="67" spans="1:34" ht="14.5">
      <c r="A67" s="5">
        <v>64</v>
      </c>
      <c r="B67" s="5" t="str">
        <f t="shared" si="0"/>
        <v>07AAHAK7428G1ZHKC/B2B26-27/010</v>
      </c>
      <c r="C67" s="1" t="s">
        <v>141</v>
      </c>
      <c r="D67" s="1" t="s">
        <v>142</v>
      </c>
      <c r="E67" s="1" t="s">
        <v>143</v>
      </c>
      <c r="F67" s="1" t="s">
        <v>24</v>
      </c>
      <c r="G67" s="1" t="s">
        <v>43</v>
      </c>
      <c r="H67" s="2">
        <v>73274</v>
      </c>
      <c r="I67" s="1" t="s">
        <v>44</v>
      </c>
      <c r="J67" s="3" t="s">
        <v>27</v>
      </c>
      <c r="K67" s="2">
        <v>62096</v>
      </c>
      <c r="L67" s="2">
        <v>0</v>
      </c>
      <c r="M67" s="2">
        <v>5589</v>
      </c>
      <c r="N67" s="2">
        <v>5589</v>
      </c>
      <c r="O67" s="2">
        <v>0</v>
      </c>
      <c r="P67" s="7" t="s">
        <v>28</v>
      </c>
      <c r="Q67" s="1" t="s">
        <v>29</v>
      </c>
      <c r="R67" s="3" t="s">
        <v>45</v>
      </c>
      <c r="S67" s="1" t="s">
        <v>46</v>
      </c>
      <c r="T67" s="4" t="s">
        <v>31</v>
      </c>
      <c r="U67" s="7" t="s">
        <v>32</v>
      </c>
      <c r="V67" s="7" t="s">
        <v>144</v>
      </c>
      <c r="W67" s="7" t="s">
        <v>50</v>
      </c>
      <c r="X67" s="7" t="s">
        <v>1751</v>
      </c>
      <c r="Y67" s="10">
        <f t="shared" si="1"/>
        <v>11178</v>
      </c>
      <c r="Z67" s="5">
        <v>9151139</v>
      </c>
      <c r="AA67" s="5" t="s">
        <v>1922</v>
      </c>
      <c r="AB67" s="5" t="s">
        <v>1751</v>
      </c>
      <c r="AC67" s="5" t="s">
        <v>1925</v>
      </c>
      <c r="AE67" s="5" t="s">
        <v>1923</v>
      </c>
      <c r="AH67" s="5">
        <f>VLOOKUP(B67,[1]DL!$BK:$BP,6,0)</f>
        <v>9151139</v>
      </c>
    </row>
    <row r="68" spans="1:34" ht="14.5" hidden="1">
      <c r="A68" s="5">
        <v>65</v>
      </c>
      <c r="B68" s="5" t="str">
        <f t="shared" si="0"/>
        <v>07AAHAK7428G1ZHKC/OT/26-27/051</v>
      </c>
      <c r="C68" s="1" t="s">
        <v>141</v>
      </c>
      <c r="D68" s="1" t="s">
        <v>142</v>
      </c>
      <c r="E68" s="1" t="s">
        <v>145</v>
      </c>
      <c r="F68" s="1" t="s">
        <v>24</v>
      </c>
      <c r="G68" s="1" t="s">
        <v>76</v>
      </c>
      <c r="H68" s="2">
        <v>92871</v>
      </c>
      <c r="I68" s="1" t="s">
        <v>44</v>
      </c>
      <c r="J68" s="3" t="s">
        <v>27</v>
      </c>
      <c r="K68" s="2">
        <v>78705</v>
      </c>
      <c r="L68" s="2">
        <v>0</v>
      </c>
      <c r="M68" s="2">
        <v>7083</v>
      </c>
      <c r="N68" s="2">
        <v>7083</v>
      </c>
      <c r="O68" s="2">
        <v>0</v>
      </c>
      <c r="P68" s="7" t="s">
        <v>28</v>
      </c>
      <c r="Q68" s="1" t="s">
        <v>29</v>
      </c>
      <c r="R68" s="3" t="s">
        <v>45</v>
      </c>
      <c r="S68" s="1" t="s">
        <v>46</v>
      </c>
      <c r="T68" s="4" t="s">
        <v>31</v>
      </c>
      <c r="U68" s="7" t="s">
        <v>32</v>
      </c>
      <c r="V68" s="7" t="s">
        <v>146</v>
      </c>
      <c r="W68" s="7" t="s">
        <v>76</v>
      </c>
      <c r="X68" s="7" t="s">
        <v>1751</v>
      </c>
      <c r="Y68" s="10">
        <f t="shared" si="1"/>
        <v>14166</v>
      </c>
      <c r="AH68" s="5" t="e">
        <f>VLOOKUP(B68,[1]DL!$BK:$BP,6,0)</f>
        <v>#N/A</v>
      </c>
    </row>
    <row r="69" spans="1:34" ht="14.5">
      <c r="A69" s="5">
        <v>66</v>
      </c>
      <c r="B69" s="5" t="str">
        <f t="shared" si="2" ref="B69:B132">C69&amp;E69</f>
        <v>07AABCU0270A1ZZ47</v>
      </c>
      <c r="C69" s="1" t="s">
        <v>147</v>
      </c>
      <c r="D69" s="1" t="s">
        <v>148</v>
      </c>
      <c r="E69" s="1" t="s">
        <v>149</v>
      </c>
      <c r="F69" s="1" t="s">
        <v>24</v>
      </c>
      <c r="G69" s="1" t="s">
        <v>54</v>
      </c>
      <c r="H69" s="2">
        <v>2124</v>
      </c>
      <c r="I69" s="1" t="s">
        <v>44</v>
      </c>
      <c r="J69" s="3" t="s">
        <v>27</v>
      </c>
      <c r="K69" s="2">
        <v>1800</v>
      </c>
      <c r="L69" s="2">
        <v>0</v>
      </c>
      <c r="M69" s="2">
        <v>162</v>
      </c>
      <c r="N69" s="2">
        <v>162</v>
      </c>
      <c r="O69" s="2">
        <v>0</v>
      </c>
      <c r="P69" s="7" t="s">
        <v>28</v>
      </c>
      <c r="Q69" s="1" t="s">
        <v>150</v>
      </c>
      <c r="R69" s="3" t="s">
        <v>45</v>
      </c>
      <c r="S69" s="1" t="s">
        <v>46</v>
      </c>
      <c r="T69" s="4" t="s">
        <v>31</v>
      </c>
      <c r="U69" s="7" t="s">
        <v>46</v>
      </c>
      <c r="V69" s="7" t="s">
        <v>46</v>
      </c>
      <c r="W69" s="7" t="s">
        <v>46</v>
      </c>
      <c r="X69" s="7" t="s">
        <v>1751</v>
      </c>
      <c r="Y69" s="10">
        <f t="shared" si="3" ref="Y69:Y132">L69+M69+N69+O69</f>
        <v>324</v>
      </c>
      <c r="Z69" s="5">
        <v>9157982</v>
      </c>
      <c r="AA69" s="5" t="s">
        <v>1922</v>
      </c>
      <c r="AB69" s="5" t="s">
        <v>1751</v>
      </c>
      <c r="AC69" s="5" t="s">
        <v>1925</v>
      </c>
      <c r="AE69" s="5" t="s">
        <v>1923</v>
      </c>
      <c r="AH69" s="5">
        <f>VLOOKUP(B69,[1]DL!$BK:$BP,6,0)</f>
        <v>9157982</v>
      </c>
    </row>
    <row r="70" spans="1:34" ht="14.5" hidden="1">
      <c r="A70" s="5">
        <v>67</v>
      </c>
      <c r="B70" s="5" t="str">
        <f t="shared" si="2"/>
        <v>07AAFCP4016M1ZBPVR/26-27/D/235</v>
      </c>
      <c r="C70" s="1" t="s">
        <v>151</v>
      </c>
      <c r="D70" s="1" t="s">
        <v>152</v>
      </c>
      <c r="E70" s="1" t="s">
        <v>153</v>
      </c>
      <c r="F70" s="1" t="s">
        <v>24</v>
      </c>
      <c r="G70" s="1" t="s">
        <v>154</v>
      </c>
      <c r="H70" s="2">
        <v>25370</v>
      </c>
      <c r="I70" s="1" t="s">
        <v>44</v>
      </c>
      <c r="J70" s="3" t="s">
        <v>27</v>
      </c>
      <c r="K70" s="2">
        <v>21500</v>
      </c>
      <c r="L70" s="2">
        <v>0</v>
      </c>
      <c r="M70" s="2">
        <v>1935</v>
      </c>
      <c r="N70" s="2">
        <v>1935</v>
      </c>
      <c r="O70" s="2">
        <v>0</v>
      </c>
      <c r="P70" s="7" t="s">
        <v>28</v>
      </c>
      <c r="Q70" s="1" t="s">
        <v>120</v>
      </c>
      <c r="R70" s="3" t="s">
        <v>45</v>
      </c>
      <c r="S70" s="1" t="s">
        <v>46</v>
      </c>
      <c r="T70" s="4" t="s">
        <v>31</v>
      </c>
      <c r="U70" s="7" t="s">
        <v>32</v>
      </c>
      <c r="V70" s="7" t="s">
        <v>155</v>
      </c>
      <c r="W70" s="7" t="s">
        <v>76</v>
      </c>
      <c r="X70" s="7" t="s">
        <v>1751</v>
      </c>
      <c r="Y70" s="10">
        <f t="shared" si="3"/>
        <v>3870</v>
      </c>
      <c r="AH70" s="5" t="e">
        <f>VLOOKUP(B70,[1]DL!$BK:$BP,6,0)</f>
        <v>#N/A</v>
      </c>
    </row>
    <row r="71" spans="1:34" ht="14.5" hidden="1">
      <c r="A71" s="5">
        <v>68</v>
      </c>
      <c r="B71" s="5" t="str">
        <f t="shared" si="2"/>
        <v>07AAFCP4016M1ZBPVR/26-27/D/236</v>
      </c>
      <c r="C71" s="1" t="s">
        <v>151</v>
      </c>
      <c r="D71" s="1" t="s">
        <v>152</v>
      </c>
      <c r="E71" s="1" t="s">
        <v>156</v>
      </c>
      <c r="F71" s="1" t="s">
        <v>24</v>
      </c>
      <c r="G71" s="1" t="s">
        <v>154</v>
      </c>
      <c r="H71" s="2">
        <v>25370</v>
      </c>
      <c r="I71" s="1" t="s">
        <v>44</v>
      </c>
      <c r="J71" s="3" t="s">
        <v>27</v>
      </c>
      <c r="K71" s="2">
        <v>21500</v>
      </c>
      <c r="L71" s="2">
        <v>0</v>
      </c>
      <c r="M71" s="2">
        <v>1935</v>
      </c>
      <c r="N71" s="2">
        <v>1935</v>
      </c>
      <c r="O71" s="2">
        <v>0</v>
      </c>
      <c r="P71" s="7" t="s">
        <v>28</v>
      </c>
      <c r="Q71" s="1" t="s">
        <v>120</v>
      </c>
      <c r="R71" s="3" t="s">
        <v>45</v>
      </c>
      <c r="S71" s="1" t="s">
        <v>46</v>
      </c>
      <c r="T71" s="4" t="s">
        <v>31</v>
      </c>
      <c r="U71" s="7" t="s">
        <v>32</v>
      </c>
      <c r="V71" s="7" t="s">
        <v>157</v>
      </c>
      <c r="W71" s="7" t="s">
        <v>76</v>
      </c>
      <c r="X71" s="7" t="s">
        <v>1751</v>
      </c>
      <c r="Y71" s="10">
        <f t="shared" si="3"/>
        <v>3870</v>
      </c>
      <c r="AH71" s="5" t="e">
        <f>VLOOKUP(B71,[1]DL!$BK:$BP,6,0)</f>
        <v>#N/A</v>
      </c>
    </row>
    <row r="72" spans="1:34" ht="14.5" hidden="1">
      <c r="A72" s="5">
        <v>69</v>
      </c>
      <c r="B72" s="5" t="str">
        <f t="shared" si="2"/>
        <v>07AADCL9628B1ZKN1230G202606323</v>
      </c>
      <c r="C72" s="1" t="s">
        <v>158</v>
      </c>
      <c r="D72" s="1" t="s">
        <v>159</v>
      </c>
      <c r="E72" s="1" t="s">
        <v>160</v>
      </c>
      <c r="F72" s="1" t="s">
        <v>24</v>
      </c>
      <c r="G72" s="1" t="s">
        <v>161</v>
      </c>
      <c r="H72" s="2">
        <v>3037.57</v>
      </c>
      <c r="I72" s="1" t="s">
        <v>44</v>
      </c>
      <c r="J72" s="3" t="s">
        <v>27</v>
      </c>
      <c r="K72" s="2">
        <v>2574.23</v>
      </c>
      <c r="L72" s="2">
        <v>0</v>
      </c>
      <c r="M72" s="2">
        <v>231.67</v>
      </c>
      <c r="N72" s="2">
        <v>231.67</v>
      </c>
      <c r="O72" s="2">
        <v>0</v>
      </c>
      <c r="P72" s="7" t="s">
        <v>28</v>
      </c>
      <c r="Q72" s="1" t="s">
        <v>29</v>
      </c>
      <c r="R72" s="3" t="s">
        <v>45</v>
      </c>
      <c r="S72" s="1" t="s">
        <v>46</v>
      </c>
      <c r="T72" s="4" t="s">
        <v>31</v>
      </c>
      <c r="U72" s="7" t="s">
        <v>32</v>
      </c>
      <c r="V72" s="7" t="s">
        <v>162</v>
      </c>
      <c r="W72" s="7" t="s">
        <v>154</v>
      </c>
      <c r="X72" s="7" t="s">
        <v>1751</v>
      </c>
      <c r="Y72" s="10">
        <f t="shared" si="3"/>
        <v>463.33999999999997</v>
      </c>
      <c r="AH72" s="5" t="e">
        <f>VLOOKUP(B72,[1]DL!$BK:$BP,6,0)</f>
        <v>#N/A</v>
      </c>
    </row>
    <row r="73" spans="1:34" ht="14.5" hidden="1">
      <c r="A73" s="5">
        <v>70</v>
      </c>
      <c r="B73" s="5" t="str">
        <f t="shared" si="2"/>
        <v>07AADCL9628B1ZKN1230G202606324</v>
      </c>
      <c r="C73" s="1" t="s">
        <v>158</v>
      </c>
      <c r="D73" s="1" t="s">
        <v>159</v>
      </c>
      <c r="E73" s="1" t="s">
        <v>163</v>
      </c>
      <c r="F73" s="1" t="s">
        <v>24</v>
      </c>
      <c r="G73" s="1" t="s">
        <v>161</v>
      </c>
      <c r="H73" s="2">
        <v>8049.02</v>
      </c>
      <c r="I73" s="1" t="s">
        <v>44</v>
      </c>
      <c r="J73" s="3" t="s">
        <v>27</v>
      </c>
      <c r="K73" s="2">
        <v>6821.18</v>
      </c>
      <c r="L73" s="2">
        <v>0</v>
      </c>
      <c r="M73" s="2">
        <v>613.91999999999996</v>
      </c>
      <c r="N73" s="2">
        <v>613.91999999999996</v>
      </c>
      <c r="O73" s="2">
        <v>0</v>
      </c>
      <c r="P73" s="7" t="s">
        <v>28</v>
      </c>
      <c r="Q73" s="1" t="s">
        <v>29</v>
      </c>
      <c r="R73" s="3" t="s">
        <v>45</v>
      </c>
      <c r="S73" s="1" t="s">
        <v>46</v>
      </c>
      <c r="T73" s="4" t="s">
        <v>31</v>
      </c>
      <c r="U73" s="7" t="s">
        <v>32</v>
      </c>
      <c r="V73" s="7" t="s">
        <v>164</v>
      </c>
      <c r="W73" s="7" t="s">
        <v>154</v>
      </c>
      <c r="X73" s="7" t="s">
        <v>1751</v>
      </c>
      <c r="Y73" s="10">
        <f t="shared" si="3"/>
        <v>1227.8399999999999</v>
      </c>
      <c r="AH73" s="5" t="e">
        <f>VLOOKUP(B73,[1]DL!$BK:$BP,6,0)</f>
        <v>#N/A</v>
      </c>
    </row>
    <row r="74" spans="1:34" ht="14.5" hidden="1">
      <c r="A74" s="5">
        <v>71</v>
      </c>
      <c r="B74" s="5" t="str">
        <f t="shared" si="2"/>
        <v>07AAUPS0469H1Z4BTBH/RS/013</v>
      </c>
      <c r="C74" s="1" t="s">
        <v>165</v>
      </c>
      <c r="D74" s="1" t="s">
        <v>166</v>
      </c>
      <c r="E74" s="1" t="s">
        <v>167</v>
      </c>
      <c r="F74" s="1" t="s">
        <v>24</v>
      </c>
      <c r="G74" s="1" t="s">
        <v>25</v>
      </c>
      <c r="H74" s="2">
        <v>3885</v>
      </c>
      <c r="I74" s="1" t="s">
        <v>44</v>
      </c>
      <c r="J74" s="3" t="s">
        <v>27</v>
      </c>
      <c r="K74" s="2">
        <v>3700</v>
      </c>
      <c r="L74" s="2">
        <v>0</v>
      </c>
      <c r="M74" s="2">
        <v>92.5</v>
      </c>
      <c r="N74" s="2">
        <v>92.5</v>
      </c>
      <c r="O74" s="2">
        <v>0</v>
      </c>
      <c r="P74" s="7" t="s">
        <v>28</v>
      </c>
      <c r="Q74" s="1" t="s">
        <v>29</v>
      </c>
      <c r="R74" s="3" t="s">
        <v>45</v>
      </c>
      <c r="S74" s="1" t="s">
        <v>46</v>
      </c>
      <c r="T74" s="4" t="s">
        <v>31</v>
      </c>
      <c r="U74" s="7" t="s">
        <v>46</v>
      </c>
      <c r="V74" s="7" t="s">
        <v>46</v>
      </c>
      <c r="W74" s="7" t="s">
        <v>46</v>
      </c>
      <c r="X74" s="7" t="s">
        <v>1751</v>
      </c>
      <c r="Y74" s="10">
        <f t="shared" si="3"/>
        <v>185</v>
      </c>
      <c r="AH74" s="5" t="e">
        <f>VLOOKUP(B74,[1]DL!$BK:$BP,6,0)</f>
        <v>#N/A</v>
      </c>
    </row>
    <row r="75" spans="1:34" ht="14.5" hidden="1">
      <c r="A75" s="5">
        <v>72</v>
      </c>
      <c r="B75" s="5" t="str">
        <f t="shared" si="2"/>
        <v>06AAICM1839L2Z5INV/7205260/26</v>
      </c>
      <c r="C75" s="1" t="s">
        <v>168</v>
      </c>
      <c r="D75" s="1" t="s">
        <v>169</v>
      </c>
      <c r="E75" s="1" t="s">
        <v>170</v>
      </c>
      <c r="F75" s="1" t="s">
        <v>24</v>
      </c>
      <c r="G75" s="1" t="s">
        <v>171</v>
      </c>
      <c r="H75" s="2">
        <v>18880</v>
      </c>
      <c r="I75" s="1" t="s">
        <v>44</v>
      </c>
      <c r="J75" s="3" t="s">
        <v>27</v>
      </c>
      <c r="K75" s="2">
        <v>16000</v>
      </c>
      <c r="L75" s="2">
        <v>2880</v>
      </c>
      <c r="M75" s="2">
        <v>0</v>
      </c>
      <c r="N75" s="2">
        <v>0</v>
      </c>
      <c r="O75" s="2">
        <v>0</v>
      </c>
      <c r="P75" s="7" t="s">
        <v>28</v>
      </c>
      <c r="Q75" s="1" t="s">
        <v>29</v>
      </c>
      <c r="R75" s="3" t="s">
        <v>45</v>
      </c>
      <c r="S75" s="1" t="s">
        <v>46</v>
      </c>
      <c r="T75" s="4" t="s">
        <v>31</v>
      </c>
      <c r="U75" s="7" t="s">
        <v>46</v>
      </c>
      <c r="V75" s="7" t="s">
        <v>46</v>
      </c>
      <c r="W75" s="7" t="s">
        <v>46</v>
      </c>
      <c r="X75" s="7" t="s">
        <v>1751</v>
      </c>
      <c r="Y75" s="10">
        <f t="shared" si="3"/>
        <v>2880</v>
      </c>
      <c r="AH75" s="5" t="e">
        <f>VLOOKUP(B75,[1]DL!$BK:$BP,6,0)</f>
        <v>#N/A</v>
      </c>
    </row>
    <row r="76" spans="1:34" ht="14.5" hidden="1">
      <c r="A76" s="5">
        <v>73</v>
      </c>
      <c r="B76" s="5" t="str">
        <f t="shared" si="2"/>
        <v>06AAICM1839L2Z5INV/7205277/26</v>
      </c>
      <c r="C76" s="1" t="s">
        <v>168</v>
      </c>
      <c r="D76" s="1" t="s">
        <v>169</v>
      </c>
      <c r="E76" s="1" t="s">
        <v>172</v>
      </c>
      <c r="F76" s="1" t="s">
        <v>24</v>
      </c>
      <c r="G76" s="1" t="s">
        <v>171</v>
      </c>
      <c r="H76" s="2">
        <v>8496</v>
      </c>
      <c r="I76" s="1" t="s">
        <v>44</v>
      </c>
      <c r="J76" s="3" t="s">
        <v>27</v>
      </c>
      <c r="K76" s="2">
        <v>7200</v>
      </c>
      <c r="L76" s="2">
        <v>1296</v>
      </c>
      <c r="M76" s="2">
        <v>0</v>
      </c>
      <c r="N76" s="2">
        <v>0</v>
      </c>
      <c r="O76" s="2">
        <v>0</v>
      </c>
      <c r="P76" s="7" t="s">
        <v>28</v>
      </c>
      <c r="Q76" s="1" t="s">
        <v>29</v>
      </c>
      <c r="R76" s="3" t="s">
        <v>45</v>
      </c>
      <c r="S76" s="1" t="s">
        <v>46</v>
      </c>
      <c r="T76" s="4" t="s">
        <v>31</v>
      </c>
      <c r="U76" s="7" t="s">
        <v>46</v>
      </c>
      <c r="V76" s="7" t="s">
        <v>46</v>
      </c>
      <c r="W76" s="7" t="s">
        <v>46</v>
      </c>
      <c r="X76" s="7" t="s">
        <v>1751</v>
      </c>
      <c r="Y76" s="10">
        <f t="shared" si="3"/>
        <v>1296</v>
      </c>
      <c r="AH76" s="5" t="e">
        <f>VLOOKUP(B76,[1]DL!$BK:$BP,6,0)</f>
        <v>#N/A</v>
      </c>
    </row>
    <row r="77" spans="1:34" ht="14.5" hidden="1">
      <c r="A77" s="5">
        <v>74</v>
      </c>
      <c r="B77" s="5" t="str">
        <f t="shared" si="2"/>
        <v>07AAACM0828R1Z5MTDL002814600816</v>
      </c>
      <c r="C77" s="1" t="s">
        <v>173</v>
      </c>
      <c r="D77" s="1" t="s">
        <v>174</v>
      </c>
      <c r="E77" s="1" t="s">
        <v>175</v>
      </c>
      <c r="F77" s="1" t="s">
        <v>24</v>
      </c>
      <c r="G77" s="1" t="s">
        <v>50</v>
      </c>
      <c r="H77" s="2">
        <v>549</v>
      </c>
      <c r="I77" s="1" t="s">
        <v>44</v>
      </c>
      <c r="J77" s="3" t="s">
        <v>27</v>
      </c>
      <c r="K77" s="2">
        <v>465</v>
      </c>
      <c r="L77" s="2">
        <v>0</v>
      </c>
      <c r="M77" s="2">
        <v>41.85</v>
      </c>
      <c r="N77" s="2">
        <v>41.85</v>
      </c>
      <c r="O77" s="2">
        <v>0</v>
      </c>
      <c r="P77" s="7" t="s">
        <v>28</v>
      </c>
      <c r="Q77" s="1" t="s">
        <v>120</v>
      </c>
      <c r="R77" s="3" t="s">
        <v>45</v>
      </c>
      <c r="S77" s="1" t="s">
        <v>46</v>
      </c>
      <c r="T77" s="4" t="s">
        <v>31</v>
      </c>
      <c r="U77" s="7" t="s">
        <v>46</v>
      </c>
      <c r="V77" s="7" t="s">
        <v>46</v>
      </c>
      <c r="W77" s="7" t="s">
        <v>46</v>
      </c>
      <c r="X77" s="7" t="s">
        <v>1751</v>
      </c>
      <c r="Y77" s="10">
        <f t="shared" si="3"/>
        <v>83.700000000000003</v>
      </c>
      <c r="AH77" s="5" t="e">
        <f>VLOOKUP(B77,[1]DL!$BK:$BP,6,0)</f>
        <v>#N/A</v>
      </c>
    </row>
    <row r="78" spans="1:34" ht="14.5" hidden="1">
      <c r="A78" s="5">
        <v>75</v>
      </c>
      <c r="B78" s="5" t="str">
        <f t="shared" si="2"/>
        <v>07AXZPS9777Q1ZK74</v>
      </c>
      <c r="C78" s="1" t="s">
        <v>176</v>
      </c>
      <c r="D78" s="1" t="s">
        <v>177</v>
      </c>
      <c r="E78" s="1" t="s">
        <v>178</v>
      </c>
      <c r="F78" s="1" t="s">
        <v>24</v>
      </c>
      <c r="G78" s="1" t="s">
        <v>140</v>
      </c>
      <c r="H78" s="2">
        <v>43276</v>
      </c>
      <c r="I78" s="1" t="s">
        <v>44</v>
      </c>
      <c r="J78" s="3" t="s">
        <v>27</v>
      </c>
      <c r="K78" s="2">
        <v>41216</v>
      </c>
      <c r="L78" s="2">
        <v>0</v>
      </c>
      <c r="M78" s="2">
        <v>1030.4000000000001</v>
      </c>
      <c r="N78" s="2">
        <v>1030.4000000000001</v>
      </c>
      <c r="O78" s="2">
        <v>0</v>
      </c>
      <c r="P78" s="7" t="s">
        <v>28</v>
      </c>
      <c r="Q78" s="1" t="s">
        <v>179</v>
      </c>
      <c r="R78" s="3" t="s">
        <v>45</v>
      </c>
      <c r="S78" s="1" t="s">
        <v>46</v>
      </c>
      <c r="T78" s="4" t="s">
        <v>31</v>
      </c>
      <c r="U78" s="7" t="s">
        <v>46</v>
      </c>
      <c r="V78" s="7" t="s">
        <v>46</v>
      </c>
      <c r="W78" s="7" t="s">
        <v>46</v>
      </c>
      <c r="X78" s="7" t="s">
        <v>1751</v>
      </c>
      <c r="Y78" s="10">
        <f t="shared" si="3"/>
        <v>2060.8000000000002</v>
      </c>
      <c r="AH78" s="5" t="e">
        <f>VLOOKUP(B78,[1]DL!$BK:$BP,6,0)</f>
        <v>#N/A</v>
      </c>
    </row>
    <row r="79" spans="1:34" ht="14.5" hidden="1">
      <c r="A79" s="5">
        <v>76</v>
      </c>
      <c r="B79" s="5" t="str">
        <f t="shared" si="2"/>
        <v>07AXZPS9777Q1ZK75</v>
      </c>
      <c r="C79" s="1" t="s">
        <v>176</v>
      </c>
      <c r="D79" s="1" t="s">
        <v>177</v>
      </c>
      <c r="E79" s="1" t="s">
        <v>180</v>
      </c>
      <c r="F79" s="1" t="s">
        <v>24</v>
      </c>
      <c r="G79" s="1" t="s">
        <v>140</v>
      </c>
      <c r="H79" s="2">
        <v>1470</v>
      </c>
      <c r="I79" s="1" t="s">
        <v>44</v>
      </c>
      <c r="J79" s="3" t="s">
        <v>27</v>
      </c>
      <c r="K79" s="2">
        <v>1400</v>
      </c>
      <c r="L79" s="2">
        <v>0</v>
      </c>
      <c r="M79" s="2">
        <v>35</v>
      </c>
      <c r="N79" s="2">
        <v>35</v>
      </c>
      <c r="O79" s="2">
        <v>0</v>
      </c>
      <c r="P79" s="7" t="s">
        <v>28</v>
      </c>
      <c r="Q79" s="1" t="s">
        <v>179</v>
      </c>
      <c r="R79" s="3" t="s">
        <v>45</v>
      </c>
      <c r="S79" s="1" t="s">
        <v>46</v>
      </c>
      <c r="T79" s="4" t="s">
        <v>31</v>
      </c>
      <c r="U79" s="7" t="s">
        <v>46</v>
      </c>
      <c r="V79" s="7" t="s">
        <v>46</v>
      </c>
      <c r="W79" s="7" t="s">
        <v>46</v>
      </c>
      <c r="X79" s="7" t="s">
        <v>1751</v>
      </c>
      <c r="Y79" s="10">
        <f t="shared" si="3"/>
        <v>70</v>
      </c>
      <c r="AH79" s="5" t="e">
        <f>VLOOKUP(B79,[1]DL!$BK:$BP,6,0)</f>
        <v>#N/A</v>
      </c>
    </row>
    <row r="80" spans="1:34" ht="14.5" hidden="1">
      <c r="A80" s="5">
        <v>77</v>
      </c>
      <c r="B80" s="5" t="str">
        <f t="shared" si="2"/>
        <v>07AXZPS9777Q1ZK76</v>
      </c>
      <c r="C80" s="1" t="s">
        <v>176</v>
      </c>
      <c r="D80" s="1" t="s">
        <v>177</v>
      </c>
      <c r="E80" s="1" t="s">
        <v>181</v>
      </c>
      <c r="F80" s="1" t="s">
        <v>24</v>
      </c>
      <c r="G80" s="1" t="s">
        <v>140</v>
      </c>
      <c r="H80" s="2">
        <v>1470</v>
      </c>
      <c r="I80" s="1" t="s">
        <v>44</v>
      </c>
      <c r="J80" s="3" t="s">
        <v>27</v>
      </c>
      <c r="K80" s="2">
        <v>1400</v>
      </c>
      <c r="L80" s="2">
        <v>0</v>
      </c>
      <c r="M80" s="2">
        <v>35</v>
      </c>
      <c r="N80" s="2">
        <v>35</v>
      </c>
      <c r="O80" s="2">
        <v>0</v>
      </c>
      <c r="P80" s="7" t="s">
        <v>28</v>
      </c>
      <c r="Q80" s="1" t="s">
        <v>179</v>
      </c>
      <c r="R80" s="3" t="s">
        <v>45</v>
      </c>
      <c r="S80" s="1" t="s">
        <v>46</v>
      </c>
      <c r="T80" s="4" t="s">
        <v>31</v>
      </c>
      <c r="U80" s="7" t="s">
        <v>46</v>
      </c>
      <c r="V80" s="7" t="s">
        <v>46</v>
      </c>
      <c r="W80" s="7" t="s">
        <v>46</v>
      </c>
      <c r="X80" s="7" t="s">
        <v>1751</v>
      </c>
      <c r="Y80" s="10">
        <f t="shared" si="3"/>
        <v>70</v>
      </c>
      <c r="AH80" s="5" t="e">
        <f>VLOOKUP(B80,[1]DL!$BK:$BP,6,0)</f>
        <v>#N/A</v>
      </c>
    </row>
    <row r="81" spans="1:34" ht="14.5" hidden="1">
      <c r="A81" s="5">
        <v>78</v>
      </c>
      <c r="B81" s="5" t="str">
        <f t="shared" si="2"/>
        <v>07AXZPS9777Q1ZK78</v>
      </c>
      <c r="C81" s="1" t="s">
        <v>176</v>
      </c>
      <c r="D81" s="1" t="s">
        <v>177</v>
      </c>
      <c r="E81" s="1" t="s">
        <v>182</v>
      </c>
      <c r="F81" s="1" t="s">
        <v>24</v>
      </c>
      <c r="G81" s="1" t="s">
        <v>76</v>
      </c>
      <c r="H81" s="2">
        <v>23310</v>
      </c>
      <c r="I81" s="1" t="s">
        <v>44</v>
      </c>
      <c r="J81" s="3" t="s">
        <v>27</v>
      </c>
      <c r="K81" s="2">
        <v>22200</v>
      </c>
      <c r="L81" s="2">
        <v>0</v>
      </c>
      <c r="M81" s="2">
        <v>555</v>
      </c>
      <c r="N81" s="2">
        <v>555</v>
      </c>
      <c r="O81" s="2">
        <v>0</v>
      </c>
      <c r="P81" s="7" t="s">
        <v>28</v>
      </c>
      <c r="Q81" s="1" t="s">
        <v>179</v>
      </c>
      <c r="R81" s="3" t="s">
        <v>45</v>
      </c>
      <c r="S81" s="1" t="s">
        <v>46</v>
      </c>
      <c r="T81" s="4" t="s">
        <v>31</v>
      </c>
      <c r="U81" s="7" t="s">
        <v>46</v>
      </c>
      <c r="V81" s="7" t="s">
        <v>46</v>
      </c>
      <c r="W81" s="7" t="s">
        <v>46</v>
      </c>
      <c r="X81" s="7" t="s">
        <v>1751</v>
      </c>
      <c r="Y81" s="10">
        <f t="shared" si="3"/>
        <v>1110</v>
      </c>
      <c r="AH81" s="5" t="e">
        <f>VLOOKUP(B81,[1]DL!$BK:$BP,6,0)</f>
        <v>#N/A</v>
      </c>
    </row>
    <row r="82" spans="1:34" ht="14.5" hidden="1">
      <c r="A82" s="5">
        <v>79</v>
      </c>
      <c r="B82" s="5" t="str">
        <f t="shared" si="2"/>
        <v>07AAEPG4440J1ZW121/26-27</v>
      </c>
      <c r="C82" s="1" t="s">
        <v>183</v>
      </c>
      <c r="D82" s="1" t="s">
        <v>184</v>
      </c>
      <c r="E82" s="1" t="s">
        <v>185</v>
      </c>
      <c r="F82" s="1" t="s">
        <v>24</v>
      </c>
      <c r="G82" s="1" t="s">
        <v>161</v>
      </c>
      <c r="H82" s="2">
        <v>92217</v>
      </c>
      <c r="I82" s="1" t="s">
        <v>44</v>
      </c>
      <c r="J82" s="3" t="s">
        <v>27</v>
      </c>
      <c r="K82" s="2">
        <v>78150</v>
      </c>
      <c r="L82" s="2">
        <v>0</v>
      </c>
      <c r="M82" s="2">
        <v>7033.5</v>
      </c>
      <c r="N82" s="2">
        <v>7033.5</v>
      </c>
      <c r="O82" s="2">
        <v>0</v>
      </c>
      <c r="P82" s="7" t="s">
        <v>28</v>
      </c>
      <c r="Q82" s="1" t="s">
        <v>29</v>
      </c>
      <c r="R82" s="3" t="s">
        <v>45</v>
      </c>
      <c r="S82" s="1" t="s">
        <v>46</v>
      </c>
      <c r="T82" s="4" t="s">
        <v>31</v>
      </c>
      <c r="U82" s="7" t="s">
        <v>32</v>
      </c>
      <c r="V82" s="7" t="s">
        <v>186</v>
      </c>
      <c r="W82" s="7" t="s">
        <v>161</v>
      </c>
      <c r="X82" s="7" t="s">
        <v>1751</v>
      </c>
      <c r="Y82" s="10">
        <f t="shared" si="3"/>
        <v>14067</v>
      </c>
      <c r="AH82" s="5" t="e">
        <f>VLOOKUP(B82,[1]DL!$BK:$BP,6,0)</f>
        <v>#N/A</v>
      </c>
    </row>
    <row r="83" spans="1:34" ht="14.5" hidden="1">
      <c r="A83" s="5">
        <v>80</v>
      </c>
      <c r="B83" s="5" t="str">
        <f t="shared" si="2"/>
        <v>07AAEPG4440J1ZW64/26-27</v>
      </c>
      <c r="C83" s="1" t="s">
        <v>183</v>
      </c>
      <c r="D83" s="1" t="s">
        <v>184</v>
      </c>
      <c r="E83" s="1" t="s">
        <v>187</v>
      </c>
      <c r="F83" s="1" t="s">
        <v>24</v>
      </c>
      <c r="G83" s="1" t="s">
        <v>52</v>
      </c>
      <c r="H83" s="2">
        <v>151205</v>
      </c>
      <c r="I83" s="1" t="s">
        <v>44</v>
      </c>
      <c r="J83" s="3" t="s">
        <v>27</v>
      </c>
      <c r="K83" s="2">
        <v>128139.5</v>
      </c>
      <c r="L83" s="2">
        <v>0</v>
      </c>
      <c r="M83" s="2">
        <v>11532.56</v>
      </c>
      <c r="N83" s="2">
        <v>11532.56</v>
      </c>
      <c r="O83" s="2">
        <v>0</v>
      </c>
      <c r="P83" s="7" t="s">
        <v>28</v>
      </c>
      <c r="Q83" s="1" t="s">
        <v>29</v>
      </c>
      <c r="R83" s="3" t="s">
        <v>45</v>
      </c>
      <c r="S83" s="1" t="s">
        <v>46</v>
      </c>
      <c r="T83" s="4" t="s">
        <v>31</v>
      </c>
      <c r="U83" s="7" t="s">
        <v>32</v>
      </c>
      <c r="V83" s="7" t="s">
        <v>188</v>
      </c>
      <c r="W83" s="7" t="s">
        <v>52</v>
      </c>
      <c r="X83" s="7" t="s">
        <v>1751</v>
      </c>
      <c r="Y83" s="10">
        <f t="shared" si="3"/>
        <v>23065.119999999999</v>
      </c>
      <c r="AH83" s="5" t="e">
        <f>VLOOKUP(B83,[1]DL!$BK:$BP,6,0)</f>
        <v>#N/A</v>
      </c>
    </row>
    <row r="84" spans="1:34" ht="14.5" hidden="1">
      <c r="A84" s="5">
        <v>81</v>
      </c>
      <c r="B84" s="5" t="str">
        <f t="shared" si="2"/>
        <v>07AAEPG4440J1ZW83/26-27</v>
      </c>
      <c r="C84" s="1" t="s">
        <v>183</v>
      </c>
      <c r="D84" s="1" t="s">
        <v>184</v>
      </c>
      <c r="E84" s="1" t="s">
        <v>189</v>
      </c>
      <c r="F84" s="1" t="s">
        <v>24</v>
      </c>
      <c r="G84" s="1" t="s">
        <v>171</v>
      </c>
      <c r="H84" s="2">
        <v>11404</v>
      </c>
      <c r="I84" s="1" t="s">
        <v>44</v>
      </c>
      <c r="J84" s="3" t="s">
        <v>27</v>
      </c>
      <c r="K84" s="2">
        <v>9664</v>
      </c>
      <c r="L84" s="2">
        <v>0</v>
      </c>
      <c r="M84" s="2">
        <v>869.76</v>
      </c>
      <c r="N84" s="2">
        <v>869.76</v>
      </c>
      <c r="O84" s="2">
        <v>0</v>
      </c>
      <c r="P84" s="7" t="s">
        <v>28</v>
      </c>
      <c r="Q84" s="1" t="s">
        <v>29</v>
      </c>
      <c r="R84" s="3" t="s">
        <v>45</v>
      </c>
      <c r="S84" s="1" t="s">
        <v>46</v>
      </c>
      <c r="T84" s="4" t="s">
        <v>31</v>
      </c>
      <c r="U84" s="7" t="s">
        <v>32</v>
      </c>
      <c r="V84" s="7" t="s">
        <v>190</v>
      </c>
      <c r="W84" s="7" t="s">
        <v>171</v>
      </c>
      <c r="X84" s="7" t="s">
        <v>1751</v>
      </c>
      <c r="Y84" s="10">
        <f t="shared" si="3"/>
        <v>1739.52</v>
      </c>
      <c r="AH84" s="5" t="e">
        <f>VLOOKUP(B84,[1]DL!$BK:$BP,6,0)</f>
        <v>#N/A</v>
      </c>
    </row>
    <row r="85" spans="1:34" ht="14.5" hidden="1">
      <c r="A85" s="5">
        <v>82</v>
      </c>
      <c r="B85" s="5" t="str">
        <f t="shared" si="2"/>
        <v>07AAACB0472C1ZB2707AC0400011579</v>
      </c>
      <c r="C85" s="1" t="s">
        <v>191</v>
      </c>
      <c r="D85" s="1" t="s">
        <v>192</v>
      </c>
      <c r="E85" s="1" t="s">
        <v>193</v>
      </c>
      <c r="F85" s="1" t="s">
        <v>24</v>
      </c>
      <c r="G85" s="1" t="s">
        <v>76</v>
      </c>
      <c r="H85" s="2">
        <v>162.27000000000001</v>
      </c>
      <c r="I85" s="1" t="s">
        <v>44</v>
      </c>
      <c r="J85" s="3" t="s">
        <v>27</v>
      </c>
      <c r="K85" s="2">
        <v>137.51</v>
      </c>
      <c r="L85" s="2">
        <v>0</v>
      </c>
      <c r="M85" s="2">
        <v>12.38</v>
      </c>
      <c r="N85" s="2">
        <v>12.38</v>
      </c>
      <c r="O85" s="2">
        <v>0</v>
      </c>
      <c r="P85" s="7" t="s">
        <v>28</v>
      </c>
      <c r="Q85" s="1" t="s">
        <v>29</v>
      </c>
      <c r="R85" s="3" t="s">
        <v>45</v>
      </c>
      <c r="S85" s="1" t="s">
        <v>46</v>
      </c>
      <c r="T85" s="4" t="s">
        <v>31</v>
      </c>
      <c r="U85" s="7" t="s">
        <v>46</v>
      </c>
      <c r="V85" s="7" t="s">
        <v>46</v>
      </c>
      <c r="W85" s="7" t="s">
        <v>46</v>
      </c>
      <c r="X85" s="7" t="s">
        <v>1751</v>
      </c>
      <c r="Y85" s="10">
        <f t="shared" si="3"/>
        <v>24.760000000000002</v>
      </c>
      <c r="AH85" s="5" t="e">
        <f>VLOOKUP(B85,[1]DL!$BK:$BP,6,0)</f>
        <v>#N/A</v>
      </c>
    </row>
    <row r="86" spans="1:34" ht="14.5" hidden="1">
      <c r="A86" s="5">
        <v>83</v>
      </c>
      <c r="B86" s="5" t="str">
        <f t="shared" si="2"/>
        <v>07AAWPS6579E1ZT75</v>
      </c>
      <c r="C86" s="1" t="s">
        <v>194</v>
      </c>
      <c r="D86" s="1" t="s">
        <v>195</v>
      </c>
      <c r="E86" s="1" t="s">
        <v>180</v>
      </c>
      <c r="F86" s="1" t="s">
        <v>24</v>
      </c>
      <c r="G86" s="1" t="s">
        <v>87</v>
      </c>
      <c r="H86" s="2">
        <v>1350</v>
      </c>
      <c r="I86" s="1" t="s">
        <v>44</v>
      </c>
      <c r="J86" s="3" t="s">
        <v>27</v>
      </c>
      <c r="K86" s="2">
        <v>1144.06</v>
      </c>
      <c r="L86" s="2">
        <v>0</v>
      </c>
      <c r="M86" s="2">
        <v>102.97</v>
      </c>
      <c r="N86" s="2">
        <v>102.97</v>
      </c>
      <c r="O86" s="2">
        <v>0</v>
      </c>
      <c r="P86" s="7" t="s">
        <v>28</v>
      </c>
      <c r="Q86" s="1" t="s">
        <v>94</v>
      </c>
      <c r="R86" s="3" t="s">
        <v>45</v>
      </c>
      <c r="S86" s="1" t="s">
        <v>46</v>
      </c>
      <c r="T86" s="4" t="s">
        <v>31</v>
      </c>
      <c r="U86" s="7" t="s">
        <v>46</v>
      </c>
      <c r="V86" s="7" t="s">
        <v>46</v>
      </c>
      <c r="W86" s="7" t="s">
        <v>46</v>
      </c>
      <c r="X86" s="7" t="s">
        <v>1751</v>
      </c>
      <c r="Y86" s="10">
        <f t="shared" si="3"/>
        <v>205.94</v>
      </c>
      <c r="AH86" s="5" t="e">
        <f>VLOOKUP(B86,[1]DL!$BK:$BP,6,0)</f>
        <v>#N/A</v>
      </c>
    </row>
    <row r="87" spans="1:34" ht="14.5">
      <c r="A87" s="5">
        <v>84</v>
      </c>
      <c r="B87" s="5" t="str">
        <f t="shared" si="2"/>
        <v>07AADCL9190Q1ZOGST/DL/2627/021</v>
      </c>
      <c r="C87" s="1" t="s">
        <v>196</v>
      </c>
      <c r="D87" s="1" t="s">
        <v>197</v>
      </c>
      <c r="E87" s="1" t="s">
        <v>198</v>
      </c>
      <c r="F87" s="1" t="s">
        <v>24</v>
      </c>
      <c r="G87" s="1" t="s">
        <v>171</v>
      </c>
      <c r="H87" s="2">
        <v>4365</v>
      </c>
      <c r="I87" s="1" t="s">
        <v>44</v>
      </c>
      <c r="J87" s="3" t="s">
        <v>27</v>
      </c>
      <c r="K87" s="2">
        <v>3699.15</v>
      </c>
      <c r="L87" s="2">
        <v>0</v>
      </c>
      <c r="M87" s="2">
        <v>332.93</v>
      </c>
      <c r="N87" s="2">
        <v>332.93</v>
      </c>
      <c r="O87" s="2">
        <v>0</v>
      </c>
      <c r="P87" s="7" t="s">
        <v>28</v>
      </c>
      <c r="Q87" s="1" t="s">
        <v>29</v>
      </c>
      <c r="R87" s="3" t="s">
        <v>45</v>
      </c>
      <c r="S87" s="1" t="s">
        <v>46</v>
      </c>
      <c r="T87" s="4" t="s">
        <v>31</v>
      </c>
      <c r="U87" s="7" t="s">
        <v>46</v>
      </c>
      <c r="V87" s="7" t="s">
        <v>46</v>
      </c>
      <c r="W87" s="7" t="s">
        <v>46</v>
      </c>
      <c r="X87" s="7" t="s">
        <v>1751</v>
      </c>
      <c r="Y87" s="10">
        <f t="shared" si="3"/>
        <v>665.86000000000001</v>
      </c>
      <c r="Z87" s="5">
        <v>9178273</v>
      </c>
      <c r="AA87" s="5" t="s">
        <v>1922</v>
      </c>
      <c r="AB87" s="5" t="s">
        <v>1751</v>
      </c>
      <c r="AC87" s="5" t="s">
        <v>1924</v>
      </c>
      <c r="AE87" s="5" t="s">
        <v>1923</v>
      </c>
      <c r="AH87" s="5">
        <f>VLOOKUP(B87,[1]DL!$BK:$BP,6,0)</f>
        <v>9178273</v>
      </c>
    </row>
    <row r="88" spans="1:34" ht="14.5" hidden="1">
      <c r="A88" s="5">
        <v>85</v>
      </c>
      <c r="B88" s="5" t="str">
        <f t="shared" si="2"/>
        <v>07COJPD7419B1Z7DE/2747</v>
      </c>
      <c r="C88" s="1" t="s">
        <v>199</v>
      </c>
      <c r="D88" s="1" t="s">
        <v>200</v>
      </c>
      <c r="E88" s="1" t="s">
        <v>201</v>
      </c>
      <c r="F88" s="1" t="s">
        <v>24</v>
      </c>
      <c r="G88" s="1" t="s">
        <v>202</v>
      </c>
      <c r="H88" s="2">
        <v>102461</v>
      </c>
      <c r="I88" s="1" t="s">
        <v>44</v>
      </c>
      <c r="J88" s="3" t="s">
        <v>27</v>
      </c>
      <c r="K88" s="2">
        <v>70917.88</v>
      </c>
      <c r="L88" s="2">
        <v>0</v>
      </c>
      <c r="M88" s="2">
        <v>15771.41</v>
      </c>
      <c r="N88" s="2">
        <v>15771.41</v>
      </c>
      <c r="O88" s="2">
        <v>0</v>
      </c>
      <c r="P88" s="7" t="s">
        <v>203</v>
      </c>
      <c r="Q88" s="1" t="s">
        <v>204</v>
      </c>
      <c r="R88" s="3" t="s">
        <v>45</v>
      </c>
      <c r="S88" s="1" t="s">
        <v>46</v>
      </c>
      <c r="T88" s="4" t="s">
        <v>31</v>
      </c>
      <c r="U88" s="7" t="s">
        <v>46</v>
      </c>
      <c r="V88" s="7" t="s">
        <v>46</v>
      </c>
      <c r="W88" s="7" t="s">
        <v>46</v>
      </c>
      <c r="X88" s="7" t="s">
        <v>1751</v>
      </c>
      <c r="Y88" s="10">
        <f t="shared" si="3"/>
        <v>31542.82</v>
      </c>
      <c r="AH88" s="5" t="e">
        <f>VLOOKUP(B88,[1]DL!$BK:$BP,6,0)</f>
        <v>#N/A</v>
      </c>
    </row>
    <row r="89" spans="1:34" ht="14.5" hidden="1">
      <c r="A89" s="5">
        <v>86</v>
      </c>
      <c r="B89" s="5" t="str">
        <f t="shared" si="2"/>
        <v>07COJPD7419B1Z7DE/2748</v>
      </c>
      <c r="C89" s="1" t="s">
        <v>199</v>
      </c>
      <c r="D89" s="1" t="s">
        <v>200</v>
      </c>
      <c r="E89" s="1" t="s">
        <v>205</v>
      </c>
      <c r="F89" s="1" t="s">
        <v>24</v>
      </c>
      <c r="G89" s="1" t="s">
        <v>202</v>
      </c>
      <c r="H89" s="2">
        <v>50794</v>
      </c>
      <c r="I89" s="1" t="s">
        <v>44</v>
      </c>
      <c r="J89" s="3" t="s">
        <v>27</v>
      </c>
      <c r="K89" s="2">
        <v>35250.72</v>
      </c>
      <c r="L89" s="2">
        <v>0</v>
      </c>
      <c r="M89" s="2">
        <v>7771.43</v>
      </c>
      <c r="N89" s="2">
        <v>7771.43</v>
      </c>
      <c r="O89" s="2">
        <v>0</v>
      </c>
      <c r="P89" s="7" t="s">
        <v>203</v>
      </c>
      <c r="Q89" s="1" t="s">
        <v>204</v>
      </c>
      <c r="R89" s="3" t="s">
        <v>45</v>
      </c>
      <c r="S89" s="1" t="s">
        <v>46</v>
      </c>
      <c r="T89" s="4" t="s">
        <v>31</v>
      </c>
      <c r="U89" s="7" t="s">
        <v>46</v>
      </c>
      <c r="V89" s="7" t="s">
        <v>46</v>
      </c>
      <c r="W89" s="7" t="s">
        <v>46</v>
      </c>
      <c r="X89" s="7" t="s">
        <v>1751</v>
      </c>
      <c r="Y89" s="10">
        <f t="shared" si="3"/>
        <v>15542.860000000001</v>
      </c>
      <c r="AH89" s="5" t="e">
        <f>VLOOKUP(B89,[1]DL!$BK:$BP,6,0)</f>
        <v>#N/A</v>
      </c>
    </row>
    <row r="90" spans="1:34" ht="14.5" hidden="1">
      <c r="A90" s="5">
        <v>87</v>
      </c>
      <c r="B90" s="5" t="str">
        <f t="shared" si="2"/>
        <v>07COJPD7419B1Z7DE/2749</v>
      </c>
      <c r="C90" s="1" t="s">
        <v>199</v>
      </c>
      <c r="D90" s="1" t="s">
        <v>200</v>
      </c>
      <c r="E90" s="1" t="s">
        <v>206</v>
      </c>
      <c r="F90" s="1" t="s">
        <v>24</v>
      </c>
      <c r="G90" s="1" t="s">
        <v>202</v>
      </c>
      <c r="H90" s="2">
        <v>104966.90</v>
      </c>
      <c r="I90" s="1" t="s">
        <v>44</v>
      </c>
      <c r="J90" s="3" t="s">
        <v>27</v>
      </c>
      <c r="K90" s="2">
        <v>88955</v>
      </c>
      <c r="L90" s="2">
        <v>0</v>
      </c>
      <c r="M90" s="2">
        <v>8005.95</v>
      </c>
      <c r="N90" s="2">
        <v>8005.95</v>
      </c>
      <c r="O90" s="2">
        <v>0</v>
      </c>
      <c r="P90" s="7" t="s">
        <v>203</v>
      </c>
      <c r="Q90" s="1" t="s">
        <v>204</v>
      </c>
      <c r="R90" s="3" t="s">
        <v>45</v>
      </c>
      <c r="S90" s="1" t="s">
        <v>46</v>
      </c>
      <c r="T90" s="4" t="s">
        <v>31</v>
      </c>
      <c r="U90" s="7" t="s">
        <v>32</v>
      </c>
      <c r="V90" s="7" t="s">
        <v>207</v>
      </c>
      <c r="W90" s="7" t="s">
        <v>202</v>
      </c>
      <c r="X90" s="7" t="s">
        <v>1751</v>
      </c>
      <c r="Y90" s="10">
        <f t="shared" si="3"/>
        <v>16011.9</v>
      </c>
      <c r="AH90" s="5" t="e">
        <f>VLOOKUP(B90,[1]DL!$BK:$BP,6,0)</f>
        <v>#N/A</v>
      </c>
    </row>
    <row r="91" spans="1:34" ht="14.5" hidden="1">
      <c r="A91" s="5">
        <v>88</v>
      </c>
      <c r="B91" s="5" t="str">
        <f t="shared" si="2"/>
        <v>07COJPD7419B1Z7DE/2890</v>
      </c>
      <c r="C91" s="1" t="s">
        <v>199</v>
      </c>
      <c r="D91" s="1" t="s">
        <v>200</v>
      </c>
      <c r="E91" s="1" t="s">
        <v>208</v>
      </c>
      <c r="F91" s="1" t="s">
        <v>24</v>
      </c>
      <c r="G91" s="1" t="s">
        <v>209</v>
      </c>
      <c r="H91" s="2">
        <v>13192.40</v>
      </c>
      <c r="I91" s="1" t="s">
        <v>44</v>
      </c>
      <c r="J91" s="3" t="s">
        <v>27</v>
      </c>
      <c r="K91" s="2">
        <v>11180</v>
      </c>
      <c r="L91" s="2">
        <v>0</v>
      </c>
      <c r="M91" s="2">
        <v>1006.20</v>
      </c>
      <c r="N91" s="2">
        <v>1006.20</v>
      </c>
      <c r="O91" s="2">
        <v>0</v>
      </c>
      <c r="P91" s="7" t="s">
        <v>203</v>
      </c>
      <c r="Q91" s="1" t="s">
        <v>204</v>
      </c>
      <c r="R91" s="3" t="s">
        <v>45</v>
      </c>
      <c r="S91" s="1" t="s">
        <v>46</v>
      </c>
      <c r="T91" s="4" t="s">
        <v>31</v>
      </c>
      <c r="U91" s="7" t="s">
        <v>32</v>
      </c>
      <c r="V91" s="7" t="s">
        <v>210</v>
      </c>
      <c r="W91" s="7" t="s">
        <v>209</v>
      </c>
      <c r="X91" s="7" t="s">
        <v>1751</v>
      </c>
      <c r="Y91" s="10">
        <f t="shared" si="3"/>
        <v>2012.4000000000001</v>
      </c>
      <c r="AH91" s="5" t="e">
        <f>VLOOKUP(B91,[1]DL!$BK:$BP,6,0)</f>
        <v>#N/A</v>
      </c>
    </row>
    <row r="92" spans="1:34" ht="14.5" hidden="1">
      <c r="A92" s="5">
        <v>89</v>
      </c>
      <c r="B92" s="5" t="str">
        <f t="shared" si="2"/>
        <v>07COJPD7419B1Z7DE/2891</v>
      </c>
      <c r="C92" s="1" t="s">
        <v>199</v>
      </c>
      <c r="D92" s="1" t="s">
        <v>200</v>
      </c>
      <c r="E92" s="1" t="s">
        <v>211</v>
      </c>
      <c r="F92" s="1" t="s">
        <v>24</v>
      </c>
      <c r="G92" s="1" t="s">
        <v>209</v>
      </c>
      <c r="H92" s="2">
        <v>21700.20</v>
      </c>
      <c r="I92" s="1" t="s">
        <v>44</v>
      </c>
      <c r="J92" s="3" t="s">
        <v>27</v>
      </c>
      <c r="K92" s="2">
        <v>18390</v>
      </c>
      <c r="L92" s="2">
        <v>0</v>
      </c>
      <c r="M92" s="2">
        <v>1655.10</v>
      </c>
      <c r="N92" s="2">
        <v>1655.10</v>
      </c>
      <c r="O92" s="2">
        <v>0</v>
      </c>
      <c r="P92" s="7" t="s">
        <v>203</v>
      </c>
      <c r="Q92" s="1" t="s">
        <v>204</v>
      </c>
      <c r="R92" s="3" t="s">
        <v>45</v>
      </c>
      <c r="S92" s="1" t="s">
        <v>46</v>
      </c>
      <c r="T92" s="4" t="s">
        <v>31</v>
      </c>
      <c r="U92" s="7" t="s">
        <v>32</v>
      </c>
      <c r="V92" s="7" t="s">
        <v>212</v>
      </c>
      <c r="W92" s="7" t="s">
        <v>209</v>
      </c>
      <c r="X92" s="7" t="s">
        <v>1751</v>
      </c>
      <c r="Y92" s="10">
        <f t="shared" si="3"/>
        <v>3310.1999999999998</v>
      </c>
      <c r="AH92" s="5" t="e">
        <f>VLOOKUP(B92,[1]DL!$BK:$BP,6,0)</f>
        <v>#N/A</v>
      </c>
    </row>
    <row r="93" spans="1:34" ht="14.5" hidden="1">
      <c r="A93" s="5">
        <v>90</v>
      </c>
      <c r="B93" s="5" t="str">
        <f t="shared" si="2"/>
        <v>07COJPD7419B1Z7DE/2892</v>
      </c>
      <c r="C93" s="1" t="s">
        <v>199</v>
      </c>
      <c r="D93" s="1" t="s">
        <v>200</v>
      </c>
      <c r="E93" s="1" t="s">
        <v>213</v>
      </c>
      <c r="F93" s="1" t="s">
        <v>24</v>
      </c>
      <c r="G93" s="1" t="s">
        <v>209</v>
      </c>
      <c r="H93" s="2">
        <v>28992.60</v>
      </c>
      <c r="I93" s="1" t="s">
        <v>44</v>
      </c>
      <c r="J93" s="3" t="s">
        <v>27</v>
      </c>
      <c r="K93" s="2">
        <v>24570</v>
      </c>
      <c r="L93" s="2">
        <v>0</v>
      </c>
      <c r="M93" s="2">
        <v>2211.3000000000002</v>
      </c>
      <c r="N93" s="2">
        <v>2211.3000000000002</v>
      </c>
      <c r="O93" s="2">
        <v>0</v>
      </c>
      <c r="P93" s="7" t="s">
        <v>203</v>
      </c>
      <c r="Q93" s="1" t="s">
        <v>204</v>
      </c>
      <c r="R93" s="3" t="s">
        <v>45</v>
      </c>
      <c r="S93" s="1" t="s">
        <v>46</v>
      </c>
      <c r="T93" s="4" t="s">
        <v>31</v>
      </c>
      <c r="U93" s="7" t="s">
        <v>32</v>
      </c>
      <c r="V93" s="7" t="s">
        <v>214</v>
      </c>
      <c r="W93" s="7" t="s">
        <v>209</v>
      </c>
      <c r="X93" s="7" t="s">
        <v>1751</v>
      </c>
      <c r="Y93" s="10">
        <f t="shared" si="3"/>
        <v>4422.6000000000004</v>
      </c>
      <c r="AH93" s="5" t="e">
        <f>VLOOKUP(B93,[1]DL!$BK:$BP,6,0)</f>
        <v>#N/A</v>
      </c>
    </row>
    <row r="94" spans="1:34" ht="14.5" hidden="1">
      <c r="A94" s="5">
        <v>91</v>
      </c>
      <c r="B94" s="5" t="str">
        <f t="shared" si="2"/>
        <v>07COJPD7419B1Z7DE/2902</v>
      </c>
      <c r="C94" s="1" t="s">
        <v>199</v>
      </c>
      <c r="D94" s="1" t="s">
        <v>200</v>
      </c>
      <c r="E94" s="1" t="s">
        <v>215</v>
      </c>
      <c r="F94" s="1" t="s">
        <v>24</v>
      </c>
      <c r="G94" s="1" t="s">
        <v>216</v>
      </c>
      <c r="H94" s="2">
        <v>30986.80</v>
      </c>
      <c r="I94" s="1" t="s">
        <v>44</v>
      </c>
      <c r="J94" s="3" t="s">
        <v>27</v>
      </c>
      <c r="K94" s="2">
        <v>26260</v>
      </c>
      <c r="L94" s="2">
        <v>0</v>
      </c>
      <c r="M94" s="2">
        <v>2363.40</v>
      </c>
      <c r="N94" s="2">
        <v>2363.40</v>
      </c>
      <c r="O94" s="2">
        <v>0</v>
      </c>
      <c r="P94" s="7" t="s">
        <v>203</v>
      </c>
      <c r="Q94" s="1" t="s">
        <v>204</v>
      </c>
      <c r="R94" s="3" t="s">
        <v>45</v>
      </c>
      <c r="S94" s="1" t="s">
        <v>46</v>
      </c>
      <c r="T94" s="4" t="s">
        <v>31</v>
      </c>
      <c r="U94" s="7" t="s">
        <v>32</v>
      </c>
      <c r="V94" s="7" t="s">
        <v>217</v>
      </c>
      <c r="W94" s="7" t="s">
        <v>216</v>
      </c>
      <c r="X94" s="7" t="s">
        <v>1751</v>
      </c>
      <c r="Y94" s="10">
        <f t="shared" si="3"/>
        <v>4726.8000000000002</v>
      </c>
      <c r="AH94" s="5" t="e">
        <f>VLOOKUP(B94,[1]DL!$BK:$BP,6,0)</f>
        <v>#N/A</v>
      </c>
    </row>
    <row r="95" spans="1:34" ht="14.5" hidden="1">
      <c r="A95" s="5">
        <v>92</v>
      </c>
      <c r="B95" s="5" t="str">
        <f t="shared" si="2"/>
        <v>07COJPD7419B1Z7DE/2903</v>
      </c>
      <c r="C95" s="1" t="s">
        <v>199</v>
      </c>
      <c r="D95" s="1" t="s">
        <v>200</v>
      </c>
      <c r="E95" s="1" t="s">
        <v>218</v>
      </c>
      <c r="F95" s="1" t="s">
        <v>24</v>
      </c>
      <c r="G95" s="1" t="s">
        <v>216</v>
      </c>
      <c r="H95" s="2">
        <v>12980</v>
      </c>
      <c r="I95" s="1" t="s">
        <v>44</v>
      </c>
      <c r="J95" s="3" t="s">
        <v>27</v>
      </c>
      <c r="K95" s="2">
        <v>11000</v>
      </c>
      <c r="L95" s="2">
        <v>0</v>
      </c>
      <c r="M95" s="2">
        <v>990</v>
      </c>
      <c r="N95" s="2">
        <v>990</v>
      </c>
      <c r="O95" s="2">
        <v>0</v>
      </c>
      <c r="P95" s="7" t="s">
        <v>203</v>
      </c>
      <c r="Q95" s="1" t="s">
        <v>204</v>
      </c>
      <c r="R95" s="3" t="s">
        <v>45</v>
      </c>
      <c r="S95" s="1" t="s">
        <v>46</v>
      </c>
      <c r="T95" s="4" t="s">
        <v>31</v>
      </c>
      <c r="U95" s="7" t="s">
        <v>32</v>
      </c>
      <c r="V95" s="7" t="s">
        <v>219</v>
      </c>
      <c r="W95" s="7" t="s">
        <v>216</v>
      </c>
      <c r="X95" s="7" t="s">
        <v>1751</v>
      </c>
      <c r="Y95" s="10">
        <f t="shared" si="3"/>
        <v>1980</v>
      </c>
      <c r="AH95" s="5" t="e">
        <f>VLOOKUP(B95,[1]DL!$BK:$BP,6,0)</f>
        <v>#N/A</v>
      </c>
    </row>
    <row r="96" spans="1:34" ht="14.5" hidden="1">
      <c r="A96" s="5">
        <v>93</v>
      </c>
      <c r="B96" s="5" t="str">
        <f t="shared" si="2"/>
        <v>07COJPD7419B1Z7DE/2904</v>
      </c>
      <c r="C96" s="1" t="s">
        <v>199</v>
      </c>
      <c r="D96" s="1" t="s">
        <v>200</v>
      </c>
      <c r="E96" s="1" t="s">
        <v>220</v>
      </c>
      <c r="F96" s="1" t="s">
        <v>24</v>
      </c>
      <c r="G96" s="1" t="s">
        <v>216</v>
      </c>
      <c r="H96" s="2">
        <v>12980</v>
      </c>
      <c r="I96" s="1" t="s">
        <v>44</v>
      </c>
      <c r="J96" s="3" t="s">
        <v>27</v>
      </c>
      <c r="K96" s="2">
        <v>11000</v>
      </c>
      <c r="L96" s="2">
        <v>0</v>
      </c>
      <c r="M96" s="2">
        <v>990</v>
      </c>
      <c r="N96" s="2">
        <v>990</v>
      </c>
      <c r="O96" s="2">
        <v>0</v>
      </c>
      <c r="P96" s="7" t="s">
        <v>203</v>
      </c>
      <c r="Q96" s="1" t="s">
        <v>204</v>
      </c>
      <c r="R96" s="3" t="s">
        <v>45</v>
      </c>
      <c r="S96" s="1" t="s">
        <v>46</v>
      </c>
      <c r="T96" s="4" t="s">
        <v>31</v>
      </c>
      <c r="U96" s="7" t="s">
        <v>32</v>
      </c>
      <c r="V96" s="7" t="s">
        <v>221</v>
      </c>
      <c r="W96" s="7" t="s">
        <v>216</v>
      </c>
      <c r="X96" s="7" t="s">
        <v>1751</v>
      </c>
      <c r="Y96" s="10">
        <f t="shared" si="3"/>
        <v>1980</v>
      </c>
      <c r="AH96" s="5" t="e">
        <f>VLOOKUP(B96,[1]DL!$BK:$BP,6,0)</f>
        <v>#N/A</v>
      </c>
    </row>
    <row r="97" spans="1:34" ht="14.5" hidden="1">
      <c r="A97" s="5">
        <v>94</v>
      </c>
      <c r="B97" s="5" t="str">
        <f t="shared" si="2"/>
        <v>07COJPD7419B1Z7DE/2905</v>
      </c>
      <c r="C97" s="1" t="s">
        <v>199</v>
      </c>
      <c r="D97" s="1" t="s">
        <v>200</v>
      </c>
      <c r="E97" s="1" t="s">
        <v>222</v>
      </c>
      <c r="F97" s="1" t="s">
        <v>24</v>
      </c>
      <c r="G97" s="1" t="s">
        <v>216</v>
      </c>
      <c r="H97" s="2">
        <v>12980</v>
      </c>
      <c r="I97" s="1" t="s">
        <v>44</v>
      </c>
      <c r="J97" s="3" t="s">
        <v>27</v>
      </c>
      <c r="K97" s="2">
        <v>11000</v>
      </c>
      <c r="L97" s="2">
        <v>0</v>
      </c>
      <c r="M97" s="2">
        <v>990</v>
      </c>
      <c r="N97" s="2">
        <v>990</v>
      </c>
      <c r="O97" s="2">
        <v>0</v>
      </c>
      <c r="P97" s="7" t="s">
        <v>203</v>
      </c>
      <c r="Q97" s="1" t="s">
        <v>204</v>
      </c>
      <c r="R97" s="3" t="s">
        <v>45</v>
      </c>
      <c r="S97" s="1" t="s">
        <v>46</v>
      </c>
      <c r="T97" s="4" t="s">
        <v>31</v>
      </c>
      <c r="U97" s="7" t="s">
        <v>32</v>
      </c>
      <c r="V97" s="7" t="s">
        <v>223</v>
      </c>
      <c r="W97" s="7" t="s">
        <v>216</v>
      </c>
      <c r="X97" s="7" t="s">
        <v>1751</v>
      </c>
      <c r="Y97" s="10">
        <f t="shared" si="3"/>
        <v>1980</v>
      </c>
      <c r="AH97" s="5" t="e">
        <f>VLOOKUP(B97,[1]DL!$BK:$BP,6,0)</f>
        <v>#N/A</v>
      </c>
    </row>
    <row r="98" spans="1:34" ht="14.5" hidden="1">
      <c r="A98" s="5">
        <v>95</v>
      </c>
      <c r="B98" s="5" t="str">
        <f t="shared" si="2"/>
        <v>07COJPD7419B1Z7DE/2906</v>
      </c>
      <c r="C98" s="1" t="s">
        <v>199</v>
      </c>
      <c r="D98" s="1" t="s">
        <v>200</v>
      </c>
      <c r="E98" s="1" t="s">
        <v>224</v>
      </c>
      <c r="F98" s="1" t="s">
        <v>24</v>
      </c>
      <c r="G98" s="1" t="s">
        <v>216</v>
      </c>
      <c r="H98" s="2">
        <v>11092</v>
      </c>
      <c r="I98" s="1" t="s">
        <v>44</v>
      </c>
      <c r="J98" s="3" t="s">
        <v>27</v>
      </c>
      <c r="K98" s="2">
        <v>9400</v>
      </c>
      <c r="L98" s="2">
        <v>0</v>
      </c>
      <c r="M98" s="2">
        <v>846</v>
      </c>
      <c r="N98" s="2">
        <v>846</v>
      </c>
      <c r="O98" s="2">
        <v>0</v>
      </c>
      <c r="P98" s="7" t="s">
        <v>203</v>
      </c>
      <c r="Q98" s="1" t="s">
        <v>204</v>
      </c>
      <c r="R98" s="3" t="s">
        <v>45</v>
      </c>
      <c r="S98" s="1" t="s">
        <v>46</v>
      </c>
      <c r="T98" s="4" t="s">
        <v>31</v>
      </c>
      <c r="U98" s="7" t="s">
        <v>32</v>
      </c>
      <c r="V98" s="7" t="s">
        <v>225</v>
      </c>
      <c r="W98" s="7" t="s">
        <v>216</v>
      </c>
      <c r="X98" s="7" t="s">
        <v>1751</v>
      </c>
      <c r="Y98" s="10">
        <f t="shared" si="3"/>
        <v>1692</v>
      </c>
      <c r="AH98" s="5" t="e">
        <f>VLOOKUP(B98,[1]DL!$BK:$BP,6,0)</f>
        <v>#N/A</v>
      </c>
    </row>
    <row r="99" spans="1:34" ht="14.5" hidden="1">
      <c r="A99" s="5">
        <v>96</v>
      </c>
      <c r="B99" s="5" t="str">
        <f t="shared" si="2"/>
        <v>07COJPD7419B1Z7DE/2907</v>
      </c>
      <c r="C99" s="1" t="s">
        <v>199</v>
      </c>
      <c r="D99" s="1" t="s">
        <v>200</v>
      </c>
      <c r="E99" s="1" t="s">
        <v>226</v>
      </c>
      <c r="F99" s="1" t="s">
        <v>24</v>
      </c>
      <c r="G99" s="1" t="s">
        <v>216</v>
      </c>
      <c r="H99" s="2">
        <v>17700</v>
      </c>
      <c r="I99" s="1" t="s">
        <v>44</v>
      </c>
      <c r="J99" s="3" t="s">
        <v>27</v>
      </c>
      <c r="K99" s="2">
        <v>15000</v>
      </c>
      <c r="L99" s="2">
        <v>0</v>
      </c>
      <c r="M99" s="2">
        <v>1350</v>
      </c>
      <c r="N99" s="2">
        <v>1350</v>
      </c>
      <c r="O99" s="2">
        <v>0</v>
      </c>
      <c r="P99" s="7" t="s">
        <v>203</v>
      </c>
      <c r="Q99" s="1" t="s">
        <v>204</v>
      </c>
      <c r="R99" s="3" t="s">
        <v>45</v>
      </c>
      <c r="S99" s="1" t="s">
        <v>46</v>
      </c>
      <c r="T99" s="4" t="s">
        <v>31</v>
      </c>
      <c r="U99" s="7" t="s">
        <v>32</v>
      </c>
      <c r="V99" s="7" t="s">
        <v>227</v>
      </c>
      <c r="W99" s="7" t="s">
        <v>216</v>
      </c>
      <c r="X99" s="7" t="s">
        <v>1751</v>
      </c>
      <c r="Y99" s="10">
        <f t="shared" si="3"/>
        <v>2700</v>
      </c>
      <c r="AH99" s="5" t="e">
        <f>VLOOKUP(B99,[1]DL!$BK:$BP,6,0)</f>
        <v>#N/A</v>
      </c>
    </row>
    <row r="100" spans="1:34" ht="14.5" hidden="1">
      <c r="A100" s="5">
        <v>97</v>
      </c>
      <c r="B100" s="5" t="str">
        <f t="shared" si="2"/>
        <v>07COJPD7419B1Z7DE/2908</v>
      </c>
      <c r="C100" s="1" t="s">
        <v>199</v>
      </c>
      <c r="D100" s="1" t="s">
        <v>200</v>
      </c>
      <c r="E100" s="1" t="s">
        <v>228</v>
      </c>
      <c r="F100" s="1" t="s">
        <v>24</v>
      </c>
      <c r="G100" s="1" t="s">
        <v>216</v>
      </c>
      <c r="H100" s="2">
        <v>590</v>
      </c>
      <c r="I100" s="1" t="s">
        <v>44</v>
      </c>
      <c r="J100" s="3" t="s">
        <v>27</v>
      </c>
      <c r="K100" s="2">
        <v>500</v>
      </c>
      <c r="L100" s="2">
        <v>0</v>
      </c>
      <c r="M100" s="2">
        <v>45</v>
      </c>
      <c r="N100" s="2">
        <v>45</v>
      </c>
      <c r="O100" s="2">
        <v>0</v>
      </c>
      <c r="P100" s="7" t="s">
        <v>203</v>
      </c>
      <c r="Q100" s="1" t="s">
        <v>204</v>
      </c>
      <c r="R100" s="3" t="s">
        <v>45</v>
      </c>
      <c r="S100" s="1" t="s">
        <v>46</v>
      </c>
      <c r="T100" s="4" t="s">
        <v>31</v>
      </c>
      <c r="U100" s="7" t="s">
        <v>32</v>
      </c>
      <c r="V100" s="7" t="s">
        <v>229</v>
      </c>
      <c r="W100" s="7" t="s">
        <v>216</v>
      </c>
      <c r="X100" s="7" t="s">
        <v>1751</v>
      </c>
      <c r="Y100" s="10">
        <f t="shared" si="3"/>
        <v>90</v>
      </c>
      <c r="AH100" s="5" t="e">
        <f>VLOOKUP(B100,[1]DL!$BK:$BP,6,0)</f>
        <v>#N/A</v>
      </c>
    </row>
    <row r="101" spans="1:34" ht="14.5" hidden="1">
      <c r="A101" s="5">
        <v>98</v>
      </c>
      <c r="B101" s="5" t="str">
        <f t="shared" si="2"/>
        <v>07COJPD7419B1Z7DE/2909</v>
      </c>
      <c r="C101" s="1" t="s">
        <v>199</v>
      </c>
      <c r="D101" s="1" t="s">
        <v>200</v>
      </c>
      <c r="E101" s="1" t="s">
        <v>230</v>
      </c>
      <c r="F101" s="1" t="s">
        <v>24</v>
      </c>
      <c r="G101" s="1" t="s">
        <v>216</v>
      </c>
      <c r="H101" s="2">
        <v>2950</v>
      </c>
      <c r="I101" s="1" t="s">
        <v>44</v>
      </c>
      <c r="J101" s="3" t="s">
        <v>27</v>
      </c>
      <c r="K101" s="2">
        <v>2500</v>
      </c>
      <c r="L101" s="2">
        <v>0</v>
      </c>
      <c r="M101" s="2">
        <v>225</v>
      </c>
      <c r="N101" s="2">
        <v>225</v>
      </c>
      <c r="O101" s="2">
        <v>0</v>
      </c>
      <c r="P101" s="7" t="s">
        <v>203</v>
      </c>
      <c r="Q101" s="1" t="s">
        <v>204</v>
      </c>
      <c r="R101" s="3" t="s">
        <v>45</v>
      </c>
      <c r="S101" s="1" t="s">
        <v>46</v>
      </c>
      <c r="T101" s="4" t="s">
        <v>31</v>
      </c>
      <c r="U101" s="7" t="s">
        <v>32</v>
      </c>
      <c r="V101" s="7" t="s">
        <v>231</v>
      </c>
      <c r="W101" s="7" t="s">
        <v>216</v>
      </c>
      <c r="X101" s="7" t="s">
        <v>1751</v>
      </c>
      <c r="Y101" s="10">
        <f t="shared" si="3"/>
        <v>450</v>
      </c>
      <c r="AH101" s="5" t="e">
        <f>VLOOKUP(B101,[1]DL!$BK:$BP,6,0)</f>
        <v>#N/A</v>
      </c>
    </row>
    <row r="102" spans="1:34" ht="14.5" hidden="1">
      <c r="A102" s="5">
        <v>99</v>
      </c>
      <c r="B102" s="5" t="str">
        <f t="shared" si="2"/>
        <v>07COJPD7419B1Z7DE/2910</v>
      </c>
      <c r="C102" s="1" t="s">
        <v>199</v>
      </c>
      <c r="D102" s="1" t="s">
        <v>200</v>
      </c>
      <c r="E102" s="1" t="s">
        <v>232</v>
      </c>
      <c r="F102" s="1" t="s">
        <v>24</v>
      </c>
      <c r="G102" s="1" t="s">
        <v>216</v>
      </c>
      <c r="H102" s="2">
        <v>13570</v>
      </c>
      <c r="I102" s="1" t="s">
        <v>44</v>
      </c>
      <c r="J102" s="3" t="s">
        <v>27</v>
      </c>
      <c r="K102" s="2">
        <v>11500</v>
      </c>
      <c r="L102" s="2">
        <v>0</v>
      </c>
      <c r="M102" s="2">
        <v>1035</v>
      </c>
      <c r="N102" s="2">
        <v>1035</v>
      </c>
      <c r="O102" s="2">
        <v>0</v>
      </c>
      <c r="P102" s="7" t="s">
        <v>203</v>
      </c>
      <c r="Q102" s="1" t="s">
        <v>204</v>
      </c>
      <c r="R102" s="3" t="s">
        <v>45</v>
      </c>
      <c r="S102" s="1" t="s">
        <v>46</v>
      </c>
      <c r="T102" s="4" t="s">
        <v>31</v>
      </c>
      <c r="U102" s="7" t="s">
        <v>32</v>
      </c>
      <c r="V102" s="7" t="s">
        <v>233</v>
      </c>
      <c r="W102" s="7" t="s">
        <v>216</v>
      </c>
      <c r="X102" s="7" t="s">
        <v>1751</v>
      </c>
      <c r="Y102" s="10">
        <f t="shared" si="3"/>
        <v>2070</v>
      </c>
      <c r="AH102" s="5" t="e">
        <f>VLOOKUP(B102,[1]DL!$BK:$BP,6,0)</f>
        <v>#N/A</v>
      </c>
    </row>
    <row r="103" spans="1:34" ht="14.5" hidden="1">
      <c r="A103" s="5">
        <v>100</v>
      </c>
      <c r="B103" s="5" t="str">
        <f t="shared" si="2"/>
        <v>07COJPD7419B1Z7DE/2911</v>
      </c>
      <c r="C103" s="1" t="s">
        <v>199</v>
      </c>
      <c r="D103" s="1" t="s">
        <v>200</v>
      </c>
      <c r="E103" s="1" t="s">
        <v>234</v>
      </c>
      <c r="F103" s="1" t="s">
        <v>24</v>
      </c>
      <c r="G103" s="1" t="s">
        <v>216</v>
      </c>
      <c r="H103" s="2">
        <v>2950</v>
      </c>
      <c r="I103" s="1" t="s">
        <v>44</v>
      </c>
      <c r="J103" s="3" t="s">
        <v>27</v>
      </c>
      <c r="K103" s="2">
        <v>2500</v>
      </c>
      <c r="L103" s="2">
        <v>0</v>
      </c>
      <c r="M103" s="2">
        <v>225</v>
      </c>
      <c r="N103" s="2">
        <v>225</v>
      </c>
      <c r="O103" s="2">
        <v>0</v>
      </c>
      <c r="P103" s="7" t="s">
        <v>203</v>
      </c>
      <c r="Q103" s="1" t="s">
        <v>204</v>
      </c>
      <c r="R103" s="3" t="s">
        <v>45</v>
      </c>
      <c r="S103" s="1" t="s">
        <v>46</v>
      </c>
      <c r="T103" s="4" t="s">
        <v>31</v>
      </c>
      <c r="U103" s="7" t="s">
        <v>32</v>
      </c>
      <c r="V103" s="7" t="s">
        <v>235</v>
      </c>
      <c r="W103" s="7" t="s">
        <v>216</v>
      </c>
      <c r="X103" s="7" t="s">
        <v>1751</v>
      </c>
      <c r="Y103" s="10">
        <f t="shared" si="3"/>
        <v>450</v>
      </c>
      <c r="AH103" s="5" t="e">
        <f>VLOOKUP(B103,[1]DL!$BK:$BP,6,0)</f>
        <v>#N/A</v>
      </c>
    </row>
    <row r="104" spans="1:34" ht="14.5" hidden="1">
      <c r="A104" s="5">
        <v>101</v>
      </c>
      <c r="B104" s="5" t="str">
        <f t="shared" si="2"/>
        <v>07COJPD7419B1Z7DE/2912</v>
      </c>
      <c r="C104" s="1" t="s">
        <v>199</v>
      </c>
      <c r="D104" s="1" t="s">
        <v>200</v>
      </c>
      <c r="E104" s="1" t="s">
        <v>236</v>
      </c>
      <c r="F104" s="1" t="s">
        <v>24</v>
      </c>
      <c r="G104" s="1" t="s">
        <v>216</v>
      </c>
      <c r="H104" s="2">
        <v>11800</v>
      </c>
      <c r="I104" s="1" t="s">
        <v>44</v>
      </c>
      <c r="J104" s="3" t="s">
        <v>27</v>
      </c>
      <c r="K104" s="2">
        <v>10000</v>
      </c>
      <c r="L104" s="2">
        <v>0</v>
      </c>
      <c r="M104" s="2">
        <v>900</v>
      </c>
      <c r="N104" s="2">
        <v>900</v>
      </c>
      <c r="O104" s="2">
        <v>0</v>
      </c>
      <c r="P104" s="7" t="s">
        <v>203</v>
      </c>
      <c r="Q104" s="1" t="s">
        <v>204</v>
      </c>
      <c r="R104" s="3" t="s">
        <v>45</v>
      </c>
      <c r="S104" s="1" t="s">
        <v>46</v>
      </c>
      <c r="T104" s="4" t="s">
        <v>31</v>
      </c>
      <c r="U104" s="7" t="s">
        <v>32</v>
      </c>
      <c r="V104" s="7" t="s">
        <v>237</v>
      </c>
      <c r="W104" s="7" t="s">
        <v>216</v>
      </c>
      <c r="X104" s="7" t="s">
        <v>1751</v>
      </c>
      <c r="Y104" s="10">
        <f t="shared" si="3"/>
        <v>1800</v>
      </c>
      <c r="AH104" s="5" t="e">
        <f>VLOOKUP(B104,[1]DL!$BK:$BP,6,0)</f>
        <v>#N/A</v>
      </c>
    </row>
    <row r="105" spans="1:34" ht="14.5" hidden="1">
      <c r="A105" s="5">
        <v>102</v>
      </c>
      <c r="B105" s="5" t="str">
        <f t="shared" si="2"/>
        <v>07COJPD7419B1Z7DE/2913</v>
      </c>
      <c r="C105" s="1" t="s">
        <v>199</v>
      </c>
      <c r="D105" s="1" t="s">
        <v>200</v>
      </c>
      <c r="E105" s="1" t="s">
        <v>238</v>
      </c>
      <c r="F105" s="1" t="s">
        <v>24</v>
      </c>
      <c r="G105" s="1" t="s">
        <v>216</v>
      </c>
      <c r="H105" s="2">
        <v>1770</v>
      </c>
      <c r="I105" s="1" t="s">
        <v>44</v>
      </c>
      <c r="J105" s="3" t="s">
        <v>27</v>
      </c>
      <c r="K105" s="2">
        <v>1500</v>
      </c>
      <c r="L105" s="2">
        <v>0</v>
      </c>
      <c r="M105" s="2">
        <v>135</v>
      </c>
      <c r="N105" s="2">
        <v>135</v>
      </c>
      <c r="O105" s="2">
        <v>0</v>
      </c>
      <c r="P105" s="7" t="s">
        <v>203</v>
      </c>
      <c r="Q105" s="1" t="s">
        <v>204</v>
      </c>
      <c r="R105" s="3" t="s">
        <v>45</v>
      </c>
      <c r="S105" s="1" t="s">
        <v>46</v>
      </c>
      <c r="T105" s="4" t="s">
        <v>31</v>
      </c>
      <c r="U105" s="7" t="s">
        <v>32</v>
      </c>
      <c r="V105" s="7" t="s">
        <v>239</v>
      </c>
      <c r="W105" s="7" t="s">
        <v>216</v>
      </c>
      <c r="X105" s="7" t="s">
        <v>1751</v>
      </c>
      <c r="Y105" s="10">
        <f t="shared" si="3"/>
        <v>270</v>
      </c>
      <c r="AH105" s="5" t="e">
        <f>VLOOKUP(B105,[1]DL!$BK:$BP,6,0)</f>
        <v>#N/A</v>
      </c>
    </row>
    <row r="106" spans="1:34" ht="14.5" hidden="1">
      <c r="A106" s="5">
        <v>103</v>
      </c>
      <c r="B106" s="5" t="str">
        <f t="shared" si="2"/>
        <v>07COJPD7419B1Z7DE/2914</v>
      </c>
      <c r="C106" s="1" t="s">
        <v>199</v>
      </c>
      <c r="D106" s="1" t="s">
        <v>200</v>
      </c>
      <c r="E106" s="1" t="s">
        <v>240</v>
      </c>
      <c r="F106" s="1" t="s">
        <v>24</v>
      </c>
      <c r="G106" s="1" t="s">
        <v>216</v>
      </c>
      <c r="H106" s="2">
        <v>17700</v>
      </c>
      <c r="I106" s="1" t="s">
        <v>44</v>
      </c>
      <c r="J106" s="3" t="s">
        <v>27</v>
      </c>
      <c r="K106" s="2">
        <v>15000</v>
      </c>
      <c r="L106" s="2">
        <v>0</v>
      </c>
      <c r="M106" s="2">
        <v>1350</v>
      </c>
      <c r="N106" s="2">
        <v>1350</v>
      </c>
      <c r="O106" s="2">
        <v>0</v>
      </c>
      <c r="P106" s="7" t="s">
        <v>203</v>
      </c>
      <c r="Q106" s="1" t="s">
        <v>204</v>
      </c>
      <c r="R106" s="3" t="s">
        <v>45</v>
      </c>
      <c r="S106" s="1" t="s">
        <v>46</v>
      </c>
      <c r="T106" s="4" t="s">
        <v>31</v>
      </c>
      <c r="U106" s="7" t="s">
        <v>32</v>
      </c>
      <c r="V106" s="7" t="s">
        <v>241</v>
      </c>
      <c r="W106" s="7" t="s">
        <v>216</v>
      </c>
      <c r="X106" s="7" t="s">
        <v>1751</v>
      </c>
      <c r="Y106" s="10">
        <f t="shared" si="3"/>
        <v>2700</v>
      </c>
      <c r="AH106" s="5" t="e">
        <f>VLOOKUP(B106,[1]DL!$BK:$BP,6,0)</f>
        <v>#N/A</v>
      </c>
    </row>
    <row r="107" spans="1:34" ht="14.5" hidden="1">
      <c r="A107" s="5">
        <v>104</v>
      </c>
      <c r="B107" s="5" t="str">
        <f t="shared" si="2"/>
        <v>07COJPD7419B1Z7DE/2915</v>
      </c>
      <c r="C107" s="1" t="s">
        <v>199</v>
      </c>
      <c r="D107" s="1" t="s">
        <v>200</v>
      </c>
      <c r="E107" s="1" t="s">
        <v>242</v>
      </c>
      <c r="F107" s="1" t="s">
        <v>24</v>
      </c>
      <c r="G107" s="1" t="s">
        <v>216</v>
      </c>
      <c r="H107" s="2">
        <v>1180</v>
      </c>
      <c r="I107" s="1" t="s">
        <v>44</v>
      </c>
      <c r="J107" s="3" t="s">
        <v>27</v>
      </c>
      <c r="K107" s="2">
        <v>1000</v>
      </c>
      <c r="L107" s="2">
        <v>0</v>
      </c>
      <c r="M107" s="2">
        <v>90</v>
      </c>
      <c r="N107" s="2">
        <v>90</v>
      </c>
      <c r="O107" s="2">
        <v>0</v>
      </c>
      <c r="P107" s="7" t="s">
        <v>203</v>
      </c>
      <c r="Q107" s="1" t="s">
        <v>204</v>
      </c>
      <c r="R107" s="3" t="s">
        <v>45</v>
      </c>
      <c r="S107" s="1" t="s">
        <v>46</v>
      </c>
      <c r="T107" s="4" t="s">
        <v>31</v>
      </c>
      <c r="U107" s="7" t="s">
        <v>32</v>
      </c>
      <c r="V107" s="7" t="s">
        <v>243</v>
      </c>
      <c r="W107" s="7" t="s">
        <v>216</v>
      </c>
      <c r="X107" s="7" t="s">
        <v>1751</v>
      </c>
      <c r="Y107" s="10">
        <f t="shared" si="3"/>
        <v>180</v>
      </c>
      <c r="AH107" s="5" t="e">
        <f>VLOOKUP(B107,[1]DL!$BK:$BP,6,0)</f>
        <v>#N/A</v>
      </c>
    </row>
    <row r="108" spans="1:34" ht="14.5" hidden="1">
      <c r="A108" s="5">
        <v>105</v>
      </c>
      <c r="B108" s="5" t="str">
        <f t="shared" si="2"/>
        <v>07COJPD7419B1Z7DE/2916</v>
      </c>
      <c r="C108" s="1" t="s">
        <v>199</v>
      </c>
      <c r="D108" s="1" t="s">
        <v>200</v>
      </c>
      <c r="E108" s="1" t="s">
        <v>244</v>
      </c>
      <c r="F108" s="1" t="s">
        <v>24</v>
      </c>
      <c r="G108" s="1" t="s">
        <v>216</v>
      </c>
      <c r="H108" s="2">
        <v>590</v>
      </c>
      <c r="I108" s="1" t="s">
        <v>44</v>
      </c>
      <c r="J108" s="3" t="s">
        <v>27</v>
      </c>
      <c r="K108" s="2">
        <v>500</v>
      </c>
      <c r="L108" s="2">
        <v>0</v>
      </c>
      <c r="M108" s="2">
        <v>45</v>
      </c>
      <c r="N108" s="2">
        <v>45</v>
      </c>
      <c r="O108" s="2">
        <v>0</v>
      </c>
      <c r="P108" s="7" t="s">
        <v>203</v>
      </c>
      <c r="Q108" s="1" t="s">
        <v>204</v>
      </c>
      <c r="R108" s="3" t="s">
        <v>45</v>
      </c>
      <c r="S108" s="1" t="s">
        <v>46</v>
      </c>
      <c r="T108" s="4" t="s">
        <v>31</v>
      </c>
      <c r="U108" s="7" t="s">
        <v>32</v>
      </c>
      <c r="V108" s="7" t="s">
        <v>245</v>
      </c>
      <c r="W108" s="7" t="s">
        <v>216</v>
      </c>
      <c r="X108" s="7" t="s">
        <v>1751</v>
      </c>
      <c r="Y108" s="10">
        <f t="shared" si="3"/>
        <v>90</v>
      </c>
      <c r="AH108" s="5" t="e">
        <f>VLOOKUP(B108,[1]DL!$BK:$BP,6,0)</f>
        <v>#N/A</v>
      </c>
    </row>
    <row r="109" spans="1:34" ht="14.5" hidden="1">
      <c r="A109" s="5">
        <v>106</v>
      </c>
      <c r="B109" s="5" t="str">
        <f t="shared" si="2"/>
        <v>07COJPD7419B1Z7DE/2917</v>
      </c>
      <c r="C109" s="1" t="s">
        <v>199</v>
      </c>
      <c r="D109" s="1" t="s">
        <v>200</v>
      </c>
      <c r="E109" s="1" t="s">
        <v>246</v>
      </c>
      <c r="F109" s="1" t="s">
        <v>24</v>
      </c>
      <c r="G109" s="1" t="s">
        <v>216</v>
      </c>
      <c r="H109" s="2">
        <v>20060</v>
      </c>
      <c r="I109" s="1" t="s">
        <v>44</v>
      </c>
      <c r="J109" s="3" t="s">
        <v>27</v>
      </c>
      <c r="K109" s="2">
        <v>17000</v>
      </c>
      <c r="L109" s="2">
        <v>0</v>
      </c>
      <c r="M109" s="2">
        <v>1530</v>
      </c>
      <c r="N109" s="2">
        <v>1530</v>
      </c>
      <c r="O109" s="2">
        <v>0</v>
      </c>
      <c r="P109" s="7" t="s">
        <v>203</v>
      </c>
      <c r="Q109" s="1" t="s">
        <v>204</v>
      </c>
      <c r="R109" s="3" t="s">
        <v>45</v>
      </c>
      <c r="S109" s="1" t="s">
        <v>46</v>
      </c>
      <c r="T109" s="4" t="s">
        <v>31</v>
      </c>
      <c r="U109" s="7" t="s">
        <v>32</v>
      </c>
      <c r="V109" s="7" t="s">
        <v>247</v>
      </c>
      <c r="W109" s="7" t="s">
        <v>216</v>
      </c>
      <c r="X109" s="7" t="s">
        <v>1751</v>
      </c>
      <c r="Y109" s="10">
        <f t="shared" si="3"/>
        <v>3060</v>
      </c>
      <c r="AH109" s="5" t="e">
        <f>VLOOKUP(B109,[1]DL!$BK:$BP,6,0)</f>
        <v>#N/A</v>
      </c>
    </row>
    <row r="110" spans="1:34" ht="14.5" hidden="1">
      <c r="A110" s="5">
        <v>107</v>
      </c>
      <c r="B110" s="5" t="str">
        <f t="shared" si="2"/>
        <v>07COJPD7419B1Z7DE/2918</v>
      </c>
      <c r="C110" s="1" t="s">
        <v>199</v>
      </c>
      <c r="D110" s="1" t="s">
        <v>200</v>
      </c>
      <c r="E110" s="1" t="s">
        <v>248</v>
      </c>
      <c r="F110" s="1" t="s">
        <v>24</v>
      </c>
      <c r="G110" s="1" t="s">
        <v>216</v>
      </c>
      <c r="H110" s="2">
        <v>18880</v>
      </c>
      <c r="I110" s="1" t="s">
        <v>44</v>
      </c>
      <c r="J110" s="3" t="s">
        <v>27</v>
      </c>
      <c r="K110" s="2">
        <v>16000</v>
      </c>
      <c r="L110" s="2">
        <v>0</v>
      </c>
      <c r="M110" s="2">
        <v>1440</v>
      </c>
      <c r="N110" s="2">
        <v>1440</v>
      </c>
      <c r="O110" s="2">
        <v>0</v>
      </c>
      <c r="P110" s="7" t="s">
        <v>203</v>
      </c>
      <c r="Q110" s="1" t="s">
        <v>204</v>
      </c>
      <c r="R110" s="3" t="s">
        <v>45</v>
      </c>
      <c r="S110" s="1" t="s">
        <v>46</v>
      </c>
      <c r="T110" s="4" t="s">
        <v>31</v>
      </c>
      <c r="U110" s="7" t="s">
        <v>32</v>
      </c>
      <c r="V110" s="7" t="s">
        <v>249</v>
      </c>
      <c r="W110" s="7" t="s">
        <v>250</v>
      </c>
      <c r="X110" s="7" t="s">
        <v>1751</v>
      </c>
      <c r="Y110" s="10">
        <f t="shared" si="3"/>
        <v>2880</v>
      </c>
      <c r="AH110" s="5" t="e">
        <f>VLOOKUP(B110,[1]DL!$BK:$BP,6,0)</f>
        <v>#N/A</v>
      </c>
    </row>
    <row r="111" spans="1:34" ht="14.5" hidden="1">
      <c r="A111" s="5">
        <v>108</v>
      </c>
      <c r="B111" s="5" t="str">
        <f t="shared" si="2"/>
        <v>07COJPD7419B1Z7DE/2919</v>
      </c>
      <c r="C111" s="1" t="s">
        <v>199</v>
      </c>
      <c r="D111" s="1" t="s">
        <v>200</v>
      </c>
      <c r="E111" s="1" t="s">
        <v>251</v>
      </c>
      <c r="F111" s="1" t="s">
        <v>24</v>
      </c>
      <c r="G111" s="1" t="s">
        <v>216</v>
      </c>
      <c r="H111" s="2">
        <v>1770</v>
      </c>
      <c r="I111" s="1" t="s">
        <v>44</v>
      </c>
      <c r="J111" s="3" t="s">
        <v>27</v>
      </c>
      <c r="K111" s="2">
        <v>1500</v>
      </c>
      <c r="L111" s="2">
        <v>0</v>
      </c>
      <c r="M111" s="2">
        <v>135</v>
      </c>
      <c r="N111" s="2">
        <v>135</v>
      </c>
      <c r="O111" s="2">
        <v>0</v>
      </c>
      <c r="P111" s="7" t="s">
        <v>203</v>
      </c>
      <c r="Q111" s="1" t="s">
        <v>204</v>
      </c>
      <c r="R111" s="3" t="s">
        <v>45</v>
      </c>
      <c r="S111" s="1" t="s">
        <v>46</v>
      </c>
      <c r="T111" s="4" t="s">
        <v>31</v>
      </c>
      <c r="U111" s="7" t="s">
        <v>32</v>
      </c>
      <c r="V111" s="7" t="s">
        <v>252</v>
      </c>
      <c r="W111" s="7" t="s">
        <v>250</v>
      </c>
      <c r="X111" s="7" t="s">
        <v>1751</v>
      </c>
      <c r="Y111" s="10">
        <f t="shared" si="3"/>
        <v>270</v>
      </c>
      <c r="AH111" s="5" t="e">
        <f>VLOOKUP(B111,[1]DL!$BK:$BP,6,0)</f>
        <v>#N/A</v>
      </c>
    </row>
    <row r="112" spans="1:34" ht="14.5" hidden="1">
      <c r="A112" s="5">
        <v>109</v>
      </c>
      <c r="B112" s="5" t="str">
        <f t="shared" si="2"/>
        <v>07COJPD7419B1Z7DE/2920</v>
      </c>
      <c r="C112" s="1" t="s">
        <v>199</v>
      </c>
      <c r="D112" s="1" t="s">
        <v>200</v>
      </c>
      <c r="E112" s="1" t="s">
        <v>253</v>
      </c>
      <c r="F112" s="1" t="s">
        <v>24</v>
      </c>
      <c r="G112" s="1" t="s">
        <v>216</v>
      </c>
      <c r="H112" s="2">
        <v>1180</v>
      </c>
      <c r="I112" s="1" t="s">
        <v>44</v>
      </c>
      <c r="J112" s="3" t="s">
        <v>27</v>
      </c>
      <c r="K112" s="2">
        <v>1000</v>
      </c>
      <c r="L112" s="2">
        <v>0</v>
      </c>
      <c r="M112" s="2">
        <v>90</v>
      </c>
      <c r="N112" s="2">
        <v>90</v>
      </c>
      <c r="O112" s="2">
        <v>0</v>
      </c>
      <c r="P112" s="7" t="s">
        <v>203</v>
      </c>
      <c r="Q112" s="1" t="s">
        <v>204</v>
      </c>
      <c r="R112" s="3" t="s">
        <v>45</v>
      </c>
      <c r="S112" s="1" t="s">
        <v>46</v>
      </c>
      <c r="T112" s="4" t="s">
        <v>31</v>
      </c>
      <c r="U112" s="7" t="s">
        <v>32</v>
      </c>
      <c r="V112" s="7" t="s">
        <v>254</v>
      </c>
      <c r="W112" s="7" t="s">
        <v>250</v>
      </c>
      <c r="X112" s="7" t="s">
        <v>1751</v>
      </c>
      <c r="Y112" s="10">
        <f t="shared" si="3"/>
        <v>180</v>
      </c>
      <c r="AH112" s="5" t="e">
        <f>VLOOKUP(B112,[1]DL!$BK:$BP,6,0)</f>
        <v>#N/A</v>
      </c>
    </row>
    <row r="113" spans="1:34" ht="14.5" hidden="1">
      <c r="A113" s="5">
        <v>110</v>
      </c>
      <c r="B113" s="5" t="str">
        <f t="shared" si="2"/>
        <v>07COJPD7419B1Z7DE/2943</v>
      </c>
      <c r="C113" s="1" t="s">
        <v>199</v>
      </c>
      <c r="D113" s="1" t="s">
        <v>200</v>
      </c>
      <c r="E113" s="1" t="s">
        <v>255</v>
      </c>
      <c r="F113" s="1" t="s">
        <v>24</v>
      </c>
      <c r="G113" s="1" t="s">
        <v>256</v>
      </c>
      <c r="H113" s="2">
        <v>36025.40</v>
      </c>
      <c r="I113" s="1" t="s">
        <v>44</v>
      </c>
      <c r="J113" s="3" t="s">
        <v>27</v>
      </c>
      <c r="K113" s="2">
        <v>30530</v>
      </c>
      <c r="L113" s="2">
        <v>0</v>
      </c>
      <c r="M113" s="2">
        <v>2747.70</v>
      </c>
      <c r="N113" s="2">
        <v>2747.70</v>
      </c>
      <c r="O113" s="2">
        <v>0</v>
      </c>
      <c r="P113" s="7" t="s">
        <v>203</v>
      </c>
      <c r="Q113" s="1" t="s">
        <v>204</v>
      </c>
      <c r="R113" s="3" t="s">
        <v>45</v>
      </c>
      <c r="S113" s="1" t="s">
        <v>46</v>
      </c>
      <c r="T113" s="4" t="s">
        <v>31</v>
      </c>
      <c r="U113" s="7" t="s">
        <v>32</v>
      </c>
      <c r="V113" s="7" t="s">
        <v>257</v>
      </c>
      <c r="W113" s="7" t="s">
        <v>256</v>
      </c>
      <c r="X113" s="7" t="s">
        <v>1751</v>
      </c>
      <c r="Y113" s="10">
        <f t="shared" si="3"/>
        <v>5495.3999999999996</v>
      </c>
      <c r="AH113" s="5" t="e">
        <f>VLOOKUP(B113,[1]DL!$BK:$BP,6,0)</f>
        <v>#N/A</v>
      </c>
    </row>
    <row r="114" spans="1:34" ht="14.5" hidden="1">
      <c r="A114" s="5">
        <v>111</v>
      </c>
      <c r="B114" s="5" t="str">
        <f t="shared" si="2"/>
        <v>07COJPD7419B1Z7DE/2944</v>
      </c>
      <c r="C114" s="1" t="s">
        <v>199</v>
      </c>
      <c r="D114" s="1" t="s">
        <v>200</v>
      </c>
      <c r="E114" s="1" t="s">
        <v>258</v>
      </c>
      <c r="F114" s="1" t="s">
        <v>24</v>
      </c>
      <c r="G114" s="1" t="s">
        <v>256</v>
      </c>
      <c r="H114" s="2">
        <v>37535.800000000003</v>
      </c>
      <c r="I114" s="1" t="s">
        <v>44</v>
      </c>
      <c r="J114" s="3" t="s">
        <v>27</v>
      </c>
      <c r="K114" s="2">
        <v>31810</v>
      </c>
      <c r="L114" s="2">
        <v>0</v>
      </c>
      <c r="M114" s="2">
        <v>2862.90</v>
      </c>
      <c r="N114" s="2">
        <v>2862.90</v>
      </c>
      <c r="O114" s="2">
        <v>0</v>
      </c>
      <c r="P114" s="7" t="s">
        <v>203</v>
      </c>
      <c r="Q114" s="1" t="s">
        <v>204</v>
      </c>
      <c r="R114" s="3" t="s">
        <v>45</v>
      </c>
      <c r="S114" s="1" t="s">
        <v>46</v>
      </c>
      <c r="T114" s="4" t="s">
        <v>31</v>
      </c>
      <c r="U114" s="7" t="s">
        <v>32</v>
      </c>
      <c r="V114" s="7" t="s">
        <v>259</v>
      </c>
      <c r="W114" s="7" t="s">
        <v>256</v>
      </c>
      <c r="X114" s="7" t="s">
        <v>1751</v>
      </c>
      <c r="Y114" s="10">
        <f t="shared" si="3"/>
        <v>5725.8000000000002</v>
      </c>
      <c r="AH114" s="5" t="e">
        <f>VLOOKUP(B114,[1]DL!$BK:$BP,6,0)</f>
        <v>#N/A</v>
      </c>
    </row>
    <row r="115" spans="1:34" ht="14.5" hidden="1">
      <c r="A115" s="5">
        <v>112</v>
      </c>
      <c r="B115" s="5" t="str">
        <f t="shared" si="2"/>
        <v>07COJPD7419B1Z7DE/2945</v>
      </c>
      <c r="C115" s="1" t="s">
        <v>199</v>
      </c>
      <c r="D115" s="1" t="s">
        <v>200</v>
      </c>
      <c r="E115" s="1" t="s">
        <v>260</v>
      </c>
      <c r="F115" s="1" t="s">
        <v>24</v>
      </c>
      <c r="G115" s="1" t="s">
        <v>256</v>
      </c>
      <c r="H115" s="2">
        <v>11180.5</v>
      </c>
      <c r="I115" s="1" t="s">
        <v>44</v>
      </c>
      <c r="J115" s="3" t="s">
        <v>27</v>
      </c>
      <c r="K115" s="2">
        <v>9475</v>
      </c>
      <c r="L115" s="2">
        <v>0</v>
      </c>
      <c r="M115" s="2">
        <v>852.75</v>
      </c>
      <c r="N115" s="2">
        <v>852.75</v>
      </c>
      <c r="O115" s="2">
        <v>0</v>
      </c>
      <c r="P115" s="7" t="s">
        <v>203</v>
      </c>
      <c r="Q115" s="1" t="s">
        <v>204</v>
      </c>
      <c r="R115" s="3" t="s">
        <v>45</v>
      </c>
      <c r="S115" s="1" t="s">
        <v>46</v>
      </c>
      <c r="T115" s="4" t="s">
        <v>31</v>
      </c>
      <c r="U115" s="7" t="s">
        <v>32</v>
      </c>
      <c r="V115" s="7" t="s">
        <v>261</v>
      </c>
      <c r="W115" s="7" t="s">
        <v>256</v>
      </c>
      <c r="X115" s="7" t="s">
        <v>1751</v>
      </c>
      <c r="Y115" s="10">
        <f t="shared" si="3"/>
        <v>1705.5</v>
      </c>
      <c r="AH115" s="5" t="e">
        <f>VLOOKUP(B115,[1]DL!$BK:$BP,6,0)</f>
        <v>#N/A</v>
      </c>
    </row>
    <row r="116" spans="1:34" ht="14.5" hidden="1">
      <c r="A116" s="5">
        <v>113</v>
      </c>
      <c r="B116" s="5" t="str">
        <f t="shared" si="2"/>
        <v>07COJPD7419B1Z7DE/2954</v>
      </c>
      <c r="C116" s="1" t="s">
        <v>199</v>
      </c>
      <c r="D116" s="1" t="s">
        <v>200</v>
      </c>
      <c r="E116" s="1" t="s">
        <v>262</v>
      </c>
      <c r="F116" s="1" t="s">
        <v>24</v>
      </c>
      <c r="G116" s="1" t="s">
        <v>263</v>
      </c>
      <c r="H116" s="2">
        <v>129114</v>
      </c>
      <c r="I116" s="1" t="s">
        <v>44</v>
      </c>
      <c r="J116" s="3" t="s">
        <v>27</v>
      </c>
      <c r="K116" s="2">
        <v>88828.23</v>
      </c>
      <c r="L116" s="2">
        <v>0</v>
      </c>
      <c r="M116" s="2">
        <v>20142.86</v>
      </c>
      <c r="N116" s="2">
        <v>20142.86</v>
      </c>
      <c r="O116" s="2">
        <v>0</v>
      </c>
      <c r="P116" s="7" t="s">
        <v>203</v>
      </c>
      <c r="Q116" s="1" t="s">
        <v>204</v>
      </c>
      <c r="R116" s="3" t="s">
        <v>45</v>
      </c>
      <c r="S116" s="1" t="s">
        <v>46</v>
      </c>
      <c r="T116" s="4" t="s">
        <v>31</v>
      </c>
      <c r="U116" s="7" t="s">
        <v>46</v>
      </c>
      <c r="V116" s="7" t="s">
        <v>46</v>
      </c>
      <c r="W116" s="7" t="s">
        <v>46</v>
      </c>
      <c r="X116" s="7" t="s">
        <v>1751</v>
      </c>
      <c r="Y116" s="10">
        <f t="shared" si="3"/>
        <v>40285.720000000001</v>
      </c>
      <c r="AH116" s="5" t="e">
        <f>VLOOKUP(B116,[1]DL!$BK:$BP,6,0)</f>
        <v>#N/A</v>
      </c>
    </row>
    <row r="117" spans="1:34" ht="14.5" hidden="1">
      <c r="A117" s="5">
        <v>114</v>
      </c>
      <c r="B117" s="5" t="str">
        <f t="shared" si="2"/>
        <v>07COJPD7419B1Z7DE/2986</v>
      </c>
      <c r="C117" s="1" t="s">
        <v>199</v>
      </c>
      <c r="D117" s="1" t="s">
        <v>200</v>
      </c>
      <c r="E117" s="1" t="s">
        <v>264</v>
      </c>
      <c r="F117" s="1" t="s">
        <v>24</v>
      </c>
      <c r="G117" s="1" t="s">
        <v>265</v>
      </c>
      <c r="H117" s="2">
        <v>10325</v>
      </c>
      <c r="I117" s="1" t="s">
        <v>44</v>
      </c>
      <c r="J117" s="3" t="s">
        <v>27</v>
      </c>
      <c r="K117" s="2">
        <v>8750</v>
      </c>
      <c r="L117" s="2">
        <v>0</v>
      </c>
      <c r="M117" s="2">
        <v>787.5</v>
      </c>
      <c r="N117" s="2">
        <v>787.5</v>
      </c>
      <c r="O117" s="2">
        <v>0</v>
      </c>
      <c r="P117" s="7" t="s">
        <v>203</v>
      </c>
      <c r="Q117" s="1" t="s">
        <v>204</v>
      </c>
      <c r="R117" s="3" t="s">
        <v>45</v>
      </c>
      <c r="S117" s="1" t="s">
        <v>46</v>
      </c>
      <c r="T117" s="4" t="s">
        <v>31</v>
      </c>
      <c r="U117" s="7" t="s">
        <v>32</v>
      </c>
      <c r="V117" s="7" t="s">
        <v>266</v>
      </c>
      <c r="W117" s="7" t="s">
        <v>267</v>
      </c>
      <c r="X117" s="7" t="s">
        <v>1751</v>
      </c>
      <c r="Y117" s="10">
        <f t="shared" si="3"/>
        <v>1575</v>
      </c>
      <c r="AH117" s="5" t="e">
        <f>VLOOKUP(B117,[1]DL!$BK:$BP,6,0)</f>
        <v>#N/A</v>
      </c>
    </row>
    <row r="118" spans="1:34" ht="14.5" hidden="1">
      <c r="A118" s="5">
        <v>115</v>
      </c>
      <c r="B118" s="5" t="str">
        <f t="shared" si="2"/>
        <v>07COJPD7419B1Z7DE/2987</v>
      </c>
      <c r="C118" s="1" t="s">
        <v>199</v>
      </c>
      <c r="D118" s="1" t="s">
        <v>200</v>
      </c>
      <c r="E118" s="1" t="s">
        <v>268</v>
      </c>
      <c r="F118" s="1" t="s">
        <v>24</v>
      </c>
      <c r="G118" s="1" t="s">
        <v>265</v>
      </c>
      <c r="H118" s="2">
        <v>30975</v>
      </c>
      <c r="I118" s="1" t="s">
        <v>44</v>
      </c>
      <c r="J118" s="3" t="s">
        <v>27</v>
      </c>
      <c r="K118" s="2">
        <v>26250</v>
      </c>
      <c r="L118" s="2">
        <v>0</v>
      </c>
      <c r="M118" s="2">
        <v>2362.5</v>
      </c>
      <c r="N118" s="2">
        <v>2362.5</v>
      </c>
      <c r="O118" s="2">
        <v>0</v>
      </c>
      <c r="P118" s="7" t="s">
        <v>203</v>
      </c>
      <c r="Q118" s="1" t="s">
        <v>204</v>
      </c>
      <c r="R118" s="3" t="s">
        <v>45</v>
      </c>
      <c r="S118" s="1" t="s">
        <v>46</v>
      </c>
      <c r="T118" s="4" t="s">
        <v>31</v>
      </c>
      <c r="U118" s="7" t="s">
        <v>32</v>
      </c>
      <c r="V118" s="7" t="s">
        <v>269</v>
      </c>
      <c r="W118" s="7" t="s">
        <v>267</v>
      </c>
      <c r="X118" s="7" t="s">
        <v>1751</v>
      </c>
      <c r="Y118" s="10">
        <f t="shared" si="3"/>
        <v>4725</v>
      </c>
      <c r="AH118" s="5" t="e">
        <f>VLOOKUP(B118,[1]DL!$BK:$BP,6,0)</f>
        <v>#N/A</v>
      </c>
    </row>
    <row r="119" spans="1:34" ht="14.5" hidden="1">
      <c r="A119" s="5">
        <v>116</v>
      </c>
      <c r="B119" s="5" t="str">
        <f t="shared" si="2"/>
        <v>07COJPD7419B1Z7DE/2988</v>
      </c>
      <c r="C119" s="1" t="s">
        <v>199</v>
      </c>
      <c r="D119" s="1" t="s">
        <v>200</v>
      </c>
      <c r="E119" s="1" t="s">
        <v>270</v>
      </c>
      <c r="F119" s="1" t="s">
        <v>24</v>
      </c>
      <c r="G119" s="1" t="s">
        <v>265</v>
      </c>
      <c r="H119" s="2">
        <v>137116</v>
      </c>
      <c r="I119" s="1" t="s">
        <v>44</v>
      </c>
      <c r="J119" s="3" t="s">
        <v>27</v>
      </c>
      <c r="K119" s="2">
        <v>116200</v>
      </c>
      <c r="L119" s="2">
        <v>0</v>
      </c>
      <c r="M119" s="2">
        <v>10458</v>
      </c>
      <c r="N119" s="2">
        <v>10458</v>
      </c>
      <c r="O119" s="2">
        <v>0</v>
      </c>
      <c r="P119" s="7" t="s">
        <v>203</v>
      </c>
      <c r="Q119" s="1" t="s">
        <v>204</v>
      </c>
      <c r="R119" s="3" t="s">
        <v>45</v>
      </c>
      <c r="S119" s="1" t="s">
        <v>46</v>
      </c>
      <c r="T119" s="4" t="s">
        <v>31</v>
      </c>
      <c r="U119" s="7" t="s">
        <v>32</v>
      </c>
      <c r="V119" s="7" t="s">
        <v>271</v>
      </c>
      <c r="W119" s="7" t="s">
        <v>267</v>
      </c>
      <c r="X119" s="7" t="s">
        <v>1751</v>
      </c>
      <c r="Y119" s="10">
        <f t="shared" si="3"/>
        <v>20916</v>
      </c>
      <c r="AH119" s="5" t="e">
        <f>VLOOKUP(B119,[1]DL!$BK:$BP,6,0)</f>
        <v>#N/A</v>
      </c>
    </row>
    <row r="120" spans="1:34" ht="14.5" hidden="1">
      <c r="A120" s="5">
        <v>117</v>
      </c>
      <c r="B120" s="5" t="str">
        <f t="shared" si="2"/>
        <v>07COJPD7419B1Z7DE/2989</v>
      </c>
      <c r="C120" s="1" t="s">
        <v>199</v>
      </c>
      <c r="D120" s="1" t="s">
        <v>200</v>
      </c>
      <c r="E120" s="1" t="s">
        <v>272</v>
      </c>
      <c r="F120" s="1" t="s">
        <v>24</v>
      </c>
      <c r="G120" s="1" t="s">
        <v>265</v>
      </c>
      <c r="H120" s="2">
        <v>137116</v>
      </c>
      <c r="I120" s="1" t="s">
        <v>44</v>
      </c>
      <c r="J120" s="3" t="s">
        <v>27</v>
      </c>
      <c r="K120" s="2">
        <v>116200</v>
      </c>
      <c r="L120" s="2">
        <v>0</v>
      </c>
      <c r="M120" s="2">
        <v>10458</v>
      </c>
      <c r="N120" s="2">
        <v>10458</v>
      </c>
      <c r="O120" s="2">
        <v>0</v>
      </c>
      <c r="P120" s="7" t="s">
        <v>203</v>
      </c>
      <c r="Q120" s="1" t="s">
        <v>204</v>
      </c>
      <c r="R120" s="3" t="s">
        <v>45</v>
      </c>
      <c r="S120" s="1" t="s">
        <v>46</v>
      </c>
      <c r="T120" s="4" t="s">
        <v>31</v>
      </c>
      <c r="U120" s="7" t="s">
        <v>32</v>
      </c>
      <c r="V120" s="7" t="s">
        <v>273</v>
      </c>
      <c r="W120" s="7" t="s">
        <v>267</v>
      </c>
      <c r="X120" s="7" t="s">
        <v>1751</v>
      </c>
      <c r="Y120" s="10">
        <f t="shared" si="3"/>
        <v>20916</v>
      </c>
      <c r="AH120" s="5" t="e">
        <f>VLOOKUP(B120,[1]DL!$BK:$BP,6,0)</f>
        <v>#N/A</v>
      </c>
    </row>
    <row r="121" spans="1:34" ht="14.5" hidden="1">
      <c r="A121" s="5">
        <v>118</v>
      </c>
      <c r="B121" s="5" t="str">
        <f t="shared" si="2"/>
        <v>07COJPD7419B1Z7DE/2991</v>
      </c>
      <c r="C121" s="1" t="s">
        <v>199</v>
      </c>
      <c r="D121" s="1" t="s">
        <v>200</v>
      </c>
      <c r="E121" s="1" t="s">
        <v>274</v>
      </c>
      <c r="F121" s="1" t="s">
        <v>24</v>
      </c>
      <c r="G121" s="1" t="s">
        <v>265</v>
      </c>
      <c r="H121" s="2">
        <v>117053.64</v>
      </c>
      <c r="I121" s="1" t="s">
        <v>44</v>
      </c>
      <c r="J121" s="3" t="s">
        <v>27</v>
      </c>
      <c r="K121" s="2">
        <v>99198</v>
      </c>
      <c r="L121" s="2">
        <v>0</v>
      </c>
      <c r="M121" s="2">
        <v>8927.82</v>
      </c>
      <c r="N121" s="2">
        <v>8927.82</v>
      </c>
      <c r="O121" s="2">
        <v>0</v>
      </c>
      <c r="P121" s="7" t="s">
        <v>203</v>
      </c>
      <c r="Q121" s="1" t="s">
        <v>204</v>
      </c>
      <c r="R121" s="3" t="s">
        <v>45</v>
      </c>
      <c r="S121" s="1" t="s">
        <v>46</v>
      </c>
      <c r="T121" s="4" t="s">
        <v>31</v>
      </c>
      <c r="U121" s="7" t="s">
        <v>32</v>
      </c>
      <c r="V121" s="7" t="s">
        <v>275</v>
      </c>
      <c r="W121" s="7" t="s">
        <v>265</v>
      </c>
      <c r="X121" s="7" t="s">
        <v>1751</v>
      </c>
      <c r="Y121" s="10">
        <f t="shared" si="3"/>
        <v>17855.639999999999</v>
      </c>
      <c r="AH121" s="5" t="e">
        <f>VLOOKUP(B121,[1]DL!$BK:$BP,6,0)</f>
        <v>#N/A</v>
      </c>
    </row>
    <row r="122" spans="1:34" ht="14.5" hidden="1">
      <c r="A122" s="5">
        <v>119</v>
      </c>
      <c r="B122" s="5" t="str">
        <f t="shared" si="2"/>
        <v>07COJPD7419B1Z7DE/2997</v>
      </c>
      <c r="C122" s="1" t="s">
        <v>199</v>
      </c>
      <c r="D122" s="1" t="s">
        <v>200</v>
      </c>
      <c r="E122" s="1" t="s">
        <v>276</v>
      </c>
      <c r="F122" s="1" t="s">
        <v>24</v>
      </c>
      <c r="G122" s="1" t="s">
        <v>267</v>
      </c>
      <c r="H122" s="2">
        <v>137116</v>
      </c>
      <c r="I122" s="1" t="s">
        <v>44</v>
      </c>
      <c r="J122" s="3" t="s">
        <v>27</v>
      </c>
      <c r="K122" s="2">
        <v>116200</v>
      </c>
      <c r="L122" s="2">
        <v>0</v>
      </c>
      <c r="M122" s="2">
        <v>10458</v>
      </c>
      <c r="N122" s="2">
        <v>10458</v>
      </c>
      <c r="O122" s="2">
        <v>0</v>
      </c>
      <c r="P122" s="7" t="s">
        <v>203</v>
      </c>
      <c r="Q122" s="1" t="s">
        <v>204</v>
      </c>
      <c r="R122" s="3" t="s">
        <v>45</v>
      </c>
      <c r="S122" s="1" t="s">
        <v>46</v>
      </c>
      <c r="T122" s="4" t="s">
        <v>31</v>
      </c>
      <c r="U122" s="7" t="s">
        <v>32</v>
      </c>
      <c r="V122" s="7" t="s">
        <v>277</v>
      </c>
      <c r="W122" s="7" t="s">
        <v>267</v>
      </c>
      <c r="X122" s="7" t="s">
        <v>1751</v>
      </c>
      <c r="Y122" s="10">
        <f t="shared" si="3"/>
        <v>20916</v>
      </c>
      <c r="AH122" s="5" t="e">
        <f>VLOOKUP(B122,[1]DL!$BK:$BP,6,0)</f>
        <v>#N/A</v>
      </c>
    </row>
    <row r="123" spans="1:34" ht="14.5" hidden="1">
      <c r="A123" s="5">
        <v>120</v>
      </c>
      <c r="B123" s="5" t="str">
        <f t="shared" si="2"/>
        <v>07COJPD7419B1Z7DE/2999</v>
      </c>
      <c r="C123" s="1" t="s">
        <v>199</v>
      </c>
      <c r="D123" s="1" t="s">
        <v>200</v>
      </c>
      <c r="E123" s="1" t="s">
        <v>278</v>
      </c>
      <c r="F123" s="1" t="s">
        <v>24</v>
      </c>
      <c r="G123" s="1" t="s">
        <v>267</v>
      </c>
      <c r="H123" s="2">
        <v>121071.54</v>
      </c>
      <c r="I123" s="1" t="s">
        <v>44</v>
      </c>
      <c r="J123" s="3" t="s">
        <v>27</v>
      </c>
      <c r="K123" s="2">
        <v>102603</v>
      </c>
      <c r="L123" s="2">
        <v>0</v>
      </c>
      <c r="M123" s="2">
        <v>9234.27</v>
      </c>
      <c r="N123" s="2">
        <v>9234.27</v>
      </c>
      <c r="O123" s="2">
        <v>0</v>
      </c>
      <c r="P123" s="7" t="s">
        <v>203</v>
      </c>
      <c r="Q123" s="1" t="s">
        <v>204</v>
      </c>
      <c r="R123" s="3" t="s">
        <v>45</v>
      </c>
      <c r="S123" s="1" t="s">
        <v>46</v>
      </c>
      <c r="T123" s="4" t="s">
        <v>31</v>
      </c>
      <c r="U123" s="7" t="s">
        <v>32</v>
      </c>
      <c r="V123" s="7" t="s">
        <v>279</v>
      </c>
      <c r="W123" s="7" t="s">
        <v>50</v>
      </c>
      <c r="X123" s="7" t="s">
        <v>1751</v>
      </c>
      <c r="Y123" s="10">
        <f t="shared" si="3"/>
        <v>18468.540000000001</v>
      </c>
      <c r="AH123" s="5" t="e">
        <f>VLOOKUP(B123,[1]DL!$BK:$BP,6,0)</f>
        <v>#N/A</v>
      </c>
    </row>
    <row r="124" spans="1:34" ht="14.5" hidden="1">
      <c r="A124" s="5">
        <v>121</v>
      </c>
      <c r="B124" s="5" t="str">
        <f t="shared" si="2"/>
        <v>07COJPD7419B1Z7DE/3000</v>
      </c>
      <c r="C124" s="1" t="s">
        <v>199</v>
      </c>
      <c r="D124" s="1" t="s">
        <v>200</v>
      </c>
      <c r="E124" s="1" t="s">
        <v>280</v>
      </c>
      <c r="F124" s="1" t="s">
        <v>24</v>
      </c>
      <c r="G124" s="1" t="s">
        <v>267</v>
      </c>
      <c r="H124" s="2">
        <v>115872.46</v>
      </c>
      <c r="I124" s="1" t="s">
        <v>44</v>
      </c>
      <c r="J124" s="3" t="s">
        <v>27</v>
      </c>
      <c r="K124" s="2">
        <v>98197</v>
      </c>
      <c r="L124" s="2">
        <v>0</v>
      </c>
      <c r="M124" s="2">
        <v>8837.73</v>
      </c>
      <c r="N124" s="2">
        <v>8837.73</v>
      </c>
      <c r="O124" s="2">
        <v>0</v>
      </c>
      <c r="P124" s="7" t="s">
        <v>203</v>
      </c>
      <c r="Q124" s="1" t="s">
        <v>204</v>
      </c>
      <c r="R124" s="3" t="s">
        <v>45</v>
      </c>
      <c r="S124" s="1" t="s">
        <v>46</v>
      </c>
      <c r="T124" s="4" t="s">
        <v>31</v>
      </c>
      <c r="U124" s="7" t="s">
        <v>32</v>
      </c>
      <c r="V124" s="7" t="s">
        <v>281</v>
      </c>
      <c r="W124" s="7" t="s">
        <v>50</v>
      </c>
      <c r="X124" s="7" t="s">
        <v>1751</v>
      </c>
      <c r="Y124" s="10">
        <f t="shared" si="3"/>
        <v>17675.459999999999</v>
      </c>
      <c r="AH124" s="5" t="e">
        <f>VLOOKUP(B124,[1]DL!$BK:$BP,6,0)</f>
        <v>#N/A</v>
      </c>
    </row>
    <row r="125" spans="1:34" ht="14.5" hidden="1">
      <c r="A125" s="5">
        <v>122</v>
      </c>
      <c r="B125" s="5" t="str">
        <f t="shared" si="2"/>
        <v>07BQVPK3092C1ZM3429</v>
      </c>
      <c r="C125" s="1" t="s">
        <v>282</v>
      </c>
      <c r="D125" s="1" t="s">
        <v>283</v>
      </c>
      <c r="E125" s="1" t="s">
        <v>284</v>
      </c>
      <c r="F125" s="1" t="s">
        <v>24</v>
      </c>
      <c r="G125" s="1" t="s">
        <v>285</v>
      </c>
      <c r="H125" s="2">
        <v>3434</v>
      </c>
      <c r="I125" s="1" t="s">
        <v>44</v>
      </c>
      <c r="J125" s="3" t="s">
        <v>27</v>
      </c>
      <c r="K125" s="2">
        <v>2910</v>
      </c>
      <c r="L125" s="2">
        <v>0</v>
      </c>
      <c r="M125" s="2">
        <v>261.89999999999998</v>
      </c>
      <c r="N125" s="2">
        <v>261.89999999999998</v>
      </c>
      <c r="O125" s="2">
        <v>0</v>
      </c>
      <c r="P125" s="7" t="s">
        <v>28</v>
      </c>
      <c r="Q125" s="1" t="s">
        <v>29</v>
      </c>
      <c r="R125" s="3" t="s">
        <v>45</v>
      </c>
      <c r="S125" s="1" t="s">
        <v>46</v>
      </c>
      <c r="T125" s="4" t="s">
        <v>31</v>
      </c>
      <c r="U125" s="7" t="s">
        <v>46</v>
      </c>
      <c r="V125" s="7" t="s">
        <v>46</v>
      </c>
      <c r="W125" s="7" t="s">
        <v>46</v>
      </c>
      <c r="X125" s="7" t="s">
        <v>1751</v>
      </c>
      <c r="Y125" s="10">
        <f t="shared" si="3"/>
        <v>523.79999999999995</v>
      </c>
      <c r="AH125" s="5" t="e">
        <f>VLOOKUP(B125,[1]DL!$BK:$BP,6,0)</f>
        <v>#N/A</v>
      </c>
    </row>
    <row r="126" spans="1:34" ht="14.5" hidden="1">
      <c r="A126" s="5">
        <v>123</v>
      </c>
      <c r="B126" s="5" t="str">
        <f t="shared" si="2"/>
        <v>07AAACC0462F1Z6FT26100016579386</v>
      </c>
      <c r="C126" s="1" t="s">
        <v>286</v>
      </c>
      <c r="D126" s="1" t="s">
        <v>287</v>
      </c>
      <c r="E126" s="1" t="s">
        <v>288</v>
      </c>
      <c r="F126" s="1" t="s">
        <v>24</v>
      </c>
      <c r="G126" s="1" t="s">
        <v>289</v>
      </c>
      <c r="H126" s="2">
        <v>13661.65</v>
      </c>
      <c r="I126" s="1" t="s">
        <v>44</v>
      </c>
      <c r="J126" s="3" t="s">
        <v>27</v>
      </c>
      <c r="K126" s="2">
        <v>11577.67</v>
      </c>
      <c r="L126" s="2">
        <v>0</v>
      </c>
      <c r="M126" s="2">
        <v>1041.99</v>
      </c>
      <c r="N126" s="2">
        <v>1041.99</v>
      </c>
      <c r="O126" s="2">
        <v>0</v>
      </c>
      <c r="P126" s="7" t="s">
        <v>28</v>
      </c>
      <c r="Q126" s="1" t="s">
        <v>29</v>
      </c>
      <c r="R126" s="3" t="s">
        <v>45</v>
      </c>
      <c r="S126" s="1" t="s">
        <v>46</v>
      </c>
      <c r="T126" s="4" t="s">
        <v>31</v>
      </c>
      <c r="U126" s="7" t="s">
        <v>46</v>
      </c>
      <c r="V126" s="7" t="s">
        <v>46</v>
      </c>
      <c r="W126" s="7" t="s">
        <v>46</v>
      </c>
      <c r="X126" s="7" t="s">
        <v>1751</v>
      </c>
      <c r="Y126" s="10">
        <f t="shared" si="3"/>
        <v>2083.98</v>
      </c>
      <c r="AH126" s="5" t="e">
        <f>VLOOKUP(B126,[1]DL!$BK:$BP,6,0)</f>
        <v>#N/A</v>
      </c>
    </row>
    <row r="127" spans="1:34" ht="14.5" hidden="1">
      <c r="A127" s="5">
        <v>124</v>
      </c>
      <c r="B127" s="5" t="str">
        <f t="shared" si="2"/>
        <v>07AAACC0462F1Z6GB26100016579387</v>
      </c>
      <c r="C127" s="1" t="s">
        <v>286</v>
      </c>
      <c r="D127" s="1" t="s">
        <v>287</v>
      </c>
      <c r="E127" s="1" t="s">
        <v>290</v>
      </c>
      <c r="F127" s="1" t="s">
        <v>24</v>
      </c>
      <c r="G127" s="1" t="s">
        <v>76</v>
      </c>
      <c r="H127" s="2">
        <v>354</v>
      </c>
      <c r="I127" s="1" t="s">
        <v>44</v>
      </c>
      <c r="J127" s="3" t="s">
        <v>27</v>
      </c>
      <c r="K127" s="2">
        <v>300</v>
      </c>
      <c r="L127" s="2">
        <v>0</v>
      </c>
      <c r="M127" s="2">
        <v>27</v>
      </c>
      <c r="N127" s="2">
        <v>27</v>
      </c>
      <c r="O127" s="2">
        <v>0</v>
      </c>
      <c r="P127" s="7" t="s">
        <v>28</v>
      </c>
      <c r="Q127" s="1" t="s">
        <v>29</v>
      </c>
      <c r="R127" s="3" t="s">
        <v>45</v>
      </c>
      <c r="S127" s="1" t="s">
        <v>46</v>
      </c>
      <c r="T127" s="4" t="s">
        <v>31</v>
      </c>
      <c r="U127" s="7" t="s">
        <v>46</v>
      </c>
      <c r="V127" s="7" t="s">
        <v>46</v>
      </c>
      <c r="W127" s="7" t="s">
        <v>46</v>
      </c>
      <c r="X127" s="7" t="s">
        <v>1751</v>
      </c>
      <c r="Y127" s="10">
        <f t="shared" si="3"/>
        <v>54</v>
      </c>
      <c r="AH127" s="5" t="e">
        <f>VLOOKUP(B127,[1]DL!$BK:$BP,6,0)</f>
        <v>#N/A</v>
      </c>
    </row>
    <row r="128" spans="1:34" ht="14.5" hidden="1">
      <c r="A128" s="5">
        <v>125</v>
      </c>
      <c r="B128" s="5" t="str">
        <f t="shared" si="2"/>
        <v>07AAACC0462F1Z6GB26100016579388</v>
      </c>
      <c r="C128" s="1" t="s">
        <v>286</v>
      </c>
      <c r="D128" s="1" t="s">
        <v>287</v>
      </c>
      <c r="E128" s="1" t="s">
        <v>291</v>
      </c>
      <c r="F128" s="1" t="s">
        <v>24</v>
      </c>
      <c r="G128" s="1" t="s">
        <v>76</v>
      </c>
      <c r="H128" s="2">
        <v>6056.08</v>
      </c>
      <c r="I128" s="1" t="s">
        <v>44</v>
      </c>
      <c r="J128" s="3" t="s">
        <v>27</v>
      </c>
      <c r="K128" s="2">
        <v>5132.28</v>
      </c>
      <c r="L128" s="2">
        <v>0</v>
      </c>
      <c r="M128" s="2">
        <v>461.90</v>
      </c>
      <c r="N128" s="2">
        <v>461.90</v>
      </c>
      <c r="O128" s="2">
        <v>0</v>
      </c>
      <c r="P128" s="7" t="s">
        <v>28</v>
      </c>
      <c r="Q128" s="1" t="s">
        <v>29</v>
      </c>
      <c r="R128" s="3" t="s">
        <v>45</v>
      </c>
      <c r="S128" s="1" t="s">
        <v>46</v>
      </c>
      <c r="T128" s="4" t="s">
        <v>31</v>
      </c>
      <c r="U128" s="7" t="s">
        <v>46</v>
      </c>
      <c r="V128" s="7" t="s">
        <v>46</v>
      </c>
      <c r="W128" s="7" t="s">
        <v>46</v>
      </c>
      <c r="X128" s="7" t="s">
        <v>1751</v>
      </c>
      <c r="Y128" s="10">
        <f t="shared" si="3"/>
        <v>923.79999999999995</v>
      </c>
      <c r="AH128" s="5" t="e">
        <f>VLOOKUP(B128,[1]DL!$BK:$BP,6,0)</f>
        <v>#N/A</v>
      </c>
    </row>
    <row r="129" spans="1:34" ht="14.5" hidden="1">
      <c r="A129" s="5">
        <v>126</v>
      </c>
      <c r="B129" s="5" t="str">
        <f t="shared" si="2"/>
        <v>07AAACC0462F1Z6GB26100016579389</v>
      </c>
      <c r="C129" s="1" t="s">
        <v>286</v>
      </c>
      <c r="D129" s="1" t="s">
        <v>287</v>
      </c>
      <c r="E129" s="1" t="s">
        <v>292</v>
      </c>
      <c r="F129" s="1" t="s">
        <v>24</v>
      </c>
      <c r="G129" s="1" t="s">
        <v>76</v>
      </c>
      <c r="H129" s="2">
        <v>1343.42</v>
      </c>
      <c r="I129" s="1" t="s">
        <v>44</v>
      </c>
      <c r="J129" s="3" t="s">
        <v>27</v>
      </c>
      <c r="K129" s="2">
        <v>1138.5</v>
      </c>
      <c r="L129" s="2">
        <v>0</v>
      </c>
      <c r="M129" s="2">
        <v>102.46</v>
      </c>
      <c r="N129" s="2">
        <v>102.46</v>
      </c>
      <c r="O129" s="2">
        <v>0</v>
      </c>
      <c r="P129" s="7" t="s">
        <v>28</v>
      </c>
      <c r="Q129" s="1" t="s">
        <v>29</v>
      </c>
      <c r="R129" s="3" t="s">
        <v>45</v>
      </c>
      <c r="S129" s="1" t="s">
        <v>46</v>
      </c>
      <c r="T129" s="4" t="s">
        <v>31</v>
      </c>
      <c r="U129" s="7" t="s">
        <v>46</v>
      </c>
      <c r="V129" s="7" t="s">
        <v>46</v>
      </c>
      <c r="W129" s="7" t="s">
        <v>46</v>
      </c>
      <c r="X129" s="7" t="s">
        <v>1751</v>
      </c>
      <c r="Y129" s="10">
        <f t="shared" si="3"/>
        <v>204.91999999999999</v>
      </c>
      <c r="AH129" s="5" t="e">
        <f>VLOOKUP(B129,[1]DL!$BK:$BP,6,0)</f>
        <v>#N/A</v>
      </c>
    </row>
    <row r="130" spans="1:34" ht="14.5" hidden="1">
      <c r="A130" s="5">
        <v>127</v>
      </c>
      <c r="B130" s="5" t="str">
        <f t="shared" si="2"/>
        <v>07AAACC0462F1Z6GB26100016579390</v>
      </c>
      <c r="C130" s="1" t="s">
        <v>286</v>
      </c>
      <c r="D130" s="1" t="s">
        <v>287</v>
      </c>
      <c r="E130" s="1" t="s">
        <v>293</v>
      </c>
      <c r="F130" s="1" t="s">
        <v>24</v>
      </c>
      <c r="G130" s="1" t="s">
        <v>76</v>
      </c>
      <c r="H130" s="2">
        <v>58.40</v>
      </c>
      <c r="I130" s="1" t="s">
        <v>44</v>
      </c>
      <c r="J130" s="3" t="s">
        <v>27</v>
      </c>
      <c r="K130" s="2">
        <v>49.5</v>
      </c>
      <c r="L130" s="2">
        <v>0</v>
      </c>
      <c r="M130" s="2">
        <v>4.45</v>
      </c>
      <c r="N130" s="2">
        <v>4.45</v>
      </c>
      <c r="O130" s="2">
        <v>0</v>
      </c>
      <c r="P130" s="7" t="s">
        <v>28</v>
      </c>
      <c r="Q130" s="1" t="s">
        <v>29</v>
      </c>
      <c r="R130" s="3" t="s">
        <v>45</v>
      </c>
      <c r="S130" s="1" t="s">
        <v>46</v>
      </c>
      <c r="T130" s="4" t="s">
        <v>31</v>
      </c>
      <c r="U130" s="7" t="s">
        <v>46</v>
      </c>
      <c r="V130" s="7" t="s">
        <v>46</v>
      </c>
      <c r="W130" s="7" t="s">
        <v>46</v>
      </c>
      <c r="X130" s="7" t="s">
        <v>1751</v>
      </c>
      <c r="Y130" s="10">
        <f t="shared" si="3"/>
        <v>8.9000000000000004</v>
      </c>
      <c r="AH130" s="5" t="e">
        <f>VLOOKUP(B130,[1]DL!$BK:$BP,6,0)</f>
        <v>#N/A</v>
      </c>
    </row>
    <row r="131" spans="1:34" ht="14.5" hidden="1">
      <c r="A131" s="5">
        <v>128</v>
      </c>
      <c r="B131" s="5" t="str">
        <f t="shared" si="2"/>
        <v>07AAACC0462F1Z6GB26100016579391</v>
      </c>
      <c r="C131" s="1" t="s">
        <v>286</v>
      </c>
      <c r="D131" s="1" t="s">
        <v>287</v>
      </c>
      <c r="E131" s="1" t="s">
        <v>294</v>
      </c>
      <c r="F131" s="1" t="s">
        <v>24</v>
      </c>
      <c r="G131" s="1" t="s">
        <v>76</v>
      </c>
      <c r="H131" s="2">
        <v>135.69999999999999</v>
      </c>
      <c r="I131" s="1" t="s">
        <v>44</v>
      </c>
      <c r="J131" s="3" t="s">
        <v>27</v>
      </c>
      <c r="K131" s="2">
        <v>115</v>
      </c>
      <c r="L131" s="2">
        <v>0</v>
      </c>
      <c r="M131" s="2">
        <v>10.35</v>
      </c>
      <c r="N131" s="2">
        <v>10.35</v>
      </c>
      <c r="O131" s="2">
        <v>0</v>
      </c>
      <c r="P131" s="7" t="s">
        <v>28</v>
      </c>
      <c r="Q131" s="1" t="s">
        <v>29</v>
      </c>
      <c r="R131" s="3" t="s">
        <v>45</v>
      </c>
      <c r="S131" s="1" t="s">
        <v>46</v>
      </c>
      <c r="T131" s="4" t="s">
        <v>31</v>
      </c>
      <c r="U131" s="7" t="s">
        <v>46</v>
      </c>
      <c r="V131" s="7" t="s">
        <v>46</v>
      </c>
      <c r="W131" s="7" t="s">
        <v>46</v>
      </c>
      <c r="X131" s="7" t="s">
        <v>1751</v>
      </c>
      <c r="Y131" s="10">
        <f t="shared" si="3"/>
        <v>20.699999999999999</v>
      </c>
      <c r="AH131" s="5" t="e">
        <f>VLOOKUP(B131,[1]DL!$BK:$BP,6,0)</f>
        <v>#N/A</v>
      </c>
    </row>
    <row r="132" spans="1:34" ht="14.5" hidden="1">
      <c r="A132" s="5">
        <v>129</v>
      </c>
      <c r="B132" s="5" t="str">
        <f t="shared" si="2"/>
        <v>07AAACC0462F1Z6GB26100016579392</v>
      </c>
      <c r="C132" s="1" t="s">
        <v>286</v>
      </c>
      <c r="D132" s="1" t="s">
        <v>287</v>
      </c>
      <c r="E132" s="1" t="s">
        <v>295</v>
      </c>
      <c r="F132" s="1" t="s">
        <v>24</v>
      </c>
      <c r="G132" s="1" t="s">
        <v>76</v>
      </c>
      <c r="H132" s="2">
        <v>14922.62</v>
      </c>
      <c r="I132" s="1" t="s">
        <v>44</v>
      </c>
      <c r="J132" s="3" t="s">
        <v>27</v>
      </c>
      <c r="K132" s="2">
        <v>12646.28</v>
      </c>
      <c r="L132" s="2">
        <v>0</v>
      </c>
      <c r="M132" s="2">
        <v>1138.17</v>
      </c>
      <c r="N132" s="2">
        <v>1138.17</v>
      </c>
      <c r="O132" s="2">
        <v>0</v>
      </c>
      <c r="P132" s="7" t="s">
        <v>28</v>
      </c>
      <c r="Q132" s="1" t="s">
        <v>29</v>
      </c>
      <c r="R132" s="3" t="s">
        <v>45</v>
      </c>
      <c r="S132" s="1" t="s">
        <v>46</v>
      </c>
      <c r="T132" s="4" t="s">
        <v>31</v>
      </c>
      <c r="U132" s="7" t="s">
        <v>46</v>
      </c>
      <c r="V132" s="7" t="s">
        <v>46</v>
      </c>
      <c r="W132" s="7" t="s">
        <v>46</v>
      </c>
      <c r="X132" s="7" t="s">
        <v>1751</v>
      </c>
      <c r="Y132" s="10">
        <f t="shared" si="3"/>
        <v>2276.3400000000001</v>
      </c>
      <c r="AH132" s="5" t="e">
        <f>VLOOKUP(B132,[1]DL!$BK:$BP,6,0)</f>
        <v>#N/A</v>
      </c>
    </row>
    <row r="133" spans="1:34" ht="14.5" hidden="1">
      <c r="A133" s="5">
        <v>130</v>
      </c>
      <c r="B133" s="5" t="str">
        <f t="shared" si="4" ref="B133:B196">C133&amp;E133</f>
        <v>07AAACC0462F1Z6GB26100016579393</v>
      </c>
      <c r="C133" s="1" t="s">
        <v>286</v>
      </c>
      <c r="D133" s="1" t="s">
        <v>287</v>
      </c>
      <c r="E133" s="1" t="s">
        <v>296</v>
      </c>
      <c r="F133" s="1" t="s">
        <v>24</v>
      </c>
      <c r="G133" s="1" t="s">
        <v>76</v>
      </c>
      <c r="H133" s="2">
        <v>68888.399999999994</v>
      </c>
      <c r="I133" s="1" t="s">
        <v>44</v>
      </c>
      <c r="J133" s="3" t="s">
        <v>27</v>
      </c>
      <c r="K133" s="2">
        <v>58380</v>
      </c>
      <c r="L133" s="2">
        <v>0</v>
      </c>
      <c r="M133" s="2">
        <v>5254.20</v>
      </c>
      <c r="N133" s="2">
        <v>5254.20</v>
      </c>
      <c r="O133" s="2">
        <v>0</v>
      </c>
      <c r="P133" s="7" t="s">
        <v>28</v>
      </c>
      <c r="Q133" s="1" t="s">
        <v>29</v>
      </c>
      <c r="R133" s="3" t="s">
        <v>45</v>
      </c>
      <c r="S133" s="1" t="s">
        <v>46</v>
      </c>
      <c r="T133" s="4" t="s">
        <v>31</v>
      </c>
      <c r="U133" s="7" t="s">
        <v>46</v>
      </c>
      <c r="V133" s="7" t="s">
        <v>46</v>
      </c>
      <c r="W133" s="7" t="s">
        <v>46</v>
      </c>
      <c r="X133" s="7" t="s">
        <v>1751</v>
      </c>
      <c r="Y133" s="10">
        <f t="shared" si="5" ref="Y133:Y196">L133+M133+N133+O133</f>
        <v>10508.4</v>
      </c>
      <c r="AH133" s="5" t="e">
        <f>VLOOKUP(B133,[1]DL!$BK:$BP,6,0)</f>
        <v>#N/A</v>
      </c>
    </row>
    <row r="134" spans="1:34" ht="14.5" hidden="1">
      <c r="A134" s="5">
        <v>131</v>
      </c>
      <c r="B134" s="5" t="str">
        <f t="shared" si="4"/>
        <v>07AAACC0462F1Z6GB26100016579418</v>
      </c>
      <c r="C134" s="1" t="s">
        <v>286</v>
      </c>
      <c r="D134" s="1" t="s">
        <v>287</v>
      </c>
      <c r="E134" s="1" t="s">
        <v>297</v>
      </c>
      <c r="F134" s="1" t="s">
        <v>24</v>
      </c>
      <c r="G134" s="1" t="s">
        <v>76</v>
      </c>
      <c r="H134" s="2">
        <v>27450.34</v>
      </c>
      <c r="I134" s="1" t="s">
        <v>44</v>
      </c>
      <c r="J134" s="3" t="s">
        <v>27</v>
      </c>
      <c r="K134" s="2">
        <v>23263</v>
      </c>
      <c r="L134" s="2">
        <v>0</v>
      </c>
      <c r="M134" s="2">
        <v>2093.67</v>
      </c>
      <c r="N134" s="2">
        <v>2093.67</v>
      </c>
      <c r="O134" s="2">
        <v>0</v>
      </c>
      <c r="P134" s="7" t="s">
        <v>28</v>
      </c>
      <c r="Q134" s="1" t="s">
        <v>29</v>
      </c>
      <c r="R134" s="3" t="s">
        <v>45</v>
      </c>
      <c r="S134" s="1" t="s">
        <v>46</v>
      </c>
      <c r="T134" s="4" t="s">
        <v>31</v>
      </c>
      <c r="U134" s="7" t="s">
        <v>46</v>
      </c>
      <c r="V134" s="7" t="s">
        <v>46</v>
      </c>
      <c r="W134" s="7" t="s">
        <v>46</v>
      </c>
      <c r="X134" s="7" t="s">
        <v>1751</v>
      </c>
      <c r="Y134" s="10">
        <f t="shared" si="5"/>
        <v>4187.3400000000001</v>
      </c>
      <c r="AH134" s="5" t="e">
        <f>VLOOKUP(B134,[1]DL!$BK:$BP,6,0)</f>
        <v>#N/A</v>
      </c>
    </row>
    <row r="135" spans="1:34" ht="14.5" hidden="1">
      <c r="A135" s="5">
        <v>132</v>
      </c>
      <c r="B135" s="5" t="str">
        <f t="shared" si="4"/>
        <v>07AAACC0462F1Z6GB26100016579419</v>
      </c>
      <c r="C135" s="1" t="s">
        <v>286</v>
      </c>
      <c r="D135" s="1" t="s">
        <v>287</v>
      </c>
      <c r="E135" s="1" t="s">
        <v>298</v>
      </c>
      <c r="F135" s="1" t="s">
        <v>24</v>
      </c>
      <c r="G135" s="1" t="s">
        <v>76</v>
      </c>
      <c r="H135" s="2">
        <v>8040.31</v>
      </c>
      <c r="I135" s="1" t="s">
        <v>44</v>
      </c>
      <c r="J135" s="3" t="s">
        <v>27</v>
      </c>
      <c r="K135" s="2">
        <v>6813.83</v>
      </c>
      <c r="L135" s="2">
        <v>0</v>
      </c>
      <c r="M135" s="2">
        <v>613.24</v>
      </c>
      <c r="N135" s="2">
        <v>613.24</v>
      </c>
      <c r="O135" s="2">
        <v>0</v>
      </c>
      <c r="P135" s="7" t="s">
        <v>28</v>
      </c>
      <c r="Q135" s="1" t="s">
        <v>29</v>
      </c>
      <c r="R135" s="3" t="s">
        <v>45</v>
      </c>
      <c r="S135" s="1" t="s">
        <v>46</v>
      </c>
      <c r="T135" s="4" t="s">
        <v>31</v>
      </c>
      <c r="U135" s="7" t="s">
        <v>46</v>
      </c>
      <c r="V135" s="7" t="s">
        <v>46</v>
      </c>
      <c r="W135" s="7" t="s">
        <v>46</v>
      </c>
      <c r="X135" s="7" t="s">
        <v>1751</v>
      </c>
      <c r="Y135" s="10">
        <f t="shared" si="5"/>
        <v>1226.48</v>
      </c>
      <c r="AH135" s="5" t="e">
        <f>VLOOKUP(B135,[1]DL!$BK:$BP,6,0)</f>
        <v>#N/A</v>
      </c>
    </row>
    <row r="136" spans="1:34" ht="14.5" hidden="1">
      <c r="A136" s="5">
        <v>133</v>
      </c>
      <c r="B136" s="5" t="str">
        <f t="shared" si="4"/>
        <v>07AAACC0462F1Z6MN26MAN102562575</v>
      </c>
      <c r="C136" s="1" t="s">
        <v>286</v>
      </c>
      <c r="D136" s="1" t="s">
        <v>287</v>
      </c>
      <c r="E136" s="1" t="s">
        <v>299</v>
      </c>
      <c r="F136" s="1" t="s">
        <v>24</v>
      </c>
      <c r="G136" s="1" t="s">
        <v>76</v>
      </c>
      <c r="H136" s="2">
        <v>590</v>
      </c>
      <c r="I136" s="1" t="s">
        <v>44</v>
      </c>
      <c r="J136" s="3" t="s">
        <v>27</v>
      </c>
      <c r="K136" s="2">
        <v>500</v>
      </c>
      <c r="L136" s="2">
        <v>0</v>
      </c>
      <c r="M136" s="2">
        <v>45</v>
      </c>
      <c r="N136" s="2">
        <v>45</v>
      </c>
      <c r="O136" s="2">
        <v>0</v>
      </c>
      <c r="P136" s="7" t="s">
        <v>28</v>
      </c>
      <c r="Q136" s="1" t="s">
        <v>29</v>
      </c>
      <c r="R136" s="3" t="s">
        <v>45</v>
      </c>
      <c r="S136" s="1" t="s">
        <v>46</v>
      </c>
      <c r="T136" s="4" t="s">
        <v>31</v>
      </c>
      <c r="U136" s="7" t="s">
        <v>46</v>
      </c>
      <c r="V136" s="7" t="s">
        <v>46</v>
      </c>
      <c r="W136" s="7" t="s">
        <v>46</v>
      </c>
      <c r="X136" s="7" t="s">
        <v>1751</v>
      </c>
      <c r="Y136" s="10">
        <f t="shared" si="5"/>
        <v>90</v>
      </c>
      <c r="AH136" s="5" t="e">
        <f>VLOOKUP(B136,[1]DL!$BK:$BP,6,0)</f>
        <v>#N/A</v>
      </c>
    </row>
    <row r="137" spans="1:34" ht="14.5" hidden="1">
      <c r="A137" s="5">
        <v>134</v>
      </c>
      <c r="B137" s="5" t="str">
        <f t="shared" si="4"/>
        <v>07AAACC0462F1Z6MN26MAN102567723</v>
      </c>
      <c r="C137" s="1" t="s">
        <v>286</v>
      </c>
      <c r="D137" s="1" t="s">
        <v>287</v>
      </c>
      <c r="E137" s="1" t="s">
        <v>300</v>
      </c>
      <c r="F137" s="1" t="s">
        <v>24</v>
      </c>
      <c r="G137" s="1" t="s">
        <v>76</v>
      </c>
      <c r="H137" s="2">
        <v>8260</v>
      </c>
      <c r="I137" s="1" t="s">
        <v>44</v>
      </c>
      <c r="J137" s="3" t="s">
        <v>27</v>
      </c>
      <c r="K137" s="2">
        <v>7000</v>
      </c>
      <c r="L137" s="2">
        <v>0</v>
      </c>
      <c r="M137" s="2">
        <v>630</v>
      </c>
      <c r="N137" s="2">
        <v>630</v>
      </c>
      <c r="O137" s="2">
        <v>0</v>
      </c>
      <c r="P137" s="7" t="s">
        <v>28</v>
      </c>
      <c r="Q137" s="1" t="s">
        <v>29</v>
      </c>
      <c r="R137" s="3" t="s">
        <v>45</v>
      </c>
      <c r="S137" s="1" t="s">
        <v>46</v>
      </c>
      <c r="T137" s="4" t="s">
        <v>31</v>
      </c>
      <c r="U137" s="7" t="s">
        <v>46</v>
      </c>
      <c r="V137" s="7" t="s">
        <v>46</v>
      </c>
      <c r="W137" s="7" t="s">
        <v>46</v>
      </c>
      <c r="X137" s="7" t="s">
        <v>1751</v>
      </c>
      <c r="Y137" s="10">
        <f t="shared" si="5"/>
        <v>1260</v>
      </c>
      <c r="AH137" s="5" t="e">
        <f>VLOOKUP(B137,[1]DL!$BK:$BP,6,0)</f>
        <v>#N/A</v>
      </c>
    </row>
    <row r="138" spans="1:34" ht="14.5" hidden="1">
      <c r="A138" s="5">
        <v>135</v>
      </c>
      <c r="B138" s="5" t="str">
        <f t="shared" si="4"/>
        <v>07AAACC0462F1Z6TR26100016501013</v>
      </c>
      <c r="C138" s="1" t="s">
        <v>286</v>
      </c>
      <c r="D138" s="1" t="s">
        <v>287</v>
      </c>
      <c r="E138" s="1" t="s">
        <v>301</v>
      </c>
      <c r="F138" s="1" t="s">
        <v>24</v>
      </c>
      <c r="G138" s="1" t="s">
        <v>302</v>
      </c>
      <c r="H138" s="2">
        <v>118</v>
      </c>
      <c r="I138" s="1" t="s">
        <v>44</v>
      </c>
      <c r="J138" s="3" t="s">
        <v>27</v>
      </c>
      <c r="K138" s="2">
        <v>100</v>
      </c>
      <c r="L138" s="2">
        <v>0</v>
      </c>
      <c r="M138" s="2">
        <v>9</v>
      </c>
      <c r="N138" s="2">
        <v>9</v>
      </c>
      <c r="O138" s="2">
        <v>0</v>
      </c>
      <c r="P138" s="7" t="s">
        <v>28</v>
      </c>
      <c r="Q138" s="1" t="s">
        <v>29</v>
      </c>
      <c r="R138" s="3" t="s">
        <v>45</v>
      </c>
      <c r="S138" s="1" t="s">
        <v>46</v>
      </c>
      <c r="T138" s="4" t="s">
        <v>31</v>
      </c>
      <c r="U138" s="7" t="s">
        <v>46</v>
      </c>
      <c r="V138" s="7" t="s">
        <v>46</v>
      </c>
      <c r="W138" s="7" t="s">
        <v>46</v>
      </c>
      <c r="X138" s="7" t="s">
        <v>1751</v>
      </c>
      <c r="Y138" s="10">
        <f t="shared" si="5"/>
        <v>18</v>
      </c>
      <c r="AH138" s="5" t="e">
        <f>VLOOKUP(B138,[1]DL!$BK:$BP,6,0)</f>
        <v>#N/A</v>
      </c>
    </row>
    <row r="139" spans="1:34" ht="14.5" hidden="1">
      <c r="A139" s="5">
        <v>136</v>
      </c>
      <c r="B139" s="5" t="str">
        <f t="shared" si="4"/>
        <v>07AAACC0462F1Z6TR26100016501014</v>
      </c>
      <c r="C139" s="1" t="s">
        <v>286</v>
      </c>
      <c r="D139" s="1" t="s">
        <v>287</v>
      </c>
      <c r="E139" s="1" t="s">
        <v>303</v>
      </c>
      <c r="F139" s="1" t="s">
        <v>24</v>
      </c>
      <c r="G139" s="1" t="s">
        <v>302</v>
      </c>
      <c r="H139" s="2">
        <v>118</v>
      </c>
      <c r="I139" s="1" t="s">
        <v>44</v>
      </c>
      <c r="J139" s="3" t="s">
        <v>27</v>
      </c>
      <c r="K139" s="2">
        <v>100</v>
      </c>
      <c r="L139" s="2">
        <v>0</v>
      </c>
      <c r="M139" s="2">
        <v>9</v>
      </c>
      <c r="N139" s="2">
        <v>9</v>
      </c>
      <c r="O139" s="2">
        <v>0</v>
      </c>
      <c r="P139" s="7" t="s">
        <v>28</v>
      </c>
      <c r="Q139" s="1" t="s">
        <v>29</v>
      </c>
      <c r="R139" s="3" t="s">
        <v>45</v>
      </c>
      <c r="S139" s="1" t="s">
        <v>46</v>
      </c>
      <c r="T139" s="4" t="s">
        <v>31</v>
      </c>
      <c r="U139" s="7" t="s">
        <v>46</v>
      </c>
      <c r="V139" s="7" t="s">
        <v>46</v>
      </c>
      <c r="W139" s="7" t="s">
        <v>46</v>
      </c>
      <c r="X139" s="7" t="s">
        <v>1751</v>
      </c>
      <c r="Y139" s="10">
        <f t="shared" si="5"/>
        <v>18</v>
      </c>
      <c r="AH139" s="5" t="e">
        <f>VLOOKUP(B139,[1]DL!$BK:$BP,6,0)</f>
        <v>#N/A</v>
      </c>
    </row>
    <row r="140" spans="1:34" ht="14.5" hidden="1">
      <c r="A140" s="5">
        <v>137</v>
      </c>
      <c r="B140" s="5" t="str">
        <f t="shared" si="4"/>
        <v>07AAACC0462F1Z6TR26100016501015</v>
      </c>
      <c r="C140" s="1" t="s">
        <v>286</v>
      </c>
      <c r="D140" s="1" t="s">
        <v>287</v>
      </c>
      <c r="E140" s="1" t="s">
        <v>304</v>
      </c>
      <c r="F140" s="1" t="s">
        <v>24</v>
      </c>
      <c r="G140" s="1" t="s">
        <v>302</v>
      </c>
      <c r="H140" s="2">
        <v>118</v>
      </c>
      <c r="I140" s="1" t="s">
        <v>44</v>
      </c>
      <c r="J140" s="3" t="s">
        <v>27</v>
      </c>
      <c r="K140" s="2">
        <v>100</v>
      </c>
      <c r="L140" s="2">
        <v>0</v>
      </c>
      <c r="M140" s="2">
        <v>9</v>
      </c>
      <c r="N140" s="2">
        <v>9</v>
      </c>
      <c r="O140" s="2">
        <v>0</v>
      </c>
      <c r="P140" s="7" t="s">
        <v>28</v>
      </c>
      <c r="Q140" s="1" t="s">
        <v>29</v>
      </c>
      <c r="R140" s="3" t="s">
        <v>45</v>
      </c>
      <c r="S140" s="1" t="s">
        <v>46</v>
      </c>
      <c r="T140" s="4" t="s">
        <v>31</v>
      </c>
      <c r="U140" s="7" t="s">
        <v>46</v>
      </c>
      <c r="V140" s="7" t="s">
        <v>46</v>
      </c>
      <c r="W140" s="7" t="s">
        <v>46</v>
      </c>
      <c r="X140" s="7" t="s">
        <v>1751</v>
      </c>
      <c r="Y140" s="10">
        <f t="shared" si="5"/>
        <v>18</v>
      </c>
      <c r="AH140" s="5" t="e">
        <f>VLOOKUP(B140,[1]DL!$BK:$BP,6,0)</f>
        <v>#N/A</v>
      </c>
    </row>
    <row r="141" spans="1:34" ht="14.5" hidden="1">
      <c r="A141" s="5">
        <v>138</v>
      </c>
      <c r="B141" s="5" t="str">
        <f t="shared" si="4"/>
        <v>07AAACC0462F1Z6TR26100016501016</v>
      </c>
      <c r="C141" s="1" t="s">
        <v>286</v>
      </c>
      <c r="D141" s="1" t="s">
        <v>287</v>
      </c>
      <c r="E141" s="1" t="s">
        <v>305</v>
      </c>
      <c r="F141" s="1" t="s">
        <v>24</v>
      </c>
      <c r="G141" s="1" t="s">
        <v>302</v>
      </c>
      <c r="H141" s="2">
        <v>118</v>
      </c>
      <c r="I141" s="1" t="s">
        <v>44</v>
      </c>
      <c r="J141" s="3" t="s">
        <v>27</v>
      </c>
      <c r="K141" s="2">
        <v>100</v>
      </c>
      <c r="L141" s="2">
        <v>0</v>
      </c>
      <c r="M141" s="2">
        <v>9</v>
      </c>
      <c r="N141" s="2">
        <v>9</v>
      </c>
      <c r="O141" s="2">
        <v>0</v>
      </c>
      <c r="P141" s="7" t="s">
        <v>28</v>
      </c>
      <c r="Q141" s="1" t="s">
        <v>29</v>
      </c>
      <c r="R141" s="3" t="s">
        <v>45</v>
      </c>
      <c r="S141" s="1" t="s">
        <v>46</v>
      </c>
      <c r="T141" s="4" t="s">
        <v>31</v>
      </c>
      <c r="U141" s="7" t="s">
        <v>46</v>
      </c>
      <c r="V141" s="7" t="s">
        <v>46</v>
      </c>
      <c r="W141" s="7" t="s">
        <v>46</v>
      </c>
      <c r="X141" s="7" t="s">
        <v>1751</v>
      </c>
      <c r="Y141" s="10">
        <f t="shared" si="5"/>
        <v>18</v>
      </c>
      <c r="AH141" s="5" t="e">
        <f>VLOOKUP(B141,[1]DL!$BK:$BP,6,0)</f>
        <v>#N/A</v>
      </c>
    </row>
    <row r="142" spans="1:34" ht="14.5" hidden="1">
      <c r="A142" s="5">
        <v>139</v>
      </c>
      <c r="B142" s="5" t="str">
        <f t="shared" si="4"/>
        <v>07AAACC0462F1Z6TR26100016501017</v>
      </c>
      <c r="C142" s="1" t="s">
        <v>286</v>
      </c>
      <c r="D142" s="1" t="s">
        <v>287</v>
      </c>
      <c r="E142" s="1" t="s">
        <v>306</v>
      </c>
      <c r="F142" s="1" t="s">
        <v>24</v>
      </c>
      <c r="G142" s="1" t="s">
        <v>302</v>
      </c>
      <c r="H142" s="2">
        <v>118</v>
      </c>
      <c r="I142" s="1" t="s">
        <v>44</v>
      </c>
      <c r="J142" s="3" t="s">
        <v>27</v>
      </c>
      <c r="K142" s="2">
        <v>100</v>
      </c>
      <c r="L142" s="2">
        <v>0</v>
      </c>
      <c r="M142" s="2">
        <v>9</v>
      </c>
      <c r="N142" s="2">
        <v>9</v>
      </c>
      <c r="O142" s="2">
        <v>0</v>
      </c>
      <c r="P142" s="7" t="s">
        <v>28</v>
      </c>
      <c r="Q142" s="1" t="s">
        <v>29</v>
      </c>
      <c r="R142" s="3" t="s">
        <v>45</v>
      </c>
      <c r="S142" s="1" t="s">
        <v>46</v>
      </c>
      <c r="T142" s="4" t="s">
        <v>31</v>
      </c>
      <c r="U142" s="7" t="s">
        <v>46</v>
      </c>
      <c r="V142" s="7" t="s">
        <v>46</v>
      </c>
      <c r="W142" s="7" t="s">
        <v>46</v>
      </c>
      <c r="X142" s="7" t="s">
        <v>1751</v>
      </c>
      <c r="Y142" s="10">
        <f t="shared" si="5"/>
        <v>18</v>
      </c>
      <c r="AH142" s="5" t="e">
        <f>VLOOKUP(B142,[1]DL!$BK:$BP,6,0)</f>
        <v>#N/A</v>
      </c>
    </row>
    <row r="143" spans="1:34" ht="14.5" hidden="1">
      <c r="A143" s="5">
        <v>140</v>
      </c>
      <c r="B143" s="5" t="str">
        <f t="shared" si="4"/>
        <v>07AAACC0462F1Z6TR26100016501018</v>
      </c>
      <c r="C143" s="1" t="s">
        <v>286</v>
      </c>
      <c r="D143" s="1" t="s">
        <v>287</v>
      </c>
      <c r="E143" s="1" t="s">
        <v>307</v>
      </c>
      <c r="F143" s="1" t="s">
        <v>24</v>
      </c>
      <c r="G143" s="1" t="s">
        <v>302</v>
      </c>
      <c r="H143" s="2">
        <v>118</v>
      </c>
      <c r="I143" s="1" t="s">
        <v>44</v>
      </c>
      <c r="J143" s="3" t="s">
        <v>27</v>
      </c>
      <c r="K143" s="2">
        <v>100</v>
      </c>
      <c r="L143" s="2">
        <v>0</v>
      </c>
      <c r="M143" s="2">
        <v>9</v>
      </c>
      <c r="N143" s="2">
        <v>9</v>
      </c>
      <c r="O143" s="2">
        <v>0</v>
      </c>
      <c r="P143" s="7" t="s">
        <v>28</v>
      </c>
      <c r="Q143" s="1" t="s">
        <v>29</v>
      </c>
      <c r="R143" s="3" t="s">
        <v>45</v>
      </c>
      <c r="S143" s="1" t="s">
        <v>46</v>
      </c>
      <c r="T143" s="4" t="s">
        <v>31</v>
      </c>
      <c r="U143" s="7" t="s">
        <v>46</v>
      </c>
      <c r="V143" s="7" t="s">
        <v>46</v>
      </c>
      <c r="W143" s="7" t="s">
        <v>46</v>
      </c>
      <c r="X143" s="7" t="s">
        <v>1751</v>
      </c>
      <c r="Y143" s="10">
        <f t="shared" si="5"/>
        <v>18</v>
      </c>
      <c r="AH143" s="5" t="e">
        <f>VLOOKUP(B143,[1]DL!$BK:$BP,6,0)</f>
        <v>#N/A</v>
      </c>
    </row>
    <row r="144" spans="1:34" ht="14.5" hidden="1">
      <c r="A144" s="5">
        <v>141</v>
      </c>
      <c r="B144" s="5" t="str">
        <f t="shared" si="4"/>
        <v>07AAACC0462F1Z6TR26100016501019</v>
      </c>
      <c r="C144" s="1" t="s">
        <v>286</v>
      </c>
      <c r="D144" s="1" t="s">
        <v>287</v>
      </c>
      <c r="E144" s="1" t="s">
        <v>308</v>
      </c>
      <c r="F144" s="1" t="s">
        <v>24</v>
      </c>
      <c r="G144" s="1" t="s">
        <v>302</v>
      </c>
      <c r="H144" s="2">
        <v>118</v>
      </c>
      <c r="I144" s="1" t="s">
        <v>44</v>
      </c>
      <c r="J144" s="3" t="s">
        <v>27</v>
      </c>
      <c r="K144" s="2">
        <v>100</v>
      </c>
      <c r="L144" s="2">
        <v>0</v>
      </c>
      <c r="M144" s="2">
        <v>9</v>
      </c>
      <c r="N144" s="2">
        <v>9</v>
      </c>
      <c r="O144" s="2">
        <v>0</v>
      </c>
      <c r="P144" s="7" t="s">
        <v>28</v>
      </c>
      <c r="Q144" s="1" t="s">
        <v>29</v>
      </c>
      <c r="R144" s="3" t="s">
        <v>45</v>
      </c>
      <c r="S144" s="1" t="s">
        <v>46</v>
      </c>
      <c r="T144" s="4" t="s">
        <v>31</v>
      </c>
      <c r="U144" s="7" t="s">
        <v>46</v>
      </c>
      <c r="V144" s="7" t="s">
        <v>46</v>
      </c>
      <c r="W144" s="7" t="s">
        <v>46</v>
      </c>
      <c r="X144" s="7" t="s">
        <v>1751</v>
      </c>
      <c r="Y144" s="10">
        <f t="shared" si="5"/>
        <v>18</v>
      </c>
      <c r="AH144" s="5" t="e">
        <f>VLOOKUP(B144,[1]DL!$BK:$BP,6,0)</f>
        <v>#N/A</v>
      </c>
    </row>
    <row r="145" spans="1:34" ht="14.5" hidden="1">
      <c r="A145" s="5">
        <v>142</v>
      </c>
      <c r="B145" s="5" t="str">
        <f t="shared" si="4"/>
        <v>07AAACC0462F1Z6TR26100016501020</v>
      </c>
      <c r="C145" s="1" t="s">
        <v>286</v>
      </c>
      <c r="D145" s="1" t="s">
        <v>287</v>
      </c>
      <c r="E145" s="1" t="s">
        <v>309</v>
      </c>
      <c r="F145" s="1" t="s">
        <v>24</v>
      </c>
      <c r="G145" s="1" t="s">
        <v>302</v>
      </c>
      <c r="H145" s="2">
        <v>118</v>
      </c>
      <c r="I145" s="1" t="s">
        <v>44</v>
      </c>
      <c r="J145" s="3" t="s">
        <v>27</v>
      </c>
      <c r="K145" s="2">
        <v>100</v>
      </c>
      <c r="L145" s="2">
        <v>0</v>
      </c>
      <c r="M145" s="2">
        <v>9</v>
      </c>
      <c r="N145" s="2">
        <v>9</v>
      </c>
      <c r="O145" s="2">
        <v>0</v>
      </c>
      <c r="P145" s="7" t="s">
        <v>28</v>
      </c>
      <c r="Q145" s="1" t="s">
        <v>29</v>
      </c>
      <c r="R145" s="3" t="s">
        <v>45</v>
      </c>
      <c r="S145" s="1" t="s">
        <v>46</v>
      </c>
      <c r="T145" s="4" t="s">
        <v>31</v>
      </c>
      <c r="U145" s="7" t="s">
        <v>46</v>
      </c>
      <c r="V145" s="7" t="s">
        <v>46</v>
      </c>
      <c r="W145" s="7" t="s">
        <v>46</v>
      </c>
      <c r="X145" s="7" t="s">
        <v>1751</v>
      </c>
      <c r="Y145" s="10">
        <f t="shared" si="5"/>
        <v>18</v>
      </c>
      <c r="AH145" s="5" t="e">
        <f>VLOOKUP(B145,[1]DL!$BK:$BP,6,0)</f>
        <v>#N/A</v>
      </c>
    </row>
    <row r="146" spans="1:34" ht="14.5" hidden="1">
      <c r="A146" s="5">
        <v>143</v>
      </c>
      <c r="B146" s="5" t="str">
        <f t="shared" si="4"/>
        <v>07AAACC0462F1Z6TR26100016501021</v>
      </c>
      <c r="C146" s="1" t="s">
        <v>286</v>
      </c>
      <c r="D146" s="1" t="s">
        <v>287</v>
      </c>
      <c r="E146" s="1" t="s">
        <v>310</v>
      </c>
      <c r="F146" s="1" t="s">
        <v>24</v>
      </c>
      <c r="G146" s="1" t="s">
        <v>302</v>
      </c>
      <c r="H146" s="2">
        <v>118</v>
      </c>
      <c r="I146" s="1" t="s">
        <v>44</v>
      </c>
      <c r="J146" s="3" t="s">
        <v>27</v>
      </c>
      <c r="K146" s="2">
        <v>100</v>
      </c>
      <c r="L146" s="2">
        <v>0</v>
      </c>
      <c r="M146" s="2">
        <v>9</v>
      </c>
      <c r="N146" s="2">
        <v>9</v>
      </c>
      <c r="O146" s="2">
        <v>0</v>
      </c>
      <c r="P146" s="7" t="s">
        <v>28</v>
      </c>
      <c r="Q146" s="1" t="s">
        <v>29</v>
      </c>
      <c r="R146" s="3" t="s">
        <v>45</v>
      </c>
      <c r="S146" s="1" t="s">
        <v>46</v>
      </c>
      <c r="T146" s="4" t="s">
        <v>31</v>
      </c>
      <c r="U146" s="7" t="s">
        <v>46</v>
      </c>
      <c r="V146" s="7" t="s">
        <v>46</v>
      </c>
      <c r="W146" s="7" t="s">
        <v>46</v>
      </c>
      <c r="X146" s="7" t="s">
        <v>1751</v>
      </c>
      <c r="Y146" s="10">
        <f t="shared" si="5"/>
        <v>18</v>
      </c>
      <c r="AH146" s="5" t="e">
        <f>VLOOKUP(B146,[1]DL!$BK:$BP,6,0)</f>
        <v>#N/A</v>
      </c>
    </row>
    <row r="147" spans="1:34" ht="14.5" hidden="1">
      <c r="A147" s="5">
        <v>144</v>
      </c>
      <c r="B147" s="5" t="str">
        <f t="shared" si="4"/>
        <v>07AAACC0462F1Z6TR26100016501022</v>
      </c>
      <c r="C147" s="1" t="s">
        <v>286</v>
      </c>
      <c r="D147" s="1" t="s">
        <v>287</v>
      </c>
      <c r="E147" s="1" t="s">
        <v>311</v>
      </c>
      <c r="F147" s="1" t="s">
        <v>24</v>
      </c>
      <c r="G147" s="1" t="s">
        <v>302</v>
      </c>
      <c r="H147" s="2">
        <v>118</v>
      </c>
      <c r="I147" s="1" t="s">
        <v>44</v>
      </c>
      <c r="J147" s="3" t="s">
        <v>27</v>
      </c>
      <c r="K147" s="2">
        <v>100</v>
      </c>
      <c r="L147" s="2">
        <v>0</v>
      </c>
      <c r="M147" s="2">
        <v>9</v>
      </c>
      <c r="N147" s="2">
        <v>9</v>
      </c>
      <c r="O147" s="2">
        <v>0</v>
      </c>
      <c r="P147" s="7" t="s">
        <v>28</v>
      </c>
      <c r="Q147" s="1" t="s">
        <v>29</v>
      </c>
      <c r="R147" s="3" t="s">
        <v>45</v>
      </c>
      <c r="S147" s="1" t="s">
        <v>46</v>
      </c>
      <c r="T147" s="4" t="s">
        <v>31</v>
      </c>
      <c r="U147" s="7" t="s">
        <v>46</v>
      </c>
      <c r="V147" s="7" t="s">
        <v>46</v>
      </c>
      <c r="W147" s="7" t="s">
        <v>46</v>
      </c>
      <c r="X147" s="7" t="s">
        <v>1751</v>
      </c>
      <c r="Y147" s="10">
        <f t="shared" si="5"/>
        <v>18</v>
      </c>
      <c r="AH147" s="5" t="e">
        <f>VLOOKUP(B147,[1]DL!$BK:$BP,6,0)</f>
        <v>#N/A</v>
      </c>
    </row>
    <row r="148" spans="1:34" ht="14.5" hidden="1">
      <c r="A148" s="5">
        <v>145</v>
      </c>
      <c r="B148" s="5" t="str">
        <f t="shared" si="4"/>
        <v>07AAACC0462F1Z6TR26100016501023</v>
      </c>
      <c r="C148" s="1" t="s">
        <v>286</v>
      </c>
      <c r="D148" s="1" t="s">
        <v>287</v>
      </c>
      <c r="E148" s="1" t="s">
        <v>312</v>
      </c>
      <c r="F148" s="1" t="s">
        <v>24</v>
      </c>
      <c r="G148" s="1" t="s">
        <v>52</v>
      </c>
      <c r="H148" s="2">
        <v>118</v>
      </c>
      <c r="I148" s="1" t="s">
        <v>44</v>
      </c>
      <c r="J148" s="3" t="s">
        <v>27</v>
      </c>
      <c r="K148" s="2">
        <v>100</v>
      </c>
      <c r="L148" s="2">
        <v>0</v>
      </c>
      <c r="M148" s="2">
        <v>9</v>
      </c>
      <c r="N148" s="2">
        <v>9</v>
      </c>
      <c r="O148" s="2">
        <v>0</v>
      </c>
      <c r="P148" s="7" t="s">
        <v>28</v>
      </c>
      <c r="Q148" s="1" t="s">
        <v>29</v>
      </c>
      <c r="R148" s="3" t="s">
        <v>45</v>
      </c>
      <c r="S148" s="1" t="s">
        <v>46</v>
      </c>
      <c r="T148" s="4" t="s">
        <v>31</v>
      </c>
      <c r="U148" s="7" t="s">
        <v>46</v>
      </c>
      <c r="V148" s="7" t="s">
        <v>46</v>
      </c>
      <c r="W148" s="7" t="s">
        <v>46</v>
      </c>
      <c r="X148" s="7" t="s">
        <v>1751</v>
      </c>
      <c r="Y148" s="10">
        <f t="shared" si="5"/>
        <v>18</v>
      </c>
      <c r="AH148" s="5" t="e">
        <f>VLOOKUP(B148,[1]DL!$BK:$BP,6,0)</f>
        <v>#N/A</v>
      </c>
    </row>
    <row r="149" spans="1:34" ht="14.5" hidden="1">
      <c r="A149" s="5">
        <v>146</v>
      </c>
      <c r="B149" s="5" t="str">
        <f t="shared" si="4"/>
        <v>07AAACC0462F1Z6TR26100016501024</v>
      </c>
      <c r="C149" s="1" t="s">
        <v>286</v>
      </c>
      <c r="D149" s="1" t="s">
        <v>287</v>
      </c>
      <c r="E149" s="1" t="s">
        <v>313</v>
      </c>
      <c r="F149" s="1" t="s">
        <v>24</v>
      </c>
      <c r="G149" s="1" t="s">
        <v>52</v>
      </c>
      <c r="H149" s="2">
        <v>118</v>
      </c>
      <c r="I149" s="1" t="s">
        <v>44</v>
      </c>
      <c r="J149" s="3" t="s">
        <v>27</v>
      </c>
      <c r="K149" s="2">
        <v>100</v>
      </c>
      <c r="L149" s="2">
        <v>0</v>
      </c>
      <c r="M149" s="2">
        <v>9</v>
      </c>
      <c r="N149" s="2">
        <v>9</v>
      </c>
      <c r="O149" s="2">
        <v>0</v>
      </c>
      <c r="P149" s="7" t="s">
        <v>28</v>
      </c>
      <c r="Q149" s="1" t="s">
        <v>29</v>
      </c>
      <c r="R149" s="3" t="s">
        <v>45</v>
      </c>
      <c r="S149" s="1" t="s">
        <v>46</v>
      </c>
      <c r="T149" s="4" t="s">
        <v>31</v>
      </c>
      <c r="U149" s="7" t="s">
        <v>46</v>
      </c>
      <c r="V149" s="7" t="s">
        <v>46</v>
      </c>
      <c r="W149" s="7" t="s">
        <v>46</v>
      </c>
      <c r="X149" s="7" t="s">
        <v>1751</v>
      </c>
      <c r="Y149" s="10">
        <f t="shared" si="5"/>
        <v>18</v>
      </c>
      <c r="AH149" s="5" t="e">
        <f>VLOOKUP(B149,[1]DL!$BK:$BP,6,0)</f>
        <v>#N/A</v>
      </c>
    </row>
    <row r="150" spans="1:34" ht="14.5" hidden="1">
      <c r="A150" s="5">
        <v>147</v>
      </c>
      <c r="B150" s="5" t="str">
        <f t="shared" si="4"/>
        <v>07AAACC0462F1Z6TR26100016501025</v>
      </c>
      <c r="C150" s="1" t="s">
        <v>286</v>
      </c>
      <c r="D150" s="1" t="s">
        <v>287</v>
      </c>
      <c r="E150" s="1" t="s">
        <v>314</v>
      </c>
      <c r="F150" s="1" t="s">
        <v>24</v>
      </c>
      <c r="G150" s="1" t="s">
        <v>52</v>
      </c>
      <c r="H150" s="2">
        <v>118</v>
      </c>
      <c r="I150" s="1" t="s">
        <v>44</v>
      </c>
      <c r="J150" s="3" t="s">
        <v>27</v>
      </c>
      <c r="K150" s="2">
        <v>100</v>
      </c>
      <c r="L150" s="2">
        <v>0</v>
      </c>
      <c r="M150" s="2">
        <v>9</v>
      </c>
      <c r="N150" s="2">
        <v>9</v>
      </c>
      <c r="O150" s="2">
        <v>0</v>
      </c>
      <c r="P150" s="7" t="s">
        <v>28</v>
      </c>
      <c r="Q150" s="1" t="s">
        <v>29</v>
      </c>
      <c r="R150" s="3" t="s">
        <v>45</v>
      </c>
      <c r="S150" s="1" t="s">
        <v>46</v>
      </c>
      <c r="T150" s="4" t="s">
        <v>31</v>
      </c>
      <c r="U150" s="7" t="s">
        <v>46</v>
      </c>
      <c r="V150" s="7" t="s">
        <v>46</v>
      </c>
      <c r="W150" s="7" t="s">
        <v>46</v>
      </c>
      <c r="X150" s="7" t="s">
        <v>1751</v>
      </c>
      <c r="Y150" s="10">
        <f t="shared" si="5"/>
        <v>18</v>
      </c>
      <c r="AH150" s="5" t="e">
        <f>VLOOKUP(B150,[1]DL!$BK:$BP,6,0)</f>
        <v>#N/A</v>
      </c>
    </row>
    <row r="151" spans="1:34" ht="14.5" hidden="1">
      <c r="A151" s="5">
        <v>148</v>
      </c>
      <c r="B151" s="5" t="str">
        <f t="shared" si="4"/>
        <v>07AAACC0462F1Z6TR26100016501026</v>
      </c>
      <c r="C151" s="1" t="s">
        <v>286</v>
      </c>
      <c r="D151" s="1" t="s">
        <v>287</v>
      </c>
      <c r="E151" s="1" t="s">
        <v>315</v>
      </c>
      <c r="F151" s="1" t="s">
        <v>24</v>
      </c>
      <c r="G151" s="1" t="s">
        <v>52</v>
      </c>
      <c r="H151" s="2">
        <v>118</v>
      </c>
      <c r="I151" s="1" t="s">
        <v>44</v>
      </c>
      <c r="J151" s="3" t="s">
        <v>27</v>
      </c>
      <c r="K151" s="2">
        <v>100</v>
      </c>
      <c r="L151" s="2">
        <v>0</v>
      </c>
      <c r="M151" s="2">
        <v>9</v>
      </c>
      <c r="N151" s="2">
        <v>9</v>
      </c>
      <c r="O151" s="2">
        <v>0</v>
      </c>
      <c r="P151" s="7" t="s">
        <v>28</v>
      </c>
      <c r="Q151" s="1" t="s">
        <v>29</v>
      </c>
      <c r="R151" s="3" t="s">
        <v>45</v>
      </c>
      <c r="S151" s="1" t="s">
        <v>46</v>
      </c>
      <c r="T151" s="4" t="s">
        <v>31</v>
      </c>
      <c r="U151" s="7" t="s">
        <v>46</v>
      </c>
      <c r="V151" s="7" t="s">
        <v>46</v>
      </c>
      <c r="W151" s="7" t="s">
        <v>46</v>
      </c>
      <c r="X151" s="7" t="s">
        <v>1751</v>
      </c>
      <c r="Y151" s="10">
        <f t="shared" si="5"/>
        <v>18</v>
      </c>
      <c r="AH151" s="5" t="e">
        <f>VLOOKUP(B151,[1]DL!$BK:$BP,6,0)</f>
        <v>#N/A</v>
      </c>
    </row>
    <row r="152" spans="1:34" ht="14.5" hidden="1">
      <c r="A152" s="5">
        <v>149</v>
      </c>
      <c r="B152" s="5" t="str">
        <f t="shared" si="4"/>
        <v>07AAACC0462F1Z6TR26100016501027</v>
      </c>
      <c r="C152" s="1" t="s">
        <v>286</v>
      </c>
      <c r="D152" s="1" t="s">
        <v>287</v>
      </c>
      <c r="E152" s="1" t="s">
        <v>316</v>
      </c>
      <c r="F152" s="1" t="s">
        <v>24</v>
      </c>
      <c r="G152" s="1" t="s">
        <v>52</v>
      </c>
      <c r="H152" s="2">
        <v>118</v>
      </c>
      <c r="I152" s="1" t="s">
        <v>44</v>
      </c>
      <c r="J152" s="3" t="s">
        <v>27</v>
      </c>
      <c r="K152" s="2">
        <v>100</v>
      </c>
      <c r="L152" s="2">
        <v>0</v>
      </c>
      <c r="M152" s="2">
        <v>9</v>
      </c>
      <c r="N152" s="2">
        <v>9</v>
      </c>
      <c r="O152" s="2">
        <v>0</v>
      </c>
      <c r="P152" s="7" t="s">
        <v>28</v>
      </c>
      <c r="Q152" s="1" t="s">
        <v>29</v>
      </c>
      <c r="R152" s="3" t="s">
        <v>45</v>
      </c>
      <c r="S152" s="1" t="s">
        <v>46</v>
      </c>
      <c r="T152" s="4" t="s">
        <v>31</v>
      </c>
      <c r="U152" s="7" t="s">
        <v>46</v>
      </c>
      <c r="V152" s="7" t="s">
        <v>46</v>
      </c>
      <c r="W152" s="7" t="s">
        <v>46</v>
      </c>
      <c r="X152" s="7" t="s">
        <v>1751</v>
      </c>
      <c r="Y152" s="10">
        <f t="shared" si="5"/>
        <v>18</v>
      </c>
      <c r="AH152" s="5" t="e">
        <f>VLOOKUP(B152,[1]DL!$BK:$BP,6,0)</f>
        <v>#N/A</v>
      </c>
    </row>
    <row r="153" spans="1:34" ht="14.5" hidden="1">
      <c r="A153" s="5">
        <v>150</v>
      </c>
      <c r="B153" s="5" t="str">
        <f t="shared" si="4"/>
        <v>07AAACC0462F1Z6TR26100016501028</v>
      </c>
      <c r="C153" s="1" t="s">
        <v>286</v>
      </c>
      <c r="D153" s="1" t="s">
        <v>287</v>
      </c>
      <c r="E153" s="1" t="s">
        <v>317</v>
      </c>
      <c r="F153" s="1" t="s">
        <v>24</v>
      </c>
      <c r="G153" s="1" t="s">
        <v>52</v>
      </c>
      <c r="H153" s="2">
        <v>118</v>
      </c>
      <c r="I153" s="1" t="s">
        <v>44</v>
      </c>
      <c r="J153" s="3" t="s">
        <v>27</v>
      </c>
      <c r="K153" s="2">
        <v>100</v>
      </c>
      <c r="L153" s="2">
        <v>0</v>
      </c>
      <c r="M153" s="2">
        <v>9</v>
      </c>
      <c r="N153" s="2">
        <v>9</v>
      </c>
      <c r="O153" s="2">
        <v>0</v>
      </c>
      <c r="P153" s="7" t="s">
        <v>28</v>
      </c>
      <c r="Q153" s="1" t="s">
        <v>29</v>
      </c>
      <c r="R153" s="3" t="s">
        <v>45</v>
      </c>
      <c r="S153" s="1" t="s">
        <v>46</v>
      </c>
      <c r="T153" s="4" t="s">
        <v>31</v>
      </c>
      <c r="U153" s="7" t="s">
        <v>46</v>
      </c>
      <c r="V153" s="7" t="s">
        <v>46</v>
      </c>
      <c r="W153" s="7" t="s">
        <v>46</v>
      </c>
      <c r="X153" s="7" t="s">
        <v>1751</v>
      </c>
      <c r="Y153" s="10">
        <f t="shared" si="5"/>
        <v>18</v>
      </c>
      <c r="AH153" s="5" t="e">
        <f>VLOOKUP(B153,[1]DL!$BK:$BP,6,0)</f>
        <v>#N/A</v>
      </c>
    </row>
    <row r="154" spans="1:34" ht="14.5" hidden="1">
      <c r="A154" s="5">
        <v>151</v>
      </c>
      <c r="B154" s="5" t="str">
        <f t="shared" si="4"/>
        <v>07AAACC0462F1Z6TR26100016501029</v>
      </c>
      <c r="C154" s="1" t="s">
        <v>286</v>
      </c>
      <c r="D154" s="1" t="s">
        <v>287</v>
      </c>
      <c r="E154" s="1" t="s">
        <v>318</v>
      </c>
      <c r="F154" s="1" t="s">
        <v>24</v>
      </c>
      <c r="G154" s="1" t="s">
        <v>302</v>
      </c>
      <c r="H154" s="2">
        <v>118</v>
      </c>
      <c r="I154" s="1" t="s">
        <v>44</v>
      </c>
      <c r="J154" s="3" t="s">
        <v>27</v>
      </c>
      <c r="K154" s="2">
        <v>100</v>
      </c>
      <c r="L154" s="2">
        <v>0</v>
      </c>
      <c r="M154" s="2">
        <v>9</v>
      </c>
      <c r="N154" s="2">
        <v>9</v>
      </c>
      <c r="O154" s="2">
        <v>0</v>
      </c>
      <c r="P154" s="7" t="s">
        <v>28</v>
      </c>
      <c r="Q154" s="1" t="s">
        <v>29</v>
      </c>
      <c r="R154" s="3" t="s">
        <v>45</v>
      </c>
      <c r="S154" s="1" t="s">
        <v>46</v>
      </c>
      <c r="T154" s="4" t="s">
        <v>31</v>
      </c>
      <c r="U154" s="7" t="s">
        <v>46</v>
      </c>
      <c r="V154" s="7" t="s">
        <v>46</v>
      </c>
      <c r="W154" s="7" t="s">
        <v>46</v>
      </c>
      <c r="X154" s="7" t="s">
        <v>1751</v>
      </c>
      <c r="Y154" s="10">
        <f t="shared" si="5"/>
        <v>18</v>
      </c>
      <c r="AH154" s="5" t="e">
        <f>VLOOKUP(B154,[1]DL!$BK:$BP,6,0)</f>
        <v>#N/A</v>
      </c>
    </row>
    <row r="155" spans="1:34" ht="14.5" hidden="1">
      <c r="A155" s="5">
        <v>152</v>
      </c>
      <c r="B155" s="5" t="str">
        <f t="shared" si="4"/>
        <v>07AAACC0462F1Z6TR26100016501030</v>
      </c>
      <c r="C155" s="1" t="s">
        <v>286</v>
      </c>
      <c r="D155" s="1" t="s">
        <v>287</v>
      </c>
      <c r="E155" s="1" t="s">
        <v>319</v>
      </c>
      <c r="F155" s="1" t="s">
        <v>24</v>
      </c>
      <c r="G155" s="1" t="s">
        <v>52</v>
      </c>
      <c r="H155" s="2">
        <v>118</v>
      </c>
      <c r="I155" s="1" t="s">
        <v>44</v>
      </c>
      <c r="J155" s="3" t="s">
        <v>27</v>
      </c>
      <c r="K155" s="2">
        <v>100</v>
      </c>
      <c r="L155" s="2">
        <v>0</v>
      </c>
      <c r="M155" s="2">
        <v>9</v>
      </c>
      <c r="N155" s="2">
        <v>9</v>
      </c>
      <c r="O155" s="2">
        <v>0</v>
      </c>
      <c r="P155" s="7" t="s">
        <v>28</v>
      </c>
      <c r="Q155" s="1" t="s">
        <v>29</v>
      </c>
      <c r="R155" s="3" t="s">
        <v>45</v>
      </c>
      <c r="S155" s="1" t="s">
        <v>46</v>
      </c>
      <c r="T155" s="4" t="s">
        <v>31</v>
      </c>
      <c r="U155" s="7" t="s">
        <v>46</v>
      </c>
      <c r="V155" s="7" t="s">
        <v>46</v>
      </c>
      <c r="W155" s="7" t="s">
        <v>46</v>
      </c>
      <c r="X155" s="7" t="s">
        <v>1751</v>
      </c>
      <c r="Y155" s="10">
        <f t="shared" si="5"/>
        <v>18</v>
      </c>
      <c r="AH155" s="5" t="e">
        <f>VLOOKUP(B155,[1]DL!$BK:$BP,6,0)</f>
        <v>#N/A</v>
      </c>
    </row>
    <row r="156" spans="1:34" ht="14.5" hidden="1">
      <c r="A156" s="5">
        <v>153</v>
      </c>
      <c r="B156" s="5" t="str">
        <f t="shared" si="4"/>
        <v>07AAACC0462F1Z6TR26100016501031</v>
      </c>
      <c r="C156" s="1" t="s">
        <v>286</v>
      </c>
      <c r="D156" s="1" t="s">
        <v>287</v>
      </c>
      <c r="E156" s="1" t="s">
        <v>320</v>
      </c>
      <c r="F156" s="1" t="s">
        <v>24</v>
      </c>
      <c r="G156" s="1" t="s">
        <v>52</v>
      </c>
      <c r="H156" s="2">
        <v>118</v>
      </c>
      <c r="I156" s="1" t="s">
        <v>44</v>
      </c>
      <c r="J156" s="3" t="s">
        <v>27</v>
      </c>
      <c r="K156" s="2">
        <v>100</v>
      </c>
      <c r="L156" s="2">
        <v>0</v>
      </c>
      <c r="M156" s="2">
        <v>9</v>
      </c>
      <c r="N156" s="2">
        <v>9</v>
      </c>
      <c r="O156" s="2">
        <v>0</v>
      </c>
      <c r="P156" s="7" t="s">
        <v>28</v>
      </c>
      <c r="Q156" s="1" t="s">
        <v>29</v>
      </c>
      <c r="R156" s="3" t="s">
        <v>45</v>
      </c>
      <c r="S156" s="1" t="s">
        <v>46</v>
      </c>
      <c r="T156" s="4" t="s">
        <v>31</v>
      </c>
      <c r="U156" s="7" t="s">
        <v>46</v>
      </c>
      <c r="V156" s="7" t="s">
        <v>46</v>
      </c>
      <c r="W156" s="7" t="s">
        <v>46</v>
      </c>
      <c r="X156" s="7" t="s">
        <v>1751</v>
      </c>
      <c r="Y156" s="10">
        <f t="shared" si="5"/>
        <v>18</v>
      </c>
      <c r="AH156" s="5" t="e">
        <f>VLOOKUP(B156,[1]DL!$BK:$BP,6,0)</f>
        <v>#N/A</v>
      </c>
    </row>
    <row r="157" spans="1:34" ht="14.5" hidden="1">
      <c r="A157" s="5">
        <v>154</v>
      </c>
      <c r="B157" s="5" t="str">
        <f t="shared" si="4"/>
        <v>07AAACC0462F1Z6TR26100016501032</v>
      </c>
      <c r="C157" s="1" t="s">
        <v>286</v>
      </c>
      <c r="D157" s="1" t="s">
        <v>287</v>
      </c>
      <c r="E157" s="1" t="s">
        <v>321</v>
      </c>
      <c r="F157" s="1" t="s">
        <v>24</v>
      </c>
      <c r="G157" s="1" t="s">
        <v>302</v>
      </c>
      <c r="H157" s="2">
        <v>118</v>
      </c>
      <c r="I157" s="1" t="s">
        <v>44</v>
      </c>
      <c r="J157" s="3" t="s">
        <v>27</v>
      </c>
      <c r="K157" s="2">
        <v>100</v>
      </c>
      <c r="L157" s="2">
        <v>0</v>
      </c>
      <c r="M157" s="2">
        <v>9</v>
      </c>
      <c r="N157" s="2">
        <v>9</v>
      </c>
      <c r="O157" s="2">
        <v>0</v>
      </c>
      <c r="P157" s="7" t="s">
        <v>28</v>
      </c>
      <c r="Q157" s="1" t="s">
        <v>29</v>
      </c>
      <c r="R157" s="3" t="s">
        <v>45</v>
      </c>
      <c r="S157" s="1" t="s">
        <v>46</v>
      </c>
      <c r="T157" s="4" t="s">
        <v>31</v>
      </c>
      <c r="U157" s="7" t="s">
        <v>46</v>
      </c>
      <c r="V157" s="7" t="s">
        <v>46</v>
      </c>
      <c r="W157" s="7" t="s">
        <v>46</v>
      </c>
      <c r="X157" s="7" t="s">
        <v>1751</v>
      </c>
      <c r="Y157" s="10">
        <f t="shared" si="5"/>
        <v>18</v>
      </c>
      <c r="AH157" s="5" t="e">
        <f>VLOOKUP(B157,[1]DL!$BK:$BP,6,0)</f>
        <v>#N/A</v>
      </c>
    </row>
    <row r="158" spans="1:34" ht="14.5" hidden="1">
      <c r="A158" s="5">
        <v>155</v>
      </c>
      <c r="B158" s="5" t="str">
        <f t="shared" si="4"/>
        <v>07AAACC0462F1Z6TR26100016501033</v>
      </c>
      <c r="C158" s="1" t="s">
        <v>286</v>
      </c>
      <c r="D158" s="1" t="s">
        <v>287</v>
      </c>
      <c r="E158" s="1" t="s">
        <v>322</v>
      </c>
      <c r="F158" s="1" t="s">
        <v>24</v>
      </c>
      <c r="G158" s="1" t="s">
        <v>52</v>
      </c>
      <c r="H158" s="2">
        <v>118</v>
      </c>
      <c r="I158" s="1" t="s">
        <v>44</v>
      </c>
      <c r="J158" s="3" t="s">
        <v>27</v>
      </c>
      <c r="K158" s="2">
        <v>100</v>
      </c>
      <c r="L158" s="2">
        <v>0</v>
      </c>
      <c r="M158" s="2">
        <v>9</v>
      </c>
      <c r="N158" s="2">
        <v>9</v>
      </c>
      <c r="O158" s="2">
        <v>0</v>
      </c>
      <c r="P158" s="7" t="s">
        <v>28</v>
      </c>
      <c r="Q158" s="1" t="s">
        <v>29</v>
      </c>
      <c r="R158" s="3" t="s">
        <v>45</v>
      </c>
      <c r="S158" s="1" t="s">
        <v>46</v>
      </c>
      <c r="T158" s="4" t="s">
        <v>31</v>
      </c>
      <c r="U158" s="7" t="s">
        <v>46</v>
      </c>
      <c r="V158" s="7" t="s">
        <v>46</v>
      </c>
      <c r="W158" s="7" t="s">
        <v>46</v>
      </c>
      <c r="X158" s="7" t="s">
        <v>1751</v>
      </c>
      <c r="Y158" s="10">
        <f t="shared" si="5"/>
        <v>18</v>
      </c>
      <c r="AH158" s="5" t="e">
        <f>VLOOKUP(B158,[1]DL!$BK:$BP,6,0)</f>
        <v>#N/A</v>
      </c>
    </row>
    <row r="159" spans="1:34" ht="14.5" hidden="1">
      <c r="A159" s="5">
        <v>156</v>
      </c>
      <c r="B159" s="5" t="str">
        <f t="shared" si="4"/>
        <v>07AAACC0462F1Z6TR26100016501034</v>
      </c>
      <c r="C159" s="1" t="s">
        <v>286</v>
      </c>
      <c r="D159" s="1" t="s">
        <v>287</v>
      </c>
      <c r="E159" s="1" t="s">
        <v>323</v>
      </c>
      <c r="F159" s="1" t="s">
        <v>24</v>
      </c>
      <c r="G159" s="1" t="s">
        <v>52</v>
      </c>
      <c r="H159" s="2">
        <v>118</v>
      </c>
      <c r="I159" s="1" t="s">
        <v>44</v>
      </c>
      <c r="J159" s="3" t="s">
        <v>27</v>
      </c>
      <c r="K159" s="2">
        <v>100</v>
      </c>
      <c r="L159" s="2">
        <v>0</v>
      </c>
      <c r="M159" s="2">
        <v>9</v>
      </c>
      <c r="N159" s="2">
        <v>9</v>
      </c>
      <c r="O159" s="2">
        <v>0</v>
      </c>
      <c r="P159" s="7" t="s">
        <v>28</v>
      </c>
      <c r="Q159" s="1" t="s">
        <v>29</v>
      </c>
      <c r="R159" s="3" t="s">
        <v>45</v>
      </c>
      <c r="S159" s="1" t="s">
        <v>46</v>
      </c>
      <c r="T159" s="4" t="s">
        <v>31</v>
      </c>
      <c r="U159" s="7" t="s">
        <v>46</v>
      </c>
      <c r="V159" s="7" t="s">
        <v>46</v>
      </c>
      <c r="W159" s="7" t="s">
        <v>46</v>
      </c>
      <c r="X159" s="7" t="s">
        <v>1751</v>
      </c>
      <c r="Y159" s="10">
        <f t="shared" si="5"/>
        <v>18</v>
      </c>
      <c r="AH159" s="5" t="e">
        <f>VLOOKUP(B159,[1]DL!$BK:$BP,6,0)</f>
        <v>#N/A</v>
      </c>
    </row>
    <row r="160" spans="1:34" ht="14.5" hidden="1">
      <c r="A160" s="5">
        <v>157</v>
      </c>
      <c r="B160" s="5" t="str">
        <f t="shared" si="4"/>
        <v>07AAACC0462F1Z6TR26100016501035</v>
      </c>
      <c r="C160" s="1" t="s">
        <v>286</v>
      </c>
      <c r="D160" s="1" t="s">
        <v>287</v>
      </c>
      <c r="E160" s="1" t="s">
        <v>324</v>
      </c>
      <c r="F160" s="1" t="s">
        <v>24</v>
      </c>
      <c r="G160" s="1" t="s">
        <v>302</v>
      </c>
      <c r="H160" s="2">
        <v>118</v>
      </c>
      <c r="I160" s="1" t="s">
        <v>44</v>
      </c>
      <c r="J160" s="3" t="s">
        <v>27</v>
      </c>
      <c r="K160" s="2">
        <v>100</v>
      </c>
      <c r="L160" s="2">
        <v>0</v>
      </c>
      <c r="M160" s="2">
        <v>9</v>
      </c>
      <c r="N160" s="2">
        <v>9</v>
      </c>
      <c r="O160" s="2">
        <v>0</v>
      </c>
      <c r="P160" s="7" t="s">
        <v>28</v>
      </c>
      <c r="Q160" s="1" t="s">
        <v>29</v>
      </c>
      <c r="R160" s="3" t="s">
        <v>45</v>
      </c>
      <c r="S160" s="1" t="s">
        <v>46</v>
      </c>
      <c r="T160" s="4" t="s">
        <v>31</v>
      </c>
      <c r="U160" s="7" t="s">
        <v>46</v>
      </c>
      <c r="V160" s="7" t="s">
        <v>46</v>
      </c>
      <c r="W160" s="7" t="s">
        <v>46</v>
      </c>
      <c r="X160" s="7" t="s">
        <v>1751</v>
      </c>
      <c r="Y160" s="10">
        <f t="shared" si="5"/>
        <v>18</v>
      </c>
      <c r="AH160" s="5" t="e">
        <f>VLOOKUP(B160,[1]DL!$BK:$BP,6,0)</f>
        <v>#N/A</v>
      </c>
    </row>
    <row r="161" spans="1:34" ht="14.5" hidden="1">
      <c r="A161" s="5">
        <v>158</v>
      </c>
      <c r="B161" s="5" t="str">
        <f t="shared" si="4"/>
        <v>07AAACC0462F1Z6TR26100016501036</v>
      </c>
      <c r="C161" s="1" t="s">
        <v>286</v>
      </c>
      <c r="D161" s="1" t="s">
        <v>287</v>
      </c>
      <c r="E161" s="1" t="s">
        <v>325</v>
      </c>
      <c r="F161" s="1" t="s">
        <v>24</v>
      </c>
      <c r="G161" s="1" t="s">
        <v>52</v>
      </c>
      <c r="H161" s="2">
        <v>118</v>
      </c>
      <c r="I161" s="1" t="s">
        <v>44</v>
      </c>
      <c r="J161" s="3" t="s">
        <v>27</v>
      </c>
      <c r="K161" s="2">
        <v>100</v>
      </c>
      <c r="L161" s="2">
        <v>0</v>
      </c>
      <c r="M161" s="2">
        <v>9</v>
      </c>
      <c r="N161" s="2">
        <v>9</v>
      </c>
      <c r="O161" s="2">
        <v>0</v>
      </c>
      <c r="P161" s="7" t="s">
        <v>28</v>
      </c>
      <c r="Q161" s="1" t="s">
        <v>29</v>
      </c>
      <c r="R161" s="3" t="s">
        <v>45</v>
      </c>
      <c r="S161" s="1" t="s">
        <v>46</v>
      </c>
      <c r="T161" s="4" t="s">
        <v>31</v>
      </c>
      <c r="U161" s="7" t="s">
        <v>46</v>
      </c>
      <c r="V161" s="7" t="s">
        <v>46</v>
      </c>
      <c r="W161" s="7" t="s">
        <v>46</v>
      </c>
      <c r="X161" s="7" t="s">
        <v>1751</v>
      </c>
      <c r="Y161" s="10">
        <f t="shared" si="5"/>
        <v>18</v>
      </c>
      <c r="AH161" s="5" t="e">
        <f>VLOOKUP(B161,[1]DL!$BK:$BP,6,0)</f>
        <v>#N/A</v>
      </c>
    </row>
    <row r="162" spans="1:34" ht="14.5" hidden="1">
      <c r="A162" s="5">
        <v>159</v>
      </c>
      <c r="B162" s="5" t="str">
        <f t="shared" si="4"/>
        <v>07AAACC0462F1Z6TR26100016501037</v>
      </c>
      <c r="C162" s="1" t="s">
        <v>286</v>
      </c>
      <c r="D162" s="1" t="s">
        <v>287</v>
      </c>
      <c r="E162" s="1" t="s">
        <v>326</v>
      </c>
      <c r="F162" s="1" t="s">
        <v>24</v>
      </c>
      <c r="G162" s="1" t="s">
        <v>52</v>
      </c>
      <c r="H162" s="2">
        <v>118</v>
      </c>
      <c r="I162" s="1" t="s">
        <v>44</v>
      </c>
      <c r="J162" s="3" t="s">
        <v>27</v>
      </c>
      <c r="K162" s="2">
        <v>100</v>
      </c>
      <c r="L162" s="2">
        <v>0</v>
      </c>
      <c r="M162" s="2">
        <v>9</v>
      </c>
      <c r="N162" s="2">
        <v>9</v>
      </c>
      <c r="O162" s="2">
        <v>0</v>
      </c>
      <c r="P162" s="7" t="s">
        <v>28</v>
      </c>
      <c r="Q162" s="1" t="s">
        <v>29</v>
      </c>
      <c r="R162" s="3" t="s">
        <v>45</v>
      </c>
      <c r="S162" s="1" t="s">
        <v>46</v>
      </c>
      <c r="T162" s="4" t="s">
        <v>31</v>
      </c>
      <c r="U162" s="7" t="s">
        <v>46</v>
      </c>
      <c r="V162" s="7" t="s">
        <v>46</v>
      </c>
      <c r="W162" s="7" t="s">
        <v>46</v>
      </c>
      <c r="X162" s="7" t="s">
        <v>1751</v>
      </c>
      <c r="Y162" s="10">
        <f t="shared" si="5"/>
        <v>18</v>
      </c>
      <c r="AH162" s="5" t="e">
        <f>VLOOKUP(B162,[1]DL!$BK:$BP,6,0)</f>
        <v>#N/A</v>
      </c>
    </row>
    <row r="163" spans="1:34" ht="14.5" hidden="1">
      <c r="A163" s="5">
        <v>160</v>
      </c>
      <c r="B163" s="5" t="str">
        <f t="shared" si="4"/>
        <v>07AAACC0462F1Z6TR26100016501038</v>
      </c>
      <c r="C163" s="1" t="s">
        <v>286</v>
      </c>
      <c r="D163" s="1" t="s">
        <v>287</v>
      </c>
      <c r="E163" s="1" t="s">
        <v>327</v>
      </c>
      <c r="F163" s="1" t="s">
        <v>24</v>
      </c>
      <c r="G163" s="1" t="s">
        <v>52</v>
      </c>
      <c r="H163" s="2">
        <v>118</v>
      </c>
      <c r="I163" s="1" t="s">
        <v>44</v>
      </c>
      <c r="J163" s="3" t="s">
        <v>27</v>
      </c>
      <c r="K163" s="2">
        <v>100</v>
      </c>
      <c r="L163" s="2">
        <v>0</v>
      </c>
      <c r="M163" s="2">
        <v>9</v>
      </c>
      <c r="N163" s="2">
        <v>9</v>
      </c>
      <c r="O163" s="2">
        <v>0</v>
      </c>
      <c r="P163" s="7" t="s">
        <v>28</v>
      </c>
      <c r="Q163" s="1" t="s">
        <v>29</v>
      </c>
      <c r="R163" s="3" t="s">
        <v>45</v>
      </c>
      <c r="S163" s="1" t="s">
        <v>46</v>
      </c>
      <c r="T163" s="4" t="s">
        <v>31</v>
      </c>
      <c r="U163" s="7" t="s">
        <v>46</v>
      </c>
      <c r="V163" s="7" t="s">
        <v>46</v>
      </c>
      <c r="W163" s="7" t="s">
        <v>46</v>
      </c>
      <c r="X163" s="7" t="s">
        <v>1751</v>
      </c>
      <c r="Y163" s="10">
        <f t="shared" si="5"/>
        <v>18</v>
      </c>
      <c r="AH163" s="5" t="e">
        <f>VLOOKUP(B163,[1]DL!$BK:$BP,6,0)</f>
        <v>#N/A</v>
      </c>
    </row>
    <row r="164" spans="1:34" ht="14.5" hidden="1">
      <c r="A164" s="5">
        <v>161</v>
      </c>
      <c r="B164" s="5" t="str">
        <f t="shared" si="4"/>
        <v>07AAACC0462F1Z6TR26100016501039</v>
      </c>
      <c r="C164" s="1" t="s">
        <v>286</v>
      </c>
      <c r="D164" s="1" t="s">
        <v>287</v>
      </c>
      <c r="E164" s="1" t="s">
        <v>328</v>
      </c>
      <c r="F164" s="1" t="s">
        <v>24</v>
      </c>
      <c r="G164" s="1" t="s">
        <v>52</v>
      </c>
      <c r="H164" s="2">
        <v>118</v>
      </c>
      <c r="I164" s="1" t="s">
        <v>44</v>
      </c>
      <c r="J164" s="3" t="s">
        <v>27</v>
      </c>
      <c r="K164" s="2">
        <v>100</v>
      </c>
      <c r="L164" s="2">
        <v>0</v>
      </c>
      <c r="M164" s="2">
        <v>9</v>
      </c>
      <c r="N164" s="2">
        <v>9</v>
      </c>
      <c r="O164" s="2">
        <v>0</v>
      </c>
      <c r="P164" s="7" t="s">
        <v>28</v>
      </c>
      <c r="Q164" s="1" t="s">
        <v>29</v>
      </c>
      <c r="R164" s="3" t="s">
        <v>45</v>
      </c>
      <c r="S164" s="1" t="s">
        <v>46</v>
      </c>
      <c r="T164" s="4" t="s">
        <v>31</v>
      </c>
      <c r="U164" s="7" t="s">
        <v>46</v>
      </c>
      <c r="V164" s="7" t="s">
        <v>46</v>
      </c>
      <c r="W164" s="7" t="s">
        <v>46</v>
      </c>
      <c r="X164" s="7" t="s">
        <v>1751</v>
      </c>
      <c r="Y164" s="10">
        <f t="shared" si="5"/>
        <v>18</v>
      </c>
      <c r="AH164" s="5" t="e">
        <f>VLOOKUP(B164,[1]DL!$BK:$BP,6,0)</f>
        <v>#N/A</v>
      </c>
    </row>
    <row r="165" spans="1:34" ht="14.5" hidden="1">
      <c r="A165" s="5">
        <v>162</v>
      </c>
      <c r="B165" s="5" t="str">
        <f t="shared" si="4"/>
        <v>07AAACC0462F1Z6TR26100016501040</v>
      </c>
      <c r="C165" s="1" t="s">
        <v>286</v>
      </c>
      <c r="D165" s="1" t="s">
        <v>287</v>
      </c>
      <c r="E165" s="1" t="s">
        <v>329</v>
      </c>
      <c r="F165" s="1" t="s">
        <v>24</v>
      </c>
      <c r="G165" s="1" t="s">
        <v>52</v>
      </c>
      <c r="H165" s="2">
        <v>118</v>
      </c>
      <c r="I165" s="1" t="s">
        <v>44</v>
      </c>
      <c r="J165" s="3" t="s">
        <v>27</v>
      </c>
      <c r="K165" s="2">
        <v>100</v>
      </c>
      <c r="L165" s="2">
        <v>0</v>
      </c>
      <c r="M165" s="2">
        <v>9</v>
      </c>
      <c r="N165" s="2">
        <v>9</v>
      </c>
      <c r="O165" s="2">
        <v>0</v>
      </c>
      <c r="P165" s="7" t="s">
        <v>28</v>
      </c>
      <c r="Q165" s="1" t="s">
        <v>29</v>
      </c>
      <c r="R165" s="3" t="s">
        <v>45</v>
      </c>
      <c r="S165" s="1" t="s">
        <v>46</v>
      </c>
      <c r="T165" s="4" t="s">
        <v>31</v>
      </c>
      <c r="U165" s="7" t="s">
        <v>46</v>
      </c>
      <c r="V165" s="7" t="s">
        <v>46</v>
      </c>
      <c r="W165" s="7" t="s">
        <v>46</v>
      </c>
      <c r="X165" s="7" t="s">
        <v>1751</v>
      </c>
      <c r="Y165" s="10">
        <f t="shared" si="5"/>
        <v>18</v>
      </c>
      <c r="AH165" s="5" t="e">
        <f>VLOOKUP(B165,[1]DL!$BK:$BP,6,0)</f>
        <v>#N/A</v>
      </c>
    </row>
    <row r="166" spans="1:34" ht="14.5" hidden="1">
      <c r="A166" s="5">
        <v>163</v>
      </c>
      <c r="B166" s="5" t="str">
        <f t="shared" si="4"/>
        <v>07AAACC0462F1Z6TR26100016501041</v>
      </c>
      <c r="C166" s="1" t="s">
        <v>286</v>
      </c>
      <c r="D166" s="1" t="s">
        <v>287</v>
      </c>
      <c r="E166" s="1" t="s">
        <v>330</v>
      </c>
      <c r="F166" s="1" t="s">
        <v>24</v>
      </c>
      <c r="G166" s="1" t="s">
        <v>52</v>
      </c>
      <c r="H166" s="2">
        <v>118</v>
      </c>
      <c r="I166" s="1" t="s">
        <v>44</v>
      </c>
      <c r="J166" s="3" t="s">
        <v>27</v>
      </c>
      <c r="K166" s="2">
        <v>100</v>
      </c>
      <c r="L166" s="2">
        <v>0</v>
      </c>
      <c r="M166" s="2">
        <v>9</v>
      </c>
      <c r="N166" s="2">
        <v>9</v>
      </c>
      <c r="O166" s="2">
        <v>0</v>
      </c>
      <c r="P166" s="7" t="s">
        <v>28</v>
      </c>
      <c r="Q166" s="1" t="s">
        <v>29</v>
      </c>
      <c r="R166" s="3" t="s">
        <v>45</v>
      </c>
      <c r="S166" s="1" t="s">
        <v>46</v>
      </c>
      <c r="T166" s="4" t="s">
        <v>31</v>
      </c>
      <c r="U166" s="7" t="s">
        <v>46</v>
      </c>
      <c r="V166" s="7" t="s">
        <v>46</v>
      </c>
      <c r="W166" s="7" t="s">
        <v>46</v>
      </c>
      <c r="X166" s="7" t="s">
        <v>1751</v>
      </c>
      <c r="Y166" s="10">
        <f t="shared" si="5"/>
        <v>18</v>
      </c>
      <c r="AH166" s="5" t="e">
        <f>VLOOKUP(B166,[1]DL!$BK:$BP,6,0)</f>
        <v>#N/A</v>
      </c>
    </row>
    <row r="167" spans="1:34" ht="14.5" hidden="1">
      <c r="A167" s="5">
        <v>164</v>
      </c>
      <c r="B167" s="5" t="str">
        <f t="shared" si="4"/>
        <v>07AAACC0462F1Z6TR26100016501042</v>
      </c>
      <c r="C167" s="1" t="s">
        <v>286</v>
      </c>
      <c r="D167" s="1" t="s">
        <v>287</v>
      </c>
      <c r="E167" s="1" t="s">
        <v>331</v>
      </c>
      <c r="F167" s="1" t="s">
        <v>24</v>
      </c>
      <c r="G167" s="1" t="s">
        <v>52</v>
      </c>
      <c r="H167" s="2">
        <v>118</v>
      </c>
      <c r="I167" s="1" t="s">
        <v>44</v>
      </c>
      <c r="J167" s="3" t="s">
        <v>27</v>
      </c>
      <c r="K167" s="2">
        <v>100</v>
      </c>
      <c r="L167" s="2">
        <v>0</v>
      </c>
      <c r="M167" s="2">
        <v>9</v>
      </c>
      <c r="N167" s="2">
        <v>9</v>
      </c>
      <c r="O167" s="2">
        <v>0</v>
      </c>
      <c r="P167" s="7" t="s">
        <v>28</v>
      </c>
      <c r="Q167" s="1" t="s">
        <v>29</v>
      </c>
      <c r="R167" s="3" t="s">
        <v>45</v>
      </c>
      <c r="S167" s="1" t="s">
        <v>46</v>
      </c>
      <c r="T167" s="4" t="s">
        <v>31</v>
      </c>
      <c r="U167" s="7" t="s">
        <v>46</v>
      </c>
      <c r="V167" s="7" t="s">
        <v>46</v>
      </c>
      <c r="W167" s="7" t="s">
        <v>46</v>
      </c>
      <c r="X167" s="7" t="s">
        <v>1751</v>
      </c>
      <c r="Y167" s="10">
        <f t="shared" si="5"/>
        <v>18</v>
      </c>
      <c r="AH167" s="5" t="e">
        <f>VLOOKUP(B167,[1]DL!$BK:$BP,6,0)</f>
        <v>#N/A</v>
      </c>
    </row>
    <row r="168" spans="1:34" ht="14.5" hidden="1">
      <c r="A168" s="5">
        <v>165</v>
      </c>
      <c r="B168" s="5" t="str">
        <f t="shared" si="4"/>
        <v>07AAACC0462F1Z6TR26100016501043</v>
      </c>
      <c r="C168" s="1" t="s">
        <v>286</v>
      </c>
      <c r="D168" s="1" t="s">
        <v>287</v>
      </c>
      <c r="E168" s="1" t="s">
        <v>332</v>
      </c>
      <c r="F168" s="1" t="s">
        <v>24</v>
      </c>
      <c r="G168" s="1" t="s">
        <v>52</v>
      </c>
      <c r="H168" s="2">
        <v>118</v>
      </c>
      <c r="I168" s="1" t="s">
        <v>44</v>
      </c>
      <c r="J168" s="3" t="s">
        <v>27</v>
      </c>
      <c r="K168" s="2">
        <v>100</v>
      </c>
      <c r="L168" s="2">
        <v>0</v>
      </c>
      <c r="M168" s="2">
        <v>9</v>
      </c>
      <c r="N168" s="2">
        <v>9</v>
      </c>
      <c r="O168" s="2">
        <v>0</v>
      </c>
      <c r="P168" s="7" t="s">
        <v>28</v>
      </c>
      <c r="Q168" s="1" t="s">
        <v>29</v>
      </c>
      <c r="R168" s="3" t="s">
        <v>45</v>
      </c>
      <c r="S168" s="1" t="s">
        <v>46</v>
      </c>
      <c r="T168" s="4" t="s">
        <v>31</v>
      </c>
      <c r="U168" s="7" t="s">
        <v>46</v>
      </c>
      <c r="V168" s="7" t="s">
        <v>46</v>
      </c>
      <c r="W168" s="7" t="s">
        <v>46</v>
      </c>
      <c r="X168" s="7" t="s">
        <v>1751</v>
      </c>
      <c r="Y168" s="10">
        <f t="shared" si="5"/>
        <v>18</v>
      </c>
      <c r="AH168" s="5" t="e">
        <f>VLOOKUP(B168,[1]DL!$BK:$BP,6,0)</f>
        <v>#N/A</v>
      </c>
    </row>
    <row r="169" spans="1:34" ht="14.5" hidden="1">
      <c r="A169" s="5">
        <v>166</v>
      </c>
      <c r="B169" s="5" t="str">
        <f t="shared" si="4"/>
        <v>07AAACC0462F1Z6TR26100016501044</v>
      </c>
      <c r="C169" s="1" t="s">
        <v>286</v>
      </c>
      <c r="D169" s="1" t="s">
        <v>287</v>
      </c>
      <c r="E169" s="1" t="s">
        <v>333</v>
      </c>
      <c r="F169" s="1" t="s">
        <v>24</v>
      </c>
      <c r="G169" s="1" t="s">
        <v>52</v>
      </c>
      <c r="H169" s="2">
        <v>118</v>
      </c>
      <c r="I169" s="1" t="s">
        <v>44</v>
      </c>
      <c r="J169" s="3" t="s">
        <v>27</v>
      </c>
      <c r="K169" s="2">
        <v>100</v>
      </c>
      <c r="L169" s="2">
        <v>0</v>
      </c>
      <c r="M169" s="2">
        <v>9</v>
      </c>
      <c r="N169" s="2">
        <v>9</v>
      </c>
      <c r="O169" s="2">
        <v>0</v>
      </c>
      <c r="P169" s="7" t="s">
        <v>28</v>
      </c>
      <c r="Q169" s="1" t="s">
        <v>29</v>
      </c>
      <c r="R169" s="3" t="s">
        <v>45</v>
      </c>
      <c r="S169" s="1" t="s">
        <v>46</v>
      </c>
      <c r="T169" s="4" t="s">
        <v>31</v>
      </c>
      <c r="U169" s="7" t="s">
        <v>46</v>
      </c>
      <c r="V169" s="7" t="s">
        <v>46</v>
      </c>
      <c r="W169" s="7" t="s">
        <v>46</v>
      </c>
      <c r="X169" s="7" t="s">
        <v>1751</v>
      </c>
      <c r="Y169" s="10">
        <f t="shared" si="5"/>
        <v>18</v>
      </c>
      <c r="AH169" s="5" t="e">
        <f>VLOOKUP(B169,[1]DL!$BK:$BP,6,0)</f>
        <v>#N/A</v>
      </c>
    </row>
    <row r="170" spans="1:34" ht="14.5" hidden="1">
      <c r="A170" s="5">
        <v>167</v>
      </c>
      <c r="B170" s="5" t="str">
        <f t="shared" si="4"/>
        <v>07AAACC0462F1Z6TR26100016501045</v>
      </c>
      <c r="C170" s="1" t="s">
        <v>286</v>
      </c>
      <c r="D170" s="1" t="s">
        <v>287</v>
      </c>
      <c r="E170" s="1" t="s">
        <v>334</v>
      </c>
      <c r="F170" s="1" t="s">
        <v>24</v>
      </c>
      <c r="G170" s="1" t="s">
        <v>52</v>
      </c>
      <c r="H170" s="2">
        <v>118</v>
      </c>
      <c r="I170" s="1" t="s">
        <v>44</v>
      </c>
      <c r="J170" s="3" t="s">
        <v>27</v>
      </c>
      <c r="K170" s="2">
        <v>100</v>
      </c>
      <c r="L170" s="2">
        <v>0</v>
      </c>
      <c r="M170" s="2">
        <v>9</v>
      </c>
      <c r="N170" s="2">
        <v>9</v>
      </c>
      <c r="O170" s="2">
        <v>0</v>
      </c>
      <c r="P170" s="7" t="s">
        <v>28</v>
      </c>
      <c r="Q170" s="1" t="s">
        <v>29</v>
      </c>
      <c r="R170" s="3" t="s">
        <v>45</v>
      </c>
      <c r="S170" s="1" t="s">
        <v>46</v>
      </c>
      <c r="T170" s="4" t="s">
        <v>31</v>
      </c>
      <c r="U170" s="7" t="s">
        <v>46</v>
      </c>
      <c r="V170" s="7" t="s">
        <v>46</v>
      </c>
      <c r="W170" s="7" t="s">
        <v>46</v>
      </c>
      <c r="X170" s="7" t="s">
        <v>1751</v>
      </c>
      <c r="Y170" s="10">
        <f t="shared" si="5"/>
        <v>18</v>
      </c>
      <c r="AH170" s="5" t="e">
        <f>VLOOKUP(B170,[1]DL!$BK:$BP,6,0)</f>
        <v>#N/A</v>
      </c>
    </row>
    <row r="171" spans="1:34" ht="14.5" hidden="1">
      <c r="A171" s="5">
        <v>168</v>
      </c>
      <c r="B171" s="5" t="str">
        <f t="shared" si="4"/>
        <v>07AAACC0462F1Z6TR26100016501046</v>
      </c>
      <c r="C171" s="1" t="s">
        <v>286</v>
      </c>
      <c r="D171" s="1" t="s">
        <v>287</v>
      </c>
      <c r="E171" s="1" t="s">
        <v>335</v>
      </c>
      <c r="F171" s="1" t="s">
        <v>24</v>
      </c>
      <c r="G171" s="1" t="s">
        <v>52</v>
      </c>
      <c r="H171" s="2">
        <v>118</v>
      </c>
      <c r="I171" s="1" t="s">
        <v>44</v>
      </c>
      <c r="J171" s="3" t="s">
        <v>27</v>
      </c>
      <c r="K171" s="2">
        <v>100</v>
      </c>
      <c r="L171" s="2">
        <v>0</v>
      </c>
      <c r="M171" s="2">
        <v>9</v>
      </c>
      <c r="N171" s="2">
        <v>9</v>
      </c>
      <c r="O171" s="2">
        <v>0</v>
      </c>
      <c r="P171" s="7" t="s">
        <v>28</v>
      </c>
      <c r="Q171" s="1" t="s">
        <v>29</v>
      </c>
      <c r="R171" s="3" t="s">
        <v>45</v>
      </c>
      <c r="S171" s="1" t="s">
        <v>46</v>
      </c>
      <c r="T171" s="4" t="s">
        <v>31</v>
      </c>
      <c r="U171" s="7" t="s">
        <v>46</v>
      </c>
      <c r="V171" s="7" t="s">
        <v>46</v>
      </c>
      <c r="W171" s="7" t="s">
        <v>46</v>
      </c>
      <c r="X171" s="7" t="s">
        <v>1751</v>
      </c>
      <c r="Y171" s="10">
        <f t="shared" si="5"/>
        <v>18</v>
      </c>
      <c r="AH171" s="5" t="e">
        <f>VLOOKUP(B171,[1]DL!$BK:$BP,6,0)</f>
        <v>#N/A</v>
      </c>
    </row>
    <row r="172" spans="1:34" ht="14.5" hidden="1">
      <c r="A172" s="5">
        <v>169</v>
      </c>
      <c r="B172" s="5" t="str">
        <f t="shared" si="4"/>
        <v>07AAACC0462F1Z6TR26100016501047</v>
      </c>
      <c r="C172" s="1" t="s">
        <v>286</v>
      </c>
      <c r="D172" s="1" t="s">
        <v>287</v>
      </c>
      <c r="E172" s="1" t="s">
        <v>336</v>
      </c>
      <c r="F172" s="1" t="s">
        <v>24</v>
      </c>
      <c r="G172" s="1" t="s">
        <v>52</v>
      </c>
      <c r="H172" s="2">
        <v>118</v>
      </c>
      <c r="I172" s="1" t="s">
        <v>44</v>
      </c>
      <c r="J172" s="3" t="s">
        <v>27</v>
      </c>
      <c r="K172" s="2">
        <v>100</v>
      </c>
      <c r="L172" s="2">
        <v>0</v>
      </c>
      <c r="M172" s="2">
        <v>9</v>
      </c>
      <c r="N172" s="2">
        <v>9</v>
      </c>
      <c r="O172" s="2">
        <v>0</v>
      </c>
      <c r="P172" s="7" t="s">
        <v>28</v>
      </c>
      <c r="Q172" s="1" t="s">
        <v>29</v>
      </c>
      <c r="R172" s="3" t="s">
        <v>45</v>
      </c>
      <c r="S172" s="1" t="s">
        <v>46</v>
      </c>
      <c r="T172" s="4" t="s">
        <v>31</v>
      </c>
      <c r="U172" s="7" t="s">
        <v>46</v>
      </c>
      <c r="V172" s="7" t="s">
        <v>46</v>
      </c>
      <c r="W172" s="7" t="s">
        <v>46</v>
      </c>
      <c r="X172" s="7" t="s">
        <v>1751</v>
      </c>
      <c r="Y172" s="10">
        <f t="shared" si="5"/>
        <v>18</v>
      </c>
      <c r="AH172" s="5" t="e">
        <f>VLOOKUP(B172,[1]DL!$BK:$BP,6,0)</f>
        <v>#N/A</v>
      </c>
    </row>
    <row r="173" spans="1:34" ht="14.5" hidden="1">
      <c r="A173" s="5">
        <v>170</v>
      </c>
      <c r="B173" s="5" t="str">
        <f t="shared" si="4"/>
        <v>07AAACC0462F1Z6TR26100016501048</v>
      </c>
      <c r="C173" s="1" t="s">
        <v>286</v>
      </c>
      <c r="D173" s="1" t="s">
        <v>287</v>
      </c>
      <c r="E173" s="1" t="s">
        <v>337</v>
      </c>
      <c r="F173" s="1" t="s">
        <v>24</v>
      </c>
      <c r="G173" s="1" t="s">
        <v>52</v>
      </c>
      <c r="H173" s="2">
        <v>118</v>
      </c>
      <c r="I173" s="1" t="s">
        <v>44</v>
      </c>
      <c r="J173" s="3" t="s">
        <v>27</v>
      </c>
      <c r="K173" s="2">
        <v>100</v>
      </c>
      <c r="L173" s="2">
        <v>0</v>
      </c>
      <c r="M173" s="2">
        <v>9</v>
      </c>
      <c r="N173" s="2">
        <v>9</v>
      </c>
      <c r="O173" s="2">
        <v>0</v>
      </c>
      <c r="P173" s="7" t="s">
        <v>28</v>
      </c>
      <c r="Q173" s="1" t="s">
        <v>29</v>
      </c>
      <c r="R173" s="3" t="s">
        <v>45</v>
      </c>
      <c r="S173" s="1" t="s">
        <v>46</v>
      </c>
      <c r="T173" s="4" t="s">
        <v>31</v>
      </c>
      <c r="U173" s="7" t="s">
        <v>46</v>
      </c>
      <c r="V173" s="7" t="s">
        <v>46</v>
      </c>
      <c r="W173" s="7" t="s">
        <v>46</v>
      </c>
      <c r="X173" s="7" t="s">
        <v>1751</v>
      </c>
      <c r="Y173" s="10">
        <f t="shared" si="5"/>
        <v>18</v>
      </c>
      <c r="AH173" s="5" t="e">
        <f>VLOOKUP(B173,[1]DL!$BK:$BP,6,0)</f>
        <v>#N/A</v>
      </c>
    </row>
    <row r="174" spans="1:34" ht="14.5" hidden="1">
      <c r="A174" s="5">
        <v>171</v>
      </c>
      <c r="B174" s="5" t="str">
        <f t="shared" si="4"/>
        <v>07AAACC0462F1Z6TR26100016501049</v>
      </c>
      <c r="C174" s="1" t="s">
        <v>286</v>
      </c>
      <c r="D174" s="1" t="s">
        <v>287</v>
      </c>
      <c r="E174" s="1" t="s">
        <v>338</v>
      </c>
      <c r="F174" s="1" t="s">
        <v>24</v>
      </c>
      <c r="G174" s="1" t="s">
        <v>302</v>
      </c>
      <c r="H174" s="2">
        <v>118</v>
      </c>
      <c r="I174" s="1" t="s">
        <v>44</v>
      </c>
      <c r="J174" s="3" t="s">
        <v>27</v>
      </c>
      <c r="K174" s="2">
        <v>100</v>
      </c>
      <c r="L174" s="2">
        <v>0</v>
      </c>
      <c r="M174" s="2">
        <v>9</v>
      </c>
      <c r="N174" s="2">
        <v>9</v>
      </c>
      <c r="O174" s="2">
        <v>0</v>
      </c>
      <c r="P174" s="7" t="s">
        <v>28</v>
      </c>
      <c r="Q174" s="1" t="s">
        <v>29</v>
      </c>
      <c r="R174" s="3" t="s">
        <v>45</v>
      </c>
      <c r="S174" s="1" t="s">
        <v>46</v>
      </c>
      <c r="T174" s="4" t="s">
        <v>31</v>
      </c>
      <c r="U174" s="7" t="s">
        <v>46</v>
      </c>
      <c r="V174" s="7" t="s">
        <v>46</v>
      </c>
      <c r="W174" s="7" t="s">
        <v>46</v>
      </c>
      <c r="X174" s="7" t="s">
        <v>1751</v>
      </c>
      <c r="Y174" s="10">
        <f t="shared" si="5"/>
        <v>18</v>
      </c>
      <c r="AH174" s="5" t="e">
        <f>VLOOKUP(B174,[1]DL!$BK:$BP,6,0)</f>
        <v>#N/A</v>
      </c>
    </row>
    <row r="175" spans="1:34" ht="14.5" hidden="1">
      <c r="A175" s="5">
        <v>172</v>
      </c>
      <c r="B175" s="5" t="str">
        <f t="shared" si="4"/>
        <v>07AAACC0462F1Z6TR26100016501050</v>
      </c>
      <c r="C175" s="1" t="s">
        <v>286</v>
      </c>
      <c r="D175" s="1" t="s">
        <v>287</v>
      </c>
      <c r="E175" s="1" t="s">
        <v>339</v>
      </c>
      <c r="F175" s="1" t="s">
        <v>24</v>
      </c>
      <c r="G175" s="1" t="s">
        <v>302</v>
      </c>
      <c r="H175" s="2">
        <v>118</v>
      </c>
      <c r="I175" s="1" t="s">
        <v>44</v>
      </c>
      <c r="J175" s="3" t="s">
        <v>27</v>
      </c>
      <c r="K175" s="2">
        <v>100</v>
      </c>
      <c r="L175" s="2">
        <v>0</v>
      </c>
      <c r="M175" s="2">
        <v>9</v>
      </c>
      <c r="N175" s="2">
        <v>9</v>
      </c>
      <c r="O175" s="2">
        <v>0</v>
      </c>
      <c r="P175" s="7" t="s">
        <v>28</v>
      </c>
      <c r="Q175" s="1" t="s">
        <v>29</v>
      </c>
      <c r="R175" s="3" t="s">
        <v>45</v>
      </c>
      <c r="S175" s="1" t="s">
        <v>46</v>
      </c>
      <c r="T175" s="4" t="s">
        <v>31</v>
      </c>
      <c r="U175" s="7" t="s">
        <v>46</v>
      </c>
      <c r="V175" s="7" t="s">
        <v>46</v>
      </c>
      <c r="W175" s="7" t="s">
        <v>46</v>
      </c>
      <c r="X175" s="7" t="s">
        <v>1751</v>
      </c>
      <c r="Y175" s="10">
        <f t="shared" si="5"/>
        <v>18</v>
      </c>
      <c r="AH175" s="5" t="e">
        <f>VLOOKUP(B175,[1]DL!$BK:$BP,6,0)</f>
        <v>#N/A</v>
      </c>
    </row>
    <row r="176" spans="1:34" ht="14.5" hidden="1">
      <c r="A176" s="5">
        <v>173</v>
      </c>
      <c r="B176" s="5" t="str">
        <f t="shared" si="4"/>
        <v>07AAACC0462F1Z6TR26100016501051</v>
      </c>
      <c r="C176" s="1" t="s">
        <v>286</v>
      </c>
      <c r="D176" s="1" t="s">
        <v>287</v>
      </c>
      <c r="E176" s="1" t="s">
        <v>340</v>
      </c>
      <c r="F176" s="1" t="s">
        <v>24</v>
      </c>
      <c r="G176" s="1" t="s">
        <v>302</v>
      </c>
      <c r="H176" s="2">
        <v>118</v>
      </c>
      <c r="I176" s="1" t="s">
        <v>44</v>
      </c>
      <c r="J176" s="3" t="s">
        <v>27</v>
      </c>
      <c r="K176" s="2">
        <v>100</v>
      </c>
      <c r="L176" s="2">
        <v>0</v>
      </c>
      <c r="M176" s="2">
        <v>9</v>
      </c>
      <c r="N176" s="2">
        <v>9</v>
      </c>
      <c r="O176" s="2">
        <v>0</v>
      </c>
      <c r="P176" s="7" t="s">
        <v>28</v>
      </c>
      <c r="Q176" s="1" t="s">
        <v>29</v>
      </c>
      <c r="R176" s="3" t="s">
        <v>45</v>
      </c>
      <c r="S176" s="1" t="s">
        <v>46</v>
      </c>
      <c r="T176" s="4" t="s">
        <v>31</v>
      </c>
      <c r="U176" s="7" t="s">
        <v>46</v>
      </c>
      <c r="V176" s="7" t="s">
        <v>46</v>
      </c>
      <c r="W176" s="7" t="s">
        <v>46</v>
      </c>
      <c r="X176" s="7" t="s">
        <v>1751</v>
      </c>
      <c r="Y176" s="10">
        <f t="shared" si="5"/>
        <v>18</v>
      </c>
      <c r="AH176" s="5" t="e">
        <f>VLOOKUP(B176,[1]DL!$BK:$BP,6,0)</f>
        <v>#N/A</v>
      </c>
    </row>
    <row r="177" spans="1:34" ht="14.5" hidden="1">
      <c r="A177" s="5">
        <v>174</v>
      </c>
      <c r="B177" s="5" t="str">
        <f t="shared" si="4"/>
        <v>07AAACC0462F1Z6TR26100016501052</v>
      </c>
      <c r="C177" s="1" t="s">
        <v>286</v>
      </c>
      <c r="D177" s="1" t="s">
        <v>287</v>
      </c>
      <c r="E177" s="1" t="s">
        <v>341</v>
      </c>
      <c r="F177" s="1" t="s">
        <v>24</v>
      </c>
      <c r="G177" s="1" t="s">
        <v>302</v>
      </c>
      <c r="H177" s="2">
        <v>118</v>
      </c>
      <c r="I177" s="1" t="s">
        <v>44</v>
      </c>
      <c r="J177" s="3" t="s">
        <v>27</v>
      </c>
      <c r="K177" s="2">
        <v>100</v>
      </c>
      <c r="L177" s="2">
        <v>0</v>
      </c>
      <c r="M177" s="2">
        <v>9</v>
      </c>
      <c r="N177" s="2">
        <v>9</v>
      </c>
      <c r="O177" s="2">
        <v>0</v>
      </c>
      <c r="P177" s="7" t="s">
        <v>28</v>
      </c>
      <c r="Q177" s="1" t="s">
        <v>29</v>
      </c>
      <c r="R177" s="3" t="s">
        <v>45</v>
      </c>
      <c r="S177" s="1" t="s">
        <v>46</v>
      </c>
      <c r="T177" s="4" t="s">
        <v>31</v>
      </c>
      <c r="U177" s="7" t="s">
        <v>46</v>
      </c>
      <c r="V177" s="7" t="s">
        <v>46</v>
      </c>
      <c r="W177" s="7" t="s">
        <v>46</v>
      </c>
      <c r="X177" s="7" t="s">
        <v>1751</v>
      </c>
      <c r="Y177" s="10">
        <f t="shared" si="5"/>
        <v>18</v>
      </c>
      <c r="AH177" s="5" t="e">
        <f>VLOOKUP(B177,[1]DL!$BK:$BP,6,0)</f>
        <v>#N/A</v>
      </c>
    </row>
    <row r="178" spans="1:34" ht="14.5" hidden="1">
      <c r="A178" s="5">
        <v>175</v>
      </c>
      <c r="B178" s="5" t="str">
        <f t="shared" si="4"/>
        <v>07AAACC0462F1Z6TR26100016501053</v>
      </c>
      <c r="C178" s="1" t="s">
        <v>286</v>
      </c>
      <c r="D178" s="1" t="s">
        <v>287</v>
      </c>
      <c r="E178" s="1" t="s">
        <v>342</v>
      </c>
      <c r="F178" s="1" t="s">
        <v>24</v>
      </c>
      <c r="G178" s="1" t="s">
        <v>302</v>
      </c>
      <c r="H178" s="2">
        <v>118</v>
      </c>
      <c r="I178" s="1" t="s">
        <v>44</v>
      </c>
      <c r="J178" s="3" t="s">
        <v>27</v>
      </c>
      <c r="K178" s="2">
        <v>100</v>
      </c>
      <c r="L178" s="2">
        <v>0</v>
      </c>
      <c r="M178" s="2">
        <v>9</v>
      </c>
      <c r="N178" s="2">
        <v>9</v>
      </c>
      <c r="O178" s="2">
        <v>0</v>
      </c>
      <c r="P178" s="7" t="s">
        <v>28</v>
      </c>
      <c r="Q178" s="1" t="s">
        <v>29</v>
      </c>
      <c r="R178" s="3" t="s">
        <v>45</v>
      </c>
      <c r="S178" s="1" t="s">
        <v>46</v>
      </c>
      <c r="T178" s="4" t="s">
        <v>31</v>
      </c>
      <c r="U178" s="7" t="s">
        <v>46</v>
      </c>
      <c r="V178" s="7" t="s">
        <v>46</v>
      </c>
      <c r="W178" s="7" t="s">
        <v>46</v>
      </c>
      <c r="X178" s="7" t="s">
        <v>1751</v>
      </c>
      <c r="Y178" s="10">
        <f t="shared" si="5"/>
        <v>18</v>
      </c>
      <c r="AH178" s="5" t="e">
        <f>VLOOKUP(B178,[1]DL!$BK:$BP,6,0)</f>
        <v>#N/A</v>
      </c>
    </row>
    <row r="179" spans="1:34" ht="14.5" hidden="1">
      <c r="A179" s="5">
        <v>176</v>
      </c>
      <c r="B179" s="5" t="str">
        <f t="shared" si="4"/>
        <v>07AAACC0462F1Z6TR26100016501054</v>
      </c>
      <c r="C179" s="1" t="s">
        <v>286</v>
      </c>
      <c r="D179" s="1" t="s">
        <v>287</v>
      </c>
      <c r="E179" s="1" t="s">
        <v>343</v>
      </c>
      <c r="F179" s="1" t="s">
        <v>24</v>
      </c>
      <c r="G179" s="1" t="s">
        <v>171</v>
      </c>
      <c r="H179" s="2">
        <v>287797.15000000002</v>
      </c>
      <c r="I179" s="1" t="s">
        <v>44</v>
      </c>
      <c r="J179" s="3" t="s">
        <v>27</v>
      </c>
      <c r="K179" s="2">
        <v>243895.89</v>
      </c>
      <c r="L179" s="2">
        <v>0</v>
      </c>
      <c r="M179" s="2">
        <v>21950.63</v>
      </c>
      <c r="N179" s="2">
        <v>21950.63</v>
      </c>
      <c r="O179" s="2">
        <v>0</v>
      </c>
      <c r="P179" s="7" t="s">
        <v>28</v>
      </c>
      <c r="Q179" s="1" t="s">
        <v>29</v>
      </c>
      <c r="R179" s="3" t="s">
        <v>45</v>
      </c>
      <c r="S179" s="1" t="s">
        <v>46</v>
      </c>
      <c r="T179" s="4" t="s">
        <v>31</v>
      </c>
      <c r="U179" s="7" t="s">
        <v>46</v>
      </c>
      <c r="V179" s="7" t="s">
        <v>46</v>
      </c>
      <c r="W179" s="7" t="s">
        <v>46</v>
      </c>
      <c r="X179" s="7" t="s">
        <v>1751</v>
      </c>
      <c r="Y179" s="10">
        <f t="shared" si="5"/>
        <v>43901.260000000002</v>
      </c>
      <c r="AH179" s="5" t="e">
        <f>VLOOKUP(B179,[1]DL!$BK:$BP,6,0)</f>
        <v>#N/A</v>
      </c>
    </row>
    <row r="180" spans="1:34" ht="14.5" hidden="1">
      <c r="A180" s="5">
        <v>177</v>
      </c>
      <c r="B180" s="5" t="str">
        <f t="shared" si="4"/>
        <v>07AAACC0462F1Z6TR26100016501055</v>
      </c>
      <c r="C180" s="1" t="s">
        <v>286</v>
      </c>
      <c r="D180" s="1" t="s">
        <v>287</v>
      </c>
      <c r="E180" s="1" t="s">
        <v>344</v>
      </c>
      <c r="F180" s="1" t="s">
        <v>24</v>
      </c>
      <c r="G180" s="1" t="s">
        <v>302</v>
      </c>
      <c r="H180" s="2">
        <v>118</v>
      </c>
      <c r="I180" s="1" t="s">
        <v>44</v>
      </c>
      <c r="J180" s="3" t="s">
        <v>27</v>
      </c>
      <c r="K180" s="2">
        <v>100</v>
      </c>
      <c r="L180" s="2">
        <v>0</v>
      </c>
      <c r="M180" s="2">
        <v>9</v>
      </c>
      <c r="N180" s="2">
        <v>9</v>
      </c>
      <c r="O180" s="2">
        <v>0</v>
      </c>
      <c r="P180" s="7" t="s">
        <v>28</v>
      </c>
      <c r="Q180" s="1" t="s">
        <v>29</v>
      </c>
      <c r="R180" s="3" t="s">
        <v>45</v>
      </c>
      <c r="S180" s="1" t="s">
        <v>46</v>
      </c>
      <c r="T180" s="4" t="s">
        <v>31</v>
      </c>
      <c r="U180" s="7" t="s">
        <v>46</v>
      </c>
      <c r="V180" s="7" t="s">
        <v>46</v>
      </c>
      <c r="W180" s="7" t="s">
        <v>46</v>
      </c>
      <c r="X180" s="7" t="s">
        <v>1751</v>
      </c>
      <c r="Y180" s="10">
        <f t="shared" si="5"/>
        <v>18</v>
      </c>
      <c r="AH180" s="5" t="e">
        <f>VLOOKUP(B180,[1]DL!$BK:$BP,6,0)</f>
        <v>#N/A</v>
      </c>
    </row>
    <row r="181" spans="1:34" ht="14.5" hidden="1">
      <c r="A181" s="5">
        <v>178</v>
      </c>
      <c r="B181" s="5" t="str">
        <f t="shared" si="4"/>
        <v>07AAACC0462F1Z6TR26100016501056</v>
      </c>
      <c r="C181" s="1" t="s">
        <v>286</v>
      </c>
      <c r="D181" s="1" t="s">
        <v>287</v>
      </c>
      <c r="E181" s="1" t="s">
        <v>345</v>
      </c>
      <c r="F181" s="1" t="s">
        <v>24</v>
      </c>
      <c r="G181" s="1" t="s">
        <v>302</v>
      </c>
      <c r="H181" s="2">
        <v>118</v>
      </c>
      <c r="I181" s="1" t="s">
        <v>44</v>
      </c>
      <c r="J181" s="3" t="s">
        <v>27</v>
      </c>
      <c r="K181" s="2">
        <v>100</v>
      </c>
      <c r="L181" s="2">
        <v>0</v>
      </c>
      <c r="M181" s="2">
        <v>9</v>
      </c>
      <c r="N181" s="2">
        <v>9</v>
      </c>
      <c r="O181" s="2">
        <v>0</v>
      </c>
      <c r="P181" s="7" t="s">
        <v>28</v>
      </c>
      <c r="Q181" s="1" t="s">
        <v>29</v>
      </c>
      <c r="R181" s="3" t="s">
        <v>45</v>
      </c>
      <c r="S181" s="1" t="s">
        <v>46</v>
      </c>
      <c r="T181" s="4" t="s">
        <v>31</v>
      </c>
      <c r="U181" s="7" t="s">
        <v>46</v>
      </c>
      <c r="V181" s="7" t="s">
        <v>46</v>
      </c>
      <c r="W181" s="7" t="s">
        <v>46</v>
      </c>
      <c r="X181" s="7" t="s">
        <v>1751</v>
      </c>
      <c r="Y181" s="10">
        <f t="shared" si="5"/>
        <v>18</v>
      </c>
      <c r="AH181" s="5" t="e">
        <f>VLOOKUP(B181,[1]DL!$BK:$BP,6,0)</f>
        <v>#N/A</v>
      </c>
    </row>
    <row r="182" spans="1:34" ht="14.5" hidden="1">
      <c r="A182" s="5">
        <v>179</v>
      </c>
      <c r="B182" s="5" t="str">
        <f t="shared" si="4"/>
        <v>07AAACC0462F1Z6TR26100016501057</v>
      </c>
      <c r="C182" s="1" t="s">
        <v>286</v>
      </c>
      <c r="D182" s="1" t="s">
        <v>287</v>
      </c>
      <c r="E182" s="1" t="s">
        <v>346</v>
      </c>
      <c r="F182" s="1" t="s">
        <v>24</v>
      </c>
      <c r="G182" s="1" t="s">
        <v>43</v>
      </c>
      <c r="H182" s="2">
        <v>118</v>
      </c>
      <c r="I182" s="1" t="s">
        <v>44</v>
      </c>
      <c r="J182" s="3" t="s">
        <v>27</v>
      </c>
      <c r="K182" s="2">
        <v>100</v>
      </c>
      <c r="L182" s="2">
        <v>0</v>
      </c>
      <c r="M182" s="2">
        <v>9</v>
      </c>
      <c r="N182" s="2">
        <v>9</v>
      </c>
      <c r="O182" s="2">
        <v>0</v>
      </c>
      <c r="P182" s="7" t="s">
        <v>28</v>
      </c>
      <c r="Q182" s="1" t="s">
        <v>29</v>
      </c>
      <c r="R182" s="3" t="s">
        <v>45</v>
      </c>
      <c r="S182" s="1" t="s">
        <v>46</v>
      </c>
      <c r="T182" s="4" t="s">
        <v>31</v>
      </c>
      <c r="U182" s="7" t="s">
        <v>46</v>
      </c>
      <c r="V182" s="7" t="s">
        <v>46</v>
      </c>
      <c r="W182" s="7" t="s">
        <v>46</v>
      </c>
      <c r="X182" s="7" t="s">
        <v>1751</v>
      </c>
      <c r="Y182" s="10">
        <f t="shared" si="5"/>
        <v>18</v>
      </c>
      <c r="AH182" s="5" t="e">
        <f>VLOOKUP(B182,[1]DL!$BK:$BP,6,0)</f>
        <v>#N/A</v>
      </c>
    </row>
    <row r="183" spans="1:34" ht="14.5" hidden="1">
      <c r="A183" s="5">
        <v>180</v>
      </c>
      <c r="B183" s="5" t="str">
        <f t="shared" si="4"/>
        <v>07AAACC0462F1Z6TR26100016501058</v>
      </c>
      <c r="C183" s="1" t="s">
        <v>286</v>
      </c>
      <c r="D183" s="1" t="s">
        <v>287</v>
      </c>
      <c r="E183" s="1" t="s">
        <v>347</v>
      </c>
      <c r="F183" s="1" t="s">
        <v>24</v>
      </c>
      <c r="G183" s="1" t="s">
        <v>302</v>
      </c>
      <c r="H183" s="2">
        <v>118</v>
      </c>
      <c r="I183" s="1" t="s">
        <v>44</v>
      </c>
      <c r="J183" s="3" t="s">
        <v>27</v>
      </c>
      <c r="K183" s="2">
        <v>100</v>
      </c>
      <c r="L183" s="2">
        <v>0</v>
      </c>
      <c r="M183" s="2">
        <v>9</v>
      </c>
      <c r="N183" s="2">
        <v>9</v>
      </c>
      <c r="O183" s="2">
        <v>0</v>
      </c>
      <c r="P183" s="7" t="s">
        <v>28</v>
      </c>
      <c r="Q183" s="1" t="s">
        <v>29</v>
      </c>
      <c r="R183" s="3" t="s">
        <v>45</v>
      </c>
      <c r="S183" s="1" t="s">
        <v>46</v>
      </c>
      <c r="T183" s="4" t="s">
        <v>31</v>
      </c>
      <c r="U183" s="7" t="s">
        <v>46</v>
      </c>
      <c r="V183" s="7" t="s">
        <v>46</v>
      </c>
      <c r="W183" s="7" t="s">
        <v>46</v>
      </c>
      <c r="X183" s="7" t="s">
        <v>1751</v>
      </c>
      <c r="Y183" s="10">
        <f t="shared" si="5"/>
        <v>18</v>
      </c>
      <c r="AH183" s="5" t="e">
        <f>VLOOKUP(B183,[1]DL!$BK:$BP,6,0)</f>
        <v>#N/A</v>
      </c>
    </row>
    <row r="184" spans="1:34" ht="14.5" hidden="1">
      <c r="A184" s="5">
        <v>181</v>
      </c>
      <c r="B184" s="5" t="str">
        <f t="shared" si="4"/>
        <v>07AAACC0462F1Z6TR26100016501059</v>
      </c>
      <c r="C184" s="1" t="s">
        <v>286</v>
      </c>
      <c r="D184" s="1" t="s">
        <v>287</v>
      </c>
      <c r="E184" s="1" t="s">
        <v>348</v>
      </c>
      <c r="F184" s="1" t="s">
        <v>24</v>
      </c>
      <c r="G184" s="1" t="s">
        <v>302</v>
      </c>
      <c r="H184" s="2">
        <v>118</v>
      </c>
      <c r="I184" s="1" t="s">
        <v>44</v>
      </c>
      <c r="J184" s="3" t="s">
        <v>27</v>
      </c>
      <c r="K184" s="2">
        <v>100</v>
      </c>
      <c r="L184" s="2">
        <v>0</v>
      </c>
      <c r="M184" s="2">
        <v>9</v>
      </c>
      <c r="N184" s="2">
        <v>9</v>
      </c>
      <c r="O184" s="2">
        <v>0</v>
      </c>
      <c r="P184" s="7" t="s">
        <v>28</v>
      </c>
      <c r="Q184" s="1" t="s">
        <v>29</v>
      </c>
      <c r="R184" s="3" t="s">
        <v>45</v>
      </c>
      <c r="S184" s="1" t="s">
        <v>46</v>
      </c>
      <c r="T184" s="4" t="s">
        <v>31</v>
      </c>
      <c r="U184" s="7" t="s">
        <v>46</v>
      </c>
      <c r="V184" s="7" t="s">
        <v>46</v>
      </c>
      <c r="W184" s="7" t="s">
        <v>46</v>
      </c>
      <c r="X184" s="7" t="s">
        <v>1751</v>
      </c>
      <c r="Y184" s="10">
        <f t="shared" si="5"/>
        <v>18</v>
      </c>
      <c r="AH184" s="5" t="e">
        <f>VLOOKUP(B184,[1]DL!$BK:$BP,6,0)</f>
        <v>#N/A</v>
      </c>
    </row>
    <row r="185" spans="1:34" ht="14.5" hidden="1">
      <c r="A185" s="5">
        <v>182</v>
      </c>
      <c r="B185" s="5" t="str">
        <f t="shared" si="4"/>
        <v>07AAACC0462F1Z6TR26100016501060</v>
      </c>
      <c r="C185" s="1" t="s">
        <v>286</v>
      </c>
      <c r="D185" s="1" t="s">
        <v>287</v>
      </c>
      <c r="E185" s="1" t="s">
        <v>349</v>
      </c>
      <c r="F185" s="1" t="s">
        <v>24</v>
      </c>
      <c r="G185" s="1" t="s">
        <v>302</v>
      </c>
      <c r="H185" s="2">
        <v>118</v>
      </c>
      <c r="I185" s="1" t="s">
        <v>44</v>
      </c>
      <c r="J185" s="3" t="s">
        <v>27</v>
      </c>
      <c r="K185" s="2">
        <v>100</v>
      </c>
      <c r="L185" s="2">
        <v>0</v>
      </c>
      <c r="M185" s="2">
        <v>9</v>
      </c>
      <c r="N185" s="2">
        <v>9</v>
      </c>
      <c r="O185" s="2">
        <v>0</v>
      </c>
      <c r="P185" s="7" t="s">
        <v>28</v>
      </c>
      <c r="Q185" s="1" t="s">
        <v>29</v>
      </c>
      <c r="R185" s="3" t="s">
        <v>45</v>
      </c>
      <c r="S185" s="1" t="s">
        <v>46</v>
      </c>
      <c r="T185" s="4" t="s">
        <v>31</v>
      </c>
      <c r="U185" s="7" t="s">
        <v>46</v>
      </c>
      <c r="V185" s="7" t="s">
        <v>46</v>
      </c>
      <c r="W185" s="7" t="s">
        <v>46</v>
      </c>
      <c r="X185" s="7" t="s">
        <v>1751</v>
      </c>
      <c r="Y185" s="10">
        <f t="shared" si="5"/>
        <v>18</v>
      </c>
      <c r="AH185" s="5" t="e">
        <f>VLOOKUP(B185,[1]DL!$BK:$BP,6,0)</f>
        <v>#N/A</v>
      </c>
    </row>
    <row r="186" spans="1:34" ht="14.5" hidden="1">
      <c r="A186" s="5">
        <v>183</v>
      </c>
      <c r="B186" s="5" t="str">
        <f t="shared" si="4"/>
        <v>07AAACC0462F1Z6TR26100016501061</v>
      </c>
      <c r="C186" s="1" t="s">
        <v>286</v>
      </c>
      <c r="D186" s="1" t="s">
        <v>287</v>
      </c>
      <c r="E186" s="1" t="s">
        <v>350</v>
      </c>
      <c r="F186" s="1" t="s">
        <v>24</v>
      </c>
      <c r="G186" s="1" t="s">
        <v>302</v>
      </c>
      <c r="H186" s="2">
        <v>118</v>
      </c>
      <c r="I186" s="1" t="s">
        <v>44</v>
      </c>
      <c r="J186" s="3" t="s">
        <v>27</v>
      </c>
      <c r="K186" s="2">
        <v>100</v>
      </c>
      <c r="L186" s="2">
        <v>0</v>
      </c>
      <c r="M186" s="2">
        <v>9</v>
      </c>
      <c r="N186" s="2">
        <v>9</v>
      </c>
      <c r="O186" s="2">
        <v>0</v>
      </c>
      <c r="P186" s="7" t="s">
        <v>28</v>
      </c>
      <c r="Q186" s="1" t="s">
        <v>29</v>
      </c>
      <c r="R186" s="3" t="s">
        <v>45</v>
      </c>
      <c r="S186" s="1" t="s">
        <v>46</v>
      </c>
      <c r="T186" s="4" t="s">
        <v>31</v>
      </c>
      <c r="U186" s="7" t="s">
        <v>46</v>
      </c>
      <c r="V186" s="7" t="s">
        <v>46</v>
      </c>
      <c r="W186" s="7" t="s">
        <v>46</v>
      </c>
      <c r="X186" s="7" t="s">
        <v>1751</v>
      </c>
      <c r="Y186" s="10">
        <f t="shared" si="5"/>
        <v>18</v>
      </c>
      <c r="AH186" s="5" t="e">
        <f>VLOOKUP(B186,[1]DL!$BK:$BP,6,0)</f>
        <v>#N/A</v>
      </c>
    </row>
    <row r="187" spans="1:34" ht="14.5" hidden="1">
      <c r="A187" s="5">
        <v>184</v>
      </c>
      <c r="B187" s="5" t="str">
        <f t="shared" si="4"/>
        <v>07AAACC0462F1Z6TR26100016501062</v>
      </c>
      <c r="C187" s="1" t="s">
        <v>286</v>
      </c>
      <c r="D187" s="1" t="s">
        <v>287</v>
      </c>
      <c r="E187" s="1" t="s">
        <v>351</v>
      </c>
      <c r="F187" s="1" t="s">
        <v>24</v>
      </c>
      <c r="G187" s="1" t="s">
        <v>302</v>
      </c>
      <c r="H187" s="2">
        <v>118</v>
      </c>
      <c r="I187" s="1" t="s">
        <v>44</v>
      </c>
      <c r="J187" s="3" t="s">
        <v>27</v>
      </c>
      <c r="K187" s="2">
        <v>100</v>
      </c>
      <c r="L187" s="2">
        <v>0</v>
      </c>
      <c r="M187" s="2">
        <v>9</v>
      </c>
      <c r="N187" s="2">
        <v>9</v>
      </c>
      <c r="O187" s="2">
        <v>0</v>
      </c>
      <c r="P187" s="7" t="s">
        <v>28</v>
      </c>
      <c r="Q187" s="1" t="s">
        <v>29</v>
      </c>
      <c r="R187" s="3" t="s">
        <v>45</v>
      </c>
      <c r="S187" s="1" t="s">
        <v>46</v>
      </c>
      <c r="T187" s="4" t="s">
        <v>31</v>
      </c>
      <c r="U187" s="7" t="s">
        <v>46</v>
      </c>
      <c r="V187" s="7" t="s">
        <v>46</v>
      </c>
      <c r="W187" s="7" t="s">
        <v>46</v>
      </c>
      <c r="X187" s="7" t="s">
        <v>1751</v>
      </c>
      <c r="Y187" s="10">
        <f t="shared" si="5"/>
        <v>18</v>
      </c>
      <c r="AH187" s="5" t="e">
        <f>VLOOKUP(B187,[1]DL!$BK:$BP,6,0)</f>
        <v>#N/A</v>
      </c>
    </row>
    <row r="188" spans="1:34" ht="14.5" hidden="1">
      <c r="A188" s="5">
        <v>185</v>
      </c>
      <c r="B188" s="5" t="str">
        <f t="shared" si="4"/>
        <v>07AAACC0462F1Z6TR26100016501063</v>
      </c>
      <c r="C188" s="1" t="s">
        <v>286</v>
      </c>
      <c r="D188" s="1" t="s">
        <v>287</v>
      </c>
      <c r="E188" s="1" t="s">
        <v>352</v>
      </c>
      <c r="F188" s="1" t="s">
        <v>24</v>
      </c>
      <c r="G188" s="1" t="s">
        <v>302</v>
      </c>
      <c r="H188" s="2">
        <v>118</v>
      </c>
      <c r="I188" s="1" t="s">
        <v>44</v>
      </c>
      <c r="J188" s="3" t="s">
        <v>27</v>
      </c>
      <c r="K188" s="2">
        <v>100</v>
      </c>
      <c r="L188" s="2">
        <v>0</v>
      </c>
      <c r="M188" s="2">
        <v>9</v>
      </c>
      <c r="N188" s="2">
        <v>9</v>
      </c>
      <c r="O188" s="2">
        <v>0</v>
      </c>
      <c r="P188" s="7" t="s">
        <v>28</v>
      </c>
      <c r="Q188" s="1" t="s">
        <v>29</v>
      </c>
      <c r="R188" s="3" t="s">
        <v>45</v>
      </c>
      <c r="S188" s="1" t="s">
        <v>46</v>
      </c>
      <c r="T188" s="4" t="s">
        <v>31</v>
      </c>
      <c r="U188" s="7" t="s">
        <v>46</v>
      </c>
      <c r="V188" s="7" t="s">
        <v>46</v>
      </c>
      <c r="W188" s="7" t="s">
        <v>46</v>
      </c>
      <c r="X188" s="7" t="s">
        <v>1751</v>
      </c>
      <c r="Y188" s="10">
        <f t="shared" si="5"/>
        <v>18</v>
      </c>
      <c r="AH188" s="5" t="e">
        <f>VLOOKUP(B188,[1]DL!$BK:$BP,6,0)</f>
        <v>#N/A</v>
      </c>
    </row>
    <row r="189" spans="1:34" ht="14.5" hidden="1">
      <c r="A189" s="5">
        <v>186</v>
      </c>
      <c r="B189" s="5" t="str">
        <f t="shared" si="4"/>
        <v>07AAACC0462F1Z6TR26100016501064</v>
      </c>
      <c r="C189" s="1" t="s">
        <v>286</v>
      </c>
      <c r="D189" s="1" t="s">
        <v>287</v>
      </c>
      <c r="E189" s="1" t="s">
        <v>353</v>
      </c>
      <c r="F189" s="1" t="s">
        <v>24</v>
      </c>
      <c r="G189" s="1" t="s">
        <v>302</v>
      </c>
      <c r="H189" s="2">
        <v>118</v>
      </c>
      <c r="I189" s="1" t="s">
        <v>44</v>
      </c>
      <c r="J189" s="3" t="s">
        <v>27</v>
      </c>
      <c r="K189" s="2">
        <v>100</v>
      </c>
      <c r="L189" s="2">
        <v>0</v>
      </c>
      <c r="M189" s="2">
        <v>9</v>
      </c>
      <c r="N189" s="2">
        <v>9</v>
      </c>
      <c r="O189" s="2">
        <v>0</v>
      </c>
      <c r="P189" s="7" t="s">
        <v>28</v>
      </c>
      <c r="Q189" s="1" t="s">
        <v>29</v>
      </c>
      <c r="R189" s="3" t="s">
        <v>45</v>
      </c>
      <c r="S189" s="1" t="s">
        <v>46</v>
      </c>
      <c r="T189" s="4" t="s">
        <v>31</v>
      </c>
      <c r="U189" s="7" t="s">
        <v>46</v>
      </c>
      <c r="V189" s="7" t="s">
        <v>46</v>
      </c>
      <c r="W189" s="7" t="s">
        <v>46</v>
      </c>
      <c r="X189" s="7" t="s">
        <v>1751</v>
      </c>
      <c r="Y189" s="10">
        <f t="shared" si="5"/>
        <v>18</v>
      </c>
      <c r="AH189" s="5" t="e">
        <f>VLOOKUP(B189,[1]DL!$BK:$BP,6,0)</f>
        <v>#N/A</v>
      </c>
    </row>
    <row r="190" spans="1:34" ht="14.5" hidden="1">
      <c r="A190" s="5">
        <v>187</v>
      </c>
      <c r="B190" s="5" t="str">
        <f t="shared" si="4"/>
        <v>09AALPJ3301L1ZO114</v>
      </c>
      <c r="C190" s="1" t="s">
        <v>354</v>
      </c>
      <c r="D190" s="1" t="s">
        <v>355</v>
      </c>
      <c r="E190" s="1" t="s">
        <v>356</v>
      </c>
      <c r="F190" s="1" t="s">
        <v>24</v>
      </c>
      <c r="G190" s="1" t="s">
        <v>204</v>
      </c>
      <c r="H190" s="2">
        <v>1660</v>
      </c>
      <c r="I190" s="1" t="s">
        <v>44</v>
      </c>
      <c r="J190" s="3" t="s">
        <v>27</v>
      </c>
      <c r="K190" s="2">
        <v>1406.78</v>
      </c>
      <c r="L190" s="2">
        <v>253.22</v>
      </c>
      <c r="M190" s="2">
        <v>0</v>
      </c>
      <c r="N190" s="2">
        <v>0</v>
      </c>
      <c r="O190" s="2">
        <v>0</v>
      </c>
      <c r="P190" s="7" t="s">
        <v>28</v>
      </c>
      <c r="Q190" s="1" t="s">
        <v>29</v>
      </c>
      <c r="R190" s="3" t="s">
        <v>45</v>
      </c>
      <c r="S190" s="1" t="s">
        <v>46</v>
      </c>
      <c r="T190" s="4" t="s">
        <v>31</v>
      </c>
      <c r="U190" s="7" t="s">
        <v>32</v>
      </c>
      <c r="V190" s="7" t="s">
        <v>357</v>
      </c>
      <c r="W190" s="7" t="s">
        <v>204</v>
      </c>
      <c r="X190" s="7" t="s">
        <v>1751</v>
      </c>
      <c r="Y190" s="10">
        <f t="shared" si="5"/>
        <v>253.22</v>
      </c>
      <c r="AH190" s="5" t="e">
        <f>VLOOKUP(B190,[1]DL!$BK:$BP,6,0)</f>
        <v>#N/A</v>
      </c>
    </row>
    <row r="191" spans="1:34" ht="14.5" hidden="1">
      <c r="A191" s="5">
        <v>188</v>
      </c>
      <c r="B191" s="5" t="str">
        <f t="shared" si="4"/>
        <v>07AACCJ5057F1ZODL202G202608455</v>
      </c>
      <c r="C191" s="1" t="s">
        <v>358</v>
      </c>
      <c r="D191" s="1" t="s">
        <v>359</v>
      </c>
      <c r="E191" s="1" t="s">
        <v>360</v>
      </c>
      <c r="F191" s="1" t="s">
        <v>24</v>
      </c>
      <c r="G191" s="1" t="s">
        <v>70</v>
      </c>
      <c r="H191" s="2">
        <v>10971.74</v>
      </c>
      <c r="I191" s="1" t="s">
        <v>44</v>
      </c>
      <c r="J191" s="3" t="s">
        <v>27</v>
      </c>
      <c r="K191" s="2">
        <v>9298.08</v>
      </c>
      <c r="L191" s="2">
        <v>0</v>
      </c>
      <c r="M191" s="2">
        <v>836.83</v>
      </c>
      <c r="N191" s="2">
        <v>836.83</v>
      </c>
      <c r="O191" s="2">
        <v>0</v>
      </c>
      <c r="P191" s="7" t="s">
        <v>28</v>
      </c>
      <c r="Q191" s="1" t="s">
        <v>29</v>
      </c>
      <c r="R191" s="3" t="s">
        <v>45</v>
      </c>
      <c r="S191" s="1" t="s">
        <v>46</v>
      </c>
      <c r="T191" s="4" t="s">
        <v>31</v>
      </c>
      <c r="U191" s="7" t="s">
        <v>32</v>
      </c>
      <c r="V191" s="7" t="s">
        <v>361</v>
      </c>
      <c r="W191" s="7" t="s">
        <v>70</v>
      </c>
      <c r="X191" s="7" t="s">
        <v>1751</v>
      </c>
      <c r="Y191" s="10">
        <f t="shared" si="5"/>
        <v>1673.6600000000001</v>
      </c>
      <c r="AH191" s="5" t="e">
        <f>VLOOKUP(B191,[1]DL!$BK:$BP,6,0)</f>
        <v>#N/A</v>
      </c>
    </row>
    <row r="192" spans="1:34" ht="14.5" hidden="1">
      <c r="A192" s="5">
        <v>189</v>
      </c>
      <c r="B192" s="5" t="str">
        <f t="shared" si="4"/>
        <v>07AACCJ5057F1ZODL202G202608456</v>
      </c>
      <c r="C192" s="1" t="s">
        <v>358</v>
      </c>
      <c r="D192" s="1" t="s">
        <v>359</v>
      </c>
      <c r="E192" s="1" t="s">
        <v>362</v>
      </c>
      <c r="F192" s="1" t="s">
        <v>24</v>
      </c>
      <c r="G192" s="1" t="s">
        <v>70</v>
      </c>
      <c r="H192" s="2">
        <v>10503.38</v>
      </c>
      <c r="I192" s="1" t="s">
        <v>44</v>
      </c>
      <c r="J192" s="3" t="s">
        <v>27</v>
      </c>
      <c r="K192" s="2">
        <v>8912.08</v>
      </c>
      <c r="L192" s="2">
        <v>0</v>
      </c>
      <c r="M192" s="2">
        <v>795.65</v>
      </c>
      <c r="N192" s="2">
        <v>795.65</v>
      </c>
      <c r="O192" s="2">
        <v>0</v>
      </c>
      <c r="P192" s="7" t="s">
        <v>28</v>
      </c>
      <c r="Q192" s="1" t="s">
        <v>29</v>
      </c>
      <c r="R192" s="3" t="s">
        <v>45</v>
      </c>
      <c r="S192" s="1" t="s">
        <v>46</v>
      </c>
      <c r="T192" s="4" t="s">
        <v>31</v>
      </c>
      <c r="U192" s="7" t="s">
        <v>32</v>
      </c>
      <c r="V192" s="7" t="s">
        <v>363</v>
      </c>
      <c r="W192" s="7" t="s">
        <v>70</v>
      </c>
      <c r="X192" s="7" t="s">
        <v>1751</v>
      </c>
      <c r="Y192" s="10">
        <f t="shared" si="5"/>
        <v>1591.3</v>
      </c>
      <c r="AH192" s="5" t="e">
        <f>VLOOKUP(B192,[1]DL!$BK:$BP,6,0)</f>
        <v>#N/A</v>
      </c>
    </row>
    <row r="193" spans="1:34" ht="14.5" hidden="1">
      <c r="A193" s="5">
        <v>190</v>
      </c>
      <c r="B193" s="5" t="str">
        <f t="shared" si="4"/>
        <v>07ABDPD9154G1ZSKM/353/2026-27</v>
      </c>
      <c r="C193" s="1" t="s">
        <v>364</v>
      </c>
      <c r="D193" s="1" t="s">
        <v>365</v>
      </c>
      <c r="E193" s="1" t="s">
        <v>366</v>
      </c>
      <c r="F193" s="1" t="s">
        <v>24</v>
      </c>
      <c r="G193" s="1" t="s">
        <v>76</v>
      </c>
      <c r="H193" s="2">
        <v>1851.90</v>
      </c>
      <c r="I193" s="1" t="s">
        <v>44</v>
      </c>
      <c r="J193" s="3" t="s">
        <v>27</v>
      </c>
      <c r="K193" s="2">
        <v>1569.40</v>
      </c>
      <c r="L193" s="2">
        <v>0</v>
      </c>
      <c r="M193" s="2">
        <v>141.25</v>
      </c>
      <c r="N193" s="2">
        <v>141.25</v>
      </c>
      <c r="O193" s="2">
        <v>0</v>
      </c>
      <c r="P193" s="7" t="s">
        <v>28</v>
      </c>
      <c r="Q193" s="1" t="s">
        <v>367</v>
      </c>
      <c r="R193" s="3" t="s">
        <v>45</v>
      </c>
      <c r="S193" s="1" t="s">
        <v>46</v>
      </c>
      <c r="T193" s="4" t="s">
        <v>31</v>
      </c>
      <c r="U193" s="7" t="s">
        <v>46</v>
      </c>
      <c r="V193" s="7" t="s">
        <v>46</v>
      </c>
      <c r="W193" s="7" t="s">
        <v>46</v>
      </c>
      <c r="X193" s="7" t="s">
        <v>1751</v>
      </c>
      <c r="Y193" s="10">
        <f t="shared" si="5"/>
        <v>282.5</v>
      </c>
      <c r="AH193" s="5" t="e">
        <f>VLOOKUP(B193,[1]DL!$BK:$BP,6,0)</f>
        <v>#N/A</v>
      </c>
    </row>
    <row r="194" spans="1:34" ht="14.5" hidden="1">
      <c r="A194" s="5">
        <v>191</v>
      </c>
      <c r="B194" s="5" t="str">
        <f t="shared" si="4"/>
        <v>07ABDPD9154G1ZSKM/354/2026-27</v>
      </c>
      <c r="C194" s="1" t="s">
        <v>364</v>
      </c>
      <c r="D194" s="1" t="s">
        <v>365</v>
      </c>
      <c r="E194" s="1" t="s">
        <v>368</v>
      </c>
      <c r="F194" s="1" t="s">
        <v>24</v>
      </c>
      <c r="G194" s="1" t="s">
        <v>76</v>
      </c>
      <c r="H194" s="2">
        <v>5645.12</v>
      </c>
      <c r="I194" s="1" t="s">
        <v>44</v>
      </c>
      <c r="J194" s="3" t="s">
        <v>27</v>
      </c>
      <c r="K194" s="2">
        <v>4784</v>
      </c>
      <c r="L194" s="2">
        <v>0</v>
      </c>
      <c r="M194" s="2">
        <v>430.56</v>
      </c>
      <c r="N194" s="2">
        <v>430.56</v>
      </c>
      <c r="O194" s="2">
        <v>0</v>
      </c>
      <c r="P194" s="7" t="s">
        <v>28</v>
      </c>
      <c r="Q194" s="1" t="s">
        <v>367</v>
      </c>
      <c r="R194" s="3" t="s">
        <v>45</v>
      </c>
      <c r="S194" s="1" t="s">
        <v>46</v>
      </c>
      <c r="T194" s="4" t="s">
        <v>31</v>
      </c>
      <c r="U194" s="7" t="s">
        <v>46</v>
      </c>
      <c r="V194" s="7" t="s">
        <v>46</v>
      </c>
      <c r="W194" s="7" t="s">
        <v>46</v>
      </c>
      <c r="X194" s="7" t="s">
        <v>1751</v>
      </c>
      <c r="Y194" s="10">
        <f t="shared" si="5"/>
        <v>861.12</v>
      </c>
      <c r="AH194" s="5" t="e">
        <f>VLOOKUP(B194,[1]DL!$BK:$BP,6,0)</f>
        <v>#N/A</v>
      </c>
    </row>
    <row r="195" spans="1:34" ht="14.5" hidden="1">
      <c r="A195" s="5">
        <v>192</v>
      </c>
      <c r="B195" s="5" t="str">
        <f t="shared" si="4"/>
        <v>07ABDPD9154G1ZSKM/355/2026-27</v>
      </c>
      <c r="C195" s="1" t="s">
        <v>364</v>
      </c>
      <c r="D195" s="1" t="s">
        <v>365</v>
      </c>
      <c r="E195" s="1" t="s">
        <v>369</v>
      </c>
      <c r="F195" s="1" t="s">
        <v>24</v>
      </c>
      <c r="G195" s="1" t="s">
        <v>76</v>
      </c>
      <c r="H195" s="2">
        <v>4589.21</v>
      </c>
      <c r="I195" s="1" t="s">
        <v>44</v>
      </c>
      <c r="J195" s="3" t="s">
        <v>27</v>
      </c>
      <c r="K195" s="2">
        <v>3889.15</v>
      </c>
      <c r="L195" s="2">
        <v>0</v>
      </c>
      <c r="M195" s="2">
        <v>350.03</v>
      </c>
      <c r="N195" s="2">
        <v>350.03</v>
      </c>
      <c r="O195" s="2">
        <v>0</v>
      </c>
      <c r="P195" s="7" t="s">
        <v>28</v>
      </c>
      <c r="Q195" s="1" t="s">
        <v>367</v>
      </c>
      <c r="R195" s="3" t="s">
        <v>45</v>
      </c>
      <c r="S195" s="1" t="s">
        <v>46</v>
      </c>
      <c r="T195" s="4" t="s">
        <v>31</v>
      </c>
      <c r="U195" s="7" t="s">
        <v>46</v>
      </c>
      <c r="V195" s="7" t="s">
        <v>46</v>
      </c>
      <c r="W195" s="7" t="s">
        <v>46</v>
      </c>
      <c r="X195" s="7" t="s">
        <v>1751</v>
      </c>
      <c r="Y195" s="10">
        <f t="shared" si="5"/>
        <v>700.05999999999995</v>
      </c>
      <c r="AH195" s="5" t="e">
        <f>VLOOKUP(B195,[1]DL!$BK:$BP,6,0)</f>
        <v>#N/A</v>
      </c>
    </row>
    <row r="196" spans="1:34" ht="14.5" hidden="1">
      <c r="A196" s="5">
        <v>193</v>
      </c>
      <c r="B196" s="5" t="str">
        <f t="shared" si="4"/>
        <v>07ABDPD9154G1ZSKM/356/2026-27</v>
      </c>
      <c r="C196" s="1" t="s">
        <v>364</v>
      </c>
      <c r="D196" s="1" t="s">
        <v>365</v>
      </c>
      <c r="E196" s="1" t="s">
        <v>370</v>
      </c>
      <c r="F196" s="1" t="s">
        <v>24</v>
      </c>
      <c r="G196" s="1" t="s">
        <v>76</v>
      </c>
      <c r="H196" s="2">
        <v>1624.55</v>
      </c>
      <c r="I196" s="1" t="s">
        <v>44</v>
      </c>
      <c r="J196" s="3" t="s">
        <v>27</v>
      </c>
      <c r="K196" s="2">
        <v>1376.73</v>
      </c>
      <c r="L196" s="2">
        <v>0</v>
      </c>
      <c r="M196" s="2">
        <v>123.91</v>
      </c>
      <c r="N196" s="2">
        <v>123.91</v>
      </c>
      <c r="O196" s="2">
        <v>0</v>
      </c>
      <c r="P196" s="7" t="s">
        <v>28</v>
      </c>
      <c r="Q196" s="1" t="s">
        <v>367</v>
      </c>
      <c r="R196" s="3" t="s">
        <v>45</v>
      </c>
      <c r="S196" s="1" t="s">
        <v>46</v>
      </c>
      <c r="T196" s="4" t="s">
        <v>31</v>
      </c>
      <c r="U196" s="7" t="s">
        <v>46</v>
      </c>
      <c r="V196" s="7" t="s">
        <v>46</v>
      </c>
      <c r="W196" s="7" t="s">
        <v>46</v>
      </c>
      <c r="X196" s="7" t="s">
        <v>1751</v>
      </c>
      <c r="Y196" s="10">
        <f t="shared" si="5"/>
        <v>247.81999999999999</v>
      </c>
      <c r="AH196" s="5" t="e">
        <f>VLOOKUP(B196,[1]DL!$BK:$BP,6,0)</f>
        <v>#N/A</v>
      </c>
    </row>
    <row r="197" spans="1:34" ht="14.5" hidden="1">
      <c r="A197" s="5">
        <v>194</v>
      </c>
      <c r="B197" s="5" t="str">
        <f t="shared" si="6" ref="B197:B260">C197&amp;E197</f>
        <v>07ABDPD9154G1ZSKM/357/2026-27</v>
      </c>
      <c r="C197" s="1" t="s">
        <v>364</v>
      </c>
      <c r="D197" s="1" t="s">
        <v>365</v>
      </c>
      <c r="E197" s="1" t="s">
        <v>371</v>
      </c>
      <c r="F197" s="1" t="s">
        <v>24</v>
      </c>
      <c r="G197" s="1" t="s">
        <v>76</v>
      </c>
      <c r="H197" s="2">
        <v>4041.45</v>
      </c>
      <c r="I197" s="1" t="s">
        <v>44</v>
      </c>
      <c r="J197" s="3" t="s">
        <v>27</v>
      </c>
      <c r="K197" s="2">
        <v>3424.95</v>
      </c>
      <c r="L197" s="2">
        <v>0</v>
      </c>
      <c r="M197" s="2">
        <v>308.25</v>
      </c>
      <c r="N197" s="2">
        <v>308.25</v>
      </c>
      <c r="O197" s="2">
        <v>0</v>
      </c>
      <c r="P197" s="7" t="s">
        <v>28</v>
      </c>
      <c r="Q197" s="1" t="s">
        <v>367</v>
      </c>
      <c r="R197" s="3" t="s">
        <v>45</v>
      </c>
      <c r="S197" s="1" t="s">
        <v>46</v>
      </c>
      <c r="T197" s="4" t="s">
        <v>31</v>
      </c>
      <c r="U197" s="7" t="s">
        <v>46</v>
      </c>
      <c r="V197" s="7" t="s">
        <v>46</v>
      </c>
      <c r="W197" s="7" t="s">
        <v>46</v>
      </c>
      <c r="X197" s="7" t="s">
        <v>1751</v>
      </c>
      <c r="Y197" s="10">
        <f t="shared" si="7" ref="Y197:Y260">L197+M197+N197+O197</f>
        <v>616.5</v>
      </c>
      <c r="AH197" s="5" t="e">
        <f>VLOOKUP(B197,[1]DL!$BK:$BP,6,0)</f>
        <v>#N/A</v>
      </c>
    </row>
    <row r="198" spans="1:34" ht="14.5" hidden="1">
      <c r="A198" s="5">
        <v>195</v>
      </c>
      <c r="B198" s="5" t="str">
        <f t="shared" si="6"/>
        <v>07ABDPD9154G1ZSKM/358/2026-27</v>
      </c>
      <c r="C198" s="1" t="s">
        <v>364</v>
      </c>
      <c r="D198" s="1" t="s">
        <v>365</v>
      </c>
      <c r="E198" s="1" t="s">
        <v>372</v>
      </c>
      <c r="F198" s="1" t="s">
        <v>24</v>
      </c>
      <c r="G198" s="1" t="s">
        <v>76</v>
      </c>
      <c r="H198" s="2">
        <v>1154.5</v>
      </c>
      <c r="I198" s="1" t="s">
        <v>44</v>
      </c>
      <c r="J198" s="3" t="s">
        <v>27</v>
      </c>
      <c r="K198" s="2">
        <v>978.40</v>
      </c>
      <c r="L198" s="2">
        <v>0</v>
      </c>
      <c r="M198" s="2">
        <v>88.05</v>
      </c>
      <c r="N198" s="2">
        <v>88.05</v>
      </c>
      <c r="O198" s="2">
        <v>0</v>
      </c>
      <c r="P198" s="7" t="s">
        <v>28</v>
      </c>
      <c r="Q198" s="1" t="s">
        <v>367</v>
      </c>
      <c r="R198" s="3" t="s">
        <v>45</v>
      </c>
      <c r="S198" s="1" t="s">
        <v>46</v>
      </c>
      <c r="T198" s="4" t="s">
        <v>31</v>
      </c>
      <c r="U198" s="7" t="s">
        <v>46</v>
      </c>
      <c r="V198" s="7" t="s">
        <v>46</v>
      </c>
      <c r="W198" s="7" t="s">
        <v>46</v>
      </c>
      <c r="X198" s="7" t="s">
        <v>1751</v>
      </c>
      <c r="Y198" s="10">
        <f t="shared" si="7"/>
        <v>176.09999999999999</v>
      </c>
      <c r="AH198" s="5" t="e">
        <f>VLOOKUP(B198,[1]DL!$BK:$BP,6,0)</f>
        <v>#N/A</v>
      </c>
    </row>
    <row r="199" spans="1:34" ht="14.5" hidden="1">
      <c r="A199" s="5">
        <v>196</v>
      </c>
      <c r="B199" s="5" t="str">
        <f t="shared" si="6"/>
        <v>07ABDPD9154G1ZSKM/359/2026-27</v>
      </c>
      <c r="C199" s="1" t="s">
        <v>364</v>
      </c>
      <c r="D199" s="1" t="s">
        <v>365</v>
      </c>
      <c r="E199" s="1" t="s">
        <v>373</v>
      </c>
      <c r="F199" s="1" t="s">
        <v>24</v>
      </c>
      <c r="G199" s="1" t="s">
        <v>76</v>
      </c>
      <c r="H199" s="2">
        <v>582.52</v>
      </c>
      <c r="I199" s="1" t="s">
        <v>44</v>
      </c>
      <c r="J199" s="3" t="s">
        <v>27</v>
      </c>
      <c r="K199" s="2">
        <v>493.66</v>
      </c>
      <c r="L199" s="2">
        <v>0</v>
      </c>
      <c r="M199" s="2">
        <v>44.43</v>
      </c>
      <c r="N199" s="2">
        <v>44.43</v>
      </c>
      <c r="O199" s="2">
        <v>0</v>
      </c>
      <c r="P199" s="7" t="s">
        <v>28</v>
      </c>
      <c r="Q199" s="1" t="s">
        <v>367</v>
      </c>
      <c r="R199" s="3" t="s">
        <v>45</v>
      </c>
      <c r="S199" s="1" t="s">
        <v>46</v>
      </c>
      <c r="T199" s="4" t="s">
        <v>31</v>
      </c>
      <c r="U199" s="7" t="s">
        <v>46</v>
      </c>
      <c r="V199" s="7" t="s">
        <v>46</v>
      </c>
      <c r="W199" s="7" t="s">
        <v>46</v>
      </c>
      <c r="X199" s="7" t="s">
        <v>1751</v>
      </c>
      <c r="Y199" s="10">
        <f t="shared" si="7"/>
        <v>88.859999999999999</v>
      </c>
      <c r="AH199" s="5" t="e">
        <f>VLOOKUP(B199,[1]DL!$BK:$BP,6,0)</f>
        <v>#N/A</v>
      </c>
    </row>
    <row r="200" spans="1:34" ht="14.5" hidden="1">
      <c r="A200" s="5">
        <v>197</v>
      </c>
      <c r="B200" s="5" t="str">
        <f t="shared" si="6"/>
        <v>07ABDPD9154G1ZSKM/360/2026-27</v>
      </c>
      <c r="C200" s="1" t="s">
        <v>364</v>
      </c>
      <c r="D200" s="1" t="s">
        <v>365</v>
      </c>
      <c r="E200" s="1" t="s">
        <v>374</v>
      </c>
      <c r="F200" s="1" t="s">
        <v>24</v>
      </c>
      <c r="G200" s="1" t="s">
        <v>76</v>
      </c>
      <c r="H200" s="2">
        <v>6665.34</v>
      </c>
      <c r="I200" s="1" t="s">
        <v>44</v>
      </c>
      <c r="J200" s="3" t="s">
        <v>27</v>
      </c>
      <c r="K200" s="2">
        <v>5648.56</v>
      </c>
      <c r="L200" s="2">
        <v>0</v>
      </c>
      <c r="M200" s="2">
        <v>508.39</v>
      </c>
      <c r="N200" s="2">
        <v>508.39</v>
      </c>
      <c r="O200" s="2">
        <v>0</v>
      </c>
      <c r="P200" s="7" t="s">
        <v>28</v>
      </c>
      <c r="Q200" s="1" t="s">
        <v>367</v>
      </c>
      <c r="R200" s="3" t="s">
        <v>45</v>
      </c>
      <c r="S200" s="1" t="s">
        <v>46</v>
      </c>
      <c r="T200" s="4" t="s">
        <v>31</v>
      </c>
      <c r="U200" s="7" t="s">
        <v>46</v>
      </c>
      <c r="V200" s="7" t="s">
        <v>46</v>
      </c>
      <c r="W200" s="7" t="s">
        <v>46</v>
      </c>
      <c r="X200" s="7" t="s">
        <v>1751</v>
      </c>
      <c r="Y200" s="10">
        <f t="shared" si="7"/>
        <v>1016.78</v>
      </c>
      <c r="AH200" s="5" t="e">
        <f>VLOOKUP(B200,[1]DL!$BK:$BP,6,0)</f>
        <v>#N/A</v>
      </c>
    </row>
    <row r="201" spans="1:34" ht="14.5" hidden="1">
      <c r="A201" s="5">
        <v>198</v>
      </c>
      <c r="B201" s="5" t="str">
        <f t="shared" si="6"/>
        <v>07ABDPD9154G1ZSKM/361/2026-27</v>
      </c>
      <c r="C201" s="1" t="s">
        <v>364</v>
      </c>
      <c r="D201" s="1" t="s">
        <v>365</v>
      </c>
      <c r="E201" s="1" t="s">
        <v>375</v>
      </c>
      <c r="F201" s="1" t="s">
        <v>24</v>
      </c>
      <c r="G201" s="1" t="s">
        <v>76</v>
      </c>
      <c r="H201" s="2">
        <v>1167.24</v>
      </c>
      <c r="I201" s="1" t="s">
        <v>44</v>
      </c>
      <c r="J201" s="3" t="s">
        <v>27</v>
      </c>
      <c r="K201" s="2">
        <v>989.18</v>
      </c>
      <c r="L201" s="2">
        <v>0</v>
      </c>
      <c r="M201" s="2">
        <v>89.03</v>
      </c>
      <c r="N201" s="2">
        <v>89.03</v>
      </c>
      <c r="O201" s="2">
        <v>0</v>
      </c>
      <c r="P201" s="7" t="s">
        <v>28</v>
      </c>
      <c r="Q201" s="1" t="s">
        <v>367</v>
      </c>
      <c r="R201" s="3" t="s">
        <v>45</v>
      </c>
      <c r="S201" s="1" t="s">
        <v>46</v>
      </c>
      <c r="T201" s="4" t="s">
        <v>31</v>
      </c>
      <c r="U201" s="7" t="s">
        <v>46</v>
      </c>
      <c r="V201" s="7" t="s">
        <v>46</v>
      </c>
      <c r="W201" s="7" t="s">
        <v>46</v>
      </c>
      <c r="X201" s="7" t="s">
        <v>1751</v>
      </c>
      <c r="Y201" s="10">
        <f t="shared" si="7"/>
        <v>178.06</v>
      </c>
      <c r="AH201" s="5" t="e">
        <f>VLOOKUP(B201,[1]DL!$BK:$BP,6,0)</f>
        <v>#N/A</v>
      </c>
    </row>
    <row r="202" spans="1:34" ht="14.5" hidden="1">
      <c r="A202" s="5">
        <v>199</v>
      </c>
      <c r="B202" s="5" t="str">
        <f t="shared" si="6"/>
        <v>07ABDPD9154G1ZSKM/362/2026-27</v>
      </c>
      <c r="C202" s="1" t="s">
        <v>364</v>
      </c>
      <c r="D202" s="1" t="s">
        <v>365</v>
      </c>
      <c r="E202" s="1" t="s">
        <v>376</v>
      </c>
      <c r="F202" s="1" t="s">
        <v>24</v>
      </c>
      <c r="G202" s="1" t="s">
        <v>76</v>
      </c>
      <c r="H202" s="2">
        <v>3305.48</v>
      </c>
      <c r="I202" s="1" t="s">
        <v>44</v>
      </c>
      <c r="J202" s="3" t="s">
        <v>27</v>
      </c>
      <c r="K202" s="2">
        <v>2801.24</v>
      </c>
      <c r="L202" s="2">
        <v>0</v>
      </c>
      <c r="M202" s="2">
        <v>252.12</v>
      </c>
      <c r="N202" s="2">
        <v>252.12</v>
      </c>
      <c r="O202" s="2">
        <v>0</v>
      </c>
      <c r="P202" s="7" t="s">
        <v>28</v>
      </c>
      <c r="Q202" s="1" t="s">
        <v>367</v>
      </c>
      <c r="R202" s="3" t="s">
        <v>45</v>
      </c>
      <c r="S202" s="1" t="s">
        <v>46</v>
      </c>
      <c r="T202" s="4" t="s">
        <v>31</v>
      </c>
      <c r="U202" s="7" t="s">
        <v>46</v>
      </c>
      <c r="V202" s="7" t="s">
        <v>46</v>
      </c>
      <c r="W202" s="7" t="s">
        <v>46</v>
      </c>
      <c r="X202" s="7" t="s">
        <v>1751</v>
      </c>
      <c r="Y202" s="10">
        <f t="shared" si="7"/>
        <v>504.24000000000001</v>
      </c>
      <c r="AH202" s="5" t="e">
        <f>VLOOKUP(B202,[1]DL!$BK:$BP,6,0)</f>
        <v>#N/A</v>
      </c>
    </row>
    <row r="203" spans="1:34" ht="14.5" hidden="1">
      <c r="A203" s="5">
        <v>200</v>
      </c>
      <c r="B203" s="5" t="str">
        <f t="shared" si="6"/>
        <v>07ABDPD9154G1ZSKM/363/2026-27</v>
      </c>
      <c r="C203" s="1" t="s">
        <v>364</v>
      </c>
      <c r="D203" s="1" t="s">
        <v>365</v>
      </c>
      <c r="E203" s="1" t="s">
        <v>377</v>
      </c>
      <c r="F203" s="1" t="s">
        <v>24</v>
      </c>
      <c r="G203" s="1" t="s">
        <v>76</v>
      </c>
      <c r="H203" s="2">
        <v>2309.36</v>
      </c>
      <c r="I203" s="1" t="s">
        <v>44</v>
      </c>
      <c r="J203" s="3" t="s">
        <v>27</v>
      </c>
      <c r="K203" s="2">
        <v>1957.08</v>
      </c>
      <c r="L203" s="2">
        <v>0</v>
      </c>
      <c r="M203" s="2">
        <v>176.14</v>
      </c>
      <c r="N203" s="2">
        <v>176.14</v>
      </c>
      <c r="O203" s="2">
        <v>0</v>
      </c>
      <c r="P203" s="7" t="s">
        <v>28</v>
      </c>
      <c r="Q203" s="1" t="s">
        <v>367</v>
      </c>
      <c r="R203" s="3" t="s">
        <v>45</v>
      </c>
      <c r="S203" s="1" t="s">
        <v>46</v>
      </c>
      <c r="T203" s="4" t="s">
        <v>31</v>
      </c>
      <c r="U203" s="7" t="s">
        <v>46</v>
      </c>
      <c r="V203" s="7" t="s">
        <v>46</v>
      </c>
      <c r="W203" s="7" t="s">
        <v>46</v>
      </c>
      <c r="X203" s="7" t="s">
        <v>1751</v>
      </c>
      <c r="Y203" s="10">
        <f t="shared" si="7"/>
        <v>352.27999999999997</v>
      </c>
      <c r="AH203" s="5" t="e">
        <f>VLOOKUP(B203,[1]DL!$BK:$BP,6,0)</f>
        <v>#N/A</v>
      </c>
    </row>
    <row r="204" spans="1:34" ht="14.5" hidden="1">
      <c r="A204" s="5">
        <v>201</v>
      </c>
      <c r="B204" s="5" t="str">
        <f t="shared" si="6"/>
        <v>07ABDPD9154G1ZSKM/364/2026-27</v>
      </c>
      <c r="C204" s="1" t="s">
        <v>364</v>
      </c>
      <c r="D204" s="1" t="s">
        <v>365</v>
      </c>
      <c r="E204" s="1" t="s">
        <v>378</v>
      </c>
      <c r="F204" s="1" t="s">
        <v>24</v>
      </c>
      <c r="G204" s="1" t="s">
        <v>76</v>
      </c>
      <c r="H204" s="2">
        <v>4251.22</v>
      </c>
      <c r="I204" s="1" t="s">
        <v>44</v>
      </c>
      <c r="J204" s="3" t="s">
        <v>27</v>
      </c>
      <c r="K204" s="2">
        <v>3602.74</v>
      </c>
      <c r="L204" s="2">
        <v>0</v>
      </c>
      <c r="M204" s="2">
        <v>324.24</v>
      </c>
      <c r="N204" s="2">
        <v>324.24</v>
      </c>
      <c r="O204" s="2">
        <v>0</v>
      </c>
      <c r="P204" s="7" t="s">
        <v>28</v>
      </c>
      <c r="Q204" s="1" t="s">
        <v>367</v>
      </c>
      <c r="R204" s="3" t="s">
        <v>45</v>
      </c>
      <c r="S204" s="1" t="s">
        <v>46</v>
      </c>
      <c r="T204" s="4" t="s">
        <v>31</v>
      </c>
      <c r="U204" s="7" t="s">
        <v>46</v>
      </c>
      <c r="V204" s="7" t="s">
        <v>46</v>
      </c>
      <c r="W204" s="7" t="s">
        <v>46</v>
      </c>
      <c r="X204" s="7" t="s">
        <v>1751</v>
      </c>
      <c r="Y204" s="10">
        <f t="shared" si="7"/>
        <v>648.48000000000002</v>
      </c>
      <c r="AH204" s="5" t="e">
        <f>VLOOKUP(B204,[1]DL!$BK:$BP,6,0)</f>
        <v>#N/A</v>
      </c>
    </row>
    <row r="205" spans="1:34" ht="14.5" hidden="1">
      <c r="A205" s="5">
        <v>202</v>
      </c>
      <c r="B205" s="5" t="str">
        <f t="shared" si="6"/>
        <v>07ABDPD9154G1ZSKM/365/2026-27</v>
      </c>
      <c r="C205" s="1" t="s">
        <v>364</v>
      </c>
      <c r="D205" s="1" t="s">
        <v>365</v>
      </c>
      <c r="E205" s="1" t="s">
        <v>379</v>
      </c>
      <c r="F205" s="1" t="s">
        <v>24</v>
      </c>
      <c r="G205" s="1" t="s">
        <v>76</v>
      </c>
      <c r="H205" s="2">
        <v>389.40</v>
      </c>
      <c r="I205" s="1" t="s">
        <v>44</v>
      </c>
      <c r="J205" s="3" t="s">
        <v>27</v>
      </c>
      <c r="K205" s="2">
        <v>330</v>
      </c>
      <c r="L205" s="2">
        <v>0</v>
      </c>
      <c r="M205" s="2">
        <v>29.70</v>
      </c>
      <c r="N205" s="2">
        <v>29.70</v>
      </c>
      <c r="O205" s="2">
        <v>0</v>
      </c>
      <c r="P205" s="7" t="s">
        <v>28</v>
      </c>
      <c r="Q205" s="1" t="s">
        <v>367</v>
      </c>
      <c r="R205" s="3" t="s">
        <v>45</v>
      </c>
      <c r="S205" s="1" t="s">
        <v>46</v>
      </c>
      <c r="T205" s="4" t="s">
        <v>31</v>
      </c>
      <c r="U205" s="7" t="s">
        <v>46</v>
      </c>
      <c r="V205" s="7" t="s">
        <v>46</v>
      </c>
      <c r="W205" s="7" t="s">
        <v>46</v>
      </c>
      <c r="X205" s="7" t="s">
        <v>1751</v>
      </c>
      <c r="Y205" s="10">
        <f t="shared" si="7"/>
        <v>59.399999999999999</v>
      </c>
      <c r="AH205" s="5" t="e">
        <f>VLOOKUP(B205,[1]DL!$BK:$BP,6,0)</f>
        <v>#N/A</v>
      </c>
    </row>
    <row r="206" spans="1:34" ht="14.5" hidden="1">
      <c r="A206" s="5">
        <v>203</v>
      </c>
      <c r="B206" s="5" t="str">
        <f t="shared" si="6"/>
        <v>07ABDPD9154G1ZSKM/366/2026-27</v>
      </c>
      <c r="C206" s="1" t="s">
        <v>364</v>
      </c>
      <c r="D206" s="1" t="s">
        <v>365</v>
      </c>
      <c r="E206" s="1" t="s">
        <v>380</v>
      </c>
      <c r="F206" s="1" t="s">
        <v>24</v>
      </c>
      <c r="G206" s="1" t="s">
        <v>76</v>
      </c>
      <c r="H206" s="2">
        <v>1652</v>
      </c>
      <c r="I206" s="1" t="s">
        <v>44</v>
      </c>
      <c r="J206" s="3" t="s">
        <v>27</v>
      </c>
      <c r="K206" s="2">
        <v>1400</v>
      </c>
      <c r="L206" s="2">
        <v>0</v>
      </c>
      <c r="M206" s="2">
        <v>126</v>
      </c>
      <c r="N206" s="2">
        <v>126</v>
      </c>
      <c r="O206" s="2">
        <v>0</v>
      </c>
      <c r="P206" s="7" t="s">
        <v>28</v>
      </c>
      <c r="Q206" s="1" t="s">
        <v>367</v>
      </c>
      <c r="R206" s="3" t="s">
        <v>45</v>
      </c>
      <c r="S206" s="1" t="s">
        <v>46</v>
      </c>
      <c r="T206" s="4" t="s">
        <v>31</v>
      </c>
      <c r="U206" s="7" t="s">
        <v>46</v>
      </c>
      <c r="V206" s="7" t="s">
        <v>46</v>
      </c>
      <c r="W206" s="7" t="s">
        <v>46</v>
      </c>
      <c r="X206" s="7" t="s">
        <v>1751</v>
      </c>
      <c r="Y206" s="10">
        <f t="shared" si="7"/>
        <v>252</v>
      </c>
      <c r="AH206" s="5" t="e">
        <f>VLOOKUP(B206,[1]DL!$BK:$BP,6,0)</f>
        <v>#N/A</v>
      </c>
    </row>
    <row r="207" spans="1:34" ht="14.5" hidden="1">
      <c r="A207" s="5">
        <v>204</v>
      </c>
      <c r="B207" s="5" t="str">
        <f t="shared" si="6"/>
        <v>07ABDPD9154G1ZSKM/367/2026-27</v>
      </c>
      <c r="C207" s="1" t="s">
        <v>364</v>
      </c>
      <c r="D207" s="1" t="s">
        <v>365</v>
      </c>
      <c r="E207" s="1" t="s">
        <v>381</v>
      </c>
      <c r="F207" s="1" t="s">
        <v>24</v>
      </c>
      <c r="G207" s="1" t="s">
        <v>76</v>
      </c>
      <c r="H207" s="2">
        <v>842.88</v>
      </c>
      <c r="I207" s="1" t="s">
        <v>44</v>
      </c>
      <c r="J207" s="3" t="s">
        <v>27</v>
      </c>
      <c r="K207" s="2">
        <v>714.30</v>
      </c>
      <c r="L207" s="2">
        <v>0</v>
      </c>
      <c r="M207" s="2">
        <v>64.290000000000006</v>
      </c>
      <c r="N207" s="2">
        <v>64.290000000000006</v>
      </c>
      <c r="O207" s="2">
        <v>0</v>
      </c>
      <c r="P207" s="7" t="s">
        <v>28</v>
      </c>
      <c r="Q207" s="1" t="s">
        <v>367</v>
      </c>
      <c r="R207" s="3" t="s">
        <v>45</v>
      </c>
      <c r="S207" s="1" t="s">
        <v>46</v>
      </c>
      <c r="T207" s="4" t="s">
        <v>31</v>
      </c>
      <c r="U207" s="7" t="s">
        <v>46</v>
      </c>
      <c r="V207" s="7" t="s">
        <v>46</v>
      </c>
      <c r="W207" s="7" t="s">
        <v>46</v>
      </c>
      <c r="X207" s="7" t="s">
        <v>1751</v>
      </c>
      <c r="Y207" s="10">
        <f t="shared" si="7"/>
        <v>128.58000000000001</v>
      </c>
      <c r="AH207" s="5" t="e">
        <f>VLOOKUP(B207,[1]DL!$BK:$BP,6,0)</f>
        <v>#N/A</v>
      </c>
    </row>
    <row r="208" spans="1:34" ht="14.5" hidden="1">
      <c r="A208" s="5">
        <v>205</v>
      </c>
      <c r="B208" s="5" t="str">
        <f t="shared" si="6"/>
        <v>09AABFN2268A1ZM169</v>
      </c>
      <c r="C208" s="1" t="s">
        <v>382</v>
      </c>
      <c r="D208" s="1" t="s">
        <v>383</v>
      </c>
      <c r="E208" s="1" t="s">
        <v>384</v>
      </c>
      <c r="F208" s="1" t="s">
        <v>24</v>
      </c>
      <c r="G208" s="1" t="s">
        <v>154</v>
      </c>
      <c r="H208" s="2">
        <v>16348.90</v>
      </c>
      <c r="I208" s="1" t="s">
        <v>44</v>
      </c>
      <c r="J208" s="3" t="s">
        <v>27</v>
      </c>
      <c r="K208" s="2">
        <v>13855</v>
      </c>
      <c r="L208" s="2">
        <v>2493.90</v>
      </c>
      <c r="M208" s="2">
        <v>0</v>
      </c>
      <c r="N208" s="2">
        <v>0</v>
      </c>
      <c r="O208" s="2">
        <v>0</v>
      </c>
      <c r="P208" s="7" t="s">
        <v>28</v>
      </c>
      <c r="Q208" s="1" t="s">
        <v>94</v>
      </c>
      <c r="R208" s="3" t="s">
        <v>45</v>
      </c>
      <c r="S208" s="1" t="s">
        <v>46</v>
      </c>
      <c r="T208" s="4" t="s">
        <v>31</v>
      </c>
      <c r="U208" s="7" t="s">
        <v>46</v>
      </c>
      <c r="V208" s="7" t="s">
        <v>46</v>
      </c>
      <c r="W208" s="7" t="s">
        <v>46</v>
      </c>
      <c r="X208" s="7" t="s">
        <v>1751</v>
      </c>
      <c r="Y208" s="10">
        <f t="shared" si="7"/>
        <v>2493.9000000000001</v>
      </c>
      <c r="AH208" s="5" t="e">
        <f>VLOOKUP(B208,[1]DL!$BK:$BP,6,0)</f>
        <v>#N/A</v>
      </c>
    </row>
    <row r="209" spans="1:34" ht="14.5" hidden="1">
      <c r="A209" s="5">
        <v>206</v>
      </c>
      <c r="B209" s="5" t="str">
        <f t="shared" si="6"/>
        <v>09AABFN2268A1ZM76</v>
      </c>
      <c r="C209" s="1" t="s">
        <v>382</v>
      </c>
      <c r="D209" s="1" t="s">
        <v>383</v>
      </c>
      <c r="E209" s="1" t="s">
        <v>181</v>
      </c>
      <c r="F209" s="1" t="s">
        <v>24</v>
      </c>
      <c r="G209" s="1" t="s">
        <v>385</v>
      </c>
      <c r="H209" s="2">
        <v>1504.5</v>
      </c>
      <c r="I209" s="1" t="s">
        <v>44</v>
      </c>
      <c r="J209" s="3" t="s">
        <v>27</v>
      </c>
      <c r="K209" s="2">
        <v>1275</v>
      </c>
      <c r="L209" s="2">
        <v>229.5</v>
      </c>
      <c r="M209" s="2">
        <v>0</v>
      </c>
      <c r="N209" s="2">
        <v>0</v>
      </c>
      <c r="O209" s="2">
        <v>0</v>
      </c>
      <c r="P209" s="7" t="s">
        <v>28</v>
      </c>
      <c r="Q209" s="1" t="s">
        <v>94</v>
      </c>
      <c r="R209" s="3" t="s">
        <v>45</v>
      </c>
      <c r="S209" s="1" t="s">
        <v>46</v>
      </c>
      <c r="T209" s="4" t="s">
        <v>31</v>
      </c>
      <c r="U209" s="7" t="s">
        <v>46</v>
      </c>
      <c r="V209" s="7" t="s">
        <v>46</v>
      </c>
      <c r="W209" s="7" t="s">
        <v>46</v>
      </c>
      <c r="X209" s="7" t="s">
        <v>1751</v>
      </c>
      <c r="Y209" s="10">
        <f t="shared" si="7"/>
        <v>229.5</v>
      </c>
      <c r="AH209" s="5" t="e">
        <f>VLOOKUP(B209,[1]DL!$BK:$BP,6,0)</f>
        <v>#N/A</v>
      </c>
    </row>
    <row r="210" spans="1:34" ht="14.5" hidden="1">
      <c r="A210" s="5">
        <v>207</v>
      </c>
      <c r="B210" s="5" t="str">
        <f t="shared" si="6"/>
        <v>07AAAFN5180G1ZESUB2026-27-1315</v>
      </c>
      <c r="C210" s="1" t="s">
        <v>386</v>
      </c>
      <c r="D210" s="1" t="s">
        <v>387</v>
      </c>
      <c r="E210" s="1" t="s">
        <v>388</v>
      </c>
      <c r="F210" s="1" t="s">
        <v>24</v>
      </c>
      <c r="G210" s="1" t="s">
        <v>54</v>
      </c>
      <c r="H210" s="2">
        <v>28556</v>
      </c>
      <c r="I210" s="1" t="s">
        <v>44</v>
      </c>
      <c r="J210" s="3" t="s">
        <v>27</v>
      </c>
      <c r="K210" s="2">
        <v>24200</v>
      </c>
      <c r="L210" s="2">
        <v>0</v>
      </c>
      <c r="M210" s="2">
        <v>2178</v>
      </c>
      <c r="N210" s="2">
        <v>2178</v>
      </c>
      <c r="O210" s="2">
        <v>0</v>
      </c>
      <c r="P210" s="7" t="s">
        <v>28</v>
      </c>
      <c r="Q210" s="1" t="s">
        <v>29</v>
      </c>
      <c r="R210" s="3" t="s">
        <v>45</v>
      </c>
      <c r="S210" s="1" t="s">
        <v>46</v>
      </c>
      <c r="T210" s="4" t="s">
        <v>31</v>
      </c>
      <c r="U210" s="7" t="s">
        <v>32</v>
      </c>
      <c r="V210" s="7" t="s">
        <v>389</v>
      </c>
      <c r="W210" s="7" t="s">
        <v>171</v>
      </c>
      <c r="X210" s="7" t="s">
        <v>1751</v>
      </c>
      <c r="Y210" s="10">
        <f t="shared" si="7"/>
        <v>4356</v>
      </c>
      <c r="AH210" s="5" t="e">
        <f>VLOOKUP(B210,[1]DL!$BK:$BP,6,0)</f>
        <v>#N/A</v>
      </c>
    </row>
    <row r="211" spans="1:34" ht="14.5" hidden="1">
      <c r="A211" s="5">
        <v>208</v>
      </c>
      <c r="B211" s="5" t="str">
        <f t="shared" si="6"/>
        <v>07AAAFN5180G1ZESUB2026-27-1316</v>
      </c>
      <c r="C211" s="1" t="s">
        <v>386</v>
      </c>
      <c r="D211" s="1" t="s">
        <v>387</v>
      </c>
      <c r="E211" s="1" t="s">
        <v>390</v>
      </c>
      <c r="F211" s="1" t="s">
        <v>24</v>
      </c>
      <c r="G211" s="1" t="s">
        <v>54</v>
      </c>
      <c r="H211" s="2">
        <v>28556</v>
      </c>
      <c r="I211" s="1" t="s">
        <v>44</v>
      </c>
      <c r="J211" s="3" t="s">
        <v>27</v>
      </c>
      <c r="K211" s="2">
        <v>24200</v>
      </c>
      <c r="L211" s="2">
        <v>0</v>
      </c>
      <c r="M211" s="2">
        <v>2178</v>
      </c>
      <c r="N211" s="2">
        <v>2178</v>
      </c>
      <c r="O211" s="2">
        <v>0</v>
      </c>
      <c r="P211" s="7" t="s">
        <v>28</v>
      </c>
      <c r="Q211" s="1" t="s">
        <v>29</v>
      </c>
      <c r="R211" s="3" t="s">
        <v>45</v>
      </c>
      <c r="S211" s="1" t="s">
        <v>46</v>
      </c>
      <c r="T211" s="4" t="s">
        <v>31</v>
      </c>
      <c r="U211" s="7" t="s">
        <v>32</v>
      </c>
      <c r="V211" s="7" t="s">
        <v>391</v>
      </c>
      <c r="W211" s="7" t="s">
        <v>171</v>
      </c>
      <c r="X211" s="7" t="s">
        <v>1751</v>
      </c>
      <c r="Y211" s="10">
        <f t="shared" si="7"/>
        <v>4356</v>
      </c>
      <c r="AH211" s="5" t="e">
        <f>VLOOKUP(B211,[1]DL!$BK:$BP,6,0)</f>
        <v>#N/A</v>
      </c>
    </row>
    <row r="212" spans="1:34" ht="14.5">
      <c r="A212" s="5">
        <v>209</v>
      </c>
      <c r="B212" s="5" t="str">
        <f t="shared" si="6"/>
        <v>07AATPA1288M1Z9NC/26-27/0105</v>
      </c>
      <c r="C212" s="1" t="s">
        <v>392</v>
      </c>
      <c r="D212" s="1" t="s">
        <v>393</v>
      </c>
      <c r="E212" s="1" t="s">
        <v>394</v>
      </c>
      <c r="F212" s="1" t="s">
        <v>24</v>
      </c>
      <c r="G212" s="1" t="s">
        <v>125</v>
      </c>
      <c r="H212" s="2">
        <v>1947</v>
      </c>
      <c r="I212" s="1" t="s">
        <v>44</v>
      </c>
      <c r="J212" s="3" t="s">
        <v>27</v>
      </c>
      <c r="K212" s="2">
        <v>1650</v>
      </c>
      <c r="L212" s="2">
        <v>0</v>
      </c>
      <c r="M212" s="2">
        <v>148.5</v>
      </c>
      <c r="N212" s="2">
        <v>148.5</v>
      </c>
      <c r="O212" s="2">
        <v>0</v>
      </c>
      <c r="P212" s="7" t="s">
        <v>28</v>
      </c>
      <c r="Q212" s="1" t="s">
        <v>395</v>
      </c>
      <c r="R212" s="3" t="s">
        <v>45</v>
      </c>
      <c r="S212" s="1" t="s">
        <v>46</v>
      </c>
      <c r="T212" s="4" t="s">
        <v>31</v>
      </c>
      <c r="U212" s="7" t="s">
        <v>46</v>
      </c>
      <c r="V212" s="7" t="s">
        <v>46</v>
      </c>
      <c r="W212" s="7" t="s">
        <v>46</v>
      </c>
      <c r="X212" s="7" t="s">
        <v>1751</v>
      </c>
      <c r="Y212" s="10">
        <f t="shared" si="7"/>
        <v>297</v>
      </c>
      <c r="Z212" s="5">
        <v>9166965</v>
      </c>
      <c r="AA212" s="5" t="s">
        <v>1922</v>
      </c>
      <c r="AB212" s="5" t="s">
        <v>1751</v>
      </c>
      <c r="AC212" s="5" t="s">
        <v>1924</v>
      </c>
      <c r="AE212" s="5" t="s">
        <v>1923</v>
      </c>
      <c r="AH212" s="5">
        <f>VLOOKUP(B212,[1]DL!$BK:$BP,6,0)</f>
        <v>9166965</v>
      </c>
    </row>
    <row r="213" spans="1:34" ht="14.5">
      <c r="A213" s="5">
        <v>210</v>
      </c>
      <c r="B213" s="5" t="str">
        <f t="shared" si="6"/>
        <v>07AATPA1288M1Z9NC/26-27/0140</v>
      </c>
      <c r="C213" s="1" t="s">
        <v>392</v>
      </c>
      <c r="D213" s="1" t="s">
        <v>393</v>
      </c>
      <c r="E213" s="1" t="s">
        <v>396</v>
      </c>
      <c r="F213" s="1" t="s">
        <v>24</v>
      </c>
      <c r="G213" s="1" t="s">
        <v>52</v>
      </c>
      <c r="H213" s="2">
        <v>50551.20</v>
      </c>
      <c r="I213" s="1" t="s">
        <v>44</v>
      </c>
      <c r="J213" s="3" t="s">
        <v>27</v>
      </c>
      <c r="K213" s="2">
        <v>42840</v>
      </c>
      <c r="L213" s="2">
        <v>0</v>
      </c>
      <c r="M213" s="2">
        <v>3855.60</v>
      </c>
      <c r="N213" s="2">
        <v>3855.60</v>
      </c>
      <c r="O213" s="2">
        <v>0</v>
      </c>
      <c r="P213" s="7" t="s">
        <v>28</v>
      </c>
      <c r="Q213" s="1" t="s">
        <v>395</v>
      </c>
      <c r="R213" s="3" t="s">
        <v>45</v>
      </c>
      <c r="S213" s="1" t="s">
        <v>46</v>
      </c>
      <c r="T213" s="4" t="s">
        <v>31</v>
      </c>
      <c r="U213" s="7" t="s">
        <v>46</v>
      </c>
      <c r="V213" s="7" t="s">
        <v>46</v>
      </c>
      <c r="W213" s="7" t="s">
        <v>46</v>
      </c>
      <c r="X213" s="7" t="s">
        <v>1751</v>
      </c>
      <c r="Y213" s="10">
        <f t="shared" si="7"/>
        <v>7711.1999999999998</v>
      </c>
      <c r="Z213" s="5">
        <v>9175766</v>
      </c>
      <c r="AA213" s="5" t="s">
        <v>1922</v>
      </c>
      <c r="AB213" s="5" t="s">
        <v>1751</v>
      </c>
      <c r="AC213" s="5" t="s">
        <v>1924</v>
      </c>
      <c r="AE213" s="5" t="s">
        <v>1923</v>
      </c>
      <c r="AH213" s="5">
        <f>VLOOKUP(B213,[1]DL!$BK:$BP,6,0)</f>
        <v>9175766</v>
      </c>
    </row>
    <row r="214" spans="1:34" ht="14.5" hidden="1">
      <c r="A214" s="5">
        <v>211</v>
      </c>
      <c r="B214" s="5" t="str">
        <f t="shared" si="6"/>
        <v>07AATPA1288M1Z9NC/26-27/0152</v>
      </c>
      <c r="C214" s="1" t="s">
        <v>392</v>
      </c>
      <c r="D214" s="1" t="s">
        <v>393</v>
      </c>
      <c r="E214" s="1" t="s">
        <v>397</v>
      </c>
      <c r="F214" s="1" t="s">
        <v>24</v>
      </c>
      <c r="G214" s="1" t="s">
        <v>398</v>
      </c>
      <c r="H214" s="2">
        <v>13499.20</v>
      </c>
      <c r="I214" s="1" t="s">
        <v>44</v>
      </c>
      <c r="J214" s="3" t="s">
        <v>27</v>
      </c>
      <c r="K214" s="2">
        <v>11440</v>
      </c>
      <c r="L214" s="2">
        <v>0</v>
      </c>
      <c r="M214" s="2">
        <v>1029.5999999999999</v>
      </c>
      <c r="N214" s="2">
        <v>1029.5999999999999</v>
      </c>
      <c r="O214" s="2">
        <v>0</v>
      </c>
      <c r="P214" s="7" t="s">
        <v>28</v>
      </c>
      <c r="Q214" s="1" t="s">
        <v>395</v>
      </c>
      <c r="R214" s="3" t="s">
        <v>45</v>
      </c>
      <c r="S214" s="1" t="s">
        <v>46</v>
      </c>
      <c r="T214" s="4" t="s">
        <v>31</v>
      </c>
      <c r="U214" s="7" t="s">
        <v>46</v>
      </c>
      <c r="V214" s="7" t="s">
        <v>46</v>
      </c>
      <c r="W214" s="7" t="s">
        <v>46</v>
      </c>
      <c r="X214" s="7" t="s">
        <v>1751</v>
      </c>
      <c r="Y214" s="10">
        <f t="shared" si="7"/>
        <v>2059.1999999999998</v>
      </c>
      <c r="AH214" s="5" t="e">
        <f>VLOOKUP(B214,[1]DL!$BK:$BP,6,0)</f>
        <v>#N/A</v>
      </c>
    </row>
    <row r="215" spans="1:34" ht="14.5" hidden="1">
      <c r="A215" s="5">
        <v>212</v>
      </c>
      <c r="B215" s="5" t="str">
        <f t="shared" si="6"/>
        <v>07AATPA1288M1Z9NC/26-27/0160</v>
      </c>
      <c r="C215" s="1" t="s">
        <v>392</v>
      </c>
      <c r="D215" s="1" t="s">
        <v>393</v>
      </c>
      <c r="E215" s="1" t="s">
        <v>399</v>
      </c>
      <c r="F215" s="1" t="s">
        <v>24</v>
      </c>
      <c r="G215" s="1" t="s">
        <v>35</v>
      </c>
      <c r="H215" s="2">
        <v>3363</v>
      </c>
      <c r="I215" s="1" t="s">
        <v>44</v>
      </c>
      <c r="J215" s="3" t="s">
        <v>27</v>
      </c>
      <c r="K215" s="2">
        <v>2850</v>
      </c>
      <c r="L215" s="2">
        <v>0</v>
      </c>
      <c r="M215" s="2">
        <v>256.5</v>
      </c>
      <c r="N215" s="2">
        <v>256.5</v>
      </c>
      <c r="O215" s="2">
        <v>0</v>
      </c>
      <c r="P215" s="7" t="s">
        <v>28</v>
      </c>
      <c r="Q215" s="1" t="s">
        <v>395</v>
      </c>
      <c r="R215" s="3" t="s">
        <v>45</v>
      </c>
      <c r="S215" s="1" t="s">
        <v>46</v>
      </c>
      <c r="T215" s="4" t="s">
        <v>31</v>
      </c>
      <c r="U215" s="7" t="s">
        <v>46</v>
      </c>
      <c r="V215" s="7" t="s">
        <v>46</v>
      </c>
      <c r="W215" s="7" t="s">
        <v>46</v>
      </c>
      <c r="X215" s="7" t="s">
        <v>1751</v>
      </c>
      <c r="Y215" s="10">
        <f t="shared" si="7"/>
        <v>513</v>
      </c>
      <c r="AH215" s="5" t="e">
        <f>VLOOKUP(B215,[1]DL!$BK:$BP,6,0)</f>
        <v>#N/A</v>
      </c>
    </row>
    <row r="216" spans="1:34" ht="14.5" hidden="1">
      <c r="A216" s="5">
        <v>213</v>
      </c>
      <c r="B216" s="5" t="str">
        <f t="shared" si="6"/>
        <v>07AATPA1288M1Z9NC/26-27/0162</v>
      </c>
      <c r="C216" s="1" t="s">
        <v>392</v>
      </c>
      <c r="D216" s="1" t="s">
        <v>393</v>
      </c>
      <c r="E216" s="1" t="s">
        <v>400</v>
      </c>
      <c r="F216" s="1" t="s">
        <v>24</v>
      </c>
      <c r="G216" s="1" t="s">
        <v>35</v>
      </c>
      <c r="H216" s="2">
        <v>40497.60</v>
      </c>
      <c r="I216" s="1" t="s">
        <v>44</v>
      </c>
      <c r="J216" s="3" t="s">
        <v>27</v>
      </c>
      <c r="K216" s="2">
        <v>34320</v>
      </c>
      <c r="L216" s="2">
        <v>0</v>
      </c>
      <c r="M216" s="2">
        <v>3088.80</v>
      </c>
      <c r="N216" s="2">
        <v>3088.80</v>
      </c>
      <c r="O216" s="2">
        <v>0</v>
      </c>
      <c r="P216" s="7" t="s">
        <v>28</v>
      </c>
      <c r="Q216" s="1" t="s">
        <v>395</v>
      </c>
      <c r="R216" s="3" t="s">
        <v>45</v>
      </c>
      <c r="S216" s="1" t="s">
        <v>46</v>
      </c>
      <c r="T216" s="4" t="s">
        <v>31</v>
      </c>
      <c r="U216" s="7" t="s">
        <v>46</v>
      </c>
      <c r="V216" s="7" t="s">
        <v>46</v>
      </c>
      <c r="W216" s="7" t="s">
        <v>46</v>
      </c>
      <c r="X216" s="7" t="s">
        <v>1751</v>
      </c>
      <c r="Y216" s="10">
        <f t="shared" si="7"/>
        <v>6177.6000000000004</v>
      </c>
      <c r="AH216" s="5" t="e">
        <f>VLOOKUP(B216,[1]DL!$BK:$BP,6,0)</f>
        <v>#N/A</v>
      </c>
    </row>
    <row r="217" spans="1:34" ht="14.5" hidden="1">
      <c r="A217" s="5">
        <v>214</v>
      </c>
      <c r="B217" s="5" t="str">
        <f t="shared" si="6"/>
        <v>07AATPA1288M1Z9NC/26-27/0220</v>
      </c>
      <c r="C217" s="1" t="s">
        <v>392</v>
      </c>
      <c r="D217" s="1" t="s">
        <v>393</v>
      </c>
      <c r="E217" s="1" t="s">
        <v>401</v>
      </c>
      <c r="F217" s="1" t="s">
        <v>24</v>
      </c>
      <c r="G217" s="1" t="s">
        <v>133</v>
      </c>
      <c r="H217" s="2">
        <v>17051</v>
      </c>
      <c r="I217" s="1" t="s">
        <v>44</v>
      </c>
      <c r="J217" s="3" t="s">
        <v>27</v>
      </c>
      <c r="K217" s="2">
        <v>14450</v>
      </c>
      <c r="L217" s="2">
        <v>0</v>
      </c>
      <c r="M217" s="2">
        <v>1300.5</v>
      </c>
      <c r="N217" s="2">
        <v>1300.5</v>
      </c>
      <c r="O217" s="2">
        <v>0</v>
      </c>
      <c r="P217" s="7" t="s">
        <v>28</v>
      </c>
      <c r="Q217" s="1" t="s">
        <v>395</v>
      </c>
      <c r="R217" s="3" t="s">
        <v>45</v>
      </c>
      <c r="S217" s="1" t="s">
        <v>46</v>
      </c>
      <c r="T217" s="4" t="s">
        <v>31</v>
      </c>
      <c r="U217" s="7" t="s">
        <v>46</v>
      </c>
      <c r="V217" s="7" t="s">
        <v>46</v>
      </c>
      <c r="W217" s="7" t="s">
        <v>46</v>
      </c>
      <c r="X217" s="7" t="s">
        <v>1751</v>
      </c>
      <c r="Y217" s="10">
        <f t="shared" si="7"/>
        <v>2601</v>
      </c>
      <c r="AH217" s="5" t="e">
        <f>VLOOKUP(B217,[1]DL!$BK:$BP,6,0)</f>
        <v>#N/A</v>
      </c>
    </row>
    <row r="218" spans="1:34" ht="14.5" hidden="1">
      <c r="A218" s="5">
        <v>215</v>
      </c>
      <c r="B218" s="5" t="str">
        <f t="shared" si="6"/>
        <v>07AATPA1288M1Z9NC/26-27/0258</v>
      </c>
      <c r="C218" s="1" t="s">
        <v>392</v>
      </c>
      <c r="D218" s="1" t="s">
        <v>393</v>
      </c>
      <c r="E218" s="1" t="s">
        <v>402</v>
      </c>
      <c r="F218" s="1" t="s">
        <v>24</v>
      </c>
      <c r="G218" s="1" t="s">
        <v>76</v>
      </c>
      <c r="H218" s="2">
        <v>2478</v>
      </c>
      <c r="I218" s="1" t="s">
        <v>44</v>
      </c>
      <c r="J218" s="3" t="s">
        <v>27</v>
      </c>
      <c r="K218" s="2">
        <v>2100</v>
      </c>
      <c r="L218" s="2">
        <v>0</v>
      </c>
      <c r="M218" s="2">
        <v>189</v>
      </c>
      <c r="N218" s="2">
        <v>189</v>
      </c>
      <c r="O218" s="2">
        <v>0</v>
      </c>
      <c r="P218" s="7" t="s">
        <v>28</v>
      </c>
      <c r="Q218" s="1" t="s">
        <v>395</v>
      </c>
      <c r="R218" s="3" t="s">
        <v>45</v>
      </c>
      <c r="S218" s="1" t="s">
        <v>46</v>
      </c>
      <c r="T218" s="4" t="s">
        <v>31</v>
      </c>
      <c r="U218" s="7" t="s">
        <v>46</v>
      </c>
      <c r="V218" s="7" t="s">
        <v>46</v>
      </c>
      <c r="W218" s="7" t="s">
        <v>46</v>
      </c>
      <c r="X218" s="7" t="s">
        <v>1751</v>
      </c>
      <c r="Y218" s="10">
        <f t="shared" si="7"/>
        <v>378</v>
      </c>
      <c r="AH218" s="5" t="e">
        <f>VLOOKUP(B218,[1]DL!$BK:$BP,6,0)</f>
        <v>#N/A</v>
      </c>
    </row>
    <row r="219" spans="1:34" ht="14.5" hidden="1">
      <c r="A219" s="5">
        <v>216</v>
      </c>
      <c r="B219" s="5" t="str">
        <f t="shared" si="6"/>
        <v>07EBIPS6562L1ZVHMT-19/26-27</v>
      </c>
      <c r="C219" s="1" t="s">
        <v>403</v>
      </c>
      <c r="D219" s="1" t="s">
        <v>404</v>
      </c>
      <c r="E219" s="1" t="s">
        <v>405</v>
      </c>
      <c r="F219" s="1" t="s">
        <v>24</v>
      </c>
      <c r="G219" s="1" t="s">
        <v>50</v>
      </c>
      <c r="H219" s="2">
        <v>3800</v>
      </c>
      <c r="I219" s="1" t="s">
        <v>44</v>
      </c>
      <c r="J219" s="3" t="s">
        <v>27</v>
      </c>
      <c r="K219" s="2">
        <v>3220.32</v>
      </c>
      <c r="L219" s="2">
        <v>0</v>
      </c>
      <c r="M219" s="2">
        <v>289.83999999999997</v>
      </c>
      <c r="N219" s="2">
        <v>289.83999999999997</v>
      </c>
      <c r="O219" s="2">
        <v>0</v>
      </c>
      <c r="P219" s="7" t="s">
        <v>28</v>
      </c>
      <c r="Q219" s="1" t="s">
        <v>29</v>
      </c>
      <c r="R219" s="3" t="s">
        <v>45</v>
      </c>
      <c r="S219" s="1" t="s">
        <v>46</v>
      </c>
      <c r="T219" s="4" t="s">
        <v>31</v>
      </c>
      <c r="U219" s="7" t="s">
        <v>46</v>
      </c>
      <c r="V219" s="7" t="s">
        <v>46</v>
      </c>
      <c r="W219" s="7" t="s">
        <v>46</v>
      </c>
      <c r="X219" s="7" t="s">
        <v>1751</v>
      </c>
      <c r="Y219" s="10">
        <f t="shared" si="7"/>
        <v>579.67999999999995</v>
      </c>
      <c r="AH219" s="5" t="e">
        <f>VLOOKUP(B219,[1]DL!$BK:$BP,6,0)</f>
        <v>#N/A</v>
      </c>
    </row>
    <row r="220" spans="1:34" ht="14.5" hidden="1">
      <c r="A220" s="5">
        <v>217</v>
      </c>
      <c r="B220" s="5" t="str">
        <f t="shared" si="6"/>
        <v>09ALUPK7076P1ZV264</v>
      </c>
      <c r="C220" s="1" t="s">
        <v>406</v>
      </c>
      <c r="D220" s="1" t="s">
        <v>407</v>
      </c>
      <c r="E220" s="1" t="s">
        <v>408</v>
      </c>
      <c r="F220" s="1" t="s">
        <v>24</v>
      </c>
      <c r="G220" s="1" t="s">
        <v>409</v>
      </c>
      <c r="H220" s="2">
        <v>20402</v>
      </c>
      <c r="I220" s="1" t="s">
        <v>44</v>
      </c>
      <c r="J220" s="3" t="s">
        <v>45</v>
      </c>
      <c r="K220" s="2">
        <v>20402</v>
      </c>
      <c r="L220" s="2">
        <v>1020.10</v>
      </c>
      <c r="M220" s="2">
        <v>0</v>
      </c>
      <c r="N220" s="2">
        <v>0</v>
      </c>
      <c r="O220" s="2">
        <v>0</v>
      </c>
      <c r="P220" s="7" t="s">
        <v>203</v>
      </c>
      <c r="Q220" s="1" t="s">
        <v>133</v>
      </c>
      <c r="R220" s="3" t="s">
        <v>45</v>
      </c>
      <c r="S220" s="1" t="s">
        <v>46</v>
      </c>
      <c r="T220" s="4" t="s">
        <v>31</v>
      </c>
      <c r="U220" s="7" t="s">
        <v>46</v>
      </c>
      <c r="V220" s="7" t="s">
        <v>46</v>
      </c>
      <c r="W220" s="7" t="s">
        <v>46</v>
      </c>
      <c r="X220" s="7" t="s">
        <v>1751</v>
      </c>
      <c r="Y220" s="10">
        <f t="shared" si="7"/>
        <v>1020.1</v>
      </c>
      <c r="AH220" s="5" t="e">
        <f>VLOOKUP(B220,[1]DL!$BK:$BP,6,0)</f>
        <v>#N/A</v>
      </c>
    </row>
    <row r="221" spans="1:34" ht="14.5">
      <c r="A221" s="5">
        <v>218</v>
      </c>
      <c r="B221" s="5" t="str">
        <f t="shared" si="6"/>
        <v>07AAECC1851C1Z5CC/GN/0001/26-27</v>
      </c>
      <c r="C221" s="1" t="s">
        <v>410</v>
      </c>
      <c r="D221" s="1" t="s">
        <v>411</v>
      </c>
      <c r="E221" s="1" t="s">
        <v>412</v>
      </c>
      <c r="F221" s="1" t="s">
        <v>24</v>
      </c>
      <c r="G221" s="1" t="s">
        <v>54</v>
      </c>
      <c r="H221" s="2">
        <v>165200</v>
      </c>
      <c r="I221" s="1" t="s">
        <v>44</v>
      </c>
      <c r="J221" s="3" t="s">
        <v>27</v>
      </c>
      <c r="K221" s="2">
        <v>140000</v>
      </c>
      <c r="L221" s="2">
        <v>0</v>
      </c>
      <c r="M221" s="2">
        <v>12600</v>
      </c>
      <c r="N221" s="2">
        <v>12600</v>
      </c>
      <c r="O221" s="2">
        <v>0</v>
      </c>
      <c r="P221" s="7" t="s">
        <v>28</v>
      </c>
      <c r="Q221" s="1" t="s">
        <v>29</v>
      </c>
      <c r="R221" s="3" t="s">
        <v>45</v>
      </c>
      <c r="S221" s="1" t="s">
        <v>46</v>
      </c>
      <c r="T221" s="4" t="s">
        <v>31</v>
      </c>
      <c r="U221" s="7" t="s">
        <v>46</v>
      </c>
      <c r="V221" s="7" t="s">
        <v>46</v>
      </c>
      <c r="W221" s="7" t="s">
        <v>46</v>
      </c>
      <c r="X221" s="7" t="s">
        <v>1751</v>
      </c>
      <c r="Y221" s="10">
        <f t="shared" si="7"/>
        <v>25200</v>
      </c>
      <c r="Z221" s="5">
        <v>9151133</v>
      </c>
      <c r="AA221" s="5" t="s">
        <v>1922</v>
      </c>
      <c r="AB221" s="5" t="s">
        <v>1751</v>
      </c>
      <c r="AC221" s="5" t="s">
        <v>1925</v>
      </c>
      <c r="AE221" s="5" t="s">
        <v>1923</v>
      </c>
      <c r="AH221" s="5">
        <f>VLOOKUP(B221,[1]DL!$BK:$BP,6,0)</f>
        <v>9151133</v>
      </c>
    </row>
    <row r="222" spans="1:34" ht="14.5">
      <c r="A222" s="5">
        <v>219</v>
      </c>
      <c r="B222" s="5" t="str">
        <f t="shared" si="6"/>
        <v>07AAOFS6787Q1ZVSME/26-27/98</v>
      </c>
      <c r="C222" s="1" t="s">
        <v>413</v>
      </c>
      <c r="D222" s="1" t="s">
        <v>414</v>
      </c>
      <c r="E222" s="1" t="s">
        <v>415</v>
      </c>
      <c r="F222" s="1" t="s">
        <v>24</v>
      </c>
      <c r="G222" s="1" t="s">
        <v>52</v>
      </c>
      <c r="H222" s="2">
        <v>5900</v>
      </c>
      <c r="I222" s="1" t="s">
        <v>44</v>
      </c>
      <c r="J222" s="3" t="s">
        <v>27</v>
      </c>
      <c r="K222" s="2">
        <v>5000</v>
      </c>
      <c r="L222" s="2">
        <v>0</v>
      </c>
      <c r="M222" s="2">
        <v>450</v>
      </c>
      <c r="N222" s="2">
        <v>450</v>
      </c>
      <c r="O222" s="2">
        <v>0</v>
      </c>
      <c r="P222" s="7" t="s">
        <v>28</v>
      </c>
      <c r="Q222" s="1" t="s">
        <v>94</v>
      </c>
      <c r="R222" s="3" t="s">
        <v>45</v>
      </c>
      <c r="S222" s="1" t="s">
        <v>46</v>
      </c>
      <c r="T222" s="4" t="s">
        <v>31</v>
      </c>
      <c r="U222" s="7" t="s">
        <v>32</v>
      </c>
      <c r="V222" s="7" t="s">
        <v>416</v>
      </c>
      <c r="W222" s="7" t="s">
        <v>52</v>
      </c>
      <c r="X222" s="7" t="s">
        <v>1751</v>
      </c>
      <c r="Y222" s="10">
        <f t="shared" si="7"/>
        <v>900</v>
      </c>
      <c r="Z222" s="5">
        <v>9168298</v>
      </c>
      <c r="AA222" s="5" t="s">
        <v>1922</v>
      </c>
      <c r="AB222" s="5" t="s">
        <v>1751</v>
      </c>
      <c r="AC222" s="5" t="s">
        <v>1924</v>
      </c>
      <c r="AE222" s="5" t="s">
        <v>1923</v>
      </c>
      <c r="AH222" s="5">
        <f>VLOOKUP(B222,[1]DL!$BK:$BP,6,0)</f>
        <v>9168298</v>
      </c>
    </row>
    <row r="223" spans="1:34" ht="14.5" hidden="1">
      <c r="A223" s="5">
        <v>220</v>
      </c>
      <c r="B223" s="5" t="str">
        <f t="shared" si="6"/>
        <v>33AADCG4356R1Z62627/285800615</v>
      </c>
      <c r="C223" s="1" t="s">
        <v>417</v>
      </c>
      <c r="D223" s="1" t="s">
        <v>418</v>
      </c>
      <c r="E223" s="1" t="s">
        <v>419</v>
      </c>
      <c r="F223" s="1" t="s">
        <v>24</v>
      </c>
      <c r="G223" s="1" t="s">
        <v>420</v>
      </c>
      <c r="H223" s="2">
        <v>74340</v>
      </c>
      <c r="I223" s="1" t="s">
        <v>44</v>
      </c>
      <c r="J223" s="3" t="s">
        <v>27</v>
      </c>
      <c r="K223" s="2">
        <v>63000</v>
      </c>
      <c r="L223" s="2">
        <v>11340</v>
      </c>
      <c r="M223" s="2">
        <v>0</v>
      </c>
      <c r="N223" s="2">
        <v>0</v>
      </c>
      <c r="O223" s="2">
        <v>0</v>
      </c>
      <c r="P223" s="7" t="s">
        <v>28</v>
      </c>
      <c r="Q223" s="1" t="s">
        <v>29</v>
      </c>
      <c r="R223" s="3" t="s">
        <v>45</v>
      </c>
      <c r="S223" s="1" t="s">
        <v>46</v>
      </c>
      <c r="T223" s="4" t="s">
        <v>31</v>
      </c>
      <c r="U223" s="7" t="s">
        <v>32</v>
      </c>
      <c r="V223" s="7" t="s">
        <v>421</v>
      </c>
      <c r="W223" s="7" t="s">
        <v>420</v>
      </c>
      <c r="X223" s="7" t="s">
        <v>1751</v>
      </c>
      <c r="Y223" s="10">
        <f t="shared" si="7"/>
        <v>11340</v>
      </c>
      <c r="AH223" s="5" t="e">
        <f>VLOOKUP(B223,[1]DL!$BK:$BP,6,0)</f>
        <v>#N/A</v>
      </c>
    </row>
    <row r="224" spans="1:34" ht="14.5">
      <c r="A224" s="5">
        <v>221</v>
      </c>
      <c r="B224" s="5" t="str">
        <f t="shared" si="6"/>
        <v>07AAJCS4628Q1ZMSQUA/27/T000001</v>
      </c>
      <c r="C224" s="1" t="s">
        <v>422</v>
      </c>
      <c r="D224" s="1" t="s">
        <v>423</v>
      </c>
      <c r="E224" s="1" t="s">
        <v>424</v>
      </c>
      <c r="F224" s="1" t="s">
        <v>24</v>
      </c>
      <c r="G224" s="1" t="s">
        <v>54</v>
      </c>
      <c r="H224" s="2">
        <v>934560</v>
      </c>
      <c r="I224" s="1" t="s">
        <v>44</v>
      </c>
      <c r="J224" s="3" t="s">
        <v>27</v>
      </c>
      <c r="K224" s="2">
        <v>792000</v>
      </c>
      <c r="L224" s="2">
        <v>0</v>
      </c>
      <c r="M224" s="2">
        <v>71280</v>
      </c>
      <c r="N224" s="2">
        <v>71280</v>
      </c>
      <c r="O224" s="2">
        <v>0</v>
      </c>
      <c r="P224" s="7" t="s">
        <v>28</v>
      </c>
      <c r="Q224" s="1" t="s">
        <v>120</v>
      </c>
      <c r="R224" s="3" t="s">
        <v>45</v>
      </c>
      <c r="S224" s="1" t="s">
        <v>46</v>
      </c>
      <c r="T224" s="4" t="s">
        <v>31</v>
      </c>
      <c r="U224" s="7" t="s">
        <v>32</v>
      </c>
      <c r="V224" s="7" t="s">
        <v>425</v>
      </c>
      <c r="W224" s="7" t="s">
        <v>302</v>
      </c>
      <c r="X224" s="7" t="s">
        <v>1751</v>
      </c>
      <c r="Y224" s="10">
        <f t="shared" si="7"/>
        <v>142560</v>
      </c>
      <c r="Z224" s="5">
        <v>9151136</v>
      </c>
      <c r="AA224" s="5" t="s">
        <v>1922</v>
      </c>
      <c r="AB224" s="5" t="s">
        <v>1751</v>
      </c>
      <c r="AC224" s="5" t="s">
        <v>1924</v>
      </c>
      <c r="AE224" s="5" t="s">
        <v>1923</v>
      </c>
      <c r="AH224" s="5">
        <f>VLOOKUP(B224,[1]DL!$BK:$BP,6,0)</f>
        <v>9151136</v>
      </c>
    </row>
    <row r="225" spans="1:34" ht="14.5" hidden="1">
      <c r="A225" s="5">
        <v>222</v>
      </c>
      <c r="B225" s="5" t="str">
        <f t="shared" si="6"/>
        <v>06AAACX0540P1Z7XSPL/26-27/005</v>
      </c>
      <c r="C225" s="1" t="s">
        <v>426</v>
      </c>
      <c r="D225" s="1" t="s">
        <v>427</v>
      </c>
      <c r="E225" s="1" t="s">
        <v>428</v>
      </c>
      <c r="F225" s="1" t="s">
        <v>24</v>
      </c>
      <c r="G225" s="1" t="s">
        <v>70</v>
      </c>
      <c r="H225" s="2">
        <v>554600</v>
      </c>
      <c r="I225" s="1" t="s">
        <v>44</v>
      </c>
      <c r="J225" s="3" t="s">
        <v>27</v>
      </c>
      <c r="K225" s="2">
        <v>470000</v>
      </c>
      <c r="L225" s="2">
        <v>84600</v>
      </c>
      <c r="M225" s="2">
        <v>0</v>
      </c>
      <c r="N225" s="2">
        <v>0</v>
      </c>
      <c r="O225" s="2">
        <v>0</v>
      </c>
      <c r="P225" s="7" t="s">
        <v>28</v>
      </c>
      <c r="Q225" s="1" t="s">
        <v>94</v>
      </c>
      <c r="R225" s="3" t="s">
        <v>45</v>
      </c>
      <c r="S225" s="1" t="s">
        <v>46</v>
      </c>
      <c r="T225" s="4" t="s">
        <v>31</v>
      </c>
      <c r="U225" s="7" t="s">
        <v>46</v>
      </c>
      <c r="V225" s="7" t="s">
        <v>46</v>
      </c>
      <c r="W225" s="7" t="s">
        <v>46</v>
      </c>
      <c r="X225" s="7" t="s">
        <v>1751</v>
      </c>
      <c r="Y225" s="10">
        <f t="shared" si="7"/>
        <v>84600</v>
      </c>
      <c r="AH225" s="5" t="e">
        <f>VLOOKUP(B225,[1]DL!$BK:$BP,6,0)</f>
        <v>#N/A</v>
      </c>
    </row>
    <row r="226" spans="1:34" ht="14.5" hidden="1">
      <c r="A226" s="5">
        <v>223</v>
      </c>
      <c r="B226" s="5" t="str">
        <f t="shared" si="6"/>
        <v>04AABCG4768K1ZFGPI-CHD260500426</v>
      </c>
      <c r="C226" s="1" t="s">
        <v>429</v>
      </c>
      <c r="D226" s="1" t="s">
        <v>430</v>
      </c>
      <c r="E226" s="1" t="s">
        <v>431</v>
      </c>
      <c r="F226" s="1" t="s">
        <v>24</v>
      </c>
      <c r="G226" s="1" t="s">
        <v>289</v>
      </c>
      <c r="H226" s="2">
        <v>1335950.28</v>
      </c>
      <c r="I226" s="1" t="s">
        <v>44</v>
      </c>
      <c r="J226" s="3" t="s">
        <v>27</v>
      </c>
      <c r="K226" s="2">
        <v>890236</v>
      </c>
      <c r="L226" s="2">
        <v>445714.28</v>
      </c>
      <c r="M226" s="2">
        <v>0</v>
      </c>
      <c r="N226" s="2">
        <v>0</v>
      </c>
      <c r="O226" s="2">
        <v>0</v>
      </c>
      <c r="P226" s="7" t="s">
        <v>28</v>
      </c>
      <c r="Q226" s="1" t="s">
        <v>29</v>
      </c>
      <c r="R226" s="3" t="s">
        <v>45</v>
      </c>
      <c r="S226" s="1" t="s">
        <v>46</v>
      </c>
      <c r="T226" s="4" t="s">
        <v>31</v>
      </c>
      <c r="U226" s="7" t="s">
        <v>32</v>
      </c>
      <c r="V226" s="7" t="s">
        <v>432</v>
      </c>
      <c r="W226" s="7" t="s">
        <v>289</v>
      </c>
      <c r="X226" s="7" t="s">
        <v>1751</v>
      </c>
      <c r="Y226" s="10">
        <f t="shared" si="7"/>
        <v>445714.28000000003</v>
      </c>
      <c r="AH226" s="5" t="e">
        <f>VLOOKUP(B226,[1]DL!$BK:$BP,6,0)</f>
        <v>#N/A</v>
      </c>
    </row>
    <row r="227" spans="1:34" ht="14.5" hidden="1">
      <c r="A227" s="5">
        <v>224</v>
      </c>
      <c r="B227" s="5" t="str">
        <f t="shared" si="6"/>
        <v>07AAOPA0470E1Z596/2026-27</v>
      </c>
      <c r="C227" s="1" t="s">
        <v>433</v>
      </c>
      <c r="D227" s="1" t="s">
        <v>434</v>
      </c>
      <c r="E227" s="1" t="s">
        <v>435</v>
      </c>
      <c r="F227" s="1" t="s">
        <v>24</v>
      </c>
      <c r="G227" s="1" t="s">
        <v>52</v>
      </c>
      <c r="H227" s="2">
        <v>779</v>
      </c>
      <c r="I227" s="1" t="s">
        <v>44</v>
      </c>
      <c r="J227" s="3" t="s">
        <v>27</v>
      </c>
      <c r="K227" s="2">
        <v>660</v>
      </c>
      <c r="L227" s="2">
        <v>0</v>
      </c>
      <c r="M227" s="2">
        <v>59.40</v>
      </c>
      <c r="N227" s="2">
        <v>59.40</v>
      </c>
      <c r="O227" s="2">
        <v>0</v>
      </c>
      <c r="P227" s="7" t="s">
        <v>28</v>
      </c>
      <c r="Q227" s="1" t="s">
        <v>29</v>
      </c>
      <c r="R227" s="3" t="s">
        <v>45</v>
      </c>
      <c r="S227" s="1" t="s">
        <v>46</v>
      </c>
      <c r="T227" s="4" t="s">
        <v>31</v>
      </c>
      <c r="U227" s="7" t="s">
        <v>46</v>
      </c>
      <c r="V227" s="7" t="s">
        <v>46</v>
      </c>
      <c r="W227" s="7" t="s">
        <v>46</v>
      </c>
      <c r="X227" s="7" t="s">
        <v>1751</v>
      </c>
      <c r="Y227" s="10">
        <f t="shared" si="7"/>
        <v>118.8</v>
      </c>
      <c r="AH227" s="5" t="e">
        <f>VLOOKUP(B227,[1]DL!$BK:$BP,6,0)</f>
        <v>#N/A</v>
      </c>
    </row>
    <row r="228" spans="1:34" ht="14.5" hidden="1">
      <c r="A228" s="5">
        <v>225</v>
      </c>
      <c r="B228" s="5" t="str">
        <f t="shared" si="6"/>
        <v>07AAACI9641L1Z8SA/07/26-27/0085</v>
      </c>
      <c r="C228" s="1" t="s">
        <v>436</v>
      </c>
      <c r="D228" s="1" t="s">
        <v>437</v>
      </c>
      <c r="E228" s="1" t="s">
        <v>438</v>
      </c>
      <c r="F228" s="1" t="s">
        <v>24</v>
      </c>
      <c r="G228" s="1" t="s">
        <v>70</v>
      </c>
      <c r="H228" s="2">
        <v>6622.16</v>
      </c>
      <c r="I228" s="1" t="s">
        <v>44</v>
      </c>
      <c r="J228" s="3" t="s">
        <v>27</v>
      </c>
      <c r="K228" s="2">
        <v>5612</v>
      </c>
      <c r="L228" s="2">
        <v>0</v>
      </c>
      <c r="M228" s="2">
        <v>505.08</v>
      </c>
      <c r="N228" s="2">
        <v>505.08</v>
      </c>
      <c r="O228" s="2">
        <v>0</v>
      </c>
      <c r="P228" s="7" t="s">
        <v>28</v>
      </c>
      <c r="Q228" s="1" t="s">
        <v>29</v>
      </c>
      <c r="R228" s="3" t="s">
        <v>45</v>
      </c>
      <c r="S228" s="1" t="s">
        <v>46</v>
      </c>
      <c r="T228" s="4" t="s">
        <v>31</v>
      </c>
      <c r="U228" s="7" t="s">
        <v>32</v>
      </c>
      <c r="V228" s="7" t="s">
        <v>439</v>
      </c>
      <c r="W228" s="7" t="s">
        <v>70</v>
      </c>
      <c r="X228" s="7" t="s">
        <v>1751</v>
      </c>
      <c r="Y228" s="10">
        <f t="shared" si="7"/>
        <v>1010.16</v>
      </c>
      <c r="AH228" s="5" t="e">
        <f>VLOOKUP(B228,[1]DL!$BK:$BP,6,0)</f>
        <v>#N/A</v>
      </c>
    </row>
    <row r="229" spans="1:34" ht="14.5" hidden="1">
      <c r="A229" s="5">
        <v>226</v>
      </c>
      <c r="B229" s="5" t="str">
        <f t="shared" si="6"/>
        <v>06CVUPS9780A1ZVA1</v>
      </c>
      <c r="C229" s="1" t="s">
        <v>440</v>
      </c>
      <c r="D229" s="1" t="s">
        <v>441</v>
      </c>
      <c r="E229" s="1" t="s">
        <v>442</v>
      </c>
      <c r="F229" s="1" t="s">
        <v>24</v>
      </c>
      <c r="G229" s="1" t="s">
        <v>54</v>
      </c>
      <c r="H229" s="2">
        <v>3540</v>
      </c>
      <c r="I229" s="1" t="s">
        <v>44</v>
      </c>
      <c r="J229" s="3" t="s">
        <v>27</v>
      </c>
      <c r="K229" s="2">
        <v>3000</v>
      </c>
      <c r="L229" s="2">
        <v>540</v>
      </c>
      <c r="M229" s="2">
        <v>0</v>
      </c>
      <c r="N229" s="2">
        <v>0</v>
      </c>
      <c r="O229" s="2">
        <v>0</v>
      </c>
      <c r="P229" s="7" t="s">
        <v>28</v>
      </c>
      <c r="Q229" s="1" t="s">
        <v>29</v>
      </c>
      <c r="R229" s="3" t="s">
        <v>45</v>
      </c>
      <c r="S229" s="1" t="s">
        <v>46</v>
      </c>
      <c r="T229" s="4" t="s">
        <v>31</v>
      </c>
      <c r="U229" s="7" t="s">
        <v>46</v>
      </c>
      <c r="V229" s="7" t="s">
        <v>46</v>
      </c>
      <c r="W229" s="7" t="s">
        <v>46</v>
      </c>
      <c r="X229" s="7" t="s">
        <v>1751</v>
      </c>
      <c r="Y229" s="10">
        <f t="shared" si="7"/>
        <v>540</v>
      </c>
      <c r="AH229" s="5" t="e">
        <f>VLOOKUP(B229,[1]DL!$BK:$BP,6,0)</f>
        <v>#N/A</v>
      </c>
    </row>
    <row r="230" spans="1:34" ht="14.5" hidden="1">
      <c r="A230" s="5">
        <v>227</v>
      </c>
      <c r="B230" s="5" t="str">
        <f t="shared" si="6"/>
        <v>06CVUPS9780A1ZVA10</v>
      </c>
      <c r="C230" s="1" t="s">
        <v>440</v>
      </c>
      <c r="D230" s="1" t="s">
        <v>441</v>
      </c>
      <c r="E230" s="1" t="s">
        <v>443</v>
      </c>
      <c r="F230" s="1" t="s">
        <v>24</v>
      </c>
      <c r="G230" s="1" t="s">
        <v>54</v>
      </c>
      <c r="H230" s="2">
        <v>4940</v>
      </c>
      <c r="I230" s="1" t="s">
        <v>44</v>
      </c>
      <c r="J230" s="3" t="s">
        <v>27</v>
      </c>
      <c r="K230" s="2">
        <v>4940</v>
      </c>
      <c r="L230" s="2">
        <v>0</v>
      </c>
      <c r="M230" s="2">
        <v>0</v>
      </c>
      <c r="N230" s="2">
        <v>0</v>
      </c>
      <c r="O230" s="2">
        <v>0</v>
      </c>
      <c r="P230" s="7" t="s">
        <v>28</v>
      </c>
      <c r="Q230" s="1" t="s">
        <v>29</v>
      </c>
      <c r="R230" s="3" t="s">
        <v>45</v>
      </c>
      <c r="S230" s="1" t="s">
        <v>46</v>
      </c>
      <c r="T230" s="4" t="s">
        <v>31</v>
      </c>
      <c r="U230" s="7" t="s">
        <v>46</v>
      </c>
      <c r="V230" s="7" t="s">
        <v>46</v>
      </c>
      <c r="W230" s="7" t="s">
        <v>46</v>
      </c>
      <c r="X230" s="7" t="s">
        <v>1751</v>
      </c>
      <c r="Y230" s="10">
        <f t="shared" si="7"/>
        <v>0</v>
      </c>
      <c r="AH230" s="5" t="e">
        <f>VLOOKUP(B230,[1]DL!$BK:$BP,6,0)</f>
        <v>#N/A</v>
      </c>
    </row>
    <row r="231" spans="1:34" ht="14.5" hidden="1">
      <c r="A231" s="5">
        <v>228</v>
      </c>
      <c r="B231" s="5" t="str">
        <f t="shared" si="6"/>
        <v>06CVUPS9780A1ZVA11</v>
      </c>
      <c r="C231" s="1" t="s">
        <v>440</v>
      </c>
      <c r="D231" s="1" t="s">
        <v>441</v>
      </c>
      <c r="E231" s="1" t="s">
        <v>444</v>
      </c>
      <c r="F231" s="1" t="s">
        <v>24</v>
      </c>
      <c r="G231" s="1" t="s">
        <v>54</v>
      </c>
      <c r="H231" s="2">
        <v>500</v>
      </c>
      <c r="I231" s="1" t="s">
        <v>44</v>
      </c>
      <c r="J231" s="3" t="s">
        <v>27</v>
      </c>
      <c r="K231" s="2">
        <v>500</v>
      </c>
      <c r="L231" s="2">
        <v>0</v>
      </c>
      <c r="M231" s="2">
        <v>0</v>
      </c>
      <c r="N231" s="2">
        <v>0</v>
      </c>
      <c r="O231" s="2">
        <v>0</v>
      </c>
      <c r="P231" s="7" t="s">
        <v>28</v>
      </c>
      <c r="Q231" s="1" t="s">
        <v>29</v>
      </c>
      <c r="R231" s="3" t="s">
        <v>45</v>
      </c>
      <c r="S231" s="1" t="s">
        <v>46</v>
      </c>
      <c r="T231" s="4" t="s">
        <v>31</v>
      </c>
      <c r="U231" s="7" t="s">
        <v>46</v>
      </c>
      <c r="V231" s="7" t="s">
        <v>46</v>
      </c>
      <c r="W231" s="7" t="s">
        <v>46</v>
      </c>
      <c r="X231" s="7" t="s">
        <v>1751</v>
      </c>
      <c r="Y231" s="10">
        <f t="shared" si="7"/>
        <v>0</v>
      </c>
      <c r="AH231" s="5" t="e">
        <f>VLOOKUP(B231,[1]DL!$BK:$BP,6,0)</f>
        <v>#N/A</v>
      </c>
    </row>
    <row r="232" spans="1:34" ht="14.5" hidden="1">
      <c r="A232" s="5">
        <v>229</v>
      </c>
      <c r="B232" s="5" t="str">
        <f t="shared" si="6"/>
        <v>06CVUPS9780A1ZVA12</v>
      </c>
      <c r="C232" s="1" t="s">
        <v>440</v>
      </c>
      <c r="D232" s="1" t="s">
        <v>441</v>
      </c>
      <c r="E232" s="1" t="s">
        <v>445</v>
      </c>
      <c r="F232" s="1" t="s">
        <v>24</v>
      </c>
      <c r="G232" s="1" t="s">
        <v>54</v>
      </c>
      <c r="H232" s="2">
        <v>2950</v>
      </c>
      <c r="I232" s="1" t="s">
        <v>44</v>
      </c>
      <c r="J232" s="3" t="s">
        <v>27</v>
      </c>
      <c r="K232" s="2">
        <v>2500</v>
      </c>
      <c r="L232" s="2">
        <v>450</v>
      </c>
      <c r="M232" s="2">
        <v>0</v>
      </c>
      <c r="N232" s="2">
        <v>0</v>
      </c>
      <c r="O232" s="2">
        <v>0</v>
      </c>
      <c r="P232" s="7" t="s">
        <v>28</v>
      </c>
      <c r="Q232" s="1" t="s">
        <v>29</v>
      </c>
      <c r="R232" s="3" t="s">
        <v>45</v>
      </c>
      <c r="S232" s="1" t="s">
        <v>46</v>
      </c>
      <c r="T232" s="4" t="s">
        <v>31</v>
      </c>
      <c r="U232" s="7" t="s">
        <v>46</v>
      </c>
      <c r="V232" s="7" t="s">
        <v>46</v>
      </c>
      <c r="W232" s="7" t="s">
        <v>46</v>
      </c>
      <c r="X232" s="7" t="s">
        <v>1751</v>
      </c>
      <c r="Y232" s="10">
        <f t="shared" si="7"/>
        <v>450</v>
      </c>
      <c r="AH232" s="5" t="e">
        <f>VLOOKUP(B232,[1]DL!$BK:$BP,6,0)</f>
        <v>#N/A</v>
      </c>
    </row>
    <row r="233" spans="1:34" ht="14.5" hidden="1">
      <c r="A233" s="5">
        <v>230</v>
      </c>
      <c r="B233" s="5" t="str">
        <f t="shared" si="6"/>
        <v>06CVUPS9780A1ZVA13</v>
      </c>
      <c r="C233" s="1" t="s">
        <v>440</v>
      </c>
      <c r="D233" s="1" t="s">
        <v>441</v>
      </c>
      <c r="E233" s="1" t="s">
        <v>446</v>
      </c>
      <c r="F233" s="1" t="s">
        <v>24</v>
      </c>
      <c r="G233" s="1" t="s">
        <v>54</v>
      </c>
      <c r="H233" s="2">
        <v>2083.88</v>
      </c>
      <c r="I233" s="1" t="s">
        <v>44</v>
      </c>
      <c r="J233" s="3" t="s">
        <v>27</v>
      </c>
      <c r="K233" s="2">
        <v>1766</v>
      </c>
      <c r="L233" s="2">
        <v>317.88</v>
      </c>
      <c r="M233" s="2">
        <v>0</v>
      </c>
      <c r="N233" s="2">
        <v>0</v>
      </c>
      <c r="O233" s="2">
        <v>0</v>
      </c>
      <c r="P233" s="7" t="s">
        <v>28</v>
      </c>
      <c r="Q233" s="1" t="s">
        <v>29</v>
      </c>
      <c r="R233" s="3" t="s">
        <v>45</v>
      </c>
      <c r="S233" s="1" t="s">
        <v>46</v>
      </c>
      <c r="T233" s="4" t="s">
        <v>31</v>
      </c>
      <c r="U233" s="7" t="s">
        <v>46</v>
      </c>
      <c r="V233" s="7" t="s">
        <v>46</v>
      </c>
      <c r="W233" s="7" t="s">
        <v>46</v>
      </c>
      <c r="X233" s="7" t="s">
        <v>1751</v>
      </c>
      <c r="Y233" s="10">
        <f t="shared" si="7"/>
        <v>317.88</v>
      </c>
      <c r="AH233" s="5" t="e">
        <f>VLOOKUP(B233,[1]DL!$BK:$BP,6,0)</f>
        <v>#N/A</v>
      </c>
    </row>
    <row r="234" spans="1:34" ht="14.5" hidden="1">
      <c r="A234" s="5">
        <v>231</v>
      </c>
      <c r="B234" s="5" t="str">
        <f t="shared" si="6"/>
        <v>06CVUPS9780A1ZVA14</v>
      </c>
      <c r="C234" s="1" t="s">
        <v>440</v>
      </c>
      <c r="D234" s="1" t="s">
        <v>441</v>
      </c>
      <c r="E234" s="1" t="s">
        <v>447</v>
      </c>
      <c r="F234" s="1" t="s">
        <v>24</v>
      </c>
      <c r="G234" s="1" t="s">
        <v>54</v>
      </c>
      <c r="H234" s="2">
        <v>416.54</v>
      </c>
      <c r="I234" s="1" t="s">
        <v>44</v>
      </c>
      <c r="J234" s="3" t="s">
        <v>27</v>
      </c>
      <c r="K234" s="2">
        <v>353</v>
      </c>
      <c r="L234" s="2">
        <v>63.54</v>
      </c>
      <c r="M234" s="2">
        <v>0</v>
      </c>
      <c r="N234" s="2">
        <v>0</v>
      </c>
      <c r="O234" s="2">
        <v>0</v>
      </c>
      <c r="P234" s="7" t="s">
        <v>28</v>
      </c>
      <c r="Q234" s="1" t="s">
        <v>29</v>
      </c>
      <c r="R234" s="3" t="s">
        <v>45</v>
      </c>
      <c r="S234" s="1" t="s">
        <v>46</v>
      </c>
      <c r="T234" s="4" t="s">
        <v>31</v>
      </c>
      <c r="U234" s="7" t="s">
        <v>46</v>
      </c>
      <c r="V234" s="7" t="s">
        <v>46</v>
      </c>
      <c r="W234" s="7" t="s">
        <v>46</v>
      </c>
      <c r="X234" s="7" t="s">
        <v>1751</v>
      </c>
      <c r="Y234" s="10">
        <f t="shared" si="7"/>
        <v>63.539999999999999</v>
      </c>
      <c r="AH234" s="5" t="e">
        <f>VLOOKUP(B234,[1]DL!$BK:$BP,6,0)</f>
        <v>#N/A</v>
      </c>
    </row>
    <row r="235" spans="1:34" ht="14.5" hidden="1">
      <c r="A235" s="5">
        <v>232</v>
      </c>
      <c r="B235" s="5" t="str">
        <f t="shared" si="6"/>
        <v>06CVUPS9780A1ZVA15</v>
      </c>
      <c r="C235" s="1" t="s">
        <v>440</v>
      </c>
      <c r="D235" s="1" t="s">
        <v>441</v>
      </c>
      <c r="E235" s="1" t="s">
        <v>448</v>
      </c>
      <c r="F235" s="1" t="s">
        <v>24</v>
      </c>
      <c r="G235" s="1" t="s">
        <v>54</v>
      </c>
      <c r="H235" s="2">
        <v>8732</v>
      </c>
      <c r="I235" s="1" t="s">
        <v>44</v>
      </c>
      <c r="J235" s="3" t="s">
        <v>27</v>
      </c>
      <c r="K235" s="2">
        <v>7400</v>
      </c>
      <c r="L235" s="2">
        <v>1332</v>
      </c>
      <c r="M235" s="2">
        <v>0</v>
      </c>
      <c r="N235" s="2">
        <v>0</v>
      </c>
      <c r="O235" s="2">
        <v>0</v>
      </c>
      <c r="P235" s="7" t="s">
        <v>28</v>
      </c>
      <c r="Q235" s="1" t="s">
        <v>29</v>
      </c>
      <c r="R235" s="3" t="s">
        <v>45</v>
      </c>
      <c r="S235" s="1" t="s">
        <v>46</v>
      </c>
      <c r="T235" s="4" t="s">
        <v>31</v>
      </c>
      <c r="U235" s="7" t="s">
        <v>46</v>
      </c>
      <c r="V235" s="7" t="s">
        <v>46</v>
      </c>
      <c r="W235" s="7" t="s">
        <v>46</v>
      </c>
      <c r="X235" s="7" t="s">
        <v>1751</v>
      </c>
      <c r="Y235" s="10">
        <f t="shared" si="7"/>
        <v>1332</v>
      </c>
      <c r="AH235" s="5" t="e">
        <f>VLOOKUP(B235,[1]DL!$BK:$BP,6,0)</f>
        <v>#N/A</v>
      </c>
    </row>
    <row r="236" spans="1:34" ht="14.5" hidden="1">
      <c r="A236" s="5">
        <v>233</v>
      </c>
      <c r="B236" s="5" t="str">
        <f t="shared" si="6"/>
        <v>06CVUPS9780A1ZVA16</v>
      </c>
      <c r="C236" s="1" t="s">
        <v>440</v>
      </c>
      <c r="D236" s="1" t="s">
        <v>441</v>
      </c>
      <c r="E236" s="1" t="s">
        <v>449</v>
      </c>
      <c r="F236" s="1" t="s">
        <v>24</v>
      </c>
      <c r="G236" s="1" t="s">
        <v>54</v>
      </c>
      <c r="H236" s="2">
        <v>9440</v>
      </c>
      <c r="I236" s="1" t="s">
        <v>44</v>
      </c>
      <c r="J236" s="3" t="s">
        <v>27</v>
      </c>
      <c r="K236" s="2">
        <v>8000</v>
      </c>
      <c r="L236" s="2">
        <v>1440</v>
      </c>
      <c r="M236" s="2">
        <v>0</v>
      </c>
      <c r="N236" s="2">
        <v>0</v>
      </c>
      <c r="O236" s="2">
        <v>0</v>
      </c>
      <c r="P236" s="7" t="s">
        <v>28</v>
      </c>
      <c r="Q236" s="1" t="s">
        <v>29</v>
      </c>
      <c r="R236" s="3" t="s">
        <v>45</v>
      </c>
      <c r="S236" s="1" t="s">
        <v>46</v>
      </c>
      <c r="T236" s="4" t="s">
        <v>31</v>
      </c>
      <c r="U236" s="7" t="s">
        <v>46</v>
      </c>
      <c r="V236" s="7" t="s">
        <v>46</v>
      </c>
      <c r="W236" s="7" t="s">
        <v>46</v>
      </c>
      <c r="X236" s="7" t="s">
        <v>1751</v>
      </c>
      <c r="Y236" s="10">
        <f t="shared" si="7"/>
        <v>1440</v>
      </c>
      <c r="AH236" s="5" t="e">
        <f>VLOOKUP(B236,[1]DL!$BK:$BP,6,0)</f>
        <v>#N/A</v>
      </c>
    </row>
    <row r="237" spans="1:34" ht="14.5" hidden="1">
      <c r="A237" s="5">
        <v>234</v>
      </c>
      <c r="B237" s="5" t="str">
        <f t="shared" si="6"/>
        <v>06CVUPS9780A1ZVA17</v>
      </c>
      <c r="C237" s="1" t="s">
        <v>440</v>
      </c>
      <c r="D237" s="1" t="s">
        <v>441</v>
      </c>
      <c r="E237" s="1" t="s">
        <v>450</v>
      </c>
      <c r="F237" s="1" t="s">
        <v>24</v>
      </c>
      <c r="G237" s="1" t="s">
        <v>54</v>
      </c>
      <c r="H237" s="2">
        <v>34810</v>
      </c>
      <c r="I237" s="1" t="s">
        <v>44</v>
      </c>
      <c r="J237" s="3" t="s">
        <v>27</v>
      </c>
      <c r="K237" s="2">
        <v>29500</v>
      </c>
      <c r="L237" s="2">
        <v>5310</v>
      </c>
      <c r="M237" s="2">
        <v>0</v>
      </c>
      <c r="N237" s="2">
        <v>0</v>
      </c>
      <c r="O237" s="2">
        <v>0</v>
      </c>
      <c r="P237" s="7" t="s">
        <v>28</v>
      </c>
      <c r="Q237" s="1" t="s">
        <v>29</v>
      </c>
      <c r="R237" s="3" t="s">
        <v>45</v>
      </c>
      <c r="S237" s="1" t="s">
        <v>46</v>
      </c>
      <c r="T237" s="4" t="s">
        <v>31</v>
      </c>
      <c r="U237" s="7" t="s">
        <v>46</v>
      </c>
      <c r="V237" s="7" t="s">
        <v>46</v>
      </c>
      <c r="W237" s="7" t="s">
        <v>46</v>
      </c>
      <c r="X237" s="7" t="s">
        <v>1751</v>
      </c>
      <c r="Y237" s="10">
        <f t="shared" si="7"/>
        <v>5310</v>
      </c>
      <c r="AH237" s="5" t="e">
        <f>VLOOKUP(B237,[1]DL!$BK:$BP,6,0)</f>
        <v>#N/A</v>
      </c>
    </row>
    <row r="238" spans="1:34" ht="14.5" hidden="1">
      <c r="A238" s="5">
        <v>235</v>
      </c>
      <c r="B238" s="5" t="str">
        <f t="shared" si="6"/>
        <v>06CVUPS9780A1ZVA2</v>
      </c>
      <c r="C238" s="1" t="s">
        <v>440</v>
      </c>
      <c r="D238" s="1" t="s">
        <v>441</v>
      </c>
      <c r="E238" s="1" t="s">
        <v>451</v>
      </c>
      <c r="F238" s="1" t="s">
        <v>24</v>
      </c>
      <c r="G238" s="1" t="s">
        <v>54</v>
      </c>
      <c r="H238" s="2">
        <v>43365</v>
      </c>
      <c r="I238" s="1" t="s">
        <v>44</v>
      </c>
      <c r="J238" s="3" t="s">
        <v>27</v>
      </c>
      <c r="K238" s="2">
        <v>36750</v>
      </c>
      <c r="L238" s="2">
        <v>6615</v>
      </c>
      <c r="M238" s="2">
        <v>0</v>
      </c>
      <c r="N238" s="2">
        <v>0</v>
      </c>
      <c r="O238" s="2">
        <v>0</v>
      </c>
      <c r="P238" s="7" t="s">
        <v>28</v>
      </c>
      <c r="Q238" s="1" t="s">
        <v>29</v>
      </c>
      <c r="R238" s="3" t="s">
        <v>45</v>
      </c>
      <c r="S238" s="1" t="s">
        <v>46</v>
      </c>
      <c r="T238" s="4" t="s">
        <v>31</v>
      </c>
      <c r="U238" s="7" t="s">
        <v>46</v>
      </c>
      <c r="V238" s="7" t="s">
        <v>46</v>
      </c>
      <c r="W238" s="7" t="s">
        <v>46</v>
      </c>
      <c r="X238" s="7" t="s">
        <v>1751</v>
      </c>
      <c r="Y238" s="10">
        <f t="shared" si="7"/>
        <v>6615</v>
      </c>
      <c r="AH238" s="5" t="e">
        <f>VLOOKUP(B238,[1]DL!$BK:$BP,6,0)</f>
        <v>#N/A</v>
      </c>
    </row>
    <row r="239" spans="1:34" ht="14.5" hidden="1">
      <c r="A239" s="5">
        <v>236</v>
      </c>
      <c r="B239" s="5" t="str">
        <f t="shared" si="6"/>
        <v>06CVUPS9780A1ZVA3</v>
      </c>
      <c r="C239" s="1" t="s">
        <v>440</v>
      </c>
      <c r="D239" s="1" t="s">
        <v>441</v>
      </c>
      <c r="E239" s="1" t="s">
        <v>452</v>
      </c>
      <c r="F239" s="1" t="s">
        <v>24</v>
      </c>
      <c r="G239" s="1" t="s">
        <v>54</v>
      </c>
      <c r="H239" s="2">
        <v>14455</v>
      </c>
      <c r="I239" s="1" t="s">
        <v>44</v>
      </c>
      <c r="J239" s="3" t="s">
        <v>27</v>
      </c>
      <c r="K239" s="2">
        <v>12250</v>
      </c>
      <c r="L239" s="2">
        <v>2205</v>
      </c>
      <c r="M239" s="2">
        <v>0</v>
      </c>
      <c r="N239" s="2">
        <v>0</v>
      </c>
      <c r="O239" s="2">
        <v>0</v>
      </c>
      <c r="P239" s="7" t="s">
        <v>28</v>
      </c>
      <c r="Q239" s="1" t="s">
        <v>29</v>
      </c>
      <c r="R239" s="3" t="s">
        <v>45</v>
      </c>
      <c r="S239" s="1" t="s">
        <v>46</v>
      </c>
      <c r="T239" s="4" t="s">
        <v>31</v>
      </c>
      <c r="U239" s="7" t="s">
        <v>46</v>
      </c>
      <c r="V239" s="7" t="s">
        <v>46</v>
      </c>
      <c r="W239" s="7" t="s">
        <v>46</v>
      </c>
      <c r="X239" s="7" t="s">
        <v>1751</v>
      </c>
      <c r="Y239" s="10">
        <f t="shared" si="7"/>
        <v>2205</v>
      </c>
      <c r="AH239" s="5" t="e">
        <f>VLOOKUP(B239,[1]DL!$BK:$BP,6,0)</f>
        <v>#N/A</v>
      </c>
    </row>
    <row r="240" spans="1:34" ht="14.5" hidden="1">
      <c r="A240" s="5">
        <v>237</v>
      </c>
      <c r="B240" s="5" t="str">
        <f t="shared" si="6"/>
        <v>06CVUPS9780A1ZVA4</v>
      </c>
      <c r="C240" s="1" t="s">
        <v>440</v>
      </c>
      <c r="D240" s="1" t="s">
        <v>441</v>
      </c>
      <c r="E240" s="1" t="s">
        <v>453</v>
      </c>
      <c r="F240" s="1" t="s">
        <v>24</v>
      </c>
      <c r="G240" s="1" t="s">
        <v>54</v>
      </c>
      <c r="H240" s="2">
        <v>2950</v>
      </c>
      <c r="I240" s="1" t="s">
        <v>44</v>
      </c>
      <c r="J240" s="3" t="s">
        <v>27</v>
      </c>
      <c r="K240" s="2">
        <v>2500</v>
      </c>
      <c r="L240" s="2">
        <v>450</v>
      </c>
      <c r="M240" s="2">
        <v>0</v>
      </c>
      <c r="N240" s="2">
        <v>0</v>
      </c>
      <c r="O240" s="2">
        <v>0</v>
      </c>
      <c r="P240" s="7" t="s">
        <v>28</v>
      </c>
      <c r="Q240" s="1" t="s">
        <v>29</v>
      </c>
      <c r="R240" s="3" t="s">
        <v>45</v>
      </c>
      <c r="S240" s="1" t="s">
        <v>46</v>
      </c>
      <c r="T240" s="4" t="s">
        <v>31</v>
      </c>
      <c r="U240" s="7" t="s">
        <v>46</v>
      </c>
      <c r="V240" s="7" t="s">
        <v>46</v>
      </c>
      <c r="W240" s="7" t="s">
        <v>46</v>
      </c>
      <c r="X240" s="7" t="s">
        <v>1751</v>
      </c>
      <c r="Y240" s="10">
        <f t="shared" si="7"/>
        <v>450</v>
      </c>
      <c r="AH240" s="5" t="e">
        <f>VLOOKUP(B240,[1]DL!$BK:$BP,6,0)</f>
        <v>#N/A</v>
      </c>
    </row>
    <row r="241" spans="1:34" ht="14.5" hidden="1">
      <c r="A241" s="5">
        <v>238</v>
      </c>
      <c r="B241" s="5" t="str">
        <f t="shared" si="6"/>
        <v>06CVUPS9780A1ZVA5</v>
      </c>
      <c r="C241" s="1" t="s">
        <v>440</v>
      </c>
      <c r="D241" s="1" t="s">
        <v>441</v>
      </c>
      <c r="E241" s="1" t="s">
        <v>454</v>
      </c>
      <c r="F241" s="1" t="s">
        <v>24</v>
      </c>
      <c r="G241" s="1" t="s">
        <v>54</v>
      </c>
      <c r="H241" s="2">
        <v>33.04</v>
      </c>
      <c r="I241" s="1" t="s">
        <v>44</v>
      </c>
      <c r="J241" s="3" t="s">
        <v>27</v>
      </c>
      <c r="K241" s="2">
        <v>28</v>
      </c>
      <c r="L241" s="2">
        <v>5.04</v>
      </c>
      <c r="M241" s="2">
        <v>0</v>
      </c>
      <c r="N241" s="2">
        <v>0</v>
      </c>
      <c r="O241" s="2">
        <v>0</v>
      </c>
      <c r="P241" s="7" t="s">
        <v>28</v>
      </c>
      <c r="Q241" s="1" t="s">
        <v>29</v>
      </c>
      <c r="R241" s="3" t="s">
        <v>45</v>
      </c>
      <c r="S241" s="1" t="s">
        <v>46</v>
      </c>
      <c r="T241" s="4" t="s">
        <v>31</v>
      </c>
      <c r="U241" s="7" t="s">
        <v>46</v>
      </c>
      <c r="V241" s="7" t="s">
        <v>46</v>
      </c>
      <c r="W241" s="7" t="s">
        <v>46</v>
      </c>
      <c r="X241" s="7" t="s">
        <v>1751</v>
      </c>
      <c r="Y241" s="10">
        <f t="shared" si="7"/>
        <v>5.04</v>
      </c>
      <c r="AH241" s="5" t="e">
        <f>VLOOKUP(B241,[1]DL!$BK:$BP,6,0)</f>
        <v>#N/A</v>
      </c>
    </row>
    <row r="242" spans="1:34" ht="14.5" hidden="1">
      <c r="A242" s="5">
        <v>239</v>
      </c>
      <c r="B242" s="5" t="str">
        <f t="shared" si="6"/>
        <v>06CVUPS9780A1ZVA6</v>
      </c>
      <c r="C242" s="1" t="s">
        <v>440</v>
      </c>
      <c r="D242" s="1" t="s">
        <v>441</v>
      </c>
      <c r="E242" s="1" t="s">
        <v>455</v>
      </c>
      <c r="F242" s="1" t="s">
        <v>24</v>
      </c>
      <c r="G242" s="1" t="s">
        <v>54</v>
      </c>
      <c r="H242" s="2">
        <v>59</v>
      </c>
      <c r="I242" s="1" t="s">
        <v>44</v>
      </c>
      <c r="J242" s="3" t="s">
        <v>27</v>
      </c>
      <c r="K242" s="2">
        <v>50</v>
      </c>
      <c r="L242" s="2">
        <v>9</v>
      </c>
      <c r="M242" s="2">
        <v>0</v>
      </c>
      <c r="N242" s="2">
        <v>0</v>
      </c>
      <c r="O242" s="2">
        <v>0</v>
      </c>
      <c r="P242" s="7" t="s">
        <v>28</v>
      </c>
      <c r="Q242" s="1" t="s">
        <v>29</v>
      </c>
      <c r="R242" s="3" t="s">
        <v>45</v>
      </c>
      <c r="S242" s="1" t="s">
        <v>46</v>
      </c>
      <c r="T242" s="4" t="s">
        <v>31</v>
      </c>
      <c r="U242" s="7" t="s">
        <v>46</v>
      </c>
      <c r="V242" s="7" t="s">
        <v>46</v>
      </c>
      <c r="W242" s="7" t="s">
        <v>46</v>
      </c>
      <c r="X242" s="7" t="s">
        <v>1751</v>
      </c>
      <c r="Y242" s="10">
        <f t="shared" si="7"/>
        <v>9</v>
      </c>
      <c r="AH242" s="5" t="e">
        <f>VLOOKUP(B242,[1]DL!$BK:$BP,6,0)</f>
        <v>#N/A</v>
      </c>
    </row>
    <row r="243" spans="1:34" ht="14.5" hidden="1">
      <c r="A243" s="5">
        <v>240</v>
      </c>
      <c r="B243" s="5" t="str">
        <f t="shared" si="6"/>
        <v>06CVUPS9780A1ZVA7</v>
      </c>
      <c r="C243" s="1" t="s">
        <v>440</v>
      </c>
      <c r="D243" s="1" t="s">
        <v>441</v>
      </c>
      <c r="E243" s="1" t="s">
        <v>456</v>
      </c>
      <c r="F243" s="1" t="s">
        <v>24</v>
      </c>
      <c r="G243" s="1" t="s">
        <v>54</v>
      </c>
      <c r="H243" s="2">
        <v>582.91999999999996</v>
      </c>
      <c r="I243" s="1" t="s">
        <v>44</v>
      </c>
      <c r="J243" s="3" t="s">
        <v>27</v>
      </c>
      <c r="K243" s="2">
        <v>494</v>
      </c>
      <c r="L243" s="2">
        <v>88.92</v>
      </c>
      <c r="M243" s="2">
        <v>0</v>
      </c>
      <c r="N243" s="2">
        <v>0</v>
      </c>
      <c r="O243" s="2">
        <v>0</v>
      </c>
      <c r="P243" s="7" t="s">
        <v>28</v>
      </c>
      <c r="Q243" s="1" t="s">
        <v>29</v>
      </c>
      <c r="R243" s="3" t="s">
        <v>45</v>
      </c>
      <c r="S243" s="1" t="s">
        <v>46</v>
      </c>
      <c r="T243" s="4" t="s">
        <v>31</v>
      </c>
      <c r="U243" s="7" t="s">
        <v>46</v>
      </c>
      <c r="V243" s="7" t="s">
        <v>46</v>
      </c>
      <c r="W243" s="7" t="s">
        <v>46</v>
      </c>
      <c r="X243" s="7" t="s">
        <v>1751</v>
      </c>
      <c r="Y243" s="10">
        <f t="shared" si="7"/>
        <v>88.920000000000002</v>
      </c>
      <c r="AH243" s="5" t="e">
        <f>VLOOKUP(B243,[1]DL!$BK:$BP,6,0)</f>
        <v>#N/A</v>
      </c>
    </row>
    <row r="244" spans="1:34" ht="14.5" hidden="1">
      <c r="A244" s="5">
        <v>241</v>
      </c>
      <c r="B244" s="5" t="str">
        <f t="shared" si="6"/>
        <v>06CVUPS9780A1ZVA8</v>
      </c>
      <c r="C244" s="1" t="s">
        <v>440</v>
      </c>
      <c r="D244" s="1" t="s">
        <v>441</v>
      </c>
      <c r="E244" s="1" t="s">
        <v>457</v>
      </c>
      <c r="F244" s="1" t="s">
        <v>24</v>
      </c>
      <c r="G244" s="1" t="s">
        <v>54</v>
      </c>
      <c r="H244" s="2">
        <v>212.40</v>
      </c>
      <c r="I244" s="1" t="s">
        <v>44</v>
      </c>
      <c r="J244" s="3" t="s">
        <v>27</v>
      </c>
      <c r="K244" s="2">
        <v>180</v>
      </c>
      <c r="L244" s="2">
        <v>32.40</v>
      </c>
      <c r="M244" s="2">
        <v>0</v>
      </c>
      <c r="N244" s="2">
        <v>0</v>
      </c>
      <c r="O244" s="2">
        <v>0</v>
      </c>
      <c r="P244" s="7" t="s">
        <v>28</v>
      </c>
      <c r="Q244" s="1" t="s">
        <v>29</v>
      </c>
      <c r="R244" s="3" t="s">
        <v>45</v>
      </c>
      <c r="S244" s="1" t="s">
        <v>46</v>
      </c>
      <c r="T244" s="4" t="s">
        <v>31</v>
      </c>
      <c r="U244" s="7" t="s">
        <v>46</v>
      </c>
      <c r="V244" s="7" t="s">
        <v>46</v>
      </c>
      <c r="W244" s="7" t="s">
        <v>46</v>
      </c>
      <c r="X244" s="7" t="s">
        <v>1751</v>
      </c>
      <c r="Y244" s="10">
        <f t="shared" si="7"/>
        <v>32.399999999999999</v>
      </c>
      <c r="AH244" s="5" t="e">
        <f>VLOOKUP(B244,[1]DL!$BK:$BP,6,0)</f>
        <v>#N/A</v>
      </c>
    </row>
    <row r="245" spans="1:34" ht="14.5" hidden="1">
      <c r="A245" s="5">
        <v>242</v>
      </c>
      <c r="B245" s="5" t="str">
        <f t="shared" si="6"/>
        <v>06CVUPS9780A1ZVA9</v>
      </c>
      <c r="C245" s="1" t="s">
        <v>440</v>
      </c>
      <c r="D245" s="1" t="s">
        <v>441</v>
      </c>
      <c r="E245" s="1" t="s">
        <v>458</v>
      </c>
      <c r="F245" s="1" t="s">
        <v>24</v>
      </c>
      <c r="G245" s="1" t="s">
        <v>54</v>
      </c>
      <c r="H245" s="2">
        <v>1800</v>
      </c>
      <c r="I245" s="1" t="s">
        <v>44</v>
      </c>
      <c r="J245" s="3" t="s">
        <v>27</v>
      </c>
      <c r="K245" s="2">
        <v>1800</v>
      </c>
      <c r="L245" s="2">
        <v>0</v>
      </c>
      <c r="M245" s="2">
        <v>0</v>
      </c>
      <c r="N245" s="2">
        <v>0</v>
      </c>
      <c r="O245" s="2">
        <v>0</v>
      </c>
      <c r="P245" s="7" t="s">
        <v>28</v>
      </c>
      <c r="Q245" s="1" t="s">
        <v>29</v>
      </c>
      <c r="R245" s="3" t="s">
        <v>45</v>
      </c>
      <c r="S245" s="1" t="s">
        <v>46</v>
      </c>
      <c r="T245" s="4" t="s">
        <v>31</v>
      </c>
      <c r="U245" s="7" t="s">
        <v>46</v>
      </c>
      <c r="V245" s="7" t="s">
        <v>46</v>
      </c>
      <c r="W245" s="7" t="s">
        <v>46</v>
      </c>
      <c r="X245" s="7" t="s">
        <v>1751</v>
      </c>
      <c r="Y245" s="10">
        <f t="shared" si="7"/>
        <v>0</v>
      </c>
      <c r="AH245" s="5" t="e">
        <f>VLOOKUP(B245,[1]DL!$BK:$BP,6,0)</f>
        <v>#N/A</v>
      </c>
    </row>
    <row r="246" spans="1:34" ht="14.5" hidden="1">
      <c r="A246" s="5">
        <v>243</v>
      </c>
      <c r="B246" s="5" t="str">
        <f t="shared" si="6"/>
        <v>07AATPS9352C1Z7SEV10/2627</v>
      </c>
      <c r="C246" s="1" t="s">
        <v>459</v>
      </c>
      <c r="D246" s="1" t="s">
        <v>460</v>
      </c>
      <c r="E246" s="1" t="s">
        <v>461</v>
      </c>
      <c r="F246" s="1" t="s">
        <v>24</v>
      </c>
      <c r="G246" s="1" t="s">
        <v>52</v>
      </c>
      <c r="H246" s="2">
        <v>2124</v>
      </c>
      <c r="I246" s="1" t="s">
        <v>44</v>
      </c>
      <c r="J246" s="3" t="s">
        <v>27</v>
      </c>
      <c r="K246" s="2">
        <v>1800</v>
      </c>
      <c r="L246" s="2">
        <v>0</v>
      </c>
      <c r="M246" s="2">
        <v>162</v>
      </c>
      <c r="N246" s="2">
        <v>162</v>
      </c>
      <c r="O246" s="2">
        <v>0</v>
      </c>
      <c r="P246" s="7" t="s">
        <v>28</v>
      </c>
      <c r="Q246" s="1" t="s">
        <v>94</v>
      </c>
      <c r="R246" s="3" t="s">
        <v>45</v>
      </c>
      <c r="S246" s="1" t="s">
        <v>46</v>
      </c>
      <c r="T246" s="4" t="s">
        <v>31</v>
      </c>
      <c r="U246" s="7" t="s">
        <v>32</v>
      </c>
      <c r="V246" s="7" t="s">
        <v>462</v>
      </c>
      <c r="W246" s="7" t="s">
        <v>52</v>
      </c>
      <c r="X246" s="7" t="s">
        <v>1751</v>
      </c>
      <c r="Y246" s="10">
        <f t="shared" si="7"/>
        <v>324</v>
      </c>
      <c r="AH246" s="5" t="e">
        <f>VLOOKUP(B246,[1]DL!$BK:$BP,6,0)</f>
        <v>#N/A</v>
      </c>
    </row>
    <row r="247" spans="1:34" ht="14.5" hidden="1">
      <c r="A247" s="5">
        <v>244</v>
      </c>
      <c r="B247" s="5" t="str">
        <f t="shared" si="6"/>
        <v>07AATPS9352C1Z7SEV11/2627</v>
      </c>
      <c r="C247" s="1" t="s">
        <v>459</v>
      </c>
      <c r="D247" s="1" t="s">
        <v>460</v>
      </c>
      <c r="E247" s="1" t="s">
        <v>463</v>
      </c>
      <c r="F247" s="1" t="s">
        <v>24</v>
      </c>
      <c r="G247" s="1" t="s">
        <v>52</v>
      </c>
      <c r="H247" s="2">
        <v>2360</v>
      </c>
      <c r="I247" s="1" t="s">
        <v>44</v>
      </c>
      <c r="J247" s="3" t="s">
        <v>27</v>
      </c>
      <c r="K247" s="2">
        <v>2000</v>
      </c>
      <c r="L247" s="2">
        <v>0</v>
      </c>
      <c r="M247" s="2">
        <v>180</v>
      </c>
      <c r="N247" s="2">
        <v>180</v>
      </c>
      <c r="O247" s="2">
        <v>0</v>
      </c>
      <c r="P247" s="7" t="s">
        <v>28</v>
      </c>
      <c r="Q247" s="1" t="s">
        <v>94</v>
      </c>
      <c r="R247" s="3" t="s">
        <v>45</v>
      </c>
      <c r="S247" s="1" t="s">
        <v>46</v>
      </c>
      <c r="T247" s="4" t="s">
        <v>31</v>
      </c>
      <c r="U247" s="7" t="s">
        <v>32</v>
      </c>
      <c r="V247" s="7" t="s">
        <v>464</v>
      </c>
      <c r="W247" s="7" t="s">
        <v>52</v>
      </c>
      <c r="X247" s="7" t="s">
        <v>1751</v>
      </c>
      <c r="Y247" s="10">
        <f t="shared" si="7"/>
        <v>360</v>
      </c>
      <c r="AH247" s="5" t="e">
        <f>VLOOKUP(B247,[1]DL!$BK:$BP,6,0)</f>
        <v>#N/A</v>
      </c>
    </row>
    <row r="248" spans="1:34" ht="14.5" hidden="1">
      <c r="A248" s="5">
        <v>245</v>
      </c>
      <c r="B248" s="5" t="str">
        <f t="shared" si="6"/>
        <v>07AATPS9352C1Z7SEV12/2627</v>
      </c>
      <c r="C248" s="1" t="s">
        <v>459</v>
      </c>
      <c r="D248" s="1" t="s">
        <v>460</v>
      </c>
      <c r="E248" s="1" t="s">
        <v>465</v>
      </c>
      <c r="F248" s="1" t="s">
        <v>24</v>
      </c>
      <c r="G248" s="1" t="s">
        <v>52</v>
      </c>
      <c r="H248" s="2">
        <v>2360</v>
      </c>
      <c r="I248" s="1" t="s">
        <v>44</v>
      </c>
      <c r="J248" s="3" t="s">
        <v>27</v>
      </c>
      <c r="K248" s="2">
        <v>2000</v>
      </c>
      <c r="L248" s="2">
        <v>0</v>
      </c>
      <c r="M248" s="2">
        <v>180</v>
      </c>
      <c r="N248" s="2">
        <v>180</v>
      </c>
      <c r="O248" s="2">
        <v>0</v>
      </c>
      <c r="P248" s="7" t="s">
        <v>28</v>
      </c>
      <c r="Q248" s="1" t="s">
        <v>94</v>
      </c>
      <c r="R248" s="3" t="s">
        <v>45</v>
      </c>
      <c r="S248" s="1" t="s">
        <v>46</v>
      </c>
      <c r="T248" s="4" t="s">
        <v>31</v>
      </c>
      <c r="U248" s="7" t="s">
        <v>32</v>
      </c>
      <c r="V248" s="7" t="s">
        <v>466</v>
      </c>
      <c r="W248" s="7" t="s">
        <v>52</v>
      </c>
      <c r="X248" s="7" t="s">
        <v>1751</v>
      </c>
      <c r="Y248" s="10">
        <f t="shared" si="7"/>
        <v>360</v>
      </c>
      <c r="AH248" s="5" t="e">
        <f>VLOOKUP(B248,[1]DL!$BK:$BP,6,0)</f>
        <v>#N/A</v>
      </c>
    </row>
    <row r="249" spans="1:34" ht="14.5" hidden="1">
      <c r="A249" s="5">
        <v>246</v>
      </c>
      <c r="B249" s="5" t="str">
        <f t="shared" si="6"/>
        <v>07AATPS9352C1Z7SEV3/2627</v>
      </c>
      <c r="C249" s="1" t="s">
        <v>459</v>
      </c>
      <c r="D249" s="1" t="s">
        <v>460</v>
      </c>
      <c r="E249" s="1" t="s">
        <v>467</v>
      </c>
      <c r="F249" s="1" t="s">
        <v>24</v>
      </c>
      <c r="G249" s="1" t="s">
        <v>302</v>
      </c>
      <c r="H249" s="2">
        <v>1180</v>
      </c>
      <c r="I249" s="1" t="s">
        <v>44</v>
      </c>
      <c r="J249" s="3" t="s">
        <v>27</v>
      </c>
      <c r="K249" s="2">
        <v>1000</v>
      </c>
      <c r="L249" s="2">
        <v>0</v>
      </c>
      <c r="M249" s="2">
        <v>90</v>
      </c>
      <c r="N249" s="2">
        <v>90</v>
      </c>
      <c r="O249" s="2">
        <v>0</v>
      </c>
      <c r="P249" s="7" t="s">
        <v>28</v>
      </c>
      <c r="Q249" s="1" t="s">
        <v>94</v>
      </c>
      <c r="R249" s="3" t="s">
        <v>45</v>
      </c>
      <c r="S249" s="1" t="s">
        <v>46</v>
      </c>
      <c r="T249" s="4" t="s">
        <v>31</v>
      </c>
      <c r="U249" s="7" t="s">
        <v>32</v>
      </c>
      <c r="V249" s="7" t="s">
        <v>468</v>
      </c>
      <c r="W249" s="7" t="s">
        <v>302</v>
      </c>
      <c r="X249" s="7" t="s">
        <v>1751</v>
      </c>
      <c r="Y249" s="10">
        <f t="shared" si="7"/>
        <v>180</v>
      </c>
      <c r="AH249" s="5" t="e">
        <f>VLOOKUP(B249,[1]DL!$BK:$BP,6,0)</f>
        <v>#N/A</v>
      </c>
    </row>
    <row r="250" spans="1:34" ht="14.5" hidden="1">
      <c r="A250" s="5">
        <v>247</v>
      </c>
      <c r="B250" s="5" t="str">
        <f t="shared" si="6"/>
        <v>07AATPS9352C1Z7SEV4/2627</v>
      </c>
      <c r="C250" s="1" t="s">
        <v>459</v>
      </c>
      <c r="D250" s="1" t="s">
        <v>460</v>
      </c>
      <c r="E250" s="1" t="s">
        <v>469</v>
      </c>
      <c r="F250" s="1" t="s">
        <v>24</v>
      </c>
      <c r="G250" s="1" t="s">
        <v>93</v>
      </c>
      <c r="H250" s="2">
        <v>2950</v>
      </c>
      <c r="I250" s="1" t="s">
        <v>44</v>
      </c>
      <c r="J250" s="3" t="s">
        <v>27</v>
      </c>
      <c r="K250" s="2">
        <v>2500</v>
      </c>
      <c r="L250" s="2">
        <v>0</v>
      </c>
      <c r="M250" s="2">
        <v>225</v>
      </c>
      <c r="N250" s="2">
        <v>225</v>
      </c>
      <c r="O250" s="2">
        <v>0</v>
      </c>
      <c r="P250" s="7" t="s">
        <v>28</v>
      </c>
      <c r="Q250" s="1" t="s">
        <v>94</v>
      </c>
      <c r="R250" s="3" t="s">
        <v>45</v>
      </c>
      <c r="S250" s="1" t="s">
        <v>46</v>
      </c>
      <c r="T250" s="4" t="s">
        <v>31</v>
      </c>
      <c r="U250" s="7" t="s">
        <v>32</v>
      </c>
      <c r="V250" s="7" t="s">
        <v>470</v>
      </c>
      <c r="W250" s="7" t="s">
        <v>93</v>
      </c>
      <c r="X250" s="7" t="s">
        <v>1751</v>
      </c>
      <c r="Y250" s="10">
        <f t="shared" si="7"/>
        <v>450</v>
      </c>
      <c r="AH250" s="5" t="e">
        <f>VLOOKUP(B250,[1]DL!$BK:$BP,6,0)</f>
        <v>#N/A</v>
      </c>
    </row>
    <row r="251" spans="1:34" ht="14.5" hidden="1">
      <c r="A251" s="5">
        <v>248</v>
      </c>
      <c r="B251" s="5" t="str">
        <f t="shared" si="6"/>
        <v>07AATPS9352C1Z7SEV5/2627</v>
      </c>
      <c r="C251" s="1" t="s">
        <v>459</v>
      </c>
      <c r="D251" s="1" t="s">
        <v>460</v>
      </c>
      <c r="E251" s="1" t="s">
        <v>471</v>
      </c>
      <c r="F251" s="1" t="s">
        <v>24</v>
      </c>
      <c r="G251" s="1" t="s">
        <v>50</v>
      </c>
      <c r="H251" s="2">
        <v>1770</v>
      </c>
      <c r="I251" s="1" t="s">
        <v>44</v>
      </c>
      <c r="J251" s="3" t="s">
        <v>27</v>
      </c>
      <c r="K251" s="2">
        <v>1500</v>
      </c>
      <c r="L251" s="2">
        <v>0</v>
      </c>
      <c r="M251" s="2">
        <v>135</v>
      </c>
      <c r="N251" s="2">
        <v>135</v>
      </c>
      <c r="O251" s="2">
        <v>0</v>
      </c>
      <c r="P251" s="7" t="s">
        <v>28</v>
      </c>
      <c r="Q251" s="1" t="s">
        <v>94</v>
      </c>
      <c r="R251" s="3" t="s">
        <v>45</v>
      </c>
      <c r="S251" s="1" t="s">
        <v>46</v>
      </c>
      <c r="T251" s="4" t="s">
        <v>31</v>
      </c>
      <c r="U251" s="7" t="s">
        <v>32</v>
      </c>
      <c r="V251" s="7" t="s">
        <v>472</v>
      </c>
      <c r="W251" s="7" t="s">
        <v>50</v>
      </c>
      <c r="X251" s="7" t="s">
        <v>1751</v>
      </c>
      <c r="Y251" s="10">
        <f t="shared" si="7"/>
        <v>270</v>
      </c>
      <c r="AH251" s="5" t="e">
        <f>VLOOKUP(B251,[1]DL!$BK:$BP,6,0)</f>
        <v>#N/A</v>
      </c>
    </row>
    <row r="252" spans="1:34" ht="14.5" hidden="1">
      <c r="A252" s="5">
        <v>249</v>
      </c>
      <c r="B252" s="5" t="str">
        <f t="shared" si="6"/>
        <v>07AATPS9352C1Z7SEV6/2627</v>
      </c>
      <c r="C252" s="1" t="s">
        <v>459</v>
      </c>
      <c r="D252" s="1" t="s">
        <v>460</v>
      </c>
      <c r="E252" s="1" t="s">
        <v>473</v>
      </c>
      <c r="F252" s="1" t="s">
        <v>24</v>
      </c>
      <c r="G252" s="1" t="s">
        <v>50</v>
      </c>
      <c r="H252" s="2">
        <v>5546</v>
      </c>
      <c r="I252" s="1" t="s">
        <v>44</v>
      </c>
      <c r="J252" s="3" t="s">
        <v>27</v>
      </c>
      <c r="K252" s="2">
        <v>4700</v>
      </c>
      <c r="L252" s="2">
        <v>0</v>
      </c>
      <c r="M252" s="2">
        <v>423</v>
      </c>
      <c r="N252" s="2">
        <v>423</v>
      </c>
      <c r="O252" s="2">
        <v>0</v>
      </c>
      <c r="P252" s="7" t="s">
        <v>28</v>
      </c>
      <c r="Q252" s="1" t="s">
        <v>94</v>
      </c>
      <c r="R252" s="3" t="s">
        <v>45</v>
      </c>
      <c r="S252" s="1" t="s">
        <v>46</v>
      </c>
      <c r="T252" s="4" t="s">
        <v>31</v>
      </c>
      <c r="U252" s="7" t="s">
        <v>32</v>
      </c>
      <c r="V252" s="7" t="s">
        <v>474</v>
      </c>
      <c r="W252" s="7" t="s">
        <v>50</v>
      </c>
      <c r="X252" s="7" t="s">
        <v>1751</v>
      </c>
      <c r="Y252" s="10">
        <f t="shared" si="7"/>
        <v>846</v>
      </c>
      <c r="AH252" s="5" t="e">
        <f>VLOOKUP(B252,[1]DL!$BK:$BP,6,0)</f>
        <v>#N/A</v>
      </c>
    </row>
    <row r="253" spans="1:34" ht="14.5" hidden="1">
      <c r="A253" s="5">
        <v>250</v>
      </c>
      <c r="B253" s="5" t="str">
        <f t="shared" si="6"/>
        <v>07AATPS9352C1Z7SEV7/2627</v>
      </c>
      <c r="C253" s="1" t="s">
        <v>459</v>
      </c>
      <c r="D253" s="1" t="s">
        <v>460</v>
      </c>
      <c r="E253" s="1" t="s">
        <v>475</v>
      </c>
      <c r="F253" s="1" t="s">
        <v>24</v>
      </c>
      <c r="G253" s="1" t="s">
        <v>50</v>
      </c>
      <c r="H253" s="2">
        <v>2124</v>
      </c>
      <c r="I253" s="1" t="s">
        <v>44</v>
      </c>
      <c r="J253" s="3" t="s">
        <v>27</v>
      </c>
      <c r="K253" s="2">
        <v>1800</v>
      </c>
      <c r="L253" s="2">
        <v>0</v>
      </c>
      <c r="M253" s="2">
        <v>162</v>
      </c>
      <c r="N253" s="2">
        <v>162</v>
      </c>
      <c r="O253" s="2">
        <v>0</v>
      </c>
      <c r="P253" s="7" t="s">
        <v>28</v>
      </c>
      <c r="Q253" s="1" t="s">
        <v>94</v>
      </c>
      <c r="R253" s="3" t="s">
        <v>45</v>
      </c>
      <c r="S253" s="1" t="s">
        <v>46</v>
      </c>
      <c r="T253" s="4" t="s">
        <v>31</v>
      </c>
      <c r="U253" s="7" t="s">
        <v>32</v>
      </c>
      <c r="V253" s="7" t="s">
        <v>476</v>
      </c>
      <c r="W253" s="7" t="s">
        <v>50</v>
      </c>
      <c r="X253" s="7" t="s">
        <v>1751</v>
      </c>
      <c r="Y253" s="10">
        <f t="shared" si="7"/>
        <v>324</v>
      </c>
      <c r="AH253" s="5" t="e">
        <f>VLOOKUP(B253,[1]DL!$BK:$BP,6,0)</f>
        <v>#N/A</v>
      </c>
    </row>
    <row r="254" spans="1:34" ht="14.5" hidden="1">
      <c r="A254" s="5">
        <v>251</v>
      </c>
      <c r="B254" s="5" t="str">
        <f t="shared" si="6"/>
        <v>07AATPS9352C1Z7SEV8/2627</v>
      </c>
      <c r="C254" s="1" t="s">
        <v>459</v>
      </c>
      <c r="D254" s="1" t="s">
        <v>460</v>
      </c>
      <c r="E254" s="1" t="s">
        <v>477</v>
      </c>
      <c r="F254" s="1" t="s">
        <v>24</v>
      </c>
      <c r="G254" s="1" t="s">
        <v>50</v>
      </c>
      <c r="H254" s="2">
        <v>2360</v>
      </c>
      <c r="I254" s="1" t="s">
        <v>44</v>
      </c>
      <c r="J254" s="3" t="s">
        <v>27</v>
      </c>
      <c r="K254" s="2">
        <v>2000</v>
      </c>
      <c r="L254" s="2">
        <v>0</v>
      </c>
      <c r="M254" s="2">
        <v>180</v>
      </c>
      <c r="N254" s="2">
        <v>180</v>
      </c>
      <c r="O254" s="2">
        <v>0</v>
      </c>
      <c r="P254" s="7" t="s">
        <v>28</v>
      </c>
      <c r="Q254" s="1" t="s">
        <v>94</v>
      </c>
      <c r="R254" s="3" t="s">
        <v>45</v>
      </c>
      <c r="S254" s="1" t="s">
        <v>46</v>
      </c>
      <c r="T254" s="4" t="s">
        <v>31</v>
      </c>
      <c r="U254" s="7" t="s">
        <v>32</v>
      </c>
      <c r="V254" s="7" t="s">
        <v>478</v>
      </c>
      <c r="W254" s="7" t="s">
        <v>50</v>
      </c>
      <c r="X254" s="7" t="s">
        <v>1751</v>
      </c>
      <c r="Y254" s="10">
        <f t="shared" si="7"/>
        <v>360</v>
      </c>
      <c r="AH254" s="5" t="e">
        <f>VLOOKUP(B254,[1]DL!$BK:$BP,6,0)</f>
        <v>#N/A</v>
      </c>
    </row>
    <row r="255" spans="1:34" ht="14.5" hidden="1">
      <c r="A255" s="5">
        <v>252</v>
      </c>
      <c r="B255" s="5" t="str">
        <f t="shared" si="6"/>
        <v>07AATPS9352C1Z7SEV9/2627</v>
      </c>
      <c r="C255" s="1" t="s">
        <v>459</v>
      </c>
      <c r="D255" s="1" t="s">
        <v>460</v>
      </c>
      <c r="E255" s="1" t="s">
        <v>479</v>
      </c>
      <c r="F255" s="1" t="s">
        <v>24</v>
      </c>
      <c r="G255" s="1" t="s">
        <v>52</v>
      </c>
      <c r="H255" s="2">
        <v>5546</v>
      </c>
      <c r="I255" s="1" t="s">
        <v>44</v>
      </c>
      <c r="J255" s="3" t="s">
        <v>27</v>
      </c>
      <c r="K255" s="2">
        <v>4700</v>
      </c>
      <c r="L255" s="2">
        <v>0</v>
      </c>
      <c r="M255" s="2">
        <v>423</v>
      </c>
      <c r="N255" s="2">
        <v>423</v>
      </c>
      <c r="O255" s="2">
        <v>0</v>
      </c>
      <c r="P255" s="7" t="s">
        <v>28</v>
      </c>
      <c r="Q255" s="1" t="s">
        <v>94</v>
      </c>
      <c r="R255" s="3" t="s">
        <v>45</v>
      </c>
      <c r="S255" s="1" t="s">
        <v>46</v>
      </c>
      <c r="T255" s="4" t="s">
        <v>31</v>
      </c>
      <c r="U255" s="7" t="s">
        <v>32</v>
      </c>
      <c r="V255" s="7" t="s">
        <v>480</v>
      </c>
      <c r="W255" s="7" t="s">
        <v>52</v>
      </c>
      <c r="X255" s="7" t="s">
        <v>1751</v>
      </c>
      <c r="Y255" s="10">
        <f t="shared" si="7"/>
        <v>846</v>
      </c>
      <c r="AH255" s="5" t="e">
        <f>VLOOKUP(B255,[1]DL!$BK:$BP,6,0)</f>
        <v>#N/A</v>
      </c>
    </row>
    <row r="256" spans="1:34" ht="14.5" hidden="1">
      <c r="A256" s="5">
        <v>253</v>
      </c>
      <c r="B256" s="5" t="str">
        <f t="shared" si="6"/>
        <v>07AABCT3518Q1ZYDE26I00000048277</v>
      </c>
      <c r="C256" s="1" t="s">
        <v>481</v>
      </c>
      <c r="D256" s="1" t="s">
        <v>482</v>
      </c>
      <c r="E256" s="1" t="s">
        <v>483</v>
      </c>
      <c r="F256" s="1" t="s">
        <v>24</v>
      </c>
      <c r="G256" s="1" t="s">
        <v>125</v>
      </c>
      <c r="H256" s="2">
        <v>14747</v>
      </c>
      <c r="I256" s="1" t="s">
        <v>44</v>
      </c>
      <c r="J256" s="3" t="s">
        <v>27</v>
      </c>
      <c r="K256" s="2">
        <v>12497</v>
      </c>
      <c r="L256" s="2">
        <v>0</v>
      </c>
      <c r="M256" s="2">
        <v>1125</v>
      </c>
      <c r="N256" s="2">
        <v>1125</v>
      </c>
      <c r="O256" s="2">
        <v>0</v>
      </c>
      <c r="P256" s="7" t="s">
        <v>28</v>
      </c>
      <c r="Q256" s="1" t="s">
        <v>484</v>
      </c>
      <c r="R256" s="3" t="s">
        <v>45</v>
      </c>
      <c r="S256" s="1" t="s">
        <v>46</v>
      </c>
      <c r="T256" s="4" t="s">
        <v>31</v>
      </c>
      <c r="U256" s="7" t="s">
        <v>46</v>
      </c>
      <c r="V256" s="7" t="s">
        <v>46</v>
      </c>
      <c r="W256" s="7" t="s">
        <v>46</v>
      </c>
      <c r="X256" s="7" t="s">
        <v>1751</v>
      </c>
      <c r="Y256" s="10">
        <f t="shared" si="7"/>
        <v>2250</v>
      </c>
      <c r="AH256" s="5" t="e">
        <f>VLOOKUP(B256,[1]DL!$BK:$BP,6,0)</f>
        <v>#N/A</v>
      </c>
    </row>
    <row r="257" spans="1:34" ht="14.5" hidden="1">
      <c r="A257" s="5">
        <v>254</v>
      </c>
      <c r="B257" s="5" t="str">
        <f t="shared" si="6"/>
        <v>07AABCT3518Q1ZYDE26I00000155780</v>
      </c>
      <c r="C257" s="1" t="s">
        <v>481</v>
      </c>
      <c r="D257" s="1" t="s">
        <v>482</v>
      </c>
      <c r="E257" s="1" t="s">
        <v>485</v>
      </c>
      <c r="F257" s="1" t="s">
        <v>24</v>
      </c>
      <c r="G257" s="1" t="s">
        <v>76</v>
      </c>
      <c r="H257" s="2">
        <v>2457589.81</v>
      </c>
      <c r="I257" s="1" t="s">
        <v>44</v>
      </c>
      <c r="J257" s="3" t="s">
        <v>27</v>
      </c>
      <c r="K257" s="2">
        <v>2082703.23</v>
      </c>
      <c r="L257" s="2">
        <v>0</v>
      </c>
      <c r="M257" s="2">
        <v>187443.29</v>
      </c>
      <c r="N257" s="2">
        <v>187443.29</v>
      </c>
      <c r="O257" s="2">
        <v>0</v>
      </c>
      <c r="P257" s="7" t="s">
        <v>28</v>
      </c>
      <c r="Q257" s="1" t="s">
        <v>484</v>
      </c>
      <c r="R257" s="3" t="s">
        <v>45</v>
      </c>
      <c r="S257" s="1" t="s">
        <v>46</v>
      </c>
      <c r="T257" s="4" t="s">
        <v>31</v>
      </c>
      <c r="U257" s="7" t="s">
        <v>46</v>
      </c>
      <c r="V257" s="7" t="s">
        <v>46</v>
      </c>
      <c r="W257" s="7" t="s">
        <v>46</v>
      </c>
      <c r="X257" s="7" t="s">
        <v>1751</v>
      </c>
      <c r="Y257" s="10">
        <f t="shared" si="7"/>
        <v>374886.58000000002</v>
      </c>
      <c r="AH257" s="5" t="e">
        <f>VLOOKUP(B257,[1]DL!$BK:$BP,6,0)</f>
        <v>#N/A</v>
      </c>
    </row>
    <row r="258" spans="1:34" ht="14.5" hidden="1">
      <c r="A258" s="5">
        <v>255</v>
      </c>
      <c r="B258" s="5" t="str">
        <f t="shared" si="6"/>
        <v>09AACCI0642K1ZLUPS-100000009694</v>
      </c>
      <c r="C258" s="1" t="s">
        <v>486</v>
      </c>
      <c r="D258" s="1" t="s">
        <v>487</v>
      </c>
      <c r="E258" s="1" t="s">
        <v>488</v>
      </c>
      <c r="F258" s="1" t="s">
        <v>24</v>
      </c>
      <c r="G258" s="1" t="s">
        <v>54</v>
      </c>
      <c r="H258" s="2">
        <v>21780700.57</v>
      </c>
      <c r="I258" s="1" t="s">
        <v>44</v>
      </c>
      <c r="J258" s="3" t="s">
        <v>27</v>
      </c>
      <c r="K258" s="2">
        <v>14822414.84</v>
      </c>
      <c r="L258" s="2">
        <v>6958285.7300000004</v>
      </c>
      <c r="M258" s="2">
        <v>0</v>
      </c>
      <c r="N258" s="2">
        <v>0</v>
      </c>
      <c r="O258" s="2">
        <v>0</v>
      </c>
      <c r="P258" s="7" t="s">
        <v>28</v>
      </c>
      <c r="Q258" s="1" t="s">
        <v>29</v>
      </c>
      <c r="R258" s="3" t="s">
        <v>45</v>
      </c>
      <c r="S258" s="1" t="s">
        <v>46</v>
      </c>
      <c r="T258" s="4" t="s">
        <v>31</v>
      </c>
      <c r="U258" s="7" t="s">
        <v>32</v>
      </c>
      <c r="V258" s="7" t="s">
        <v>489</v>
      </c>
      <c r="W258" s="7" t="s">
        <v>54</v>
      </c>
      <c r="X258" s="7" t="s">
        <v>1751</v>
      </c>
      <c r="Y258" s="10">
        <f t="shared" si="7"/>
        <v>6958285.7300000004</v>
      </c>
      <c r="AH258" s="5" t="e">
        <f>VLOOKUP(B258,[1]DL!$BK:$BP,6,0)</f>
        <v>#N/A</v>
      </c>
    </row>
    <row r="259" spans="1:34" ht="14.5" hidden="1">
      <c r="A259" s="5">
        <v>256</v>
      </c>
      <c r="B259" s="5" t="str">
        <f t="shared" si="6"/>
        <v>09AACCI0642K1ZLUPS-100000009698</v>
      </c>
      <c r="C259" s="1" t="s">
        <v>486</v>
      </c>
      <c r="D259" s="1" t="s">
        <v>487</v>
      </c>
      <c r="E259" s="1" t="s">
        <v>490</v>
      </c>
      <c r="F259" s="1" t="s">
        <v>24</v>
      </c>
      <c r="G259" s="1" t="s">
        <v>302</v>
      </c>
      <c r="H259" s="2">
        <v>23187850.289999999</v>
      </c>
      <c r="I259" s="1" t="s">
        <v>44</v>
      </c>
      <c r="J259" s="3" t="s">
        <v>27</v>
      </c>
      <c r="K259" s="2">
        <v>15302136</v>
      </c>
      <c r="L259" s="2">
        <v>7885714.29</v>
      </c>
      <c r="M259" s="2">
        <v>0</v>
      </c>
      <c r="N259" s="2">
        <v>0</v>
      </c>
      <c r="O259" s="2">
        <v>0</v>
      </c>
      <c r="P259" s="7" t="s">
        <v>28</v>
      </c>
      <c r="Q259" s="1" t="s">
        <v>29</v>
      </c>
      <c r="R259" s="3" t="s">
        <v>45</v>
      </c>
      <c r="S259" s="1" t="s">
        <v>46</v>
      </c>
      <c r="T259" s="4" t="s">
        <v>31</v>
      </c>
      <c r="U259" s="7" t="s">
        <v>32</v>
      </c>
      <c r="V259" s="7" t="s">
        <v>491</v>
      </c>
      <c r="W259" s="7" t="s">
        <v>302</v>
      </c>
      <c r="X259" s="7" t="s">
        <v>1751</v>
      </c>
      <c r="Y259" s="10">
        <f t="shared" si="7"/>
        <v>7885714.29</v>
      </c>
      <c r="AH259" s="5" t="e">
        <f>VLOOKUP(B259,[1]DL!$BK:$BP,6,0)</f>
        <v>#N/A</v>
      </c>
    </row>
    <row r="260" spans="1:34" ht="14.5" hidden="1">
      <c r="A260" s="5">
        <v>257</v>
      </c>
      <c r="B260" s="5" t="str">
        <f t="shared" si="6"/>
        <v>09AACCI0642K1ZLUPS-100000009699</v>
      </c>
      <c r="C260" s="1" t="s">
        <v>486</v>
      </c>
      <c r="D260" s="1" t="s">
        <v>487</v>
      </c>
      <c r="E260" s="1" t="s">
        <v>492</v>
      </c>
      <c r="F260" s="1" t="s">
        <v>24</v>
      </c>
      <c r="G260" s="1" t="s">
        <v>43</v>
      </c>
      <c r="H260" s="2">
        <v>55134087.710000001</v>
      </c>
      <c r="I260" s="1" t="s">
        <v>44</v>
      </c>
      <c r="J260" s="3" t="s">
        <v>27</v>
      </c>
      <c r="K260" s="2">
        <v>37219802</v>
      </c>
      <c r="L260" s="2">
        <v>17914285.710000001</v>
      </c>
      <c r="M260" s="2">
        <v>0</v>
      </c>
      <c r="N260" s="2">
        <v>0</v>
      </c>
      <c r="O260" s="2">
        <v>0</v>
      </c>
      <c r="P260" s="7" t="s">
        <v>28</v>
      </c>
      <c r="Q260" s="1" t="s">
        <v>29</v>
      </c>
      <c r="R260" s="3" t="s">
        <v>45</v>
      </c>
      <c r="S260" s="1" t="s">
        <v>46</v>
      </c>
      <c r="T260" s="4" t="s">
        <v>31</v>
      </c>
      <c r="U260" s="7" t="s">
        <v>32</v>
      </c>
      <c r="V260" s="7" t="s">
        <v>493</v>
      </c>
      <c r="W260" s="7" t="s">
        <v>43</v>
      </c>
      <c r="X260" s="7" t="s">
        <v>1751</v>
      </c>
      <c r="Y260" s="10">
        <f t="shared" si="7"/>
        <v>17914285.710000001</v>
      </c>
      <c r="AH260" s="5" t="e">
        <f>VLOOKUP(B260,[1]DL!$BK:$BP,6,0)</f>
        <v>#N/A</v>
      </c>
    </row>
    <row r="261" spans="1:34" ht="14.5" hidden="1">
      <c r="A261" s="5">
        <v>258</v>
      </c>
      <c r="B261" s="5" t="str">
        <f t="shared" si="8" ref="B261:B324">C261&amp;E261</f>
        <v>09AACCI0642K1ZLUPS-100000009700</v>
      </c>
      <c r="C261" s="1" t="s">
        <v>486</v>
      </c>
      <c r="D261" s="1" t="s">
        <v>487</v>
      </c>
      <c r="E261" s="1" t="s">
        <v>494</v>
      </c>
      <c r="F261" s="1" t="s">
        <v>24</v>
      </c>
      <c r="G261" s="1" t="s">
        <v>43</v>
      </c>
      <c r="H261" s="2">
        <v>37100560.460000001</v>
      </c>
      <c r="I261" s="1" t="s">
        <v>44</v>
      </c>
      <c r="J261" s="3" t="s">
        <v>27</v>
      </c>
      <c r="K261" s="2">
        <v>24483417.600000001</v>
      </c>
      <c r="L261" s="2">
        <v>12617142.859999999</v>
      </c>
      <c r="M261" s="2">
        <v>0</v>
      </c>
      <c r="N261" s="2">
        <v>0</v>
      </c>
      <c r="O261" s="2">
        <v>0</v>
      </c>
      <c r="P261" s="7" t="s">
        <v>28</v>
      </c>
      <c r="Q261" s="1" t="s">
        <v>29</v>
      </c>
      <c r="R261" s="3" t="s">
        <v>45</v>
      </c>
      <c r="S261" s="1" t="s">
        <v>46</v>
      </c>
      <c r="T261" s="4" t="s">
        <v>31</v>
      </c>
      <c r="U261" s="7" t="s">
        <v>32</v>
      </c>
      <c r="V261" s="7" t="s">
        <v>495</v>
      </c>
      <c r="W261" s="7" t="s">
        <v>43</v>
      </c>
      <c r="X261" s="7" t="s">
        <v>1751</v>
      </c>
      <c r="Y261" s="10">
        <f t="shared" si="9" ref="Y261:Y324">L261+M261+N261+O261</f>
        <v>12617142.859999999</v>
      </c>
      <c r="AH261" s="5" t="e">
        <f>VLOOKUP(B261,[1]DL!$BK:$BP,6,0)</f>
        <v>#N/A</v>
      </c>
    </row>
    <row r="262" spans="1:34" ht="14.5" hidden="1">
      <c r="A262" s="5">
        <v>259</v>
      </c>
      <c r="B262" s="5" t="str">
        <f t="shared" si="8"/>
        <v>09AACCI0642K1ZLUPS-100000009701</v>
      </c>
      <c r="C262" s="1" t="s">
        <v>486</v>
      </c>
      <c r="D262" s="1" t="s">
        <v>487</v>
      </c>
      <c r="E262" s="1" t="s">
        <v>496</v>
      </c>
      <c r="F262" s="1" t="s">
        <v>24</v>
      </c>
      <c r="G262" s="1" t="s">
        <v>43</v>
      </c>
      <c r="H262" s="2">
        <v>38259952.969999999</v>
      </c>
      <c r="I262" s="1" t="s">
        <v>44</v>
      </c>
      <c r="J262" s="3" t="s">
        <v>27</v>
      </c>
      <c r="K262" s="2">
        <v>25248524.399999999</v>
      </c>
      <c r="L262" s="2">
        <v>13011428.57</v>
      </c>
      <c r="M262" s="2">
        <v>0</v>
      </c>
      <c r="N262" s="2">
        <v>0</v>
      </c>
      <c r="O262" s="2">
        <v>0</v>
      </c>
      <c r="P262" s="7" t="s">
        <v>28</v>
      </c>
      <c r="Q262" s="1" t="s">
        <v>29</v>
      </c>
      <c r="R262" s="3" t="s">
        <v>45</v>
      </c>
      <c r="S262" s="1" t="s">
        <v>46</v>
      </c>
      <c r="T262" s="4" t="s">
        <v>31</v>
      </c>
      <c r="U262" s="7" t="s">
        <v>32</v>
      </c>
      <c r="V262" s="7" t="s">
        <v>497</v>
      </c>
      <c r="W262" s="7" t="s">
        <v>43</v>
      </c>
      <c r="X262" s="7" t="s">
        <v>1751</v>
      </c>
      <c r="Y262" s="10">
        <f t="shared" si="9"/>
        <v>13011428.57</v>
      </c>
      <c r="AH262" s="5" t="e">
        <f>VLOOKUP(B262,[1]DL!$BK:$BP,6,0)</f>
        <v>#N/A</v>
      </c>
    </row>
    <row r="263" spans="1:34" ht="14.5" hidden="1">
      <c r="A263" s="5">
        <v>260</v>
      </c>
      <c r="B263" s="5" t="str">
        <f t="shared" si="8"/>
        <v>09AACCI0642K1ZLUPS-100000009705</v>
      </c>
      <c r="C263" s="1" t="s">
        <v>486</v>
      </c>
      <c r="D263" s="1" t="s">
        <v>487</v>
      </c>
      <c r="E263" s="1" t="s">
        <v>498</v>
      </c>
      <c r="F263" s="1" t="s">
        <v>24</v>
      </c>
      <c r="G263" s="1" t="s">
        <v>50</v>
      </c>
      <c r="H263" s="2">
        <v>44301581.689999998</v>
      </c>
      <c r="I263" s="1" t="s">
        <v>44</v>
      </c>
      <c r="J263" s="3" t="s">
        <v>27</v>
      </c>
      <c r="K263" s="2">
        <v>29875867.399999999</v>
      </c>
      <c r="L263" s="2">
        <v>14425714.289999999</v>
      </c>
      <c r="M263" s="2">
        <v>0</v>
      </c>
      <c r="N263" s="2">
        <v>0</v>
      </c>
      <c r="O263" s="2">
        <v>0</v>
      </c>
      <c r="P263" s="7" t="s">
        <v>28</v>
      </c>
      <c r="Q263" s="1" t="s">
        <v>29</v>
      </c>
      <c r="R263" s="3" t="s">
        <v>45</v>
      </c>
      <c r="S263" s="1" t="s">
        <v>46</v>
      </c>
      <c r="T263" s="4" t="s">
        <v>31</v>
      </c>
      <c r="U263" s="7" t="s">
        <v>32</v>
      </c>
      <c r="V263" s="7" t="s">
        <v>499</v>
      </c>
      <c r="W263" s="7" t="s">
        <v>50</v>
      </c>
      <c r="X263" s="7" t="s">
        <v>1751</v>
      </c>
      <c r="Y263" s="10">
        <f t="shared" si="9"/>
        <v>14425714.289999999</v>
      </c>
      <c r="AH263" s="5" t="e">
        <f>VLOOKUP(B263,[1]DL!$BK:$BP,6,0)</f>
        <v>#N/A</v>
      </c>
    </row>
    <row r="264" spans="1:34" ht="14.5" hidden="1">
      <c r="A264" s="5">
        <v>261</v>
      </c>
      <c r="B264" s="5" t="str">
        <f t="shared" si="8"/>
        <v>09AACCI0642K1ZLUPS-100000009710</v>
      </c>
      <c r="C264" s="1" t="s">
        <v>486</v>
      </c>
      <c r="D264" s="1" t="s">
        <v>487</v>
      </c>
      <c r="E264" s="1" t="s">
        <v>500</v>
      </c>
      <c r="F264" s="1" t="s">
        <v>24</v>
      </c>
      <c r="G264" s="1" t="s">
        <v>50</v>
      </c>
      <c r="H264" s="2">
        <v>37100560.460000001</v>
      </c>
      <c r="I264" s="1" t="s">
        <v>44</v>
      </c>
      <c r="J264" s="3" t="s">
        <v>27</v>
      </c>
      <c r="K264" s="2">
        <v>24483417.600000001</v>
      </c>
      <c r="L264" s="2">
        <v>12617142.859999999</v>
      </c>
      <c r="M264" s="2">
        <v>0</v>
      </c>
      <c r="N264" s="2">
        <v>0</v>
      </c>
      <c r="O264" s="2">
        <v>0</v>
      </c>
      <c r="P264" s="7" t="s">
        <v>28</v>
      </c>
      <c r="Q264" s="1" t="s">
        <v>29</v>
      </c>
      <c r="R264" s="3" t="s">
        <v>45</v>
      </c>
      <c r="S264" s="1" t="s">
        <v>46</v>
      </c>
      <c r="T264" s="4" t="s">
        <v>31</v>
      </c>
      <c r="U264" s="7" t="s">
        <v>32</v>
      </c>
      <c r="V264" s="7" t="s">
        <v>501</v>
      </c>
      <c r="W264" s="7" t="s">
        <v>50</v>
      </c>
      <c r="X264" s="7" t="s">
        <v>1751</v>
      </c>
      <c r="Y264" s="10">
        <f t="shared" si="9"/>
        <v>12617142.859999999</v>
      </c>
      <c r="AH264" s="5" t="e">
        <f>VLOOKUP(B264,[1]DL!$BK:$BP,6,0)</f>
        <v>#N/A</v>
      </c>
    </row>
    <row r="265" spans="1:34" ht="14.5" hidden="1">
      <c r="A265" s="5">
        <v>262</v>
      </c>
      <c r="B265" s="5" t="str">
        <f t="shared" si="8"/>
        <v>09AACCI0642K1ZLUPS-100000009711</v>
      </c>
      <c r="C265" s="1" t="s">
        <v>486</v>
      </c>
      <c r="D265" s="1" t="s">
        <v>487</v>
      </c>
      <c r="E265" s="1" t="s">
        <v>502</v>
      </c>
      <c r="F265" s="1" t="s">
        <v>24</v>
      </c>
      <c r="G265" s="1" t="s">
        <v>50</v>
      </c>
      <c r="H265" s="2">
        <v>34781775.43</v>
      </c>
      <c r="I265" s="1" t="s">
        <v>44</v>
      </c>
      <c r="J265" s="3" t="s">
        <v>27</v>
      </c>
      <c r="K265" s="2">
        <v>22953204</v>
      </c>
      <c r="L265" s="2">
        <v>11828571.43</v>
      </c>
      <c r="M265" s="2">
        <v>0</v>
      </c>
      <c r="N265" s="2">
        <v>0</v>
      </c>
      <c r="O265" s="2">
        <v>0</v>
      </c>
      <c r="P265" s="7" t="s">
        <v>28</v>
      </c>
      <c r="Q265" s="1" t="s">
        <v>29</v>
      </c>
      <c r="R265" s="3" t="s">
        <v>45</v>
      </c>
      <c r="S265" s="1" t="s">
        <v>46</v>
      </c>
      <c r="T265" s="4" t="s">
        <v>31</v>
      </c>
      <c r="U265" s="7" t="s">
        <v>32</v>
      </c>
      <c r="V265" s="7" t="s">
        <v>503</v>
      </c>
      <c r="W265" s="7" t="s">
        <v>50</v>
      </c>
      <c r="X265" s="7" t="s">
        <v>1751</v>
      </c>
      <c r="Y265" s="10">
        <f t="shared" si="9"/>
        <v>11828571.43</v>
      </c>
      <c r="AH265" s="5" t="e">
        <f>VLOOKUP(B265,[1]DL!$BK:$BP,6,0)</f>
        <v>#N/A</v>
      </c>
    </row>
    <row r="266" spans="1:34" ht="14.5" hidden="1">
      <c r="A266" s="5">
        <v>263</v>
      </c>
      <c r="B266" s="5" t="str">
        <f t="shared" si="8"/>
        <v>09AACCI0642K1ZLUPS-100000009720</v>
      </c>
      <c r="C266" s="1" t="s">
        <v>486</v>
      </c>
      <c r="D266" s="1" t="s">
        <v>487</v>
      </c>
      <c r="E266" s="1" t="s">
        <v>504</v>
      </c>
      <c r="F266" s="1" t="s">
        <v>24</v>
      </c>
      <c r="G266" s="1" t="s">
        <v>25</v>
      </c>
      <c r="H266" s="2">
        <v>50919267.119999997</v>
      </c>
      <c r="I266" s="1" t="s">
        <v>44</v>
      </c>
      <c r="J266" s="3" t="s">
        <v>27</v>
      </c>
      <c r="K266" s="2">
        <v>34384981.399999999</v>
      </c>
      <c r="L266" s="2">
        <v>16534285.720000001</v>
      </c>
      <c r="M266" s="2">
        <v>0</v>
      </c>
      <c r="N266" s="2">
        <v>0</v>
      </c>
      <c r="O266" s="2">
        <v>0</v>
      </c>
      <c r="P266" s="7" t="s">
        <v>28</v>
      </c>
      <c r="Q266" s="1" t="s">
        <v>29</v>
      </c>
      <c r="R266" s="3" t="s">
        <v>45</v>
      </c>
      <c r="S266" s="1" t="s">
        <v>46</v>
      </c>
      <c r="T266" s="4" t="s">
        <v>31</v>
      </c>
      <c r="U266" s="7" t="s">
        <v>32</v>
      </c>
      <c r="V266" s="7" t="s">
        <v>505</v>
      </c>
      <c r="W266" s="7" t="s">
        <v>25</v>
      </c>
      <c r="X266" s="7" t="s">
        <v>1751</v>
      </c>
      <c r="Y266" s="10">
        <f t="shared" si="9"/>
        <v>16534285.720000001</v>
      </c>
      <c r="AH266" s="5" t="e">
        <f>VLOOKUP(B266,[1]DL!$BK:$BP,6,0)</f>
        <v>#N/A</v>
      </c>
    </row>
    <row r="267" spans="1:34" ht="14.5" hidden="1">
      <c r="A267" s="5">
        <v>264</v>
      </c>
      <c r="B267" s="5" t="str">
        <f t="shared" si="8"/>
        <v>09AACCI0642K1ZLUPS-100000009722</v>
      </c>
      <c r="C267" s="1" t="s">
        <v>486</v>
      </c>
      <c r="D267" s="1" t="s">
        <v>487</v>
      </c>
      <c r="E267" s="1" t="s">
        <v>506</v>
      </c>
      <c r="F267" s="1" t="s">
        <v>24</v>
      </c>
      <c r="G267" s="1" t="s">
        <v>25</v>
      </c>
      <c r="H267" s="2">
        <v>37100560.460000001</v>
      </c>
      <c r="I267" s="1" t="s">
        <v>44</v>
      </c>
      <c r="J267" s="3" t="s">
        <v>27</v>
      </c>
      <c r="K267" s="2">
        <v>24483417.600000001</v>
      </c>
      <c r="L267" s="2">
        <v>12617142.859999999</v>
      </c>
      <c r="M267" s="2">
        <v>0</v>
      </c>
      <c r="N267" s="2">
        <v>0</v>
      </c>
      <c r="O267" s="2">
        <v>0</v>
      </c>
      <c r="P267" s="7" t="s">
        <v>28</v>
      </c>
      <c r="Q267" s="1" t="s">
        <v>29</v>
      </c>
      <c r="R267" s="3" t="s">
        <v>45</v>
      </c>
      <c r="S267" s="1" t="s">
        <v>46</v>
      </c>
      <c r="T267" s="4" t="s">
        <v>31</v>
      </c>
      <c r="U267" s="7" t="s">
        <v>32</v>
      </c>
      <c r="V267" s="7" t="s">
        <v>507</v>
      </c>
      <c r="W267" s="7" t="s">
        <v>25</v>
      </c>
      <c r="X267" s="7" t="s">
        <v>1751</v>
      </c>
      <c r="Y267" s="10">
        <f t="shared" si="9"/>
        <v>12617142.859999999</v>
      </c>
      <c r="AH267" s="5" t="e">
        <f>VLOOKUP(B267,[1]DL!$BK:$BP,6,0)</f>
        <v>#N/A</v>
      </c>
    </row>
    <row r="268" spans="1:34" ht="14.5" hidden="1">
      <c r="A268" s="5">
        <v>265</v>
      </c>
      <c r="B268" s="5" t="str">
        <f t="shared" si="8"/>
        <v>09AACCI0642K1ZLUPS-100000009723</v>
      </c>
      <c r="C268" s="1" t="s">
        <v>486</v>
      </c>
      <c r="D268" s="1" t="s">
        <v>487</v>
      </c>
      <c r="E268" s="1" t="s">
        <v>508</v>
      </c>
      <c r="F268" s="1" t="s">
        <v>24</v>
      </c>
      <c r="G268" s="1" t="s">
        <v>25</v>
      </c>
      <c r="H268" s="2">
        <v>34781775.43</v>
      </c>
      <c r="I268" s="1" t="s">
        <v>44</v>
      </c>
      <c r="J268" s="3" t="s">
        <v>27</v>
      </c>
      <c r="K268" s="2">
        <v>22953204</v>
      </c>
      <c r="L268" s="2">
        <v>11828571.43</v>
      </c>
      <c r="M268" s="2">
        <v>0</v>
      </c>
      <c r="N268" s="2">
        <v>0</v>
      </c>
      <c r="O268" s="2">
        <v>0</v>
      </c>
      <c r="P268" s="7" t="s">
        <v>28</v>
      </c>
      <c r="Q268" s="1" t="s">
        <v>29</v>
      </c>
      <c r="R268" s="3" t="s">
        <v>45</v>
      </c>
      <c r="S268" s="1" t="s">
        <v>46</v>
      </c>
      <c r="T268" s="4" t="s">
        <v>31</v>
      </c>
      <c r="U268" s="7" t="s">
        <v>32</v>
      </c>
      <c r="V268" s="7" t="s">
        <v>509</v>
      </c>
      <c r="W268" s="7" t="s">
        <v>25</v>
      </c>
      <c r="X268" s="7" t="s">
        <v>1751</v>
      </c>
      <c r="Y268" s="10">
        <f t="shared" si="9"/>
        <v>11828571.43</v>
      </c>
      <c r="AH268" s="5" t="e">
        <f>VLOOKUP(B268,[1]DL!$BK:$BP,6,0)</f>
        <v>#N/A</v>
      </c>
    </row>
    <row r="269" spans="1:34" ht="14.5" hidden="1">
      <c r="A269" s="5">
        <v>266</v>
      </c>
      <c r="B269" s="5" t="str">
        <f t="shared" si="8"/>
        <v>09AACCI0642K1ZLUPS-100000009730</v>
      </c>
      <c r="C269" s="1" t="s">
        <v>486</v>
      </c>
      <c r="D269" s="1" t="s">
        <v>487</v>
      </c>
      <c r="E269" s="1" t="s">
        <v>510</v>
      </c>
      <c r="F269" s="1" t="s">
        <v>24</v>
      </c>
      <c r="G269" s="1" t="s">
        <v>125</v>
      </c>
      <c r="H269" s="2">
        <v>48373140.82</v>
      </c>
      <c r="I269" s="1" t="s">
        <v>44</v>
      </c>
      <c r="J269" s="3" t="s">
        <v>27</v>
      </c>
      <c r="K269" s="2">
        <v>32524569.399999999</v>
      </c>
      <c r="L269" s="2">
        <v>15848571.42</v>
      </c>
      <c r="M269" s="2">
        <v>0</v>
      </c>
      <c r="N269" s="2">
        <v>0</v>
      </c>
      <c r="O269" s="2">
        <v>0</v>
      </c>
      <c r="P269" s="7" t="s">
        <v>28</v>
      </c>
      <c r="Q269" s="1" t="s">
        <v>29</v>
      </c>
      <c r="R269" s="3" t="s">
        <v>45</v>
      </c>
      <c r="S269" s="1" t="s">
        <v>46</v>
      </c>
      <c r="T269" s="4" t="s">
        <v>31</v>
      </c>
      <c r="U269" s="7" t="s">
        <v>32</v>
      </c>
      <c r="V269" s="7" t="s">
        <v>511</v>
      </c>
      <c r="W269" s="7" t="s">
        <v>125</v>
      </c>
      <c r="X269" s="7" t="s">
        <v>1751</v>
      </c>
      <c r="Y269" s="10">
        <f t="shared" si="9"/>
        <v>15848571.42</v>
      </c>
      <c r="AH269" s="5" t="e">
        <f>VLOOKUP(B269,[1]DL!$BK:$BP,6,0)</f>
        <v>#N/A</v>
      </c>
    </row>
    <row r="270" spans="1:34" ht="14.5" hidden="1">
      <c r="A270" s="5">
        <v>267</v>
      </c>
      <c r="B270" s="5" t="str">
        <f t="shared" si="8"/>
        <v>09AACCI0642K1ZLUPS-100000009731</v>
      </c>
      <c r="C270" s="1" t="s">
        <v>486</v>
      </c>
      <c r="D270" s="1" t="s">
        <v>487</v>
      </c>
      <c r="E270" s="1" t="s">
        <v>512</v>
      </c>
      <c r="F270" s="1" t="s">
        <v>24</v>
      </c>
      <c r="G270" s="1" t="s">
        <v>125</v>
      </c>
      <c r="H270" s="2">
        <v>37100560.460000001</v>
      </c>
      <c r="I270" s="1" t="s">
        <v>44</v>
      </c>
      <c r="J270" s="3" t="s">
        <v>27</v>
      </c>
      <c r="K270" s="2">
        <v>24483417.600000001</v>
      </c>
      <c r="L270" s="2">
        <v>12617142.859999999</v>
      </c>
      <c r="M270" s="2">
        <v>0</v>
      </c>
      <c r="N270" s="2">
        <v>0</v>
      </c>
      <c r="O270" s="2">
        <v>0</v>
      </c>
      <c r="P270" s="7" t="s">
        <v>28</v>
      </c>
      <c r="Q270" s="1" t="s">
        <v>29</v>
      </c>
      <c r="R270" s="3" t="s">
        <v>45</v>
      </c>
      <c r="S270" s="1" t="s">
        <v>46</v>
      </c>
      <c r="T270" s="4" t="s">
        <v>31</v>
      </c>
      <c r="U270" s="7" t="s">
        <v>32</v>
      </c>
      <c r="V270" s="7" t="s">
        <v>513</v>
      </c>
      <c r="W270" s="7" t="s">
        <v>125</v>
      </c>
      <c r="X270" s="7" t="s">
        <v>1751</v>
      </c>
      <c r="Y270" s="10">
        <f t="shared" si="9"/>
        <v>12617142.859999999</v>
      </c>
      <c r="AH270" s="5" t="e">
        <f>VLOOKUP(B270,[1]DL!$BK:$BP,6,0)</f>
        <v>#N/A</v>
      </c>
    </row>
    <row r="271" spans="1:34" ht="14.5" hidden="1">
      <c r="A271" s="5">
        <v>268</v>
      </c>
      <c r="B271" s="5" t="str">
        <f t="shared" si="8"/>
        <v>09AACCI0642K1ZLUPS-100000009736</v>
      </c>
      <c r="C271" s="1" t="s">
        <v>486</v>
      </c>
      <c r="D271" s="1" t="s">
        <v>487</v>
      </c>
      <c r="E271" s="1" t="s">
        <v>514</v>
      </c>
      <c r="F271" s="1" t="s">
        <v>24</v>
      </c>
      <c r="G271" s="1" t="s">
        <v>125</v>
      </c>
      <c r="H271" s="2">
        <v>28984812.859999999</v>
      </c>
      <c r="I271" s="1" t="s">
        <v>44</v>
      </c>
      <c r="J271" s="3" t="s">
        <v>27</v>
      </c>
      <c r="K271" s="2">
        <v>19127670</v>
      </c>
      <c r="L271" s="2">
        <v>9857142.8599999994</v>
      </c>
      <c r="M271" s="2">
        <v>0</v>
      </c>
      <c r="N271" s="2">
        <v>0</v>
      </c>
      <c r="O271" s="2">
        <v>0</v>
      </c>
      <c r="P271" s="7" t="s">
        <v>28</v>
      </c>
      <c r="Q271" s="1" t="s">
        <v>29</v>
      </c>
      <c r="R271" s="3" t="s">
        <v>45</v>
      </c>
      <c r="S271" s="1" t="s">
        <v>46</v>
      </c>
      <c r="T271" s="4" t="s">
        <v>31</v>
      </c>
      <c r="U271" s="7" t="s">
        <v>32</v>
      </c>
      <c r="V271" s="7" t="s">
        <v>515</v>
      </c>
      <c r="W271" s="7" t="s">
        <v>125</v>
      </c>
      <c r="X271" s="7" t="s">
        <v>1751</v>
      </c>
      <c r="Y271" s="10">
        <f t="shared" si="9"/>
        <v>9857142.8599999994</v>
      </c>
      <c r="AH271" s="5" t="e">
        <f>VLOOKUP(B271,[1]DL!$BK:$BP,6,0)</f>
        <v>#N/A</v>
      </c>
    </row>
    <row r="272" spans="1:34" ht="14.5" hidden="1">
      <c r="A272" s="5">
        <v>269</v>
      </c>
      <c r="B272" s="5" t="str">
        <f t="shared" si="8"/>
        <v>09AACCI0642K1ZLUPS-100000009747</v>
      </c>
      <c r="C272" s="1" t="s">
        <v>486</v>
      </c>
      <c r="D272" s="1" t="s">
        <v>487</v>
      </c>
      <c r="E272" s="1" t="s">
        <v>516</v>
      </c>
      <c r="F272" s="1" t="s">
        <v>24</v>
      </c>
      <c r="G272" s="1" t="s">
        <v>385</v>
      </c>
      <c r="H272" s="2">
        <v>37100560.460000001</v>
      </c>
      <c r="I272" s="1" t="s">
        <v>44</v>
      </c>
      <c r="J272" s="3" t="s">
        <v>27</v>
      </c>
      <c r="K272" s="2">
        <v>24483417.600000001</v>
      </c>
      <c r="L272" s="2">
        <v>12617142.859999999</v>
      </c>
      <c r="M272" s="2">
        <v>0</v>
      </c>
      <c r="N272" s="2">
        <v>0</v>
      </c>
      <c r="O272" s="2">
        <v>0</v>
      </c>
      <c r="P272" s="7" t="s">
        <v>28</v>
      </c>
      <c r="Q272" s="1" t="s">
        <v>29</v>
      </c>
      <c r="R272" s="3" t="s">
        <v>45</v>
      </c>
      <c r="S272" s="1" t="s">
        <v>46</v>
      </c>
      <c r="T272" s="4" t="s">
        <v>31</v>
      </c>
      <c r="U272" s="7" t="s">
        <v>32</v>
      </c>
      <c r="V272" s="7" t="s">
        <v>517</v>
      </c>
      <c r="W272" s="7" t="s">
        <v>385</v>
      </c>
      <c r="X272" s="7" t="s">
        <v>1751</v>
      </c>
      <c r="Y272" s="10">
        <f t="shared" si="9"/>
        <v>12617142.859999999</v>
      </c>
      <c r="AH272" s="5" t="e">
        <f>VLOOKUP(B272,[1]DL!$BK:$BP,6,0)</f>
        <v>#N/A</v>
      </c>
    </row>
    <row r="273" spans="1:34" ht="14.5" hidden="1">
      <c r="A273" s="5">
        <v>270</v>
      </c>
      <c r="B273" s="5" t="str">
        <f t="shared" si="8"/>
        <v>09AACCI0642K1ZLUPS-100000009748</v>
      </c>
      <c r="C273" s="1" t="s">
        <v>486</v>
      </c>
      <c r="D273" s="1" t="s">
        <v>487</v>
      </c>
      <c r="E273" s="1" t="s">
        <v>518</v>
      </c>
      <c r="F273" s="1" t="s">
        <v>24</v>
      </c>
      <c r="G273" s="1" t="s">
        <v>385</v>
      </c>
      <c r="H273" s="2">
        <v>34781775.43</v>
      </c>
      <c r="I273" s="1" t="s">
        <v>44</v>
      </c>
      <c r="J273" s="3" t="s">
        <v>27</v>
      </c>
      <c r="K273" s="2">
        <v>22953204</v>
      </c>
      <c r="L273" s="2">
        <v>11828571.43</v>
      </c>
      <c r="M273" s="2">
        <v>0</v>
      </c>
      <c r="N273" s="2">
        <v>0</v>
      </c>
      <c r="O273" s="2">
        <v>0</v>
      </c>
      <c r="P273" s="7" t="s">
        <v>28</v>
      </c>
      <c r="Q273" s="1" t="s">
        <v>29</v>
      </c>
      <c r="R273" s="3" t="s">
        <v>45</v>
      </c>
      <c r="S273" s="1" t="s">
        <v>46</v>
      </c>
      <c r="T273" s="4" t="s">
        <v>31</v>
      </c>
      <c r="U273" s="7" t="s">
        <v>32</v>
      </c>
      <c r="V273" s="7" t="s">
        <v>519</v>
      </c>
      <c r="W273" s="7" t="s">
        <v>385</v>
      </c>
      <c r="X273" s="7" t="s">
        <v>1751</v>
      </c>
      <c r="Y273" s="10">
        <f t="shared" si="9"/>
        <v>11828571.43</v>
      </c>
      <c r="AH273" s="5" t="e">
        <f>VLOOKUP(B273,[1]DL!$BK:$BP,6,0)</f>
        <v>#N/A</v>
      </c>
    </row>
    <row r="274" spans="1:34" ht="14.5" hidden="1">
      <c r="A274" s="5">
        <v>271</v>
      </c>
      <c r="B274" s="5" t="str">
        <f t="shared" si="8"/>
        <v>09AACCI0642K1ZLUPS-100000009749</v>
      </c>
      <c r="C274" s="1" t="s">
        <v>486</v>
      </c>
      <c r="D274" s="1" t="s">
        <v>487</v>
      </c>
      <c r="E274" s="1" t="s">
        <v>520</v>
      </c>
      <c r="F274" s="1" t="s">
        <v>24</v>
      </c>
      <c r="G274" s="1" t="s">
        <v>385</v>
      </c>
      <c r="H274" s="2">
        <v>43246761.829999998</v>
      </c>
      <c r="I274" s="1" t="s">
        <v>44</v>
      </c>
      <c r="J274" s="3" t="s">
        <v>27</v>
      </c>
      <c r="K274" s="2">
        <v>28778190.399999999</v>
      </c>
      <c r="L274" s="2">
        <v>14468571.43</v>
      </c>
      <c r="M274" s="2">
        <v>0</v>
      </c>
      <c r="N274" s="2">
        <v>0</v>
      </c>
      <c r="O274" s="2">
        <v>0</v>
      </c>
      <c r="P274" s="7" t="s">
        <v>28</v>
      </c>
      <c r="Q274" s="1" t="s">
        <v>29</v>
      </c>
      <c r="R274" s="3" t="s">
        <v>45</v>
      </c>
      <c r="S274" s="1" t="s">
        <v>46</v>
      </c>
      <c r="T274" s="4" t="s">
        <v>31</v>
      </c>
      <c r="U274" s="7" t="s">
        <v>32</v>
      </c>
      <c r="V274" s="7" t="s">
        <v>521</v>
      </c>
      <c r="W274" s="7" t="s">
        <v>385</v>
      </c>
      <c r="X274" s="7" t="s">
        <v>1751</v>
      </c>
      <c r="Y274" s="10">
        <f t="shared" si="9"/>
        <v>14468571.43</v>
      </c>
      <c r="AH274" s="5" t="e">
        <f>VLOOKUP(B274,[1]DL!$BK:$BP,6,0)</f>
        <v>#N/A</v>
      </c>
    </row>
    <row r="275" spans="1:34" ht="14.5" hidden="1">
      <c r="A275" s="5">
        <v>272</v>
      </c>
      <c r="B275" s="5" t="str">
        <f t="shared" si="8"/>
        <v>09AACCI0642K1ZLUPS-100000009750</v>
      </c>
      <c r="C275" s="1" t="s">
        <v>486</v>
      </c>
      <c r="D275" s="1" t="s">
        <v>487</v>
      </c>
      <c r="E275" s="1" t="s">
        <v>522</v>
      </c>
      <c r="F275" s="1" t="s">
        <v>24</v>
      </c>
      <c r="G275" s="1" t="s">
        <v>385</v>
      </c>
      <c r="H275" s="2">
        <v>647026.29</v>
      </c>
      <c r="I275" s="1" t="s">
        <v>44</v>
      </c>
      <c r="J275" s="3" t="s">
        <v>27</v>
      </c>
      <c r="K275" s="2">
        <v>441312</v>
      </c>
      <c r="L275" s="2">
        <v>205714.29</v>
      </c>
      <c r="M275" s="2">
        <v>0</v>
      </c>
      <c r="N275" s="2">
        <v>0</v>
      </c>
      <c r="O275" s="2">
        <v>0</v>
      </c>
      <c r="P275" s="7" t="s">
        <v>28</v>
      </c>
      <c r="Q275" s="1" t="s">
        <v>29</v>
      </c>
      <c r="R275" s="3" t="s">
        <v>45</v>
      </c>
      <c r="S275" s="1" t="s">
        <v>46</v>
      </c>
      <c r="T275" s="4" t="s">
        <v>31</v>
      </c>
      <c r="U275" s="7" t="s">
        <v>32</v>
      </c>
      <c r="V275" s="7" t="s">
        <v>523</v>
      </c>
      <c r="W275" s="7" t="s">
        <v>385</v>
      </c>
      <c r="X275" s="7" t="s">
        <v>1751</v>
      </c>
      <c r="Y275" s="10">
        <f t="shared" si="9"/>
        <v>205714.29000000001</v>
      </c>
      <c r="AH275" s="5" t="e">
        <f>VLOOKUP(B275,[1]DL!$BK:$BP,6,0)</f>
        <v>#N/A</v>
      </c>
    </row>
    <row r="276" spans="1:34" ht="14.5" hidden="1">
      <c r="A276" s="5">
        <v>273</v>
      </c>
      <c r="B276" s="5" t="str">
        <f t="shared" si="8"/>
        <v>09AACCI0642K1ZLUPS-100000009754</v>
      </c>
      <c r="C276" s="1" t="s">
        <v>486</v>
      </c>
      <c r="D276" s="1" t="s">
        <v>487</v>
      </c>
      <c r="E276" s="1" t="s">
        <v>524</v>
      </c>
      <c r="F276" s="1" t="s">
        <v>24</v>
      </c>
      <c r="G276" s="1" t="s">
        <v>204</v>
      </c>
      <c r="H276" s="2">
        <v>11593925.140000001</v>
      </c>
      <c r="I276" s="1" t="s">
        <v>44</v>
      </c>
      <c r="J276" s="3" t="s">
        <v>27</v>
      </c>
      <c r="K276" s="2">
        <v>7651068</v>
      </c>
      <c r="L276" s="2">
        <v>3942857.14</v>
      </c>
      <c r="M276" s="2">
        <v>0</v>
      </c>
      <c r="N276" s="2">
        <v>0</v>
      </c>
      <c r="O276" s="2">
        <v>0</v>
      </c>
      <c r="P276" s="7" t="s">
        <v>28</v>
      </c>
      <c r="Q276" s="1" t="s">
        <v>29</v>
      </c>
      <c r="R276" s="3" t="s">
        <v>45</v>
      </c>
      <c r="S276" s="1" t="s">
        <v>46</v>
      </c>
      <c r="T276" s="4" t="s">
        <v>31</v>
      </c>
      <c r="U276" s="7" t="s">
        <v>32</v>
      </c>
      <c r="V276" s="7" t="s">
        <v>525</v>
      </c>
      <c r="W276" s="7" t="s">
        <v>204</v>
      </c>
      <c r="X276" s="7" t="s">
        <v>1751</v>
      </c>
      <c r="Y276" s="10">
        <f t="shared" si="9"/>
        <v>3942857.1400000001</v>
      </c>
      <c r="AH276" s="5" t="e">
        <f>VLOOKUP(B276,[1]DL!$BK:$BP,6,0)</f>
        <v>#N/A</v>
      </c>
    </row>
    <row r="277" spans="1:34" ht="14.5" hidden="1">
      <c r="A277" s="5">
        <v>274</v>
      </c>
      <c r="B277" s="5" t="str">
        <f t="shared" si="8"/>
        <v>09AACCI0642K1ZLUPS-100000009755</v>
      </c>
      <c r="C277" s="1" t="s">
        <v>486</v>
      </c>
      <c r="D277" s="1" t="s">
        <v>487</v>
      </c>
      <c r="E277" s="1" t="s">
        <v>526</v>
      </c>
      <c r="F277" s="1" t="s">
        <v>24</v>
      </c>
      <c r="G277" s="1" t="s">
        <v>204</v>
      </c>
      <c r="H277" s="2">
        <v>37100560.460000001</v>
      </c>
      <c r="I277" s="1" t="s">
        <v>44</v>
      </c>
      <c r="J277" s="3" t="s">
        <v>27</v>
      </c>
      <c r="K277" s="2">
        <v>24483417.600000001</v>
      </c>
      <c r="L277" s="2">
        <v>12617142.859999999</v>
      </c>
      <c r="M277" s="2">
        <v>0</v>
      </c>
      <c r="N277" s="2">
        <v>0</v>
      </c>
      <c r="O277" s="2">
        <v>0</v>
      </c>
      <c r="P277" s="7" t="s">
        <v>28</v>
      </c>
      <c r="Q277" s="1" t="s">
        <v>29</v>
      </c>
      <c r="R277" s="3" t="s">
        <v>45</v>
      </c>
      <c r="S277" s="1" t="s">
        <v>46</v>
      </c>
      <c r="T277" s="4" t="s">
        <v>31</v>
      </c>
      <c r="U277" s="7" t="s">
        <v>32</v>
      </c>
      <c r="V277" s="7" t="s">
        <v>527</v>
      </c>
      <c r="W277" s="7" t="s">
        <v>204</v>
      </c>
      <c r="X277" s="7" t="s">
        <v>1751</v>
      </c>
      <c r="Y277" s="10">
        <f t="shared" si="9"/>
        <v>12617142.859999999</v>
      </c>
      <c r="AH277" s="5" t="e">
        <f>VLOOKUP(B277,[1]DL!$BK:$BP,6,0)</f>
        <v>#N/A</v>
      </c>
    </row>
    <row r="278" spans="1:34" ht="14.5" hidden="1">
      <c r="A278" s="5">
        <v>275</v>
      </c>
      <c r="B278" s="5" t="str">
        <f t="shared" si="8"/>
        <v>09AACCI0642K1ZLUPS-100000009756</v>
      </c>
      <c r="C278" s="1" t="s">
        <v>486</v>
      </c>
      <c r="D278" s="1" t="s">
        <v>487</v>
      </c>
      <c r="E278" s="1" t="s">
        <v>528</v>
      </c>
      <c r="F278" s="1" t="s">
        <v>24</v>
      </c>
      <c r="G278" s="1" t="s">
        <v>204</v>
      </c>
      <c r="H278" s="2">
        <v>45785035.689999998</v>
      </c>
      <c r="I278" s="1" t="s">
        <v>44</v>
      </c>
      <c r="J278" s="3" t="s">
        <v>27</v>
      </c>
      <c r="K278" s="2">
        <v>30759321.399999999</v>
      </c>
      <c r="L278" s="2">
        <v>15025714.289999999</v>
      </c>
      <c r="M278" s="2">
        <v>0</v>
      </c>
      <c r="N278" s="2">
        <v>0</v>
      </c>
      <c r="O278" s="2">
        <v>0</v>
      </c>
      <c r="P278" s="7" t="s">
        <v>28</v>
      </c>
      <c r="Q278" s="1" t="s">
        <v>29</v>
      </c>
      <c r="R278" s="3" t="s">
        <v>45</v>
      </c>
      <c r="S278" s="1" t="s">
        <v>46</v>
      </c>
      <c r="T278" s="4" t="s">
        <v>31</v>
      </c>
      <c r="U278" s="7" t="s">
        <v>32</v>
      </c>
      <c r="V278" s="7" t="s">
        <v>529</v>
      </c>
      <c r="W278" s="7" t="s">
        <v>204</v>
      </c>
      <c r="X278" s="7" t="s">
        <v>1751</v>
      </c>
      <c r="Y278" s="10">
        <f t="shared" si="9"/>
        <v>15025714.289999999</v>
      </c>
      <c r="AH278" s="5" t="e">
        <f>VLOOKUP(B278,[1]DL!$BK:$BP,6,0)</f>
        <v>#N/A</v>
      </c>
    </row>
    <row r="279" spans="1:34" ht="14.5" hidden="1">
      <c r="A279" s="5">
        <v>276</v>
      </c>
      <c r="B279" s="5" t="str">
        <f t="shared" si="8"/>
        <v>09AACCI0642K1ZLUPS-100000009761</v>
      </c>
      <c r="C279" s="1" t="s">
        <v>486</v>
      </c>
      <c r="D279" s="1" t="s">
        <v>487</v>
      </c>
      <c r="E279" s="1" t="s">
        <v>530</v>
      </c>
      <c r="F279" s="1" t="s">
        <v>24</v>
      </c>
      <c r="G279" s="1" t="s">
        <v>398</v>
      </c>
      <c r="H279" s="2">
        <v>37100560.460000001</v>
      </c>
      <c r="I279" s="1" t="s">
        <v>44</v>
      </c>
      <c r="J279" s="3" t="s">
        <v>27</v>
      </c>
      <c r="K279" s="2">
        <v>24483417.600000001</v>
      </c>
      <c r="L279" s="2">
        <v>12617142.859999999</v>
      </c>
      <c r="M279" s="2">
        <v>0</v>
      </c>
      <c r="N279" s="2">
        <v>0</v>
      </c>
      <c r="O279" s="2">
        <v>0</v>
      </c>
      <c r="P279" s="7" t="s">
        <v>28</v>
      </c>
      <c r="Q279" s="1" t="s">
        <v>29</v>
      </c>
      <c r="R279" s="3" t="s">
        <v>45</v>
      </c>
      <c r="S279" s="1" t="s">
        <v>46</v>
      </c>
      <c r="T279" s="4" t="s">
        <v>31</v>
      </c>
      <c r="U279" s="7" t="s">
        <v>32</v>
      </c>
      <c r="V279" s="7" t="s">
        <v>531</v>
      </c>
      <c r="W279" s="7" t="s">
        <v>398</v>
      </c>
      <c r="X279" s="7" t="s">
        <v>1751</v>
      </c>
      <c r="Y279" s="10">
        <f t="shared" si="9"/>
        <v>12617142.859999999</v>
      </c>
      <c r="AH279" s="5" t="e">
        <f>VLOOKUP(B279,[1]DL!$BK:$BP,6,0)</f>
        <v>#N/A</v>
      </c>
    </row>
    <row r="280" spans="1:34" ht="14.5" hidden="1">
      <c r="A280" s="5">
        <v>277</v>
      </c>
      <c r="B280" s="5" t="str">
        <f t="shared" si="8"/>
        <v>09AACCI0642K1ZLUPS-100000009762</v>
      </c>
      <c r="C280" s="1" t="s">
        <v>486</v>
      </c>
      <c r="D280" s="1" t="s">
        <v>487</v>
      </c>
      <c r="E280" s="1" t="s">
        <v>532</v>
      </c>
      <c r="F280" s="1" t="s">
        <v>24</v>
      </c>
      <c r="G280" s="1" t="s">
        <v>398</v>
      </c>
      <c r="H280" s="2">
        <v>34781775.43</v>
      </c>
      <c r="I280" s="1" t="s">
        <v>44</v>
      </c>
      <c r="J280" s="3" t="s">
        <v>27</v>
      </c>
      <c r="K280" s="2">
        <v>22953204</v>
      </c>
      <c r="L280" s="2">
        <v>11828571.43</v>
      </c>
      <c r="M280" s="2">
        <v>0</v>
      </c>
      <c r="N280" s="2">
        <v>0</v>
      </c>
      <c r="O280" s="2">
        <v>0</v>
      </c>
      <c r="P280" s="7" t="s">
        <v>28</v>
      </c>
      <c r="Q280" s="1" t="s">
        <v>29</v>
      </c>
      <c r="R280" s="3" t="s">
        <v>45</v>
      </c>
      <c r="S280" s="1" t="s">
        <v>46</v>
      </c>
      <c r="T280" s="4" t="s">
        <v>31</v>
      </c>
      <c r="U280" s="7" t="s">
        <v>32</v>
      </c>
      <c r="V280" s="7" t="s">
        <v>533</v>
      </c>
      <c r="W280" s="7" t="s">
        <v>398</v>
      </c>
      <c r="X280" s="7" t="s">
        <v>1751</v>
      </c>
      <c r="Y280" s="10">
        <f t="shared" si="9"/>
        <v>11828571.43</v>
      </c>
      <c r="AH280" s="5" t="e">
        <f>VLOOKUP(B280,[1]DL!$BK:$BP,6,0)</f>
        <v>#N/A</v>
      </c>
    </row>
    <row r="281" spans="1:34" ht="14.5" hidden="1">
      <c r="A281" s="5">
        <v>278</v>
      </c>
      <c r="B281" s="5" t="str">
        <f t="shared" si="8"/>
        <v>09AACCI0642K1ZLUPS-100000009763</v>
      </c>
      <c r="C281" s="1" t="s">
        <v>486</v>
      </c>
      <c r="D281" s="1" t="s">
        <v>487</v>
      </c>
      <c r="E281" s="1" t="s">
        <v>534</v>
      </c>
      <c r="F281" s="1" t="s">
        <v>24</v>
      </c>
      <c r="G281" s="1" t="s">
        <v>398</v>
      </c>
      <c r="H281" s="2">
        <v>44293729.270000003</v>
      </c>
      <c r="I281" s="1" t="s">
        <v>44</v>
      </c>
      <c r="J281" s="3" t="s">
        <v>27</v>
      </c>
      <c r="K281" s="2">
        <v>29996586.399999999</v>
      </c>
      <c r="L281" s="2">
        <v>14297142.869999999</v>
      </c>
      <c r="M281" s="2">
        <v>0</v>
      </c>
      <c r="N281" s="2">
        <v>0</v>
      </c>
      <c r="O281" s="2">
        <v>0</v>
      </c>
      <c r="P281" s="7" t="s">
        <v>28</v>
      </c>
      <c r="Q281" s="1" t="s">
        <v>29</v>
      </c>
      <c r="R281" s="3" t="s">
        <v>45</v>
      </c>
      <c r="S281" s="1" t="s">
        <v>46</v>
      </c>
      <c r="T281" s="4" t="s">
        <v>31</v>
      </c>
      <c r="U281" s="7" t="s">
        <v>32</v>
      </c>
      <c r="V281" s="7" t="s">
        <v>535</v>
      </c>
      <c r="W281" s="7" t="s">
        <v>398</v>
      </c>
      <c r="X281" s="7" t="s">
        <v>1751</v>
      </c>
      <c r="Y281" s="10">
        <f t="shared" si="9"/>
        <v>14297142.869999999</v>
      </c>
      <c r="AH281" s="5" t="e">
        <f>VLOOKUP(B281,[1]DL!$BK:$BP,6,0)</f>
        <v>#N/A</v>
      </c>
    </row>
    <row r="282" spans="1:34" ht="14.5" hidden="1">
      <c r="A282" s="5">
        <v>279</v>
      </c>
      <c r="B282" s="5" t="str">
        <f t="shared" si="8"/>
        <v>09AACCI0642K1ZLUPS-100000009764</v>
      </c>
      <c r="C282" s="1" t="s">
        <v>486</v>
      </c>
      <c r="D282" s="1" t="s">
        <v>487</v>
      </c>
      <c r="E282" s="1" t="s">
        <v>536</v>
      </c>
      <c r="F282" s="1" t="s">
        <v>24</v>
      </c>
      <c r="G282" s="1" t="s">
        <v>398</v>
      </c>
      <c r="H282" s="2">
        <v>862701.71</v>
      </c>
      <c r="I282" s="1" t="s">
        <v>44</v>
      </c>
      <c r="J282" s="3" t="s">
        <v>27</v>
      </c>
      <c r="K282" s="2">
        <v>588416</v>
      </c>
      <c r="L282" s="2">
        <v>274285.71000000002</v>
      </c>
      <c r="M282" s="2">
        <v>0</v>
      </c>
      <c r="N282" s="2">
        <v>0</v>
      </c>
      <c r="O282" s="2">
        <v>0</v>
      </c>
      <c r="P282" s="7" t="s">
        <v>28</v>
      </c>
      <c r="Q282" s="1" t="s">
        <v>29</v>
      </c>
      <c r="R282" s="3" t="s">
        <v>45</v>
      </c>
      <c r="S282" s="1" t="s">
        <v>46</v>
      </c>
      <c r="T282" s="4" t="s">
        <v>31</v>
      </c>
      <c r="U282" s="7" t="s">
        <v>32</v>
      </c>
      <c r="V282" s="7" t="s">
        <v>537</v>
      </c>
      <c r="W282" s="7" t="s">
        <v>398</v>
      </c>
      <c r="X282" s="7" t="s">
        <v>1751</v>
      </c>
      <c r="Y282" s="10">
        <f t="shared" si="9"/>
        <v>274285.71000000002</v>
      </c>
      <c r="AH282" s="5" t="e">
        <f>VLOOKUP(B282,[1]DL!$BK:$BP,6,0)</f>
        <v>#N/A</v>
      </c>
    </row>
    <row r="283" spans="1:34" ht="14.5" hidden="1">
      <c r="A283" s="5">
        <v>280</v>
      </c>
      <c r="B283" s="5" t="str">
        <f t="shared" si="8"/>
        <v>09AACCI0642K1ZLUPS-100000009765</v>
      </c>
      <c r="C283" s="1" t="s">
        <v>486</v>
      </c>
      <c r="D283" s="1" t="s">
        <v>487</v>
      </c>
      <c r="E283" s="1" t="s">
        <v>538</v>
      </c>
      <c r="F283" s="1" t="s">
        <v>24</v>
      </c>
      <c r="G283" s="1" t="s">
        <v>398</v>
      </c>
      <c r="H283" s="2">
        <v>431350.86</v>
      </c>
      <c r="I283" s="1" t="s">
        <v>44</v>
      </c>
      <c r="J283" s="3" t="s">
        <v>27</v>
      </c>
      <c r="K283" s="2">
        <v>294208</v>
      </c>
      <c r="L283" s="2">
        <v>137142.85999999999</v>
      </c>
      <c r="M283" s="2">
        <v>0</v>
      </c>
      <c r="N283" s="2">
        <v>0</v>
      </c>
      <c r="O283" s="2">
        <v>0</v>
      </c>
      <c r="P283" s="7" t="s">
        <v>28</v>
      </c>
      <c r="Q283" s="1" t="s">
        <v>29</v>
      </c>
      <c r="R283" s="3" t="s">
        <v>45</v>
      </c>
      <c r="S283" s="1" t="s">
        <v>46</v>
      </c>
      <c r="T283" s="4" t="s">
        <v>31</v>
      </c>
      <c r="U283" s="7" t="s">
        <v>32</v>
      </c>
      <c r="V283" s="7" t="s">
        <v>539</v>
      </c>
      <c r="W283" s="7" t="s">
        <v>398</v>
      </c>
      <c r="X283" s="7" t="s">
        <v>1751</v>
      </c>
      <c r="Y283" s="10">
        <f t="shared" si="9"/>
        <v>137142.85999999999</v>
      </c>
      <c r="AH283" s="5" t="e">
        <f>VLOOKUP(B283,[1]DL!$BK:$BP,6,0)</f>
        <v>#N/A</v>
      </c>
    </row>
    <row r="284" spans="1:34" ht="14.5" hidden="1">
      <c r="A284" s="5">
        <v>281</v>
      </c>
      <c r="B284" s="5" t="str">
        <f t="shared" si="8"/>
        <v>09AACCI0642K1ZLUPS-100000009770</v>
      </c>
      <c r="C284" s="1" t="s">
        <v>486</v>
      </c>
      <c r="D284" s="1" t="s">
        <v>487</v>
      </c>
      <c r="E284" s="1" t="s">
        <v>540</v>
      </c>
      <c r="F284" s="1" t="s">
        <v>24</v>
      </c>
      <c r="G284" s="1" t="s">
        <v>35</v>
      </c>
      <c r="H284" s="2">
        <v>44256886.119999997</v>
      </c>
      <c r="I284" s="1" t="s">
        <v>44</v>
      </c>
      <c r="J284" s="3" t="s">
        <v>27</v>
      </c>
      <c r="K284" s="2">
        <v>29462600.399999999</v>
      </c>
      <c r="L284" s="2">
        <v>14794285.720000001</v>
      </c>
      <c r="M284" s="2">
        <v>0</v>
      </c>
      <c r="N284" s="2">
        <v>0</v>
      </c>
      <c r="O284" s="2">
        <v>0</v>
      </c>
      <c r="P284" s="7" t="s">
        <v>28</v>
      </c>
      <c r="Q284" s="1" t="s">
        <v>29</v>
      </c>
      <c r="R284" s="3" t="s">
        <v>45</v>
      </c>
      <c r="S284" s="1" t="s">
        <v>46</v>
      </c>
      <c r="T284" s="4" t="s">
        <v>31</v>
      </c>
      <c r="U284" s="7" t="s">
        <v>32</v>
      </c>
      <c r="V284" s="7" t="s">
        <v>541</v>
      </c>
      <c r="W284" s="7" t="s">
        <v>35</v>
      </c>
      <c r="X284" s="7" t="s">
        <v>1751</v>
      </c>
      <c r="Y284" s="10">
        <f t="shared" si="9"/>
        <v>14794285.720000001</v>
      </c>
      <c r="AH284" s="5" t="e">
        <f>VLOOKUP(B284,[1]DL!$BK:$BP,6,0)</f>
        <v>#N/A</v>
      </c>
    </row>
    <row r="285" spans="1:34" ht="14.5" hidden="1">
      <c r="A285" s="5">
        <v>282</v>
      </c>
      <c r="B285" s="5" t="str">
        <f t="shared" si="8"/>
        <v>09AACCI0642K1ZLUPS-100000009771</v>
      </c>
      <c r="C285" s="1" t="s">
        <v>486</v>
      </c>
      <c r="D285" s="1" t="s">
        <v>487</v>
      </c>
      <c r="E285" s="1" t="s">
        <v>542</v>
      </c>
      <c r="F285" s="1" t="s">
        <v>24</v>
      </c>
      <c r="G285" s="1" t="s">
        <v>35</v>
      </c>
      <c r="H285" s="2">
        <v>37100560.460000001</v>
      </c>
      <c r="I285" s="1" t="s">
        <v>44</v>
      </c>
      <c r="J285" s="3" t="s">
        <v>27</v>
      </c>
      <c r="K285" s="2">
        <v>24483417.600000001</v>
      </c>
      <c r="L285" s="2">
        <v>12617142.859999999</v>
      </c>
      <c r="M285" s="2">
        <v>0</v>
      </c>
      <c r="N285" s="2">
        <v>0</v>
      </c>
      <c r="O285" s="2">
        <v>0</v>
      </c>
      <c r="P285" s="7" t="s">
        <v>28</v>
      </c>
      <c r="Q285" s="1" t="s">
        <v>29</v>
      </c>
      <c r="R285" s="3" t="s">
        <v>45</v>
      </c>
      <c r="S285" s="1" t="s">
        <v>46</v>
      </c>
      <c r="T285" s="4" t="s">
        <v>31</v>
      </c>
      <c r="U285" s="7" t="s">
        <v>32</v>
      </c>
      <c r="V285" s="7" t="s">
        <v>543</v>
      </c>
      <c r="W285" s="7" t="s">
        <v>35</v>
      </c>
      <c r="X285" s="7" t="s">
        <v>1751</v>
      </c>
      <c r="Y285" s="10">
        <f t="shared" si="9"/>
        <v>12617142.859999999</v>
      </c>
      <c r="AH285" s="5" t="e">
        <f>VLOOKUP(B285,[1]DL!$BK:$BP,6,0)</f>
        <v>#N/A</v>
      </c>
    </row>
    <row r="286" spans="1:34" ht="14.5" hidden="1">
      <c r="A286" s="5">
        <v>283</v>
      </c>
      <c r="B286" s="5" t="str">
        <f t="shared" si="8"/>
        <v>09AACCI0642K1ZLUPS-100000009787</v>
      </c>
      <c r="C286" s="1" t="s">
        <v>486</v>
      </c>
      <c r="D286" s="1" t="s">
        <v>487</v>
      </c>
      <c r="E286" s="1" t="s">
        <v>544</v>
      </c>
      <c r="F286" s="1" t="s">
        <v>24</v>
      </c>
      <c r="G286" s="1" t="s">
        <v>161</v>
      </c>
      <c r="H286" s="2">
        <v>38587827.859999999</v>
      </c>
      <c r="I286" s="1" t="s">
        <v>44</v>
      </c>
      <c r="J286" s="3" t="s">
        <v>27</v>
      </c>
      <c r="K286" s="2">
        <v>25670685</v>
      </c>
      <c r="L286" s="2">
        <v>12917142.859999999</v>
      </c>
      <c r="M286" s="2">
        <v>0</v>
      </c>
      <c r="N286" s="2">
        <v>0</v>
      </c>
      <c r="O286" s="2">
        <v>0</v>
      </c>
      <c r="P286" s="7" t="s">
        <v>28</v>
      </c>
      <c r="Q286" s="1" t="s">
        <v>29</v>
      </c>
      <c r="R286" s="3" t="s">
        <v>45</v>
      </c>
      <c r="S286" s="1" t="s">
        <v>46</v>
      </c>
      <c r="T286" s="4" t="s">
        <v>31</v>
      </c>
      <c r="U286" s="7" t="s">
        <v>32</v>
      </c>
      <c r="V286" s="7" t="s">
        <v>545</v>
      </c>
      <c r="W286" s="7" t="s">
        <v>161</v>
      </c>
      <c r="X286" s="7" t="s">
        <v>1751</v>
      </c>
      <c r="Y286" s="10">
        <f t="shared" si="9"/>
        <v>12917142.859999999</v>
      </c>
      <c r="AH286" s="5" t="e">
        <f>VLOOKUP(B286,[1]DL!$BK:$BP,6,0)</f>
        <v>#N/A</v>
      </c>
    </row>
    <row r="287" spans="1:34" ht="14.5" hidden="1">
      <c r="A287" s="5">
        <v>284</v>
      </c>
      <c r="B287" s="5" t="str">
        <f t="shared" si="8"/>
        <v>09AACCI0642K1ZLUPS-100000009788</v>
      </c>
      <c r="C287" s="1" t="s">
        <v>486</v>
      </c>
      <c r="D287" s="1" t="s">
        <v>487</v>
      </c>
      <c r="E287" s="1" t="s">
        <v>546</v>
      </c>
      <c r="F287" s="1" t="s">
        <v>24</v>
      </c>
      <c r="G287" s="1" t="s">
        <v>161</v>
      </c>
      <c r="H287" s="2">
        <v>37680256.710000001</v>
      </c>
      <c r="I287" s="1" t="s">
        <v>44</v>
      </c>
      <c r="J287" s="3" t="s">
        <v>27</v>
      </c>
      <c r="K287" s="2">
        <v>24865971</v>
      </c>
      <c r="L287" s="2">
        <v>12814285.710000001</v>
      </c>
      <c r="M287" s="2">
        <v>0</v>
      </c>
      <c r="N287" s="2">
        <v>0</v>
      </c>
      <c r="O287" s="2">
        <v>0</v>
      </c>
      <c r="P287" s="7" t="s">
        <v>28</v>
      </c>
      <c r="Q287" s="1" t="s">
        <v>29</v>
      </c>
      <c r="R287" s="3" t="s">
        <v>45</v>
      </c>
      <c r="S287" s="1" t="s">
        <v>46</v>
      </c>
      <c r="T287" s="4" t="s">
        <v>31</v>
      </c>
      <c r="U287" s="7" t="s">
        <v>32</v>
      </c>
      <c r="V287" s="7" t="s">
        <v>547</v>
      </c>
      <c r="W287" s="7" t="s">
        <v>161</v>
      </c>
      <c r="X287" s="7" t="s">
        <v>1751</v>
      </c>
      <c r="Y287" s="10">
        <f t="shared" si="9"/>
        <v>12814285.710000001</v>
      </c>
      <c r="AH287" s="5" t="e">
        <f>VLOOKUP(B287,[1]DL!$BK:$BP,6,0)</f>
        <v>#N/A</v>
      </c>
    </row>
    <row r="288" spans="1:34" ht="14.5" hidden="1">
      <c r="A288" s="5">
        <v>285</v>
      </c>
      <c r="B288" s="5" t="str">
        <f t="shared" si="8"/>
        <v>09AACCI0642K1ZLUPS-100000009793</v>
      </c>
      <c r="C288" s="1" t="s">
        <v>486</v>
      </c>
      <c r="D288" s="1" t="s">
        <v>487</v>
      </c>
      <c r="E288" s="1" t="s">
        <v>548</v>
      </c>
      <c r="F288" s="1" t="s">
        <v>24</v>
      </c>
      <c r="G288" s="1" t="s">
        <v>161</v>
      </c>
      <c r="H288" s="2">
        <v>37680256.710000001</v>
      </c>
      <c r="I288" s="1" t="s">
        <v>44</v>
      </c>
      <c r="J288" s="3" t="s">
        <v>27</v>
      </c>
      <c r="K288" s="2">
        <v>24865971</v>
      </c>
      <c r="L288" s="2">
        <v>12814285.710000001</v>
      </c>
      <c r="M288" s="2">
        <v>0</v>
      </c>
      <c r="N288" s="2">
        <v>0</v>
      </c>
      <c r="O288" s="2">
        <v>0</v>
      </c>
      <c r="P288" s="7" t="s">
        <v>28</v>
      </c>
      <c r="Q288" s="1" t="s">
        <v>29</v>
      </c>
      <c r="R288" s="3" t="s">
        <v>45</v>
      </c>
      <c r="S288" s="1" t="s">
        <v>46</v>
      </c>
      <c r="T288" s="4" t="s">
        <v>31</v>
      </c>
      <c r="U288" s="7" t="s">
        <v>32</v>
      </c>
      <c r="V288" s="7" t="s">
        <v>549</v>
      </c>
      <c r="W288" s="7" t="s">
        <v>161</v>
      </c>
      <c r="X288" s="7" t="s">
        <v>1751</v>
      </c>
      <c r="Y288" s="10">
        <f t="shared" si="9"/>
        <v>12814285.710000001</v>
      </c>
      <c r="AH288" s="5" t="e">
        <f>VLOOKUP(B288,[1]DL!$BK:$BP,6,0)</f>
        <v>#N/A</v>
      </c>
    </row>
    <row r="289" spans="1:34" ht="14.5" hidden="1">
      <c r="A289" s="5">
        <v>286</v>
      </c>
      <c r="B289" s="5" t="str">
        <f t="shared" si="8"/>
        <v>09AACCI0642K1ZLUPS-100000009805</v>
      </c>
      <c r="C289" s="1" t="s">
        <v>486</v>
      </c>
      <c r="D289" s="1" t="s">
        <v>487</v>
      </c>
      <c r="E289" s="1" t="s">
        <v>550</v>
      </c>
      <c r="F289" s="1" t="s">
        <v>24</v>
      </c>
      <c r="G289" s="1" t="s">
        <v>133</v>
      </c>
      <c r="H289" s="2">
        <v>36639993.259999998</v>
      </c>
      <c r="I289" s="1" t="s">
        <v>44</v>
      </c>
      <c r="J289" s="3" t="s">
        <v>27</v>
      </c>
      <c r="K289" s="2">
        <v>24262850.399999999</v>
      </c>
      <c r="L289" s="2">
        <v>12377142.859999999</v>
      </c>
      <c r="M289" s="2">
        <v>0</v>
      </c>
      <c r="N289" s="2">
        <v>0</v>
      </c>
      <c r="O289" s="2">
        <v>0</v>
      </c>
      <c r="P289" s="7" t="s">
        <v>28</v>
      </c>
      <c r="Q289" s="1" t="s">
        <v>29</v>
      </c>
      <c r="R289" s="3" t="s">
        <v>45</v>
      </c>
      <c r="S289" s="1" t="s">
        <v>46</v>
      </c>
      <c r="T289" s="4" t="s">
        <v>31</v>
      </c>
      <c r="U289" s="7" t="s">
        <v>32</v>
      </c>
      <c r="V289" s="7" t="s">
        <v>551</v>
      </c>
      <c r="W289" s="7" t="s">
        <v>133</v>
      </c>
      <c r="X289" s="7" t="s">
        <v>1751</v>
      </c>
      <c r="Y289" s="10">
        <f t="shared" si="9"/>
        <v>12377142.859999999</v>
      </c>
      <c r="AH289" s="5" t="e">
        <f>VLOOKUP(B289,[1]DL!$BK:$BP,6,0)</f>
        <v>#N/A</v>
      </c>
    </row>
    <row r="290" spans="1:34" ht="14.5" hidden="1">
      <c r="A290" s="5">
        <v>287</v>
      </c>
      <c r="B290" s="5" t="str">
        <f t="shared" si="8"/>
        <v>09AACCI0642K1ZLUPS-100000009810</v>
      </c>
      <c r="C290" s="1" t="s">
        <v>486</v>
      </c>
      <c r="D290" s="1" t="s">
        <v>487</v>
      </c>
      <c r="E290" s="1" t="s">
        <v>552</v>
      </c>
      <c r="F290" s="1" t="s">
        <v>24</v>
      </c>
      <c r="G290" s="1" t="s">
        <v>140</v>
      </c>
      <c r="H290" s="2">
        <v>37100560.460000001</v>
      </c>
      <c r="I290" s="1" t="s">
        <v>44</v>
      </c>
      <c r="J290" s="3" t="s">
        <v>27</v>
      </c>
      <c r="K290" s="2">
        <v>24483417.600000001</v>
      </c>
      <c r="L290" s="2">
        <v>12617142.859999999</v>
      </c>
      <c r="M290" s="2">
        <v>0</v>
      </c>
      <c r="N290" s="2">
        <v>0</v>
      </c>
      <c r="O290" s="2">
        <v>0</v>
      </c>
      <c r="P290" s="7" t="s">
        <v>28</v>
      </c>
      <c r="Q290" s="1" t="s">
        <v>29</v>
      </c>
      <c r="R290" s="3" t="s">
        <v>45</v>
      </c>
      <c r="S290" s="1" t="s">
        <v>46</v>
      </c>
      <c r="T290" s="4" t="s">
        <v>31</v>
      </c>
      <c r="U290" s="7" t="s">
        <v>32</v>
      </c>
      <c r="V290" s="7" t="s">
        <v>553</v>
      </c>
      <c r="W290" s="7" t="s">
        <v>140</v>
      </c>
      <c r="X290" s="7" t="s">
        <v>1751</v>
      </c>
      <c r="Y290" s="10">
        <f t="shared" si="9"/>
        <v>12617142.859999999</v>
      </c>
      <c r="AH290" s="5" t="e">
        <f>VLOOKUP(B290,[1]DL!$BK:$BP,6,0)</f>
        <v>#N/A</v>
      </c>
    </row>
    <row r="291" spans="1:34" ht="14.5" hidden="1">
      <c r="A291" s="5">
        <v>288</v>
      </c>
      <c r="B291" s="5" t="str">
        <f t="shared" si="8"/>
        <v>09AACCI0642K1ZLUPS-100000009811</v>
      </c>
      <c r="C291" s="1" t="s">
        <v>486</v>
      </c>
      <c r="D291" s="1" t="s">
        <v>487</v>
      </c>
      <c r="E291" s="1" t="s">
        <v>554</v>
      </c>
      <c r="F291" s="1" t="s">
        <v>24</v>
      </c>
      <c r="G291" s="1" t="s">
        <v>140</v>
      </c>
      <c r="H291" s="2">
        <v>34781775.43</v>
      </c>
      <c r="I291" s="1" t="s">
        <v>44</v>
      </c>
      <c r="J291" s="3" t="s">
        <v>27</v>
      </c>
      <c r="K291" s="2">
        <v>22953204</v>
      </c>
      <c r="L291" s="2">
        <v>11828571.43</v>
      </c>
      <c r="M291" s="2">
        <v>0</v>
      </c>
      <c r="N291" s="2">
        <v>0</v>
      </c>
      <c r="O291" s="2">
        <v>0</v>
      </c>
      <c r="P291" s="7" t="s">
        <v>28</v>
      </c>
      <c r="Q291" s="1" t="s">
        <v>29</v>
      </c>
      <c r="R291" s="3" t="s">
        <v>45</v>
      </c>
      <c r="S291" s="1" t="s">
        <v>46</v>
      </c>
      <c r="T291" s="4" t="s">
        <v>31</v>
      </c>
      <c r="U291" s="7" t="s">
        <v>32</v>
      </c>
      <c r="V291" s="7" t="s">
        <v>555</v>
      </c>
      <c r="W291" s="7" t="s">
        <v>140</v>
      </c>
      <c r="X291" s="7" t="s">
        <v>1751</v>
      </c>
      <c r="Y291" s="10">
        <f t="shared" si="9"/>
        <v>11828571.43</v>
      </c>
      <c r="AH291" s="5" t="e">
        <f>VLOOKUP(B291,[1]DL!$BK:$BP,6,0)</f>
        <v>#N/A</v>
      </c>
    </row>
    <row r="292" spans="1:34" ht="14.5" hidden="1">
      <c r="A292" s="5">
        <v>289</v>
      </c>
      <c r="B292" s="5" t="str">
        <f t="shared" si="8"/>
        <v>09AACCI0642K1ZLUPS-100000009817</v>
      </c>
      <c r="C292" s="1" t="s">
        <v>486</v>
      </c>
      <c r="D292" s="1" t="s">
        <v>487</v>
      </c>
      <c r="E292" s="1" t="s">
        <v>556</v>
      </c>
      <c r="F292" s="1" t="s">
        <v>24</v>
      </c>
      <c r="G292" s="1" t="s">
        <v>420</v>
      </c>
      <c r="H292" s="2">
        <v>58232713.420000002</v>
      </c>
      <c r="I292" s="1" t="s">
        <v>44</v>
      </c>
      <c r="J292" s="3" t="s">
        <v>27</v>
      </c>
      <c r="K292" s="2">
        <v>39324142</v>
      </c>
      <c r="L292" s="2">
        <v>18908571.420000002</v>
      </c>
      <c r="M292" s="2">
        <v>0</v>
      </c>
      <c r="N292" s="2">
        <v>0</v>
      </c>
      <c r="O292" s="2">
        <v>0</v>
      </c>
      <c r="P292" s="7" t="s">
        <v>28</v>
      </c>
      <c r="Q292" s="1" t="s">
        <v>29</v>
      </c>
      <c r="R292" s="3" t="s">
        <v>45</v>
      </c>
      <c r="S292" s="1" t="s">
        <v>46</v>
      </c>
      <c r="T292" s="4" t="s">
        <v>31</v>
      </c>
      <c r="U292" s="7" t="s">
        <v>32</v>
      </c>
      <c r="V292" s="7" t="s">
        <v>557</v>
      </c>
      <c r="W292" s="7" t="s">
        <v>420</v>
      </c>
      <c r="X292" s="7" t="s">
        <v>1751</v>
      </c>
      <c r="Y292" s="10">
        <f t="shared" si="9"/>
        <v>18908571.420000002</v>
      </c>
      <c r="AH292" s="5" t="e">
        <f>VLOOKUP(B292,[1]DL!$BK:$BP,6,0)</f>
        <v>#N/A</v>
      </c>
    </row>
    <row r="293" spans="1:34" ht="14.5" hidden="1">
      <c r="A293" s="5">
        <v>290</v>
      </c>
      <c r="B293" s="5" t="str">
        <f t="shared" si="8"/>
        <v>09AACCI0642K1ZLUPS-100000009818</v>
      </c>
      <c r="C293" s="1" t="s">
        <v>486</v>
      </c>
      <c r="D293" s="1" t="s">
        <v>487</v>
      </c>
      <c r="E293" s="1" t="s">
        <v>558</v>
      </c>
      <c r="F293" s="1" t="s">
        <v>24</v>
      </c>
      <c r="G293" s="1" t="s">
        <v>420</v>
      </c>
      <c r="H293" s="2">
        <v>215675.43</v>
      </c>
      <c r="I293" s="1" t="s">
        <v>44</v>
      </c>
      <c r="J293" s="3" t="s">
        <v>27</v>
      </c>
      <c r="K293" s="2">
        <v>147104</v>
      </c>
      <c r="L293" s="2">
        <v>68571.429999999993</v>
      </c>
      <c r="M293" s="2">
        <v>0</v>
      </c>
      <c r="N293" s="2">
        <v>0</v>
      </c>
      <c r="O293" s="2">
        <v>0</v>
      </c>
      <c r="P293" s="7" t="s">
        <v>28</v>
      </c>
      <c r="Q293" s="1" t="s">
        <v>29</v>
      </c>
      <c r="R293" s="3" t="s">
        <v>45</v>
      </c>
      <c r="S293" s="1" t="s">
        <v>46</v>
      </c>
      <c r="T293" s="4" t="s">
        <v>31</v>
      </c>
      <c r="U293" s="7" t="s">
        <v>32</v>
      </c>
      <c r="V293" s="7" t="s">
        <v>559</v>
      </c>
      <c r="W293" s="7" t="s">
        <v>420</v>
      </c>
      <c r="X293" s="7" t="s">
        <v>1751</v>
      </c>
      <c r="Y293" s="10">
        <f t="shared" si="9"/>
        <v>68571.429999999993</v>
      </c>
      <c r="AH293" s="5" t="e">
        <f>VLOOKUP(B293,[1]DL!$BK:$BP,6,0)</f>
        <v>#N/A</v>
      </c>
    </row>
    <row r="294" spans="1:34" ht="14.5" hidden="1">
      <c r="A294" s="5">
        <v>291</v>
      </c>
      <c r="B294" s="5" t="str">
        <f t="shared" si="8"/>
        <v>09AACCI0642K1ZLUPS-100000009831</v>
      </c>
      <c r="C294" s="1" t="s">
        <v>486</v>
      </c>
      <c r="D294" s="1" t="s">
        <v>487</v>
      </c>
      <c r="E294" s="1" t="s">
        <v>560</v>
      </c>
      <c r="F294" s="1" t="s">
        <v>24</v>
      </c>
      <c r="G294" s="1" t="s">
        <v>289</v>
      </c>
      <c r="H294" s="2">
        <v>23187850.289999999</v>
      </c>
      <c r="I294" s="1" t="s">
        <v>44</v>
      </c>
      <c r="J294" s="3" t="s">
        <v>27</v>
      </c>
      <c r="K294" s="2">
        <v>15302136</v>
      </c>
      <c r="L294" s="2">
        <v>7885714.29</v>
      </c>
      <c r="M294" s="2">
        <v>0</v>
      </c>
      <c r="N294" s="2">
        <v>0</v>
      </c>
      <c r="O294" s="2">
        <v>0</v>
      </c>
      <c r="P294" s="7" t="s">
        <v>28</v>
      </c>
      <c r="Q294" s="1" t="s">
        <v>29</v>
      </c>
      <c r="R294" s="3" t="s">
        <v>45</v>
      </c>
      <c r="S294" s="1" t="s">
        <v>46</v>
      </c>
      <c r="T294" s="4" t="s">
        <v>31</v>
      </c>
      <c r="U294" s="7" t="s">
        <v>32</v>
      </c>
      <c r="V294" s="7" t="s">
        <v>561</v>
      </c>
      <c r="W294" s="7" t="s">
        <v>289</v>
      </c>
      <c r="X294" s="7" t="s">
        <v>1751</v>
      </c>
      <c r="Y294" s="10">
        <f t="shared" si="9"/>
        <v>7885714.29</v>
      </c>
      <c r="AH294" s="5" t="e">
        <f>VLOOKUP(B294,[1]DL!$BK:$BP,6,0)</f>
        <v>#N/A</v>
      </c>
    </row>
    <row r="295" spans="1:34" ht="14.5" hidden="1">
      <c r="A295" s="5">
        <v>292</v>
      </c>
      <c r="B295" s="5" t="str">
        <f t="shared" si="8"/>
        <v>09AACCI0642K1ZLUPS-100000009832</v>
      </c>
      <c r="C295" s="1" t="s">
        <v>486</v>
      </c>
      <c r="D295" s="1" t="s">
        <v>487</v>
      </c>
      <c r="E295" s="1" t="s">
        <v>562</v>
      </c>
      <c r="F295" s="1" t="s">
        <v>24</v>
      </c>
      <c r="G295" s="1" t="s">
        <v>289</v>
      </c>
      <c r="H295" s="2">
        <v>37100560.460000001</v>
      </c>
      <c r="I295" s="1" t="s">
        <v>44</v>
      </c>
      <c r="J295" s="3" t="s">
        <v>27</v>
      </c>
      <c r="K295" s="2">
        <v>24483417.600000001</v>
      </c>
      <c r="L295" s="2">
        <v>12617142.859999999</v>
      </c>
      <c r="M295" s="2">
        <v>0</v>
      </c>
      <c r="N295" s="2">
        <v>0</v>
      </c>
      <c r="O295" s="2">
        <v>0</v>
      </c>
      <c r="P295" s="7" t="s">
        <v>28</v>
      </c>
      <c r="Q295" s="1" t="s">
        <v>29</v>
      </c>
      <c r="R295" s="3" t="s">
        <v>45</v>
      </c>
      <c r="S295" s="1" t="s">
        <v>46</v>
      </c>
      <c r="T295" s="4" t="s">
        <v>31</v>
      </c>
      <c r="U295" s="7" t="s">
        <v>32</v>
      </c>
      <c r="V295" s="7" t="s">
        <v>563</v>
      </c>
      <c r="W295" s="7" t="s">
        <v>289</v>
      </c>
      <c r="X295" s="7" t="s">
        <v>1751</v>
      </c>
      <c r="Y295" s="10">
        <f t="shared" si="9"/>
        <v>12617142.859999999</v>
      </c>
      <c r="AH295" s="5" t="e">
        <f>VLOOKUP(B295,[1]DL!$BK:$BP,6,0)</f>
        <v>#N/A</v>
      </c>
    </row>
    <row r="296" spans="1:34" ht="14.5" hidden="1">
      <c r="A296" s="5">
        <v>293</v>
      </c>
      <c r="B296" s="5" t="str">
        <f t="shared" si="8"/>
        <v>09AACCI0642K1ZLUPS-100000009833</v>
      </c>
      <c r="C296" s="1" t="s">
        <v>486</v>
      </c>
      <c r="D296" s="1" t="s">
        <v>487</v>
      </c>
      <c r="E296" s="1" t="s">
        <v>564</v>
      </c>
      <c r="F296" s="1" t="s">
        <v>24</v>
      </c>
      <c r="G296" s="1" t="s">
        <v>289</v>
      </c>
      <c r="H296" s="2">
        <v>38259952.969999999</v>
      </c>
      <c r="I296" s="1" t="s">
        <v>44</v>
      </c>
      <c r="J296" s="3" t="s">
        <v>27</v>
      </c>
      <c r="K296" s="2">
        <v>25248524.399999999</v>
      </c>
      <c r="L296" s="2">
        <v>13011428.57</v>
      </c>
      <c r="M296" s="2">
        <v>0</v>
      </c>
      <c r="N296" s="2">
        <v>0</v>
      </c>
      <c r="O296" s="2">
        <v>0</v>
      </c>
      <c r="P296" s="7" t="s">
        <v>28</v>
      </c>
      <c r="Q296" s="1" t="s">
        <v>29</v>
      </c>
      <c r="R296" s="3" t="s">
        <v>45</v>
      </c>
      <c r="S296" s="1" t="s">
        <v>46</v>
      </c>
      <c r="T296" s="4" t="s">
        <v>31</v>
      </c>
      <c r="U296" s="7" t="s">
        <v>32</v>
      </c>
      <c r="V296" s="7" t="s">
        <v>565</v>
      </c>
      <c r="W296" s="7" t="s">
        <v>289</v>
      </c>
      <c r="X296" s="7" t="s">
        <v>1751</v>
      </c>
      <c r="Y296" s="10">
        <f t="shared" si="9"/>
        <v>13011428.57</v>
      </c>
      <c r="AH296" s="5" t="e">
        <f>VLOOKUP(B296,[1]DL!$BK:$BP,6,0)</f>
        <v>#N/A</v>
      </c>
    </row>
    <row r="297" spans="1:34" ht="14.5" hidden="1">
      <c r="A297" s="5">
        <v>294</v>
      </c>
      <c r="B297" s="5" t="str">
        <f t="shared" si="8"/>
        <v>09AACCI0642K1ZLUPS-100000009840</v>
      </c>
      <c r="C297" s="1" t="s">
        <v>486</v>
      </c>
      <c r="D297" s="1" t="s">
        <v>487</v>
      </c>
      <c r="E297" s="1" t="s">
        <v>566</v>
      </c>
      <c r="F297" s="1" t="s">
        <v>24</v>
      </c>
      <c r="G297" s="1" t="s">
        <v>289</v>
      </c>
      <c r="H297" s="2">
        <v>37100560.460000001</v>
      </c>
      <c r="I297" s="1" t="s">
        <v>44</v>
      </c>
      <c r="J297" s="3" t="s">
        <v>27</v>
      </c>
      <c r="K297" s="2">
        <v>24483417.600000001</v>
      </c>
      <c r="L297" s="2">
        <v>12617142.859999999</v>
      </c>
      <c r="M297" s="2">
        <v>0</v>
      </c>
      <c r="N297" s="2">
        <v>0</v>
      </c>
      <c r="O297" s="2">
        <v>0</v>
      </c>
      <c r="P297" s="7" t="s">
        <v>28</v>
      </c>
      <c r="Q297" s="1" t="s">
        <v>29</v>
      </c>
      <c r="R297" s="3" t="s">
        <v>45</v>
      </c>
      <c r="S297" s="1" t="s">
        <v>46</v>
      </c>
      <c r="T297" s="4" t="s">
        <v>31</v>
      </c>
      <c r="U297" s="7" t="s">
        <v>32</v>
      </c>
      <c r="V297" s="7" t="s">
        <v>567</v>
      </c>
      <c r="W297" s="7" t="s">
        <v>289</v>
      </c>
      <c r="X297" s="7" t="s">
        <v>1751</v>
      </c>
      <c r="Y297" s="10">
        <f t="shared" si="9"/>
        <v>12617142.859999999</v>
      </c>
      <c r="AH297" s="5" t="e">
        <f>VLOOKUP(B297,[1]DL!$BK:$BP,6,0)</f>
        <v>#N/A</v>
      </c>
    </row>
    <row r="298" spans="1:34" ht="14.5" hidden="1">
      <c r="A298" s="5">
        <v>295</v>
      </c>
      <c r="B298" s="5" t="str">
        <f t="shared" si="8"/>
        <v>09AACCI0642K1ZLUPS-100000009842</v>
      </c>
      <c r="C298" s="1" t="s">
        <v>486</v>
      </c>
      <c r="D298" s="1" t="s">
        <v>487</v>
      </c>
      <c r="E298" s="1" t="s">
        <v>568</v>
      </c>
      <c r="F298" s="1" t="s">
        <v>24</v>
      </c>
      <c r="G298" s="1" t="s">
        <v>154</v>
      </c>
      <c r="H298" s="2">
        <v>44005987.579999998</v>
      </c>
      <c r="I298" s="1" t="s">
        <v>44</v>
      </c>
      <c r="J298" s="3" t="s">
        <v>27</v>
      </c>
      <c r="K298" s="2">
        <v>29494559</v>
      </c>
      <c r="L298" s="2">
        <v>14511428.58</v>
      </c>
      <c r="M298" s="2">
        <v>0</v>
      </c>
      <c r="N298" s="2">
        <v>0</v>
      </c>
      <c r="O298" s="2">
        <v>0</v>
      </c>
      <c r="P298" s="7" t="s">
        <v>28</v>
      </c>
      <c r="Q298" s="1" t="s">
        <v>29</v>
      </c>
      <c r="R298" s="3" t="s">
        <v>45</v>
      </c>
      <c r="S298" s="1" t="s">
        <v>46</v>
      </c>
      <c r="T298" s="4" t="s">
        <v>31</v>
      </c>
      <c r="U298" s="7" t="s">
        <v>32</v>
      </c>
      <c r="V298" s="7" t="s">
        <v>569</v>
      </c>
      <c r="W298" s="7" t="s">
        <v>154</v>
      </c>
      <c r="X298" s="7" t="s">
        <v>1751</v>
      </c>
      <c r="Y298" s="10">
        <f t="shared" si="9"/>
        <v>14511428.58</v>
      </c>
      <c r="AH298" s="5" t="e">
        <f>VLOOKUP(B298,[1]DL!$BK:$BP,6,0)</f>
        <v>#N/A</v>
      </c>
    </row>
    <row r="299" spans="1:34" ht="14.5" hidden="1">
      <c r="A299" s="5">
        <v>296</v>
      </c>
      <c r="B299" s="5" t="str">
        <f t="shared" si="8"/>
        <v>09AACCI0642K1ZLUPS-100000009843</v>
      </c>
      <c r="C299" s="1" t="s">
        <v>486</v>
      </c>
      <c r="D299" s="1" t="s">
        <v>487</v>
      </c>
      <c r="E299" s="1" t="s">
        <v>570</v>
      </c>
      <c r="F299" s="1" t="s">
        <v>24</v>
      </c>
      <c r="G299" s="1" t="s">
        <v>154</v>
      </c>
      <c r="H299" s="2">
        <v>38259952.969999999</v>
      </c>
      <c r="I299" s="1" t="s">
        <v>44</v>
      </c>
      <c r="J299" s="3" t="s">
        <v>27</v>
      </c>
      <c r="K299" s="2">
        <v>25248524.399999999</v>
      </c>
      <c r="L299" s="2">
        <v>13011428.57</v>
      </c>
      <c r="M299" s="2">
        <v>0</v>
      </c>
      <c r="N299" s="2">
        <v>0</v>
      </c>
      <c r="O299" s="2">
        <v>0</v>
      </c>
      <c r="P299" s="7" t="s">
        <v>28</v>
      </c>
      <c r="Q299" s="1" t="s">
        <v>29</v>
      </c>
      <c r="R299" s="3" t="s">
        <v>45</v>
      </c>
      <c r="S299" s="1" t="s">
        <v>46</v>
      </c>
      <c r="T299" s="4" t="s">
        <v>31</v>
      </c>
      <c r="U299" s="7" t="s">
        <v>32</v>
      </c>
      <c r="V299" s="7" t="s">
        <v>571</v>
      </c>
      <c r="W299" s="7" t="s">
        <v>154</v>
      </c>
      <c r="X299" s="7" t="s">
        <v>1751</v>
      </c>
      <c r="Y299" s="10">
        <f t="shared" si="9"/>
        <v>13011428.57</v>
      </c>
      <c r="AH299" s="5" t="e">
        <f>VLOOKUP(B299,[1]DL!$BK:$BP,6,0)</f>
        <v>#N/A</v>
      </c>
    </row>
    <row r="300" spans="1:34" ht="14.5" hidden="1">
      <c r="A300" s="5">
        <v>297</v>
      </c>
      <c r="B300" s="5" t="str">
        <f t="shared" si="8"/>
        <v>09AACCI0642K1ZLUPS-100000009844</v>
      </c>
      <c r="C300" s="1" t="s">
        <v>486</v>
      </c>
      <c r="D300" s="1" t="s">
        <v>487</v>
      </c>
      <c r="E300" s="1" t="s">
        <v>572</v>
      </c>
      <c r="F300" s="1" t="s">
        <v>24</v>
      </c>
      <c r="G300" s="1" t="s">
        <v>154</v>
      </c>
      <c r="H300" s="2">
        <v>17390887.710000001</v>
      </c>
      <c r="I300" s="1" t="s">
        <v>44</v>
      </c>
      <c r="J300" s="3" t="s">
        <v>27</v>
      </c>
      <c r="K300" s="2">
        <v>11476602</v>
      </c>
      <c r="L300" s="2">
        <v>5914285.71</v>
      </c>
      <c r="M300" s="2">
        <v>0</v>
      </c>
      <c r="N300" s="2">
        <v>0</v>
      </c>
      <c r="O300" s="2">
        <v>0</v>
      </c>
      <c r="P300" s="7" t="s">
        <v>28</v>
      </c>
      <c r="Q300" s="1" t="s">
        <v>29</v>
      </c>
      <c r="R300" s="3" t="s">
        <v>45</v>
      </c>
      <c r="S300" s="1" t="s">
        <v>46</v>
      </c>
      <c r="T300" s="4" t="s">
        <v>31</v>
      </c>
      <c r="U300" s="7" t="s">
        <v>32</v>
      </c>
      <c r="V300" s="7" t="s">
        <v>573</v>
      </c>
      <c r="W300" s="7" t="s">
        <v>154</v>
      </c>
      <c r="X300" s="7" t="s">
        <v>1751</v>
      </c>
      <c r="Y300" s="10">
        <f t="shared" si="9"/>
        <v>5914285.71</v>
      </c>
      <c r="AH300" s="5" t="e">
        <f>VLOOKUP(B300,[1]DL!$BK:$BP,6,0)</f>
        <v>#N/A</v>
      </c>
    </row>
    <row r="301" spans="1:34" ht="14.5" hidden="1">
      <c r="A301" s="5">
        <v>298</v>
      </c>
      <c r="B301" s="5" t="str">
        <f t="shared" si="8"/>
        <v>09AACCI0642K1ZLUPS-100000009848</v>
      </c>
      <c r="C301" s="1" t="s">
        <v>486</v>
      </c>
      <c r="D301" s="1" t="s">
        <v>487</v>
      </c>
      <c r="E301" s="1" t="s">
        <v>574</v>
      </c>
      <c r="F301" s="1" t="s">
        <v>24</v>
      </c>
      <c r="G301" s="1" t="s">
        <v>154</v>
      </c>
      <c r="H301" s="2">
        <v>11593925.140000001</v>
      </c>
      <c r="I301" s="1" t="s">
        <v>44</v>
      </c>
      <c r="J301" s="3" t="s">
        <v>27</v>
      </c>
      <c r="K301" s="2">
        <v>7651068</v>
      </c>
      <c r="L301" s="2">
        <v>3942857.14</v>
      </c>
      <c r="M301" s="2">
        <v>0</v>
      </c>
      <c r="N301" s="2">
        <v>0</v>
      </c>
      <c r="O301" s="2">
        <v>0</v>
      </c>
      <c r="P301" s="7" t="s">
        <v>28</v>
      </c>
      <c r="Q301" s="1" t="s">
        <v>29</v>
      </c>
      <c r="R301" s="3" t="s">
        <v>45</v>
      </c>
      <c r="S301" s="1" t="s">
        <v>46</v>
      </c>
      <c r="T301" s="4" t="s">
        <v>31</v>
      </c>
      <c r="U301" s="7" t="s">
        <v>32</v>
      </c>
      <c r="V301" s="7" t="s">
        <v>575</v>
      </c>
      <c r="W301" s="7" t="s">
        <v>154</v>
      </c>
      <c r="X301" s="7" t="s">
        <v>1751</v>
      </c>
      <c r="Y301" s="10">
        <f t="shared" si="9"/>
        <v>3942857.1400000001</v>
      </c>
      <c r="AH301" s="5" t="e">
        <f>VLOOKUP(B301,[1]DL!$BK:$BP,6,0)</f>
        <v>#N/A</v>
      </c>
    </row>
    <row r="302" spans="1:34" ht="14.5" hidden="1">
      <c r="A302" s="5">
        <v>299</v>
      </c>
      <c r="B302" s="5" t="str">
        <f t="shared" si="8"/>
        <v>09AACCI0642K1ZLUPS-100000009849</v>
      </c>
      <c r="C302" s="1" t="s">
        <v>486</v>
      </c>
      <c r="D302" s="1" t="s">
        <v>487</v>
      </c>
      <c r="E302" s="1" t="s">
        <v>576</v>
      </c>
      <c r="F302" s="1" t="s">
        <v>24</v>
      </c>
      <c r="G302" s="1" t="s">
        <v>154</v>
      </c>
      <c r="H302" s="2">
        <v>44975480.439999998</v>
      </c>
      <c r="I302" s="1" t="s">
        <v>44</v>
      </c>
      <c r="J302" s="3" t="s">
        <v>27</v>
      </c>
      <c r="K302" s="2">
        <v>30011480.440000001</v>
      </c>
      <c r="L302" s="2">
        <v>14964000</v>
      </c>
      <c r="M302" s="2">
        <v>0</v>
      </c>
      <c r="N302" s="2">
        <v>0</v>
      </c>
      <c r="O302" s="2">
        <v>0</v>
      </c>
      <c r="P302" s="7" t="s">
        <v>28</v>
      </c>
      <c r="Q302" s="1" t="s">
        <v>29</v>
      </c>
      <c r="R302" s="3" t="s">
        <v>45</v>
      </c>
      <c r="S302" s="1" t="s">
        <v>46</v>
      </c>
      <c r="T302" s="4" t="s">
        <v>31</v>
      </c>
      <c r="U302" s="7" t="s">
        <v>32</v>
      </c>
      <c r="V302" s="7" t="s">
        <v>577</v>
      </c>
      <c r="W302" s="7" t="s">
        <v>154</v>
      </c>
      <c r="X302" s="7" t="s">
        <v>1751</v>
      </c>
      <c r="Y302" s="10">
        <f t="shared" si="9"/>
        <v>14964000</v>
      </c>
      <c r="AH302" s="5" t="e">
        <f>VLOOKUP(B302,[1]DL!$BK:$BP,6,0)</f>
        <v>#N/A</v>
      </c>
    </row>
    <row r="303" spans="1:34" ht="14.5" hidden="1">
      <c r="A303" s="5">
        <v>300</v>
      </c>
      <c r="B303" s="5" t="str">
        <f t="shared" si="8"/>
        <v>07AAEPN1824H1ZW2083</v>
      </c>
      <c r="C303" s="1" t="s">
        <v>578</v>
      </c>
      <c r="D303" s="1" t="s">
        <v>579</v>
      </c>
      <c r="E303" s="1" t="s">
        <v>580</v>
      </c>
      <c r="F303" s="1" t="s">
        <v>24</v>
      </c>
      <c r="G303" s="1" t="s">
        <v>54</v>
      </c>
      <c r="H303" s="2">
        <v>121810</v>
      </c>
      <c r="I303" s="1" t="s">
        <v>44</v>
      </c>
      <c r="J303" s="3" t="s">
        <v>45</v>
      </c>
      <c r="K303" s="2">
        <v>121810</v>
      </c>
      <c r="L303" s="2">
        <v>0</v>
      </c>
      <c r="M303" s="2">
        <v>3045.25</v>
      </c>
      <c r="N303" s="2">
        <v>3045.25</v>
      </c>
      <c r="O303" s="2">
        <v>0</v>
      </c>
      <c r="P303" s="7" t="s">
        <v>28</v>
      </c>
      <c r="Q303" s="1" t="s">
        <v>367</v>
      </c>
      <c r="R303" s="3" t="s">
        <v>45</v>
      </c>
      <c r="S303" s="1" t="s">
        <v>46</v>
      </c>
      <c r="T303" s="4" t="s">
        <v>31</v>
      </c>
      <c r="U303" s="7" t="s">
        <v>46</v>
      </c>
      <c r="V303" s="7" t="s">
        <v>46</v>
      </c>
      <c r="W303" s="7" t="s">
        <v>46</v>
      </c>
      <c r="X303" s="7" t="s">
        <v>1751</v>
      </c>
      <c r="Y303" s="10">
        <f t="shared" si="9"/>
        <v>6090.5</v>
      </c>
      <c r="AH303" s="5" t="e">
        <f>VLOOKUP(B303,[1]DL!$BK:$BP,6,0)</f>
        <v>#N/A</v>
      </c>
    </row>
    <row r="304" spans="1:34" ht="14.5" hidden="1">
      <c r="A304" s="5">
        <v>301</v>
      </c>
      <c r="B304" s="5" t="str">
        <f t="shared" si="8"/>
        <v>07AAEPN1824H1ZW2084</v>
      </c>
      <c r="C304" s="1" t="s">
        <v>578</v>
      </c>
      <c r="D304" s="1" t="s">
        <v>579</v>
      </c>
      <c r="E304" s="1" t="s">
        <v>581</v>
      </c>
      <c r="F304" s="1" t="s">
        <v>24</v>
      </c>
      <c r="G304" s="1" t="s">
        <v>54</v>
      </c>
      <c r="H304" s="2">
        <v>1000</v>
      </c>
      <c r="I304" s="1" t="s">
        <v>44</v>
      </c>
      <c r="J304" s="3" t="s">
        <v>45</v>
      </c>
      <c r="K304" s="2">
        <v>1000</v>
      </c>
      <c r="L304" s="2">
        <v>0</v>
      </c>
      <c r="M304" s="2">
        <v>25</v>
      </c>
      <c r="N304" s="2">
        <v>25</v>
      </c>
      <c r="O304" s="2">
        <v>0</v>
      </c>
      <c r="P304" s="7" t="s">
        <v>28</v>
      </c>
      <c r="Q304" s="1" t="s">
        <v>367</v>
      </c>
      <c r="R304" s="3" t="s">
        <v>45</v>
      </c>
      <c r="S304" s="1" t="s">
        <v>46</v>
      </c>
      <c r="T304" s="4" t="s">
        <v>31</v>
      </c>
      <c r="U304" s="7" t="s">
        <v>46</v>
      </c>
      <c r="V304" s="7" t="s">
        <v>46</v>
      </c>
      <c r="W304" s="7" t="s">
        <v>46</v>
      </c>
      <c r="X304" s="7" t="s">
        <v>1751</v>
      </c>
      <c r="Y304" s="10">
        <f t="shared" si="9"/>
        <v>50</v>
      </c>
      <c r="AH304" s="5" t="e">
        <f>VLOOKUP(B304,[1]DL!$BK:$BP,6,0)</f>
        <v>#N/A</v>
      </c>
    </row>
    <row r="305" spans="1:34" ht="14.5" hidden="1">
      <c r="A305" s="5">
        <v>302</v>
      </c>
      <c r="B305" s="5" t="str">
        <f t="shared" si="8"/>
        <v>09AAKFA0281H1ZJAZBD26270435</v>
      </c>
      <c r="C305" s="1" t="s">
        <v>582</v>
      </c>
      <c r="D305" s="1" t="s">
        <v>583</v>
      </c>
      <c r="E305" s="1" t="s">
        <v>584</v>
      </c>
      <c r="F305" s="1" t="s">
        <v>24</v>
      </c>
      <c r="G305" s="1" t="s">
        <v>585</v>
      </c>
      <c r="H305" s="2">
        <v>603570</v>
      </c>
      <c r="I305" s="1" t="s">
        <v>44</v>
      </c>
      <c r="J305" s="3" t="s">
        <v>45</v>
      </c>
      <c r="K305" s="2">
        <v>511500</v>
      </c>
      <c r="L305" s="2">
        <v>92070</v>
      </c>
      <c r="M305" s="2">
        <v>0</v>
      </c>
      <c r="N305" s="2">
        <v>0</v>
      </c>
      <c r="O305" s="2">
        <v>0</v>
      </c>
      <c r="P305" s="7" t="s">
        <v>28</v>
      </c>
      <c r="Q305" s="1" t="s">
        <v>120</v>
      </c>
      <c r="R305" s="3" t="s">
        <v>45</v>
      </c>
      <c r="S305" s="1" t="s">
        <v>46</v>
      </c>
      <c r="T305" s="4" t="s">
        <v>31</v>
      </c>
      <c r="U305" s="7" t="s">
        <v>32</v>
      </c>
      <c r="V305" s="7" t="s">
        <v>586</v>
      </c>
      <c r="W305" s="7" t="s">
        <v>585</v>
      </c>
      <c r="X305" s="7" t="s">
        <v>1751</v>
      </c>
      <c r="Y305" s="10">
        <f t="shared" si="9"/>
        <v>92070</v>
      </c>
      <c r="AH305" s="5" t="e">
        <f>VLOOKUP(B305,[1]DL!$BK:$BP,6,0)</f>
        <v>#N/A</v>
      </c>
    </row>
    <row r="306" spans="1:34" ht="14.5" hidden="1">
      <c r="A306" s="5">
        <v>303</v>
      </c>
      <c r="B306" s="5" t="str">
        <f t="shared" si="8"/>
        <v>09AAKFA0281H1ZJAZBD26270444</v>
      </c>
      <c r="C306" s="1" t="s">
        <v>582</v>
      </c>
      <c r="D306" s="1" t="s">
        <v>583</v>
      </c>
      <c r="E306" s="1" t="s">
        <v>587</v>
      </c>
      <c r="F306" s="1" t="s">
        <v>24</v>
      </c>
      <c r="G306" s="1" t="s">
        <v>585</v>
      </c>
      <c r="H306" s="2">
        <v>605045</v>
      </c>
      <c r="I306" s="1" t="s">
        <v>44</v>
      </c>
      <c r="J306" s="3" t="s">
        <v>45</v>
      </c>
      <c r="K306" s="2">
        <v>512750</v>
      </c>
      <c r="L306" s="2">
        <v>92295</v>
      </c>
      <c r="M306" s="2">
        <v>0</v>
      </c>
      <c r="N306" s="2">
        <v>0</v>
      </c>
      <c r="O306" s="2">
        <v>0</v>
      </c>
      <c r="P306" s="7" t="s">
        <v>28</v>
      </c>
      <c r="Q306" s="1" t="s">
        <v>120</v>
      </c>
      <c r="R306" s="3" t="s">
        <v>45</v>
      </c>
      <c r="S306" s="1" t="s">
        <v>46</v>
      </c>
      <c r="T306" s="4" t="s">
        <v>31</v>
      </c>
      <c r="U306" s="7" t="s">
        <v>32</v>
      </c>
      <c r="V306" s="7" t="s">
        <v>588</v>
      </c>
      <c r="W306" s="7" t="s">
        <v>585</v>
      </c>
      <c r="X306" s="7" t="s">
        <v>1751</v>
      </c>
      <c r="Y306" s="10">
        <f t="shared" si="9"/>
        <v>92295</v>
      </c>
      <c r="AH306" s="5" t="e">
        <f>VLOOKUP(B306,[1]DL!$BK:$BP,6,0)</f>
        <v>#N/A</v>
      </c>
    </row>
    <row r="307" spans="1:34" ht="14.5" hidden="1">
      <c r="A307" s="5">
        <v>304</v>
      </c>
      <c r="B307" s="5" t="str">
        <f t="shared" si="8"/>
        <v>07AAKPK2224J1ZS15</v>
      </c>
      <c r="C307" s="1" t="s">
        <v>589</v>
      </c>
      <c r="D307" s="1" t="s">
        <v>590</v>
      </c>
      <c r="E307" s="1" t="s">
        <v>591</v>
      </c>
      <c r="F307" s="1" t="s">
        <v>24</v>
      </c>
      <c r="G307" s="1" t="s">
        <v>76</v>
      </c>
      <c r="H307" s="2">
        <v>5115</v>
      </c>
      <c r="I307" s="1" t="s">
        <v>44</v>
      </c>
      <c r="J307" s="3" t="s">
        <v>27</v>
      </c>
      <c r="K307" s="2">
        <v>4335</v>
      </c>
      <c r="L307" s="2">
        <v>0</v>
      </c>
      <c r="M307" s="2">
        <v>390.15</v>
      </c>
      <c r="N307" s="2">
        <v>390.15</v>
      </c>
      <c r="O307" s="2">
        <v>0</v>
      </c>
      <c r="P307" s="7" t="s">
        <v>28</v>
      </c>
      <c r="Q307" s="1" t="s">
        <v>29</v>
      </c>
      <c r="R307" s="3" t="s">
        <v>45</v>
      </c>
      <c r="S307" s="1" t="s">
        <v>46</v>
      </c>
      <c r="T307" s="4" t="s">
        <v>31</v>
      </c>
      <c r="U307" s="7" t="s">
        <v>46</v>
      </c>
      <c r="V307" s="7" t="s">
        <v>46</v>
      </c>
      <c r="W307" s="7" t="s">
        <v>46</v>
      </c>
      <c r="X307" s="7" t="s">
        <v>1751</v>
      </c>
      <c r="Y307" s="10">
        <f t="shared" si="9"/>
        <v>780.29999999999995</v>
      </c>
      <c r="AH307" s="5" t="e">
        <f>VLOOKUP(B307,[1]DL!$BK:$BP,6,0)</f>
        <v>#N/A</v>
      </c>
    </row>
    <row r="308" spans="1:34" ht="14.5" hidden="1">
      <c r="A308" s="5">
        <v>305</v>
      </c>
      <c r="B308" s="5" t="str">
        <f t="shared" si="8"/>
        <v>07AAHCD7454P2ZYLN/137/2026-27</v>
      </c>
      <c r="C308" s="1" t="s">
        <v>592</v>
      </c>
      <c r="D308" s="1" t="s">
        <v>593</v>
      </c>
      <c r="E308" s="1" t="s">
        <v>594</v>
      </c>
      <c r="F308" s="1" t="s">
        <v>24</v>
      </c>
      <c r="G308" s="1" t="s">
        <v>125</v>
      </c>
      <c r="H308" s="2">
        <v>5900</v>
      </c>
      <c r="I308" s="1" t="s">
        <v>44</v>
      </c>
      <c r="J308" s="3" t="s">
        <v>27</v>
      </c>
      <c r="K308" s="2">
        <v>5000</v>
      </c>
      <c r="L308" s="2">
        <v>0</v>
      </c>
      <c r="M308" s="2">
        <v>450</v>
      </c>
      <c r="N308" s="2">
        <v>450</v>
      </c>
      <c r="O308" s="2">
        <v>0</v>
      </c>
      <c r="P308" s="7" t="s">
        <v>28</v>
      </c>
      <c r="Q308" s="1" t="s">
        <v>29</v>
      </c>
      <c r="R308" s="3" t="s">
        <v>45</v>
      </c>
      <c r="S308" s="1" t="s">
        <v>46</v>
      </c>
      <c r="T308" s="4" t="s">
        <v>31</v>
      </c>
      <c r="U308" s="7" t="s">
        <v>32</v>
      </c>
      <c r="V308" s="7" t="s">
        <v>595</v>
      </c>
      <c r="W308" s="7" t="s">
        <v>94</v>
      </c>
      <c r="X308" s="7" t="s">
        <v>1751</v>
      </c>
      <c r="Y308" s="10">
        <f t="shared" si="9"/>
        <v>900</v>
      </c>
      <c r="AH308" s="5" t="e">
        <f>VLOOKUP(B308,[1]DL!$BK:$BP,6,0)</f>
        <v>#N/A</v>
      </c>
    </row>
    <row r="309" spans="1:34" ht="14.5" hidden="1">
      <c r="A309" s="5">
        <v>306</v>
      </c>
      <c r="B309" s="5" t="str">
        <f t="shared" si="8"/>
        <v>07AAHCD7454P2ZYLN/1488/2026-27</v>
      </c>
      <c r="C309" s="1" t="s">
        <v>592</v>
      </c>
      <c r="D309" s="1" t="s">
        <v>593</v>
      </c>
      <c r="E309" s="1" t="s">
        <v>596</v>
      </c>
      <c r="F309" s="1" t="s">
        <v>24</v>
      </c>
      <c r="G309" s="1" t="s">
        <v>133</v>
      </c>
      <c r="H309" s="2">
        <v>9770.40</v>
      </c>
      <c r="I309" s="1" t="s">
        <v>44</v>
      </c>
      <c r="J309" s="3" t="s">
        <v>27</v>
      </c>
      <c r="K309" s="2">
        <v>8280</v>
      </c>
      <c r="L309" s="2">
        <v>0</v>
      </c>
      <c r="M309" s="2">
        <v>745.20</v>
      </c>
      <c r="N309" s="2">
        <v>745.20</v>
      </c>
      <c r="O309" s="2">
        <v>0</v>
      </c>
      <c r="P309" s="7" t="s">
        <v>28</v>
      </c>
      <c r="Q309" s="1" t="s">
        <v>29</v>
      </c>
      <c r="R309" s="3" t="s">
        <v>45</v>
      </c>
      <c r="S309" s="1" t="s">
        <v>46</v>
      </c>
      <c r="T309" s="4" t="s">
        <v>31</v>
      </c>
      <c r="U309" s="7" t="s">
        <v>32</v>
      </c>
      <c r="V309" s="7" t="s">
        <v>597</v>
      </c>
      <c r="W309" s="7" t="s">
        <v>133</v>
      </c>
      <c r="X309" s="7" t="s">
        <v>1751</v>
      </c>
      <c r="Y309" s="10">
        <f t="shared" si="9"/>
        <v>1490.4000000000001</v>
      </c>
      <c r="AH309" s="5" t="e">
        <f>VLOOKUP(B309,[1]DL!$BK:$BP,6,0)</f>
        <v>#N/A</v>
      </c>
    </row>
    <row r="310" spans="1:34" ht="14.5" hidden="1">
      <c r="A310" s="5">
        <v>307</v>
      </c>
      <c r="B310" s="5" t="str">
        <f t="shared" si="8"/>
        <v>07AAHCD7454P2ZYLN/1515/2026-27</v>
      </c>
      <c r="C310" s="1" t="s">
        <v>592</v>
      </c>
      <c r="D310" s="1" t="s">
        <v>593</v>
      </c>
      <c r="E310" s="1" t="s">
        <v>598</v>
      </c>
      <c r="F310" s="1" t="s">
        <v>24</v>
      </c>
      <c r="G310" s="1" t="s">
        <v>133</v>
      </c>
      <c r="H310" s="2">
        <v>4720</v>
      </c>
      <c r="I310" s="1" t="s">
        <v>44</v>
      </c>
      <c r="J310" s="3" t="s">
        <v>27</v>
      </c>
      <c r="K310" s="2">
        <v>4000</v>
      </c>
      <c r="L310" s="2">
        <v>0</v>
      </c>
      <c r="M310" s="2">
        <v>360</v>
      </c>
      <c r="N310" s="2">
        <v>360</v>
      </c>
      <c r="O310" s="2">
        <v>0</v>
      </c>
      <c r="P310" s="7" t="s">
        <v>28</v>
      </c>
      <c r="Q310" s="1" t="s">
        <v>29</v>
      </c>
      <c r="R310" s="3" t="s">
        <v>45</v>
      </c>
      <c r="S310" s="1" t="s">
        <v>46</v>
      </c>
      <c r="T310" s="4" t="s">
        <v>31</v>
      </c>
      <c r="U310" s="7" t="s">
        <v>32</v>
      </c>
      <c r="V310" s="7" t="s">
        <v>599</v>
      </c>
      <c r="W310" s="7" t="s">
        <v>150</v>
      </c>
      <c r="X310" s="7" t="s">
        <v>1751</v>
      </c>
      <c r="Y310" s="10">
        <f t="shared" si="9"/>
        <v>720</v>
      </c>
      <c r="AH310" s="5" t="e">
        <f>VLOOKUP(B310,[1]DL!$BK:$BP,6,0)</f>
        <v>#N/A</v>
      </c>
    </row>
    <row r="311" spans="1:34" ht="14.5" hidden="1">
      <c r="A311" s="5">
        <v>308</v>
      </c>
      <c r="B311" s="5" t="str">
        <f t="shared" si="8"/>
        <v>07AAHCD7454P2ZYLN/1516/2026-27</v>
      </c>
      <c r="C311" s="1" t="s">
        <v>592</v>
      </c>
      <c r="D311" s="1" t="s">
        <v>593</v>
      </c>
      <c r="E311" s="1" t="s">
        <v>600</v>
      </c>
      <c r="F311" s="1" t="s">
        <v>24</v>
      </c>
      <c r="G311" s="1" t="s">
        <v>133</v>
      </c>
      <c r="H311" s="2">
        <v>4130</v>
      </c>
      <c r="I311" s="1" t="s">
        <v>44</v>
      </c>
      <c r="J311" s="3" t="s">
        <v>27</v>
      </c>
      <c r="K311" s="2">
        <v>3500</v>
      </c>
      <c r="L311" s="2">
        <v>0</v>
      </c>
      <c r="M311" s="2">
        <v>315</v>
      </c>
      <c r="N311" s="2">
        <v>315</v>
      </c>
      <c r="O311" s="2">
        <v>0</v>
      </c>
      <c r="P311" s="7" t="s">
        <v>28</v>
      </c>
      <c r="Q311" s="1" t="s">
        <v>29</v>
      </c>
      <c r="R311" s="3" t="s">
        <v>45</v>
      </c>
      <c r="S311" s="1" t="s">
        <v>46</v>
      </c>
      <c r="T311" s="4" t="s">
        <v>31</v>
      </c>
      <c r="U311" s="7" t="s">
        <v>32</v>
      </c>
      <c r="V311" s="7" t="s">
        <v>601</v>
      </c>
      <c r="W311" s="7" t="s">
        <v>150</v>
      </c>
      <c r="X311" s="7" t="s">
        <v>1751</v>
      </c>
      <c r="Y311" s="10">
        <f t="shared" si="9"/>
        <v>630</v>
      </c>
      <c r="AH311" s="5" t="e">
        <f>VLOOKUP(B311,[1]DL!$BK:$BP,6,0)</f>
        <v>#N/A</v>
      </c>
    </row>
    <row r="312" spans="1:34" ht="14.5" hidden="1">
      <c r="A312" s="5">
        <v>309</v>
      </c>
      <c r="B312" s="5" t="str">
        <f t="shared" si="8"/>
        <v>07AAHCD7454P2ZYLN/1517/2026-27</v>
      </c>
      <c r="C312" s="1" t="s">
        <v>592</v>
      </c>
      <c r="D312" s="1" t="s">
        <v>593</v>
      </c>
      <c r="E312" s="1" t="s">
        <v>602</v>
      </c>
      <c r="F312" s="1" t="s">
        <v>24</v>
      </c>
      <c r="G312" s="1" t="s">
        <v>133</v>
      </c>
      <c r="H312" s="2">
        <v>41890</v>
      </c>
      <c r="I312" s="1" t="s">
        <v>44</v>
      </c>
      <c r="J312" s="3" t="s">
        <v>27</v>
      </c>
      <c r="K312" s="2">
        <v>35500</v>
      </c>
      <c r="L312" s="2">
        <v>0</v>
      </c>
      <c r="M312" s="2">
        <v>3195</v>
      </c>
      <c r="N312" s="2">
        <v>3195</v>
      </c>
      <c r="O312" s="2">
        <v>0</v>
      </c>
      <c r="P312" s="7" t="s">
        <v>28</v>
      </c>
      <c r="Q312" s="1" t="s">
        <v>29</v>
      </c>
      <c r="R312" s="3" t="s">
        <v>45</v>
      </c>
      <c r="S312" s="1" t="s">
        <v>46</v>
      </c>
      <c r="T312" s="4" t="s">
        <v>31</v>
      </c>
      <c r="U312" s="7" t="s">
        <v>32</v>
      </c>
      <c r="V312" s="7" t="s">
        <v>603</v>
      </c>
      <c r="W312" s="7" t="s">
        <v>150</v>
      </c>
      <c r="X312" s="7" t="s">
        <v>1751</v>
      </c>
      <c r="Y312" s="10">
        <f t="shared" si="9"/>
        <v>6390</v>
      </c>
      <c r="AH312" s="5" t="e">
        <f>VLOOKUP(B312,[1]DL!$BK:$BP,6,0)</f>
        <v>#N/A</v>
      </c>
    </row>
    <row r="313" spans="1:34" ht="14.5" hidden="1">
      <c r="A313" s="5">
        <v>310</v>
      </c>
      <c r="B313" s="5" t="str">
        <f t="shared" si="8"/>
        <v>07AAHCD7454P2ZYLN/1518/2026-27</v>
      </c>
      <c r="C313" s="1" t="s">
        <v>592</v>
      </c>
      <c r="D313" s="1" t="s">
        <v>593</v>
      </c>
      <c r="E313" s="1" t="s">
        <v>604</v>
      </c>
      <c r="F313" s="1" t="s">
        <v>24</v>
      </c>
      <c r="G313" s="1" t="s">
        <v>133</v>
      </c>
      <c r="H313" s="2">
        <v>4720</v>
      </c>
      <c r="I313" s="1" t="s">
        <v>44</v>
      </c>
      <c r="J313" s="3" t="s">
        <v>27</v>
      </c>
      <c r="K313" s="2">
        <v>4000</v>
      </c>
      <c r="L313" s="2">
        <v>0</v>
      </c>
      <c r="M313" s="2">
        <v>360</v>
      </c>
      <c r="N313" s="2">
        <v>360</v>
      </c>
      <c r="O313" s="2">
        <v>0</v>
      </c>
      <c r="P313" s="7" t="s">
        <v>28</v>
      </c>
      <c r="Q313" s="1" t="s">
        <v>29</v>
      </c>
      <c r="R313" s="3" t="s">
        <v>45</v>
      </c>
      <c r="S313" s="1" t="s">
        <v>46</v>
      </c>
      <c r="T313" s="4" t="s">
        <v>31</v>
      </c>
      <c r="U313" s="7" t="s">
        <v>32</v>
      </c>
      <c r="V313" s="7" t="s">
        <v>605</v>
      </c>
      <c r="W313" s="7" t="s">
        <v>150</v>
      </c>
      <c r="X313" s="7" t="s">
        <v>1751</v>
      </c>
      <c r="Y313" s="10">
        <f t="shared" si="9"/>
        <v>720</v>
      </c>
      <c r="AH313" s="5" t="e">
        <f>VLOOKUP(B313,[1]DL!$BK:$BP,6,0)</f>
        <v>#N/A</v>
      </c>
    </row>
    <row r="314" spans="1:34" ht="14.5" hidden="1">
      <c r="A314" s="5">
        <v>311</v>
      </c>
      <c r="B314" s="5" t="str">
        <f t="shared" si="8"/>
        <v>07AAHCD7454P2ZYLN/1519/2026-27</v>
      </c>
      <c r="C314" s="1" t="s">
        <v>592</v>
      </c>
      <c r="D314" s="1" t="s">
        <v>593</v>
      </c>
      <c r="E314" s="1" t="s">
        <v>606</v>
      </c>
      <c r="F314" s="1" t="s">
        <v>24</v>
      </c>
      <c r="G314" s="1" t="s">
        <v>133</v>
      </c>
      <c r="H314" s="2">
        <v>2950</v>
      </c>
      <c r="I314" s="1" t="s">
        <v>44</v>
      </c>
      <c r="J314" s="3" t="s">
        <v>27</v>
      </c>
      <c r="K314" s="2">
        <v>2500</v>
      </c>
      <c r="L314" s="2">
        <v>0</v>
      </c>
      <c r="M314" s="2">
        <v>225</v>
      </c>
      <c r="N314" s="2">
        <v>225</v>
      </c>
      <c r="O314" s="2">
        <v>0</v>
      </c>
      <c r="P314" s="7" t="s">
        <v>28</v>
      </c>
      <c r="Q314" s="1" t="s">
        <v>29</v>
      </c>
      <c r="R314" s="3" t="s">
        <v>45</v>
      </c>
      <c r="S314" s="1" t="s">
        <v>46</v>
      </c>
      <c r="T314" s="4" t="s">
        <v>31</v>
      </c>
      <c r="U314" s="7" t="s">
        <v>32</v>
      </c>
      <c r="V314" s="7" t="s">
        <v>607</v>
      </c>
      <c r="W314" s="7" t="s">
        <v>150</v>
      </c>
      <c r="X314" s="7" t="s">
        <v>1751</v>
      </c>
      <c r="Y314" s="10">
        <f t="shared" si="9"/>
        <v>450</v>
      </c>
      <c r="AH314" s="5" t="e">
        <f>VLOOKUP(B314,[1]DL!$BK:$BP,6,0)</f>
        <v>#N/A</v>
      </c>
    </row>
    <row r="315" spans="1:34" ht="14.5" hidden="1">
      <c r="A315" s="5">
        <v>312</v>
      </c>
      <c r="B315" s="5" t="str">
        <f t="shared" si="8"/>
        <v>07AAHCD7454P2ZYLN/1520/2026-27</v>
      </c>
      <c r="C315" s="1" t="s">
        <v>592</v>
      </c>
      <c r="D315" s="1" t="s">
        <v>593</v>
      </c>
      <c r="E315" s="1" t="s">
        <v>608</v>
      </c>
      <c r="F315" s="1" t="s">
        <v>24</v>
      </c>
      <c r="G315" s="1" t="s">
        <v>133</v>
      </c>
      <c r="H315" s="2">
        <v>30090</v>
      </c>
      <c r="I315" s="1" t="s">
        <v>44</v>
      </c>
      <c r="J315" s="3" t="s">
        <v>27</v>
      </c>
      <c r="K315" s="2">
        <v>25500</v>
      </c>
      <c r="L315" s="2">
        <v>0</v>
      </c>
      <c r="M315" s="2">
        <v>2295</v>
      </c>
      <c r="N315" s="2">
        <v>2295</v>
      </c>
      <c r="O315" s="2">
        <v>0</v>
      </c>
      <c r="P315" s="7" t="s">
        <v>28</v>
      </c>
      <c r="Q315" s="1" t="s">
        <v>29</v>
      </c>
      <c r="R315" s="3" t="s">
        <v>45</v>
      </c>
      <c r="S315" s="1" t="s">
        <v>46</v>
      </c>
      <c r="T315" s="4" t="s">
        <v>31</v>
      </c>
      <c r="U315" s="7" t="s">
        <v>32</v>
      </c>
      <c r="V315" s="7" t="s">
        <v>609</v>
      </c>
      <c r="W315" s="7" t="s">
        <v>150</v>
      </c>
      <c r="X315" s="7" t="s">
        <v>1751</v>
      </c>
      <c r="Y315" s="10">
        <f t="shared" si="9"/>
        <v>4590</v>
      </c>
      <c r="AH315" s="5" t="e">
        <f>VLOOKUP(B315,[1]DL!$BK:$BP,6,0)</f>
        <v>#N/A</v>
      </c>
    </row>
    <row r="316" spans="1:34" ht="14.5" hidden="1">
      <c r="A316" s="5">
        <v>313</v>
      </c>
      <c r="B316" s="5" t="str">
        <f t="shared" si="8"/>
        <v>07AAHCD7454P2ZYLN/399/2026-27</v>
      </c>
      <c r="C316" s="1" t="s">
        <v>592</v>
      </c>
      <c r="D316" s="1" t="s">
        <v>593</v>
      </c>
      <c r="E316" s="1" t="s">
        <v>610</v>
      </c>
      <c r="F316" s="1" t="s">
        <v>24</v>
      </c>
      <c r="G316" s="1" t="s">
        <v>285</v>
      </c>
      <c r="H316" s="2">
        <v>919.22</v>
      </c>
      <c r="I316" s="1" t="s">
        <v>44</v>
      </c>
      <c r="J316" s="3" t="s">
        <v>27</v>
      </c>
      <c r="K316" s="2">
        <v>779</v>
      </c>
      <c r="L316" s="2">
        <v>0</v>
      </c>
      <c r="M316" s="2">
        <v>70.11</v>
      </c>
      <c r="N316" s="2">
        <v>70.11</v>
      </c>
      <c r="O316" s="2">
        <v>0</v>
      </c>
      <c r="P316" s="7" t="s">
        <v>28</v>
      </c>
      <c r="Q316" s="1" t="s">
        <v>29</v>
      </c>
      <c r="R316" s="3" t="s">
        <v>45</v>
      </c>
      <c r="S316" s="1" t="s">
        <v>46</v>
      </c>
      <c r="T316" s="4" t="s">
        <v>31</v>
      </c>
      <c r="U316" s="7" t="s">
        <v>32</v>
      </c>
      <c r="V316" s="7" t="s">
        <v>611</v>
      </c>
      <c r="W316" s="7" t="s">
        <v>285</v>
      </c>
      <c r="X316" s="7" t="s">
        <v>1751</v>
      </c>
      <c r="Y316" s="10">
        <f t="shared" si="9"/>
        <v>140.22</v>
      </c>
      <c r="AH316" s="5" t="e">
        <f>VLOOKUP(B316,[1]DL!$BK:$BP,6,0)</f>
        <v>#N/A</v>
      </c>
    </row>
    <row r="317" spans="1:34" ht="14.5" hidden="1">
      <c r="A317" s="5">
        <v>314</v>
      </c>
      <c r="B317" s="5" t="str">
        <f t="shared" si="8"/>
        <v>07AAHCD7454P2ZYLN/400/2026-27</v>
      </c>
      <c r="C317" s="1" t="s">
        <v>592</v>
      </c>
      <c r="D317" s="1" t="s">
        <v>593</v>
      </c>
      <c r="E317" s="1" t="s">
        <v>612</v>
      </c>
      <c r="F317" s="1" t="s">
        <v>24</v>
      </c>
      <c r="G317" s="1" t="s">
        <v>285</v>
      </c>
      <c r="H317" s="2">
        <v>228.92</v>
      </c>
      <c r="I317" s="1" t="s">
        <v>44</v>
      </c>
      <c r="J317" s="3" t="s">
        <v>27</v>
      </c>
      <c r="K317" s="2">
        <v>194</v>
      </c>
      <c r="L317" s="2">
        <v>0</v>
      </c>
      <c r="M317" s="2">
        <v>17.46</v>
      </c>
      <c r="N317" s="2">
        <v>17.46</v>
      </c>
      <c r="O317" s="2">
        <v>0</v>
      </c>
      <c r="P317" s="7" t="s">
        <v>28</v>
      </c>
      <c r="Q317" s="1" t="s">
        <v>29</v>
      </c>
      <c r="R317" s="3" t="s">
        <v>45</v>
      </c>
      <c r="S317" s="1" t="s">
        <v>46</v>
      </c>
      <c r="T317" s="4" t="s">
        <v>31</v>
      </c>
      <c r="U317" s="7" t="s">
        <v>32</v>
      </c>
      <c r="V317" s="7" t="s">
        <v>613</v>
      </c>
      <c r="W317" s="7" t="s">
        <v>285</v>
      </c>
      <c r="X317" s="7" t="s">
        <v>1751</v>
      </c>
      <c r="Y317" s="10">
        <f t="shared" si="9"/>
        <v>34.920000000000002</v>
      </c>
      <c r="AH317" s="5" t="e">
        <f>VLOOKUP(B317,[1]DL!$BK:$BP,6,0)</f>
        <v>#N/A</v>
      </c>
    </row>
    <row r="318" spans="1:34" ht="14.5" hidden="1">
      <c r="A318" s="5">
        <v>315</v>
      </c>
      <c r="B318" s="5" t="str">
        <f t="shared" si="8"/>
        <v>07AAHCD7454P2ZYLN/401/2026-27</v>
      </c>
      <c r="C318" s="1" t="s">
        <v>592</v>
      </c>
      <c r="D318" s="1" t="s">
        <v>593</v>
      </c>
      <c r="E318" s="1" t="s">
        <v>614</v>
      </c>
      <c r="F318" s="1" t="s">
        <v>24</v>
      </c>
      <c r="G318" s="1" t="s">
        <v>285</v>
      </c>
      <c r="H318" s="2">
        <v>225.38</v>
      </c>
      <c r="I318" s="1" t="s">
        <v>44</v>
      </c>
      <c r="J318" s="3" t="s">
        <v>27</v>
      </c>
      <c r="K318" s="2">
        <v>191</v>
      </c>
      <c r="L318" s="2">
        <v>0</v>
      </c>
      <c r="M318" s="2">
        <v>17.190000000000001</v>
      </c>
      <c r="N318" s="2">
        <v>17.190000000000001</v>
      </c>
      <c r="O318" s="2">
        <v>0</v>
      </c>
      <c r="P318" s="7" t="s">
        <v>28</v>
      </c>
      <c r="Q318" s="1" t="s">
        <v>29</v>
      </c>
      <c r="R318" s="3" t="s">
        <v>45</v>
      </c>
      <c r="S318" s="1" t="s">
        <v>46</v>
      </c>
      <c r="T318" s="4" t="s">
        <v>31</v>
      </c>
      <c r="U318" s="7" t="s">
        <v>32</v>
      </c>
      <c r="V318" s="7" t="s">
        <v>615</v>
      </c>
      <c r="W318" s="7" t="s">
        <v>285</v>
      </c>
      <c r="X318" s="7" t="s">
        <v>1751</v>
      </c>
      <c r="Y318" s="10">
        <f t="shared" si="9"/>
        <v>34.380000000000003</v>
      </c>
      <c r="AH318" s="5" t="e">
        <f>VLOOKUP(B318,[1]DL!$BK:$BP,6,0)</f>
        <v>#N/A</v>
      </c>
    </row>
    <row r="319" spans="1:34" ht="14.5" hidden="1">
      <c r="A319" s="5">
        <v>316</v>
      </c>
      <c r="B319" s="5" t="str">
        <f t="shared" si="8"/>
        <v>07AAHCD7454P2ZYLN/402/2026-27</v>
      </c>
      <c r="C319" s="1" t="s">
        <v>592</v>
      </c>
      <c r="D319" s="1" t="s">
        <v>593</v>
      </c>
      <c r="E319" s="1" t="s">
        <v>616</v>
      </c>
      <c r="F319" s="1" t="s">
        <v>24</v>
      </c>
      <c r="G319" s="1" t="s">
        <v>285</v>
      </c>
      <c r="H319" s="2">
        <v>180.54</v>
      </c>
      <c r="I319" s="1" t="s">
        <v>44</v>
      </c>
      <c r="J319" s="3" t="s">
        <v>27</v>
      </c>
      <c r="K319" s="2">
        <v>153</v>
      </c>
      <c r="L319" s="2">
        <v>0</v>
      </c>
      <c r="M319" s="2">
        <v>13.77</v>
      </c>
      <c r="N319" s="2">
        <v>13.77</v>
      </c>
      <c r="O319" s="2">
        <v>0</v>
      </c>
      <c r="P319" s="7" t="s">
        <v>28</v>
      </c>
      <c r="Q319" s="1" t="s">
        <v>29</v>
      </c>
      <c r="R319" s="3" t="s">
        <v>45</v>
      </c>
      <c r="S319" s="1" t="s">
        <v>46</v>
      </c>
      <c r="T319" s="4" t="s">
        <v>31</v>
      </c>
      <c r="U319" s="7" t="s">
        <v>32</v>
      </c>
      <c r="V319" s="7" t="s">
        <v>617</v>
      </c>
      <c r="W319" s="7" t="s">
        <v>285</v>
      </c>
      <c r="X319" s="7" t="s">
        <v>1751</v>
      </c>
      <c r="Y319" s="10">
        <f t="shared" si="9"/>
        <v>27.539999999999999</v>
      </c>
      <c r="AH319" s="5" t="e">
        <f>VLOOKUP(B319,[1]DL!$BK:$BP,6,0)</f>
        <v>#N/A</v>
      </c>
    </row>
    <row r="320" spans="1:34" ht="14.5" hidden="1">
      <c r="A320" s="5">
        <v>317</v>
      </c>
      <c r="B320" s="5" t="str">
        <f t="shared" si="8"/>
        <v>07AAHCD7454P2ZYLN/403/2026-27</v>
      </c>
      <c r="C320" s="1" t="s">
        <v>592</v>
      </c>
      <c r="D320" s="1" t="s">
        <v>593</v>
      </c>
      <c r="E320" s="1" t="s">
        <v>618</v>
      </c>
      <c r="F320" s="1" t="s">
        <v>24</v>
      </c>
      <c r="G320" s="1" t="s">
        <v>285</v>
      </c>
      <c r="H320" s="2">
        <v>56.64</v>
      </c>
      <c r="I320" s="1" t="s">
        <v>44</v>
      </c>
      <c r="J320" s="3" t="s">
        <v>27</v>
      </c>
      <c r="K320" s="2">
        <v>48</v>
      </c>
      <c r="L320" s="2">
        <v>0</v>
      </c>
      <c r="M320" s="2">
        <v>4.32</v>
      </c>
      <c r="N320" s="2">
        <v>4.32</v>
      </c>
      <c r="O320" s="2">
        <v>0</v>
      </c>
      <c r="P320" s="7" t="s">
        <v>28</v>
      </c>
      <c r="Q320" s="1" t="s">
        <v>29</v>
      </c>
      <c r="R320" s="3" t="s">
        <v>45</v>
      </c>
      <c r="S320" s="1" t="s">
        <v>46</v>
      </c>
      <c r="T320" s="4" t="s">
        <v>31</v>
      </c>
      <c r="U320" s="7" t="s">
        <v>32</v>
      </c>
      <c r="V320" s="7" t="s">
        <v>619</v>
      </c>
      <c r="W320" s="7" t="s">
        <v>285</v>
      </c>
      <c r="X320" s="7" t="s">
        <v>1751</v>
      </c>
      <c r="Y320" s="10">
        <f t="shared" si="9"/>
        <v>8.6400000000000006</v>
      </c>
      <c r="AH320" s="5" t="e">
        <f>VLOOKUP(B320,[1]DL!$BK:$BP,6,0)</f>
        <v>#N/A</v>
      </c>
    </row>
    <row r="321" spans="1:34" ht="14.5" hidden="1">
      <c r="A321" s="5">
        <v>318</v>
      </c>
      <c r="B321" s="5" t="str">
        <f t="shared" si="8"/>
        <v>07AAHCD7454P2ZYLN/976/2026-27</v>
      </c>
      <c r="C321" s="1" t="s">
        <v>592</v>
      </c>
      <c r="D321" s="1" t="s">
        <v>593</v>
      </c>
      <c r="E321" s="1" t="s">
        <v>620</v>
      </c>
      <c r="F321" s="1" t="s">
        <v>24</v>
      </c>
      <c r="G321" s="1" t="s">
        <v>171</v>
      </c>
      <c r="H321" s="2">
        <v>2360</v>
      </c>
      <c r="I321" s="1" t="s">
        <v>44</v>
      </c>
      <c r="J321" s="3" t="s">
        <v>27</v>
      </c>
      <c r="K321" s="2">
        <v>2000</v>
      </c>
      <c r="L321" s="2">
        <v>0</v>
      </c>
      <c r="M321" s="2">
        <v>180</v>
      </c>
      <c r="N321" s="2">
        <v>180</v>
      </c>
      <c r="O321" s="2">
        <v>0</v>
      </c>
      <c r="P321" s="7" t="s">
        <v>28</v>
      </c>
      <c r="Q321" s="1" t="s">
        <v>29</v>
      </c>
      <c r="R321" s="3" t="s">
        <v>45</v>
      </c>
      <c r="S321" s="1" t="s">
        <v>46</v>
      </c>
      <c r="T321" s="4" t="s">
        <v>31</v>
      </c>
      <c r="U321" s="7" t="s">
        <v>32</v>
      </c>
      <c r="V321" s="7" t="s">
        <v>621</v>
      </c>
      <c r="W321" s="7" t="s">
        <v>161</v>
      </c>
      <c r="X321" s="7" t="s">
        <v>1751</v>
      </c>
      <c r="Y321" s="10">
        <f t="shared" si="9"/>
        <v>360</v>
      </c>
      <c r="AH321" s="5" t="e">
        <f>VLOOKUP(B321,[1]DL!$BK:$BP,6,0)</f>
        <v>#N/A</v>
      </c>
    </row>
    <row r="322" spans="1:34" ht="14.5" hidden="1">
      <c r="A322" s="5">
        <v>319</v>
      </c>
      <c r="B322" s="5" t="str">
        <f t="shared" si="8"/>
        <v>07AABCN8952A1ZLSER-1/2026-27</v>
      </c>
      <c r="C322" s="1" t="s">
        <v>622</v>
      </c>
      <c r="D322" s="1" t="s">
        <v>623</v>
      </c>
      <c r="E322" s="1" t="s">
        <v>624</v>
      </c>
      <c r="F322" s="1" t="s">
        <v>24</v>
      </c>
      <c r="G322" s="1" t="s">
        <v>54</v>
      </c>
      <c r="H322" s="2">
        <v>2950</v>
      </c>
      <c r="I322" s="1" t="s">
        <v>44</v>
      </c>
      <c r="J322" s="3" t="s">
        <v>27</v>
      </c>
      <c r="K322" s="2">
        <v>2500</v>
      </c>
      <c r="L322" s="2">
        <v>0</v>
      </c>
      <c r="M322" s="2">
        <v>225</v>
      </c>
      <c r="N322" s="2">
        <v>225</v>
      </c>
      <c r="O322" s="2">
        <v>0</v>
      </c>
      <c r="P322" s="7" t="s">
        <v>28</v>
      </c>
      <c r="Q322" s="1" t="s">
        <v>29</v>
      </c>
      <c r="R322" s="3" t="s">
        <v>45</v>
      </c>
      <c r="S322" s="1" t="s">
        <v>46</v>
      </c>
      <c r="T322" s="4" t="s">
        <v>31</v>
      </c>
      <c r="U322" s="7" t="s">
        <v>46</v>
      </c>
      <c r="V322" s="7" t="s">
        <v>46</v>
      </c>
      <c r="W322" s="7" t="s">
        <v>46</v>
      </c>
      <c r="X322" s="7" t="s">
        <v>1751</v>
      </c>
      <c r="Y322" s="10">
        <f t="shared" si="9"/>
        <v>450</v>
      </c>
      <c r="AH322" s="5" t="e">
        <f>VLOOKUP(B322,[1]DL!$BK:$BP,6,0)</f>
        <v>#N/A</v>
      </c>
    </row>
    <row r="323" spans="1:34" ht="14.5" hidden="1">
      <c r="A323" s="5">
        <v>320</v>
      </c>
      <c r="B323" s="5" t="str">
        <f t="shared" si="8"/>
        <v>07AABCN8952A1ZLSER-10/2026-27</v>
      </c>
      <c r="C323" s="1" t="s">
        <v>622</v>
      </c>
      <c r="D323" s="1" t="s">
        <v>623</v>
      </c>
      <c r="E323" s="1" t="s">
        <v>625</v>
      </c>
      <c r="F323" s="1" t="s">
        <v>24</v>
      </c>
      <c r="G323" s="1" t="s">
        <v>125</v>
      </c>
      <c r="H323" s="2">
        <v>1770</v>
      </c>
      <c r="I323" s="1" t="s">
        <v>44</v>
      </c>
      <c r="J323" s="3" t="s">
        <v>27</v>
      </c>
      <c r="K323" s="2">
        <v>1500</v>
      </c>
      <c r="L323" s="2">
        <v>0</v>
      </c>
      <c r="M323" s="2">
        <v>135</v>
      </c>
      <c r="N323" s="2">
        <v>135</v>
      </c>
      <c r="O323" s="2">
        <v>0</v>
      </c>
      <c r="P323" s="7" t="s">
        <v>28</v>
      </c>
      <c r="Q323" s="1" t="s">
        <v>29</v>
      </c>
      <c r="R323" s="3" t="s">
        <v>45</v>
      </c>
      <c r="S323" s="1" t="s">
        <v>46</v>
      </c>
      <c r="T323" s="4" t="s">
        <v>31</v>
      </c>
      <c r="U323" s="7" t="s">
        <v>46</v>
      </c>
      <c r="V323" s="7" t="s">
        <v>46</v>
      </c>
      <c r="W323" s="7" t="s">
        <v>46</v>
      </c>
      <c r="X323" s="7" t="s">
        <v>1751</v>
      </c>
      <c r="Y323" s="10">
        <f t="shared" si="9"/>
        <v>270</v>
      </c>
      <c r="AH323" s="5" t="e">
        <f>VLOOKUP(B323,[1]DL!$BK:$BP,6,0)</f>
        <v>#N/A</v>
      </c>
    </row>
    <row r="324" spans="1:34" ht="14.5" hidden="1">
      <c r="A324" s="5">
        <v>321</v>
      </c>
      <c r="B324" s="5" t="str">
        <f t="shared" si="8"/>
        <v>07AABCN8952A1ZLSER-11/2026-27</v>
      </c>
      <c r="C324" s="1" t="s">
        <v>622</v>
      </c>
      <c r="D324" s="1" t="s">
        <v>623</v>
      </c>
      <c r="E324" s="1" t="s">
        <v>626</v>
      </c>
      <c r="F324" s="1" t="s">
        <v>24</v>
      </c>
      <c r="G324" s="1" t="s">
        <v>125</v>
      </c>
      <c r="H324" s="2">
        <v>1180</v>
      </c>
      <c r="I324" s="1" t="s">
        <v>44</v>
      </c>
      <c r="J324" s="3" t="s">
        <v>27</v>
      </c>
      <c r="K324" s="2">
        <v>1000</v>
      </c>
      <c r="L324" s="2">
        <v>0</v>
      </c>
      <c r="M324" s="2">
        <v>90</v>
      </c>
      <c r="N324" s="2">
        <v>90</v>
      </c>
      <c r="O324" s="2">
        <v>0</v>
      </c>
      <c r="P324" s="7" t="s">
        <v>28</v>
      </c>
      <c r="Q324" s="1" t="s">
        <v>29</v>
      </c>
      <c r="R324" s="3" t="s">
        <v>45</v>
      </c>
      <c r="S324" s="1" t="s">
        <v>46</v>
      </c>
      <c r="T324" s="4" t="s">
        <v>31</v>
      </c>
      <c r="U324" s="7" t="s">
        <v>46</v>
      </c>
      <c r="V324" s="7" t="s">
        <v>46</v>
      </c>
      <c r="W324" s="7" t="s">
        <v>46</v>
      </c>
      <c r="X324" s="7" t="s">
        <v>1751</v>
      </c>
      <c r="Y324" s="10">
        <f t="shared" si="9"/>
        <v>180</v>
      </c>
      <c r="AH324" s="5" t="e">
        <f>VLOOKUP(B324,[1]DL!$BK:$BP,6,0)</f>
        <v>#N/A</v>
      </c>
    </row>
    <row r="325" spans="1:34" ht="14.5" hidden="1">
      <c r="A325" s="5">
        <v>322</v>
      </c>
      <c r="B325" s="5" t="str">
        <f t="shared" si="10" ref="B325:B388">C325&amp;E325</f>
        <v>07AABCN8952A1ZLSER-12/2026-27</v>
      </c>
      <c r="C325" s="1" t="s">
        <v>622</v>
      </c>
      <c r="D325" s="1" t="s">
        <v>623</v>
      </c>
      <c r="E325" s="1" t="s">
        <v>627</v>
      </c>
      <c r="F325" s="1" t="s">
        <v>24</v>
      </c>
      <c r="G325" s="1" t="s">
        <v>628</v>
      </c>
      <c r="H325" s="2">
        <v>21712</v>
      </c>
      <c r="I325" s="1" t="s">
        <v>44</v>
      </c>
      <c r="J325" s="3" t="s">
        <v>27</v>
      </c>
      <c r="K325" s="2">
        <v>18400</v>
      </c>
      <c r="L325" s="2">
        <v>0</v>
      </c>
      <c r="M325" s="2">
        <v>1656</v>
      </c>
      <c r="N325" s="2">
        <v>1656</v>
      </c>
      <c r="O325" s="2">
        <v>0</v>
      </c>
      <c r="P325" s="7" t="s">
        <v>28</v>
      </c>
      <c r="Q325" s="1" t="s">
        <v>29</v>
      </c>
      <c r="R325" s="3" t="s">
        <v>45</v>
      </c>
      <c r="S325" s="1" t="s">
        <v>46</v>
      </c>
      <c r="T325" s="4" t="s">
        <v>31</v>
      </c>
      <c r="U325" s="7" t="s">
        <v>46</v>
      </c>
      <c r="V325" s="7" t="s">
        <v>46</v>
      </c>
      <c r="W325" s="7" t="s">
        <v>46</v>
      </c>
      <c r="X325" s="7" t="s">
        <v>1751</v>
      </c>
      <c r="Y325" s="10">
        <f t="shared" si="11" ref="Y325:Y388">L325+M325+N325+O325</f>
        <v>3312</v>
      </c>
      <c r="AH325" s="5" t="e">
        <f>VLOOKUP(B325,[1]DL!$BK:$BP,6,0)</f>
        <v>#N/A</v>
      </c>
    </row>
    <row r="326" spans="1:34" ht="14.5" hidden="1">
      <c r="A326" s="5">
        <v>323</v>
      </c>
      <c r="B326" s="5" t="str">
        <f t="shared" si="10"/>
        <v>07AABCN8952A1ZLSER-13/2026-27</v>
      </c>
      <c r="C326" s="1" t="s">
        <v>622</v>
      </c>
      <c r="D326" s="1" t="s">
        <v>623</v>
      </c>
      <c r="E326" s="1" t="s">
        <v>629</v>
      </c>
      <c r="F326" s="1" t="s">
        <v>24</v>
      </c>
      <c r="G326" s="1" t="s">
        <v>628</v>
      </c>
      <c r="H326" s="2">
        <v>426</v>
      </c>
      <c r="I326" s="1" t="s">
        <v>44</v>
      </c>
      <c r="J326" s="3" t="s">
        <v>27</v>
      </c>
      <c r="K326" s="2">
        <v>361</v>
      </c>
      <c r="L326" s="2">
        <v>0</v>
      </c>
      <c r="M326" s="2">
        <v>32.49</v>
      </c>
      <c r="N326" s="2">
        <v>32.49</v>
      </c>
      <c r="O326" s="2">
        <v>0</v>
      </c>
      <c r="P326" s="7" t="s">
        <v>28</v>
      </c>
      <c r="Q326" s="1" t="s">
        <v>29</v>
      </c>
      <c r="R326" s="3" t="s">
        <v>45</v>
      </c>
      <c r="S326" s="1" t="s">
        <v>46</v>
      </c>
      <c r="T326" s="4" t="s">
        <v>31</v>
      </c>
      <c r="U326" s="7" t="s">
        <v>46</v>
      </c>
      <c r="V326" s="7" t="s">
        <v>46</v>
      </c>
      <c r="W326" s="7" t="s">
        <v>46</v>
      </c>
      <c r="X326" s="7" t="s">
        <v>1751</v>
      </c>
      <c r="Y326" s="10">
        <f t="shared" si="11"/>
        <v>64.980000000000004</v>
      </c>
      <c r="AH326" s="5" t="e">
        <f>VLOOKUP(B326,[1]DL!$BK:$BP,6,0)</f>
        <v>#N/A</v>
      </c>
    </row>
    <row r="327" spans="1:34" ht="14.5" hidden="1">
      <c r="A327" s="5">
        <v>324</v>
      </c>
      <c r="B327" s="5" t="str">
        <f t="shared" si="10"/>
        <v>07AABCN8952A1ZLSER-14/2026-27</v>
      </c>
      <c r="C327" s="1" t="s">
        <v>622</v>
      </c>
      <c r="D327" s="1" t="s">
        <v>623</v>
      </c>
      <c r="E327" s="1" t="s">
        <v>630</v>
      </c>
      <c r="F327" s="1" t="s">
        <v>24</v>
      </c>
      <c r="G327" s="1" t="s">
        <v>628</v>
      </c>
      <c r="H327" s="2">
        <v>2694</v>
      </c>
      <c r="I327" s="1" t="s">
        <v>44</v>
      </c>
      <c r="J327" s="3" t="s">
        <v>27</v>
      </c>
      <c r="K327" s="2">
        <v>2283</v>
      </c>
      <c r="L327" s="2">
        <v>0</v>
      </c>
      <c r="M327" s="2">
        <v>205.47</v>
      </c>
      <c r="N327" s="2">
        <v>205.47</v>
      </c>
      <c r="O327" s="2">
        <v>0</v>
      </c>
      <c r="P327" s="7" t="s">
        <v>28</v>
      </c>
      <c r="Q327" s="1" t="s">
        <v>29</v>
      </c>
      <c r="R327" s="3" t="s">
        <v>45</v>
      </c>
      <c r="S327" s="1" t="s">
        <v>46</v>
      </c>
      <c r="T327" s="4" t="s">
        <v>31</v>
      </c>
      <c r="U327" s="7" t="s">
        <v>46</v>
      </c>
      <c r="V327" s="7" t="s">
        <v>46</v>
      </c>
      <c r="W327" s="7" t="s">
        <v>46</v>
      </c>
      <c r="X327" s="7" t="s">
        <v>1751</v>
      </c>
      <c r="Y327" s="10">
        <f t="shared" si="11"/>
        <v>410.94</v>
      </c>
      <c r="AH327" s="5" t="e">
        <f>VLOOKUP(B327,[1]DL!$BK:$BP,6,0)</f>
        <v>#N/A</v>
      </c>
    </row>
    <row r="328" spans="1:34" ht="14.5" hidden="1">
      <c r="A328" s="5">
        <v>325</v>
      </c>
      <c r="B328" s="5" t="str">
        <f t="shared" si="10"/>
        <v>07AABCN8952A1ZLSER-15/2026-27</v>
      </c>
      <c r="C328" s="1" t="s">
        <v>622</v>
      </c>
      <c r="D328" s="1" t="s">
        <v>623</v>
      </c>
      <c r="E328" s="1" t="s">
        <v>631</v>
      </c>
      <c r="F328" s="1" t="s">
        <v>24</v>
      </c>
      <c r="G328" s="1" t="s">
        <v>628</v>
      </c>
      <c r="H328" s="2">
        <v>101</v>
      </c>
      <c r="I328" s="1" t="s">
        <v>44</v>
      </c>
      <c r="J328" s="3" t="s">
        <v>27</v>
      </c>
      <c r="K328" s="2">
        <v>86</v>
      </c>
      <c r="L328" s="2">
        <v>0</v>
      </c>
      <c r="M328" s="2">
        <v>7.74</v>
      </c>
      <c r="N328" s="2">
        <v>7.74</v>
      </c>
      <c r="O328" s="2">
        <v>0</v>
      </c>
      <c r="P328" s="7" t="s">
        <v>28</v>
      </c>
      <c r="Q328" s="1" t="s">
        <v>29</v>
      </c>
      <c r="R328" s="3" t="s">
        <v>45</v>
      </c>
      <c r="S328" s="1" t="s">
        <v>46</v>
      </c>
      <c r="T328" s="4" t="s">
        <v>31</v>
      </c>
      <c r="U328" s="7" t="s">
        <v>46</v>
      </c>
      <c r="V328" s="7" t="s">
        <v>46</v>
      </c>
      <c r="W328" s="7" t="s">
        <v>46</v>
      </c>
      <c r="X328" s="7" t="s">
        <v>1751</v>
      </c>
      <c r="Y328" s="10">
        <f t="shared" si="11"/>
        <v>15.48</v>
      </c>
      <c r="AH328" s="5" t="e">
        <f>VLOOKUP(B328,[1]DL!$BK:$BP,6,0)</f>
        <v>#N/A</v>
      </c>
    </row>
    <row r="329" spans="1:34" ht="14.5" hidden="1">
      <c r="A329" s="5">
        <v>326</v>
      </c>
      <c r="B329" s="5" t="str">
        <f t="shared" si="10"/>
        <v>07AABCN8952A1ZLSER-16/2026-27</v>
      </c>
      <c r="C329" s="1" t="s">
        <v>622</v>
      </c>
      <c r="D329" s="1" t="s">
        <v>623</v>
      </c>
      <c r="E329" s="1" t="s">
        <v>632</v>
      </c>
      <c r="F329" s="1" t="s">
        <v>24</v>
      </c>
      <c r="G329" s="1" t="s">
        <v>628</v>
      </c>
      <c r="H329" s="2">
        <v>209</v>
      </c>
      <c r="I329" s="1" t="s">
        <v>44</v>
      </c>
      <c r="J329" s="3" t="s">
        <v>27</v>
      </c>
      <c r="K329" s="2">
        <v>177</v>
      </c>
      <c r="L329" s="2">
        <v>0</v>
      </c>
      <c r="M329" s="2">
        <v>15.93</v>
      </c>
      <c r="N329" s="2">
        <v>15.93</v>
      </c>
      <c r="O329" s="2">
        <v>0</v>
      </c>
      <c r="P329" s="7" t="s">
        <v>28</v>
      </c>
      <c r="Q329" s="1" t="s">
        <v>29</v>
      </c>
      <c r="R329" s="3" t="s">
        <v>45</v>
      </c>
      <c r="S329" s="1" t="s">
        <v>46</v>
      </c>
      <c r="T329" s="4" t="s">
        <v>31</v>
      </c>
      <c r="U329" s="7" t="s">
        <v>46</v>
      </c>
      <c r="V329" s="7" t="s">
        <v>46</v>
      </c>
      <c r="W329" s="7" t="s">
        <v>46</v>
      </c>
      <c r="X329" s="7" t="s">
        <v>1751</v>
      </c>
      <c r="Y329" s="10">
        <f t="shared" si="11"/>
        <v>31.859999999999999</v>
      </c>
      <c r="AH329" s="5" t="e">
        <f>VLOOKUP(B329,[1]DL!$BK:$BP,6,0)</f>
        <v>#N/A</v>
      </c>
    </row>
    <row r="330" spans="1:34" ht="14.5" hidden="1">
      <c r="A330" s="5">
        <v>327</v>
      </c>
      <c r="B330" s="5" t="str">
        <f t="shared" si="10"/>
        <v>07AABCN8952A1ZLSER-17/2026-27</v>
      </c>
      <c r="C330" s="1" t="s">
        <v>622</v>
      </c>
      <c r="D330" s="1" t="s">
        <v>623</v>
      </c>
      <c r="E330" s="1" t="s">
        <v>633</v>
      </c>
      <c r="F330" s="1" t="s">
        <v>24</v>
      </c>
      <c r="G330" s="1" t="s">
        <v>628</v>
      </c>
      <c r="H330" s="2">
        <v>671</v>
      </c>
      <c r="I330" s="1" t="s">
        <v>44</v>
      </c>
      <c r="J330" s="3" t="s">
        <v>27</v>
      </c>
      <c r="K330" s="2">
        <v>569</v>
      </c>
      <c r="L330" s="2">
        <v>0</v>
      </c>
      <c r="M330" s="2">
        <v>51.21</v>
      </c>
      <c r="N330" s="2">
        <v>51.21</v>
      </c>
      <c r="O330" s="2">
        <v>0</v>
      </c>
      <c r="P330" s="7" t="s">
        <v>28</v>
      </c>
      <c r="Q330" s="1" t="s">
        <v>29</v>
      </c>
      <c r="R330" s="3" t="s">
        <v>45</v>
      </c>
      <c r="S330" s="1" t="s">
        <v>46</v>
      </c>
      <c r="T330" s="4" t="s">
        <v>31</v>
      </c>
      <c r="U330" s="7" t="s">
        <v>46</v>
      </c>
      <c r="V330" s="7" t="s">
        <v>46</v>
      </c>
      <c r="W330" s="7" t="s">
        <v>46</v>
      </c>
      <c r="X330" s="7" t="s">
        <v>1751</v>
      </c>
      <c r="Y330" s="10">
        <f t="shared" si="11"/>
        <v>102.42</v>
      </c>
      <c r="AH330" s="5" t="e">
        <f>VLOOKUP(B330,[1]DL!$BK:$BP,6,0)</f>
        <v>#N/A</v>
      </c>
    </row>
    <row r="331" spans="1:34" ht="14.5" hidden="1">
      <c r="A331" s="5">
        <v>328</v>
      </c>
      <c r="B331" s="5" t="str">
        <f t="shared" si="10"/>
        <v>07AABCN8952A1ZLSER-18/2026-27</v>
      </c>
      <c r="C331" s="1" t="s">
        <v>622</v>
      </c>
      <c r="D331" s="1" t="s">
        <v>623</v>
      </c>
      <c r="E331" s="1" t="s">
        <v>634</v>
      </c>
      <c r="F331" s="1" t="s">
        <v>24</v>
      </c>
      <c r="G331" s="1" t="s">
        <v>628</v>
      </c>
      <c r="H331" s="2">
        <v>44</v>
      </c>
      <c r="I331" s="1" t="s">
        <v>44</v>
      </c>
      <c r="J331" s="3" t="s">
        <v>27</v>
      </c>
      <c r="K331" s="2">
        <v>37</v>
      </c>
      <c r="L331" s="2">
        <v>0</v>
      </c>
      <c r="M331" s="2">
        <v>3.33</v>
      </c>
      <c r="N331" s="2">
        <v>3.33</v>
      </c>
      <c r="O331" s="2">
        <v>0</v>
      </c>
      <c r="P331" s="7" t="s">
        <v>28</v>
      </c>
      <c r="Q331" s="1" t="s">
        <v>29</v>
      </c>
      <c r="R331" s="3" t="s">
        <v>45</v>
      </c>
      <c r="S331" s="1" t="s">
        <v>46</v>
      </c>
      <c r="T331" s="4" t="s">
        <v>31</v>
      </c>
      <c r="U331" s="7" t="s">
        <v>46</v>
      </c>
      <c r="V331" s="7" t="s">
        <v>46</v>
      </c>
      <c r="W331" s="7" t="s">
        <v>46</v>
      </c>
      <c r="X331" s="7" t="s">
        <v>1751</v>
      </c>
      <c r="Y331" s="10">
        <f t="shared" si="11"/>
        <v>6.6600000000000001</v>
      </c>
      <c r="AH331" s="5" t="e">
        <f>VLOOKUP(B331,[1]DL!$BK:$BP,6,0)</f>
        <v>#N/A</v>
      </c>
    </row>
    <row r="332" spans="1:34" ht="14.5" hidden="1">
      <c r="A332" s="5">
        <v>329</v>
      </c>
      <c r="B332" s="5" t="str">
        <f t="shared" si="10"/>
        <v>07AABCN8952A1ZLSER-19/2026-27</v>
      </c>
      <c r="C332" s="1" t="s">
        <v>622</v>
      </c>
      <c r="D332" s="1" t="s">
        <v>623</v>
      </c>
      <c r="E332" s="1" t="s">
        <v>635</v>
      </c>
      <c r="F332" s="1" t="s">
        <v>24</v>
      </c>
      <c r="G332" s="1" t="s">
        <v>398</v>
      </c>
      <c r="H332" s="2">
        <v>1180</v>
      </c>
      <c r="I332" s="1" t="s">
        <v>44</v>
      </c>
      <c r="J332" s="3" t="s">
        <v>27</v>
      </c>
      <c r="K332" s="2">
        <v>1000</v>
      </c>
      <c r="L332" s="2">
        <v>0</v>
      </c>
      <c r="M332" s="2">
        <v>90</v>
      </c>
      <c r="N332" s="2">
        <v>90</v>
      </c>
      <c r="O332" s="2">
        <v>0</v>
      </c>
      <c r="P332" s="7" t="s">
        <v>28</v>
      </c>
      <c r="Q332" s="1" t="s">
        <v>29</v>
      </c>
      <c r="R332" s="3" t="s">
        <v>45</v>
      </c>
      <c r="S332" s="1" t="s">
        <v>46</v>
      </c>
      <c r="T332" s="4" t="s">
        <v>31</v>
      </c>
      <c r="U332" s="7" t="s">
        <v>46</v>
      </c>
      <c r="V332" s="7" t="s">
        <v>46</v>
      </c>
      <c r="W332" s="7" t="s">
        <v>46</v>
      </c>
      <c r="X332" s="7" t="s">
        <v>1751</v>
      </c>
      <c r="Y332" s="10">
        <f t="shared" si="11"/>
        <v>180</v>
      </c>
      <c r="AH332" s="5" t="e">
        <f>VLOOKUP(B332,[1]DL!$BK:$BP,6,0)</f>
        <v>#N/A</v>
      </c>
    </row>
    <row r="333" spans="1:34" ht="14.5" hidden="1">
      <c r="A333" s="5">
        <v>330</v>
      </c>
      <c r="B333" s="5" t="str">
        <f t="shared" si="10"/>
        <v>07AABCN8952A1ZLSER-2/2026-27</v>
      </c>
      <c r="C333" s="1" t="s">
        <v>622</v>
      </c>
      <c r="D333" s="1" t="s">
        <v>623</v>
      </c>
      <c r="E333" s="1" t="s">
        <v>636</v>
      </c>
      <c r="F333" s="1" t="s">
        <v>24</v>
      </c>
      <c r="G333" s="1" t="s">
        <v>54</v>
      </c>
      <c r="H333" s="2">
        <v>1180</v>
      </c>
      <c r="I333" s="1" t="s">
        <v>44</v>
      </c>
      <c r="J333" s="3" t="s">
        <v>27</v>
      </c>
      <c r="K333" s="2">
        <v>1000</v>
      </c>
      <c r="L333" s="2">
        <v>0</v>
      </c>
      <c r="M333" s="2">
        <v>90</v>
      </c>
      <c r="N333" s="2">
        <v>90</v>
      </c>
      <c r="O333" s="2">
        <v>0</v>
      </c>
      <c r="P333" s="7" t="s">
        <v>28</v>
      </c>
      <c r="Q333" s="1" t="s">
        <v>29</v>
      </c>
      <c r="R333" s="3" t="s">
        <v>45</v>
      </c>
      <c r="S333" s="1" t="s">
        <v>46</v>
      </c>
      <c r="T333" s="4" t="s">
        <v>31</v>
      </c>
      <c r="U333" s="7" t="s">
        <v>46</v>
      </c>
      <c r="V333" s="7" t="s">
        <v>46</v>
      </c>
      <c r="W333" s="7" t="s">
        <v>46</v>
      </c>
      <c r="X333" s="7" t="s">
        <v>1751</v>
      </c>
      <c r="Y333" s="10">
        <f t="shared" si="11"/>
        <v>180</v>
      </c>
      <c r="AH333" s="5" t="e">
        <f>VLOOKUP(B333,[1]DL!$BK:$BP,6,0)</f>
        <v>#N/A</v>
      </c>
    </row>
    <row r="334" spans="1:34" ht="14.5" hidden="1">
      <c r="A334" s="5">
        <v>331</v>
      </c>
      <c r="B334" s="5" t="str">
        <f t="shared" si="10"/>
        <v>07AABCN8952A1ZLSER-20/2026-27</v>
      </c>
      <c r="C334" s="1" t="s">
        <v>622</v>
      </c>
      <c r="D334" s="1" t="s">
        <v>623</v>
      </c>
      <c r="E334" s="1" t="s">
        <v>637</v>
      </c>
      <c r="F334" s="1" t="s">
        <v>24</v>
      </c>
      <c r="G334" s="1" t="s">
        <v>398</v>
      </c>
      <c r="H334" s="2">
        <v>5310</v>
      </c>
      <c r="I334" s="1" t="s">
        <v>44</v>
      </c>
      <c r="J334" s="3" t="s">
        <v>27</v>
      </c>
      <c r="K334" s="2">
        <v>4500</v>
      </c>
      <c r="L334" s="2">
        <v>0</v>
      </c>
      <c r="M334" s="2">
        <v>405</v>
      </c>
      <c r="N334" s="2">
        <v>405</v>
      </c>
      <c r="O334" s="2">
        <v>0</v>
      </c>
      <c r="P334" s="7" t="s">
        <v>28</v>
      </c>
      <c r="Q334" s="1" t="s">
        <v>29</v>
      </c>
      <c r="R334" s="3" t="s">
        <v>45</v>
      </c>
      <c r="S334" s="1" t="s">
        <v>46</v>
      </c>
      <c r="T334" s="4" t="s">
        <v>31</v>
      </c>
      <c r="U334" s="7" t="s">
        <v>46</v>
      </c>
      <c r="V334" s="7" t="s">
        <v>46</v>
      </c>
      <c r="W334" s="7" t="s">
        <v>46</v>
      </c>
      <c r="X334" s="7" t="s">
        <v>1751</v>
      </c>
      <c r="Y334" s="10">
        <f t="shared" si="11"/>
        <v>810</v>
      </c>
      <c r="AH334" s="5" t="e">
        <f>VLOOKUP(B334,[1]DL!$BK:$BP,6,0)</f>
        <v>#N/A</v>
      </c>
    </row>
    <row r="335" spans="1:34" ht="14.5" hidden="1">
      <c r="A335" s="5">
        <v>332</v>
      </c>
      <c r="B335" s="5" t="str">
        <f t="shared" si="10"/>
        <v>07AABCN8952A1ZLSER-21/2026-27</v>
      </c>
      <c r="C335" s="1" t="s">
        <v>622</v>
      </c>
      <c r="D335" s="1" t="s">
        <v>623</v>
      </c>
      <c r="E335" s="1" t="s">
        <v>638</v>
      </c>
      <c r="F335" s="1" t="s">
        <v>24</v>
      </c>
      <c r="G335" s="1" t="s">
        <v>398</v>
      </c>
      <c r="H335" s="2">
        <v>10030</v>
      </c>
      <c r="I335" s="1" t="s">
        <v>44</v>
      </c>
      <c r="J335" s="3" t="s">
        <v>27</v>
      </c>
      <c r="K335" s="2">
        <v>8500</v>
      </c>
      <c r="L335" s="2">
        <v>0</v>
      </c>
      <c r="M335" s="2">
        <v>765</v>
      </c>
      <c r="N335" s="2">
        <v>765</v>
      </c>
      <c r="O335" s="2">
        <v>0</v>
      </c>
      <c r="P335" s="7" t="s">
        <v>28</v>
      </c>
      <c r="Q335" s="1" t="s">
        <v>29</v>
      </c>
      <c r="R335" s="3" t="s">
        <v>45</v>
      </c>
      <c r="S335" s="1" t="s">
        <v>46</v>
      </c>
      <c r="T335" s="4" t="s">
        <v>31</v>
      </c>
      <c r="U335" s="7" t="s">
        <v>46</v>
      </c>
      <c r="V335" s="7" t="s">
        <v>46</v>
      </c>
      <c r="W335" s="7" t="s">
        <v>46</v>
      </c>
      <c r="X335" s="7" t="s">
        <v>1751</v>
      </c>
      <c r="Y335" s="10">
        <f t="shared" si="11"/>
        <v>1530</v>
      </c>
      <c r="AH335" s="5" t="e">
        <f>VLOOKUP(B335,[1]DL!$BK:$BP,6,0)</f>
        <v>#N/A</v>
      </c>
    </row>
    <row r="336" spans="1:34" ht="14.5" hidden="1">
      <c r="A336" s="5">
        <v>333</v>
      </c>
      <c r="B336" s="5" t="str">
        <f t="shared" si="10"/>
        <v>07AABCN8952A1ZLSER-22/2026-27</v>
      </c>
      <c r="C336" s="1" t="s">
        <v>622</v>
      </c>
      <c r="D336" s="1" t="s">
        <v>623</v>
      </c>
      <c r="E336" s="1" t="s">
        <v>639</v>
      </c>
      <c r="F336" s="1" t="s">
        <v>24</v>
      </c>
      <c r="G336" s="1" t="s">
        <v>133</v>
      </c>
      <c r="H336" s="2">
        <v>79</v>
      </c>
      <c r="I336" s="1" t="s">
        <v>44</v>
      </c>
      <c r="J336" s="3" t="s">
        <v>27</v>
      </c>
      <c r="K336" s="2">
        <v>67</v>
      </c>
      <c r="L336" s="2">
        <v>0</v>
      </c>
      <c r="M336" s="2">
        <v>6.03</v>
      </c>
      <c r="N336" s="2">
        <v>6.03</v>
      </c>
      <c r="O336" s="2">
        <v>0</v>
      </c>
      <c r="P336" s="7" t="s">
        <v>28</v>
      </c>
      <c r="Q336" s="1" t="s">
        <v>29</v>
      </c>
      <c r="R336" s="3" t="s">
        <v>45</v>
      </c>
      <c r="S336" s="1" t="s">
        <v>46</v>
      </c>
      <c r="T336" s="4" t="s">
        <v>31</v>
      </c>
      <c r="U336" s="7" t="s">
        <v>46</v>
      </c>
      <c r="V336" s="7" t="s">
        <v>46</v>
      </c>
      <c r="W336" s="7" t="s">
        <v>46</v>
      </c>
      <c r="X336" s="7" t="s">
        <v>1751</v>
      </c>
      <c r="Y336" s="10">
        <f t="shared" si="11"/>
        <v>12.06</v>
      </c>
      <c r="AH336" s="5" t="e">
        <f>VLOOKUP(B336,[1]DL!$BK:$BP,6,0)</f>
        <v>#N/A</v>
      </c>
    </row>
    <row r="337" spans="1:34" ht="14.5" hidden="1">
      <c r="A337" s="5">
        <v>334</v>
      </c>
      <c r="B337" s="5" t="str">
        <f t="shared" si="10"/>
        <v>07AABCN8952A1ZLSER-23/2026-27</v>
      </c>
      <c r="C337" s="1" t="s">
        <v>622</v>
      </c>
      <c r="D337" s="1" t="s">
        <v>623</v>
      </c>
      <c r="E337" s="1" t="s">
        <v>640</v>
      </c>
      <c r="F337" s="1" t="s">
        <v>24</v>
      </c>
      <c r="G337" s="1" t="s">
        <v>133</v>
      </c>
      <c r="H337" s="2">
        <v>202</v>
      </c>
      <c r="I337" s="1" t="s">
        <v>44</v>
      </c>
      <c r="J337" s="3" t="s">
        <v>27</v>
      </c>
      <c r="K337" s="2">
        <v>171</v>
      </c>
      <c r="L337" s="2">
        <v>0</v>
      </c>
      <c r="M337" s="2">
        <v>15.39</v>
      </c>
      <c r="N337" s="2">
        <v>15.39</v>
      </c>
      <c r="O337" s="2">
        <v>0</v>
      </c>
      <c r="P337" s="7" t="s">
        <v>28</v>
      </c>
      <c r="Q337" s="1" t="s">
        <v>29</v>
      </c>
      <c r="R337" s="3" t="s">
        <v>45</v>
      </c>
      <c r="S337" s="1" t="s">
        <v>46</v>
      </c>
      <c r="T337" s="4" t="s">
        <v>31</v>
      </c>
      <c r="U337" s="7" t="s">
        <v>46</v>
      </c>
      <c r="V337" s="7" t="s">
        <v>46</v>
      </c>
      <c r="W337" s="7" t="s">
        <v>46</v>
      </c>
      <c r="X337" s="7" t="s">
        <v>1751</v>
      </c>
      <c r="Y337" s="10">
        <f t="shared" si="11"/>
        <v>30.780000000000001</v>
      </c>
      <c r="AH337" s="5" t="e">
        <f>VLOOKUP(B337,[1]DL!$BK:$BP,6,0)</f>
        <v>#N/A</v>
      </c>
    </row>
    <row r="338" spans="1:34" ht="14.5" hidden="1">
      <c r="A338" s="5">
        <v>335</v>
      </c>
      <c r="B338" s="5" t="str">
        <f t="shared" si="10"/>
        <v>07AABCN8952A1ZLSER-24/2026-27</v>
      </c>
      <c r="C338" s="1" t="s">
        <v>622</v>
      </c>
      <c r="D338" s="1" t="s">
        <v>623</v>
      </c>
      <c r="E338" s="1" t="s">
        <v>641</v>
      </c>
      <c r="F338" s="1" t="s">
        <v>24</v>
      </c>
      <c r="G338" s="1" t="s">
        <v>133</v>
      </c>
      <c r="H338" s="2">
        <v>2728</v>
      </c>
      <c r="I338" s="1" t="s">
        <v>44</v>
      </c>
      <c r="J338" s="3" t="s">
        <v>27</v>
      </c>
      <c r="K338" s="2">
        <v>2312</v>
      </c>
      <c r="L338" s="2">
        <v>0</v>
      </c>
      <c r="M338" s="2">
        <v>208.08</v>
      </c>
      <c r="N338" s="2">
        <v>208.08</v>
      </c>
      <c r="O338" s="2">
        <v>0</v>
      </c>
      <c r="P338" s="7" t="s">
        <v>28</v>
      </c>
      <c r="Q338" s="1" t="s">
        <v>29</v>
      </c>
      <c r="R338" s="3" t="s">
        <v>45</v>
      </c>
      <c r="S338" s="1" t="s">
        <v>46</v>
      </c>
      <c r="T338" s="4" t="s">
        <v>31</v>
      </c>
      <c r="U338" s="7" t="s">
        <v>46</v>
      </c>
      <c r="V338" s="7" t="s">
        <v>46</v>
      </c>
      <c r="W338" s="7" t="s">
        <v>46</v>
      </c>
      <c r="X338" s="7" t="s">
        <v>1751</v>
      </c>
      <c r="Y338" s="10">
        <f t="shared" si="11"/>
        <v>416.16000000000003</v>
      </c>
      <c r="AH338" s="5" t="e">
        <f>VLOOKUP(B338,[1]DL!$BK:$BP,6,0)</f>
        <v>#N/A</v>
      </c>
    </row>
    <row r="339" spans="1:34" ht="14.5" hidden="1">
      <c r="A339" s="5">
        <v>336</v>
      </c>
      <c r="B339" s="5" t="str">
        <f t="shared" si="10"/>
        <v>07AABCN8952A1ZLSER-25/2026-27</v>
      </c>
      <c r="C339" s="1" t="s">
        <v>622</v>
      </c>
      <c r="D339" s="1" t="s">
        <v>623</v>
      </c>
      <c r="E339" s="1" t="s">
        <v>642</v>
      </c>
      <c r="F339" s="1" t="s">
        <v>24</v>
      </c>
      <c r="G339" s="1" t="s">
        <v>133</v>
      </c>
      <c r="H339" s="2">
        <v>610</v>
      </c>
      <c r="I339" s="1" t="s">
        <v>44</v>
      </c>
      <c r="J339" s="3" t="s">
        <v>27</v>
      </c>
      <c r="K339" s="2">
        <v>517</v>
      </c>
      <c r="L339" s="2">
        <v>0</v>
      </c>
      <c r="M339" s="2">
        <v>46.53</v>
      </c>
      <c r="N339" s="2">
        <v>46.53</v>
      </c>
      <c r="O339" s="2">
        <v>0</v>
      </c>
      <c r="P339" s="7" t="s">
        <v>28</v>
      </c>
      <c r="Q339" s="1" t="s">
        <v>29</v>
      </c>
      <c r="R339" s="3" t="s">
        <v>45</v>
      </c>
      <c r="S339" s="1" t="s">
        <v>46</v>
      </c>
      <c r="T339" s="4" t="s">
        <v>31</v>
      </c>
      <c r="U339" s="7" t="s">
        <v>46</v>
      </c>
      <c r="V339" s="7" t="s">
        <v>46</v>
      </c>
      <c r="W339" s="7" t="s">
        <v>46</v>
      </c>
      <c r="X339" s="7" t="s">
        <v>1751</v>
      </c>
      <c r="Y339" s="10">
        <f t="shared" si="11"/>
        <v>93.060000000000002</v>
      </c>
      <c r="AH339" s="5" t="e">
        <f>VLOOKUP(B339,[1]DL!$BK:$BP,6,0)</f>
        <v>#N/A</v>
      </c>
    </row>
    <row r="340" spans="1:34" ht="14.5" hidden="1">
      <c r="A340" s="5">
        <v>337</v>
      </c>
      <c r="B340" s="5" t="str">
        <f t="shared" si="10"/>
        <v>07AABCN8952A1ZLSER-26/2026-27</v>
      </c>
      <c r="C340" s="1" t="s">
        <v>622</v>
      </c>
      <c r="D340" s="1" t="s">
        <v>623</v>
      </c>
      <c r="E340" s="1" t="s">
        <v>643</v>
      </c>
      <c r="F340" s="1" t="s">
        <v>24</v>
      </c>
      <c r="G340" s="1" t="s">
        <v>133</v>
      </c>
      <c r="H340" s="2">
        <v>98</v>
      </c>
      <c r="I340" s="1" t="s">
        <v>44</v>
      </c>
      <c r="J340" s="3" t="s">
        <v>27</v>
      </c>
      <c r="K340" s="2">
        <v>83</v>
      </c>
      <c r="L340" s="2">
        <v>0</v>
      </c>
      <c r="M340" s="2">
        <v>7.47</v>
      </c>
      <c r="N340" s="2">
        <v>7.47</v>
      </c>
      <c r="O340" s="2">
        <v>0</v>
      </c>
      <c r="P340" s="7" t="s">
        <v>28</v>
      </c>
      <c r="Q340" s="1" t="s">
        <v>29</v>
      </c>
      <c r="R340" s="3" t="s">
        <v>45</v>
      </c>
      <c r="S340" s="1" t="s">
        <v>46</v>
      </c>
      <c r="T340" s="4" t="s">
        <v>31</v>
      </c>
      <c r="U340" s="7" t="s">
        <v>46</v>
      </c>
      <c r="V340" s="7" t="s">
        <v>46</v>
      </c>
      <c r="W340" s="7" t="s">
        <v>46</v>
      </c>
      <c r="X340" s="7" t="s">
        <v>1751</v>
      </c>
      <c r="Y340" s="10">
        <f t="shared" si="11"/>
        <v>14.94</v>
      </c>
      <c r="AH340" s="5" t="e">
        <f>VLOOKUP(B340,[1]DL!$BK:$BP,6,0)</f>
        <v>#N/A</v>
      </c>
    </row>
    <row r="341" spans="1:34" ht="14.5" hidden="1">
      <c r="A341" s="5">
        <v>338</v>
      </c>
      <c r="B341" s="5" t="str">
        <f t="shared" si="10"/>
        <v>07AABCN8952A1ZLSER-27/2026-27</v>
      </c>
      <c r="C341" s="1" t="s">
        <v>622</v>
      </c>
      <c r="D341" s="1" t="s">
        <v>623</v>
      </c>
      <c r="E341" s="1" t="s">
        <v>644</v>
      </c>
      <c r="F341" s="1" t="s">
        <v>24</v>
      </c>
      <c r="G341" s="1" t="s">
        <v>133</v>
      </c>
      <c r="H341" s="2">
        <v>421</v>
      </c>
      <c r="I341" s="1" t="s">
        <v>44</v>
      </c>
      <c r="J341" s="3" t="s">
        <v>27</v>
      </c>
      <c r="K341" s="2">
        <v>357</v>
      </c>
      <c r="L341" s="2">
        <v>0</v>
      </c>
      <c r="M341" s="2">
        <v>32.130000000000003</v>
      </c>
      <c r="N341" s="2">
        <v>32.130000000000003</v>
      </c>
      <c r="O341" s="2">
        <v>0</v>
      </c>
      <c r="P341" s="7" t="s">
        <v>28</v>
      </c>
      <c r="Q341" s="1" t="s">
        <v>29</v>
      </c>
      <c r="R341" s="3" t="s">
        <v>45</v>
      </c>
      <c r="S341" s="1" t="s">
        <v>46</v>
      </c>
      <c r="T341" s="4" t="s">
        <v>31</v>
      </c>
      <c r="U341" s="7" t="s">
        <v>46</v>
      </c>
      <c r="V341" s="7" t="s">
        <v>46</v>
      </c>
      <c r="W341" s="7" t="s">
        <v>46</v>
      </c>
      <c r="X341" s="7" t="s">
        <v>1751</v>
      </c>
      <c r="Y341" s="10">
        <f t="shared" si="11"/>
        <v>64.260000000000005</v>
      </c>
      <c r="AH341" s="5" t="e">
        <f>VLOOKUP(B341,[1]DL!$BK:$BP,6,0)</f>
        <v>#N/A</v>
      </c>
    </row>
    <row r="342" spans="1:34" ht="14.5" hidden="1">
      <c r="A342" s="5">
        <v>339</v>
      </c>
      <c r="B342" s="5" t="str">
        <f t="shared" si="10"/>
        <v>07AABCN8952A1ZLSER-3/2026-27</v>
      </c>
      <c r="C342" s="1" t="s">
        <v>622</v>
      </c>
      <c r="D342" s="1" t="s">
        <v>623</v>
      </c>
      <c r="E342" s="1" t="s">
        <v>645</v>
      </c>
      <c r="F342" s="1" t="s">
        <v>24</v>
      </c>
      <c r="G342" s="1" t="s">
        <v>50</v>
      </c>
      <c r="H342" s="2">
        <v>5310</v>
      </c>
      <c r="I342" s="1" t="s">
        <v>44</v>
      </c>
      <c r="J342" s="3" t="s">
        <v>27</v>
      </c>
      <c r="K342" s="2">
        <v>4500</v>
      </c>
      <c r="L342" s="2">
        <v>0</v>
      </c>
      <c r="M342" s="2">
        <v>405</v>
      </c>
      <c r="N342" s="2">
        <v>405</v>
      </c>
      <c r="O342" s="2">
        <v>0</v>
      </c>
      <c r="P342" s="7" t="s">
        <v>28</v>
      </c>
      <c r="Q342" s="1" t="s">
        <v>29</v>
      </c>
      <c r="R342" s="3" t="s">
        <v>45</v>
      </c>
      <c r="S342" s="1" t="s">
        <v>46</v>
      </c>
      <c r="T342" s="4" t="s">
        <v>31</v>
      </c>
      <c r="U342" s="7" t="s">
        <v>46</v>
      </c>
      <c r="V342" s="7" t="s">
        <v>46</v>
      </c>
      <c r="W342" s="7" t="s">
        <v>46</v>
      </c>
      <c r="X342" s="7" t="s">
        <v>1751</v>
      </c>
      <c r="Y342" s="10">
        <f t="shared" si="11"/>
        <v>810</v>
      </c>
      <c r="AH342" s="5" t="e">
        <f>VLOOKUP(B342,[1]DL!$BK:$BP,6,0)</f>
        <v>#N/A</v>
      </c>
    </row>
    <row r="343" spans="1:34" ht="14.5" hidden="1">
      <c r="A343" s="5">
        <v>340</v>
      </c>
      <c r="B343" s="5" t="str">
        <f t="shared" si="10"/>
        <v>07AABCN8952A1ZLSER-4/2026-27</v>
      </c>
      <c r="C343" s="1" t="s">
        <v>622</v>
      </c>
      <c r="D343" s="1" t="s">
        <v>623</v>
      </c>
      <c r="E343" s="1" t="s">
        <v>646</v>
      </c>
      <c r="F343" s="1" t="s">
        <v>24</v>
      </c>
      <c r="G343" s="1" t="s">
        <v>50</v>
      </c>
      <c r="H343" s="2">
        <v>1180</v>
      </c>
      <c r="I343" s="1" t="s">
        <v>44</v>
      </c>
      <c r="J343" s="3" t="s">
        <v>27</v>
      </c>
      <c r="K343" s="2">
        <v>1000</v>
      </c>
      <c r="L343" s="2">
        <v>0</v>
      </c>
      <c r="M343" s="2">
        <v>90</v>
      </c>
      <c r="N343" s="2">
        <v>90</v>
      </c>
      <c r="O343" s="2">
        <v>0</v>
      </c>
      <c r="P343" s="7" t="s">
        <v>28</v>
      </c>
      <c r="Q343" s="1" t="s">
        <v>29</v>
      </c>
      <c r="R343" s="3" t="s">
        <v>45</v>
      </c>
      <c r="S343" s="1" t="s">
        <v>46</v>
      </c>
      <c r="T343" s="4" t="s">
        <v>31</v>
      </c>
      <c r="U343" s="7" t="s">
        <v>46</v>
      </c>
      <c r="V343" s="7" t="s">
        <v>46</v>
      </c>
      <c r="W343" s="7" t="s">
        <v>46</v>
      </c>
      <c r="X343" s="7" t="s">
        <v>1751</v>
      </c>
      <c r="Y343" s="10">
        <f t="shared" si="11"/>
        <v>180</v>
      </c>
      <c r="AH343" s="5" t="e">
        <f>VLOOKUP(B343,[1]DL!$BK:$BP,6,0)</f>
        <v>#N/A</v>
      </c>
    </row>
    <row r="344" spans="1:34" ht="14.5" hidden="1">
      <c r="A344" s="5">
        <v>341</v>
      </c>
      <c r="B344" s="5" t="str">
        <f t="shared" si="10"/>
        <v>07AABCN8952A1ZLSER-5/2026-27</v>
      </c>
      <c r="C344" s="1" t="s">
        <v>622</v>
      </c>
      <c r="D344" s="1" t="s">
        <v>623</v>
      </c>
      <c r="E344" s="1" t="s">
        <v>647</v>
      </c>
      <c r="F344" s="1" t="s">
        <v>24</v>
      </c>
      <c r="G344" s="1" t="s">
        <v>50</v>
      </c>
      <c r="H344" s="2">
        <v>10030</v>
      </c>
      <c r="I344" s="1" t="s">
        <v>44</v>
      </c>
      <c r="J344" s="3" t="s">
        <v>27</v>
      </c>
      <c r="K344" s="2">
        <v>8500</v>
      </c>
      <c r="L344" s="2">
        <v>0</v>
      </c>
      <c r="M344" s="2">
        <v>765</v>
      </c>
      <c r="N344" s="2">
        <v>765</v>
      </c>
      <c r="O344" s="2">
        <v>0</v>
      </c>
      <c r="P344" s="7" t="s">
        <v>28</v>
      </c>
      <c r="Q344" s="1" t="s">
        <v>29</v>
      </c>
      <c r="R344" s="3" t="s">
        <v>45</v>
      </c>
      <c r="S344" s="1" t="s">
        <v>46</v>
      </c>
      <c r="T344" s="4" t="s">
        <v>31</v>
      </c>
      <c r="U344" s="7" t="s">
        <v>46</v>
      </c>
      <c r="V344" s="7" t="s">
        <v>46</v>
      </c>
      <c r="W344" s="7" t="s">
        <v>46</v>
      </c>
      <c r="X344" s="7" t="s">
        <v>1751</v>
      </c>
      <c r="Y344" s="10">
        <f t="shared" si="11"/>
        <v>1530</v>
      </c>
      <c r="AH344" s="5" t="e">
        <f>VLOOKUP(B344,[1]DL!$BK:$BP,6,0)</f>
        <v>#N/A</v>
      </c>
    </row>
    <row r="345" spans="1:34" ht="14.5" hidden="1">
      <c r="A345" s="5">
        <v>342</v>
      </c>
      <c r="B345" s="5" t="str">
        <f t="shared" si="10"/>
        <v>07AABCN8952A1ZLSER-6/2026-27</v>
      </c>
      <c r="C345" s="1" t="s">
        <v>622</v>
      </c>
      <c r="D345" s="1" t="s">
        <v>623</v>
      </c>
      <c r="E345" s="1" t="s">
        <v>648</v>
      </c>
      <c r="F345" s="1" t="s">
        <v>24</v>
      </c>
      <c r="G345" s="1" t="s">
        <v>125</v>
      </c>
      <c r="H345" s="2">
        <v>35046</v>
      </c>
      <c r="I345" s="1" t="s">
        <v>44</v>
      </c>
      <c r="J345" s="3" t="s">
        <v>27</v>
      </c>
      <c r="K345" s="2">
        <v>29700</v>
      </c>
      <c r="L345" s="2">
        <v>0</v>
      </c>
      <c r="M345" s="2">
        <v>2673</v>
      </c>
      <c r="N345" s="2">
        <v>2673</v>
      </c>
      <c r="O345" s="2">
        <v>0</v>
      </c>
      <c r="P345" s="7" t="s">
        <v>28</v>
      </c>
      <c r="Q345" s="1" t="s">
        <v>29</v>
      </c>
      <c r="R345" s="3" t="s">
        <v>45</v>
      </c>
      <c r="S345" s="1" t="s">
        <v>46</v>
      </c>
      <c r="T345" s="4" t="s">
        <v>31</v>
      </c>
      <c r="U345" s="7" t="s">
        <v>46</v>
      </c>
      <c r="V345" s="7" t="s">
        <v>46</v>
      </c>
      <c r="W345" s="7" t="s">
        <v>46</v>
      </c>
      <c r="X345" s="7" t="s">
        <v>1751</v>
      </c>
      <c r="Y345" s="10">
        <f t="shared" si="11"/>
        <v>5346</v>
      </c>
      <c r="AH345" s="5" t="e">
        <f>VLOOKUP(B345,[1]DL!$BK:$BP,6,0)</f>
        <v>#N/A</v>
      </c>
    </row>
    <row r="346" spans="1:34" ht="14.5" hidden="1">
      <c r="A346" s="5">
        <v>343</v>
      </c>
      <c r="B346" s="5" t="str">
        <f t="shared" si="10"/>
        <v>07AABCN8952A1ZLSER-7/2026-27</v>
      </c>
      <c r="C346" s="1" t="s">
        <v>622</v>
      </c>
      <c r="D346" s="1" t="s">
        <v>623</v>
      </c>
      <c r="E346" s="1" t="s">
        <v>649</v>
      </c>
      <c r="F346" s="1" t="s">
        <v>24</v>
      </c>
      <c r="G346" s="1" t="s">
        <v>125</v>
      </c>
      <c r="H346" s="2">
        <v>8142</v>
      </c>
      <c r="I346" s="1" t="s">
        <v>44</v>
      </c>
      <c r="J346" s="3" t="s">
        <v>27</v>
      </c>
      <c r="K346" s="2">
        <v>6900</v>
      </c>
      <c r="L346" s="2">
        <v>0</v>
      </c>
      <c r="M346" s="2">
        <v>621</v>
      </c>
      <c r="N346" s="2">
        <v>621</v>
      </c>
      <c r="O346" s="2">
        <v>0</v>
      </c>
      <c r="P346" s="7" t="s">
        <v>28</v>
      </c>
      <c r="Q346" s="1" t="s">
        <v>29</v>
      </c>
      <c r="R346" s="3" t="s">
        <v>45</v>
      </c>
      <c r="S346" s="1" t="s">
        <v>46</v>
      </c>
      <c r="T346" s="4" t="s">
        <v>31</v>
      </c>
      <c r="U346" s="7" t="s">
        <v>46</v>
      </c>
      <c r="V346" s="7" t="s">
        <v>46</v>
      </c>
      <c r="W346" s="7" t="s">
        <v>46</v>
      </c>
      <c r="X346" s="7" t="s">
        <v>1751</v>
      </c>
      <c r="Y346" s="10">
        <f t="shared" si="11"/>
        <v>1242</v>
      </c>
      <c r="AH346" s="5" t="e">
        <f>VLOOKUP(B346,[1]DL!$BK:$BP,6,0)</f>
        <v>#N/A</v>
      </c>
    </row>
    <row r="347" spans="1:34" ht="14.5" hidden="1">
      <c r="A347" s="5">
        <v>344</v>
      </c>
      <c r="B347" s="5" t="str">
        <f t="shared" si="10"/>
        <v>07AABCN8952A1ZLSER-8/2026-27</v>
      </c>
      <c r="C347" s="1" t="s">
        <v>622</v>
      </c>
      <c r="D347" s="1" t="s">
        <v>623</v>
      </c>
      <c r="E347" s="1" t="s">
        <v>650</v>
      </c>
      <c r="F347" s="1" t="s">
        <v>24</v>
      </c>
      <c r="G347" s="1" t="s">
        <v>125</v>
      </c>
      <c r="H347" s="2">
        <v>14750</v>
      </c>
      <c r="I347" s="1" t="s">
        <v>44</v>
      </c>
      <c r="J347" s="3" t="s">
        <v>27</v>
      </c>
      <c r="K347" s="2">
        <v>12500</v>
      </c>
      <c r="L347" s="2">
        <v>0</v>
      </c>
      <c r="M347" s="2">
        <v>1125</v>
      </c>
      <c r="N347" s="2">
        <v>1125</v>
      </c>
      <c r="O347" s="2">
        <v>0</v>
      </c>
      <c r="P347" s="7" t="s">
        <v>28</v>
      </c>
      <c r="Q347" s="1" t="s">
        <v>29</v>
      </c>
      <c r="R347" s="3" t="s">
        <v>45</v>
      </c>
      <c r="S347" s="1" t="s">
        <v>46</v>
      </c>
      <c r="T347" s="4" t="s">
        <v>31</v>
      </c>
      <c r="U347" s="7" t="s">
        <v>46</v>
      </c>
      <c r="V347" s="7" t="s">
        <v>46</v>
      </c>
      <c r="W347" s="7" t="s">
        <v>46</v>
      </c>
      <c r="X347" s="7" t="s">
        <v>1751</v>
      </c>
      <c r="Y347" s="10">
        <f t="shared" si="11"/>
        <v>2250</v>
      </c>
      <c r="AH347" s="5" t="e">
        <f>VLOOKUP(B347,[1]DL!$BK:$BP,6,0)</f>
        <v>#N/A</v>
      </c>
    </row>
    <row r="348" spans="1:34" ht="14.5" hidden="1">
      <c r="A348" s="5">
        <v>345</v>
      </c>
      <c r="B348" s="5" t="str">
        <f t="shared" si="10"/>
        <v>07AABCN8952A1ZLSER-9/2026-27</v>
      </c>
      <c r="C348" s="1" t="s">
        <v>622</v>
      </c>
      <c r="D348" s="1" t="s">
        <v>623</v>
      </c>
      <c r="E348" s="1" t="s">
        <v>651</v>
      </c>
      <c r="F348" s="1" t="s">
        <v>24</v>
      </c>
      <c r="G348" s="1" t="s">
        <v>125</v>
      </c>
      <c r="H348" s="2">
        <v>4720</v>
      </c>
      <c r="I348" s="1" t="s">
        <v>44</v>
      </c>
      <c r="J348" s="3" t="s">
        <v>27</v>
      </c>
      <c r="K348" s="2">
        <v>4000</v>
      </c>
      <c r="L348" s="2">
        <v>0</v>
      </c>
      <c r="M348" s="2">
        <v>360</v>
      </c>
      <c r="N348" s="2">
        <v>360</v>
      </c>
      <c r="O348" s="2">
        <v>0</v>
      </c>
      <c r="P348" s="7" t="s">
        <v>28</v>
      </c>
      <c r="Q348" s="1" t="s">
        <v>29</v>
      </c>
      <c r="R348" s="3" t="s">
        <v>45</v>
      </c>
      <c r="S348" s="1" t="s">
        <v>46</v>
      </c>
      <c r="T348" s="4" t="s">
        <v>31</v>
      </c>
      <c r="U348" s="7" t="s">
        <v>46</v>
      </c>
      <c r="V348" s="7" t="s">
        <v>46</v>
      </c>
      <c r="W348" s="7" t="s">
        <v>46</v>
      </c>
      <c r="X348" s="7" t="s">
        <v>1751</v>
      </c>
      <c r="Y348" s="10">
        <f t="shared" si="11"/>
        <v>720</v>
      </c>
      <c r="AH348" s="5" t="e">
        <f>VLOOKUP(B348,[1]DL!$BK:$BP,6,0)</f>
        <v>#N/A</v>
      </c>
    </row>
    <row r="349" spans="1:34" ht="14.5" hidden="1">
      <c r="A349" s="5">
        <v>346</v>
      </c>
      <c r="B349" s="5" t="str">
        <f t="shared" si="10"/>
        <v>07AABFS3475J1ZZ5/2026-27</v>
      </c>
      <c r="C349" s="1" t="s">
        <v>652</v>
      </c>
      <c r="D349" s="1" t="s">
        <v>653</v>
      </c>
      <c r="E349" s="1" t="s">
        <v>654</v>
      </c>
      <c r="F349" s="1" t="s">
        <v>24</v>
      </c>
      <c r="G349" s="1" t="s">
        <v>54</v>
      </c>
      <c r="H349" s="2">
        <v>14953</v>
      </c>
      <c r="I349" s="1" t="s">
        <v>44</v>
      </c>
      <c r="J349" s="3" t="s">
        <v>27</v>
      </c>
      <c r="K349" s="2">
        <v>12672</v>
      </c>
      <c r="L349" s="2">
        <v>0</v>
      </c>
      <c r="M349" s="2">
        <v>1140.48</v>
      </c>
      <c r="N349" s="2">
        <v>1140.48</v>
      </c>
      <c r="O349" s="2">
        <v>0</v>
      </c>
      <c r="P349" s="7" t="s">
        <v>28</v>
      </c>
      <c r="Q349" s="1" t="s">
        <v>120</v>
      </c>
      <c r="R349" s="3" t="s">
        <v>45</v>
      </c>
      <c r="S349" s="1" t="s">
        <v>46</v>
      </c>
      <c r="T349" s="4" t="s">
        <v>31</v>
      </c>
      <c r="U349" s="7" t="s">
        <v>32</v>
      </c>
      <c r="V349" s="7" t="s">
        <v>655</v>
      </c>
      <c r="W349" s="7" t="s">
        <v>54</v>
      </c>
      <c r="X349" s="7" t="s">
        <v>1751</v>
      </c>
      <c r="Y349" s="10">
        <f t="shared" si="11"/>
        <v>2280.96</v>
      </c>
      <c r="AH349" s="5" t="e">
        <f>VLOOKUP(B349,[1]DL!$BK:$BP,6,0)</f>
        <v>#N/A</v>
      </c>
    </row>
    <row r="350" spans="1:34" ht="14.5" hidden="1">
      <c r="A350" s="5">
        <v>347</v>
      </c>
      <c r="B350" s="5" t="str">
        <f t="shared" si="10"/>
        <v>09AAKFC1201H1ZVG2627N0035</v>
      </c>
      <c r="C350" s="1" t="s">
        <v>656</v>
      </c>
      <c r="D350" s="1" t="s">
        <v>657</v>
      </c>
      <c r="E350" s="1" t="s">
        <v>658</v>
      </c>
      <c r="F350" s="1" t="s">
        <v>24</v>
      </c>
      <c r="G350" s="1" t="s">
        <v>50</v>
      </c>
      <c r="H350" s="2">
        <v>4917242.9000000004</v>
      </c>
      <c r="I350" s="1" t="s">
        <v>44</v>
      </c>
      <c r="J350" s="3" t="s">
        <v>45</v>
      </c>
      <c r="K350" s="2">
        <v>4167155</v>
      </c>
      <c r="L350" s="2">
        <v>750087.90</v>
      </c>
      <c r="M350" s="2">
        <v>0</v>
      </c>
      <c r="N350" s="2">
        <v>0</v>
      </c>
      <c r="O350" s="2">
        <v>0</v>
      </c>
      <c r="P350" s="7" t="s">
        <v>28</v>
      </c>
      <c r="Q350" s="1" t="s">
        <v>29</v>
      </c>
      <c r="R350" s="3" t="s">
        <v>45</v>
      </c>
      <c r="S350" s="1" t="s">
        <v>46</v>
      </c>
      <c r="T350" s="4" t="s">
        <v>31</v>
      </c>
      <c r="U350" s="7" t="s">
        <v>32</v>
      </c>
      <c r="V350" s="7" t="s">
        <v>659</v>
      </c>
      <c r="W350" s="7" t="s">
        <v>154</v>
      </c>
      <c r="X350" s="7" t="s">
        <v>1751</v>
      </c>
      <c r="Y350" s="10">
        <f t="shared" si="11"/>
        <v>750087.90000000002</v>
      </c>
      <c r="AH350" s="5" t="e">
        <f>VLOOKUP(B350,[1]DL!$BK:$BP,6,0)</f>
        <v>#N/A</v>
      </c>
    </row>
    <row r="351" spans="1:34" ht="14.5" hidden="1">
      <c r="A351" s="5">
        <v>348</v>
      </c>
      <c r="B351" s="5" t="str">
        <f t="shared" si="10"/>
        <v>09ACGFA1224N1ZDAPV/26-27/R277</v>
      </c>
      <c r="C351" s="1" t="s">
        <v>660</v>
      </c>
      <c r="D351" s="1" t="s">
        <v>661</v>
      </c>
      <c r="E351" s="1" t="s">
        <v>662</v>
      </c>
      <c r="F351" s="1" t="s">
        <v>24</v>
      </c>
      <c r="G351" s="1" t="s">
        <v>385</v>
      </c>
      <c r="H351" s="2">
        <v>16270</v>
      </c>
      <c r="I351" s="1" t="s">
        <v>44</v>
      </c>
      <c r="J351" s="3" t="s">
        <v>27</v>
      </c>
      <c r="K351" s="2">
        <v>14500</v>
      </c>
      <c r="L351" s="2">
        <v>1770</v>
      </c>
      <c r="M351" s="2">
        <v>0</v>
      </c>
      <c r="N351" s="2">
        <v>0</v>
      </c>
      <c r="O351" s="2">
        <v>0</v>
      </c>
      <c r="P351" s="7" t="s">
        <v>28</v>
      </c>
      <c r="Q351" s="1" t="s">
        <v>94</v>
      </c>
      <c r="R351" s="3" t="s">
        <v>45</v>
      </c>
      <c r="S351" s="1" t="s">
        <v>46</v>
      </c>
      <c r="T351" s="4" t="s">
        <v>31</v>
      </c>
      <c r="U351" s="7" t="s">
        <v>46</v>
      </c>
      <c r="V351" s="7" t="s">
        <v>46</v>
      </c>
      <c r="W351" s="7" t="s">
        <v>46</v>
      </c>
      <c r="X351" s="7" t="s">
        <v>1751</v>
      </c>
      <c r="Y351" s="10">
        <f t="shared" si="11"/>
        <v>1770</v>
      </c>
      <c r="AH351" s="5" t="e">
        <f>VLOOKUP(B351,[1]DL!$BK:$BP,6,0)</f>
        <v>#N/A</v>
      </c>
    </row>
    <row r="352" spans="1:34" ht="14.5" hidden="1">
      <c r="A352" s="5">
        <v>349</v>
      </c>
      <c r="B352" s="5" t="str">
        <f t="shared" si="10"/>
        <v>09ACGFA1224N1ZDAPV/26-27/R583</v>
      </c>
      <c r="C352" s="1" t="s">
        <v>660</v>
      </c>
      <c r="D352" s="1" t="s">
        <v>661</v>
      </c>
      <c r="E352" s="1" t="s">
        <v>663</v>
      </c>
      <c r="F352" s="1" t="s">
        <v>24</v>
      </c>
      <c r="G352" s="1" t="s">
        <v>420</v>
      </c>
      <c r="H352" s="2">
        <v>15290</v>
      </c>
      <c r="I352" s="1" t="s">
        <v>44</v>
      </c>
      <c r="J352" s="3" t="s">
        <v>27</v>
      </c>
      <c r="K352" s="2">
        <v>14500</v>
      </c>
      <c r="L352" s="2">
        <v>790</v>
      </c>
      <c r="M352" s="2">
        <v>0</v>
      </c>
      <c r="N352" s="2">
        <v>0</v>
      </c>
      <c r="O352" s="2">
        <v>0</v>
      </c>
      <c r="P352" s="7" t="s">
        <v>28</v>
      </c>
      <c r="Q352" s="1" t="s">
        <v>94</v>
      </c>
      <c r="R352" s="3" t="s">
        <v>45</v>
      </c>
      <c r="S352" s="1" t="s">
        <v>46</v>
      </c>
      <c r="T352" s="4" t="s">
        <v>31</v>
      </c>
      <c r="U352" s="7" t="s">
        <v>46</v>
      </c>
      <c r="V352" s="7" t="s">
        <v>46</v>
      </c>
      <c r="W352" s="7" t="s">
        <v>46</v>
      </c>
      <c r="X352" s="7" t="s">
        <v>1751</v>
      </c>
      <c r="Y352" s="10">
        <f t="shared" si="11"/>
        <v>790</v>
      </c>
      <c r="AH352" s="5" t="e">
        <f>VLOOKUP(B352,[1]DL!$BK:$BP,6,0)</f>
        <v>#N/A</v>
      </c>
    </row>
    <row r="353" spans="1:34" ht="14.5" hidden="1">
      <c r="A353" s="5">
        <v>350</v>
      </c>
      <c r="B353" s="5" t="str">
        <f t="shared" si="10"/>
        <v>27AAACT3957G1Z79A06227438</v>
      </c>
      <c r="C353" s="1" t="s">
        <v>664</v>
      </c>
      <c r="D353" s="1" t="s">
        <v>665</v>
      </c>
      <c r="E353" s="1" t="s">
        <v>666</v>
      </c>
      <c r="F353" s="1" t="s">
        <v>24</v>
      </c>
      <c r="G353" s="1" t="s">
        <v>420</v>
      </c>
      <c r="H353" s="2">
        <v>1797</v>
      </c>
      <c r="I353" s="1" t="s">
        <v>26</v>
      </c>
      <c r="J353" s="3" t="s">
        <v>27</v>
      </c>
      <c r="K353" s="2">
        <v>1522.5</v>
      </c>
      <c r="L353" s="2">
        <v>0</v>
      </c>
      <c r="M353" s="2">
        <v>137.03</v>
      </c>
      <c r="N353" s="2">
        <v>137.03</v>
      </c>
      <c r="O353" s="2">
        <v>0</v>
      </c>
      <c r="P353" s="7" t="s">
        <v>28</v>
      </c>
      <c r="Q353" s="1" t="s">
        <v>29</v>
      </c>
      <c r="R353" s="3" t="s">
        <v>27</v>
      </c>
      <c r="S353" s="1" t="s">
        <v>30</v>
      </c>
      <c r="T353" s="4" t="s">
        <v>31</v>
      </c>
      <c r="U353" s="7" t="s">
        <v>32</v>
      </c>
      <c r="V353" s="7" t="s">
        <v>667</v>
      </c>
      <c r="W353" s="7" t="s">
        <v>420</v>
      </c>
      <c r="X353" s="7" t="s">
        <v>1751</v>
      </c>
      <c r="Y353" s="10">
        <f t="shared" si="11"/>
        <v>274.06</v>
      </c>
      <c r="AH353" s="5" t="e">
        <f>VLOOKUP(B353,[1]DL!$BK:$BP,6,0)</f>
        <v>#N/A</v>
      </c>
    </row>
    <row r="354" spans="1:34" ht="14.5" hidden="1">
      <c r="A354" s="5">
        <v>351</v>
      </c>
      <c r="B354" s="5" t="str">
        <f t="shared" si="10"/>
        <v>27AAACT3957G1Z79A06227830</v>
      </c>
      <c r="C354" s="1" t="s">
        <v>664</v>
      </c>
      <c r="D354" s="1" t="s">
        <v>665</v>
      </c>
      <c r="E354" s="1" t="s">
        <v>668</v>
      </c>
      <c r="F354" s="1" t="s">
        <v>24</v>
      </c>
      <c r="G354" s="1" t="s">
        <v>154</v>
      </c>
      <c r="H354" s="2">
        <v>2437</v>
      </c>
      <c r="I354" s="1" t="s">
        <v>26</v>
      </c>
      <c r="J354" s="3" t="s">
        <v>27</v>
      </c>
      <c r="K354" s="2">
        <v>2065</v>
      </c>
      <c r="L354" s="2">
        <v>0</v>
      </c>
      <c r="M354" s="2">
        <v>185.85</v>
      </c>
      <c r="N354" s="2">
        <v>185.85</v>
      </c>
      <c r="O354" s="2">
        <v>0</v>
      </c>
      <c r="P354" s="7" t="s">
        <v>28</v>
      </c>
      <c r="Q354" s="1" t="s">
        <v>29</v>
      </c>
      <c r="R354" s="3" t="s">
        <v>27</v>
      </c>
      <c r="S354" s="1" t="s">
        <v>30</v>
      </c>
      <c r="T354" s="4" t="s">
        <v>31</v>
      </c>
      <c r="U354" s="7" t="s">
        <v>32</v>
      </c>
      <c r="V354" s="7" t="s">
        <v>669</v>
      </c>
      <c r="W354" s="7" t="s">
        <v>76</v>
      </c>
      <c r="X354" s="7" t="s">
        <v>1751</v>
      </c>
      <c r="Y354" s="10">
        <f t="shared" si="11"/>
        <v>371.69999999999999</v>
      </c>
      <c r="AH354" s="5" t="e">
        <f>VLOOKUP(B354,[1]DL!$BK:$BP,6,0)</f>
        <v>#N/A</v>
      </c>
    </row>
    <row r="355" spans="1:34" ht="14.5" hidden="1">
      <c r="A355" s="5">
        <v>352</v>
      </c>
      <c r="B355" s="5" t="str">
        <f t="shared" si="10"/>
        <v>07AAFAG0794D1ZU39/26-27</v>
      </c>
      <c r="C355" s="1" t="s">
        <v>670</v>
      </c>
      <c r="D355" s="1" t="s">
        <v>671</v>
      </c>
      <c r="E355" s="1" t="s">
        <v>672</v>
      </c>
      <c r="F355" s="1" t="s">
        <v>24</v>
      </c>
      <c r="G355" s="1" t="s">
        <v>50</v>
      </c>
      <c r="H355" s="2">
        <v>25960</v>
      </c>
      <c r="I355" s="1" t="s">
        <v>44</v>
      </c>
      <c r="J355" s="3" t="s">
        <v>27</v>
      </c>
      <c r="K355" s="2">
        <v>22000</v>
      </c>
      <c r="L355" s="2">
        <v>0</v>
      </c>
      <c r="M355" s="2">
        <v>1980</v>
      </c>
      <c r="N355" s="2">
        <v>1980</v>
      </c>
      <c r="O355" s="2">
        <v>0</v>
      </c>
      <c r="P355" s="7" t="s">
        <v>28</v>
      </c>
      <c r="Q355" s="1" t="s">
        <v>29</v>
      </c>
      <c r="R355" s="3" t="s">
        <v>45</v>
      </c>
      <c r="S355" s="1" t="s">
        <v>46</v>
      </c>
      <c r="T355" s="4" t="s">
        <v>31</v>
      </c>
      <c r="U355" s="7" t="s">
        <v>46</v>
      </c>
      <c r="V355" s="7" t="s">
        <v>46</v>
      </c>
      <c r="W355" s="7" t="s">
        <v>46</v>
      </c>
      <c r="X355" s="7" t="s">
        <v>1751</v>
      </c>
      <c r="Y355" s="10">
        <f t="shared" si="11"/>
        <v>3960</v>
      </c>
      <c r="AH355" s="5" t="e">
        <f>VLOOKUP(B355,[1]DL!$BK:$BP,6,0)</f>
        <v>#N/A</v>
      </c>
    </row>
    <row r="356" spans="1:34" ht="14.5" hidden="1">
      <c r="A356" s="5">
        <v>353</v>
      </c>
      <c r="B356" s="5" t="str">
        <f t="shared" si="10"/>
        <v>07AAFAG0794D1ZU40/26-27</v>
      </c>
      <c r="C356" s="1" t="s">
        <v>670</v>
      </c>
      <c r="D356" s="1" t="s">
        <v>671</v>
      </c>
      <c r="E356" s="1" t="s">
        <v>673</v>
      </c>
      <c r="F356" s="1" t="s">
        <v>24</v>
      </c>
      <c r="G356" s="1" t="s">
        <v>50</v>
      </c>
      <c r="H356" s="2">
        <v>25960</v>
      </c>
      <c r="I356" s="1" t="s">
        <v>44</v>
      </c>
      <c r="J356" s="3" t="s">
        <v>27</v>
      </c>
      <c r="K356" s="2">
        <v>22000</v>
      </c>
      <c r="L356" s="2">
        <v>0</v>
      </c>
      <c r="M356" s="2">
        <v>1980</v>
      </c>
      <c r="N356" s="2">
        <v>1980</v>
      </c>
      <c r="O356" s="2">
        <v>0</v>
      </c>
      <c r="P356" s="7" t="s">
        <v>28</v>
      </c>
      <c r="Q356" s="1" t="s">
        <v>29</v>
      </c>
      <c r="R356" s="3" t="s">
        <v>45</v>
      </c>
      <c r="S356" s="1" t="s">
        <v>46</v>
      </c>
      <c r="T356" s="4" t="s">
        <v>31</v>
      </c>
      <c r="U356" s="7" t="s">
        <v>46</v>
      </c>
      <c r="V356" s="7" t="s">
        <v>46</v>
      </c>
      <c r="W356" s="7" t="s">
        <v>46</v>
      </c>
      <c r="X356" s="7" t="s">
        <v>1751</v>
      </c>
      <c r="Y356" s="10">
        <f t="shared" si="11"/>
        <v>3960</v>
      </c>
      <c r="AH356" s="5" t="e">
        <f>VLOOKUP(B356,[1]DL!$BK:$BP,6,0)</f>
        <v>#N/A</v>
      </c>
    </row>
    <row r="357" spans="1:34" ht="14.5" hidden="1">
      <c r="A357" s="5">
        <v>354</v>
      </c>
      <c r="B357" s="5" t="str">
        <f t="shared" si="10"/>
        <v>27AABCT3518Q1ZWMH26I00000103861</v>
      </c>
      <c r="C357" s="1" t="s">
        <v>674</v>
      </c>
      <c r="D357" s="1" t="s">
        <v>675</v>
      </c>
      <c r="E357" s="1" t="s">
        <v>676</v>
      </c>
      <c r="F357" s="1" t="s">
        <v>24</v>
      </c>
      <c r="G357" s="1" t="s">
        <v>125</v>
      </c>
      <c r="H357" s="2">
        <v>17261</v>
      </c>
      <c r="I357" s="1" t="s">
        <v>44</v>
      </c>
      <c r="J357" s="3" t="s">
        <v>27</v>
      </c>
      <c r="K357" s="2">
        <v>14628</v>
      </c>
      <c r="L357" s="2">
        <v>2633</v>
      </c>
      <c r="M357" s="2">
        <v>0</v>
      </c>
      <c r="N357" s="2">
        <v>0</v>
      </c>
      <c r="O357" s="2">
        <v>0</v>
      </c>
      <c r="P357" s="7" t="s">
        <v>28</v>
      </c>
      <c r="Q357" s="1" t="s">
        <v>484</v>
      </c>
      <c r="R357" s="3" t="s">
        <v>45</v>
      </c>
      <c r="S357" s="1" t="s">
        <v>46</v>
      </c>
      <c r="T357" s="4" t="s">
        <v>31</v>
      </c>
      <c r="U357" s="7" t="s">
        <v>46</v>
      </c>
      <c r="V357" s="7" t="s">
        <v>46</v>
      </c>
      <c r="W357" s="7" t="s">
        <v>46</v>
      </c>
      <c r="X357" s="7" t="s">
        <v>1751</v>
      </c>
      <c r="Y357" s="10">
        <f t="shared" si="11"/>
        <v>2633</v>
      </c>
      <c r="AH357" s="5" t="e">
        <f>VLOOKUP(B357,[1]DL!$BK:$BP,6,0)</f>
        <v>#N/A</v>
      </c>
    </row>
    <row r="358" spans="1:34" ht="14.5" hidden="1">
      <c r="A358" s="5">
        <v>355</v>
      </c>
      <c r="B358" s="5" t="str">
        <f t="shared" si="10"/>
        <v>27AABCT3518Q1ZWMH26I00000103863</v>
      </c>
      <c r="C358" s="1" t="s">
        <v>674</v>
      </c>
      <c r="D358" s="1" t="s">
        <v>675</v>
      </c>
      <c r="E358" s="1" t="s">
        <v>677</v>
      </c>
      <c r="F358" s="1" t="s">
        <v>24</v>
      </c>
      <c r="G358" s="1" t="s">
        <v>125</v>
      </c>
      <c r="H358" s="2">
        <v>5342</v>
      </c>
      <c r="I358" s="1" t="s">
        <v>44</v>
      </c>
      <c r="J358" s="3" t="s">
        <v>27</v>
      </c>
      <c r="K358" s="2">
        <v>4527</v>
      </c>
      <c r="L358" s="2">
        <v>815</v>
      </c>
      <c r="M358" s="2">
        <v>0</v>
      </c>
      <c r="N358" s="2">
        <v>0</v>
      </c>
      <c r="O358" s="2">
        <v>0</v>
      </c>
      <c r="P358" s="7" t="s">
        <v>28</v>
      </c>
      <c r="Q358" s="1" t="s">
        <v>484</v>
      </c>
      <c r="R358" s="3" t="s">
        <v>45</v>
      </c>
      <c r="S358" s="1" t="s">
        <v>46</v>
      </c>
      <c r="T358" s="4" t="s">
        <v>31</v>
      </c>
      <c r="U358" s="7" t="s">
        <v>46</v>
      </c>
      <c r="V358" s="7" t="s">
        <v>46</v>
      </c>
      <c r="W358" s="7" t="s">
        <v>46</v>
      </c>
      <c r="X358" s="7" t="s">
        <v>1751</v>
      </c>
      <c r="Y358" s="10">
        <f t="shared" si="11"/>
        <v>815</v>
      </c>
      <c r="AH358" s="5" t="e">
        <f>VLOOKUP(B358,[1]DL!$BK:$BP,6,0)</f>
        <v>#N/A</v>
      </c>
    </row>
    <row r="359" spans="1:34" ht="14.5" hidden="1">
      <c r="A359" s="5">
        <v>356</v>
      </c>
      <c r="B359" s="5" t="str">
        <f t="shared" si="10"/>
        <v>27AABCT3518Q1ZWMH26I00000103864</v>
      </c>
      <c r="C359" s="1" t="s">
        <v>674</v>
      </c>
      <c r="D359" s="1" t="s">
        <v>675</v>
      </c>
      <c r="E359" s="1" t="s">
        <v>678</v>
      </c>
      <c r="F359" s="1" t="s">
        <v>24</v>
      </c>
      <c r="G359" s="1" t="s">
        <v>125</v>
      </c>
      <c r="H359" s="2">
        <v>7226</v>
      </c>
      <c r="I359" s="1" t="s">
        <v>44</v>
      </c>
      <c r="J359" s="3" t="s">
        <v>27</v>
      </c>
      <c r="K359" s="2">
        <v>6124</v>
      </c>
      <c r="L359" s="2">
        <v>1102</v>
      </c>
      <c r="M359" s="2">
        <v>0</v>
      </c>
      <c r="N359" s="2">
        <v>0</v>
      </c>
      <c r="O359" s="2">
        <v>0</v>
      </c>
      <c r="P359" s="7" t="s">
        <v>28</v>
      </c>
      <c r="Q359" s="1" t="s">
        <v>484</v>
      </c>
      <c r="R359" s="3" t="s">
        <v>45</v>
      </c>
      <c r="S359" s="1" t="s">
        <v>46</v>
      </c>
      <c r="T359" s="4" t="s">
        <v>31</v>
      </c>
      <c r="U359" s="7" t="s">
        <v>46</v>
      </c>
      <c r="V359" s="7" t="s">
        <v>46</v>
      </c>
      <c r="W359" s="7" t="s">
        <v>46</v>
      </c>
      <c r="X359" s="7" t="s">
        <v>1751</v>
      </c>
      <c r="Y359" s="10">
        <f t="shared" si="11"/>
        <v>1102</v>
      </c>
      <c r="AH359" s="5" t="e">
        <f>VLOOKUP(B359,[1]DL!$BK:$BP,6,0)</f>
        <v>#N/A</v>
      </c>
    </row>
    <row r="360" spans="1:34" ht="14.5" hidden="1">
      <c r="A360" s="5">
        <v>357</v>
      </c>
      <c r="B360" s="5" t="str">
        <f t="shared" si="10"/>
        <v>27AABCT3518Q1ZWMH26I00000103865</v>
      </c>
      <c r="C360" s="1" t="s">
        <v>674</v>
      </c>
      <c r="D360" s="1" t="s">
        <v>675</v>
      </c>
      <c r="E360" s="1" t="s">
        <v>679</v>
      </c>
      <c r="F360" s="1" t="s">
        <v>24</v>
      </c>
      <c r="G360" s="1" t="s">
        <v>125</v>
      </c>
      <c r="H360" s="2">
        <v>7750</v>
      </c>
      <c r="I360" s="1" t="s">
        <v>44</v>
      </c>
      <c r="J360" s="3" t="s">
        <v>27</v>
      </c>
      <c r="K360" s="2">
        <v>6568</v>
      </c>
      <c r="L360" s="2">
        <v>1182</v>
      </c>
      <c r="M360" s="2">
        <v>0</v>
      </c>
      <c r="N360" s="2">
        <v>0</v>
      </c>
      <c r="O360" s="2">
        <v>0</v>
      </c>
      <c r="P360" s="7" t="s">
        <v>28</v>
      </c>
      <c r="Q360" s="1" t="s">
        <v>484</v>
      </c>
      <c r="R360" s="3" t="s">
        <v>45</v>
      </c>
      <c r="S360" s="1" t="s">
        <v>46</v>
      </c>
      <c r="T360" s="4" t="s">
        <v>31</v>
      </c>
      <c r="U360" s="7" t="s">
        <v>46</v>
      </c>
      <c r="V360" s="7" t="s">
        <v>46</v>
      </c>
      <c r="W360" s="7" t="s">
        <v>46</v>
      </c>
      <c r="X360" s="7" t="s">
        <v>1751</v>
      </c>
      <c r="Y360" s="10">
        <f t="shared" si="11"/>
        <v>1182</v>
      </c>
      <c r="AH360" s="5" t="e">
        <f>VLOOKUP(B360,[1]DL!$BK:$BP,6,0)</f>
        <v>#N/A</v>
      </c>
    </row>
    <row r="361" spans="1:34" ht="14.5" hidden="1">
      <c r="A361" s="5">
        <v>358</v>
      </c>
      <c r="B361" s="5" t="str">
        <f t="shared" si="10"/>
        <v>27AABCT3518Q1ZWMH26I00000110397</v>
      </c>
      <c r="C361" s="1" t="s">
        <v>674</v>
      </c>
      <c r="D361" s="1" t="s">
        <v>675</v>
      </c>
      <c r="E361" s="1" t="s">
        <v>680</v>
      </c>
      <c r="F361" s="1" t="s">
        <v>24</v>
      </c>
      <c r="G361" s="1" t="s">
        <v>125</v>
      </c>
      <c r="H361" s="2">
        <v>3427</v>
      </c>
      <c r="I361" s="1" t="s">
        <v>44</v>
      </c>
      <c r="J361" s="3" t="s">
        <v>27</v>
      </c>
      <c r="K361" s="2">
        <v>2904</v>
      </c>
      <c r="L361" s="2">
        <v>523</v>
      </c>
      <c r="M361" s="2">
        <v>0</v>
      </c>
      <c r="N361" s="2">
        <v>0</v>
      </c>
      <c r="O361" s="2">
        <v>0</v>
      </c>
      <c r="P361" s="7" t="s">
        <v>28</v>
      </c>
      <c r="Q361" s="1" t="s">
        <v>484</v>
      </c>
      <c r="R361" s="3" t="s">
        <v>45</v>
      </c>
      <c r="S361" s="1" t="s">
        <v>46</v>
      </c>
      <c r="T361" s="4" t="s">
        <v>31</v>
      </c>
      <c r="U361" s="7" t="s">
        <v>46</v>
      </c>
      <c r="V361" s="7" t="s">
        <v>46</v>
      </c>
      <c r="W361" s="7" t="s">
        <v>46</v>
      </c>
      <c r="X361" s="7" t="s">
        <v>1751</v>
      </c>
      <c r="Y361" s="10">
        <f t="shared" si="11"/>
        <v>523</v>
      </c>
      <c r="AH361" s="5" t="e">
        <f>VLOOKUP(B361,[1]DL!$BK:$BP,6,0)</f>
        <v>#N/A</v>
      </c>
    </row>
    <row r="362" spans="1:34" ht="14.5" hidden="1">
      <c r="A362" s="5">
        <v>359</v>
      </c>
      <c r="B362" s="5" t="str">
        <f t="shared" si="10"/>
        <v>27AABCT3518Q1ZWMH26I00000114614</v>
      </c>
      <c r="C362" s="1" t="s">
        <v>674</v>
      </c>
      <c r="D362" s="1" t="s">
        <v>675</v>
      </c>
      <c r="E362" s="1" t="s">
        <v>681</v>
      </c>
      <c r="F362" s="1" t="s">
        <v>24</v>
      </c>
      <c r="G362" s="1" t="s">
        <v>125</v>
      </c>
      <c r="H362" s="2">
        <v>5579</v>
      </c>
      <c r="I362" s="1" t="s">
        <v>44</v>
      </c>
      <c r="J362" s="3" t="s">
        <v>27</v>
      </c>
      <c r="K362" s="2">
        <v>4728</v>
      </c>
      <c r="L362" s="2">
        <v>851</v>
      </c>
      <c r="M362" s="2">
        <v>0</v>
      </c>
      <c r="N362" s="2">
        <v>0</v>
      </c>
      <c r="O362" s="2">
        <v>0</v>
      </c>
      <c r="P362" s="7" t="s">
        <v>28</v>
      </c>
      <c r="Q362" s="1" t="s">
        <v>484</v>
      </c>
      <c r="R362" s="3" t="s">
        <v>45</v>
      </c>
      <c r="S362" s="1" t="s">
        <v>46</v>
      </c>
      <c r="T362" s="4" t="s">
        <v>31</v>
      </c>
      <c r="U362" s="7" t="s">
        <v>46</v>
      </c>
      <c r="V362" s="7" t="s">
        <v>46</v>
      </c>
      <c r="W362" s="7" t="s">
        <v>46</v>
      </c>
      <c r="X362" s="7" t="s">
        <v>1751</v>
      </c>
      <c r="Y362" s="10">
        <f t="shared" si="11"/>
        <v>851</v>
      </c>
      <c r="AH362" s="5" t="e">
        <f>VLOOKUP(B362,[1]DL!$BK:$BP,6,0)</f>
        <v>#N/A</v>
      </c>
    </row>
    <row r="363" spans="1:34" ht="14.5" hidden="1">
      <c r="A363" s="5">
        <v>360</v>
      </c>
      <c r="B363" s="5" t="str">
        <f t="shared" si="10"/>
        <v>27AABCT3518Q1ZWMH26I00000115278</v>
      </c>
      <c r="C363" s="1" t="s">
        <v>674</v>
      </c>
      <c r="D363" s="1" t="s">
        <v>675</v>
      </c>
      <c r="E363" s="1" t="s">
        <v>682</v>
      </c>
      <c r="F363" s="1" t="s">
        <v>24</v>
      </c>
      <c r="G363" s="1" t="s">
        <v>125</v>
      </c>
      <c r="H363" s="2">
        <v>7786</v>
      </c>
      <c r="I363" s="1" t="s">
        <v>44</v>
      </c>
      <c r="J363" s="3" t="s">
        <v>27</v>
      </c>
      <c r="K363" s="2">
        <v>6598</v>
      </c>
      <c r="L363" s="2">
        <v>1188</v>
      </c>
      <c r="M363" s="2">
        <v>0</v>
      </c>
      <c r="N363" s="2">
        <v>0</v>
      </c>
      <c r="O363" s="2">
        <v>0</v>
      </c>
      <c r="P363" s="7" t="s">
        <v>28</v>
      </c>
      <c r="Q363" s="1" t="s">
        <v>484</v>
      </c>
      <c r="R363" s="3" t="s">
        <v>45</v>
      </c>
      <c r="S363" s="1" t="s">
        <v>46</v>
      </c>
      <c r="T363" s="4" t="s">
        <v>31</v>
      </c>
      <c r="U363" s="7" t="s">
        <v>46</v>
      </c>
      <c r="V363" s="7" t="s">
        <v>46</v>
      </c>
      <c r="W363" s="7" t="s">
        <v>46</v>
      </c>
      <c r="X363" s="7" t="s">
        <v>1751</v>
      </c>
      <c r="Y363" s="10">
        <f t="shared" si="11"/>
        <v>1188</v>
      </c>
      <c r="AH363" s="5" t="e">
        <f>VLOOKUP(B363,[1]DL!$BK:$BP,6,0)</f>
        <v>#N/A</v>
      </c>
    </row>
    <row r="364" spans="1:34" ht="14.5" hidden="1">
      <c r="A364" s="5">
        <v>361</v>
      </c>
      <c r="B364" s="5" t="str">
        <f t="shared" si="10"/>
        <v>27AABCT3518Q1ZWMH26I00000115556</v>
      </c>
      <c r="C364" s="1" t="s">
        <v>674</v>
      </c>
      <c r="D364" s="1" t="s">
        <v>675</v>
      </c>
      <c r="E364" s="1" t="s">
        <v>683</v>
      </c>
      <c r="F364" s="1" t="s">
        <v>24</v>
      </c>
      <c r="G364" s="1" t="s">
        <v>125</v>
      </c>
      <c r="H364" s="2">
        <v>11071</v>
      </c>
      <c r="I364" s="1" t="s">
        <v>44</v>
      </c>
      <c r="J364" s="3" t="s">
        <v>27</v>
      </c>
      <c r="K364" s="2">
        <v>9382</v>
      </c>
      <c r="L364" s="2">
        <v>1689</v>
      </c>
      <c r="M364" s="2">
        <v>0</v>
      </c>
      <c r="N364" s="2">
        <v>0</v>
      </c>
      <c r="O364" s="2">
        <v>0</v>
      </c>
      <c r="P364" s="7" t="s">
        <v>28</v>
      </c>
      <c r="Q364" s="1" t="s">
        <v>484</v>
      </c>
      <c r="R364" s="3" t="s">
        <v>45</v>
      </c>
      <c r="S364" s="1" t="s">
        <v>46</v>
      </c>
      <c r="T364" s="4" t="s">
        <v>31</v>
      </c>
      <c r="U364" s="7" t="s">
        <v>46</v>
      </c>
      <c r="V364" s="7" t="s">
        <v>46</v>
      </c>
      <c r="W364" s="7" t="s">
        <v>46</v>
      </c>
      <c r="X364" s="7" t="s">
        <v>1751</v>
      </c>
      <c r="Y364" s="10">
        <f t="shared" si="11"/>
        <v>1689</v>
      </c>
      <c r="AH364" s="5" t="e">
        <f>VLOOKUP(B364,[1]DL!$BK:$BP,6,0)</f>
        <v>#N/A</v>
      </c>
    </row>
    <row r="365" spans="1:34" ht="14.5" hidden="1">
      <c r="A365" s="5">
        <v>362</v>
      </c>
      <c r="B365" s="5" t="str">
        <f t="shared" si="10"/>
        <v>27AABCT3518Q1ZWMH26I00000115617</v>
      </c>
      <c r="C365" s="1" t="s">
        <v>674</v>
      </c>
      <c r="D365" s="1" t="s">
        <v>675</v>
      </c>
      <c r="E365" s="1" t="s">
        <v>684</v>
      </c>
      <c r="F365" s="1" t="s">
        <v>24</v>
      </c>
      <c r="G365" s="1" t="s">
        <v>125</v>
      </c>
      <c r="H365" s="2">
        <v>11231</v>
      </c>
      <c r="I365" s="1" t="s">
        <v>44</v>
      </c>
      <c r="J365" s="3" t="s">
        <v>27</v>
      </c>
      <c r="K365" s="2">
        <v>9518</v>
      </c>
      <c r="L365" s="2">
        <v>1713</v>
      </c>
      <c r="M365" s="2">
        <v>0</v>
      </c>
      <c r="N365" s="2">
        <v>0</v>
      </c>
      <c r="O365" s="2">
        <v>0</v>
      </c>
      <c r="P365" s="7" t="s">
        <v>28</v>
      </c>
      <c r="Q365" s="1" t="s">
        <v>484</v>
      </c>
      <c r="R365" s="3" t="s">
        <v>45</v>
      </c>
      <c r="S365" s="1" t="s">
        <v>46</v>
      </c>
      <c r="T365" s="4" t="s">
        <v>31</v>
      </c>
      <c r="U365" s="7" t="s">
        <v>46</v>
      </c>
      <c r="V365" s="7" t="s">
        <v>46</v>
      </c>
      <c r="W365" s="7" t="s">
        <v>46</v>
      </c>
      <c r="X365" s="7" t="s">
        <v>1751</v>
      </c>
      <c r="Y365" s="10">
        <f t="shared" si="11"/>
        <v>1713</v>
      </c>
      <c r="AH365" s="5" t="e">
        <f>VLOOKUP(B365,[1]DL!$BK:$BP,6,0)</f>
        <v>#N/A</v>
      </c>
    </row>
    <row r="366" spans="1:34" ht="14.5" hidden="1">
      <c r="A366" s="5">
        <v>363</v>
      </c>
      <c r="B366" s="5" t="str">
        <f t="shared" si="10"/>
        <v>27AABCT3518Q1ZWMH26I00000116097</v>
      </c>
      <c r="C366" s="1" t="s">
        <v>674</v>
      </c>
      <c r="D366" s="1" t="s">
        <v>675</v>
      </c>
      <c r="E366" s="1" t="s">
        <v>685</v>
      </c>
      <c r="F366" s="1" t="s">
        <v>24</v>
      </c>
      <c r="G366" s="1" t="s">
        <v>125</v>
      </c>
      <c r="H366" s="2">
        <v>11727</v>
      </c>
      <c r="I366" s="1" t="s">
        <v>44</v>
      </c>
      <c r="J366" s="3" t="s">
        <v>27</v>
      </c>
      <c r="K366" s="2">
        <v>9938</v>
      </c>
      <c r="L366" s="2">
        <v>1789</v>
      </c>
      <c r="M366" s="2">
        <v>0</v>
      </c>
      <c r="N366" s="2">
        <v>0</v>
      </c>
      <c r="O366" s="2">
        <v>0</v>
      </c>
      <c r="P366" s="7" t="s">
        <v>28</v>
      </c>
      <c r="Q366" s="1" t="s">
        <v>484</v>
      </c>
      <c r="R366" s="3" t="s">
        <v>45</v>
      </c>
      <c r="S366" s="1" t="s">
        <v>46</v>
      </c>
      <c r="T366" s="4" t="s">
        <v>31</v>
      </c>
      <c r="U366" s="7" t="s">
        <v>46</v>
      </c>
      <c r="V366" s="7" t="s">
        <v>46</v>
      </c>
      <c r="W366" s="7" t="s">
        <v>46</v>
      </c>
      <c r="X366" s="7" t="s">
        <v>1751</v>
      </c>
      <c r="Y366" s="10">
        <f t="shared" si="11"/>
        <v>1789</v>
      </c>
      <c r="AH366" s="5" t="e">
        <f>VLOOKUP(B366,[1]DL!$BK:$BP,6,0)</f>
        <v>#N/A</v>
      </c>
    </row>
    <row r="367" spans="1:34" ht="14.5" hidden="1">
      <c r="A367" s="5">
        <v>364</v>
      </c>
      <c r="B367" s="5" t="str">
        <f t="shared" si="10"/>
        <v>27AABCT3518Q1ZWMH26I00000116462</v>
      </c>
      <c r="C367" s="1" t="s">
        <v>674</v>
      </c>
      <c r="D367" s="1" t="s">
        <v>675</v>
      </c>
      <c r="E367" s="1" t="s">
        <v>686</v>
      </c>
      <c r="F367" s="1" t="s">
        <v>24</v>
      </c>
      <c r="G367" s="1" t="s">
        <v>125</v>
      </c>
      <c r="H367" s="2">
        <v>12652</v>
      </c>
      <c r="I367" s="1" t="s">
        <v>44</v>
      </c>
      <c r="J367" s="3" t="s">
        <v>27</v>
      </c>
      <c r="K367" s="2">
        <v>10722</v>
      </c>
      <c r="L367" s="2">
        <v>1930</v>
      </c>
      <c r="M367" s="2">
        <v>0</v>
      </c>
      <c r="N367" s="2">
        <v>0</v>
      </c>
      <c r="O367" s="2">
        <v>0</v>
      </c>
      <c r="P367" s="7" t="s">
        <v>28</v>
      </c>
      <c r="Q367" s="1" t="s">
        <v>484</v>
      </c>
      <c r="R367" s="3" t="s">
        <v>45</v>
      </c>
      <c r="S367" s="1" t="s">
        <v>46</v>
      </c>
      <c r="T367" s="4" t="s">
        <v>31</v>
      </c>
      <c r="U367" s="7" t="s">
        <v>46</v>
      </c>
      <c r="V367" s="7" t="s">
        <v>46</v>
      </c>
      <c r="W367" s="7" t="s">
        <v>46</v>
      </c>
      <c r="X367" s="7" t="s">
        <v>1751</v>
      </c>
      <c r="Y367" s="10">
        <f t="shared" si="11"/>
        <v>1930</v>
      </c>
      <c r="AH367" s="5" t="e">
        <f>VLOOKUP(B367,[1]DL!$BK:$BP,6,0)</f>
        <v>#N/A</v>
      </c>
    </row>
    <row r="368" spans="1:34" ht="14.5" hidden="1">
      <c r="A368" s="5">
        <v>365</v>
      </c>
      <c r="B368" s="5" t="str">
        <f t="shared" si="10"/>
        <v>27AABCT3518Q1ZWMH26I00000116554</v>
      </c>
      <c r="C368" s="1" t="s">
        <v>674</v>
      </c>
      <c r="D368" s="1" t="s">
        <v>675</v>
      </c>
      <c r="E368" s="1" t="s">
        <v>687</v>
      </c>
      <c r="F368" s="1" t="s">
        <v>24</v>
      </c>
      <c r="G368" s="1" t="s">
        <v>125</v>
      </c>
      <c r="H368" s="2">
        <v>4237</v>
      </c>
      <c r="I368" s="1" t="s">
        <v>44</v>
      </c>
      <c r="J368" s="3" t="s">
        <v>27</v>
      </c>
      <c r="K368" s="2">
        <v>3591</v>
      </c>
      <c r="L368" s="2">
        <v>646</v>
      </c>
      <c r="M368" s="2">
        <v>0</v>
      </c>
      <c r="N368" s="2">
        <v>0</v>
      </c>
      <c r="O368" s="2">
        <v>0</v>
      </c>
      <c r="P368" s="7" t="s">
        <v>28</v>
      </c>
      <c r="Q368" s="1" t="s">
        <v>484</v>
      </c>
      <c r="R368" s="3" t="s">
        <v>45</v>
      </c>
      <c r="S368" s="1" t="s">
        <v>46</v>
      </c>
      <c r="T368" s="4" t="s">
        <v>31</v>
      </c>
      <c r="U368" s="7" t="s">
        <v>46</v>
      </c>
      <c r="V368" s="7" t="s">
        <v>46</v>
      </c>
      <c r="W368" s="7" t="s">
        <v>46</v>
      </c>
      <c r="X368" s="7" t="s">
        <v>1751</v>
      </c>
      <c r="Y368" s="10">
        <f t="shared" si="11"/>
        <v>646</v>
      </c>
      <c r="AH368" s="5" t="e">
        <f>VLOOKUP(B368,[1]DL!$BK:$BP,6,0)</f>
        <v>#N/A</v>
      </c>
    </row>
    <row r="369" spans="1:34" ht="14.5" hidden="1">
      <c r="A369" s="5">
        <v>366</v>
      </c>
      <c r="B369" s="5" t="str">
        <f t="shared" si="10"/>
        <v>27AABCT3518Q1ZWMH26I00000116720</v>
      </c>
      <c r="C369" s="1" t="s">
        <v>674</v>
      </c>
      <c r="D369" s="1" t="s">
        <v>675</v>
      </c>
      <c r="E369" s="1" t="s">
        <v>688</v>
      </c>
      <c r="F369" s="1" t="s">
        <v>24</v>
      </c>
      <c r="G369" s="1" t="s">
        <v>125</v>
      </c>
      <c r="H369" s="2">
        <v>11661</v>
      </c>
      <c r="I369" s="1" t="s">
        <v>44</v>
      </c>
      <c r="J369" s="3" t="s">
        <v>27</v>
      </c>
      <c r="K369" s="2">
        <v>9882</v>
      </c>
      <c r="L369" s="2">
        <v>1779</v>
      </c>
      <c r="M369" s="2">
        <v>0</v>
      </c>
      <c r="N369" s="2">
        <v>0</v>
      </c>
      <c r="O369" s="2">
        <v>0</v>
      </c>
      <c r="P369" s="7" t="s">
        <v>28</v>
      </c>
      <c r="Q369" s="1" t="s">
        <v>484</v>
      </c>
      <c r="R369" s="3" t="s">
        <v>45</v>
      </c>
      <c r="S369" s="1" t="s">
        <v>46</v>
      </c>
      <c r="T369" s="4" t="s">
        <v>31</v>
      </c>
      <c r="U369" s="7" t="s">
        <v>46</v>
      </c>
      <c r="V369" s="7" t="s">
        <v>46</v>
      </c>
      <c r="W369" s="7" t="s">
        <v>46</v>
      </c>
      <c r="X369" s="7" t="s">
        <v>1751</v>
      </c>
      <c r="Y369" s="10">
        <f t="shared" si="11"/>
        <v>1779</v>
      </c>
      <c r="AH369" s="5" t="e">
        <f>VLOOKUP(B369,[1]DL!$BK:$BP,6,0)</f>
        <v>#N/A</v>
      </c>
    </row>
    <row r="370" spans="1:34" ht="14.5" hidden="1">
      <c r="A370" s="5">
        <v>367</v>
      </c>
      <c r="B370" s="5" t="str">
        <f t="shared" si="10"/>
        <v>27AABCT3518Q1ZWMH26I00000116815</v>
      </c>
      <c r="C370" s="1" t="s">
        <v>674</v>
      </c>
      <c r="D370" s="1" t="s">
        <v>675</v>
      </c>
      <c r="E370" s="1" t="s">
        <v>689</v>
      </c>
      <c r="F370" s="1" t="s">
        <v>24</v>
      </c>
      <c r="G370" s="1" t="s">
        <v>125</v>
      </c>
      <c r="H370" s="2">
        <v>5467</v>
      </c>
      <c r="I370" s="1" t="s">
        <v>44</v>
      </c>
      <c r="J370" s="3" t="s">
        <v>27</v>
      </c>
      <c r="K370" s="2">
        <v>4633</v>
      </c>
      <c r="L370" s="2">
        <v>834</v>
      </c>
      <c r="M370" s="2">
        <v>0</v>
      </c>
      <c r="N370" s="2">
        <v>0</v>
      </c>
      <c r="O370" s="2">
        <v>0</v>
      </c>
      <c r="P370" s="7" t="s">
        <v>28</v>
      </c>
      <c r="Q370" s="1" t="s">
        <v>484</v>
      </c>
      <c r="R370" s="3" t="s">
        <v>45</v>
      </c>
      <c r="S370" s="1" t="s">
        <v>46</v>
      </c>
      <c r="T370" s="4" t="s">
        <v>31</v>
      </c>
      <c r="U370" s="7" t="s">
        <v>46</v>
      </c>
      <c r="V370" s="7" t="s">
        <v>46</v>
      </c>
      <c r="W370" s="7" t="s">
        <v>46</v>
      </c>
      <c r="X370" s="7" t="s">
        <v>1751</v>
      </c>
      <c r="Y370" s="10">
        <f t="shared" si="11"/>
        <v>834</v>
      </c>
      <c r="AH370" s="5" t="e">
        <f>VLOOKUP(B370,[1]DL!$BK:$BP,6,0)</f>
        <v>#N/A</v>
      </c>
    </row>
    <row r="371" spans="1:34" ht="14.5" hidden="1">
      <c r="A371" s="5">
        <v>368</v>
      </c>
      <c r="B371" s="5" t="str">
        <f t="shared" si="10"/>
        <v>27AABCT3518Q1ZWMH26I00000117098</v>
      </c>
      <c r="C371" s="1" t="s">
        <v>674</v>
      </c>
      <c r="D371" s="1" t="s">
        <v>675</v>
      </c>
      <c r="E371" s="1" t="s">
        <v>690</v>
      </c>
      <c r="F371" s="1" t="s">
        <v>24</v>
      </c>
      <c r="G371" s="1" t="s">
        <v>125</v>
      </c>
      <c r="H371" s="2">
        <v>12611</v>
      </c>
      <c r="I371" s="1" t="s">
        <v>44</v>
      </c>
      <c r="J371" s="3" t="s">
        <v>27</v>
      </c>
      <c r="K371" s="2">
        <v>10687</v>
      </c>
      <c r="L371" s="2">
        <v>1924</v>
      </c>
      <c r="M371" s="2">
        <v>0</v>
      </c>
      <c r="N371" s="2">
        <v>0</v>
      </c>
      <c r="O371" s="2">
        <v>0</v>
      </c>
      <c r="P371" s="7" t="s">
        <v>28</v>
      </c>
      <c r="Q371" s="1" t="s">
        <v>484</v>
      </c>
      <c r="R371" s="3" t="s">
        <v>45</v>
      </c>
      <c r="S371" s="1" t="s">
        <v>46</v>
      </c>
      <c r="T371" s="4" t="s">
        <v>31</v>
      </c>
      <c r="U371" s="7" t="s">
        <v>46</v>
      </c>
      <c r="V371" s="7" t="s">
        <v>46</v>
      </c>
      <c r="W371" s="7" t="s">
        <v>46</v>
      </c>
      <c r="X371" s="7" t="s">
        <v>1751</v>
      </c>
      <c r="Y371" s="10">
        <f t="shared" si="11"/>
        <v>1924</v>
      </c>
      <c r="AH371" s="5" t="e">
        <f>VLOOKUP(B371,[1]DL!$BK:$BP,6,0)</f>
        <v>#N/A</v>
      </c>
    </row>
    <row r="372" spans="1:34" ht="14.5" hidden="1">
      <c r="A372" s="5">
        <v>369</v>
      </c>
      <c r="B372" s="5" t="str">
        <f t="shared" si="10"/>
        <v>27AABCT3518Q1ZWMH26I00000117768</v>
      </c>
      <c r="C372" s="1" t="s">
        <v>674</v>
      </c>
      <c r="D372" s="1" t="s">
        <v>675</v>
      </c>
      <c r="E372" s="1" t="s">
        <v>691</v>
      </c>
      <c r="F372" s="1" t="s">
        <v>24</v>
      </c>
      <c r="G372" s="1" t="s">
        <v>125</v>
      </c>
      <c r="H372" s="2">
        <v>6265</v>
      </c>
      <c r="I372" s="1" t="s">
        <v>44</v>
      </c>
      <c r="J372" s="3" t="s">
        <v>27</v>
      </c>
      <c r="K372" s="2">
        <v>5309</v>
      </c>
      <c r="L372" s="2">
        <v>956</v>
      </c>
      <c r="M372" s="2">
        <v>0</v>
      </c>
      <c r="N372" s="2">
        <v>0</v>
      </c>
      <c r="O372" s="2">
        <v>0</v>
      </c>
      <c r="P372" s="7" t="s">
        <v>28</v>
      </c>
      <c r="Q372" s="1" t="s">
        <v>484</v>
      </c>
      <c r="R372" s="3" t="s">
        <v>45</v>
      </c>
      <c r="S372" s="1" t="s">
        <v>46</v>
      </c>
      <c r="T372" s="4" t="s">
        <v>31</v>
      </c>
      <c r="U372" s="7" t="s">
        <v>46</v>
      </c>
      <c r="V372" s="7" t="s">
        <v>46</v>
      </c>
      <c r="W372" s="7" t="s">
        <v>46</v>
      </c>
      <c r="X372" s="7" t="s">
        <v>1751</v>
      </c>
      <c r="Y372" s="10">
        <f t="shared" si="11"/>
        <v>956</v>
      </c>
      <c r="AH372" s="5" t="e">
        <f>VLOOKUP(B372,[1]DL!$BK:$BP,6,0)</f>
        <v>#N/A</v>
      </c>
    </row>
    <row r="373" spans="1:34" ht="14.5" hidden="1">
      <c r="A373" s="5">
        <v>370</v>
      </c>
      <c r="B373" s="5" t="str">
        <f t="shared" si="10"/>
        <v>27AABCT3518Q1ZWMH26I00000117809</v>
      </c>
      <c r="C373" s="1" t="s">
        <v>674</v>
      </c>
      <c r="D373" s="1" t="s">
        <v>675</v>
      </c>
      <c r="E373" s="1" t="s">
        <v>692</v>
      </c>
      <c r="F373" s="1" t="s">
        <v>24</v>
      </c>
      <c r="G373" s="1" t="s">
        <v>125</v>
      </c>
      <c r="H373" s="2">
        <v>6033</v>
      </c>
      <c r="I373" s="1" t="s">
        <v>44</v>
      </c>
      <c r="J373" s="3" t="s">
        <v>27</v>
      </c>
      <c r="K373" s="2">
        <v>5113</v>
      </c>
      <c r="L373" s="2">
        <v>920</v>
      </c>
      <c r="M373" s="2">
        <v>0</v>
      </c>
      <c r="N373" s="2">
        <v>0</v>
      </c>
      <c r="O373" s="2">
        <v>0</v>
      </c>
      <c r="P373" s="7" t="s">
        <v>28</v>
      </c>
      <c r="Q373" s="1" t="s">
        <v>484</v>
      </c>
      <c r="R373" s="3" t="s">
        <v>45</v>
      </c>
      <c r="S373" s="1" t="s">
        <v>46</v>
      </c>
      <c r="T373" s="4" t="s">
        <v>31</v>
      </c>
      <c r="U373" s="7" t="s">
        <v>46</v>
      </c>
      <c r="V373" s="7" t="s">
        <v>46</v>
      </c>
      <c r="W373" s="7" t="s">
        <v>46</v>
      </c>
      <c r="X373" s="7" t="s">
        <v>1751</v>
      </c>
      <c r="Y373" s="10">
        <f t="shared" si="11"/>
        <v>920</v>
      </c>
      <c r="AH373" s="5" t="e">
        <f>VLOOKUP(B373,[1]DL!$BK:$BP,6,0)</f>
        <v>#N/A</v>
      </c>
    </row>
    <row r="374" spans="1:34" ht="14.5" hidden="1">
      <c r="A374" s="5">
        <v>371</v>
      </c>
      <c r="B374" s="5" t="str">
        <f t="shared" si="10"/>
        <v>27AABCT3518Q1ZWMH26I00000117846</v>
      </c>
      <c r="C374" s="1" t="s">
        <v>674</v>
      </c>
      <c r="D374" s="1" t="s">
        <v>675</v>
      </c>
      <c r="E374" s="1" t="s">
        <v>693</v>
      </c>
      <c r="F374" s="1" t="s">
        <v>24</v>
      </c>
      <c r="G374" s="1" t="s">
        <v>125</v>
      </c>
      <c r="H374" s="2">
        <v>5499</v>
      </c>
      <c r="I374" s="1" t="s">
        <v>44</v>
      </c>
      <c r="J374" s="3" t="s">
        <v>27</v>
      </c>
      <c r="K374" s="2">
        <v>4660</v>
      </c>
      <c r="L374" s="2">
        <v>839</v>
      </c>
      <c r="M374" s="2">
        <v>0</v>
      </c>
      <c r="N374" s="2">
        <v>0</v>
      </c>
      <c r="O374" s="2">
        <v>0</v>
      </c>
      <c r="P374" s="7" t="s">
        <v>28</v>
      </c>
      <c r="Q374" s="1" t="s">
        <v>484</v>
      </c>
      <c r="R374" s="3" t="s">
        <v>45</v>
      </c>
      <c r="S374" s="1" t="s">
        <v>46</v>
      </c>
      <c r="T374" s="4" t="s">
        <v>31</v>
      </c>
      <c r="U374" s="7" t="s">
        <v>46</v>
      </c>
      <c r="V374" s="7" t="s">
        <v>46</v>
      </c>
      <c r="W374" s="7" t="s">
        <v>46</v>
      </c>
      <c r="X374" s="7" t="s">
        <v>1751</v>
      </c>
      <c r="Y374" s="10">
        <f t="shared" si="11"/>
        <v>839</v>
      </c>
      <c r="AH374" s="5" t="e">
        <f>VLOOKUP(B374,[1]DL!$BK:$BP,6,0)</f>
        <v>#N/A</v>
      </c>
    </row>
    <row r="375" spans="1:34" ht="14.5" hidden="1">
      <c r="A375" s="5">
        <v>372</v>
      </c>
      <c r="B375" s="5" t="str">
        <f t="shared" si="10"/>
        <v>27AABCT3518Q1ZWMH26I00000120550</v>
      </c>
      <c r="C375" s="1" t="s">
        <v>674</v>
      </c>
      <c r="D375" s="1" t="s">
        <v>675</v>
      </c>
      <c r="E375" s="1" t="s">
        <v>694</v>
      </c>
      <c r="F375" s="1" t="s">
        <v>24</v>
      </c>
      <c r="G375" s="1" t="s">
        <v>628</v>
      </c>
      <c r="H375" s="2">
        <v>10928</v>
      </c>
      <c r="I375" s="1" t="s">
        <v>44</v>
      </c>
      <c r="J375" s="3" t="s">
        <v>27</v>
      </c>
      <c r="K375" s="2">
        <v>9261</v>
      </c>
      <c r="L375" s="2">
        <v>1667</v>
      </c>
      <c r="M375" s="2">
        <v>0</v>
      </c>
      <c r="N375" s="2">
        <v>0</v>
      </c>
      <c r="O375" s="2">
        <v>0</v>
      </c>
      <c r="P375" s="7" t="s">
        <v>28</v>
      </c>
      <c r="Q375" s="1" t="s">
        <v>484</v>
      </c>
      <c r="R375" s="3" t="s">
        <v>45</v>
      </c>
      <c r="S375" s="1" t="s">
        <v>46</v>
      </c>
      <c r="T375" s="4" t="s">
        <v>31</v>
      </c>
      <c r="U375" s="7" t="s">
        <v>46</v>
      </c>
      <c r="V375" s="7" t="s">
        <v>46</v>
      </c>
      <c r="W375" s="7" t="s">
        <v>46</v>
      </c>
      <c r="X375" s="7" t="s">
        <v>1751</v>
      </c>
      <c r="Y375" s="10">
        <f t="shared" si="11"/>
        <v>1667</v>
      </c>
      <c r="AH375" s="5" t="e">
        <f>VLOOKUP(B375,[1]DL!$BK:$BP,6,0)</f>
        <v>#N/A</v>
      </c>
    </row>
    <row r="376" spans="1:34" ht="14.5" hidden="1">
      <c r="A376" s="5">
        <v>373</v>
      </c>
      <c r="B376" s="5" t="str">
        <f t="shared" si="10"/>
        <v>27AABCT3518Q1ZWMH26I00000123733</v>
      </c>
      <c r="C376" s="1" t="s">
        <v>674</v>
      </c>
      <c r="D376" s="1" t="s">
        <v>675</v>
      </c>
      <c r="E376" s="1" t="s">
        <v>695</v>
      </c>
      <c r="F376" s="1" t="s">
        <v>24</v>
      </c>
      <c r="G376" s="1" t="s">
        <v>628</v>
      </c>
      <c r="H376" s="2">
        <v>2528</v>
      </c>
      <c r="I376" s="1" t="s">
        <v>44</v>
      </c>
      <c r="J376" s="3" t="s">
        <v>27</v>
      </c>
      <c r="K376" s="2">
        <v>2142</v>
      </c>
      <c r="L376" s="2">
        <v>386</v>
      </c>
      <c r="M376" s="2">
        <v>0</v>
      </c>
      <c r="N376" s="2">
        <v>0</v>
      </c>
      <c r="O376" s="2">
        <v>0</v>
      </c>
      <c r="P376" s="7" t="s">
        <v>28</v>
      </c>
      <c r="Q376" s="1" t="s">
        <v>484</v>
      </c>
      <c r="R376" s="3" t="s">
        <v>45</v>
      </c>
      <c r="S376" s="1" t="s">
        <v>46</v>
      </c>
      <c r="T376" s="4" t="s">
        <v>31</v>
      </c>
      <c r="U376" s="7" t="s">
        <v>46</v>
      </c>
      <c r="V376" s="7" t="s">
        <v>46</v>
      </c>
      <c r="W376" s="7" t="s">
        <v>46</v>
      </c>
      <c r="X376" s="7" t="s">
        <v>1751</v>
      </c>
      <c r="Y376" s="10">
        <f t="shared" si="11"/>
        <v>386</v>
      </c>
      <c r="AH376" s="5" t="e">
        <f>VLOOKUP(B376,[1]DL!$BK:$BP,6,0)</f>
        <v>#N/A</v>
      </c>
    </row>
    <row r="377" spans="1:34" ht="14.5" hidden="1">
      <c r="A377" s="5">
        <v>374</v>
      </c>
      <c r="B377" s="5" t="str">
        <f t="shared" si="10"/>
        <v>27AABCT3518Q1ZWMH26I00000125412</v>
      </c>
      <c r="C377" s="1" t="s">
        <v>674</v>
      </c>
      <c r="D377" s="1" t="s">
        <v>675</v>
      </c>
      <c r="E377" s="1" t="s">
        <v>696</v>
      </c>
      <c r="F377" s="1" t="s">
        <v>24</v>
      </c>
      <c r="G377" s="1" t="s">
        <v>628</v>
      </c>
      <c r="H377" s="2">
        <v>1094</v>
      </c>
      <c r="I377" s="1" t="s">
        <v>44</v>
      </c>
      <c r="J377" s="3" t="s">
        <v>27</v>
      </c>
      <c r="K377" s="2">
        <v>927</v>
      </c>
      <c r="L377" s="2">
        <v>167</v>
      </c>
      <c r="M377" s="2">
        <v>0</v>
      </c>
      <c r="N377" s="2">
        <v>0</v>
      </c>
      <c r="O377" s="2">
        <v>0</v>
      </c>
      <c r="P377" s="7" t="s">
        <v>28</v>
      </c>
      <c r="Q377" s="1" t="s">
        <v>484</v>
      </c>
      <c r="R377" s="3" t="s">
        <v>45</v>
      </c>
      <c r="S377" s="1" t="s">
        <v>46</v>
      </c>
      <c r="T377" s="4" t="s">
        <v>31</v>
      </c>
      <c r="U377" s="7" t="s">
        <v>46</v>
      </c>
      <c r="V377" s="7" t="s">
        <v>46</v>
      </c>
      <c r="W377" s="7" t="s">
        <v>46</v>
      </c>
      <c r="X377" s="7" t="s">
        <v>1751</v>
      </c>
      <c r="Y377" s="10">
        <f t="shared" si="11"/>
        <v>167</v>
      </c>
      <c r="AH377" s="5" t="e">
        <f>VLOOKUP(B377,[1]DL!$BK:$BP,6,0)</f>
        <v>#N/A</v>
      </c>
    </row>
    <row r="378" spans="1:34" ht="14.5" hidden="1">
      <c r="A378" s="5">
        <v>375</v>
      </c>
      <c r="B378" s="5" t="str">
        <f t="shared" si="10"/>
        <v>27AABCT3518Q1ZWMH26I00000129215</v>
      </c>
      <c r="C378" s="1" t="s">
        <v>674</v>
      </c>
      <c r="D378" s="1" t="s">
        <v>675</v>
      </c>
      <c r="E378" s="1" t="s">
        <v>697</v>
      </c>
      <c r="F378" s="1" t="s">
        <v>24</v>
      </c>
      <c r="G378" s="1" t="s">
        <v>628</v>
      </c>
      <c r="H378" s="2">
        <v>10085</v>
      </c>
      <c r="I378" s="1" t="s">
        <v>44</v>
      </c>
      <c r="J378" s="3" t="s">
        <v>27</v>
      </c>
      <c r="K378" s="2">
        <v>8547</v>
      </c>
      <c r="L378" s="2">
        <v>1538</v>
      </c>
      <c r="M378" s="2">
        <v>0</v>
      </c>
      <c r="N378" s="2">
        <v>0</v>
      </c>
      <c r="O378" s="2">
        <v>0</v>
      </c>
      <c r="P378" s="7" t="s">
        <v>28</v>
      </c>
      <c r="Q378" s="1" t="s">
        <v>484</v>
      </c>
      <c r="R378" s="3" t="s">
        <v>45</v>
      </c>
      <c r="S378" s="1" t="s">
        <v>46</v>
      </c>
      <c r="T378" s="4" t="s">
        <v>31</v>
      </c>
      <c r="U378" s="7" t="s">
        <v>46</v>
      </c>
      <c r="V378" s="7" t="s">
        <v>46</v>
      </c>
      <c r="W378" s="7" t="s">
        <v>46</v>
      </c>
      <c r="X378" s="7" t="s">
        <v>1751</v>
      </c>
      <c r="Y378" s="10">
        <f t="shared" si="11"/>
        <v>1538</v>
      </c>
      <c r="AH378" s="5" t="e">
        <f>VLOOKUP(B378,[1]DL!$BK:$BP,6,0)</f>
        <v>#N/A</v>
      </c>
    </row>
    <row r="379" spans="1:34" ht="14.5" hidden="1">
      <c r="A379" s="5">
        <v>376</v>
      </c>
      <c r="B379" s="5" t="str">
        <f t="shared" si="10"/>
        <v>27AABCT3518Q1ZWMH26I00000152402</v>
      </c>
      <c r="C379" s="1" t="s">
        <v>674</v>
      </c>
      <c r="D379" s="1" t="s">
        <v>675</v>
      </c>
      <c r="E379" s="1" t="s">
        <v>698</v>
      </c>
      <c r="F379" s="1" t="s">
        <v>24</v>
      </c>
      <c r="G379" s="1" t="s">
        <v>628</v>
      </c>
      <c r="H379" s="2">
        <v>843</v>
      </c>
      <c r="I379" s="1" t="s">
        <v>44</v>
      </c>
      <c r="J379" s="3" t="s">
        <v>27</v>
      </c>
      <c r="K379" s="2">
        <v>714</v>
      </c>
      <c r="L379" s="2">
        <v>129</v>
      </c>
      <c r="M379" s="2">
        <v>0</v>
      </c>
      <c r="N379" s="2">
        <v>0</v>
      </c>
      <c r="O379" s="2">
        <v>0</v>
      </c>
      <c r="P379" s="7" t="s">
        <v>28</v>
      </c>
      <c r="Q379" s="1" t="s">
        <v>484</v>
      </c>
      <c r="R379" s="3" t="s">
        <v>45</v>
      </c>
      <c r="S379" s="1" t="s">
        <v>46</v>
      </c>
      <c r="T379" s="4" t="s">
        <v>31</v>
      </c>
      <c r="U379" s="7" t="s">
        <v>46</v>
      </c>
      <c r="V379" s="7" t="s">
        <v>46</v>
      </c>
      <c r="W379" s="7" t="s">
        <v>46</v>
      </c>
      <c r="X379" s="7" t="s">
        <v>1751</v>
      </c>
      <c r="Y379" s="10">
        <f t="shared" si="11"/>
        <v>129</v>
      </c>
      <c r="AH379" s="5" t="e">
        <f>VLOOKUP(B379,[1]DL!$BK:$BP,6,0)</f>
        <v>#N/A</v>
      </c>
    </row>
    <row r="380" spans="1:34" ht="14.5" hidden="1">
      <c r="A380" s="5">
        <v>377</v>
      </c>
      <c r="B380" s="5" t="str">
        <f t="shared" si="10"/>
        <v>27AABCT3518Q1ZWMH26I00000158565</v>
      </c>
      <c r="C380" s="1" t="s">
        <v>674</v>
      </c>
      <c r="D380" s="1" t="s">
        <v>675</v>
      </c>
      <c r="E380" s="1" t="s">
        <v>699</v>
      </c>
      <c r="F380" s="1" t="s">
        <v>24</v>
      </c>
      <c r="G380" s="1" t="s">
        <v>628</v>
      </c>
      <c r="H380" s="2">
        <v>11106</v>
      </c>
      <c r="I380" s="1" t="s">
        <v>44</v>
      </c>
      <c r="J380" s="3" t="s">
        <v>27</v>
      </c>
      <c r="K380" s="2">
        <v>9412</v>
      </c>
      <c r="L380" s="2">
        <v>1694</v>
      </c>
      <c r="M380" s="2">
        <v>0</v>
      </c>
      <c r="N380" s="2">
        <v>0</v>
      </c>
      <c r="O380" s="2">
        <v>0</v>
      </c>
      <c r="P380" s="7" t="s">
        <v>28</v>
      </c>
      <c r="Q380" s="1" t="s">
        <v>484</v>
      </c>
      <c r="R380" s="3" t="s">
        <v>45</v>
      </c>
      <c r="S380" s="1" t="s">
        <v>46</v>
      </c>
      <c r="T380" s="4" t="s">
        <v>31</v>
      </c>
      <c r="U380" s="7" t="s">
        <v>46</v>
      </c>
      <c r="V380" s="7" t="s">
        <v>46</v>
      </c>
      <c r="W380" s="7" t="s">
        <v>46</v>
      </c>
      <c r="X380" s="7" t="s">
        <v>1751</v>
      </c>
      <c r="Y380" s="10">
        <f t="shared" si="11"/>
        <v>1694</v>
      </c>
      <c r="AH380" s="5" t="e">
        <f>VLOOKUP(B380,[1]DL!$BK:$BP,6,0)</f>
        <v>#N/A</v>
      </c>
    </row>
    <row r="381" spans="1:34" ht="14.5" hidden="1">
      <c r="A381" s="5">
        <v>378</v>
      </c>
      <c r="B381" s="5" t="str">
        <f t="shared" si="10"/>
        <v>07AAACA5284B1Z2AF/233/2627</v>
      </c>
      <c r="C381" s="1" t="s">
        <v>700</v>
      </c>
      <c r="D381" s="1" t="s">
        <v>701</v>
      </c>
      <c r="E381" s="1" t="s">
        <v>702</v>
      </c>
      <c r="F381" s="1" t="s">
        <v>24</v>
      </c>
      <c r="G381" s="1" t="s">
        <v>385</v>
      </c>
      <c r="H381" s="2">
        <v>3000</v>
      </c>
      <c r="I381" s="1" t="s">
        <v>44</v>
      </c>
      <c r="J381" s="3" t="s">
        <v>27</v>
      </c>
      <c r="K381" s="2">
        <v>2542</v>
      </c>
      <c r="L381" s="2">
        <v>0</v>
      </c>
      <c r="M381" s="2">
        <v>228.78</v>
      </c>
      <c r="N381" s="2">
        <v>228.78</v>
      </c>
      <c r="O381" s="2">
        <v>0</v>
      </c>
      <c r="P381" s="7" t="s">
        <v>28</v>
      </c>
      <c r="Q381" s="1" t="s">
        <v>29</v>
      </c>
      <c r="R381" s="3" t="s">
        <v>45</v>
      </c>
      <c r="S381" s="1" t="s">
        <v>46</v>
      </c>
      <c r="T381" s="4" t="s">
        <v>31</v>
      </c>
      <c r="U381" s="7" t="s">
        <v>32</v>
      </c>
      <c r="V381" s="7" t="s">
        <v>703</v>
      </c>
      <c r="W381" s="7" t="s">
        <v>385</v>
      </c>
      <c r="X381" s="7" t="s">
        <v>1751</v>
      </c>
      <c r="Y381" s="10">
        <f t="shared" si="11"/>
        <v>457.56</v>
      </c>
      <c r="AH381" s="5" t="e">
        <f>VLOOKUP(B381,[1]DL!$BK:$BP,6,0)</f>
        <v>#N/A</v>
      </c>
    </row>
    <row r="382" spans="1:34" ht="14.5" hidden="1">
      <c r="A382" s="5">
        <v>379</v>
      </c>
      <c r="B382" s="5" t="str">
        <f t="shared" si="10"/>
        <v>07BNJPA0681E1ZDRB-01</v>
      </c>
      <c r="C382" s="1" t="s">
        <v>704</v>
      </c>
      <c r="D382" s="1" t="s">
        <v>705</v>
      </c>
      <c r="E382" s="1" t="s">
        <v>706</v>
      </c>
      <c r="F382" s="1" t="s">
        <v>24</v>
      </c>
      <c r="G382" s="1" t="s">
        <v>125</v>
      </c>
      <c r="H382" s="2">
        <v>1180</v>
      </c>
      <c r="I382" s="1" t="s">
        <v>44</v>
      </c>
      <c r="J382" s="3" t="s">
        <v>27</v>
      </c>
      <c r="K382" s="2">
        <v>1000</v>
      </c>
      <c r="L382" s="2">
        <v>0</v>
      </c>
      <c r="M382" s="2">
        <v>90</v>
      </c>
      <c r="N382" s="2">
        <v>90</v>
      </c>
      <c r="O382" s="2">
        <v>0</v>
      </c>
      <c r="P382" s="7" t="s">
        <v>28</v>
      </c>
      <c r="Q382" s="1" t="s">
        <v>29</v>
      </c>
      <c r="R382" s="3" t="s">
        <v>45</v>
      </c>
      <c r="S382" s="1" t="s">
        <v>46</v>
      </c>
      <c r="T382" s="4" t="s">
        <v>31</v>
      </c>
      <c r="U382" s="7" t="s">
        <v>32</v>
      </c>
      <c r="V382" s="7" t="s">
        <v>707</v>
      </c>
      <c r="W382" s="7" t="s">
        <v>125</v>
      </c>
      <c r="X382" s="7" t="s">
        <v>1751</v>
      </c>
      <c r="Y382" s="10">
        <f t="shared" si="11"/>
        <v>180</v>
      </c>
      <c r="AH382" s="5" t="e">
        <f>VLOOKUP(B382,[1]DL!$BK:$BP,6,0)</f>
        <v>#N/A</v>
      </c>
    </row>
    <row r="383" spans="1:34" ht="14.5" hidden="1">
      <c r="A383" s="5">
        <v>380</v>
      </c>
      <c r="B383" s="5" t="str">
        <f t="shared" si="10"/>
        <v>07BNJPA0681E1ZDRB-02</v>
      </c>
      <c r="C383" s="1" t="s">
        <v>704</v>
      </c>
      <c r="D383" s="1" t="s">
        <v>705</v>
      </c>
      <c r="E383" s="1" t="s">
        <v>708</v>
      </c>
      <c r="F383" s="1" t="s">
        <v>24</v>
      </c>
      <c r="G383" s="1" t="s">
        <v>125</v>
      </c>
      <c r="H383" s="2">
        <v>4130</v>
      </c>
      <c r="I383" s="1" t="s">
        <v>44</v>
      </c>
      <c r="J383" s="3" t="s">
        <v>27</v>
      </c>
      <c r="K383" s="2">
        <v>3500</v>
      </c>
      <c r="L383" s="2">
        <v>0</v>
      </c>
      <c r="M383" s="2">
        <v>315</v>
      </c>
      <c r="N383" s="2">
        <v>315</v>
      </c>
      <c r="O383" s="2">
        <v>0</v>
      </c>
      <c r="P383" s="7" t="s">
        <v>28</v>
      </c>
      <c r="Q383" s="1" t="s">
        <v>29</v>
      </c>
      <c r="R383" s="3" t="s">
        <v>45</v>
      </c>
      <c r="S383" s="1" t="s">
        <v>46</v>
      </c>
      <c r="T383" s="4" t="s">
        <v>31</v>
      </c>
      <c r="U383" s="7" t="s">
        <v>32</v>
      </c>
      <c r="V383" s="7" t="s">
        <v>709</v>
      </c>
      <c r="W383" s="7" t="s">
        <v>125</v>
      </c>
      <c r="X383" s="7" t="s">
        <v>1751</v>
      </c>
      <c r="Y383" s="10">
        <f t="shared" si="11"/>
        <v>630</v>
      </c>
      <c r="AH383" s="5" t="e">
        <f>VLOOKUP(B383,[1]DL!$BK:$BP,6,0)</f>
        <v>#N/A</v>
      </c>
    </row>
    <row r="384" spans="1:34" ht="14.5" hidden="1">
      <c r="A384" s="5">
        <v>381</v>
      </c>
      <c r="B384" s="5" t="str">
        <f t="shared" si="10"/>
        <v>07BNJPA0681E1ZDRB-03</v>
      </c>
      <c r="C384" s="1" t="s">
        <v>704</v>
      </c>
      <c r="D384" s="1" t="s">
        <v>705</v>
      </c>
      <c r="E384" s="1" t="s">
        <v>710</v>
      </c>
      <c r="F384" s="1" t="s">
        <v>24</v>
      </c>
      <c r="G384" s="1" t="s">
        <v>125</v>
      </c>
      <c r="H384" s="2">
        <v>14750</v>
      </c>
      <c r="I384" s="1" t="s">
        <v>44</v>
      </c>
      <c r="J384" s="3" t="s">
        <v>27</v>
      </c>
      <c r="K384" s="2">
        <v>12500</v>
      </c>
      <c r="L384" s="2">
        <v>0</v>
      </c>
      <c r="M384" s="2">
        <v>1125</v>
      </c>
      <c r="N384" s="2">
        <v>1125</v>
      </c>
      <c r="O384" s="2">
        <v>0</v>
      </c>
      <c r="P384" s="7" t="s">
        <v>28</v>
      </c>
      <c r="Q384" s="1" t="s">
        <v>29</v>
      </c>
      <c r="R384" s="3" t="s">
        <v>45</v>
      </c>
      <c r="S384" s="1" t="s">
        <v>46</v>
      </c>
      <c r="T384" s="4" t="s">
        <v>31</v>
      </c>
      <c r="U384" s="7" t="s">
        <v>32</v>
      </c>
      <c r="V384" s="7" t="s">
        <v>711</v>
      </c>
      <c r="W384" s="7" t="s">
        <v>125</v>
      </c>
      <c r="X384" s="7" t="s">
        <v>1751</v>
      </c>
      <c r="Y384" s="10">
        <f t="shared" si="11"/>
        <v>2250</v>
      </c>
      <c r="AH384" s="5" t="e">
        <f>VLOOKUP(B384,[1]DL!$BK:$BP,6,0)</f>
        <v>#N/A</v>
      </c>
    </row>
    <row r="385" spans="1:34" ht="14.5" hidden="1">
      <c r="A385" s="5">
        <v>382</v>
      </c>
      <c r="B385" s="5" t="str">
        <f t="shared" si="10"/>
        <v>07BNJPA0681E1ZDRB-04</v>
      </c>
      <c r="C385" s="1" t="s">
        <v>704</v>
      </c>
      <c r="D385" s="1" t="s">
        <v>705</v>
      </c>
      <c r="E385" s="1" t="s">
        <v>712</v>
      </c>
      <c r="F385" s="1" t="s">
        <v>24</v>
      </c>
      <c r="G385" s="1" t="s">
        <v>125</v>
      </c>
      <c r="H385" s="2">
        <v>1180</v>
      </c>
      <c r="I385" s="1" t="s">
        <v>44</v>
      </c>
      <c r="J385" s="3" t="s">
        <v>27</v>
      </c>
      <c r="K385" s="2">
        <v>1000</v>
      </c>
      <c r="L385" s="2">
        <v>0</v>
      </c>
      <c r="M385" s="2">
        <v>90</v>
      </c>
      <c r="N385" s="2">
        <v>90</v>
      </c>
      <c r="O385" s="2">
        <v>0</v>
      </c>
      <c r="P385" s="7" t="s">
        <v>28</v>
      </c>
      <c r="Q385" s="1" t="s">
        <v>29</v>
      </c>
      <c r="R385" s="3" t="s">
        <v>45</v>
      </c>
      <c r="S385" s="1" t="s">
        <v>46</v>
      </c>
      <c r="T385" s="4" t="s">
        <v>31</v>
      </c>
      <c r="U385" s="7" t="s">
        <v>32</v>
      </c>
      <c r="V385" s="7" t="s">
        <v>713</v>
      </c>
      <c r="W385" s="7" t="s">
        <v>125</v>
      </c>
      <c r="X385" s="7" t="s">
        <v>1751</v>
      </c>
      <c r="Y385" s="10">
        <f t="shared" si="11"/>
        <v>180</v>
      </c>
      <c r="AH385" s="5" t="e">
        <f>VLOOKUP(B385,[1]DL!$BK:$BP,6,0)</f>
        <v>#N/A</v>
      </c>
    </row>
    <row r="386" spans="1:34" ht="14.5" hidden="1">
      <c r="A386" s="5">
        <v>383</v>
      </c>
      <c r="B386" s="5" t="str">
        <f t="shared" si="10"/>
        <v>07BNJPA0681E1ZDRB-05</v>
      </c>
      <c r="C386" s="1" t="s">
        <v>704</v>
      </c>
      <c r="D386" s="1" t="s">
        <v>705</v>
      </c>
      <c r="E386" s="1" t="s">
        <v>714</v>
      </c>
      <c r="F386" s="1" t="s">
        <v>24</v>
      </c>
      <c r="G386" s="1" t="s">
        <v>125</v>
      </c>
      <c r="H386" s="2">
        <v>1770</v>
      </c>
      <c r="I386" s="1" t="s">
        <v>44</v>
      </c>
      <c r="J386" s="3" t="s">
        <v>27</v>
      </c>
      <c r="K386" s="2">
        <v>1500</v>
      </c>
      <c r="L386" s="2">
        <v>0</v>
      </c>
      <c r="M386" s="2">
        <v>135</v>
      </c>
      <c r="N386" s="2">
        <v>135</v>
      </c>
      <c r="O386" s="2">
        <v>0</v>
      </c>
      <c r="P386" s="7" t="s">
        <v>28</v>
      </c>
      <c r="Q386" s="1" t="s">
        <v>29</v>
      </c>
      <c r="R386" s="3" t="s">
        <v>45</v>
      </c>
      <c r="S386" s="1" t="s">
        <v>46</v>
      </c>
      <c r="T386" s="4" t="s">
        <v>31</v>
      </c>
      <c r="U386" s="7" t="s">
        <v>32</v>
      </c>
      <c r="V386" s="7" t="s">
        <v>715</v>
      </c>
      <c r="W386" s="7" t="s">
        <v>125</v>
      </c>
      <c r="X386" s="7" t="s">
        <v>1751</v>
      </c>
      <c r="Y386" s="10">
        <f t="shared" si="11"/>
        <v>270</v>
      </c>
      <c r="AH386" s="5" t="e">
        <f>VLOOKUP(B386,[1]DL!$BK:$BP,6,0)</f>
        <v>#N/A</v>
      </c>
    </row>
    <row r="387" spans="1:34" ht="14.5" hidden="1">
      <c r="A387" s="5">
        <v>384</v>
      </c>
      <c r="B387" s="5" t="str">
        <f t="shared" si="10"/>
        <v>07BNJPA0681E1ZDRB-06</v>
      </c>
      <c r="C387" s="1" t="s">
        <v>704</v>
      </c>
      <c r="D387" s="1" t="s">
        <v>705</v>
      </c>
      <c r="E387" s="1" t="s">
        <v>716</v>
      </c>
      <c r="F387" s="1" t="s">
        <v>24</v>
      </c>
      <c r="G387" s="1" t="s">
        <v>125</v>
      </c>
      <c r="H387" s="2">
        <v>7198</v>
      </c>
      <c r="I387" s="1" t="s">
        <v>44</v>
      </c>
      <c r="J387" s="3" t="s">
        <v>27</v>
      </c>
      <c r="K387" s="2">
        <v>6100</v>
      </c>
      <c r="L387" s="2">
        <v>0</v>
      </c>
      <c r="M387" s="2">
        <v>549</v>
      </c>
      <c r="N387" s="2">
        <v>549</v>
      </c>
      <c r="O387" s="2">
        <v>0</v>
      </c>
      <c r="P387" s="7" t="s">
        <v>28</v>
      </c>
      <c r="Q387" s="1" t="s">
        <v>29</v>
      </c>
      <c r="R387" s="3" t="s">
        <v>45</v>
      </c>
      <c r="S387" s="1" t="s">
        <v>46</v>
      </c>
      <c r="T387" s="4" t="s">
        <v>31</v>
      </c>
      <c r="U387" s="7" t="s">
        <v>32</v>
      </c>
      <c r="V387" s="7" t="s">
        <v>717</v>
      </c>
      <c r="W387" s="7" t="s">
        <v>125</v>
      </c>
      <c r="X387" s="7" t="s">
        <v>1751</v>
      </c>
      <c r="Y387" s="10">
        <f t="shared" si="11"/>
        <v>1098</v>
      </c>
      <c r="AH387" s="5" t="e">
        <f>VLOOKUP(B387,[1]DL!$BK:$BP,6,0)</f>
        <v>#N/A</v>
      </c>
    </row>
    <row r="388" spans="1:34" ht="14.5" hidden="1">
      <c r="A388" s="5">
        <v>385</v>
      </c>
      <c r="B388" s="5" t="str">
        <f t="shared" si="10"/>
        <v>07BNJPA0681E1ZDRB-07</v>
      </c>
      <c r="C388" s="1" t="s">
        <v>704</v>
      </c>
      <c r="D388" s="1" t="s">
        <v>705</v>
      </c>
      <c r="E388" s="1" t="s">
        <v>718</v>
      </c>
      <c r="F388" s="1" t="s">
        <v>24</v>
      </c>
      <c r="G388" s="1" t="s">
        <v>398</v>
      </c>
      <c r="H388" s="2">
        <v>1180</v>
      </c>
      <c r="I388" s="1" t="s">
        <v>44</v>
      </c>
      <c r="J388" s="3" t="s">
        <v>27</v>
      </c>
      <c r="K388" s="2">
        <v>1000</v>
      </c>
      <c r="L388" s="2">
        <v>0</v>
      </c>
      <c r="M388" s="2">
        <v>90</v>
      </c>
      <c r="N388" s="2">
        <v>90</v>
      </c>
      <c r="O388" s="2">
        <v>0</v>
      </c>
      <c r="P388" s="7" t="s">
        <v>28</v>
      </c>
      <c r="Q388" s="1" t="s">
        <v>29</v>
      </c>
      <c r="R388" s="3" t="s">
        <v>45</v>
      </c>
      <c r="S388" s="1" t="s">
        <v>46</v>
      </c>
      <c r="T388" s="4" t="s">
        <v>31</v>
      </c>
      <c r="U388" s="7" t="s">
        <v>32</v>
      </c>
      <c r="V388" s="7" t="s">
        <v>719</v>
      </c>
      <c r="W388" s="7" t="s">
        <v>398</v>
      </c>
      <c r="X388" s="7" t="s">
        <v>1751</v>
      </c>
      <c r="Y388" s="10">
        <f t="shared" si="11"/>
        <v>180</v>
      </c>
      <c r="AH388" s="5" t="e">
        <f>VLOOKUP(B388,[1]DL!$BK:$BP,6,0)</f>
        <v>#N/A</v>
      </c>
    </row>
    <row r="389" spans="1:34" ht="14.5" hidden="1">
      <c r="A389" s="5">
        <v>386</v>
      </c>
      <c r="B389" s="5" t="str">
        <f t="shared" si="12" ref="B389:B452">C389&amp;E389</f>
        <v>07BNJPA0681E1ZDRB-08</v>
      </c>
      <c r="C389" s="1" t="s">
        <v>704</v>
      </c>
      <c r="D389" s="1" t="s">
        <v>705</v>
      </c>
      <c r="E389" s="1" t="s">
        <v>720</v>
      </c>
      <c r="F389" s="1" t="s">
        <v>24</v>
      </c>
      <c r="G389" s="1" t="s">
        <v>398</v>
      </c>
      <c r="H389" s="2">
        <v>4130</v>
      </c>
      <c r="I389" s="1" t="s">
        <v>44</v>
      </c>
      <c r="J389" s="3" t="s">
        <v>27</v>
      </c>
      <c r="K389" s="2">
        <v>3500</v>
      </c>
      <c r="L389" s="2">
        <v>0</v>
      </c>
      <c r="M389" s="2">
        <v>315</v>
      </c>
      <c r="N389" s="2">
        <v>315</v>
      </c>
      <c r="O389" s="2">
        <v>0</v>
      </c>
      <c r="P389" s="7" t="s">
        <v>28</v>
      </c>
      <c r="Q389" s="1" t="s">
        <v>29</v>
      </c>
      <c r="R389" s="3" t="s">
        <v>45</v>
      </c>
      <c r="S389" s="1" t="s">
        <v>46</v>
      </c>
      <c r="T389" s="4" t="s">
        <v>31</v>
      </c>
      <c r="U389" s="7" t="s">
        <v>32</v>
      </c>
      <c r="V389" s="7" t="s">
        <v>721</v>
      </c>
      <c r="W389" s="7" t="s">
        <v>398</v>
      </c>
      <c r="X389" s="7" t="s">
        <v>1751</v>
      </c>
      <c r="Y389" s="10">
        <f t="shared" si="13" ref="Y389:Y452">L389+M389+N389+O389</f>
        <v>630</v>
      </c>
      <c r="AH389" s="5" t="e">
        <f>VLOOKUP(B389,[1]DL!$BK:$BP,6,0)</f>
        <v>#N/A</v>
      </c>
    </row>
    <row r="390" spans="1:34" ht="14.5" hidden="1">
      <c r="A390" s="5">
        <v>387</v>
      </c>
      <c r="B390" s="5" t="str">
        <f t="shared" si="12"/>
        <v>07BNJPA0681E1ZDRB-09</v>
      </c>
      <c r="C390" s="1" t="s">
        <v>704</v>
      </c>
      <c r="D390" s="1" t="s">
        <v>705</v>
      </c>
      <c r="E390" s="1" t="s">
        <v>722</v>
      </c>
      <c r="F390" s="1" t="s">
        <v>24</v>
      </c>
      <c r="G390" s="1" t="s">
        <v>398</v>
      </c>
      <c r="H390" s="2">
        <v>14750</v>
      </c>
      <c r="I390" s="1" t="s">
        <v>44</v>
      </c>
      <c r="J390" s="3" t="s">
        <v>27</v>
      </c>
      <c r="K390" s="2">
        <v>12500</v>
      </c>
      <c r="L390" s="2">
        <v>0</v>
      </c>
      <c r="M390" s="2">
        <v>1125</v>
      </c>
      <c r="N390" s="2">
        <v>1125</v>
      </c>
      <c r="O390" s="2">
        <v>0</v>
      </c>
      <c r="P390" s="7" t="s">
        <v>28</v>
      </c>
      <c r="Q390" s="1" t="s">
        <v>29</v>
      </c>
      <c r="R390" s="3" t="s">
        <v>45</v>
      </c>
      <c r="S390" s="1" t="s">
        <v>46</v>
      </c>
      <c r="T390" s="4" t="s">
        <v>31</v>
      </c>
      <c r="U390" s="7" t="s">
        <v>32</v>
      </c>
      <c r="V390" s="7" t="s">
        <v>723</v>
      </c>
      <c r="W390" s="7" t="s">
        <v>398</v>
      </c>
      <c r="X390" s="7" t="s">
        <v>1751</v>
      </c>
      <c r="Y390" s="10">
        <f t="shared" si="13"/>
        <v>2250</v>
      </c>
      <c r="AH390" s="5" t="e">
        <f>VLOOKUP(B390,[1]DL!$BK:$BP,6,0)</f>
        <v>#N/A</v>
      </c>
    </row>
    <row r="391" spans="1:34" ht="14.5" hidden="1">
      <c r="A391" s="5">
        <v>388</v>
      </c>
      <c r="B391" s="5" t="str">
        <f t="shared" si="12"/>
        <v>07BNJPA0681E1ZDRB-10</v>
      </c>
      <c r="C391" s="1" t="s">
        <v>704</v>
      </c>
      <c r="D391" s="1" t="s">
        <v>705</v>
      </c>
      <c r="E391" s="1" t="s">
        <v>724</v>
      </c>
      <c r="F391" s="1" t="s">
        <v>24</v>
      </c>
      <c r="G391" s="1" t="s">
        <v>398</v>
      </c>
      <c r="H391" s="2">
        <v>407.10</v>
      </c>
      <c r="I391" s="1" t="s">
        <v>44</v>
      </c>
      <c r="J391" s="3" t="s">
        <v>27</v>
      </c>
      <c r="K391" s="2">
        <v>345</v>
      </c>
      <c r="L391" s="2">
        <v>0</v>
      </c>
      <c r="M391" s="2">
        <v>31.05</v>
      </c>
      <c r="N391" s="2">
        <v>31.05</v>
      </c>
      <c r="O391" s="2">
        <v>0</v>
      </c>
      <c r="P391" s="7" t="s">
        <v>28</v>
      </c>
      <c r="Q391" s="1" t="s">
        <v>29</v>
      </c>
      <c r="R391" s="3" t="s">
        <v>45</v>
      </c>
      <c r="S391" s="1" t="s">
        <v>46</v>
      </c>
      <c r="T391" s="4" t="s">
        <v>31</v>
      </c>
      <c r="U391" s="7" t="s">
        <v>32</v>
      </c>
      <c r="V391" s="7" t="s">
        <v>725</v>
      </c>
      <c r="W391" s="7" t="s">
        <v>398</v>
      </c>
      <c r="X391" s="7" t="s">
        <v>1751</v>
      </c>
      <c r="Y391" s="10">
        <f t="shared" si="13"/>
        <v>62.100000000000001</v>
      </c>
      <c r="AH391" s="5" t="e">
        <f>VLOOKUP(B391,[1]DL!$BK:$BP,6,0)</f>
        <v>#N/A</v>
      </c>
    </row>
    <row r="392" spans="1:34" ht="14.5" hidden="1">
      <c r="A392" s="5">
        <v>389</v>
      </c>
      <c r="B392" s="5" t="str">
        <f t="shared" si="12"/>
        <v>07BNJPA0681E1ZDRB-11</v>
      </c>
      <c r="C392" s="1" t="s">
        <v>704</v>
      </c>
      <c r="D392" s="1" t="s">
        <v>705</v>
      </c>
      <c r="E392" s="1" t="s">
        <v>726</v>
      </c>
      <c r="F392" s="1" t="s">
        <v>24</v>
      </c>
      <c r="G392" s="1" t="s">
        <v>398</v>
      </c>
      <c r="H392" s="2">
        <v>2345.84</v>
      </c>
      <c r="I392" s="1" t="s">
        <v>44</v>
      </c>
      <c r="J392" s="3" t="s">
        <v>27</v>
      </c>
      <c r="K392" s="2">
        <v>1988</v>
      </c>
      <c r="L392" s="2">
        <v>0</v>
      </c>
      <c r="M392" s="2">
        <v>178.92</v>
      </c>
      <c r="N392" s="2">
        <v>178.92</v>
      </c>
      <c r="O392" s="2">
        <v>0</v>
      </c>
      <c r="P392" s="7" t="s">
        <v>28</v>
      </c>
      <c r="Q392" s="1" t="s">
        <v>29</v>
      </c>
      <c r="R392" s="3" t="s">
        <v>45</v>
      </c>
      <c r="S392" s="1" t="s">
        <v>46</v>
      </c>
      <c r="T392" s="4" t="s">
        <v>31</v>
      </c>
      <c r="U392" s="7" t="s">
        <v>32</v>
      </c>
      <c r="V392" s="7" t="s">
        <v>727</v>
      </c>
      <c r="W392" s="7" t="s">
        <v>398</v>
      </c>
      <c r="X392" s="7" t="s">
        <v>1751</v>
      </c>
      <c r="Y392" s="10">
        <f t="shared" si="13"/>
        <v>357.83999999999997</v>
      </c>
      <c r="AH392" s="5" t="e">
        <f>VLOOKUP(B392,[1]DL!$BK:$BP,6,0)</f>
        <v>#N/A</v>
      </c>
    </row>
    <row r="393" spans="1:34" ht="14.5" hidden="1">
      <c r="A393" s="5">
        <v>390</v>
      </c>
      <c r="B393" s="5" t="str">
        <f t="shared" si="12"/>
        <v>07BNJPA0681E1ZDRB-12</v>
      </c>
      <c r="C393" s="1" t="s">
        <v>704</v>
      </c>
      <c r="D393" s="1" t="s">
        <v>705</v>
      </c>
      <c r="E393" s="1" t="s">
        <v>728</v>
      </c>
      <c r="F393" s="1" t="s">
        <v>24</v>
      </c>
      <c r="G393" s="1" t="s">
        <v>398</v>
      </c>
      <c r="H393" s="2">
        <v>87.32</v>
      </c>
      <c r="I393" s="1" t="s">
        <v>44</v>
      </c>
      <c r="J393" s="3" t="s">
        <v>27</v>
      </c>
      <c r="K393" s="2">
        <v>74</v>
      </c>
      <c r="L393" s="2">
        <v>0</v>
      </c>
      <c r="M393" s="2">
        <v>6.66</v>
      </c>
      <c r="N393" s="2">
        <v>6.66</v>
      </c>
      <c r="O393" s="2">
        <v>0</v>
      </c>
      <c r="P393" s="7" t="s">
        <v>28</v>
      </c>
      <c r="Q393" s="1" t="s">
        <v>29</v>
      </c>
      <c r="R393" s="3" t="s">
        <v>45</v>
      </c>
      <c r="S393" s="1" t="s">
        <v>46</v>
      </c>
      <c r="T393" s="4" t="s">
        <v>31</v>
      </c>
      <c r="U393" s="7" t="s">
        <v>32</v>
      </c>
      <c r="V393" s="7" t="s">
        <v>729</v>
      </c>
      <c r="W393" s="7" t="s">
        <v>398</v>
      </c>
      <c r="X393" s="7" t="s">
        <v>1751</v>
      </c>
      <c r="Y393" s="10">
        <f t="shared" si="13"/>
        <v>13.32</v>
      </c>
      <c r="AH393" s="5" t="e">
        <f>VLOOKUP(B393,[1]DL!$BK:$BP,6,0)</f>
        <v>#N/A</v>
      </c>
    </row>
    <row r="394" spans="1:34" ht="14.5" hidden="1">
      <c r="A394" s="5">
        <v>391</v>
      </c>
      <c r="B394" s="5" t="str">
        <f t="shared" si="12"/>
        <v>07BNJPA0681E1ZDRB-13</v>
      </c>
      <c r="C394" s="1" t="s">
        <v>704</v>
      </c>
      <c r="D394" s="1" t="s">
        <v>705</v>
      </c>
      <c r="E394" s="1" t="s">
        <v>730</v>
      </c>
      <c r="F394" s="1" t="s">
        <v>24</v>
      </c>
      <c r="G394" s="1" t="s">
        <v>398</v>
      </c>
      <c r="H394" s="2">
        <v>61.36</v>
      </c>
      <c r="I394" s="1" t="s">
        <v>44</v>
      </c>
      <c r="J394" s="3" t="s">
        <v>27</v>
      </c>
      <c r="K394" s="2">
        <v>52</v>
      </c>
      <c r="L394" s="2">
        <v>0</v>
      </c>
      <c r="M394" s="2">
        <v>4.68</v>
      </c>
      <c r="N394" s="2">
        <v>4.68</v>
      </c>
      <c r="O394" s="2">
        <v>0</v>
      </c>
      <c r="P394" s="7" t="s">
        <v>28</v>
      </c>
      <c r="Q394" s="1" t="s">
        <v>29</v>
      </c>
      <c r="R394" s="3" t="s">
        <v>45</v>
      </c>
      <c r="S394" s="1" t="s">
        <v>46</v>
      </c>
      <c r="T394" s="4" t="s">
        <v>31</v>
      </c>
      <c r="U394" s="7" t="s">
        <v>32</v>
      </c>
      <c r="V394" s="7" t="s">
        <v>731</v>
      </c>
      <c r="W394" s="7" t="s">
        <v>398</v>
      </c>
      <c r="X394" s="7" t="s">
        <v>1751</v>
      </c>
      <c r="Y394" s="10">
        <f t="shared" si="13"/>
        <v>9.3599999999999994</v>
      </c>
      <c r="AH394" s="5" t="e">
        <f>VLOOKUP(B394,[1]DL!$BK:$BP,6,0)</f>
        <v>#N/A</v>
      </c>
    </row>
    <row r="395" spans="1:34" ht="14.5" hidden="1">
      <c r="A395" s="5">
        <v>392</v>
      </c>
      <c r="B395" s="5" t="str">
        <f t="shared" si="12"/>
        <v>07BNJPA0681E1ZDRB-15</v>
      </c>
      <c r="C395" s="1" t="s">
        <v>704</v>
      </c>
      <c r="D395" s="1" t="s">
        <v>705</v>
      </c>
      <c r="E395" s="1" t="s">
        <v>732</v>
      </c>
      <c r="F395" s="1" t="s">
        <v>24</v>
      </c>
      <c r="G395" s="1" t="s">
        <v>398</v>
      </c>
      <c r="H395" s="2">
        <v>189.98</v>
      </c>
      <c r="I395" s="1" t="s">
        <v>44</v>
      </c>
      <c r="J395" s="3" t="s">
        <v>27</v>
      </c>
      <c r="K395" s="2">
        <v>161</v>
      </c>
      <c r="L395" s="2">
        <v>0</v>
      </c>
      <c r="M395" s="2">
        <v>14.49</v>
      </c>
      <c r="N395" s="2">
        <v>14.49</v>
      </c>
      <c r="O395" s="2">
        <v>0</v>
      </c>
      <c r="P395" s="7" t="s">
        <v>28</v>
      </c>
      <c r="Q395" s="1" t="s">
        <v>29</v>
      </c>
      <c r="R395" s="3" t="s">
        <v>45</v>
      </c>
      <c r="S395" s="1" t="s">
        <v>46</v>
      </c>
      <c r="T395" s="4" t="s">
        <v>31</v>
      </c>
      <c r="U395" s="7" t="s">
        <v>32</v>
      </c>
      <c r="V395" s="7" t="s">
        <v>733</v>
      </c>
      <c r="W395" s="7" t="s">
        <v>398</v>
      </c>
      <c r="X395" s="7" t="s">
        <v>1751</v>
      </c>
      <c r="Y395" s="10">
        <f t="shared" si="13"/>
        <v>28.98</v>
      </c>
      <c r="AH395" s="5" t="e">
        <f>VLOOKUP(B395,[1]DL!$BK:$BP,6,0)</f>
        <v>#N/A</v>
      </c>
    </row>
    <row r="396" spans="1:34" ht="14.5" hidden="1">
      <c r="A396" s="5">
        <v>393</v>
      </c>
      <c r="B396" s="5" t="str">
        <f t="shared" si="12"/>
        <v>07BNJPA0681E1ZDRB-17</v>
      </c>
      <c r="C396" s="1" t="s">
        <v>704</v>
      </c>
      <c r="D396" s="1" t="s">
        <v>705</v>
      </c>
      <c r="E396" s="1" t="s">
        <v>734</v>
      </c>
      <c r="F396" s="1" t="s">
        <v>24</v>
      </c>
      <c r="G396" s="1" t="s">
        <v>398</v>
      </c>
      <c r="H396" s="2">
        <v>185.26</v>
      </c>
      <c r="I396" s="1" t="s">
        <v>44</v>
      </c>
      <c r="J396" s="3" t="s">
        <v>27</v>
      </c>
      <c r="K396" s="2">
        <v>157</v>
      </c>
      <c r="L396" s="2">
        <v>0</v>
      </c>
      <c r="M396" s="2">
        <v>14.13</v>
      </c>
      <c r="N396" s="2">
        <v>14.13</v>
      </c>
      <c r="O396" s="2">
        <v>0</v>
      </c>
      <c r="P396" s="7" t="s">
        <v>28</v>
      </c>
      <c r="Q396" s="1" t="s">
        <v>29</v>
      </c>
      <c r="R396" s="3" t="s">
        <v>45</v>
      </c>
      <c r="S396" s="1" t="s">
        <v>46</v>
      </c>
      <c r="T396" s="4" t="s">
        <v>31</v>
      </c>
      <c r="U396" s="7" t="s">
        <v>32</v>
      </c>
      <c r="V396" s="7" t="s">
        <v>735</v>
      </c>
      <c r="W396" s="7" t="s">
        <v>398</v>
      </c>
      <c r="X396" s="7" t="s">
        <v>1751</v>
      </c>
      <c r="Y396" s="10">
        <f t="shared" si="13"/>
        <v>28.260000000000002</v>
      </c>
      <c r="AH396" s="5" t="e">
        <f>VLOOKUP(B396,[1]DL!$BK:$BP,6,0)</f>
        <v>#N/A</v>
      </c>
    </row>
    <row r="397" spans="1:34" ht="14.5">
      <c r="A397" s="5">
        <v>394</v>
      </c>
      <c r="B397" s="5" t="str">
        <f t="shared" si="12"/>
        <v>06AAGCD4246E1ZXDFSI2600000412</v>
      </c>
      <c r="C397" s="1" t="s">
        <v>736</v>
      </c>
      <c r="D397" s="1" t="s">
        <v>737</v>
      </c>
      <c r="E397" s="1" t="s">
        <v>738</v>
      </c>
      <c r="F397" s="1" t="s">
        <v>24</v>
      </c>
      <c r="G397" s="1" t="s">
        <v>285</v>
      </c>
      <c r="H397" s="2">
        <v>250310</v>
      </c>
      <c r="I397" s="1" t="s">
        <v>44</v>
      </c>
      <c r="J397" s="3" t="s">
        <v>27</v>
      </c>
      <c r="K397" s="2">
        <v>212127.05</v>
      </c>
      <c r="L397" s="2">
        <v>38182.879999999997</v>
      </c>
      <c r="M397" s="2">
        <v>0</v>
      </c>
      <c r="N397" s="2">
        <v>0</v>
      </c>
      <c r="O397" s="2">
        <v>0</v>
      </c>
      <c r="P397" s="7" t="s">
        <v>28</v>
      </c>
      <c r="Q397" s="1" t="s">
        <v>29</v>
      </c>
      <c r="R397" s="3" t="s">
        <v>45</v>
      </c>
      <c r="S397" s="1" t="s">
        <v>46</v>
      </c>
      <c r="T397" s="4" t="s">
        <v>31</v>
      </c>
      <c r="U397" s="7" t="s">
        <v>32</v>
      </c>
      <c r="V397" s="7" t="s">
        <v>739</v>
      </c>
      <c r="W397" s="7" t="s">
        <v>285</v>
      </c>
      <c r="X397" s="7" t="s">
        <v>1751</v>
      </c>
      <c r="Y397" s="10">
        <f t="shared" si="13"/>
        <v>38182.879999999997</v>
      </c>
      <c r="Z397" s="5">
        <v>9158398</v>
      </c>
      <c r="AA397" s="5" t="s">
        <v>1922</v>
      </c>
      <c r="AB397" s="5" t="s">
        <v>1751</v>
      </c>
      <c r="AC397" s="5" t="s">
        <v>1925</v>
      </c>
      <c r="AE397" s="5" t="s">
        <v>1923</v>
      </c>
      <c r="AH397" s="5">
        <f>VLOOKUP(B397,[1]DL!$BK:$BP,6,0)</f>
        <v>9158398</v>
      </c>
    </row>
    <row r="398" spans="1:34" ht="14.5">
      <c r="A398" s="5">
        <v>395</v>
      </c>
      <c r="B398" s="5" t="str">
        <f t="shared" si="12"/>
        <v>06AAGCD4246E1ZXDFSI2600000751</v>
      </c>
      <c r="C398" s="1" t="s">
        <v>736</v>
      </c>
      <c r="D398" s="1" t="s">
        <v>737</v>
      </c>
      <c r="E398" s="1" t="s">
        <v>740</v>
      </c>
      <c r="F398" s="1" t="s">
        <v>24</v>
      </c>
      <c r="G398" s="1" t="s">
        <v>171</v>
      </c>
      <c r="H398" s="2">
        <v>239244</v>
      </c>
      <c r="I398" s="1" t="s">
        <v>44</v>
      </c>
      <c r="J398" s="3" t="s">
        <v>27</v>
      </c>
      <c r="K398" s="2">
        <v>202748.41</v>
      </c>
      <c r="L398" s="2">
        <v>36494.74</v>
      </c>
      <c r="M398" s="2">
        <v>0</v>
      </c>
      <c r="N398" s="2">
        <v>0</v>
      </c>
      <c r="O398" s="2">
        <v>0</v>
      </c>
      <c r="P398" s="7" t="s">
        <v>28</v>
      </c>
      <c r="Q398" s="1" t="s">
        <v>29</v>
      </c>
      <c r="R398" s="3" t="s">
        <v>45</v>
      </c>
      <c r="S398" s="1" t="s">
        <v>46</v>
      </c>
      <c r="T398" s="4" t="s">
        <v>31</v>
      </c>
      <c r="U398" s="7" t="s">
        <v>32</v>
      </c>
      <c r="V398" s="7" t="s">
        <v>741</v>
      </c>
      <c r="W398" s="7" t="s">
        <v>171</v>
      </c>
      <c r="X398" s="7" t="s">
        <v>1751</v>
      </c>
      <c r="Y398" s="10">
        <f t="shared" si="13"/>
        <v>36494.739999999998</v>
      </c>
      <c r="Z398" s="5">
        <v>9174963</v>
      </c>
      <c r="AA398" s="5" t="s">
        <v>1922</v>
      </c>
      <c r="AB398" s="5" t="s">
        <v>1751</v>
      </c>
      <c r="AC398" s="5" t="s">
        <v>1925</v>
      </c>
      <c r="AE398" s="5" t="s">
        <v>1923</v>
      </c>
      <c r="AH398" s="5">
        <f>VLOOKUP(B398,[1]DL!$BK:$BP,6,0)</f>
        <v>9174963</v>
      </c>
    </row>
    <row r="399" spans="1:34" ht="14.5" hidden="1">
      <c r="A399" s="5">
        <v>396</v>
      </c>
      <c r="B399" s="5" t="str">
        <f t="shared" si="12"/>
        <v>07BEXPM4060G1Z5KT/APR/26-27/001</v>
      </c>
      <c r="C399" s="1" t="s">
        <v>742</v>
      </c>
      <c r="D399" s="1" t="s">
        <v>743</v>
      </c>
      <c r="E399" s="1" t="s">
        <v>744</v>
      </c>
      <c r="F399" s="1" t="s">
        <v>24</v>
      </c>
      <c r="G399" s="1" t="s">
        <v>54</v>
      </c>
      <c r="H399" s="2">
        <v>1180</v>
      </c>
      <c r="I399" s="1" t="s">
        <v>44</v>
      </c>
      <c r="J399" s="3" t="s">
        <v>27</v>
      </c>
      <c r="K399" s="2">
        <v>1000</v>
      </c>
      <c r="L399" s="2">
        <v>0</v>
      </c>
      <c r="M399" s="2">
        <v>90</v>
      </c>
      <c r="N399" s="2">
        <v>90</v>
      </c>
      <c r="O399" s="2">
        <v>0</v>
      </c>
      <c r="P399" s="7" t="s">
        <v>28</v>
      </c>
      <c r="Q399" s="1" t="s">
        <v>29</v>
      </c>
      <c r="R399" s="3" t="s">
        <v>45</v>
      </c>
      <c r="S399" s="1" t="s">
        <v>46</v>
      </c>
      <c r="T399" s="4" t="s">
        <v>31</v>
      </c>
      <c r="U399" s="7" t="s">
        <v>46</v>
      </c>
      <c r="V399" s="7" t="s">
        <v>46</v>
      </c>
      <c r="W399" s="7" t="s">
        <v>46</v>
      </c>
      <c r="X399" s="7" t="s">
        <v>1751</v>
      </c>
      <c r="Y399" s="10">
        <f t="shared" si="13"/>
        <v>180</v>
      </c>
      <c r="AH399" s="5" t="e">
        <f>VLOOKUP(B399,[1]DL!$BK:$BP,6,0)</f>
        <v>#N/A</v>
      </c>
    </row>
    <row r="400" spans="1:34" ht="14.5" hidden="1">
      <c r="A400" s="5">
        <v>397</v>
      </c>
      <c r="B400" s="5" t="str">
        <f t="shared" si="12"/>
        <v>07BEXPM4060G1Z5KT/APR/26-27/002</v>
      </c>
      <c r="C400" s="1" t="s">
        <v>742</v>
      </c>
      <c r="D400" s="1" t="s">
        <v>743</v>
      </c>
      <c r="E400" s="1" t="s">
        <v>745</v>
      </c>
      <c r="F400" s="1" t="s">
        <v>24</v>
      </c>
      <c r="G400" s="1" t="s">
        <v>54</v>
      </c>
      <c r="H400" s="2">
        <v>2950</v>
      </c>
      <c r="I400" s="1" t="s">
        <v>44</v>
      </c>
      <c r="J400" s="3" t="s">
        <v>27</v>
      </c>
      <c r="K400" s="2">
        <v>2500</v>
      </c>
      <c r="L400" s="2">
        <v>0</v>
      </c>
      <c r="M400" s="2">
        <v>225</v>
      </c>
      <c r="N400" s="2">
        <v>225</v>
      </c>
      <c r="O400" s="2">
        <v>0</v>
      </c>
      <c r="P400" s="7" t="s">
        <v>28</v>
      </c>
      <c r="Q400" s="1" t="s">
        <v>29</v>
      </c>
      <c r="R400" s="3" t="s">
        <v>45</v>
      </c>
      <c r="S400" s="1" t="s">
        <v>46</v>
      </c>
      <c r="T400" s="4" t="s">
        <v>31</v>
      </c>
      <c r="U400" s="7" t="s">
        <v>46</v>
      </c>
      <c r="V400" s="7" t="s">
        <v>46</v>
      </c>
      <c r="W400" s="7" t="s">
        <v>46</v>
      </c>
      <c r="X400" s="7" t="s">
        <v>1751</v>
      </c>
      <c r="Y400" s="10">
        <f t="shared" si="13"/>
        <v>450</v>
      </c>
      <c r="AH400" s="5" t="e">
        <f>VLOOKUP(B400,[1]DL!$BK:$BP,6,0)</f>
        <v>#N/A</v>
      </c>
    </row>
    <row r="401" spans="1:34" ht="14.5" hidden="1">
      <c r="A401" s="5">
        <v>398</v>
      </c>
      <c r="B401" s="5" t="str">
        <f t="shared" si="12"/>
        <v>07BEXPM4060G1Z5KT/APR/26-27/003</v>
      </c>
      <c r="C401" s="1" t="s">
        <v>742</v>
      </c>
      <c r="D401" s="1" t="s">
        <v>743</v>
      </c>
      <c r="E401" s="1" t="s">
        <v>746</v>
      </c>
      <c r="F401" s="1" t="s">
        <v>24</v>
      </c>
      <c r="G401" s="1" t="s">
        <v>50</v>
      </c>
      <c r="H401" s="2">
        <v>3776</v>
      </c>
      <c r="I401" s="1" t="s">
        <v>44</v>
      </c>
      <c r="J401" s="3" t="s">
        <v>27</v>
      </c>
      <c r="K401" s="2">
        <v>3200</v>
      </c>
      <c r="L401" s="2">
        <v>0</v>
      </c>
      <c r="M401" s="2">
        <v>288</v>
      </c>
      <c r="N401" s="2">
        <v>288</v>
      </c>
      <c r="O401" s="2">
        <v>0</v>
      </c>
      <c r="P401" s="7" t="s">
        <v>28</v>
      </c>
      <c r="Q401" s="1" t="s">
        <v>29</v>
      </c>
      <c r="R401" s="3" t="s">
        <v>45</v>
      </c>
      <c r="S401" s="1" t="s">
        <v>46</v>
      </c>
      <c r="T401" s="4" t="s">
        <v>31</v>
      </c>
      <c r="U401" s="7" t="s">
        <v>46</v>
      </c>
      <c r="V401" s="7" t="s">
        <v>46</v>
      </c>
      <c r="W401" s="7" t="s">
        <v>46</v>
      </c>
      <c r="X401" s="7" t="s">
        <v>1751</v>
      </c>
      <c r="Y401" s="10">
        <f t="shared" si="13"/>
        <v>576</v>
      </c>
      <c r="AH401" s="5" t="e">
        <f>VLOOKUP(B401,[1]DL!$BK:$BP,6,0)</f>
        <v>#N/A</v>
      </c>
    </row>
    <row r="402" spans="1:34" ht="14.5" hidden="1">
      <c r="A402" s="5">
        <v>399</v>
      </c>
      <c r="B402" s="5" t="str">
        <f t="shared" si="12"/>
        <v>07BEXPM4060G1Z5KT/APR/26-27/004</v>
      </c>
      <c r="C402" s="1" t="s">
        <v>742</v>
      </c>
      <c r="D402" s="1" t="s">
        <v>743</v>
      </c>
      <c r="E402" s="1" t="s">
        <v>747</v>
      </c>
      <c r="F402" s="1" t="s">
        <v>24</v>
      </c>
      <c r="G402" s="1" t="s">
        <v>50</v>
      </c>
      <c r="H402" s="2">
        <v>3186</v>
      </c>
      <c r="I402" s="1" t="s">
        <v>44</v>
      </c>
      <c r="J402" s="3" t="s">
        <v>27</v>
      </c>
      <c r="K402" s="2">
        <v>2700</v>
      </c>
      <c r="L402" s="2">
        <v>0</v>
      </c>
      <c r="M402" s="2">
        <v>243</v>
      </c>
      <c r="N402" s="2">
        <v>243</v>
      </c>
      <c r="O402" s="2">
        <v>0</v>
      </c>
      <c r="P402" s="7" t="s">
        <v>28</v>
      </c>
      <c r="Q402" s="1" t="s">
        <v>29</v>
      </c>
      <c r="R402" s="3" t="s">
        <v>45</v>
      </c>
      <c r="S402" s="1" t="s">
        <v>46</v>
      </c>
      <c r="T402" s="4" t="s">
        <v>31</v>
      </c>
      <c r="U402" s="7" t="s">
        <v>46</v>
      </c>
      <c r="V402" s="7" t="s">
        <v>46</v>
      </c>
      <c r="W402" s="7" t="s">
        <v>46</v>
      </c>
      <c r="X402" s="7" t="s">
        <v>1751</v>
      </c>
      <c r="Y402" s="10">
        <f t="shared" si="13"/>
        <v>486</v>
      </c>
      <c r="AH402" s="5" t="e">
        <f>VLOOKUP(B402,[1]DL!$BK:$BP,6,0)</f>
        <v>#N/A</v>
      </c>
    </row>
    <row r="403" spans="1:34" ht="14.5" hidden="1">
      <c r="A403" s="5">
        <v>400</v>
      </c>
      <c r="B403" s="5" t="str">
        <f t="shared" si="12"/>
        <v>07BEXPM4060G1Z5KT/APR/26-27/005</v>
      </c>
      <c r="C403" s="1" t="s">
        <v>742</v>
      </c>
      <c r="D403" s="1" t="s">
        <v>743</v>
      </c>
      <c r="E403" s="1" t="s">
        <v>748</v>
      </c>
      <c r="F403" s="1" t="s">
        <v>24</v>
      </c>
      <c r="G403" s="1" t="s">
        <v>50</v>
      </c>
      <c r="H403" s="2">
        <v>9440</v>
      </c>
      <c r="I403" s="1" t="s">
        <v>44</v>
      </c>
      <c r="J403" s="3" t="s">
        <v>27</v>
      </c>
      <c r="K403" s="2">
        <v>8000</v>
      </c>
      <c r="L403" s="2">
        <v>0</v>
      </c>
      <c r="M403" s="2">
        <v>720</v>
      </c>
      <c r="N403" s="2">
        <v>720</v>
      </c>
      <c r="O403" s="2">
        <v>0</v>
      </c>
      <c r="P403" s="7" t="s">
        <v>28</v>
      </c>
      <c r="Q403" s="1" t="s">
        <v>29</v>
      </c>
      <c r="R403" s="3" t="s">
        <v>45</v>
      </c>
      <c r="S403" s="1" t="s">
        <v>46</v>
      </c>
      <c r="T403" s="4" t="s">
        <v>31</v>
      </c>
      <c r="U403" s="7" t="s">
        <v>46</v>
      </c>
      <c r="V403" s="7" t="s">
        <v>46</v>
      </c>
      <c r="W403" s="7" t="s">
        <v>46</v>
      </c>
      <c r="X403" s="7" t="s">
        <v>1751</v>
      </c>
      <c r="Y403" s="10">
        <f t="shared" si="13"/>
        <v>1440</v>
      </c>
      <c r="AH403" s="5" t="e">
        <f>VLOOKUP(B403,[1]DL!$BK:$BP,6,0)</f>
        <v>#N/A</v>
      </c>
    </row>
    <row r="404" spans="1:34" ht="14.5" hidden="1">
      <c r="A404" s="5">
        <v>401</v>
      </c>
      <c r="B404" s="5" t="str">
        <f t="shared" si="12"/>
        <v>07BEXPM4060G1Z5KT/APR/26-27/008</v>
      </c>
      <c r="C404" s="1" t="s">
        <v>742</v>
      </c>
      <c r="D404" s="1" t="s">
        <v>743</v>
      </c>
      <c r="E404" s="1" t="s">
        <v>749</v>
      </c>
      <c r="F404" s="1" t="s">
        <v>24</v>
      </c>
      <c r="G404" s="1" t="s">
        <v>52</v>
      </c>
      <c r="H404" s="2">
        <v>3776</v>
      </c>
      <c r="I404" s="1" t="s">
        <v>44</v>
      </c>
      <c r="J404" s="3" t="s">
        <v>27</v>
      </c>
      <c r="K404" s="2">
        <v>3200</v>
      </c>
      <c r="L404" s="2">
        <v>0</v>
      </c>
      <c r="M404" s="2">
        <v>288</v>
      </c>
      <c r="N404" s="2">
        <v>288</v>
      </c>
      <c r="O404" s="2">
        <v>0</v>
      </c>
      <c r="P404" s="7" t="s">
        <v>28</v>
      </c>
      <c r="Q404" s="1" t="s">
        <v>29</v>
      </c>
      <c r="R404" s="3" t="s">
        <v>45</v>
      </c>
      <c r="S404" s="1" t="s">
        <v>46</v>
      </c>
      <c r="T404" s="4" t="s">
        <v>31</v>
      </c>
      <c r="U404" s="7" t="s">
        <v>46</v>
      </c>
      <c r="V404" s="7" t="s">
        <v>46</v>
      </c>
      <c r="W404" s="7" t="s">
        <v>46</v>
      </c>
      <c r="X404" s="7" t="s">
        <v>1751</v>
      </c>
      <c r="Y404" s="10">
        <f t="shared" si="13"/>
        <v>576</v>
      </c>
      <c r="AH404" s="5" t="e">
        <f>VLOOKUP(B404,[1]DL!$BK:$BP,6,0)</f>
        <v>#N/A</v>
      </c>
    </row>
    <row r="405" spans="1:34" ht="14.5" hidden="1">
      <c r="A405" s="5">
        <v>402</v>
      </c>
      <c r="B405" s="5" t="str">
        <f t="shared" si="12"/>
        <v>07BEXPM4060G1Z5KT/APR/26-27/009</v>
      </c>
      <c r="C405" s="1" t="s">
        <v>742</v>
      </c>
      <c r="D405" s="1" t="s">
        <v>743</v>
      </c>
      <c r="E405" s="1" t="s">
        <v>750</v>
      </c>
      <c r="F405" s="1" t="s">
        <v>24</v>
      </c>
      <c r="G405" s="1" t="s">
        <v>52</v>
      </c>
      <c r="H405" s="2">
        <v>3186</v>
      </c>
      <c r="I405" s="1" t="s">
        <v>44</v>
      </c>
      <c r="J405" s="3" t="s">
        <v>27</v>
      </c>
      <c r="K405" s="2">
        <v>2700</v>
      </c>
      <c r="L405" s="2">
        <v>0</v>
      </c>
      <c r="M405" s="2">
        <v>243</v>
      </c>
      <c r="N405" s="2">
        <v>243</v>
      </c>
      <c r="O405" s="2">
        <v>0</v>
      </c>
      <c r="P405" s="7" t="s">
        <v>28</v>
      </c>
      <c r="Q405" s="1" t="s">
        <v>29</v>
      </c>
      <c r="R405" s="3" t="s">
        <v>45</v>
      </c>
      <c r="S405" s="1" t="s">
        <v>46</v>
      </c>
      <c r="T405" s="4" t="s">
        <v>31</v>
      </c>
      <c r="U405" s="7" t="s">
        <v>46</v>
      </c>
      <c r="V405" s="7" t="s">
        <v>46</v>
      </c>
      <c r="W405" s="7" t="s">
        <v>46</v>
      </c>
      <c r="X405" s="7" t="s">
        <v>1751</v>
      </c>
      <c r="Y405" s="10">
        <f t="shared" si="13"/>
        <v>486</v>
      </c>
      <c r="AH405" s="5" t="e">
        <f>VLOOKUP(B405,[1]DL!$BK:$BP,6,0)</f>
        <v>#N/A</v>
      </c>
    </row>
    <row r="406" spans="1:34" ht="14.5" hidden="1">
      <c r="A406" s="5">
        <v>403</v>
      </c>
      <c r="B406" s="5" t="str">
        <f t="shared" si="12"/>
        <v>07BEXPM4060G1Z5KT/APR/26-27/010</v>
      </c>
      <c r="C406" s="1" t="s">
        <v>742</v>
      </c>
      <c r="D406" s="1" t="s">
        <v>743</v>
      </c>
      <c r="E406" s="1" t="s">
        <v>751</v>
      </c>
      <c r="F406" s="1" t="s">
        <v>24</v>
      </c>
      <c r="G406" s="1" t="s">
        <v>52</v>
      </c>
      <c r="H406" s="2">
        <v>9440</v>
      </c>
      <c r="I406" s="1" t="s">
        <v>44</v>
      </c>
      <c r="J406" s="3" t="s">
        <v>27</v>
      </c>
      <c r="K406" s="2">
        <v>8000</v>
      </c>
      <c r="L406" s="2">
        <v>0</v>
      </c>
      <c r="M406" s="2">
        <v>720</v>
      </c>
      <c r="N406" s="2">
        <v>720</v>
      </c>
      <c r="O406" s="2">
        <v>0</v>
      </c>
      <c r="P406" s="7" t="s">
        <v>28</v>
      </c>
      <c r="Q406" s="1" t="s">
        <v>29</v>
      </c>
      <c r="R406" s="3" t="s">
        <v>45</v>
      </c>
      <c r="S406" s="1" t="s">
        <v>46</v>
      </c>
      <c r="T406" s="4" t="s">
        <v>31</v>
      </c>
      <c r="U406" s="7" t="s">
        <v>46</v>
      </c>
      <c r="V406" s="7" t="s">
        <v>46</v>
      </c>
      <c r="W406" s="7" t="s">
        <v>46</v>
      </c>
      <c r="X406" s="7" t="s">
        <v>1751</v>
      </c>
      <c r="Y406" s="10">
        <f t="shared" si="13"/>
        <v>1440</v>
      </c>
      <c r="AH406" s="5" t="e">
        <f>VLOOKUP(B406,[1]DL!$BK:$BP,6,0)</f>
        <v>#N/A</v>
      </c>
    </row>
    <row r="407" spans="1:34" ht="14.5" hidden="1">
      <c r="A407" s="5">
        <v>404</v>
      </c>
      <c r="B407" s="5" t="str">
        <f t="shared" si="12"/>
        <v>07BEXPM4060G1Z5KT/APR/26-27/013</v>
      </c>
      <c r="C407" s="1" t="s">
        <v>742</v>
      </c>
      <c r="D407" s="1" t="s">
        <v>743</v>
      </c>
      <c r="E407" s="1" t="s">
        <v>752</v>
      </c>
      <c r="F407" s="1" t="s">
        <v>24</v>
      </c>
      <c r="G407" s="1" t="s">
        <v>128</v>
      </c>
      <c r="H407" s="2">
        <v>168.74</v>
      </c>
      <c r="I407" s="1" t="s">
        <v>44</v>
      </c>
      <c r="J407" s="3" t="s">
        <v>27</v>
      </c>
      <c r="K407" s="2">
        <v>143</v>
      </c>
      <c r="L407" s="2">
        <v>0</v>
      </c>
      <c r="M407" s="2">
        <v>12.87</v>
      </c>
      <c r="N407" s="2">
        <v>12.87</v>
      </c>
      <c r="O407" s="2">
        <v>0</v>
      </c>
      <c r="P407" s="7" t="s">
        <v>28</v>
      </c>
      <c r="Q407" s="1" t="s">
        <v>29</v>
      </c>
      <c r="R407" s="3" t="s">
        <v>45</v>
      </c>
      <c r="S407" s="1" t="s">
        <v>46</v>
      </c>
      <c r="T407" s="4" t="s">
        <v>31</v>
      </c>
      <c r="U407" s="7" t="s">
        <v>46</v>
      </c>
      <c r="V407" s="7" t="s">
        <v>46</v>
      </c>
      <c r="W407" s="7" t="s">
        <v>46</v>
      </c>
      <c r="X407" s="7" t="s">
        <v>1751</v>
      </c>
      <c r="Y407" s="10">
        <f t="shared" si="13"/>
        <v>25.739999999999998</v>
      </c>
      <c r="AH407" s="5" t="e">
        <f>VLOOKUP(B407,[1]DL!$BK:$BP,6,0)</f>
        <v>#N/A</v>
      </c>
    </row>
    <row r="408" spans="1:34" ht="14.5" hidden="1">
      <c r="A408" s="5">
        <v>405</v>
      </c>
      <c r="B408" s="5" t="str">
        <f t="shared" si="12"/>
        <v>07BEXPM4060G1Z5KT/APR/26-27/015</v>
      </c>
      <c r="C408" s="1" t="s">
        <v>742</v>
      </c>
      <c r="D408" s="1" t="s">
        <v>743</v>
      </c>
      <c r="E408" s="1" t="s">
        <v>753</v>
      </c>
      <c r="F408" s="1" t="s">
        <v>24</v>
      </c>
      <c r="G408" s="1" t="s">
        <v>128</v>
      </c>
      <c r="H408" s="2">
        <v>34.22</v>
      </c>
      <c r="I408" s="1" t="s">
        <v>44</v>
      </c>
      <c r="J408" s="3" t="s">
        <v>27</v>
      </c>
      <c r="K408" s="2">
        <v>29</v>
      </c>
      <c r="L408" s="2">
        <v>0</v>
      </c>
      <c r="M408" s="2">
        <v>2.61</v>
      </c>
      <c r="N408" s="2">
        <v>2.61</v>
      </c>
      <c r="O408" s="2">
        <v>0</v>
      </c>
      <c r="P408" s="7" t="s">
        <v>28</v>
      </c>
      <c r="Q408" s="1" t="s">
        <v>29</v>
      </c>
      <c r="R408" s="3" t="s">
        <v>45</v>
      </c>
      <c r="S408" s="1" t="s">
        <v>46</v>
      </c>
      <c r="T408" s="4" t="s">
        <v>31</v>
      </c>
      <c r="U408" s="7" t="s">
        <v>46</v>
      </c>
      <c r="V408" s="7" t="s">
        <v>46</v>
      </c>
      <c r="W408" s="7" t="s">
        <v>46</v>
      </c>
      <c r="X408" s="7" t="s">
        <v>1751</v>
      </c>
      <c r="Y408" s="10">
        <f t="shared" si="13"/>
        <v>5.2199999999999998</v>
      </c>
      <c r="AH408" s="5" t="e">
        <f>VLOOKUP(B408,[1]DL!$BK:$BP,6,0)</f>
        <v>#N/A</v>
      </c>
    </row>
    <row r="409" spans="1:34" ht="14.5" hidden="1">
      <c r="A409" s="5">
        <v>406</v>
      </c>
      <c r="B409" s="5" t="str">
        <f t="shared" si="12"/>
        <v>07BEXPM4060G1Z5KT/APR/26-27/016</v>
      </c>
      <c r="C409" s="1" t="s">
        <v>742</v>
      </c>
      <c r="D409" s="1" t="s">
        <v>743</v>
      </c>
      <c r="E409" s="1" t="s">
        <v>754</v>
      </c>
      <c r="F409" s="1" t="s">
        <v>24</v>
      </c>
      <c r="G409" s="1" t="s">
        <v>128</v>
      </c>
      <c r="H409" s="2">
        <v>89.68</v>
      </c>
      <c r="I409" s="1" t="s">
        <v>44</v>
      </c>
      <c r="J409" s="3" t="s">
        <v>27</v>
      </c>
      <c r="K409" s="2">
        <v>76</v>
      </c>
      <c r="L409" s="2">
        <v>0</v>
      </c>
      <c r="M409" s="2">
        <v>6.84</v>
      </c>
      <c r="N409" s="2">
        <v>6.84</v>
      </c>
      <c r="O409" s="2">
        <v>0</v>
      </c>
      <c r="P409" s="7" t="s">
        <v>28</v>
      </c>
      <c r="Q409" s="1" t="s">
        <v>29</v>
      </c>
      <c r="R409" s="3" t="s">
        <v>45</v>
      </c>
      <c r="S409" s="1" t="s">
        <v>46</v>
      </c>
      <c r="T409" s="4" t="s">
        <v>31</v>
      </c>
      <c r="U409" s="7" t="s">
        <v>46</v>
      </c>
      <c r="V409" s="7" t="s">
        <v>46</v>
      </c>
      <c r="W409" s="7" t="s">
        <v>46</v>
      </c>
      <c r="X409" s="7" t="s">
        <v>1751</v>
      </c>
      <c r="Y409" s="10">
        <f t="shared" si="13"/>
        <v>13.68</v>
      </c>
      <c r="AH409" s="5" t="e">
        <f>VLOOKUP(B409,[1]DL!$BK:$BP,6,0)</f>
        <v>#N/A</v>
      </c>
    </row>
    <row r="410" spans="1:34" ht="14.5" hidden="1">
      <c r="A410" s="5">
        <v>407</v>
      </c>
      <c r="B410" s="5" t="str">
        <f t="shared" si="12"/>
        <v>07BEXPM4060G1Z5KT/APR/26-27/017</v>
      </c>
      <c r="C410" s="1" t="s">
        <v>742</v>
      </c>
      <c r="D410" s="1" t="s">
        <v>743</v>
      </c>
      <c r="E410" s="1" t="s">
        <v>755</v>
      </c>
      <c r="F410" s="1" t="s">
        <v>24</v>
      </c>
      <c r="G410" s="1" t="s">
        <v>128</v>
      </c>
      <c r="H410" s="2">
        <v>323.32</v>
      </c>
      <c r="I410" s="1" t="s">
        <v>44</v>
      </c>
      <c r="J410" s="3" t="s">
        <v>27</v>
      </c>
      <c r="K410" s="2">
        <v>274</v>
      </c>
      <c r="L410" s="2">
        <v>0</v>
      </c>
      <c r="M410" s="2">
        <v>24.66</v>
      </c>
      <c r="N410" s="2">
        <v>24.66</v>
      </c>
      <c r="O410" s="2">
        <v>0</v>
      </c>
      <c r="P410" s="7" t="s">
        <v>28</v>
      </c>
      <c r="Q410" s="1" t="s">
        <v>29</v>
      </c>
      <c r="R410" s="3" t="s">
        <v>45</v>
      </c>
      <c r="S410" s="1" t="s">
        <v>46</v>
      </c>
      <c r="T410" s="4" t="s">
        <v>31</v>
      </c>
      <c r="U410" s="7" t="s">
        <v>46</v>
      </c>
      <c r="V410" s="7" t="s">
        <v>46</v>
      </c>
      <c r="W410" s="7" t="s">
        <v>46</v>
      </c>
      <c r="X410" s="7" t="s">
        <v>1751</v>
      </c>
      <c r="Y410" s="10">
        <f t="shared" si="13"/>
        <v>49.32</v>
      </c>
      <c r="AH410" s="5" t="e">
        <f>VLOOKUP(B410,[1]DL!$BK:$BP,6,0)</f>
        <v>#N/A</v>
      </c>
    </row>
    <row r="411" spans="1:34" ht="14.5" hidden="1">
      <c r="A411" s="5">
        <v>408</v>
      </c>
      <c r="B411" s="5" t="str">
        <f t="shared" si="12"/>
        <v>07BEXPM4060G1Z5KT/APR/26-27/018</v>
      </c>
      <c r="C411" s="1" t="s">
        <v>742</v>
      </c>
      <c r="D411" s="1" t="s">
        <v>743</v>
      </c>
      <c r="E411" s="1" t="s">
        <v>756</v>
      </c>
      <c r="F411" s="1" t="s">
        <v>24</v>
      </c>
      <c r="G411" s="1" t="s">
        <v>128</v>
      </c>
      <c r="H411" s="2">
        <v>30.68</v>
      </c>
      <c r="I411" s="1" t="s">
        <v>44</v>
      </c>
      <c r="J411" s="3" t="s">
        <v>27</v>
      </c>
      <c r="K411" s="2">
        <v>26</v>
      </c>
      <c r="L411" s="2">
        <v>0</v>
      </c>
      <c r="M411" s="2">
        <v>2.34</v>
      </c>
      <c r="N411" s="2">
        <v>2.34</v>
      </c>
      <c r="O411" s="2">
        <v>0</v>
      </c>
      <c r="P411" s="7" t="s">
        <v>28</v>
      </c>
      <c r="Q411" s="1" t="s">
        <v>29</v>
      </c>
      <c r="R411" s="3" t="s">
        <v>45</v>
      </c>
      <c r="S411" s="1" t="s">
        <v>46</v>
      </c>
      <c r="T411" s="4" t="s">
        <v>31</v>
      </c>
      <c r="U411" s="7" t="s">
        <v>46</v>
      </c>
      <c r="V411" s="7" t="s">
        <v>46</v>
      </c>
      <c r="W411" s="7" t="s">
        <v>46</v>
      </c>
      <c r="X411" s="7" t="s">
        <v>1751</v>
      </c>
      <c r="Y411" s="10">
        <f t="shared" si="13"/>
        <v>4.6799999999999997</v>
      </c>
      <c r="AH411" s="5" t="e">
        <f>VLOOKUP(B411,[1]DL!$BK:$BP,6,0)</f>
        <v>#N/A</v>
      </c>
    </row>
    <row r="412" spans="1:34" ht="14.5" hidden="1">
      <c r="A412" s="5">
        <v>409</v>
      </c>
      <c r="B412" s="5" t="str">
        <f t="shared" si="12"/>
        <v>07BEXPM4060G1Z5KT/APR/26-27/019</v>
      </c>
      <c r="C412" s="1" t="s">
        <v>742</v>
      </c>
      <c r="D412" s="1" t="s">
        <v>743</v>
      </c>
      <c r="E412" s="1" t="s">
        <v>757</v>
      </c>
      <c r="F412" s="1" t="s">
        <v>24</v>
      </c>
      <c r="G412" s="1" t="s">
        <v>128</v>
      </c>
      <c r="H412" s="2">
        <v>1509.22</v>
      </c>
      <c r="I412" s="1" t="s">
        <v>44</v>
      </c>
      <c r="J412" s="3" t="s">
        <v>27</v>
      </c>
      <c r="K412" s="2">
        <v>1279</v>
      </c>
      <c r="L412" s="2">
        <v>0</v>
      </c>
      <c r="M412" s="2">
        <v>115.11</v>
      </c>
      <c r="N412" s="2">
        <v>115.11</v>
      </c>
      <c r="O412" s="2">
        <v>0</v>
      </c>
      <c r="P412" s="7" t="s">
        <v>28</v>
      </c>
      <c r="Q412" s="1" t="s">
        <v>29</v>
      </c>
      <c r="R412" s="3" t="s">
        <v>45</v>
      </c>
      <c r="S412" s="1" t="s">
        <v>46</v>
      </c>
      <c r="T412" s="4" t="s">
        <v>31</v>
      </c>
      <c r="U412" s="7" t="s">
        <v>46</v>
      </c>
      <c r="V412" s="7" t="s">
        <v>46</v>
      </c>
      <c r="W412" s="7" t="s">
        <v>46</v>
      </c>
      <c r="X412" s="7" t="s">
        <v>1751</v>
      </c>
      <c r="Y412" s="10">
        <f t="shared" si="13"/>
        <v>230.22</v>
      </c>
      <c r="AH412" s="5" t="e">
        <f>VLOOKUP(B412,[1]DL!$BK:$BP,6,0)</f>
        <v>#N/A</v>
      </c>
    </row>
    <row r="413" spans="1:34" ht="14.5" hidden="1">
      <c r="A413" s="5">
        <v>410</v>
      </c>
      <c r="B413" s="5" t="str">
        <f t="shared" si="12"/>
        <v>07ABEFR5484L1ZMGST/26-27/3</v>
      </c>
      <c r="C413" s="1" t="s">
        <v>758</v>
      </c>
      <c r="D413" s="1" t="s">
        <v>759</v>
      </c>
      <c r="E413" s="1" t="s">
        <v>760</v>
      </c>
      <c r="F413" s="1" t="s">
        <v>24</v>
      </c>
      <c r="G413" s="1" t="s">
        <v>420</v>
      </c>
      <c r="H413" s="2">
        <v>22292</v>
      </c>
      <c r="I413" s="1" t="s">
        <v>44</v>
      </c>
      <c r="J413" s="3" t="s">
        <v>27</v>
      </c>
      <c r="K413" s="2">
        <v>21230.52</v>
      </c>
      <c r="L413" s="2">
        <v>0</v>
      </c>
      <c r="M413" s="2">
        <v>530.76</v>
      </c>
      <c r="N413" s="2">
        <v>530.76</v>
      </c>
      <c r="O413" s="2">
        <v>0</v>
      </c>
      <c r="P413" s="7" t="s">
        <v>28</v>
      </c>
      <c r="Q413" s="1" t="s">
        <v>94</v>
      </c>
      <c r="R413" s="3" t="s">
        <v>45</v>
      </c>
      <c r="S413" s="1" t="s">
        <v>46</v>
      </c>
      <c r="T413" s="4" t="s">
        <v>31</v>
      </c>
      <c r="U413" s="7" t="s">
        <v>32</v>
      </c>
      <c r="V413" s="7" t="s">
        <v>761</v>
      </c>
      <c r="W413" s="7" t="s">
        <v>76</v>
      </c>
      <c r="X413" s="7" t="s">
        <v>1751</v>
      </c>
      <c r="Y413" s="10">
        <f t="shared" si="13"/>
        <v>1061.52</v>
      </c>
      <c r="AH413" s="5" t="e">
        <f>VLOOKUP(B413,[1]DL!$BK:$BP,6,0)</f>
        <v>#N/A</v>
      </c>
    </row>
    <row r="414" spans="1:34" ht="14.5" hidden="1">
      <c r="A414" s="5">
        <v>411</v>
      </c>
      <c r="B414" s="5" t="str">
        <f t="shared" si="12"/>
        <v>07ABEFR5484L1ZMSER/26-27/1</v>
      </c>
      <c r="C414" s="1" t="s">
        <v>758</v>
      </c>
      <c r="D414" s="1" t="s">
        <v>759</v>
      </c>
      <c r="E414" s="1" t="s">
        <v>762</v>
      </c>
      <c r="F414" s="1" t="s">
        <v>24</v>
      </c>
      <c r="G414" s="1" t="s">
        <v>171</v>
      </c>
      <c r="H414" s="2">
        <v>2360</v>
      </c>
      <c r="I414" s="1" t="s">
        <v>44</v>
      </c>
      <c r="J414" s="3" t="s">
        <v>27</v>
      </c>
      <c r="K414" s="2">
        <v>2000</v>
      </c>
      <c r="L414" s="2">
        <v>0</v>
      </c>
      <c r="M414" s="2">
        <v>180</v>
      </c>
      <c r="N414" s="2">
        <v>180</v>
      </c>
      <c r="O414" s="2">
        <v>0</v>
      </c>
      <c r="P414" s="7" t="s">
        <v>28</v>
      </c>
      <c r="Q414" s="1" t="s">
        <v>94</v>
      </c>
      <c r="R414" s="3" t="s">
        <v>45</v>
      </c>
      <c r="S414" s="1" t="s">
        <v>46</v>
      </c>
      <c r="T414" s="4" t="s">
        <v>31</v>
      </c>
      <c r="U414" s="7" t="s">
        <v>32</v>
      </c>
      <c r="V414" s="7" t="s">
        <v>763</v>
      </c>
      <c r="W414" s="7" t="s">
        <v>171</v>
      </c>
      <c r="X414" s="7" t="s">
        <v>1751</v>
      </c>
      <c r="Y414" s="10">
        <f t="shared" si="13"/>
        <v>360</v>
      </c>
      <c r="AH414" s="5" t="e">
        <f>VLOOKUP(B414,[1]DL!$BK:$BP,6,0)</f>
        <v>#N/A</v>
      </c>
    </row>
    <row r="415" spans="1:34" ht="14.5" hidden="1">
      <c r="A415" s="5">
        <v>412</v>
      </c>
      <c r="B415" s="5" t="str">
        <f t="shared" si="12"/>
        <v>07ABEFR5484L1ZMSER/26-27/2</v>
      </c>
      <c r="C415" s="1" t="s">
        <v>758</v>
      </c>
      <c r="D415" s="1" t="s">
        <v>759</v>
      </c>
      <c r="E415" s="1" t="s">
        <v>764</v>
      </c>
      <c r="F415" s="1" t="s">
        <v>24</v>
      </c>
      <c r="G415" s="1" t="s">
        <v>171</v>
      </c>
      <c r="H415" s="2">
        <v>1180</v>
      </c>
      <c r="I415" s="1" t="s">
        <v>44</v>
      </c>
      <c r="J415" s="3" t="s">
        <v>27</v>
      </c>
      <c r="K415" s="2">
        <v>1000</v>
      </c>
      <c r="L415" s="2">
        <v>0</v>
      </c>
      <c r="M415" s="2">
        <v>90</v>
      </c>
      <c r="N415" s="2">
        <v>90</v>
      </c>
      <c r="O415" s="2">
        <v>0</v>
      </c>
      <c r="P415" s="7" t="s">
        <v>28</v>
      </c>
      <c r="Q415" s="1" t="s">
        <v>94</v>
      </c>
      <c r="R415" s="3" t="s">
        <v>45</v>
      </c>
      <c r="S415" s="1" t="s">
        <v>46</v>
      </c>
      <c r="T415" s="4" t="s">
        <v>31</v>
      </c>
      <c r="U415" s="7" t="s">
        <v>32</v>
      </c>
      <c r="V415" s="7" t="s">
        <v>765</v>
      </c>
      <c r="W415" s="7" t="s">
        <v>171</v>
      </c>
      <c r="X415" s="7" t="s">
        <v>1751</v>
      </c>
      <c r="Y415" s="10">
        <f t="shared" si="13"/>
        <v>180</v>
      </c>
      <c r="AH415" s="5" t="e">
        <f>VLOOKUP(B415,[1]DL!$BK:$BP,6,0)</f>
        <v>#N/A</v>
      </c>
    </row>
    <row r="416" spans="1:34" ht="14.5" hidden="1">
      <c r="A416" s="5">
        <v>413</v>
      </c>
      <c r="B416" s="5" t="str">
        <f t="shared" si="12"/>
        <v>07ABEFR5484L1ZMSER/26-27/3</v>
      </c>
      <c r="C416" s="1" t="s">
        <v>758</v>
      </c>
      <c r="D416" s="1" t="s">
        <v>759</v>
      </c>
      <c r="E416" s="1" t="s">
        <v>766</v>
      </c>
      <c r="F416" s="1" t="s">
        <v>24</v>
      </c>
      <c r="G416" s="1" t="s">
        <v>171</v>
      </c>
      <c r="H416" s="2">
        <v>18998</v>
      </c>
      <c r="I416" s="1" t="s">
        <v>44</v>
      </c>
      <c r="J416" s="3" t="s">
        <v>27</v>
      </c>
      <c r="K416" s="2">
        <v>16100</v>
      </c>
      <c r="L416" s="2">
        <v>0</v>
      </c>
      <c r="M416" s="2">
        <v>1449</v>
      </c>
      <c r="N416" s="2">
        <v>1449</v>
      </c>
      <c r="O416" s="2">
        <v>0</v>
      </c>
      <c r="P416" s="7" t="s">
        <v>28</v>
      </c>
      <c r="Q416" s="1" t="s">
        <v>94</v>
      </c>
      <c r="R416" s="3" t="s">
        <v>45</v>
      </c>
      <c r="S416" s="1" t="s">
        <v>46</v>
      </c>
      <c r="T416" s="4" t="s">
        <v>31</v>
      </c>
      <c r="U416" s="7" t="s">
        <v>32</v>
      </c>
      <c r="V416" s="7" t="s">
        <v>767</v>
      </c>
      <c r="W416" s="7" t="s">
        <v>171</v>
      </c>
      <c r="X416" s="7" t="s">
        <v>1751</v>
      </c>
      <c r="Y416" s="10">
        <f t="shared" si="13"/>
        <v>2898</v>
      </c>
      <c r="AH416" s="5" t="e">
        <f>VLOOKUP(B416,[1]DL!$BK:$BP,6,0)</f>
        <v>#N/A</v>
      </c>
    </row>
    <row r="417" spans="1:34" ht="14.5" hidden="1">
      <c r="A417" s="5">
        <v>414</v>
      </c>
      <c r="B417" s="5" t="str">
        <f t="shared" si="12"/>
        <v>07ABEFR5484L1ZMSER/26-27/4</v>
      </c>
      <c r="C417" s="1" t="s">
        <v>758</v>
      </c>
      <c r="D417" s="1" t="s">
        <v>759</v>
      </c>
      <c r="E417" s="1" t="s">
        <v>768</v>
      </c>
      <c r="F417" s="1" t="s">
        <v>24</v>
      </c>
      <c r="G417" s="1" t="s">
        <v>171</v>
      </c>
      <c r="H417" s="2">
        <v>9440</v>
      </c>
      <c r="I417" s="1" t="s">
        <v>44</v>
      </c>
      <c r="J417" s="3" t="s">
        <v>27</v>
      </c>
      <c r="K417" s="2">
        <v>8000</v>
      </c>
      <c r="L417" s="2">
        <v>0</v>
      </c>
      <c r="M417" s="2">
        <v>720</v>
      </c>
      <c r="N417" s="2">
        <v>720</v>
      </c>
      <c r="O417" s="2">
        <v>0</v>
      </c>
      <c r="P417" s="7" t="s">
        <v>28</v>
      </c>
      <c r="Q417" s="1" t="s">
        <v>94</v>
      </c>
      <c r="R417" s="3" t="s">
        <v>45</v>
      </c>
      <c r="S417" s="1" t="s">
        <v>46</v>
      </c>
      <c r="T417" s="4" t="s">
        <v>31</v>
      </c>
      <c r="U417" s="7" t="s">
        <v>32</v>
      </c>
      <c r="V417" s="7" t="s">
        <v>769</v>
      </c>
      <c r="W417" s="7" t="s">
        <v>171</v>
      </c>
      <c r="X417" s="7" t="s">
        <v>1751</v>
      </c>
      <c r="Y417" s="10">
        <f t="shared" si="13"/>
        <v>1440</v>
      </c>
      <c r="AH417" s="5" t="e">
        <f>VLOOKUP(B417,[1]DL!$BK:$BP,6,0)</f>
        <v>#N/A</v>
      </c>
    </row>
    <row r="418" spans="1:34" ht="14.5" hidden="1">
      <c r="A418" s="5">
        <v>415</v>
      </c>
      <c r="B418" s="5" t="str">
        <f t="shared" si="12"/>
        <v>07ABEFR5484L1ZMSER/26-27/5</v>
      </c>
      <c r="C418" s="1" t="s">
        <v>758</v>
      </c>
      <c r="D418" s="1" t="s">
        <v>759</v>
      </c>
      <c r="E418" s="1" t="s">
        <v>770</v>
      </c>
      <c r="F418" s="1" t="s">
        <v>24</v>
      </c>
      <c r="G418" s="1" t="s">
        <v>128</v>
      </c>
      <c r="H418" s="2">
        <v>14278</v>
      </c>
      <c r="I418" s="1" t="s">
        <v>44</v>
      </c>
      <c r="J418" s="3" t="s">
        <v>27</v>
      </c>
      <c r="K418" s="2">
        <v>12100</v>
      </c>
      <c r="L418" s="2">
        <v>0</v>
      </c>
      <c r="M418" s="2">
        <v>1089</v>
      </c>
      <c r="N418" s="2">
        <v>1089</v>
      </c>
      <c r="O418" s="2">
        <v>0</v>
      </c>
      <c r="P418" s="7" t="s">
        <v>28</v>
      </c>
      <c r="Q418" s="1" t="s">
        <v>94</v>
      </c>
      <c r="R418" s="3" t="s">
        <v>45</v>
      </c>
      <c r="S418" s="1" t="s">
        <v>46</v>
      </c>
      <c r="T418" s="4" t="s">
        <v>31</v>
      </c>
      <c r="U418" s="7" t="s">
        <v>32</v>
      </c>
      <c r="V418" s="7" t="s">
        <v>771</v>
      </c>
      <c r="W418" s="7" t="s">
        <v>128</v>
      </c>
      <c r="X418" s="7" t="s">
        <v>1751</v>
      </c>
      <c r="Y418" s="10">
        <f t="shared" si="13"/>
        <v>2178</v>
      </c>
      <c r="AH418" s="5" t="e">
        <f>VLOOKUP(B418,[1]DL!$BK:$BP,6,0)</f>
        <v>#N/A</v>
      </c>
    </row>
    <row r="419" spans="1:34" ht="14.5" hidden="1">
      <c r="A419" s="5">
        <v>416</v>
      </c>
      <c r="B419" s="5" t="str">
        <f t="shared" si="12"/>
        <v>07ABEFR5484L1ZMSER/26-27/6</v>
      </c>
      <c r="C419" s="1" t="s">
        <v>758</v>
      </c>
      <c r="D419" s="1" t="s">
        <v>759</v>
      </c>
      <c r="E419" s="1" t="s">
        <v>772</v>
      </c>
      <c r="F419" s="1" t="s">
        <v>24</v>
      </c>
      <c r="G419" s="1" t="s">
        <v>128</v>
      </c>
      <c r="H419" s="2">
        <v>9086</v>
      </c>
      <c r="I419" s="1" t="s">
        <v>44</v>
      </c>
      <c r="J419" s="3" t="s">
        <v>27</v>
      </c>
      <c r="K419" s="2">
        <v>7700</v>
      </c>
      <c r="L419" s="2">
        <v>0</v>
      </c>
      <c r="M419" s="2">
        <v>693</v>
      </c>
      <c r="N419" s="2">
        <v>693</v>
      </c>
      <c r="O419" s="2">
        <v>0</v>
      </c>
      <c r="P419" s="7" t="s">
        <v>28</v>
      </c>
      <c r="Q419" s="1" t="s">
        <v>94</v>
      </c>
      <c r="R419" s="3" t="s">
        <v>45</v>
      </c>
      <c r="S419" s="1" t="s">
        <v>46</v>
      </c>
      <c r="T419" s="4" t="s">
        <v>31</v>
      </c>
      <c r="U419" s="7" t="s">
        <v>32</v>
      </c>
      <c r="V419" s="7" t="s">
        <v>773</v>
      </c>
      <c r="W419" s="7" t="s">
        <v>128</v>
      </c>
      <c r="X419" s="7" t="s">
        <v>1751</v>
      </c>
      <c r="Y419" s="10">
        <f t="shared" si="13"/>
        <v>1386</v>
      </c>
      <c r="AH419" s="5" t="e">
        <f>VLOOKUP(B419,[1]DL!$BK:$BP,6,0)</f>
        <v>#N/A</v>
      </c>
    </row>
    <row r="420" spans="1:34" ht="14.5" hidden="1">
      <c r="A420" s="5">
        <v>417</v>
      </c>
      <c r="B420" s="5" t="str">
        <f t="shared" si="12"/>
        <v>07ABEFR5484L1ZMSER/26-27/7</v>
      </c>
      <c r="C420" s="1" t="s">
        <v>758</v>
      </c>
      <c r="D420" s="1" t="s">
        <v>759</v>
      </c>
      <c r="E420" s="1" t="s">
        <v>774</v>
      </c>
      <c r="F420" s="1" t="s">
        <v>24</v>
      </c>
      <c r="G420" s="1" t="s">
        <v>128</v>
      </c>
      <c r="H420" s="2">
        <v>5782</v>
      </c>
      <c r="I420" s="1" t="s">
        <v>44</v>
      </c>
      <c r="J420" s="3" t="s">
        <v>27</v>
      </c>
      <c r="K420" s="2">
        <v>4900</v>
      </c>
      <c r="L420" s="2">
        <v>0</v>
      </c>
      <c r="M420" s="2">
        <v>441</v>
      </c>
      <c r="N420" s="2">
        <v>441</v>
      </c>
      <c r="O420" s="2">
        <v>0</v>
      </c>
      <c r="P420" s="7" t="s">
        <v>28</v>
      </c>
      <c r="Q420" s="1" t="s">
        <v>94</v>
      </c>
      <c r="R420" s="3" t="s">
        <v>45</v>
      </c>
      <c r="S420" s="1" t="s">
        <v>46</v>
      </c>
      <c r="T420" s="4" t="s">
        <v>31</v>
      </c>
      <c r="U420" s="7" t="s">
        <v>32</v>
      </c>
      <c r="V420" s="7" t="s">
        <v>775</v>
      </c>
      <c r="W420" s="7" t="s">
        <v>128</v>
      </c>
      <c r="X420" s="7" t="s">
        <v>1751</v>
      </c>
      <c r="Y420" s="10">
        <f t="shared" si="13"/>
        <v>882</v>
      </c>
      <c r="AH420" s="5" t="e">
        <f>VLOOKUP(B420,[1]DL!$BK:$BP,6,0)</f>
        <v>#N/A</v>
      </c>
    </row>
    <row r="421" spans="1:34" ht="14.5" hidden="1">
      <c r="A421" s="5">
        <v>418</v>
      </c>
      <c r="B421" s="5" t="str">
        <f t="shared" si="12"/>
        <v>06AMQPG9240A1Z8GPI/001/2026-27</v>
      </c>
      <c r="C421" s="1" t="s">
        <v>776</v>
      </c>
      <c r="D421" s="1" t="s">
        <v>777</v>
      </c>
      <c r="E421" s="1" t="s">
        <v>778</v>
      </c>
      <c r="F421" s="1" t="s">
        <v>24</v>
      </c>
      <c r="G421" s="1" t="s">
        <v>204</v>
      </c>
      <c r="H421" s="2">
        <v>70800</v>
      </c>
      <c r="I421" s="1" t="s">
        <v>44</v>
      </c>
      <c r="J421" s="3" t="s">
        <v>27</v>
      </c>
      <c r="K421" s="2">
        <v>60000</v>
      </c>
      <c r="L421" s="2">
        <v>10800</v>
      </c>
      <c r="M421" s="2">
        <v>0</v>
      </c>
      <c r="N421" s="2">
        <v>0</v>
      </c>
      <c r="O421" s="2">
        <v>0</v>
      </c>
      <c r="P421" s="7" t="s">
        <v>28</v>
      </c>
      <c r="Q421" s="1" t="s">
        <v>179</v>
      </c>
      <c r="R421" s="3" t="s">
        <v>45</v>
      </c>
      <c r="S421" s="1" t="s">
        <v>46</v>
      </c>
      <c r="T421" s="4" t="s">
        <v>31</v>
      </c>
      <c r="U421" s="7" t="s">
        <v>46</v>
      </c>
      <c r="V421" s="7" t="s">
        <v>46</v>
      </c>
      <c r="W421" s="7" t="s">
        <v>46</v>
      </c>
      <c r="X421" s="7" t="s">
        <v>1751</v>
      </c>
      <c r="Y421" s="10">
        <f t="shared" si="13"/>
        <v>10800</v>
      </c>
      <c r="AH421" s="5" t="e">
        <f>VLOOKUP(B421,[1]DL!$BK:$BP,6,0)</f>
        <v>#N/A</v>
      </c>
    </row>
    <row r="422" spans="1:34" ht="14.5" hidden="1">
      <c r="A422" s="5">
        <v>419</v>
      </c>
      <c r="B422" s="5" t="str">
        <f t="shared" si="12"/>
        <v>07ALWPT1567E1ZJ262700093</v>
      </c>
      <c r="C422" s="1" t="s">
        <v>779</v>
      </c>
      <c r="D422" s="1" t="s">
        <v>780</v>
      </c>
      <c r="E422" s="1" t="s">
        <v>781</v>
      </c>
      <c r="F422" s="1" t="s">
        <v>24</v>
      </c>
      <c r="G422" s="1" t="s">
        <v>54</v>
      </c>
      <c r="H422" s="2">
        <v>2950</v>
      </c>
      <c r="I422" s="1" t="s">
        <v>44</v>
      </c>
      <c r="J422" s="3" t="s">
        <v>27</v>
      </c>
      <c r="K422" s="2">
        <v>2500</v>
      </c>
      <c r="L422" s="2">
        <v>0</v>
      </c>
      <c r="M422" s="2">
        <v>225</v>
      </c>
      <c r="N422" s="2">
        <v>225</v>
      </c>
      <c r="O422" s="2">
        <v>0</v>
      </c>
      <c r="P422" s="7" t="s">
        <v>28</v>
      </c>
      <c r="Q422" s="1" t="s">
        <v>94</v>
      </c>
      <c r="R422" s="3" t="s">
        <v>45</v>
      </c>
      <c r="S422" s="1" t="s">
        <v>46</v>
      </c>
      <c r="T422" s="4" t="s">
        <v>31</v>
      </c>
      <c r="U422" s="7" t="s">
        <v>46</v>
      </c>
      <c r="V422" s="7" t="s">
        <v>46</v>
      </c>
      <c r="W422" s="7" t="s">
        <v>46</v>
      </c>
      <c r="X422" s="7" t="s">
        <v>1751</v>
      </c>
      <c r="Y422" s="10">
        <f t="shared" si="13"/>
        <v>450</v>
      </c>
      <c r="AH422" s="5" t="e">
        <f>VLOOKUP(B422,[1]DL!$BK:$BP,6,0)</f>
        <v>#N/A</v>
      </c>
    </row>
    <row r="423" spans="1:34" ht="14.5" hidden="1">
      <c r="A423" s="5">
        <v>420</v>
      </c>
      <c r="B423" s="5" t="str">
        <f t="shared" si="12"/>
        <v>09AABCW0017F1ZQW/SR/2526/233823</v>
      </c>
      <c r="C423" s="1" t="s">
        <v>782</v>
      </c>
      <c r="D423" s="1" t="s">
        <v>783</v>
      </c>
      <c r="E423" s="1" t="s">
        <v>784</v>
      </c>
      <c r="F423" s="1" t="s">
        <v>24</v>
      </c>
      <c r="G423" s="1" t="s">
        <v>265</v>
      </c>
      <c r="H423" s="2">
        <v>235587</v>
      </c>
      <c r="I423" s="1" t="s">
        <v>44</v>
      </c>
      <c r="J423" s="3" t="s">
        <v>27</v>
      </c>
      <c r="K423" s="2">
        <v>199650</v>
      </c>
      <c r="L423" s="2">
        <v>35937</v>
      </c>
      <c r="M423" s="2">
        <v>0</v>
      </c>
      <c r="N423" s="2">
        <v>0</v>
      </c>
      <c r="O423" s="2">
        <v>0</v>
      </c>
      <c r="P423" s="7" t="s">
        <v>203</v>
      </c>
      <c r="Q423" s="1" t="s">
        <v>128</v>
      </c>
      <c r="R423" s="3" t="s">
        <v>45</v>
      </c>
      <c r="S423" s="1" t="s">
        <v>46</v>
      </c>
      <c r="T423" s="4" t="s">
        <v>31</v>
      </c>
      <c r="U423" s="7" t="s">
        <v>32</v>
      </c>
      <c r="V423" s="7" t="s">
        <v>785</v>
      </c>
      <c r="W423" s="7" t="s">
        <v>265</v>
      </c>
      <c r="X423" s="7" t="s">
        <v>1751</v>
      </c>
      <c r="Y423" s="10">
        <f t="shared" si="13"/>
        <v>35937</v>
      </c>
      <c r="AH423" s="5" t="e">
        <f>VLOOKUP(B423,[1]DL!$BK:$BP,6,0)</f>
        <v>#N/A</v>
      </c>
    </row>
    <row r="424" spans="1:34" ht="14.5">
      <c r="A424" s="5">
        <v>421</v>
      </c>
      <c r="B424" s="5" t="str">
        <f t="shared" si="12"/>
        <v>09AABCW0017F1ZQW/SR/2526/233837</v>
      </c>
      <c r="C424" s="1" t="s">
        <v>782</v>
      </c>
      <c r="D424" s="1" t="s">
        <v>783</v>
      </c>
      <c r="E424" s="1" t="s">
        <v>786</v>
      </c>
      <c r="F424" s="1" t="s">
        <v>24</v>
      </c>
      <c r="G424" s="1" t="s">
        <v>265</v>
      </c>
      <c r="H424" s="2">
        <v>263857</v>
      </c>
      <c r="I424" s="1" t="s">
        <v>44</v>
      </c>
      <c r="J424" s="3" t="s">
        <v>27</v>
      </c>
      <c r="K424" s="2">
        <v>223608</v>
      </c>
      <c r="L424" s="2">
        <v>40249.44</v>
      </c>
      <c r="M424" s="2">
        <v>0</v>
      </c>
      <c r="N424" s="2">
        <v>0</v>
      </c>
      <c r="O424" s="2">
        <v>0</v>
      </c>
      <c r="P424" s="7" t="s">
        <v>203</v>
      </c>
      <c r="Q424" s="1" t="s">
        <v>128</v>
      </c>
      <c r="R424" s="3" t="s">
        <v>45</v>
      </c>
      <c r="S424" s="1" t="s">
        <v>46</v>
      </c>
      <c r="T424" s="4" t="s">
        <v>31</v>
      </c>
      <c r="U424" s="7" t="s">
        <v>32</v>
      </c>
      <c r="V424" s="7" t="s">
        <v>787</v>
      </c>
      <c r="W424" s="7" t="s">
        <v>265</v>
      </c>
      <c r="X424" s="7" t="s">
        <v>1751</v>
      </c>
      <c r="Y424" s="10">
        <f t="shared" si="13"/>
        <v>40249.440000000002</v>
      </c>
      <c r="Z424" s="5">
        <v>9140710</v>
      </c>
      <c r="AA424" s="5" t="s">
        <v>1922</v>
      </c>
      <c r="AB424" s="5" t="s">
        <v>1751</v>
      </c>
      <c r="AC424" s="5" t="s">
        <v>1924</v>
      </c>
      <c r="AE424" s="5" t="s">
        <v>1923</v>
      </c>
      <c r="AH424" s="5">
        <f>VLOOKUP(B424,[1]DL!$BK:$BP,6,0)</f>
        <v>9140710</v>
      </c>
    </row>
    <row r="425" spans="1:34" ht="14.5">
      <c r="A425" s="5">
        <v>422</v>
      </c>
      <c r="B425" s="5" t="str">
        <f t="shared" si="12"/>
        <v>09ACTPG0935H1ZE107/2026-27</v>
      </c>
      <c r="C425" s="1" t="s">
        <v>788</v>
      </c>
      <c r="D425" s="1" t="s">
        <v>789</v>
      </c>
      <c r="E425" s="1" t="s">
        <v>790</v>
      </c>
      <c r="F425" s="1" t="s">
        <v>24</v>
      </c>
      <c r="G425" s="1" t="s">
        <v>52</v>
      </c>
      <c r="H425" s="2">
        <v>34287</v>
      </c>
      <c r="I425" s="1" t="s">
        <v>44</v>
      </c>
      <c r="J425" s="3" t="s">
        <v>27</v>
      </c>
      <c r="K425" s="2">
        <v>32653.98</v>
      </c>
      <c r="L425" s="2">
        <v>1632.71</v>
      </c>
      <c r="M425" s="2">
        <v>0</v>
      </c>
      <c r="N425" s="2">
        <v>0</v>
      </c>
      <c r="O425" s="2">
        <v>0</v>
      </c>
      <c r="P425" s="7" t="s">
        <v>28</v>
      </c>
      <c r="Q425" s="1" t="s">
        <v>484</v>
      </c>
      <c r="R425" s="3" t="s">
        <v>45</v>
      </c>
      <c r="S425" s="1" t="s">
        <v>46</v>
      </c>
      <c r="T425" s="4" t="s">
        <v>31</v>
      </c>
      <c r="U425" s="7" t="s">
        <v>46</v>
      </c>
      <c r="V425" s="7" t="s">
        <v>46</v>
      </c>
      <c r="W425" s="7" t="s">
        <v>46</v>
      </c>
      <c r="X425" s="7" t="s">
        <v>1751</v>
      </c>
      <c r="Y425" s="10">
        <f t="shared" si="13"/>
        <v>1632.71</v>
      </c>
      <c r="Z425" s="5">
        <v>9164653</v>
      </c>
      <c r="AA425" s="5" t="s">
        <v>1922</v>
      </c>
      <c r="AB425" s="5" t="s">
        <v>1751</v>
      </c>
      <c r="AC425" s="5" t="s">
        <v>1925</v>
      </c>
      <c r="AE425" s="5" t="s">
        <v>1923</v>
      </c>
      <c r="AH425" s="5">
        <f>VLOOKUP(B425,[1]DL!$BK:$BP,6,0)</f>
        <v>9164653</v>
      </c>
    </row>
    <row r="426" spans="1:34" ht="14.5" hidden="1">
      <c r="A426" s="5">
        <v>423</v>
      </c>
      <c r="B426" s="5" t="str">
        <f t="shared" si="12"/>
        <v>07AAAFT1855C1ZI5465</v>
      </c>
      <c r="C426" s="1" t="s">
        <v>791</v>
      </c>
      <c r="D426" s="1" t="s">
        <v>792</v>
      </c>
      <c r="E426" s="1" t="s">
        <v>793</v>
      </c>
      <c r="F426" s="1" t="s">
        <v>24</v>
      </c>
      <c r="G426" s="1" t="s">
        <v>285</v>
      </c>
      <c r="H426" s="2">
        <v>3151</v>
      </c>
      <c r="I426" s="1" t="s">
        <v>44</v>
      </c>
      <c r="J426" s="3" t="s">
        <v>27</v>
      </c>
      <c r="K426" s="2">
        <v>2670</v>
      </c>
      <c r="L426" s="2">
        <v>0</v>
      </c>
      <c r="M426" s="2">
        <v>240.30</v>
      </c>
      <c r="N426" s="2">
        <v>240.30</v>
      </c>
      <c r="O426" s="2">
        <v>0</v>
      </c>
      <c r="P426" s="7" t="s">
        <v>28</v>
      </c>
      <c r="Q426" s="1" t="s">
        <v>484</v>
      </c>
      <c r="R426" s="3" t="s">
        <v>45</v>
      </c>
      <c r="S426" s="1" t="s">
        <v>46</v>
      </c>
      <c r="T426" s="4" t="s">
        <v>31</v>
      </c>
      <c r="U426" s="7" t="s">
        <v>46</v>
      </c>
      <c r="V426" s="7" t="s">
        <v>46</v>
      </c>
      <c r="W426" s="7" t="s">
        <v>46</v>
      </c>
      <c r="X426" s="7" t="s">
        <v>1751</v>
      </c>
      <c r="Y426" s="10">
        <f t="shared" si="13"/>
        <v>480.60000000000002</v>
      </c>
      <c r="AH426" s="5" t="e">
        <f>VLOOKUP(B426,[1]DL!$BK:$BP,6,0)</f>
        <v>#N/A</v>
      </c>
    </row>
    <row r="427" spans="1:34" ht="14.5" hidden="1">
      <c r="A427" s="5">
        <v>424</v>
      </c>
      <c r="B427" s="5" t="str">
        <f t="shared" si="12"/>
        <v>07AAAFT1855C1ZI5498</v>
      </c>
      <c r="C427" s="1" t="s">
        <v>791</v>
      </c>
      <c r="D427" s="1" t="s">
        <v>792</v>
      </c>
      <c r="E427" s="1" t="s">
        <v>794</v>
      </c>
      <c r="F427" s="1" t="s">
        <v>24</v>
      </c>
      <c r="G427" s="1" t="s">
        <v>154</v>
      </c>
      <c r="H427" s="2">
        <v>4484</v>
      </c>
      <c r="I427" s="1" t="s">
        <v>44</v>
      </c>
      <c r="J427" s="3" t="s">
        <v>27</v>
      </c>
      <c r="K427" s="2">
        <v>3800</v>
      </c>
      <c r="L427" s="2">
        <v>0</v>
      </c>
      <c r="M427" s="2">
        <v>342</v>
      </c>
      <c r="N427" s="2">
        <v>342</v>
      </c>
      <c r="O427" s="2">
        <v>0</v>
      </c>
      <c r="P427" s="7" t="s">
        <v>28</v>
      </c>
      <c r="Q427" s="1" t="s">
        <v>484</v>
      </c>
      <c r="R427" s="3" t="s">
        <v>45</v>
      </c>
      <c r="S427" s="1" t="s">
        <v>46</v>
      </c>
      <c r="T427" s="4" t="s">
        <v>31</v>
      </c>
      <c r="U427" s="7" t="s">
        <v>46</v>
      </c>
      <c r="V427" s="7" t="s">
        <v>46</v>
      </c>
      <c r="W427" s="7" t="s">
        <v>46</v>
      </c>
      <c r="X427" s="7" t="s">
        <v>1751</v>
      </c>
      <c r="Y427" s="10">
        <f t="shared" si="13"/>
        <v>684</v>
      </c>
      <c r="AH427" s="5" t="e">
        <f>VLOOKUP(B427,[1]DL!$BK:$BP,6,0)</f>
        <v>#N/A</v>
      </c>
    </row>
    <row r="428" spans="1:34" ht="14.5">
      <c r="A428" s="5">
        <v>425</v>
      </c>
      <c r="B428" s="5" t="str">
        <f t="shared" si="12"/>
        <v>07AFTPC4142H1ZHGPIL/26-27/01</v>
      </c>
      <c r="C428" s="1" t="s">
        <v>795</v>
      </c>
      <c r="D428" s="1" t="s">
        <v>796</v>
      </c>
      <c r="E428" s="1" t="s">
        <v>797</v>
      </c>
      <c r="F428" s="1" t="s">
        <v>24</v>
      </c>
      <c r="G428" s="1" t="s">
        <v>54</v>
      </c>
      <c r="H428" s="2">
        <v>9585877</v>
      </c>
      <c r="I428" s="1" t="s">
        <v>44</v>
      </c>
      <c r="J428" s="3" t="s">
        <v>27</v>
      </c>
      <c r="K428" s="2">
        <v>8123625</v>
      </c>
      <c r="L428" s="2">
        <v>0</v>
      </c>
      <c r="M428" s="2">
        <v>731126</v>
      </c>
      <c r="N428" s="2">
        <v>731126</v>
      </c>
      <c r="O428" s="2">
        <v>0</v>
      </c>
      <c r="P428" s="7" t="s">
        <v>28</v>
      </c>
      <c r="Q428" s="1" t="s">
        <v>120</v>
      </c>
      <c r="R428" s="3" t="s">
        <v>45</v>
      </c>
      <c r="S428" s="1" t="s">
        <v>46</v>
      </c>
      <c r="T428" s="4" t="s">
        <v>31</v>
      </c>
      <c r="U428" s="7" t="s">
        <v>32</v>
      </c>
      <c r="V428" s="7" t="s">
        <v>798</v>
      </c>
      <c r="W428" s="7" t="s">
        <v>54</v>
      </c>
      <c r="X428" s="7" t="s">
        <v>1751</v>
      </c>
      <c r="Y428" s="10">
        <f t="shared" si="13"/>
        <v>1462252</v>
      </c>
      <c r="Z428" s="5">
        <v>9151137</v>
      </c>
      <c r="AA428" s="5" t="s">
        <v>1922</v>
      </c>
      <c r="AB428" s="5" t="s">
        <v>1751</v>
      </c>
      <c r="AC428" s="5" t="s">
        <v>1924</v>
      </c>
      <c r="AE428" s="5" t="s">
        <v>1923</v>
      </c>
      <c r="AH428" s="5">
        <f>VLOOKUP(B428,[1]DL!$BK:$BP,6,0)</f>
        <v>9151137</v>
      </c>
    </row>
    <row r="429" spans="1:34" ht="14.5" hidden="1">
      <c r="A429" s="5">
        <v>426</v>
      </c>
      <c r="B429" s="5" t="str">
        <f t="shared" si="12"/>
        <v>07AADCA3655R1Z7AVZ/10/2026-27</v>
      </c>
      <c r="C429" s="1" t="s">
        <v>799</v>
      </c>
      <c r="D429" s="1" t="s">
        <v>800</v>
      </c>
      <c r="E429" s="1" t="s">
        <v>801</v>
      </c>
      <c r="F429" s="1" t="s">
        <v>24</v>
      </c>
      <c r="G429" s="1" t="s">
        <v>76</v>
      </c>
      <c r="H429" s="2">
        <v>255852</v>
      </c>
      <c r="I429" s="1" t="s">
        <v>44</v>
      </c>
      <c r="J429" s="3" t="s">
        <v>27</v>
      </c>
      <c r="K429" s="2">
        <v>216824</v>
      </c>
      <c r="L429" s="2">
        <v>0</v>
      </c>
      <c r="M429" s="2">
        <v>19514.16</v>
      </c>
      <c r="N429" s="2">
        <v>19514.16</v>
      </c>
      <c r="O429" s="2">
        <v>0</v>
      </c>
      <c r="P429" s="7" t="s">
        <v>28</v>
      </c>
      <c r="Q429" s="1" t="s">
        <v>29</v>
      </c>
      <c r="R429" s="3" t="s">
        <v>45</v>
      </c>
      <c r="S429" s="1" t="s">
        <v>46</v>
      </c>
      <c r="T429" s="4" t="s">
        <v>31</v>
      </c>
      <c r="U429" s="7" t="s">
        <v>32</v>
      </c>
      <c r="V429" s="7" t="s">
        <v>802</v>
      </c>
      <c r="W429" s="7" t="s">
        <v>150</v>
      </c>
      <c r="X429" s="7" t="s">
        <v>1751</v>
      </c>
      <c r="Y429" s="10">
        <f t="shared" si="13"/>
        <v>39028.32</v>
      </c>
      <c r="AH429" s="5" t="e">
        <f>VLOOKUP(B429,[1]DL!$BK:$BP,6,0)</f>
        <v>#N/A</v>
      </c>
    </row>
    <row r="430" spans="1:34" ht="14.5" hidden="1">
      <c r="A430" s="5">
        <v>427</v>
      </c>
      <c r="B430" s="5" t="str">
        <f t="shared" si="12"/>
        <v>07AADCA3655R1Z7AVZ/11/2026-27</v>
      </c>
      <c r="C430" s="1" t="s">
        <v>799</v>
      </c>
      <c r="D430" s="1" t="s">
        <v>800</v>
      </c>
      <c r="E430" s="1" t="s">
        <v>803</v>
      </c>
      <c r="F430" s="1" t="s">
        <v>24</v>
      </c>
      <c r="G430" s="1" t="s">
        <v>76</v>
      </c>
      <c r="H430" s="2">
        <v>65456</v>
      </c>
      <c r="I430" s="1" t="s">
        <v>44</v>
      </c>
      <c r="J430" s="3" t="s">
        <v>27</v>
      </c>
      <c r="K430" s="2">
        <v>55471</v>
      </c>
      <c r="L430" s="2">
        <v>0</v>
      </c>
      <c r="M430" s="2">
        <v>4992.3900000000003</v>
      </c>
      <c r="N430" s="2">
        <v>4992.3900000000003</v>
      </c>
      <c r="O430" s="2">
        <v>0</v>
      </c>
      <c r="P430" s="7" t="s">
        <v>28</v>
      </c>
      <c r="Q430" s="1" t="s">
        <v>29</v>
      </c>
      <c r="R430" s="3" t="s">
        <v>45</v>
      </c>
      <c r="S430" s="1" t="s">
        <v>46</v>
      </c>
      <c r="T430" s="4" t="s">
        <v>31</v>
      </c>
      <c r="U430" s="7" t="s">
        <v>32</v>
      </c>
      <c r="V430" s="7" t="s">
        <v>804</v>
      </c>
      <c r="W430" s="7" t="s">
        <v>150</v>
      </c>
      <c r="X430" s="7" t="s">
        <v>1751</v>
      </c>
      <c r="Y430" s="10">
        <f t="shared" si="13"/>
        <v>9984.7800000000007</v>
      </c>
      <c r="AH430" s="5" t="e">
        <f>VLOOKUP(B430,[1]DL!$BK:$BP,6,0)</f>
        <v>#N/A</v>
      </c>
    </row>
    <row r="431" spans="1:34" ht="14.5" hidden="1">
      <c r="A431" s="5">
        <v>428</v>
      </c>
      <c r="B431" s="5" t="str">
        <f t="shared" si="12"/>
        <v>07AADCA3655R1Z7AVZ/12/2026-27</v>
      </c>
      <c r="C431" s="1" t="s">
        <v>799</v>
      </c>
      <c r="D431" s="1" t="s">
        <v>800</v>
      </c>
      <c r="E431" s="1" t="s">
        <v>805</v>
      </c>
      <c r="F431" s="1" t="s">
        <v>24</v>
      </c>
      <c r="G431" s="1" t="s">
        <v>76</v>
      </c>
      <c r="H431" s="2">
        <v>33812</v>
      </c>
      <c r="I431" s="1" t="s">
        <v>44</v>
      </c>
      <c r="J431" s="3" t="s">
        <v>27</v>
      </c>
      <c r="K431" s="2">
        <v>28654</v>
      </c>
      <c r="L431" s="2">
        <v>0</v>
      </c>
      <c r="M431" s="2">
        <v>2578.86</v>
      </c>
      <c r="N431" s="2">
        <v>2578.86</v>
      </c>
      <c r="O431" s="2">
        <v>0</v>
      </c>
      <c r="P431" s="7" t="s">
        <v>28</v>
      </c>
      <c r="Q431" s="1" t="s">
        <v>29</v>
      </c>
      <c r="R431" s="3" t="s">
        <v>45</v>
      </c>
      <c r="S431" s="1" t="s">
        <v>46</v>
      </c>
      <c r="T431" s="4" t="s">
        <v>31</v>
      </c>
      <c r="U431" s="7" t="s">
        <v>32</v>
      </c>
      <c r="V431" s="7" t="s">
        <v>806</v>
      </c>
      <c r="W431" s="7" t="s">
        <v>150</v>
      </c>
      <c r="X431" s="7" t="s">
        <v>1751</v>
      </c>
      <c r="Y431" s="10">
        <f t="shared" si="13"/>
        <v>5157.7200000000003</v>
      </c>
      <c r="AH431" s="5" t="e">
        <f>VLOOKUP(B431,[1]DL!$BK:$BP,6,0)</f>
        <v>#N/A</v>
      </c>
    </row>
    <row r="432" spans="1:34" ht="14.5" hidden="1">
      <c r="A432" s="5">
        <v>429</v>
      </c>
      <c r="B432" s="5" t="str">
        <f t="shared" si="12"/>
        <v>07AADCA3655R1Z7AVZ/13/2026-27</v>
      </c>
      <c r="C432" s="1" t="s">
        <v>799</v>
      </c>
      <c r="D432" s="1" t="s">
        <v>800</v>
      </c>
      <c r="E432" s="1" t="s">
        <v>807</v>
      </c>
      <c r="F432" s="1" t="s">
        <v>24</v>
      </c>
      <c r="G432" s="1" t="s">
        <v>76</v>
      </c>
      <c r="H432" s="2">
        <v>71093</v>
      </c>
      <c r="I432" s="1" t="s">
        <v>44</v>
      </c>
      <c r="J432" s="3" t="s">
        <v>27</v>
      </c>
      <c r="K432" s="2">
        <v>60248</v>
      </c>
      <c r="L432" s="2">
        <v>0</v>
      </c>
      <c r="M432" s="2">
        <v>5422.32</v>
      </c>
      <c r="N432" s="2">
        <v>5422.32</v>
      </c>
      <c r="O432" s="2">
        <v>0</v>
      </c>
      <c r="P432" s="7" t="s">
        <v>28</v>
      </c>
      <c r="Q432" s="1" t="s">
        <v>29</v>
      </c>
      <c r="R432" s="3" t="s">
        <v>45</v>
      </c>
      <c r="S432" s="1" t="s">
        <v>46</v>
      </c>
      <c r="T432" s="4" t="s">
        <v>31</v>
      </c>
      <c r="U432" s="7" t="s">
        <v>32</v>
      </c>
      <c r="V432" s="7" t="s">
        <v>808</v>
      </c>
      <c r="W432" s="7" t="s">
        <v>150</v>
      </c>
      <c r="X432" s="7" t="s">
        <v>1751</v>
      </c>
      <c r="Y432" s="10">
        <f t="shared" si="13"/>
        <v>10844.639999999999</v>
      </c>
      <c r="AH432" s="5" t="e">
        <f>VLOOKUP(B432,[1]DL!$BK:$BP,6,0)</f>
        <v>#N/A</v>
      </c>
    </row>
    <row r="433" spans="1:34" ht="14.5" hidden="1">
      <c r="A433" s="5">
        <v>430</v>
      </c>
      <c r="B433" s="5" t="str">
        <f t="shared" si="12"/>
        <v>07AADCA3655R1Z7AVZ/3/2026-27</v>
      </c>
      <c r="C433" s="1" t="s">
        <v>799</v>
      </c>
      <c r="D433" s="1" t="s">
        <v>800</v>
      </c>
      <c r="E433" s="1" t="s">
        <v>809</v>
      </c>
      <c r="F433" s="1" t="s">
        <v>24</v>
      </c>
      <c r="G433" s="1" t="s">
        <v>76</v>
      </c>
      <c r="H433" s="2">
        <v>458247</v>
      </c>
      <c r="I433" s="1" t="s">
        <v>44</v>
      </c>
      <c r="J433" s="3" t="s">
        <v>27</v>
      </c>
      <c r="K433" s="2">
        <v>388345</v>
      </c>
      <c r="L433" s="2">
        <v>0</v>
      </c>
      <c r="M433" s="2">
        <v>34951.050000000003</v>
      </c>
      <c r="N433" s="2">
        <v>34951.050000000003</v>
      </c>
      <c r="O433" s="2">
        <v>0</v>
      </c>
      <c r="P433" s="7" t="s">
        <v>28</v>
      </c>
      <c r="Q433" s="1" t="s">
        <v>29</v>
      </c>
      <c r="R433" s="3" t="s">
        <v>45</v>
      </c>
      <c r="S433" s="1" t="s">
        <v>46</v>
      </c>
      <c r="T433" s="4" t="s">
        <v>31</v>
      </c>
      <c r="U433" s="7" t="s">
        <v>32</v>
      </c>
      <c r="V433" s="7" t="s">
        <v>810</v>
      </c>
      <c r="W433" s="7" t="s">
        <v>150</v>
      </c>
      <c r="X433" s="7" t="s">
        <v>1751</v>
      </c>
      <c r="Y433" s="10">
        <f t="shared" si="13"/>
        <v>69902.100000000006</v>
      </c>
      <c r="AH433" s="5" t="e">
        <f>VLOOKUP(B433,[1]DL!$BK:$BP,6,0)</f>
        <v>#N/A</v>
      </c>
    </row>
    <row r="434" spans="1:34" ht="14.5" hidden="1">
      <c r="A434" s="5">
        <v>431</v>
      </c>
      <c r="B434" s="5" t="str">
        <f t="shared" si="12"/>
        <v>07AADCA3655R1Z7AVZ/6/2026-27</v>
      </c>
      <c r="C434" s="1" t="s">
        <v>799</v>
      </c>
      <c r="D434" s="1" t="s">
        <v>800</v>
      </c>
      <c r="E434" s="1" t="s">
        <v>811</v>
      </c>
      <c r="F434" s="1" t="s">
        <v>24</v>
      </c>
      <c r="G434" s="1" t="s">
        <v>76</v>
      </c>
      <c r="H434" s="2">
        <v>288014</v>
      </c>
      <c r="I434" s="1" t="s">
        <v>44</v>
      </c>
      <c r="J434" s="3" t="s">
        <v>27</v>
      </c>
      <c r="K434" s="2">
        <v>244080</v>
      </c>
      <c r="L434" s="2">
        <v>0</v>
      </c>
      <c r="M434" s="2">
        <v>21967.20</v>
      </c>
      <c r="N434" s="2">
        <v>21967.20</v>
      </c>
      <c r="O434" s="2">
        <v>0</v>
      </c>
      <c r="P434" s="7" t="s">
        <v>28</v>
      </c>
      <c r="Q434" s="1" t="s">
        <v>29</v>
      </c>
      <c r="R434" s="3" t="s">
        <v>45</v>
      </c>
      <c r="S434" s="1" t="s">
        <v>46</v>
      </c>
      <c r="T434" s="4" t="s">
        <v>31</v>
      </c>
      <c r="U434" s="7" t="s">
        <v>32</v>
      </c>
      <c r="V434" s="7" t="s">
        <v>812</v>
      </c>
      <c r="W434" s="7" t="s">
        <v>150</v>
      </c>
      <c r="X434" s="7" t="s">
        <v>1751</v>
      </c>
      <c r="Y434" s="10">
        <f t="shared" si="13"/>
        <v>43934.400000000001</v>
      </c>
      <c r="AH434" s="5" t="e">
        <f>VLOOKUP(B434,[1]DL!$BK:$BP,6,0)</f>
        <v>#N/A</v>
      </c>
    </row>
    <row r="435" spans="1:34" ht="14.5" hidden="1">
      <c r="A435" s="5">
        <v>432</v>
      </c>
      <c r="B435" s="5" t="str">
        <f t="shared" si="12"/>
        <v>07AADCA3655R1Z7AVZ/7/2026-27</v>
      </c>
      <c r="C435" s="1" t="s">
        <v>799</v>
      </c>
      <c r="D435" s="1" t="s">
        <v>800</v>
      </c>
      <c r="E435" s="1" t="s">
        <v>813</v>
      </c>
      <c r="F435" s="1" t="s">
        <v>24</v>
      </c>
      <c r="G435" s="1" t="s">
        <v>76</v>
      </c>
      <c r="H435" s="2">
        <v>215958</v>
      </c>
      <c r="I435" s="1" t="s">
        <v>44</v>
      </c>
      <c r="J435" s="3" t="s">
        <v>27</v>
      </c>
      <c r="K435" s="2">
        <v>183015</v>
      </c>
      <c r="L435" s="2">
        <v>0</v>
      </c>
      <c r="M435" s="2">
        <v>16471.349999999999</v>
      </c>
      <c r="N435" s="2">
        <v>16471.349999999999</v>
      </c>
      <c r="O435" s="2">
        <v>0</v>
      </c>
      <c r="P435" s="7" t="s">
        <v>28</v>
      </c>
      <c r="Q435" s="1" t="s">
        <v>29</v>
      </c>
      <c r="R435" s="3" t="s">
        <v>45</v>
      </c>
      <c r="S435" s="1" t="s">
        <v>46</v>
      </c>
      <c r="T435" s="4" t="s">
        <v>31</v>
      </c>
      <c r="U435" s="7" t="s">
        <v>32</v>
      </c>
      <c r="V435" s="7" t="s">
        <v>814</v>
      </c>
      <c r="W435" s="7" t="s">
        <v>150</v>
      </c>
      <c r="X435" s="7" t="s">
        <v>1751</v>
      </c>
      <c r="Y435" s="10">
        <f t="shared" si="13"/>
        <v>32942.699999999997</v>
      </c>
      <c r="AH435" s="5" t="e">
        <f>VLOOKUP(B435,[1]DL!$BK:$BP,6,0)</f>
        <v>#N/A</v>
      </c>
    </row>
    <row r="436" spans="1:34" ht="14.5" hidden="1">
      <c r="A436" s="5">
        <v>433</v>
      </c>
      <c r="B436" s="5" t="str">
        <f t="shared" si="12"/>
        <v>07AADCA3655R1Z7AVZ/8/2026-27</v>
      </c>
      <c r="C436" s="1" t="s">
        <v>799</v>
      </c>
      <c r="D436" s="1" t="s">
        <v>800</v>
      </c>
      <c r="E436" s="1" t="s">
        <v>815</v>
      </c>
      <c r="F436" s="1" t="s">
        <v>24</v>
      </c>
      <c r="G436" s="1" t="s">
        <v>76</v>
      </c>
      <c r="H436" s="2">
        <v>690937</v>
      </c>
      <c r="I436" s="1" t="s">
        <v>44</v>
      </c>
      <c r="J436" s="3" t="s">
        <v>27</v>
      </c>
      <c r="K436" s="2">
        <v>585540</v>
      </c>
      <c r="L436" s="2">
        <v>0</v>
      </c>
      <c r="M436" s="2">
        <v>52698.60</v>
      </c>
      <c r="N436" s="2">
        <v>52698.60</v>
      </c>
      <c r="O436" s="2">
        <v>0</v>
      </c>
      <c r="P436" s="7" t="s">
        <v>28</v>
      </c>
      <c r="Q436" s="1" t="s">
        <v>29</v>
      </c>
      <c r="R436" s="3" t="s">
        <v>45</v>
      </c>
      <c r="S436" s="1" t="s">
        <v>46</v>
      </c>
      <c r="T436" s="4" t="s">
        <v>31</v>
      </c>
      <c r="U436" s="7" t="s">
        <v>32</v>
      </c>
      <c r="V436" s="7" t="s">
        <v>816</v>
      </c>
      <c r="W436" s="7" t="s">
        <v>150</v>
      </c>
      <c r="X436" s="7" t="s">
        <v>1751</v>
      </c>
      <c r="Y436" s="10">
        <f t="shared" si="13"/>
        <v>105397.2</v>
      </c>
      <c r="AH436" s="5" t="e">
        <f>VLOOKUP(B436,[1]DL!$BK:$BP,6,0)</f>
        <v>#N/A</v>
      </c>
    </row>
    <row r="437" spans="1:34" ht="14.5" hidden="1">
      <c r="A437" s="5">
        <v>434</v>
      </c>
      <c r="B437" s="5" t="str">
        <f t="shared" si="12"/>
        <v>07AADCA3655R1Z7AVZ/9/2026-27</v>
      </c>
      <c r="C437" s="1" t="s">
        <v>799</v>
      </c>
      <c r="D437" s="1" t="s">
        <v>800</v>
      </c>
      <c r="E437" s="1" t="s">
        <v>817</v>
      </c>
      <c r="F437" s="1" t="s">
        <v>24</v>
      </c>
      <c r="G437" s="1" t="s">
        <v>76</v>
      </c>
      <c r="H437" s="2">
        <v>343936</v>
      </c>
      <c r="I437" s="1" t="s">
        <v>44</v>
      </c>
      <c r="J437" s="3" t="s">
        <v>27</v>
      </c>
      <c r="K437" s="2">
        <v>291471</v>
      </c>
      <c r="L437" s="2">
        <v>0</v>
      </c>
      <c r="M437" s="2">
        <v>26232.39</v>
      </c>
      <c r="N437" s="2">
        <v>26232.39</v>
      </c>
      <c r="O437" s="2">
        <v>0</v>
      </c>
      <c r="P437" s="7" t="s">
        <v>28</v>
      </c>
      <c r="Q437" s="1" t="s">
        <v>29</v>
      </c>
      <c r="R437" s="3" t="s">
        <v>45</v>
      </c>
      <c r="S437" s="1" t="s">
        <v>46</v>
      </c>
      <c r="T437" s="4" t="s">
        <v>31</v>
      </c>
      <c r="U437" s="7" t="s">
        <v>32</v>
      </c>
      <c r="V437" s="7" t="s">
        <v>818</v>
      </c>
      <c r="W437" s="7" t="s">
        <v>150</v>
      </c>
      <c r="X437" s="7" t="s">
        <v>1751</v>
      </c>
      <c r="Y437" s="10">
        <f t="shared" si="13"/>
        <v>52464.779999999999</v>
      </c>
      <c r="AH437" s="5" t="e">
        <f>VLOOKUP(B437,[1]DL!$BK:$BP,6,0)</f>
        <v>#N/A</v>
      </c>
    </row>
    <row r="438" spans="1:34" ht="14.5" hidden="1">
      <c r="A438" s="5">
        <v>435</v>
      </c>
      <c r="B438" s="5" t="str">
        <f t="shared" si="12"/>
        <v>07AXQPM6647J1ZQGPI/DE/26-27/01</v>
      </c>
      <c r="C438" s="1" t="s">
        <v>819</v>
      </c>
      <c r="D438" s="1" t="s">
        <v>820</v>
      </c>
      <c r="E438" s="1" t="s">
        <v>821</v>
      </c>
      <c r="F438" s="1" t="s">
        <v>24</v>
      </c>
      <c r="G438" s="1" t="s">
        <v>54</v>
      </c>
      <c r="H438" s="2">
        <v>371700</v>
      </c>
      <c r="I438" s="1" t="s">
        <v>44</v>
      </c>
      <c r="J438" s="3" t="s">
        <v>27</v>
      </c>
      <c r="K438" s="2">
        <v>315000</v>
      </c>
      <c r="L438" s="2">
        <v>0</v>
      </c>
      <c r="M438" s="2">
        <v>28350</v>
      </c>
      <c r="N438" s="2">
        <v>28350</v>
      </c>
      <c r="O438" s="2">
        <v>0</v>
      </c>
      <c r="P438" s="7" t="s">
        <v>28</v>
      </c>
      <c r="Q438" s="1" t="s">
        <v>29</v>
      </c>
      <c r="R438" s="3" t="s">
        <v>45</v>
      </c>
      <c r="S438" s="1" t="s">
        <v>46</v>
      </c>
      <c r="T438" s="4" t="s">
        <v>31</v>
      </c>
      <c r="U438" s="7" t="s">
        <v>32</v>
      </c>
      <c r="V438" s="7" t="s">
        <v>822</v>
      </c>
      <c r="W438" s="7" t="s">
        <v>484</v>
      </c>
      <c r="X438" s="7" t="s">
        <v>1751</v>
      </c>
      <c r="Y438" s="10">
        <f t="shared" si="13"/>
        <v>56700</v>
      </c>
      <c r="AH438" s="5" t="e">
        <f>VLOOKUP(B438,[1]DL!$BK:$BP,6,0)</f>
        <v>#N/A</v>
      </c>
    </row>
    <row r="439" spans="1:34" ht="14.5" hidden="1">
      <c r="A439" s="5">
        <v>436</v>
      </c>
      <c r="B439" s="5" t="str">
        <f t="shared" si="12"/>
        <v>07AXQPM6647J1ZQGPI/DE/26-27/02</v>
      </c>
      <c r="C439" s="1" t="s">
        <v>819</v>
      </c>
      <c r="D439" s="1" t="s">
        <v>820</v>
      </c>
      <c r="E439" s="1" t="s">
        <v>823</v>
      </c>
      <c r="F439" s="1" t="s">
        <v>24</v>
      </c>
      <c r="G439" s="1" t="s">
        <v>54</v>
      </c>
      <c r="H439" s="2">
        <v>390285</v>
      </c>
      <c r="I439" s="1" t="s">
        <v>44</v>
      </c>
      <c r="J439" s="3" t="s">
        <v>27</v>
      </c>
      <c r="K439" s="2">
        <v>330750</v>
      </c>
      <c r="L439" s="2">
        <v>0</v>
      </c>
      <c r="M439" s="2">
        <v>29767.5</v>
      </c>
      <c r="N439" s="2">
        <v>29767.5</v>
      </c>
      <c r="O439" s="2">
        <v>0</v>
      </c>
      <c r="P439" s="7" t="s">
        <v>28</v>
      </c>
      <c r="Q439" s="1" t="s">
        <v>29</v>
      </c>
      <c r="R439" s="3" t="s">
        <v>45</v>
      </c>
      <c r="S439" s="1" t="s">
        <v>46</v>
      </c>
      <c r="T439" s="4" t="s">
        <v>31</v>
      </c>
      <c r="U439" s="7" t="s">
        <v>32</v>
      </c>
      <c r="V439" s="7" t="s">
        <v>824</v>
      </c>
      <c r="W439" s="7" t="s">
        <v>484</v>
      </c>
      <c r="X439" s="7" t="s">
        <v>1751</v>
      </c>
      <c r="Y439" s="10">
        <f t="shared" si="13"/>
        <v>59535</v>
      </c>
      <c r="AH439" s="5" t="e">
        <f>VLOOKUP(B439,[1]DL!$BK:$BP,6,0)</f>
        <v>#N/A</v>
      </c>
    </row>
    <row r="440" spans="1:34" ht="14.5" hidden="1">
      <c r="A440" s="5">
        <v>437</v>
      </c>
      <c r="B440" s="5" t="str">
        <f t="shared" si="12"/>
        <v>07AAACE6898B4ZHCI1001100049</v>
      </c>
      <c r="C440" s="1" t="s">
        <v>825</v>
      </c>
      <c r="D440" s="1" t="s">
        <v>826</v>
      </c>
      <c r="E440" s="1" t="s">
        <v>827</v>
      </c>
      <c r="F440" s="1" t="s">
        <v>24</v>
      </c>
      <c r="G440" s="1" t="s">
        <v>302</v>
      </c>
      <c r="H440" s="2">
        <v>6953.60</v>
      </c>
      <c r="I440" s="1" t="s">
        <v>44</v>
      </c>
      <c r="J440" s="3" t="s">
        <v>27</v>
      </c>
      <c r="K440" s="2">
        <v>5520</v>
      </c>
      <c r="L440" s="2">
        <v>0</v>
      </c>
      <c r="M440" s="2">
        <v>716.80</v>
      </c>
      <c r="N440" s="2">
        <v>716.80</v>
      </c>
      <c r="O440" s="2">
        <v>0</v>
      </c>
      <c r="P440" s="7" t="s">
        <v>28</v>
      </c>
      <c r="Q440" s="1" t="s">
        <v>29</v>
      </c>
      <c r="R440" s="3" t="s">
        <v>45</v>
      </c>
      <c r="S440" s="1" t="s">
        <v>46</v>
      </c>
      <c r="T440" s="4" t="s">
        <v>31</v>
      </c>
      <c r="U440" s="7" t="s">
        <v>46</v>
      </c>
      <c r="V440" s="7" t="s">
        <v>46</v>
      </c>
      <c r="W440" s="7" t="s">
        <v>46</v>
      </c>
      <c r="X440" s="7" t="s">
        <v>1751</v>
      </c>
      <c r="Y440" s="10">
        <f t="shared" si="13"/>
        <v>1433.5999999999999</v>
      </c>
      <c r="AH440" s="5" t="e">
        <f>VLOOKUP(B440,[1]DL!$BK:$BP,6,0)</f>
        <v>#N/A</v>
      </c>
    </row>
    <row r="441" spans="1:34" ht="14.5" hidden="1">
      <c r="A441" s="5">
        <v>438</v>
      </c>
      <c r="B441" s="5" t="str">
        <f t="shared" si="12"/>
        <v>07AAACE6898B4ZHCI1001100050</v>
      </c>
      <c r="C441" s="1" t="s">
        <v>825</v>
      </c>
      <c r="D441" s="1" t="s">
        <v>826</v>
      </c>
      <c r="E441" s="1" t="s">
        <v>828</v>
      </c>
      <c r="F441" s="1" t="s">
        <v>24</v>
      </c>
      <c r="G441" s="1" t="s">
        <v>302</v>
      </c>
      <c r="H441" s="2">
        <v>1711</v>
      </c>
      <c r="I441" s="1" t="s">
        <v>44</v>
      </c>
      <c r="J441" s="3" t="s">
        <v>27</v>
      </c>
      <c r="K441" s="2">
        <v>1450</v>
      </c>
      <c r="L441" s="2">
        <v>0</v>
      </c>
      <c r="M441" s="2">
        <v>130.5</v>
      </c>
      <c r="N441" s="2">
        <v>130.5</v>
      </c>
      <c r="O441" s="2">
        <v>0</v>
      </c>
      <c r="P441" s="7" t="s">
        <v>28</v>
      </c>
      <c r="Q441" s="1" t="s">
        <v>29</v>
      </c>
      <c r="R441" s="3" t="s">
        <v>45</v>
      </c>
      <c r="S441" s="1" t="s">
        <v>46</v>
      </c>
      <c r="T441" s="4" t="s">
        <v>31</v>
      </c>
      <c r="U441" s="7" t="s">
        <v>46</v>
      </c>
      <c r="V441" s="7" t="s">
        <v>46</v>
      </c>
      <c r="W441" s="7" t="s">
        <v>46</v>
      </c>
      <c r="X441" s="7" t="s">
        <v>1751</v>
      </c>
      <c r="Y441" s="10">
        <f t="shared" si="13"/>
        <v>261</v>
      </c>
      <c r="AH441" s="5" t="e">
        <f>VLOOKUP(B441,[1]DL!$BK:$BP,6,0)</f>
        <v>#N/A</v>
      </c>
    </row>
    <row r="442" spans="1:34" ht="14.5" hidden="1">
      <c r="A442" s="5">
        <v>439</v>
      </c>
      <c r="B442" s="5" t="str">
        <f t="shared" si="12"/>
        <v>07AAACE6898B4ZHCI1001100051</v>
      </c>
      <c r="C442" s="1" t="s">
        <v>825</v>
      </c>
      <c r="D442" s="1" t="s">
        <v>826</v>
      </c>
      <c r="E442" s="1" t="s">
        <v>829</v>
      </c>
      <c r="F442" s="1" t="s">
        <v>24</v>
      </c>
      <c r="G442" s="1" t="s">
        <v>302</v>
      </c>
      <c r="H442" s="2">
        <v>8118.40</v>
      </c>
      <c r="I442" s="1" t="s">
        <v>44</v>
      </c>
      <c r="J442" s="3" t="s">
        <v>27</v>
      </c>
      <c r="K442" s="2">
        <v>6880</v>
      </c>
      <c r="L442" s="2">
        <v>0</v>
      </c>
      <c r="M442" s="2">
        <v>619.20000000000005</v>
      </c>
      <c r="N442" s="2">
        <v>619.20000000000005</v>
      </c>
      <c r="O442" s="2">
        <v>0</v>
      </c>
      <c r="P442" s="7" t="s">
        <v>28</v>
      </c>
      <c r="Q442" s="1" t="s">
        <v>29</v>
      </c>
      <c r="R442" s="3" t="s">
        <v>45</v>
      </c>
      <c r="S442" s="1" t="s">
        <v>46</v>
      </c>
      <c r="T442" s="4" t="s">
        <v>31</v>
      </c>
      <c r="U442" s="7" t="s">
        <v>46</v>
      </c>
      <c r="V442" s="7" t="s">
        <v>46</v>
      </c>
      <c r="W442" s="7" t="s">
        <v>46</v>
      </c>
      <c r="X442" s="7" t="s">
        <v>1751</v>
      </c>
      <c r="Y442" s="10">
        <f t="shared" si="13"/>
        <v>1238.4000000000001</v>
      </c>
      <c r="AH442" s="5" t="e">
        <f>VLOOKUP(B442,[1]DL!$BK:$BP,6,0)</f>
        <v>#N/A</v>
      </c>
    </row>
    <row r="443" spans="1:34" ht="14.5">
      <c r="A443" s="5">
        <v>440</v>
      </c>
      <c r="B443" s="5" t="str">
        <f t="shared" si="12"/>
        <v>07AAACE6898B4ZHCI1001100092</v>
      </c>
      <c r="C443" s="1" t="s">
        <v>825</v>
      </c>
      <c r="D443" s="1" t="s">
        <v>826</v>
      </c>
      <c r="E443" s="1" t="s">
        <v>830</v>
      </c>
      <c r="F443" s="1" t="s">
        <v>24</v>
      </c>
      <c r="G443" s="1" t="s">
        <v>50</v>
      </c>
      <c r="H443" s="2">
        <v>11800</v>
      </c>
      <c r="I443" s="1" t="s">
        <v>44</v>
      </c>
      <c r="J443" s="3" t="s">
        <v>27</v>
      </c>
      <c r="K443" s="2">
        <v>10000</v>
      </c>
      <c r="L443" s="2">
        <v>0</v>
      </c>
      <c r="M443" s="2">
        <v>900</v>
      </c>
      <c r="N443" s="2">
        <v>900</v>
      </c>
      <c r="O443" s="2">
        <v>0</v>
      </c>
      <c r="P443" s="7" t="s">
        <v>28</v>
      </c>
      <c r="Q443" s="1" t="s">
        <v>29</v>
      </c>
      <c r="R443" s="3" t="s">
        <v>45</v>
      </c>
      <c r="S443" s="1" t="s">
        <v>46</v>
      </c>
      <c r="T443" s="4" t="s">
        <v>31</v>
      </c>
      <c r="U443" s="7" t="s">
        <v>46</v>
      </c>
      <c r="V443" s="7" t="s">
        <v>46</v>
      </c>
      <c r="W443" s="7" t="s">
        <v>46</v>
      </c>
      <c r="X443" s="7" t="s">
        <v>1751</v>
      </c>
      <c r="Y443" s="10">
        <f t="shared" si="13"/>
        <v>1800</v>
      </c>
      <c r="Z443" s="5">
        <v>9150866</v>
      </c>
      <c r="AA443" s="5" t="s">
        <v>1922</v>
      </c>
      <c r="AB443" s="5" t="s">
        <v>1751</v>
      </c>
      <c r="AC443" s="5" t="s">
        <v>1924</v>
      </c>
      <c r="AE443" s="5" t="s">
        <v>1923</v>
      </c>
      <c r="AH443" s="5">
        <f>VLOOKUP(B443,[1]DL!$BK:$BP,6,0)</f>
        <v>9150866</v>
      </c>
    </row>
    <row r="444" spans="1:34" ht="14.5">
      <c r="A444" s="5">
        <v>441</v>
      </c>
      <c r="B444" s="5" t="str">
        <f t="shared" si="12"/>
        <v>07AAACE6898B4ZHCI1001100173</v>
      </c>
      <c r="C444" s="1" t="s">
        <v>825</v>
      </c>
      <c r="D444" s="1" t="s">
        <v>826</v>
      </c>
      <c r="E444" s="1" t="s">
        <v>831</v>
      </c>
      <c r="F444" s="1" t="s">
        <v>24</v>
      </c>
      <c r="G444" s="1" t="s">
        <v>285</v>
      </c>
      <c r="H444" s="2">
        <v>20201.599999999999</v>
      </c>
      <c r="I444" s="1" t="s">
        <v>44</v>
      </c>
      <c r="J444" s="3" t="s">
        <v>27</v>
      </c>
      <c r="K444" s="2">
        <v>17120</v>
      </c>
      <c r="L444" s="2">
        <v>0</v>
      </c>
      <c r="M444" s="2">
        <v>1540.80</v>
      </c>
      <c r="N444" s="2">
        <v>1540.80</v>
      </c>
      <c r="O444" s="2">
        <v>0</v>
      </c>
      <c r="P444" s="7" t="s">
        <v>28</v>
      </c>
      <c r="Q444" s="1" t="s">
        <v>29</v>
      </c>
      <c r="R444" s="3" t="s">
        <v>45</v>
      </c>
      <c r="S444" s="1" t="s">
        <v>46</v>
      </c>
      <c r="T444" s="4" t="s">
        <v>31</v>
      </c>
      <c r="U444" s="7" t="s">
        <v>46</v>
      </c>
      <c r="V444" s="7" t="s">
        <v>46</v>
      </c>
      <c r="W444" s="7" t="s">
        <v>46</v>
      </c>
      <c r="X444" s="7" t="s">
        <v>1751</v>
      </c>
      <c r="Y444" s="10">
        <f t="shared" si="13"/>
        <v>3081.5999999999999</v>
      </c>
      <c r="Z444" s="5">
        <v>9177547</v>
      </c>
      <c r="AA444" s="5" t="s">
        <v>1922</v>
      </c>
      <c r="AB444" s="5" t="s">
        <v>1751</v>
      </c>
      <c r="AC444" s="5" t="s">
        <v>1925</v>
      </c>
      <c r="AE444" s="5" t="s">
        <v>1923</v>
      </c>
      <c r="AH444" s="5">
        <f>VLOOKUP(B444,[1]DL!$BK:$BP,6,0)</f>
        <v>9177547</v>
      </c>
    </row>
    <row r="445" spans="1:34" ht="14.5" hidden="1">
      <c r="A445" s="5">
        <v>442</v>
      </c>
      <c r="B445" s="5" t="str">
        <f t="shared" si="12"/>
        <v>07AAACE6898B4ZHCI1001100192</v>
      </c>
      <c r="C445" s="1" t="s">
        <v>825</v>
      </c>
      <c r="D445" s="1" t="s">
        <v>826</v>
      </c>
      <c r="E445" s="1" t="s">
        <v>832</v>
      </c>
      <c r="F445" s="1" t="s">
        <v>24</v>
      </c>
      <c r="G445" s="1" t="s">
        <v>125</v>
      </c>
      <c r="H445" s="2">
        <v>4838</v>
      </c>
      <c r="I445" s="1" t="s">
        <v>44</v>
      </c>
      <c r="J445" s="3" t="s">
        <v>27</v>
      </c>
      <c r="K445" s="2">
        <v>4100</v>
      </c>
      <c r="L445" s="2">
        <v>0</v>
      </c>
      <c r="M445" s="2">
        <v>369</v>
      </c>
      <c r="N445" s="2">
        <v>369</v>
      </c>
      <c r="O445" s="2">
        <v>0</v>
      </c>
      <c r="P445" s="7" t="s">
        <v>28</v>
      </c>
      <c r="Q445" s="1" t="s">
        <v>29</v>
      </c>
      <c r="R445" s="3" t="s">
        <v>45</v>
      </c>
      <c r="S445" s="1" t="s">
        <v>46</v>
      </c>
      <c r="T445" s="4" t="s">
        <v>31</v>
      </c>
      <c r="U445" s="7" t="s">
        <v>46</v>
      </c>
      <c r="V445" s="7" t="s">
        <v>46</v>
      </c>
      <c r="W445" s="7" t="s">
        <v>46</v>
      </c>
      <c r="X445" s="7" t="s">
        <v>1751</v>
      </c>
      <c r="Y445" s="10">
        <f t="shared" si="13"/>
        <v>738</v>
      </c>
      <c r="AH445" s="5" t="e">
        <f>VLOOKUP(B445,[1]DL!$BK:$BP,6,0)</f>
        <v>#N/A</v>
      </c>
    </row>
    <row r="446" spans="1:34" ht="14.5" hidden="1">
      <c r="A446" s="5">
        <v>443</v>
      </c>
      <c r="B446" s="5" t="str">
        <f t="shared" si="12"/>
        <v>07AAACE6898B4ZHCI1001100291</v>
      </c>
      <c r="C446" s="1" t="s">
        <v>825</v>
      </c>
      <c r="D446" s="1" t="s">
        <v>826</v>
      </c>
      <c r="E446" s="1" t="s">
        <v>833</v>
      </c>
      <c r="F446" s="1" t="s">
        <v>24</v>
      </c>
      <c r="G446" s="1" t="s">
        <v>54</v>
      </c>
      <c r="H446" s="2">
        <v>147500</v>
      </c>
      <c r="I446" s="1" t="s">
        <v>44</v>
      </c>
      <c r="J446" s="3" t="s">
        <v>27</v>
      </c>
      <c r="K446" s="2">
        <v>125000</v>
      </c>
      <c r="L446" s="2">
        <v>0</v>
      </c>
      <c r="M446" s="2">
        <v>11250</v>
      </c>
      <c r="N446" s="2">
        <v>11250</v>
      </c>
      <c r="O446" s="2">
        <v>0</v>
      </c>
      <c r="P446" s="7" t="s">
        <v>28</v>
      </c>
      <c r="Q446" s="1" t="s">
        <v>29</v>
      </c>
      <c r="R446" s="3" t="s">
        <v>45</v>
      </c>
      <c r="S446" s="1" t="s">
        <v>46</v>
      </c>
      <c r="T446" s="4" t="s">
        <v>31</v>
      </c>
      <c r="U446" s="7" t="s">
        <v>46</v>
      </c>
      <c r="V446" s="7" t="s">
        <v>46</v>
      </c>
      <c r="W446" s="7" t="s">
        <v>46</v>
      </c>
      <c r="X446" s="7" t="s">
        <v>1751</v>
      </c>
      <c r="Y446" s="10">
        <f t="shared" si="13"/>
        <v>22500</v>
      </c>
      <c r="AH446" s="5" t="e">
        <f>VLOOKUP(B446,[1]DL!$BK:$BP,6,0)</f>
        <v>#N/A</v>
      </c>
    </row>
    <row r="447" spans="1:34" ht="14.5">
      <c r="A447" s="5">
        <v>444</v>
      </c>
      <c r="B447" s="5" t="str">
        <f t="shared" si="12"/>
        <v>07AAACE6898B4ZHCI1001100320</v>
      </c>
      <c r="C447" s="1" t="s">
        <v>825</v>
      </c>
      <c r="D447" s="1" t="s">
        <v>826</v>
      </c>
      <c r="E447" s="1" t="s">
        <v>834</v>
      </c>
      <c r="F447" s="1" t="s">
        <v>24</v>
      </c>
      <c r="G447" s="1" t="s">
        <v>54</v>
      </c>
      <c r="H447" s="2">
        <v>147500</v>
      </c>
      <c r="I447" s="1" t="s">
        <v>44</v>
      </c>
      <c r="J447" s="3" t="s">
        <v>27</v>
      </c>
      <c r="K447" s="2">
        <v>125000</v>
      </c>
      <c r="L447" s="2">
        <v>0</v>
      </c>
      <c r="M447" s="2">
        <v>11250</v>
      </c>
      <c r="N447" s="2">
        <v>11250</v>
      </c>
      <c r="O447" s="2">
        <v>0</v>
      </c>
      <c r="P447" s="7" t="s">
        <v>28</v>
      </c>
      <c r="Q447" s="1" t="s">
        <v>29</v>
      </c>
      <c r="R447" s="3" t="s">
        <v>45</v>
      </c>
      <c r="S447" s="1" t="s">
        <v>46</v>
      </c>
      <c r="T447" s="4" t="s">
        <v>31</v>
      </c>
      <c r="U447" s="7" t="s">
        <v>46</v>
      </c>
      <c r="V447" s="7" t="s">
        <v>46</v>
      </c>
      <c r="W447" s="7" t="s">
        <v>46</v>
      </c>
      <c r="X447" s="7" t="s">
        <v>1751</v>
      </c>
      <c r="Y447" s="10">
        <f t="shared" si="13"/>
        <v>22500</v>
      </c>
      <c r="Z447" s="5">
        <v>9171115</v>
      </c>
      <c r="AA447" s="5" t="s">
        <v>1922</v>
      </c>
      <c r="AB447" s="5" t="s">
        <v>1751</v>
      </c>
      <c r="AC447" s="5" t="s">
        <v>1925</v>
      </c>
      <c r="AE447" s="5" t="s">
        <v>1923</v>
      </c>
      <c r="AH447" s="5">
        <f>VLOOKUP(B447,[1]DL!$BK:$BP,6,0)</f>
        <v>9171115</v>
      </c>
    </row>
    <row r="448" spans="1:34" ht="14.5">
      <c r="A448" s="5">
        <v>445</v>
      </c>
      <c r="B448" s="5" t="str">
        <f t="shared" si="12"/>
        <v>07AAACE6898B4ZHCI1001100350</v>
      </c>
      <c r="C448" s="1" t="s">
        <v>825</v>
      </c>
      <c r="D448" s="1" t="s">
        <v>826</v>
      </c>
      <c r="E448" s="1" t="s">
        <v>835</v>
      </c>
      <c r="F448" s="1" t="s">
        <v>24</v>
      </c>
      <c r="G448" s="1" t="s">
        <v>54</v>
      </c>
      <c r="H448" s="2">
        <v>147500</v>
      </c>
      <c r="I448" s="1" t="s">
        <v>44</v>
      </c>
      <c r="J448" s="3" t="s">
        <v>27</v>
      </c>
      <c r="K448" s="2">
        <v>125000</v>
      </c>
      <c r="L448" s="2">
        <v>0</v>
      </c>
      <c r="M448" s="2">
        <v>11250</v>
      </c>
      <c r="N448" s="2">
        <v>11250</v>
      </c>
      <c r="O448" s="2">
        <v>0</v>
      </c>
      <c r="P448" s="7" t="s">
        <v>28</v>
      </c>
      <c r="Q448" s="1" t="s">
        <v>29</v>
      </c>
      <c r="R448" s="3" t="s">
        <v>45</v>
      </c>
      <c r="S448" s="1" t="s">
        <v>46</v>
      </c>
      <c r="T448" s="4" t="s">
        <v>31</v>
      </c>
      <c r="U448" s="7" t="s">
        <v>46</v>
      </c>
      <c r="V448" s="7" t="s">
        <v>46</v>
      </c>
      <c r="W448" s="7" t="s">
        <v>46</v>
      </c>
      <c r="X448" s="7" t="s">
        <v>1751</v>
      </c>
      <c r="Y448" s="10">
        <f t="shared" si="13"/>
        <v>22500</v>
      </c>
      <c r="Z448" s="5">
        <v>9173874</v>
      </c>
      <c r="AA448" s="5" t="s">
        <v>1922</v>
      </c>
      <c r="AB448" s="5" t="s">
        <v>1751</v>
      </c>
      <c r="AC448" s="5" t="s">
        <v>1925</v>
      </c>
      <c r="AE448" s="5" t="s">
        <v>1923</v>
      </c>
      <c r="AH448" s="5">
        <f>VLOOKUP(B448,[1]DL!$BK:$BP,6,0)</f>
        <v>9173874</v>
      </c>
    </row>
    <row r="449" spans="1:34" ht="14.5" hidden="1">
      <c r="A449" s="5">
        <v>446</v>
      </c>
      <c r="B449" s="5" t="str">
        <f t="shared" si="12"/>
        <v>07AAACE6898B4ZHCI1001100690</v>
      </c>
      <c r="C449" s="1" t="s">
        <v>825</v>
      </c>
      <c r="D449" s="1" t="s">
        <v>826</v>
      </c>
      <c r="E449" s="1" t="s">
        <v>836</v>
      </c>
      <c r="F449" s="1" t="s">
        <v>24</v>
      </c>
      <c r="G449" s="1" t="s">
        <v>52</v>
      </c>
      <c r="H449" s="2">
        <v>5369</v>
      </c>
      <c r="I449" s="1" t="s">
        <v>44</v>
      </c>
      <c r="J449" s="3" t="s">
        <v>27</v>
      </c>
      <c r="K449" s="2">
        <v>4550</v>
      </c>
      <c r="L449" s="2">
        <v>0</v>
      </c>
      <c r="M449" s="2">
        <v>409.5</v>
      </c>
      <c r="N449" s="2">
        <v>409.5</v>
      </c>
      <c r="O449" s="2">
        <v>0</v>
      </c>
      <c r="P449" s="7" t="s">
        <v>28</v>
      </c>
      <c r="Q449" s="1" t="s">
        <v>29</v>
      </c>
      <c r="R449" s="3" t="s">
        <v>45</v>
      </c>
      <c r="S449" s="1" t="s">
        <v>46</v>
      </c>
      <c r="T449" s="4" t="s">
        <v>31</v>
      </c>
      <c r="U449" s="7" t="s">
        <v>46</v>
      </c>
      <c r="V449" s="7" t="s">
        <v>46</v>
      </c>
      <c r="W449" s="7" t="s">
        <v>46</v>
      </c>
      <c r="X449" s="7" t="s">
        <v>1751</v>
      </c>
      <c r="Y449" s="10">
        <f t="shared" si="13"/>
        <v>819</v>
      </c>
      <c r="AH449" s="5" t="e">
        <f>VLOOKUP(B449,[1]DL!$BK:$BP,6,0)</f>
        <v>#N/A</v>
      </c>
    </row>
    <row r="450" spans="1:34" ht="14.5" hidden="1">
      <c r="A450" s="5">
        <v>447</v>
      </c>
      <c r="B450" s="5" t="str">
        <f t="shared" si="12"/>
        <v>07AAACE6898B4ZHCI1001100810</v>
      </c>
      <c r="C450" s="1" t="s">
        <v>825</v>
      </c>
      <c r="D450" s="1" t="s">
        <v>826</v>
      </c>
      <c r="E450" s="1" t="s">
        <v>837</v>
      </c>
      <c r="F450" s="1" t="s">
        <v>24</v>
      </c>
      <c r="G450" s="1" t="s">
        <v>585</v>
      </c>
      <c r="H450" s="2">
        <v>3787.80</v>
      </c>
      <c r="I450" s="1" t="s">
        <v>44</v>
      </c>
      <c r="J450" s="3" t="s">
        <v>27</v>
      </c>
      <c r="K450" s="2">
        <v>3210</v>
      </c>
      <c r="L450" s="2">
        <v>0</v>
      </c>
      <c r="M450" s="2">
        <v>288.89999999999998</v>
      </c>
      <c r="N450" s="2">
        <v>288.89999999999998</v>
      </c>
      <c r="O450" s="2">
        <v>0</v>
      </c>
      <c r="P450" s="7" t="s">
        <v>28</v>
      </c>
      <c r="Q450" s="1" t="s">
        <v>29</v>
      </c>
      <c r="R450" s="3" t="s">
        <v>45</v>
      </c>
      <c r="S450" s="1" t="s">
        <v>46</v>
      </c>
      <c r="T450" s="4" t="s">
        <v>31</v>
      </c>
      <c r="U450" s="7" t="s">
        <v>46</v>
      </c>
      <c r="V450" s="7" t="s">
        <v>46</v>
      </c>
      <c r="W450" s="7" t="s">
        <v>46</v>
      </c>
      <c r="X450" s="7" t="s">
        <v>1751</v>
      </c>
      <c r="Y450" s="10">
        <f t="shared" si="13"/>
        <v>577.79999999999995</v>
      </c>
      <c r="AH450" s="5" t="e">
        <f>VLOOKUP(B450,[1]DL!$BK:$BP,6,0)</f>
        <v>#N/A</v>
      </c>
    </row>
    <row r="451" spans="1:34" ht="14.5" hidden="1">
      <c r="A451" s="5">
        <v>448</v>
      </c>
      <c r="B451" s="5" t="str">
        <f t="shared" si="12"/>
        <v>07AAACE6898B4ZHCI1001100908</v>
      </c>
      <c r="C451" s="1" t="s">
        <v>825</v>
      </c>
      <c r="D451" s="1" t="s">
        <v>826</v>
      </c>
      <c r="E451" s="1" t="s">
        <v>838</v>
      </c>
      <c r="F451" s="1" t="s">
        <v>24</v>
      </c>
      <c r="G451" s="1" t="s">
        <v>289</v>
      </c>
      <c r="H451" s="2">
        <v>53878.80</v>
      </c>
      <c r="I451" s="1" t="s">
        <v>44</v>
      </c>
      <c r="J451" s="3" t="s">
        <v>27</v>
      </c>
      <c r="K451" s="2">
        <v>45660</v>
      </c>
      <c r="L451" s="2">
        <v>0</v>
      </c>
      <c r="M451" s="2">
        <v>4109.3999999999996</v>
      </c>
      <c r="N451" s="2">
        <v>4109.3999999999996</v>
      </c>
      <c r="O451" s="2">
        <v>0</v>
      </c>
      <c r="P451" s="7" t="s">
        <v>28</v>
      </c>
      <c r="Q451" s="1" t="s">
        <v>29</v>
      </c>
      <c r="R451" s="3" t="s">
        <v>45</v>
      </c>
      <c r="S451" s="1" t="s">
        <v>46</v>
      </c>
      <c r="T451" s="4" t="s">
        <v>31</v>
      </c>
      <c r="U451" s="7" t="s">
        <v>46</v>
      </c>
      <c r="V451" s="7" t="s">
        <v>46</v>
      </c>
      <c r="W451" s="7" t="s">
        <v>46</v>
      </c>
      <c r="X451" s="7" t="s">
        <v>1751</v>
      </c>
      <c r="Y451" s="10">
        <f t="shared" si="13"/>
        <v>8218.7999999999993</v>
      </c>
      <c r="AH451" s="5" t="e">
        <f>VLOOKUP(B451,[1]DL!$BK:$BP,6,0)</f>
        <v>#N/A</v>
      </c>
    </row>
    <row r="452" spans="1:34" ht="14.5" hidden="1">
      <c r="A452" s="5">
        <v>449</v>
      </c>
      <c r="B452" s="5" t="str">
        <f t="shared" si="12"/>
        <v>07AAACE6898B4ZHCI1001100915</v>
      </c>
      <c r="C452" s="1" t="s">
        <v>825</v>
      </c>
      <c r="D452" s="1" t="s">
        <v>826</v>
      </c>
      <c r="E452" s="1" t="s">
        <v>839</v>
      </c>
      <c r="F452" s="1" t="s">
        <v>24</v>
      </c>
      <c r="G452" s="1" t="s">
        <v>289</v>
      </c>
      <c r="H452" s="2">
        <v>7375</v>
      </c>
      <c r="I452" s="1" t="s">
        <v>44</v>
      </c>
      <c r="J452" s="3" t="s">
        <v>27</v>
      </c>
      <c r="K452" s="2">
        <v>6250</v>
      </c>
      <c r="L452" s="2">
        <v>0</v>
      </c>
      <c r="M452" s="2">
        <v>562.5</v>
      </c>
      <c r="N452" s="2">
        <v>562.5</v>
      </c>
      <c r="O452" s="2">
        <v>0</v>
      </c>
      <c r="P452" s="7" t="s">
        <v>28</v>
      </c>
      <c r="Q452" s="1" t="s">
        <v>29</v>
      </c>
      <c r="R452" s="3" t="s">
        <v>45</v>
      </c>
      <c r="S452" s="1" t="s">
        <v>46</v>
      </c>
      <c r="T452" s="4" t="s">
        <v>31</v>
      </c>
      <c r="U452" s="7" t="s">
        <v>46</v>
      </c>
      <c r="V452" s="7" t="s">
        <v>46</v>
      </c>
      <c r="W452" s="7" t="s">
        <v>46</v>
      </c>
      <c r="X452" s="7" t="s">
        <v>1751</v>
      </c>
      <c r="Y452" s="10">
        <f t="shared" si="13"/>
        <v>1125</v>
      </c>
      <c r="AH452" s="5" t="e">
        <f>VLOOKUP(B452,[1]DL!$BK:$BP,6,0)</f>
        <v>#N/A</v>
      </c>
    </row>
    <row r="453" spans="1:34" ht="14.5" hidden="1">
      <c r="A453" s="5">
        <v>450</v>
      </c>
      <c r="B453" s="5" t="str">
        <f t="shared" si="14" ref="B453:B516">C453&amp;E453</f>
        <v>07AAIPM8078J1Z41667</v>
      </c>
      <c r="C453" s="1" t="s">
        <v>840</v>
      </c>
      <c r="D453" s="1" t="s">
        <v>841</v>
      </c>
      <c r="E453" s="1" t="s">
        <v>842</v>
      </c>
      <c r="F453" s="1" t="s">
        <v>24</v>
      </c>
      <c r="G453" s="1" t="s">
        <v>154</v>
      </c>
      <c r="H453" s="2">
        <v>5900</v>
      </c>
      <c r="I453" s="1" t="s">
        <v>44</v>
      </c>
      <c r="J453" s="3" t="s">
        <v>27</v>
      </c>
      <c r="K453" s="2">
        <v>5000</v>
      </c>
      <c r="L453" s="2">
        <v>0</v>
      </c>
      <c r="M453" s="2">
        <v>450</v>
      </c>
      <c r="N453" s="2">
        <v>450</v>
      </c>
      <c r="O453" s="2">
        <v>0</v>
      </c>
      <c r="P453" s="7" t="s">
        <v>28</v>
      </c>
      <c r="Q453" s="1" t="s">
        <v>29</v>
      </c>
      <c r="R453" s="3" t="s">
        <v>45</v>
      </c>
      <c r="S453" s="1" t="s">
        <v>46</v>
      </c>
      <c r="T453" s="4" t="s">
        <v>31</v>
      </c>
      <c r="U453" s="7" t="s">
        <v>46</v>
      </c>
      <c r="V453" s="7" t="s">
        <v>46</v>
      </c>
      <c r="W453" s="7" t="s">
        <v>46</v>
      </c>
      <c r="X453" s="7" t="s">
        <v>1751</v>
      </c>
      <c r="Y453" s="10">
        <f t="shared" si="15" ref="Y453:Y516">L453+M453+N453+O453</f>
        <v>900</v>
      </c>
      <c r="AH453" s="5" t="e">
        <f>VLOOKUP(B453,[1]DL!$BK:$BP,6,0)</f>
        <v>#N/A</v>
      </c>
    </row>
    <row r="454" spans="1:34" ht="14.5">
      <c r="A454" s="5">
        <v>451</v>
      </c>
      <c r="B454" s="5" t="str">
        <f t="shared" si="14"/>
        <v>07AAACC8414B1Z67026000049</v>
      </c>
      <c r="C454" s="1" t="s">
        <v>843</v>
      </c>
      <c r="D454" s="1" t="s">
        <v>844</v>
      </c>
      <c r="E454" s="1" t="s">
        <v>845</v>
      </c>
      <c r="F454" s="1" t="s">
        <v>24</v>
      </c>
      <c r="G454" s="1" t="s">
        <v>398</v>
      </c>
      <c r="H454" s="2">
        <v>186440</v>
      </c>
      <c r="I454" s="1" t="s">
        <v>44</v>
      </c>
      <c r="J454" s="3" t="s">
        <v>27</v>
      </c>
      <c r="K454" s="2">
        <v>158000</v>
      </c>
      <c r="L454" s="2">
        <v>0</v>
      </c>
      <c r="M454" s="2">
        <v>14220</v>
      </c>
      <c r="N454" s="2">
        <v>14220</v>
      </c>
      <c r="O454" s="2">
        <v>0</v>
      </c>
      <c r="P454" s="7" t="s">
        <v>28</v>
      </c>
      <c r="Q454" s="1" t="s">
        <v>484</v>
      </c>
      <c r="R454" s="3" t="s">
        <v>45</v>
      </c>
      <c r="S454" s="1" t="s">
        <v>46</v>
      </c>
      <c r="T454" s="4" t="s">
        <v>31</v>
      </c>
      <c r="U454" s="7" t="s">
        <v>46</v>
      </c>
      <c r="V454" s="7" t="s">
        <v>46</v>
      </c>
      <c r="W454" s="7" t="s">
        <v>46</v>
      </c>
      <c r="X454" s="7" t="s">
        <v>1751</v>
      </c>
      <c r="Y454" s="10">
        <f t="shared" si="15"/>
        <v>28440</v>
      </c>
      <c r="Z454" s="5">
        <v>9168297</v>
      </c>
      <c r="AA454" s="5" t="s">
        <v>1922</v>
      </c>
      <c r="AB454" s="5" t="s">
        <v>1751</v>
      </c>
      <c r="AC454" s="5" t="s">
        <v>1924</v>
      </c>
      <c r="AE454" s="5" t="s">
        <v>1923</v>
      </c>
      <c r="AH454" s="5">
        <f>VLOOKUP(B454,[1]DL!$BK:$BP,6,0)</f>
        <v>9168297</v>
      </c>
    </row>
    <row r="455" spans="1:34" ht="14.5">
      <c r="A455" s="5">
        <v>452</v>
      </c>
      <c r="B455" s="5" t="str">
        <f t="shared" si="14"/>
        <v>07ANXPS5012J2ZF18A</v>
      </c>
      <c r="C455" s="1" t="s">
        <v>846</v>
      </c>
      <c r="D455" s="1" t="s">
        <v>847</v>
      </c>
      <c r="E455" s="1" t="s">
        <v>848</v>
      </c>
      <c r="F455" s="1" t="s">
        <v>24</v>
      </c>
      <c r="G455" s="1" t="s">
        <v>50</v>
      </c>
      <c r="H455" s="2">
        <v>14750</v>
      </c>
      <c r="I455" s="1" t="s">
        <v>44</v>
      </c>
      <c r="J455" s="3" t="s">
        <v>27</v>
      </c>
      <c r="K455" s="2">
        <v>12500</v>
      </c>
      <c r="L455" s="2">
        <v>0</v>
      </c>
      <c r="M455" s="2">
        <v>1125</v>
      </c>
      <c r="N455" s="2">
        <v>1125</v>
      </c>
      <c r="O455" s="2">
        <v>0</v>
      </c>
      <c r="P455" s="7" t="s">
        <v>28</v>
      </c>
      <c r="Q455" s="1" t="s">
        <v>29</v>
      </c>
      <c r="R455" s="3" t="s">
        <v>45</v>
      </c>
      <c r="S455" s="1" t="s">
        <v>46</v>
      </c>
      <c r="T455" s="4" t="s">
        <v>31</v>
      </c>
      <c r="U455" s="7" t="s">
        <v>46</v>
      </c>
      <c r="V455" s="7" t="s">
        <v>46</v>
      </c>
      <c r="W455" s="7" t="s">
        <v>46</v>
      </c>
      <c r="X455" s="7" t="s">
        <v>1751</v>
      </c>
      <c r="Y455" s="10">
        <f t="shared" si="15"/>
        <v>2250</v>
      </c>
      <c r="Z455" s="5">
        <v>9157985</v>
      </c>
      <c r="AA455" s="5" t="s">
        <v>1922</v>
      </c>
      <c r="AB455" s="5" t="s">
        <v>1751</v>
      </c>
      <c r="AC455" s="5" t="s">
        <v>1925</v>
      </c>
      <c r="AE455" s="5" t="s">
        <v>1923</v>
      </c>
      <c r="AH455" s="5">
        <f>VLOOKUP(B455,[1]DL!$BK:$BP,6,0)</f>
        <v>9157985</v>
      </c>
    </row>
    <row r="456" spans="1:34" ht="14.5" hidden="1">
      <c r="A456" s="5">
        <v>453</v>
      </c>
      <c r="B456" s="5" t="str">
        <f t="shared" si="14"/>
        <v>07ASGPB8163K1ZK1121</v>
      </c>
      <c r="C456" s="1" t="s">
        <v>849</v>
      </c>
      <c r="D456" s="1" t="s">
        <v>850</v>
      </c>
      <c r="E456" s="1" t="s">
        <v>851</v>
      </c>
      <c r="F456" s="1" t="s">
        <v>24</v>
      </c>
      <c r="G456" s="1" t="s">
        <v>852</v>
      </c>
      <c r="H456" s="2">
        <v>22852</v>
      </c>
      <c r="I456" s="1" t="s">
        <v>44</v>
      </c>
      <c r="J456" s="3" t="s">
        <v>27</v>
      </c>
      <c r="K456" s="2">
        <v>20350</v>
      </c>
      <c r="L456" s="2">
        <v>0</v>
      </c>
      <c r="M456" s="2">
        <v>1251</v>
      </c>
      <c r="N456" s="2">
        <v>1251</v>
      </c>
      <c r="O456" s="2">
        <v>0</v>
      </c>
      <c r="P456" s="7" t="s">
        <v>203</v>
      </c>
      <c r="Q456" s="1" t="s">
        <v>395</v>
      </c>
      <c r="R456" s="3" t="s">
        <v>45</v>
      </c>
      <c r="S456" s="1" t="s">
        <v>46</v>
      </c>
      <c r="T456" s="4" t="s">
        <v>31</v>
      </c>
      <c r="U456" s="7" t="s">
        <v>46</v>
      </c>
      <c r="V456" s="7" t="s">
        <v>46</v>
      </c>
      <c r="W456" s="7" t="s">
        <v>46</v>
      </c>
      <c r="X456" s="7" t="s">
        <v>1751</v>
      </c>
      <c r="Y456" s="10">
        <f t="shared" si="15"/>
        <v>2502</v>
      </c>
      <c r="AH456" s="5" t="e">
        <f>VLOOKUP(B456,[1]DL!$BK:$BP,6,0)</f>
        <v>#N/A</v>
      </c>
    </row>
    <row r="457" spans="1:34" ht="14.5" hidden="1">
      <c r="A457" s="5">
        <v>454</v>
      </c>
      <c r="B457" s="5" t="str">
        <f t="shared" si="14"/>
        <v>07ASGPB8163K1ZK1122</v>
      </c>
      <c r="C457" s="1" t="s">
        <v>849</v>
      </c>
      <c r="D457" s="1" t="s">
        <v>850</v>
      </c>
      <c r="E457" s="1" t="s">
        <v>853</v>
      </c>
      <c r="F457" s="1" t="s">
        <v>24</v>
      </c>
      <c r="G457" s="1" t="s">
        <v>854</v>
      </c>
      <c r="H457" s="2">
        <v>5428</v>
      </c>
      <c r="I457" s="1" t="s">
        <v>44</v>
      </c>
      <c r="J457" s="3" t="s">
        <v>27</v>
      </c>
      <c r="K457" s="2">
        <v>4600</v>
      </c>
      <c r="L457" s="2">
        <v>0</v>
      </c>
      <c r="M457" s="2">
        <v>414</v>
      </c>
      <c r="N457" s="2">
        <v>414</v>
      </c>
      <c r="O457" s="2">
        <v>0</v>
      </c>
      <c r="P457" s="7" t="s">
        <v>203</v>
      </c>
      <c r="Q457" s="1" t="s">
        <v>395</v>
      </c>
      <c r="R457" s="3" t="s">
        <v>45</v>
      </c>
      <c r="S457" s="1" t="s">
        <v>46</v>
      </c>
      <c r="T457" s="4" t="s">
        <v>31</v>
      </c>
      <c r="U457" s="7" t="s">
        <v>46</v>
      </c>
      <c r="V457" s="7" t="s">
        <v>46</v>
      </c>
      <c r="W457" s="7" t="s">
        <v>46</v>
      </c>
      <c r="X457" s="7" t="s">
        <v>1751</v>
      </c>
      <c r="Y457" s="10">
        <f t="shared" si="15"/>
        <v>828</v>
      </c>
      <c r="AH457" s="5" t="e">
        <f>VLOOKUP(B457,[1]DL!$BK:$BP,6,0)</f>
        <v>#N/A</v>
      </c>
    </row>
    <row r="458" spans="1:34" ht="14.5" hidden="1">
      <c r="A458" s="5">
        <v>455</v>
      </c>
      <c r="B458" s="5" t="str">
        <f t="shared" si="14"/>
        <v>07ASGPB8163K1ZK1123</v>
      </c>
      <c r="C458" s="1" t="s">
        <v>849</v>
      </c>
      <c r="D458" s="1" t="s">
        <v>850</v>
      </c>
      <c r="E458" s="1" t="s">
        <v>855</v>
      </c>
      <c r="F458" s="1" t="s">
        <v>24</v>
      </c>
      <c r="G458" s="1" t="s">
        <v>854</v>
      </c>
      <c r="H458" s="2">
        <v>17714</v>
      </c>
      <c r="I458" s="1" t="s">
        <v>44</v>
      </c>
      <c r="J458" s="3" t="s">
        <v>27</v>
      </c>
      <c r="K458" s="2">
        <v>16250</v>
      </c>
      <c r="L458" s="2">
        <v>0</v>
      </c>
      <c r="M458" s="2">
        <v>702</v>
      </c>
      <c r="N458" s="2">
        <v>702</v>
      </c>
      <c r="O458" s="2">
        <v>0</v>
      </c>
      <c r="P458" s="7" t="s">
        <v>203</v>
      </c>
      <c r="Q458" s="1" t="s">
        <v>395</v>
      </c>
      <c r="R458" s="3" t="s">
        <v>45</v>
      </c>
      <c r="S458" s="1" t="s">
        <v>46</v>
      </c>
      <c r="T458" s="4" t="s">
        <v>31</v>
      </c>
      <c r="U458" s="7" t="s">
        <v>46</v>
      </c>
      <c r="V458" s="7" t="s">
        <v>46</v>
      </c>
      <c r="W458" s="7" t="s">
        <v>46</v>
      </c>
      <c r="X458" s="7" t="s">
        <v>1751</v>
      </c>
      <c r="Y458" s="10">
        <f t="shared" si="15"/>
        <v>1404</v>
      </c>
      <c r="AH458" s="5" t="e">
        <f>VLOOKUP(B458,[1]DL!$BK:$BP,6,0)</f>
        <v>#N/A</v>
      </c>
    </row>
    <row r="459" spans="1:34" ht="14.5">
      <c r="A459" s="5">
        <v>456</v>
      </c>
      <c r="B459" s="5" t="str">
        <f t="shared" si="14"/>
        <v>07ASGPB8163K1ZK1131</v>
      </c>
      <c r="C459" s="1" t="s">
        <v>849</v>
      </c>
      <c r="D459" s="1" t="s">
        <v>850</v>
      </c>
      <c r="E459" s="1" t="s">
        <v>856</v>
      </c>
      <c r="F459" s="1" t="s">
        <v>24</v>
      </c>
      <c r="G459" s="1" t="s">
        <v>857</v>
      </c>
      <c r="H459" s="2">
        <v>22852</v>
      </c>
      <c r="I459" s="1" t="s">
        <v>44</v>
      </c>
      <c r="J459" s="3" t="s">
        <v>27</v>
      </c>
      <c r="K459" s="2">
        <v>20350</v>
      </c>
      <c r="L459" s="2">
        <v>0</v>
      </c>
      <c r="M459" s="2">
        <v>1251</v>
      </c>
      <c r="N459" s="2">
        <v>1251</v>
      </c>
      <c r="O459" s="2">
        <v>0</v>
      </c>
      <c r="P459" s="7" t="s">
        <v>203</v>
      </c>
      <c r="Q459" s="1" t="s">
        <v>395</v>
      </c>
      <c r="R459" s="3" t="s">
        <v>45</v>
      </c>
      <c r="S459" s="1" t="s">
        <v>46</v>
      </c>
      <c r="T459" s="4" t="s">
        <v>31</v>
      </c>
      <c r="U459" s="7" t="s">
        <v>46</v>
      </c>
      <c r="V459" s="7" t="s">
        <v>46</v>
      </c>
      <c r="W459" s="7" t="s">
        <v>46</v>
      </c>
      <c r="X459" s="7" t="s">
        <v>1751</v>
      </c>
      <c r="Y459" s="10">
        <f t="shared" si="15"/>
        <v>2502</v>
      </c>
      <c r="Z459" s="5">
        <v>8854263</v>
      </c>
      <c r="AA459" s="5" t="s">
        <v>1922</v>
      </c>
      <c r="AB459" s="5" t="s">
        <v>1751</v>
      </c>
      <c r="AC459" s="5" t="s">
        <v>1925</v>
      </c>
      <c r="AE459" s="5" t="s">
        <v>1923</v>
      </c>
      <c r="AH459" s="5">
        <f>VLOOKUP(B459,[1]DL!$BK:$BP,6,0)</f>
        <v>8854263</v>
      </c>
    </row>
    <row r="460" spans="1:34" ht="14.5" hidden="1">
      <c r="A460" s="5">
        <v>457</v>
      </c>
      <c r="B460" s="5" t="str">
        <f t="shared" si="14"/>
        <v>07AADCC3694E1ZPBDLI000184/26-27</v>
      </c>
      <c r="C460" s="1" t="s">
        <v>858</v>
      </c>
      <c r="D460" s="1" t="s">
        <v>859</v>
      </c>
      <c r="E460" s="1" t="s">
        <v>860</v>
      </c>
      <c r="F460" s="1" t="s">
        <v>24</v>
      </c>
      <c r="G460" s="1" t="s">
        <v>54</v>
      </c>
      <c r="H460" s="2">
        <v>3245</v>
      </c>
      <c r="I460" s="1" t="s">
        <v>44</v>
      </c>
      <c r="J460" s="3" t="s">
        <v>27</v>
      </c>
      <c r="K460" s="2">
        <v>2750</v>
      </c>
      <c r="L460" s="2">
        <v>0</v>
      </c>
      <c r="M460" s="2">
        <v>247.5</v>
      </c>
      <c r="N460" s="2">
        <v>247.5</v>
      </c>
      <c r="O460" s="2">
        <v>0</v>
      </c>
      <c r="P460" s="7" t="s">
        <v>28</v>
      </c>
      <c r="Q460" s="1" t="s">
        <v>29</v>
      </c>
      <c r="R460" s="3" t="s">
        <v>45</v>
      </c>
      <c r="S460" s="1" t="s">
        <v>46</v>
      </c>
      <c r="T460" s="4" t="s">
        <v>31</v>
      </c>
      <c r="U460" s="7" t="s">
        <v>46</v>
      </c>
      <c r="V460" s="7" t="s">
        <v>46</v>
      </c>
      <c r="W460" s="7" t="s">
        <v>46</v>
      </c>
      <c r="X460" s="7" t="s">
        <v>1751</v>
      </c>
      <c r="Y460" s="10">
        <f t="shared" si="15"/>
        <v>495</v>
      </c>
      <c r="AH460" s="5" t="e">
        <f>VLOOKUP(B460,[1]DL!$BK:$BP,6,0)</f>
        <v>#N/A</v>
      </c>
    </row>
    <row r="461" spans="1:34" ht="14.5" hidden="1">
      <c r="A461" s="5">
        <v>458</v>
      </c>
      <c r="B461" s="5" t="str">
        <f t="shared" si="14"/>
        <v>07AADCC3694E1ZPBDLI000203/26-27</v>
      </c>
      <c r="C461" s="1" t="s">
        <v>858</v>
      </c>
      <c r="D461" s="1" t="s">
        <v>859</v>
      </c>
      <c r="E461" s="1" t="s">
        <v>861</v>
      </c>
      <c r="F461" s="1" t="s">
        <v>24</v>
      </c>
      <c r="G461" s="1" t="s">
        <v>54</v>
      </c>
      <c r="H461" s="2">
        <v>28910</v>
      </c>
      <c r="I461" s="1" t="s">
        <v>44</v>
      </c>
      <c r="J461" s="3" t="s">
        <v>27</v>
      </c>
      <c r="K461" s="2">
        <v>24500</v>
      </c>
      <c r="L461" s="2">
        <v>0</v>
      </c>
      <c r="M461" s="2">
        <v>2205</v>
      </c>
      <c r="N461" s="2">
        <v>2205</v>
      </c>
      <c r="O461" s="2">
        <v>0</v>
      </c>
      <c r="P461" s="7" t="s">
        <v>28</v>
      </c>
      <c r="Q461" s="1" t="s">
        <v>29</v>
      </c>
      <c r="R461" s="3" t="s">
        <v>45</v>
      </c>
      <c r="S461" s="1" t="s">
        <v>46</v>
      </c>
      <c r="T461" s="4" t="s">
        <v>31</v>
      </c>
      <c r="U461" s="7" t="s">
        <v>46</v>
      </c>
      <c r="V461" s="7" t="s">
        <v>46</v>
      </c>
      <c r="W461" s="7" t="s">
        <v>46</v>
      </c>
      <c r="X461" s="7" t="s">
        <v>1751</v>
      </c>
      <c r="Y461" s="10">
        <f t="shared" si="15"/>
        <v>4410</v>
      </c>
      <c r="AH461" s="5" t="e">
        <f>VLOOKUP(B461,[1]DL!$BK:$BP,6,0)</f>
        <v>#N/A</v>
      </c>
    </row>
    <row r="462" spans="1:34" ht="14.5" hidden="1">
      <c r="A462" s="5">
        <v>459</v>
      </c>
      <c r="B462" s="5" t="str">
        <f t="shared" si="14"/>
        <v>07AADCC3694E1ZPBDLI000205/26-27</v>
      </c>
      <c r="C462" s="1" t="s">
        <v>858</v>
      </c>
      <c r="D462" s="1" t="s">
        <v>859</v>
      </c>
      <c r="E462" s="1" t="s">
        <v>862</v>
      </c>
      <c r="F462" s="1" t="s">
        <v>24</v>
      </c>
      <c r="G462" s="1" t="s">
        <v>54</v>
      </c>
      <c r="H462" s="2">
        <v>46610</v>
      </c>
      <c r="I462" s="1" t="s">
        <v>44</v>
      </c>
      <c r="J462" s="3" t="s">
        <v>27</v>
      </c>
      <c r="K462" s="2">
        <v>39500</v>
      </c>
      <c r="L462" s="2">
        <v>0</v>
      </c>
      <c r="M462" s="2">
        <v>3555</v>
      </c>
      <c r="N462" s="2">
        <v>3555</v>
      </c>
      <c r="O462" s="2">
        <v>0</v>
      </c>
      <c r="P462" s="7" t="s">
        <v>28</v>
      </c>
      <c r="Q462" s="1" t="s">
        <v>29</v>
      </c>
      <c r="R462" s="3" t="s">
        <v>45</v>
      </c>
      <c r="S462" s="1" t="s">
        <v>46</v>
      </c>
      <c r="T462" s="4" t="s">
        <v>31</v>
      </c>
      <c r="U462" s="7" t="s">
        <v>46</v>
      </c>
      <c r="V462" s="7" t="s">
        <v>46</v>
      </c>
      <c r="W462" s="7" t="s">
        <v>46</v>
      </c>
      <c r="X462" s="7" t="s">
        <v>1751</v>
      </c>
      <c r="Y462" s="10">
        <f t="shared" si="15"/>
        <v>7110</v>
      </c>
      <c r="AH462" s="5" t="e">
        <f>VLOOKUP(B462,[1]DL!$BK:$BP,6,0)</f>
        <v>#N/A</v>
      </c>
    </row>
    <row r="463" spans="1:34" ht="14.5" hidden="1">
      <c r="A463" s="5">
        <v>460</v>
      </c>
      <c r="B463" s="5" t="str">
        <f t="shared" si="14"/>
        <v>07AADCC3694E1ZPBDLI000328/26-27</v>
      </c>
      <c r="C463" s="1" t="s">
        <v>858</v>
      </c>
      <c r="D463" s="1" t="s">
        <v>859</v>
      </c>
      <c r="E463" s="1" t="s">
        <v>863</v>
      </c>
      <c r="F463" s="1" t="s">
        <v>24</v>
      </c>
      <c r="G463" s="1" t="s">
        <v>54</v>
      </c>
      <c r="H463" s="2">
        <v>28910</v>
      </c>
      <c r="I463" s="1" t="s">
        <v>44</v>
      </c>
      <c r="J463" s="3" t="s">
        <v>27</v>
      </c>
      <c r="K463" s="2">
        <v>24500</v>
      </c>
      <c r="L463" s="2">
        <v>0</v>
      </c>
      <c r="M463" s="2">
        <v>2205</v>
      </c>
      <c r="N463" s="2">
        <v>2205</v>
      </c>
      <c r="O463" s="2">
        <v>0</v>
      </c>
      <c r="P463" s="7" t="s">
        <v>28</v>
      </c>
      <c r="Q463" s="1" t="s">
        <v>29</v>
      </c>
      <c r="R463" s="3" t="s">
        <v>45</v>
      </c>
      <c r="S463" s="1" t="s">
        <v>46</v>
      </c>
      <c r="T463" s="4" t="s">
        <v>31</v>
      </c>
      <c r="U463" s="7" t="s">
        <v>32</v>
      </c>
      <c r="V463" s="7" t="s">
        <v>864</v>
      </c>
      <c r="W463" s="7" t="s">
        <v>54</v>
      </c>
      <c r="X463" s="7" t="s">
        <v>1751</v>
      </c>
      <c r="Y463" s="10">
        <f t="shared" si="15"/>
        <v>4410</v>
      </c>
      <c r="AH463" s="5" t="e">
        <f>VLOOKUP(B463,[1]DL!$BK:$BP,6,0)</f>
        <v>#N/A</v>
      </c>
    </row>
    <row r="464" spans="1:34" ht="14.5">
      <c r="A464" s="5">
        <v>461</v>
      </c>
      <c r="B464" s="5" t="str">
        <f t="shared" si="14"/>
        <v>07AADCC3694E1ZPBDLI000509/26-27</v>
      </c>
      <c r="C464" s="1" t="s">
        <v>858</v>
      </c>
      <c r="D464" s="1" t="s">
        <v>859</v>
      </c>
      <c r="E464" s="1" t="s">
        <v>865</v>
      </c>
      <c r="F464" s="1" t="s">
        <v>24</v>
      </c>
      <c r="G464" s="1" t="s">
        <v>385</v>
      </c>
      <c r="H464" s="2">
        <v>26550</v>
      </c>
      <c r="I464" s="1" t="s">
        <v>44</v>
      </c>
      <c r="J464" s="3" t="s">
        <v>27</v>
      </c>
      <c r="K464" s="2">
        <v>22500</v>
      </c>
      <c r="L464" s="2">
        <v>0</v>
      </c>
      <c r="M464" s="2">
        <v>2025</v>
      </c>
      <c r="N464" s="2">
        <v>2025</v>
      </c>
      <c r="O464" s="2">
        <v>0</v>
      </c>
      <c r="P464" s="7" t="s">
        <v>28</v>
      </c>
      <c r="Q464" s="1" t="s">
        <v>29</v>
      </c>
      <c r="R464" s="3" t="s">
        <v>45</v>
      </c>
      <c r="S464" s="1" t="s">
        <v>46</v>
      </c>
      <c r="T464" s="4" t="s">
        <v>31</v>
      </c>
      <c r="U464" s="7" t="s">
        <v>32</v>
      </c>
      <c r="V464" s="7" t="s">
        <v>866</v>
      </c>
      <c r="W464" s="7" t="s">
        <v>385</v>
      </c>
      <c r="X464" s="7" t="s">
        <v>1751</v>
      </c>
      <c r="Y464" s="10">
        <f t="shared" si="15"/>
        <v>4050</v>
      </c>
      <c r="Z464" s="5">
        <v>9166991</v>
      </c>
      <c r="AA464" s="5" t="s">
        <v>1922</v>
      </c>
      <c r="AB464" s="5" t="s">
        <v>1751</v>
      </c>
      <c r="AC464" s="5" t="s">
        <v>1924</v>
      </c>
      <c r="AE464" s="5" t="s">
        <v>1923</v>
      </c>
      <c r="AH464" s="5">
        <f>VLOOKUP(B464,[1]DL!$BK:$BP,6,0)</f>
        <v>9166991</v>
      </c>
    </row>
    <row r="465" spans="1:34" ht="14.5">
      <c r="A465" s="5">
        <v>462</v>
      </c>
      <c r="B465" s="5" t="str">
        <f t="shared" si="14"/>
        <v>07AADCC3694E1ZPBDLI000510/26-27</v>
      </c>
      <c r="C465" s="1" t="s">
        <v>858</v>
      </c>
      <c r="D465" s="1" t="s">
        <v>859</v>
      </c>
      <c r="E465" s="1" t="s">
        <v>867</v>
      </c>
      <c r="F465" s="1" t="s">
        <v>24</v>
      </c>
      <c r="G465" s="1" t="s">
        <v>385</v>
      </c>
      <c r="H465" s="2">
        <v>38350</v>
      </c>
      <c r="I465" s="1" t="s">
        <v>44</v>
      </c>
      <c r="J465" s="3" t="s">
        <v>27</v>
      </c>
      <c r="K465" s="2">
        <v>32500</v>
      </c>
      <c r="L465" s="2">
        <v>0</v>
      </c>
      <c r="M465" s="2">
        <v>2925</v>
      </c>
      <c r="N465" s="2">
        <v>2925</v>
      </c>
      <c r="O465" s="2">
        <v>0</v>
      </c>
      <c r="P465" s="7" t="s">
        <v>28</v>
      </c>
      <c r="Q465" s="1" t="s">
        <v>29</v>
      </c>
      <c r="R465" s="3" t="s">
        <v>45</v>
      </c>
      <c r="S465" s="1" t="s">
        <v>46</v>
      </c>
      <c r="T465" s="4" t="s">
        <v>31</v>
      </c>
      <c r="U465" s="7" t="s">
        <v>32</v>
      </c>
      <c r="V465" s="7" t="s">
        <v>868</v>
      </c>
      <c r="W465" s="7" t="s">
        <v>385</v>
      </c>
      <c r="X465" s="7" t="s">
        <v>1751</v>
      </c>
      <c r="Y465" s="10">
        <f t="shared" si="15"/>
        <v>5850</v>
      </c>
      <c r="Z465" s="5">
        <v>9173788</v>
      </c>
      <c r="AA465" s="5" t="s">
        <v>1922</v>
      </c>
      <c r="AB465" s="5" t="s">
        <v>1751</v>
      </c>
      <c r="AC465" s="5" t="s">
        <v>1924</v>
      </c>
      <c r="AE465" s="5" t="s">
        <v>1923</v>
      </c>
      <c r="AH465" s="5">
        <f>VLOOKUP(B465,[1]DL!$BK:$BP,6,0)</f>
        <v>9173788</v>
      </c>
    </row>
    <row r="466" spans="1:34" ht="14.5">
      <c r="A466" s="5">
        <v>463</v>
      </c>
      <c r="B466" s="5" t="str">
        <f t="shared" si="14"/>
        <v>07AADCC3694E1ZPBDLI000511/26-27</v>
      </c>
      <c r="C466" s="1" t="s">
        <v>858</v>
      </c>
      <c r="D466" s="1" t="s">
        <v>859</v>
      </c>
      <c r="E466" s="1" t="s">
        <v>869</v>
      </c>
      <c r="F466" s="1" t="s">
        <v>24</v>
      </c>
      <c r="G466" s="1" t="s">
        <v>385</v>
      </c>
      <c r="H466" s="2">
        <v>26550</v>
      </c>
      <c r="I466" s="1" t="s">
        <v>44</v>
      </c>
      <c r="J466" s="3" t="s">
        <v>27</v>
      </c>
      <c r="K466" s="2">
        <v>22500</v>
      </c>
      <c r="L466" s="2">
        <v>0</v>
      </c>
      <c r="M466" s="2">
        <v>2025</v>
      </c>
      <c r="N466" s="2">
        <v>2025</v>
      </c>
      <c r="O466" s="2">
        <v>0</v>
      </c>
      <c r="P466" s="7" t="s">
        <v>28</v>
      </c>
      <c r="Q466" s="1" t="s">
        <v>29</v>
      </c>
      <c r="R466" s="3" t="s">
        <v>45</v>
      </c>
      <c r="S466" s="1" t="s">
        <v>46</v>
      </c>
      <c r="T466" s="4" t="s">
        <v>31</v>
      </c>
      <c r="U466" s="7" t="s">
        <v>32</v>
      </c>
      <c r="V466" s="7" t="s">
        <v>870</v>
      </c>
      <c r="W466" s="7" t="s">
        <v>385</v>
      </c>
      <c r="X466" s="7" t="s">
        <v>1751</v>
      </c>
      <c r="Y466" s="10">
        <f t="shared" si="15"/>
        <v>4050</v>
      </c>
      <c r="Z466" s="5">
        <v>9173789</v>
      </c>
      <c r="AA466" s="5" t="s">
        <v>1922</v>
      </c>
      <c r="AB466" s="5" t="s">
        <v>1751</v>
      </c>
      <c r="AC466" s="5" t="s">
        <v>1924</v>
      </c>
      <c r="AE466" s="5" t="s">
        <v>1923</v>
      </c>
      <c r="AH466" s="5">
        <f>VLOOKUP(B466,[1]DL!$BK:$BP,6,0)</f>
        <v>9173789</v>
      </c>
    </row>
    <row r="467" spans="1:34" ht="14.5" hidden="1">
      <c r="A467" s="5">
        <v>464</v>
      </c>
      <c r="B467" s="5" t="str">
        <f t="shared" si="14"/>
        <v>07AACCG5199H1ZCDELI/26-27/00142</v>
      </c>
      <c r="C467" s="1" t="s">
        <v>871</v>
      </c>
      <c r="D467" s="1" t="s">
        <v>872</v>
      </c>
      <c r="E467" s="1" t="s">
        <v>873</v>
      </c>
      <c r="F467" s="1" t="s">
        <v>24</v>
      </c>
      <c r="G467" s="1" t="s">
        <v>133</v>
      </c>
      <c r="H467" s="2">
        <v>3540</v>
      </c>
      <c r="I467" s="1" t="s">
        <v>44</v>
      </c>
      <c r="J467" s="3" t="s">
        <v>27</v>
      </c>
      <c r="K467" s="2">
        <v>3000</v>
      </c>
      <c r="L467" s="2">
        <v>0</v>
      </c>
      <c r="M467" s="2">
        <v>270</v>
      </c>
      <c r="N467" s="2">
        <v>270</v>
      </c>
      <c r="O467" s="2">
        <v>0</v>
      </c>
      <c r="P467" s="7" t="s">
        <v>28</v>
      </c>
      <c r="Q467" s="1" t="s">
        <v>29</v>
      </c>
      <c r="R467" s="3" t="s">
        <v>45</v>
      </c>
      <c r="S467" s="1" t="s">
        <v>46</v>
      </c>
      <c r="T467" s="4" t="s">
        <v>31</v>
      </c>
      <c r="U467" s="7" t="s">
        <v>32</v>
      </c>
      <c r="V467" s="7" t="s">
        <v>874</v>
      </c>
      <c r="W467" s="7" t="s">
        <v>133</v>
      </c>
      <c r="X467" s="7" t="s">
        <v>1751</v>
      </c>
      <c r="Y467" s="10">
        <f t="shared" si="15"/>
        <v>540</v>
      </c>
      <c r="AH467" s="5" t="e">
        <f>VLOOKUP(B467,[1]DL!$BK:$BP,6,0)</f>
        <v>#N/A</v>
      </c>
    </row>
    <row r="468" spans="1:34" ht="14.5" hidden="1">
      <c r="A468" s="5">
        <v>465</v>
      </c>
      <c r="B468" s="5" t="str">
        <f t="shared" si="14"/>
        <v>06AAACS1688R2ZOSPPL/0174/26-27</v>
      </c>
      <c r="C468" s="1" t="s">
        <v>875</v>
      </c>
      <c r="D468" s="1" t="s">
        <v>876</v>
      </c>
      <c r="E468" s="1" t="s">
        <v>877</v>
      </c>
      <c r="F468" s="1" t="s">
        <v>24</v>
      </c>
      <c r="G468" s="1" t="s">
        <v>52</v>
      </c>
      <c r="H468" s="2">
        <v>102176.20</v>
      </c>
      <c r="I468" s="1" t="s">
        <v>44</v>
      </c>
      <c r="J468" s="3" t="s">
        <v>27</v>
      </c>
      <c r="K468" s="2">
        <v>86590</v>
      </c>
      <c r="L468" s="2">
        <v>15586.20</v>
      </c>
      <c r="M468" s="2">
        <v>0</v>
      </c>
      <c r="N468" s="2">
        <v>0</v>
      </c>
      <c r="O468" s="2">
        <v>0</v>
      </c>
      <c r="P468" s="7" t="s">
        <v>28</v>
      </c>
      <c r="Q468" s="1" t="s">
        <v>120</v>
      </c>
      <c r="R468" s="3" t="s">
        <v>45</v>
      </c>
      <c r="S468" s="1" t="s">
        <v>46</v>
      </c>
      <c r="T468" s="4" t="s">
        <v>31</v>
      </c>
      <c r="U468" s="7" t="s">
        <v>32</v>
      </c>
      <c r="V468" s="7" t="s">
        <v>878</v>
      </c>
      <c r="W468" s="7" t="s">
        <v>52</v>
      </c>
      <c r="X468" s="7" t="s">
        <v>1751</v>
      </c>
      <c r="Y468" s="10">
        <f t="shared" si="15"/>
        <v>15586.200000000001</v>
      </c>
      <c r="AH468" s="5" t="e">
        <f>VLOOKUP(B468,[1]DL!$BK:$BP,6,0)</f>
        <v>#N/A</v>
      </c>
    </row>
    <row r="469" spans="1:34" ht="14.5" hidden="1">
      <c r="A469" s="5">
        <v>466</v>
      </c>
      <c r="B469" s="5" t="str">
        <f t="shared" si="14"/>
        <v>06AAACS1688R2ZOSPPL/0175/26-27</v>
      </c>
      <c r="C469" s="1" t="s">
        <v>875</v>
      </c>
      <c r="D469" s="1" t="s">
        <v>876</v>
      </c>
      <c r="E469" s="1" t="s">
        <v>879</v>
      </c>
      <c r="F469" s="1" t="s">
        <v>24</v>
      </c>
      <c r="G469" s="1" t="s">
        <v>52</v>
      </c>
      <c r="H469" s="2">
        <v>45312</v>
      </c>
      <c r="I469" s="1" t="s">
        <v>44</v>
      </c>
      <c r="J469" s="3" t="s">
        <v>27</v>
      </c>
      <c r="K469" s="2">
        <v>38400</v>
      </c>
      <c r="L469" s="2">
        <v>6912</v>
      </c>
      <c r="M469" s="2">
        <v>0</v>
      </c>
      <c r="N469" s="2">
        <v>0</v>
      </c>
      <c r="O469" s="2">
        <v>0</v>
      </c>
      <c r="P469" s="7" t="s">
        <v>28</v>
      </c>
      <c r="Q469" s="1" t="s">
        <v>120</v>
      </c>
      <c r="R469" s="3" t="s">
        <v>45</v>
      </c>
      <c r="S469" s="1" t="s">
        <v>46</v>
      </c>
      <c r="T469" s="4" t="s">
        <v>31</v>
      </c>
      <c r="U469" s="7" t="s">
        <v>32</v>
      </c>
      <c r="V469" s="7" t="s">
        <v>880</v>
      </c>
      <c r="W469" s="7" t="s">
        <v>52</v>
      </c>
      <c r="X469" s="7" t="s">
        <v>1751</v>
      </c>
      <c r="Y469" s="10">
        <f t="shared" si="15"/>
        <v>6912</v>
      </c>
      <c r="AH469" s="5" t="e">
        <f>VLOOKUP(B469,[1]DL!$BK:$BP,6,0)</f>
        <v>#N/A</v>
      </c>
    </row>
    <row r="470" spans="1:34" ht="14.5" hidden="1">
      <c r="A470" s="5">
        <v>467</v>
      </c>
      <c r="B470" s="5" t="str">
        <f t="shared" si="14"/>
        <v>06AAACS1688R2ZOSPPL/0176/26-27</v>
      </c>
      <c r="C470" s="1" t="s">
        <v>875</v>
      </c>
      <c r="D470" s="1" t="s">
        <v>876</v>
      </c>
      <c r="E470" s="1" t="s">
        <v>881</v>
      </c>
      <c r="F470" s="1" t="s">
        <v>24</v>
      </c>
      <c r="G470" s="1" t="s">
        <v>52</v>
      </c>
      <c r="H470" s="2">
        <v>15646.80</v>
      </c>
      <c r="I470" s="1" t="s">
        <v>44</v>
      </c>
      <c r="J470" s="3" t="s">
        <v>27</v>
      </c>
      <c r="K470" s="2">
        <v>13260</v>
      </c>
      <c r="L470" s="2">
        <v>2386.8000000000002</v>
      </c>
      <c r="M470" s="2">
        <v>0</v>
      </c>
      <c r="N470" s="2">
        <v>0</v>
      </c>
      <c r="O470" s="2">
        <v>0</v>
      </c>
      <c r="P470" s="7" t="s">
        <v>28</v>
      </c>
      <c r="Q470" s="1" t="s">
        <v>120</v>
      </c>
      <c r="R470" s="3" t="s">
        <v>45</v>
      </c>
      <c r="S470" s="1" t="s">
        <v>46</v>
      </c>
      <c r="T470" s="4" t="s">
        <v>31</v>
      </c>
      <c r="U470" s="7" t="s">
        <v>32</v>
      </c>
      <c r="V470" s="7" t="s">
        <v>882</v>
      </c>
      <c r="W470" s="7" t="s">
        <v>52</v>
      </c>
      <c r="X470" s="7" t="s">
        <v>1751</v>
      </c>
      <c r="Y470" s="10">
        <f t="shared" si="15"/>
        <v>2386.8000000000002</v>
      </c>
      <c r="AH470" s="5" t="e">
        <f>VLOOKUP(B470,[1]DL!$BK:$BP,6,0)</f>
        <v>#N/A</v>
      </c>
    </row>
    <row r="471" spans="1:34" ht="14.5" hidden="1">
      <c r="A471" s="5">
        <v>468</v>
      </c>
      <c r="B471" s="5" t="str">
        <f t="shared" si="14"/>
        <v>06AAACS1688R2ZOSPPL/0177/26-27</v>
      </c>
      <c r="C471" s="1" t="s">
        <v>875</v>
      </c>
      <c r="D471" s="1" t="s">
        <v>876</v>
      </c>
      <c r="E471" s="1" t="s">
        <v>883</v>
      </c>
      <c r="F471" s="1" t="s">
        <v>24</v>
      </c>
      <c r="G471" s="1" t="s">
        <v>52</v>
      </c>
      <c r="H471" s="2">
        <v>8425.2000000000007</v>
      </c>
      <c r="I471" s="1" t="s">
        <v>44</v>
      </c>
      <c r="J471" s="3" t="s">
        <v>27</v>
      </c>
      <c r="K471" s="2">
        <v>7140</v>
      </c>
      <c r="L471" s="2">
        <v>1285.20</v>
      </c>
      <c r="M471" s="2">
        <v>0</v>
      </c>
      <c r="N471" s="2">
        <v>0</v>
      </c>
      <c r="O471" s="2">
        <v>0</v>
      </c>
      <c r="P471" s="7" t="s">
        <v>28</v>
      </c>
      <c r="Q471" s="1" t="s">
        <v>120</v>
      </c>
      <c r="R471" s="3" t="s">
        <v>45</v>
      </c>
      <c r="S471" s="1" t="s">
        <v>46</v>
      </c>
      <c r="T471" s="4" t="s">
        <v>31</v>
      </c>
      <c r="U471" s="7" t="s">
        <v>32</v>
      </c>
      <c r="V471" s="7" t="s">
        <v>884</v>
      </c>
      <c r="W471" s="7" t="s">
        <v>52</v>
      </c>
      <c r="X471" s="7" t="s">
        <v>1751</v>
      </c>
      <c r="Y471" s="10">
        <f t="shared" si="15"/>
        <v>1285.2</v>
      </c>
      <c r="AH471" s="5" t="e">
        <f>VLOOKUP(B471,[1]DL!$BK:$BP,6,0)</f>
        <v>#N/A</v>
      </c>
    </row>
    <row r="472" spans="1:34" ht="14.5" hidden="1">
      <c r="A472" s="5">
        <v>469</v>
      </c>
      <c r="B472" s="5" t="str">
        <f t="shared" si="14"/>
        <v>06AAACS1688R2ZOSPPL/0178/26-27</v>
      </c>
      <c r="C472" s="1" t="s">
        <v>875</v>
      </c>
      <c r="D472" s="1" t="s">
        <v>876</v>
      </c>
      <c r="E472" s="1" t="s">
        <v>885</v>
      </c>
      <c r="F472" s="1" t="s">
        <v>24</v>
      </c>
      <c r="G472" s="1" t="s">
        <v>52</v>
      </c>
      <c r="H472" s="2">
        <v>15646.80</v>
      </c>
      <c r="I472" s="1" t="s">
        <v>44</v>
      </c>
      <c r="J472" s="3" t="s">
        <v>27</v>
      </c>
      <c r="K472" s="2">
        <v>13260</v>
      </c>
      <c r="L472" s="2">
        <v>2386.8000000000002</v>
      </c>
      <c r="M472" s="2">
        <v>0</v>
      </c>
      <c r="N472" s="2">
        <v>0</v>
      </c>
      <c r="O472" s="2">
        <v>0</v>
      </c>
      <c r="P472" s="7" t="s">
        <v>28</v>
      </c>
      <c r="Q472" s="1" t="s">
        <v>120</v>
      </c>
      <c r="R472" s="3" t="s">
        <v>45</v>
      </c>
      <c r="S472" s="1" t="s">
        <v>46</v>
      </c>
      <c r="T472" s="4" t="s">
        <v>31</v>
      </c>
      <c r="U472" s="7" t="s">
        <v>32</v>
      </c>
      <c r="V472" s="7" t="s">
        <v>886</v>
      </c>
      <c r="W472" s="7" t="s">
        <v>52</v>
      </c>
      <c r="X472" s="7" t="s">
        <v>1751</v>
      </c>
      <c r="Y472" s="10">
        <f t="shared" si="15"/>
        <v>2386.8000000000002</v>
      </c>
      <c r="AH472" s="5" t="e">
        <f>VLOOKUP(B472,[1]DL!$BK:$BP,6,0)</f>
        <v>#N/A</v>
      </c>
    </row>
    <row r="473" spans="1:34" ht="14.5" hidden="1">
      <c r="A473" s="5">
        <v>470</v>
      </c>
      <c r="B473" s="5" t="str">
        <f t="shared" si="14"/>
        <v>06AAACS1688R2ZOSPPL/0188/26-27</v>
      </c>
      <c r="C473" s="1" t="s">
        <v>875</v>
      </c>
      <c r="D473" s="1" t="s">
        <v>876</v>
      </c>
      <c r="E473" s="1" t="s">
        <v>887</v>
      </c>
      <c r="F473" s="1" t="s">
        <v>24</v>
      </c>
      <c r="G473" s="1" t="s">
        <v>398</v>
      </c>
      <c r="H473" s="2">
        <v>45312</v>
      </c>
      <c r="I473" s="1" t="s">
        <v>44</v>
      </c>
      <c r="J473" s="3" t="s">
        <v>27</v>
      </c>
      <c r="K473" s="2">
        <v>38400</v>
      </c>
      <c r="L473" s="2">
        <v>6912</v>
      </c>
      <c r="M473" s="2">
        <v>0</v>
      </c>
      <c r="N473" s="2">
        <v>0</v>
      </c>
      <c r="O473" s="2">
        <v>0</v>
      </c>
      <c r="P473" s="7" t="s">
        <v>28</v>
      </c>
      <c r="Q473" s="1" t="s">
        <v>120</v>
      </c>
      <c r="R473" s="3" t="s">
        <v>45</v>
      </c>
      <c r="S473" s="1" t="s">
        <v>46</v>
      </c>
      <c r="T473" s="4" t="s">
        <v>31</v>
      </c>
      <c r="U473" s="7" t="s">
        <v>32</v>
      </c>
      <c r="V473" s="7" t="s">
        <v>888</v>
      </c>
      <c r="W473" s="7" t="s">
        <v>398</v>
      </c>
      <c r="X473" s="7" t="s">
        <v>1751</v>
      </c>
      <c r="Y473" s="10">
        <f t="shared" si="15"/>
        <v>6912</v>
      </c>
      <c r="AH473" s="5" t="e">
        <f>VLOOKUP(B473,[1]DL!$BK:$BP,6,0)</f>
        <v>#N/A</v>
      </c>
    </row>
    <row r="474" spans="1:34" ht="14.5" hidden="1">
      <c r="A474" s="5">
        <v>471</v>
      </c>
      <c r="B474" s="5" t="str">
        <f t="shared" si="14"/>
        <v>06AAACS1688R2ZOSPPL/0189/26-27</v>
      </c>
      <c r="C474" s="1" t="s">
        <v>875</v>
      </c>
      <c r="D474" s="1" t="s">
        <v>876</v>
      </c>
      <c r="E474" s="1" t="s">
        <v>889</v>
      </c>
      <c r="F474" s="1" t="s">
        <v>24</v>
      </c>
      <c r="G474" s="1" t="s">
        <v>398</v>
      </c>
      <c r="H474" s="2">
        <v>29193.20</v>
      </c>
      <c r="I474" s="1" t="s">
        <v>44</v>
      </c>
      <c r="J474" s="3" t="s">
        <v>27</v>
      </c>
      <c r="K474" s="2">
        <v>24740</v>
      </c>
      <c r="L474" s="2">
        <v>4453.20</v>
      </c>
      <c r="M474" s="2">
        <v>0</v>
      </c>
      <c r="N474" s="2">
        <v>0</v>
      </c>
      <c r="O474" s="2">
        <v>0</v>
      </c>
      <c r="P474" s="7" t="s">
        <v>28</v>
      </c>
      <c r="Q474" s="1" t="s">
        <v>120</v>
      </c>
      <c r="R474" s="3" t="s">
        <v>45</v>
      </c>
      <c r="S474" s="1" t="s">
        <v>46</v>
      </c>
      <c r="T474" s="4" t="s">
        <v>31</v>
      </c>
      <c r="U474" s="7" t="s">
        <v>32</v>
      </c>
      <c r="V474" s="7" t="s">
        <v>890</v>
      </c>
      <c r="W474" s="7" t="s">
        <v>398</v>
      </c>
      <c r="X474" s="7" t="s">
        <v>1751</v>
      </c>
      <c r="Y474" s="10">
        <f t="shared" si="15"/>
        <v>4453.1999999999998</v>
      </c>
      <c r="AH474" s="5" t="e">
        <f>VLOOKUP(B474,[1]DL!$BK:$BP,6,0)</f>
        <v>#N/A</v>
      </c>
    </row>
    <row r="475" spans="1:34" ht="14.5" hidden="1">
      <c r="A475" s="5">
        <v>472</v>
      </c>
      <c r="B475" s="5" t="str">
        <f t="shared" si="14"/>
        <v>06AAACS1688R2ZOSPPL/0256/26-27</v>
      </c>
      <c r="C475" s="1" t="s">
        <v>875</v>
      </c>
      <c r="D475" s="1" t="s">
        <v>876</v>
      </c>
      <c r="E475" s="1" t="s">
        <v>891</v>
      </c>
      <c r="F475" s="1" t="s">
        <v>24</v>
      </c>
      <c r="G475" s="1" t="s">
        <v>89</v>
      </c>
      <c r="H475" s="2">
        <v>105728</v>
      </c>
      <c r="I475" s="1" t="s">
        <v>44</v>
      </c>
      <c r="J475" s="3" t="s">
        <v>27</v>
      </c>
      <c r="K475" s="2">
        <v>89600</v>
      </c>
      <c r="L475" s="2">
        <v>16128</v>
      </c>
      <c r="M475" s="2">
        <v>0</v>
      </c>
      <c r="N475" s="2">
        <v>0</v>
      </c>
      <c r="O475" s="2">
        <v>0</v>
      </c>
      <c r="P475" s="7" t="s">
        <v>28</v>
      </c>
      <c r="Q475" s="1" t="s">
        <v>120</v>
      </c>
      <c r="R475" s="3" t="s">
        <v>45</v>
      </c>
      <c r="S475" s="1" t="s">
        <v>46</v>
      </c>
      <c r="T475" s="4" t="s">
        <v>31</v>
      </c>
      <c r="U475" s="7" t="s">
        <v>32</v>
      </c>
      <c r="V475" s="7" t="s">
        <v>892</v>
      </c>
      <c r="W475" s="7" t="s">
        <v>89</v>
      </c>
      <c r="X475" s="7" t="s">
        <v>1751</v>
      </c>
      <c r="Y475" s="10">
        <f t="shared" si="15"/>
        <v>16128</v>
      </c>
      <c r="AH475" s="5" t="e">
        <f>VLOOKUP(B475,[1]DL!$BK:$BP,6,0)</f>
        <v>#N/A</v>
      </c>
    </row>
    <row r="476" spans="1:34" ht="14.5" hidden="1">
      <c r="A476" s="5">
        <v>473</v>
      </c>
      <c r="B476" s="5" t="str">
        <f t="shared" si="14"/>
        <v>06AAACS1688R2ZOSPPL/0399/26-27</v>
      </c>
      <c r="C476" s="1" t="s">
        <v>875</v>
      </c>
      <c r="D476" s="1" t="s">
        <v>876</v>
      </c>
      <c r="E476" s="1" t="s">
        <v>893</v>
      </c>
      <c r="F476" s="1" t="s">
        <v>24</v>
      </c>
      <c r="G476" s="1" t="s">
        <v>154</v>
      </c>
      <c r="H476" s="2">
        <v>55991</v>
      </c>
      <c r="I476" s="1" t="s">
        <v>44</v>
      </c>
      <c r="J476" s="3" t="s">
        <v>27</v>
      </c>
      <c r="K476" s="2">
        <v>47450</v>
      </c>
      <c r="L476" s="2">
        <v>8541</v>
      </c>
      <c r="M476" s="2">
        <v>0</v>
      </c>
      <c r="N476" s="2">
        <v>0</v>
      </c>
      <c r="O476" s="2">
        <v>0</v>
      </c>
      <c r="P476" s="7" t="s">
        <v>28</v>
      </c>
      <c r="Q476" s="1" t="s">
        <v>120</v>
      </c>
      <c r="R476" s="3" t="s">
        <v>45</v>
      </c>
      <c r="S476" s="1" t="s">
        <v>46</v>
      </c>
      <c r="T476" s="4" t="s">
        <v>31</v>
      </c>
      <c r="U476" s="7" t="s">
        <v>32</v>
      </c>
      <c r="V476" s="7" t="s">
        <v>894</v>
      </c>
      <c r="W476" s="7" t="s">
        <v>154</v>
      </c>
      <c r="X476" s="7" t="s">
        <v>1751</v>
      </c>
      <c r="Y476" s="10">
        <f t="shared" si="15"/>
        <v>8541</v>
      </c>
      <c r="AH476" s="5" t="e">
        <f>VLOOKUP(B476,[1]DL!$BK:$BP,6,0)</f>
        <v>#N/A</v>
      </c>
    </row>
    <row r="477" spans="1:34" ht="14.5" hidden="1">
      <c r="A477" s="5">
        <v>474</v>
      </c>
      <c r="B477" s="5" t="str">
        <f t="shared" si="14"/>
        <v>06AAACS1688R2ZOSPPL/0400/26-27</v>
      </c>
      <c r="C477" s="1" t="s">
        <v>875</v>
      </c>
      <c r="D477" s="1" t="s">
        <v>876</v>
      </c>
      <c r="E477" s="1" t="s">
        <v>895</v>
      </c>
      <c r="F477" s="1" t="s">
        <v>24</v>
      </c>
      <c r="G477" s="1" t="s">
        <v>154</v>
      </c>
      <c r="H477" s="2">
        <v>78765</v>
      </c>
      <c r="I477" s="1" t="s">
        <v>44</v>
      </c>
      <c r="J477" s="3" t="s">
        <v>27</v>
      </c>
      <c r="K477" s="2">
        <v>66750</v>
      </c>
      <c r="L477" s="2">
        <v>12015</v>
      </c>
      <c r="M477" s="2">
        <v>0</v>
      </c>
      <c r="N477" s="2">
        <v>0</v>
      </c>
      <c r="O477" s="2">
        <v>0</v>
      </c>
      <c r="P477" s="7" t="s">
        <v>28</v>
      </c>
      <c r="Q477" s="1" t="s">
        <v>120</v>
      </c>
      <c r="R477" s="3" t="s">
        <v>45</v>
      </c>
      <c r="S477" s="1" t="s">
        <v>46</v>
      </c>
      <c r="T477" s="4" t="s">
        <v>31</v>
      </c>
      <c r="U477" s="7" t="s">
        <v>32</v>
      </c>
      <c r="V477" s="7" t="s">
        <v>896</v>
      </c>
      <c r="W477" s="7" t="s">
        <v>154</v>
      </c>
      <c r="X477" s="7" t="s">
        <v>1751</v>
      </c>
      <c r="Y477" s="10">
        <f t="shared" si="15"/>
        <v>12015</v>
      </c>
      <c r="AH477" s="5" t="e">
        <f>VLOOKUP(B477,[1]DL!$BK:$BP,6,0)</f>
        <v>#N/A</v>
      </c>
    </row>
    <row r="478" spans="1:34" ht="14.5" hidden="1">
      <c r="A478" s="5">
        <v>475</v>
      </c>
      <c r="B478" s="5" t="str">
        <f t="shared" si="14"/>
        <v>06AAACS1688R2ZOSPPL/0401/26-27</v>
      </c>
      <c r="C478" s="1" t="s">
        <v>875</v>
      </c>
      <c r="D478" s="1" t="s">
        <v>876</v>
      </c>
      <c r="E478" s="1" t="s">
        <v>897</v>
      </c>
      <c r="F478" s="1" t="s">
        <v>24</v>
      </c>
      <c r="G478" s="1" t="s">
        <v>154</v>
      </c>
      <c r="H478" s="2">
        <v>25889.20</v>
      </c>
      <c r="I478" s="1" t="s">
        <v>44</v>
      </c>
      <c r="J478" s="3" t="s">
        <v>27</v>
      </c>
      <c r="K478" s="2">
        <v>21940</v>
      </c>
      <c r="L478" s="2">
        <v>3949.20</v>
      </c>
      <c r="M478" s="2">
        <v>0</v>
      </c>
      <c r="N478" s="2">
        <v>0</v>
      </c>
      <c r="O478" s="2">
        <v>0</v>
      </c>
      <c r="P478" s="7" t="s">
        <v>28</v>
      </c>
      <c r="Q478" s="1" t="s">
        <v>120</v>
      </c>
      <c r="R478" s="3" t="s">
        <v>45</v>
      </c>
      <c r="S478" s="1" t="s">
        <v>46</v>
      </c>
      <c r="T478" s="4" t="s">
        <v>31</v>
      </c>
      <c r="U478" s="7" t="s">
        <v>32</v>
      </c>
      <c r="V478" s="7" t="s">
        <v>898</v>
      </c>
      <c r="W478" s="7" t="s">
        <v>154</v>
      </c>
      <c r="X478" s="7" t="s">
        <v>1751</v>
      </c>
      <c r="Y478" s="10">
        <f t="shared" si="15"/>
        <v>3949.1999999999998</v>
      </c>
      <c r="AH478" s="5" t="e">
        <f>VLOOKUP(B478,[1]DL!$BK:$BP,6,0)</f>
        <v>#N/A</v>
      </c>
    </row>
    <row r="479" spans="1:34" ht="14.5" hidden="1">
      <c r="A479" s="5">
        <v>476</v>
      </c>
      <c r="B479" s="5" t="str">
        <f t="shared" si="14"/>
        <v>06AAACS1688R2ZOSPPL/0402/26-27</v>
      </c>
      <c r="C479" s="1" t="s">
        <v>875</v>
      </c>
      <c r="D479" s="1" t="s">
        <v>876</v>
      </c>
      <c r="E479" s="1" t="s">
        <v>899</v>
      </c>
      <c r="F479" s="1" t="s">
        <v>24</v>
      </c>
      <c r="G479" s="1" t="s">
        <v>154</v>
      </c>
      <c r="H479" s="2">
        <v>31293.60</v>
      </c>
      <c r="I479" s="1" t="s">
        <v>44</v>
      </c>
      <c r="J479" s="3" t="s">
        <v>27</v>
      </c>
      <c r="K479" s="2">
        <v>26520</v>
      </c>
      <c r="L479" s="2">
        <v>4773.6000000000004</v>
      </c>
      <c r="M479" s="2">
        <v>0</v>
      </c>
      <c r="N479" s="2">
        <v>0</v>
      </c>
      <c r="O479" s="2">
        <v>0</v>
      </c>
      <c r="P479" s="7" t="s">
        <v>28</v>
      </c>
      <c r="Q479" s="1" t="s">
        <v>120</v>
      </c>
      <c r="R479" s="3" t="s">
        <v>45</v>
      </c>
      <c r="S479" s="1" t="s">
        <v>46</v>
      </c>
      <c r="T479" s="4" t="s">
        <v>31</v>
      </c>
      <c r="U479" s="7" t="s">
        <v>32</v>
      </c>
      <c r="V479" s="7" t="s">
        <v>900</v>
      </c>
      <c r="W479" s="7" t="s">
        <v>154</v>
      </c>
      <c r="X479" s="7" t="s">
        <v>1751</v>
      </c>
      <c r="Y479" s="10">
        <f t="shared" si="15"/>
        <v>4773.6000000000004</v>
      </c>
      <c r="AH479" s="5" t="e">
        <f>VLOOKUP(B479,[1]DL!$BK:$BP,6,0)</f>
        <v>#N/A</v>
      </c>
    </row>
    <row r="480" spans="1:34" ht="14.5">
      <c r="A480" s="5">
        <v>477</v>
      </c>
      <c r="B480" s="5" t="str">
        <f t="shared" si="14"/>
        <v>07ACBPV7574P1ZN3</v>
      </c>
      <c r="C480" s="1" t="s">
        <v>901</v>
      </c>
      <c r="D480" s="1" t="s">
        <v>902</v>
      </c>
      <c r="E480" s="1" t="s">
        <v>903</v>
      </c>
      <c r="F480" s="1" t="s">
        <v>24</v>
      </c>
      <c r="G480" s="1" t="s">
        <v>52</v>
      </c>
      <c r="H480" s="2">
        <v>10384</v>
      </c>
      <c r="I480" s="1" t="s">
        <v>44</v>
      </c>
      <c r="J480" s="3" t="s">
        <v>27</v>
      </c>
      <c r="K480" s="2">
        <v>8800</v>
      </c>
      <c r="L480" s="2">
        <v>0</v>
      </c>
      <c r="M480" s="2">
        <v>792</v>
      </c>
      <c r="N480" s="2">
        <v>792</v>
      </c>
      <c r="O480" s="2">
        <v>0</v>
      </c>
      <c r="P480" s="7" t="s">
        <v>28</v>
      </c>
      <c r="Q480" s="1" t="s">
        <v>904</v>
      </c>
      <c r="R480" s="3" t="s">
        <v>45</v>
      </c>
      <c r="S480" s="1" t="s">
        <v>46</v>
      </c>
      <c r="T480" s="4" t="s">
        <v>31</v>
      </c>
      <c r="U480" s="7" t="s">
        <v>46</v>
      </c>
      <c r="V480" s="7" t="s">
        <v>46</v>
      </c>
      <c r="W480" s="7" t="s">
        <v>46</v>
      </c>
      <c r="X480" s="7" t="s">
        <v>1751</v>
      </c>
      <c r="Y480" s="10">
        <f t="shared" si="15"/>
        <v>1584</v>
      </c>
      <c r="Z480" s="5">
        <v>9178114</v>
      </c>
      <c r="AA480" s="5" t="s">
        <v>1922</v>
      </c>
      <c r="AB480" s="5" t="s">
        <v>1751</v>
      </c>
      <c r="AC480" s="5" t="s">
        <v>1924</v>
      </c>
      <c r="AE480" s="5" t="s">
        <v>1923</v>
      </c>
      <c r="AH480" s="5">
        <f>VLOOKUP(B480,[1]DL!$BK:$BP,6,0)</f>
        <v>9178114</v>
      </c>
    </row>
    <row r="481" spans="1:34" ht="14.5">
      <c r="A481" s="5">
        <v>478</v>
      </c>
      <c r="B481" s="5" t="str">
        <f t="shared" si="14"/>
        <v>07ACBPV7574P1ZN4</v>
      </c>
      <c r="C481" s="1" t="s">
        <v>901</v>
      </c>
      <c r="D481" s="1" t="s">
        <v>902</v>
      </c>
      <c r="E481" s="1" t="s">
        <v>905</v>
      </c>
      <c r="F481" s="1" t="s">
        <v>24</v>
      </c>
      <c r="G481" s="1" t="s">
        <v>171</v>
      </c>
      <c r="H481" s="2">
        <v>39553.60</v>
      </c>
      <c r="I481" s="1" t="s">
        <v>44</v>
      </c>
      <c r="J481" s="3" t="s">
        <v>27</v>
      </c>
      <c r="K481" s="2">
        <v>33520</v>
      </c>
      <c r="L481" s="2">
        <v>0</v>
      </c>
      <c r="M481" s="2">
        <v>3016.80</v>
      </c>
      <c r="N481" s="2">
        <v>3016.80</v>
      </c>
      <c r="O481" s="2">
        <v>0</v>
      </c>
      <c r="P481" s="7" t="s">
        <v>28</v>
      </c>
      <c r="Q481" s="1" t="s">
        <v>904</v>
      </c>
      <c r="R481" s="3" t="s">
        <v>45</v>
      </c>
      <c r="S481" s="1" t="s">
        <v>46</v>
      </c>
      <c r="T481" s="4" t="s">
        <v>31</v>
      </c>
      <c r="U481" s="7" t="s">
        <v>46</v>
      </c>
      <c r="V481" s="7" t="s">
        <v>46</v>
      </c>
      <c r="W481" s="7" t="s">
        <v>46</v>
      </c>
      <c r="X481" s="7" t="s">
        <v>1751</v>
      </c>
      <c r="Y481" s="10">
        <f t="shared" si="15"/>
        <v>6033.6000000000004</v>
      </c>
      <c r="Z481" s="5">
        <v>9177498</v>
      </c>
      <c r="AA481" s="5" t="s">
        <v>1922</v>
      </c>
      <c r="AB481" s="5" t="s">
        <v>1751</v>
      </c>
      <c r="AC481" s="5" t="s">
        <v>1924</v>
      </c>
      <c r="AE481" s="5" t="s">
        <v>1923</v>
      </c>
      <c r="AH481" s="5">
        <f>VLOOKUP(B481,[1]DL!$BK:$BP,6,0)</f>
        <v>9177498</v>
      </c>
    </row>
    <row r="482" spans="1:34" ht="14.5" hidden="1">
      <c r="A482" s="5">
        <v>479</v>
      </c>
      <c r="B482" s="5" t="str">
        <f t="shared" si="14"/>
        <v>07AAACS8577K1ZRT0426071R1138</v>
      </c>
      <c r="C482" s="1" t="s">
        <v>906</v>
      </c>
      <c r="D482" s="1" t="s">
        <v>907</v>
      </c>
      <c r="E482" s="1" t="s">
        <v>908</v>
      </c>
      <c r="F482" s="1" t="s">
        <v>24</v>
      </c>
      <c r="G482" s="1" t="s">
        <v>76</v>
      </c>
      <c r="H482" s="2">
        <v>182922.59</v>
      </c>
      <c r="I482" s="1" t="s">
        <v>44</v>
      </c>
      <c r="J482" s="3" t="s">
        <v>27</v>
      </c>
      <c r="K482" s="2">
        <v>155019.13</v>
      </c>
      <c r="L482" s="2">
        <v>0</v>
      </c>
      <c r="M482" s="2">
        <v>13951.73</v>
      </c>
      <c r="N482" s="2">
        <v>13951.73</v>
      </c>
      <c r="O482" s="2">
        <v>0</v>
      </c>
      <c r="P482" s="7" t="s">
        <v>28</v>
      </c>
      <c r="Q482" s="1" t="s">
        <v>29</v>
      </c>
      <c r="R482" s="3" t="s">
        <v>45</v>
      </c>
      <c r="S482" s="1" t="s">
        <v>46</v>
      </c>
      <c r="T482" s="4" t="s">
        <v>31</v>
      </c>
      <c r="U482" s="7" t="s">
        <v>46</v>
      </c>
      <c r="V482" s="7" t="s">
        <v>46</v>
      </c>
      <c r="W482" s="7" t="s">
        <v>46</v>
      </c>
      <c r="X482" s="7" t="s">
        <v>1751</v>
      </c>
      <c r="Y482" s="10">
        <f t="shared" si="15"/>
        <v>27903.459999999999</v>
      </c>
      <c r="AH482" s="5" t="e">
        <f>VLOOKUP(B482,[1]DL!$BK:$BP,6,0)</f>
        <v>#N/A</v>
      </c>
    </row>
    <row r="483" spans="1:34" ht="14.5" hidden="1">
      <c r="A483" s="5">
        <v>480</v>
      </c>
      <c r="B483" s="5" t="str">
        <f t="shared" si="14"/>
        <v>07AAACS8577K1ZRT0426071R1139</v>
      </c>
      <c r="C483" s="1" t="s">
        <v>906</v>
      </c>
      <c r="D483" s="1" t="s">
        <v>907</v>
      </c>
      <c r="E483" s="1" t="s">
        <v>909</v>
      </c>
      <c r="F483" s="1" t="s">
        <v>24</v>
      </c>
      <c r="G483" s="1" t="s">
        <v>76</v>
      </c>
      <c r="H483" s="2">
        <v>16935.36</v>
      </c>
      <c r="I483" s="1" t="s">
        <v>44</v>
      </c>
      <c r="J483" s="3" t="s">
        <v>27</v>
      </c>
      <c r="K483" s="2">
        <v>14352</v>
      </c>
      <c r="L483" s="2">
        <v>0</v>
      </c>
      <c r="M483" s="2">
        <v>1291.68</v>
      </c>
      <c r="N483" s="2">
        <v>1291.68</v>
      </c>
      <c r="O483" s="2">
        <v>0</v>
      </c>
      <c r="P483" s="7" t="s">
        <v>28</v>
      </c>
      <c r="Q483" s="1" t="s">
        <v>29</v>
      </c>
      <c r="R483" s="3" t="s">
        <v>45</v>
      </c>
      <c r="S483" s="1" t="s">
        <v>46</v>
      </c>
      <c r="T483" s="4" t="s">
        <v>31</v>
      </c>
      <c r="U483" s="7" t="s">
        <v>46</v>
      </c>
      <c r="V483" s="7" t="s">
        <v>46</v>
      </c>
      <c r="W483" s="7" t="s">
        <v>46</v>
      </c>
      <c r="X483" s="7" t="s">
        <v>1751</v>
      </c>
      <c r="Y483" s="10">
        <f t="shared" si="15"/>
        <v>2583.3600000000001</v>
      </c>
      <c r="AH483" s="5" t="e">
        <f>VLOOKUP(B483,[1]DL!$BK:$BP,6,0)</f>
        <v>#N/A</v>
      </c>
    </row>
    <row r="484" spans="1:34" ht="14.5" hidden="1">
      <c r="A484" s="5">
        <v>481</v>
      </c>
      <c r="B484" s="5" t="str">
        <f t="shared" si="14"/>
        <v>07AAACS8577K1ZRT0426071R1140</v>
      </c>
      <c r="C484" s="1" t="s">
        <v>906</v>
      </c>
      <c r="D484" s="1" t="s">
        <v>907</v>
      </c>
      <c r="E484" s="1" t="s">
        <v>910</v>
      </c>
      <c r="F484" s="1" t="s">
        <v>24</v>
      </c>
      <c r="G484" s="1" t="s">
        <v>76</v>
      </c>
      <c r="H484" s="2">
        <v>11354.22</v>
      </c>
      <c r="I484" s="1" t="s">
        <v>44</v>
      </c>
      <c r="J484" s="3" t="s">
        <v>27</v>
      </c>
      <c r="K484" s="2">
        <v>9622.2199999999993</v>
      </c>
      <c r="L484" s="2">
        <v>0</v>
      </c>
      <c r="M484" s="2">
        <v>866</v>
      </c>
      <c r="N484" s="2">
        <v>866</v>
      </c>
      <c r="O484" s="2">
        <v>0</v>
      </c>
      <c r="P484" s="7" t="s">
        <v>28</v>
      </c>
      <c r="Q484" s="1" t="s">
        <v>29</v>
      </c>
      <c r="R484" s="3" t="s">
        <v>45</v>
      </c>
      <c r="S484" s="1" t="s">
        <v>46</v>
      </c>
      <c r="T484" s="4" t="s">
        <v>31</v>
      </c>
      <c r="U484" s="7" t="s">
        <v>46</v>
      </c>
      <c r="V484" s="7" t="s">
        <v>46</v>
      </c>
      <c r="W484" s="7" t="s">
        <v>46</v>
      </c>
      <c r="X484" s="7" t="s">
        <v>1751</v>
      </c>
      <c r="Y484" s="10">
        <f t="shared" si="15"/>
        <v>1732</v>
      </c>
      <c r="AH484" s="5" t="e">
        <f>VLOOKUP(B484,[1]DL!$BK:$BP,6,0)</f>
        <v>#N/A</v>
      </c>
    </row>
    <row r="485" spans="1:34" ht="14.5" hidden="1">
      <c r="A485" s="5">
        <v>482</v>
      </c>
      <c r="B485" s="5" t="str">
        <f t="shared" si="14"/>
        <v>07AAATI2778P1Z1IFA/N/26-27/110</v>
      </c>
      <c r="C485" s="1" t="s">
        <v>911</v>
      </c>
      <c r="D485" s="1" t="s">
        <v>912</v>
      </c>
      <c r="E485" s="1" t="s">
        <v>913</v>
      </c>
      <c r="F485" s="1" t="s">
        <v>24</v>
      </c>
      <c r="G485" s="1" t="s">
        <v>89</v>
      </c>
      <c r="H485" s="2">
        <v>1770000</v>
      </c>
      <c r="I485" s="1" t="s">
        <v>44</v>
      </c>
      <c r="J485" s="3" t="s">
        <v>45</v>
      </c>
      <c r="K485" s="2">
        <v>1500000</v>
      </c>
      <c r="L485" s="2">
        <v>0</v>
      </c>
      <c r="M485" s="2">
        <v>135000</v>
      </c>
      <c r="N485" s="2">
        <v>135000</v>
      </c>
      <c r="O485" s="2">
        <v>0</v>
      </c>
      <c r="P485" s="7" t="s">
        <v>28</v>
      </c>
      <c r="Q485" s="1" t="s">
        <v>179</v>
      </c>
      <c r="R485" s="3" t="s">
        <v>45</v>
      </c>
      <c r="S485" s="1" t="s">
        <v>46</v>
      </c>
      <c r="T485" s="4" t="s">
        <v>31</v>
      </c>
      <c r="U485" s="7" t="s">
        <v>46</v>
      </c>
      <c r="V485" s="7" t="s">
        <v>46</v>
      </c>
      <c r="W485" s="7" t="s">
        <v>46</v>
      </c>
      <c r="X485" s="7" t="s">
        <v>1751</v>
      </c>
      <c r="Y485" s="10">
        <f t="shared" si="15"/>
        <v>270000</v>
      </c>
      <c r="AH485" s="5" t="e">
        <f>VLOOKUP(B485,[1]DL!$BK:$BP,6,0)</f>
        <v>#N/A</v>
      </c>
    </row>
    <row r="486" spans="1:34" ht="14.5" hidden="1">
      <c r="A486" s="5">
        <v>483</v>
      </c>
      <c r="B486" s="5" t="str">
        <f t="shared" si="14"/>
        <v>29AAACW7118G1Z727014810SC000006</v>
      </c>
      <c r="C486" s="1" t="s">
        <v>914</v>
      </c>
      <c r="D486" s="1" t="s">
        <v>915</v>
      </c>
      <c r="E486" s="1" t="s">
        <v>916</v>
      </c>
      <c r="F486" s="1" t="s">
        <v>24</v>
      </c>
      <c r="G486" s="1" t="s">
        <v>302</v>
      </c>
      <c r="H486" s="2">
        <v>750</v>
      </c>
      <c r="I486" s="1" t="s">
        <v>44</v>
      </c>
      <c r="J486" s="3" t="s">
        <v>27</v>
      </c>
      <c r="K486" s="2">
        <v>635.59</v>
      </c>
      <c r="L486" s="2">
        <v>114.41</v>
      </c>
      <c r="M486" s="2">
        <v>0</v>
      </c>
      <c r="N486" s="2">
        <v>0</v>
      </c>
      <c r="O486" s="2">
        <v>0</v>
      </c>
      <c r="P486" s="7" t="s">
        <v>28</v>
      </c>
      <c r="Q486" s="1" t="s">
        <v>29</v>
      </c>
      <c r="R486" s="3" t="s">
        <v>45</v>
      </c>
      <c r="S486" s="1" t="s">
        <v>46</v>
      </c>
      <c r="T486" s="4" t="s">
        <v>31</v>
      </c>
      <c r="U486" s="7" t="s">
        <v>32</v>
      </c>
      <c r="V486" s="7" t="s">
        <v>917</v>
      </c>
      <c r="W486" s="7" t="s">
        <v>302</v>
      </c>
      <c r="X486" s="7" t="s">
        <v>1751</v>
      </c>
      <c r="Y486" s="10">
        <f t="shared" si="15"/>
        <v>114.41</v>
      </c>
      <c r="AH486" s="5" t="e">
        <f>VLOOKUP(B486,[1]DL!$BK:$BP,6,0)</f>
        <v>#N/A</v>
      </c>
    </row>
    <row r="487" spans="1:34" ht="14.5" hidden="1">
      <c r="A487" s="5">
        <v>484</v>
      </c>
      <c r="B487" s="5" t="str">
        <f t="shared" si="14"/>
        <v>07AIUPB4136G2Z92025-26/02</v>
      </c>
      <c r="C487" s="1" t="s">
        <v>918</v>
      </c>
      <c r="D487" s="1" t="s">
        <v>919</v>
      </c>
      <c r="E487" s="1" t="s">
        <v>920</v>
      </c>
      <c r="F487" s="1" t="s">
        <v>24</v>
      </c>
      <c r="G487" s="1" t="s">
        <v>921</v>
      </c>
      <c r="H487" s="2">
        <v>94400</v>
      </c>
      <c r="I487" s="1" t="s">
        <v>44</v>
      </c>
      <c r="J487" s="3" t="s">
        <v>27</v>
      </c>
      <c r="K487" s="2">
        <v>80000</v>
      </c>
      <c r="L487" s="2">
        <v>0</v>
      </c>
      <c r="M487" s="2">
        <v>7200</v>
      </c>
      <c r="N487" s="2">
        <v>7200</v>
      </c>
      <c r="O487" s="2">
        <v>0</v>
      </c>
      <c r="P487" s="7" t="s">
        <v>203</v>
      </c>
      <c r="Q487" s="1" t="s">
        <v>204</v>
      </c>
      <c r="R487" s="3" t="s">
        <v>45</v>
      </c>
      <c r="S487" s="1" t="s">
        <v>46</v>
      </c>
      <c r="T487" s="4" t="s">
        <v>31</v>
      </c>
      <c r="U487" s="7" t="s">
        <v>46</v>
      </c>
      <c r="V487" s="7" t="s">
        <v>46</v>
      </c>
      <c r="W487" s="7" t="s">
        <v>46</v>
      </c>
      <c r="X487" s="7" t="s">
        <v>1751</v>
      </c>
      <c r="Y487" s="10">
        <f t="shared" si="15"/>
        <v>14400</v>
      </c>
      <c r="AH487" s="5" t="e">
        <f>VLOOKUP(B487,[1]DL!$BK:$BP,6,0)</f>
        <v>#N/A</v>
      </c>
    </row>
    <row r="488" spans="1:34" ht="14.5" hidden="1">
      <c r="A488" s="5">
        <v>485</v>
      </c>
      <c r="B488" s="5" t="str">
        <f t="shared" si="14"/>
        <v>07AIUPB4136G2Z92025-26/03</v>
      </c>
      <c r="C488" s="1" t="s">
        <v>918</v>
      </c>
      <c r="D488" s="1" t="s">
        <v>919</v>
      </c>
      <c r="E488" s="1" t="s">
        <v>922</v>
      </c>
      <c r="F488" s="1" t="s">
        <v>24</v>
      </c>
      <c r="G488" s="1" t="s">
        <v>923</v>
      </c>
      <c r="H488" s="2">
        <v>552463</v>
      </c>
      <c r="I488" s="1" t="s">
        <v>44</v>
      </c>
      <c r="J488" s="3" t="s">
        <v>27</v>
      </c>
      <c r="K488" s="2">
        <v>468189</v>
      </c>
      <c r="L488" s="2">
        <v>0</v>
      </c>
      <c r="M488" s="2">
        <v>42137.01</v>
      </c>
      <c r="N488" s="2">
        <v>42137.01</v>
      </c>
      <c r="O488" s="2">
        <v>0</v>
      </c>
      <c r="P488" s="7" t="s">
        <v>203</v>
      </c>
      <c r="Q488" s="1" t="s">
        <v>204</v>
      </c>
      <c r="R488" s="3" t="s">
        <v>45</v>
      </c>
      <c r="S488" s="1" t="s">
        <v>46</v>
      </c>
      <c r="T488" s="4" t="s">
        <v>31</v>
      </c>
      <c r="U488" s="7" t="s">
        <v>46</v>
      </c>
      <c r="V488" s="7" t="s">
        <v>46</v>
      </c>
      <c r="W488" s="7" t="s">
        <v>46</v>
      </c>
      <c r="X488" s="7" t="s">
        <v>1751</v>
      </c>
      <c r="Y488" s="10">
        <f t="shared" si="15"/>
        <v>84274.020000000004</v>
      </c>
      <c r="AH488" s="5" t="e">
        <f>VLOOKUP(B488,[1]DL!$BK:$BP,6,0)</f>
        <v>#N/A</v>
      </c>
    </row>
    <row r="489" spans="1:34" ht="14.5" hidden="1">
      <c r="A489" s="5">
        <v>486</v>
      </c>
      <c r="B489" s="5" t="str">
        <f t="shared" si="14"/>
        <v>09AABCG4768K1Z5GPI-FGG260500001</v>
      </c>
      <c r="C489" s="1" t="s">
        <v>924</v>
      </c>
      <c r="D489" s="1" t="s">
        <v>925</v>
      </c>
      <c r="E489" s="1" t="s">
        <v>926</v>
      </c>
      <c r="F489" s="1" t="s">
        <v>24</v>
      </c>
      <c r="G489" s="1" t="s">
        <v>54</v>
      </c>
      <c r="H489" s="2">
        <v>17033212.5</v>
      </c>
      <c r="I489" s="1" t="s">
        <v>44</v>
      </c>
      <c r="J489" s="3" t="s">
        <v>27</v>
      </c>
      <c r="K489" s="2">
        <v>11065441.08</v>
      </c>
      <c r="L489" s="2">
        <v>5967771.4199999999</v>
      </c>
      <c r="M489" s="2">
        <v>0</v>
      </c>
      <c r="N489" s="2">
        <v>0</v>
      </c>
      <c r="O489" s="2">
        <v>0</v>
      </c>
      <c r="P489" s="7" t="s">
        <v>28</v>
      </c>
      <c r="Q489" s="1" t="s">
        <v>29</v>
      </c>
      <c r="R489" s="3" t="s">
        <v>45</v>
      </c>
      <c r="S489" s="1" t="s">
        <v>46</v>
      </c>
      <c r="T489" s="4" t="s">
        <v>31</v>
      </c>
      <c r="U489" s="7" t="s">
        <v>32</v>
      </c>
      <c r="V489" s="7" t="s">
        <v>927</v>
      </c>
      <c r="W489" s="7" t="s">
        <v>54</v>
      </c>
      <c r="X489" s="7" t="s">
        <v>1751</v>
      </c>
      <c r="Y489" s="10">
        <f t="shared" si="15"/>
        <v>5967771.4199999999</v>
      </c>
      <c r="AH489" s="5" t="e">
        <f>VLOOKUP(B489,[1]DL!$BK:$BP,6,0)</f>
        <v>#N/A</v>
      </c>
    </row>
    <row r="490" spans="1:34" ht="14.5" hidden="1">
      <c r="A490" s="5">
        <v>487</v>
      </c>
      <c r="B490" s="5" t="str">
        <f t="shared" si="14"/>
        <v>09AABCG4768K1Z5GPI-FGG260500010</v>
      </c>
      <c r="C490" s="1" t="s">
        <v>924</v>
      </c>
      <c r="D490" s="1" t="s">
        <v>925</v>
      </c>
      <c r="E490" s="1" t="s">
        <v>928</v>
      </c>
      <c r="F490" s="1" t="s">
        <v>24</v>
      </c>
      <c r="G490" s="1" t="s">
        <v>302</v>
      </c>
      <c r="H490" s="2">
        <v>20103306</v>
      </c>
      <c r="I490" s="1" t="s">
        <v>44</v>
      </c>
      <c r="J490" s="3" t="s">
        <v>27</v>
      </c>
      <c r="K490" s="2">
        <v>12903306</v>
      </c>
      <c r="L490" s="2">
        <v>7200000</v>
      </c>
      <c r="M490" s="2">
        <v>0</v>
      </c>
      <c r="N490" s="2">
        <v>0</v>
      </c>
      <c r="O490" s="2">
        <v>0</v>
      </c>
      <c r="P490" s="7" t="s">
        <v>28</v>
      </c>
      <c r="Q490" s="1" t="s">
        <v>29</v>
      </c>
      <c r="R490" s="3" t="s">
        <v>45</v>
      </c>
      <c r="S490" s="1" t="s">
        <v>46</v>
      </c>
      <c r="T490" s="4" t="s">
        <v>31</v>
      </c>
      <c r="U490" s="7" t="s">
        <v>32</v>
      </c>
      <c r="V490" s="7" t="s">
        <v>929</v>
      </c>
      <c r="W490" s="7" t="s">
        <v>302</v>
      </c>
      <c r="X490" s="7" t="s">
        <v>1751</v>
      </c>
      <c r="Y490" s="10">
        <f t="shared" si="15"/>
        <v>7200000</v>
      </c>
      <c r="AH490" s="5" t="e">
        <f>VLOOKUP(B490,[1]DL!$BK:$BP,6,0)</f>
        <v>#N/A</v>
      </c>
    </row>
    <row r="491" spans="1:34" ht="14.5" hidden="1">
      <c r="A491" s="5">
        <v>488</v>
      </c>
      <c r="B491" s="5" t="str">
        <f t="shared" si="14"/>
        <v>09AABCG4768K1Z5GPI-FGG260500025</v>
      </c>
      <c r="C491" s="1" t="s">
        <v>924</v>
      </c>
      <c r="D491" s="1" t="s">
        <v>925</v>
      </c>
      <c r="E491" s="1" t="s">
        <v>930</v>
      </c>
      <c r="F491" s="1" t="s">
        <v>24</v>
      </c>
      <c r="G491" s="1" t="s">
        <v>93</v>
      </c>
      <c r="H491" s="2">
        <v>19241428.960000001</v>
      </c>
      <c r="I491" s="1" t="s">
        <v>44</v>
      </c>
      <c r="J491" s="3" t="s">
        <v>27</v>
      </c>
      <c r="K491" s="2">
        <v>11860400.4</v>
      </c>
      <c r="L491" s="2">
        <v>7381028.5599999996</v>
      </c>
      <c r="M491" s="2">
        <v>0</v>
      </c>
      <c r="N491" s="2">
        <v>0</v>
      </c>
      <c r="O491" s="2">
        <v>0</v>
      </c>
      <c r="P491" s="7" t="s">
        <v>28</v>
      </c>
      <c r="Q491" s="1" t="s">
        <v>29</v>
      </c>
      <c r="R491" s="3" t="s">
        <v>45</v>
      </c>
      <c r="S491" s="1" t="s">
        <v>46</v>
      </c>
      <c r="T491" s="4" t="s">
        <v>31</v>
      </c>
      <c r="U491" s="7" t="s">
        <v>32</v>
      </c>
      <c r="V491" s="7" t="s">
        <v>931</v>
      </c>
      <c r="W491" s="7" t="s">
        <v>93</v>
      </c>
      <c r="X491" s="7" t="s">
        <v>1751</v>
      </c>
      <c r="Y491" s="10">
        <f t="shared" si="15"/>
        <v>7381028.5599999996</v>
      </c>
      <c r="AH491" s="5" t="e">
        <f>VLOOKUP(B491,[1]DL!$BK:$BP,6,0)</f>
        <v>#N/A</v>
      </c>
    </row>
    <row r="492" spans="1:34" ht="14.5" hidden="1">
      <c r="A492" s="5">
        <v>489</v>
      </c>
      <c r="B492" s="5" t="str">
        <f t="shared" si="14"/>
        <v>09AABCG4768K1Z5GPI-FGG260500054</v>
      </c>
      <c r="C492" s="1" t="s">
        <v>924</v>
      </c>
      <c r="D492" s="1" t="s">
        <v>925</v>
      </c>
      <c r="E492" s="1" t="s">
        <v>932</v>
      </c>
      <c r="F492" s="1" t="s">
        <v>24</v>
      </c>
      <c r="G492" s="1" t="s">
        <v>50</v>
      </c>
      <c r="H492" s="2">
        <v>13728707.49</v>
      </c>
      <c r="I492" s="1" t="s">
        <v>44</v>
      </c>
      <c r="J492" s="3" t="s">
        <v>27</v>
      </c>
      <c r="K492" s="2">
        <v>8362993.2000000002</v>
      </c>
      <c r="L492" s="2">
        <v>5365714.29</v>
      </c>
      <c r="M492" s="2">
        <v>0</v>
      </c>
      <c r="N492" s="2">
        <v>0</v>
      </c>
      <c r="O492" s="2">
        <v>0</v>
      </c>
      <c r="P492" s="7" t="s">
        <v>28</v>
      </c>
      <c r="Q492" s="1" t="s">
        <v>29</v>
      </c>
      <c r="R492" s="3" t="s">
        <v>45</v>
      </c>
      <c r="S492" s="1" t="s">
        <v>46</v>
      </c>
      <c r="T492" s="4" t="s">
        <v>31</v>
      </c>
      <c r="U492" s="7" t="s">
        <v>32</v>
      </c>
      <c r="V492" s="7" t="s">
        <v>933</v>
      </c>
      <c r="W492" s="7" t="s">
        <v>50</v>
      </c>
      <c r="X492" s="7" t="s">
        <v>1751</v>
      </c>
      <c r="Y492" s="10">
        <f t="shared" si="15"/>
        <v>5365714.29</v>
      </c>
      <c r="AH492" s="5" t="e">
        <f>VLOOKUP(B492,[1]DL!$BK:$BP,6,0)</f>
        <v>#N/A</v>
      </c>
    </row>
    <row r="493" spans="1:34" ht="14.5" hidden="1">
      <c r="A493" s="5">
        <v>490</v>
      </c>
      <c r="B493" s="5" t="str">
        <f t="shared" si="14"/>
        <v>09AABCG4768K1Z5GPI-FGG260500067</v>
      </c>
      <c r="C493" s="1" t="s">
        <v>924</v>
      </c>
      <c r="D493" s="1" t="s">
        <v>925</v>
      </c>
      <c r="E493" s="1" t="s">
        <v>934</v>
      </c>
      <c r="F493" s="1" t="s">
        <v>24</v>
      </c>
      <c r="G493" s="1" t="s">
        <v>25</v>
      </c>
      <c r="H493" s="2">
        <v>21941868.420000002</v>
      </c>
      <c r="I493" s="1" t="s">
        <v>44</v>
      </c>
      <c r="J493" s="3" t="s">
        <v>27</v>
      </c>
      <c r="K493" s="2">
        <v>14104839.84</v>
      </c>
      <c r="L493" s="2">
        <v>7837028.5800000001</v>
      </c>
      <c r="M493" s="2">
        <v>0</v>
      </c>
      <c r="N493" s="2">
        <v>0</v>
      </c>
      <c r="O493" s="2">
        <v>0</v>
      </c>
      <c r="P493" s="7" t="s">
        <v>28</v>
      </c>
      <c r="Q493" s="1" t="s">
        <v>29</v>
      </c>
      <c r="R493" s="3" t="s">
        <v>45</v>
      </c>
      <c r="S493" s="1" t="s">
        <v>46</v>
      </c>
      <c r="T493" s="4" t="s">
        <v>31</v>
      </c>
      <c r="U493" s="7" t="s">
        <v>32</v>
      </c>
      <c r="V493" s="7" t="s">
        <v>935</v>
      </c>
      <c r="W493" s="7" t="s">
        <v>25</v>
      </c>
      <c r="X493" s="7" t="s">
        <v>1751</v>
      </c>
      <c r="Y493" s="10">
        <f t="shared" si="15"/>
        <v>7837028.5800000001</v>
      </c>
      <c r="AH493" s="5" t="e">
        <f>VLOOKUP(B493,[1]DL!$BK:$BP,6,0)</f>
        <v>#N/A</v>
      </c>
    </row>
    <row r="494" spans="1:34" ht="14.5" hidden="1">
      <c r="A494" s="5">
        <v>491</v>
      </c>
      <c r="B494" s="5" t="str">
        <f t="shared" si="14"/>
        <v>09AABCG4768K1Z5GPI-FGG260500074</v>
      </c>
      <c r="C494" s="1" t="s">
        <v>924</v>
      </c>
      <c r="D494" s="1" t="s">
        <v>925</v>
      </c>
      <c r="E494" s="1" t="s">
        <v>936</v>
      </c>
      <c r="F494" s="1" t="s">
        <v>24</v>
      </c>
      <c r="G494" s="1" t="s">
        <v>25</v>
      </c>
      <c r="H494" s="2">
        <v>8090.32</v>
      </c>
      <c r="I494" s="1" t="s">
        <v>44</v>
      </c>
      <c r="J494" s="3" t="s">
        <v>27</v>
      </c>
      <c r="K494" s="2">
        <v>5393.18</v>
      </c>
      <c r="L494" s="2">
        <v>2697.14</v>
      </c>
      <c r="M494" s="2">
        <v>0</v>
      </c>
      <c r="N494" s="2">
        <v>0</v>
      </c>
      <c r="O494" s="2">
        <v>0</v>
      </c>
      <c r="P494" s="7" t="s">
        <v>28</v>
      </c>
      <c r="Q494" s="1" t="s">
        <v>29</v>
      </c>
      <c r="R494" s="3" t="s">
        <v>45</v>
      </c>
      <c r="S494" s="1" t="s">
        <v>46</v>
      </c>
      <c r="T494" s="4" t="s">
        <v>31</v>
      </c>
      <c r="U494" s="7" t="s">
        <v>32</v>
      </c>
      <c r="V494" s="7" t="s">
        <v>937</v>
      </c>
      <c r="W494" s="7" t="s">
        <v>25</v>
      </c>
      <c r="X494" s="7" t="s">
        <v>1751</v>
      </c>
      <c r="Y494" s="10">
        <f t="shared" si="15"/>
        <v>2697.1399999999999</v>
      </c>
      <c r="AH494" s="5" t="e">
        <f>VLOOKUP(B494,[1]DL!$BK:$BP,6,0)</f>
        <v>#N/A</v>
      </c>
    </row>
    <row r="495" spans="1:34" ht="14.5" hidden="1">
      <c r="A495" s="5">
        <v>492</v>
      </c>
      <c r="B495" s="5" t="str">
        <f t="shared" si="14"/>
        <v>09AABCG4768K1Z5GPI-FGG260500079</v>
      </c>
      <c r="C495" s="1" t="s">
        <v>924</v>
      </c>
      <c r="D495" s="1" t="s">
        <v>925</v>
      </c>
      <c r="E495" s="1" t="s">
        <v>938</v>
      </c>
      <c r="F495" s="1" t="s">
        <v>24</v>
      </c>
      <c r="G495" s="1" t="s">
        <v>70</v>
      </c>
      <c r="H495" s="2">
        <v>24467576.239999998</v>
      </c>
      <c r="I495" s="1" t="s">
        <v>44</v>
      </c>
      <c r="J495" s="3" t="s">
        <v>27</v>
      </c>
      <c r="K495" s="2">
        <v>15700033.380000001</v>
      </c>
      <c r="L495" s="2">
        <v>8767542.8599999994</v>
      </c>
      <c r="M495" s="2">
        <v>0</v>
      </c>
      <c r="N495" s="2">
        <v>0</v>
      </c>
      <c r="O495" s="2">
        <v>0</v>
      </c>
      <c r="P495" s="7" t="s">
        <v>28</v>
      </c>
      <c r="Q495" s="1" t="s">
        <v>29</v>
      </c>
      <c r="R495" s="3" t="s">
        <v>45</v>
      </c>
      <c r="S495" s="1" t="s">
        <v>46</v>
      </c>
      <c r="T495" s="4" t="s">
        <v>31</v>
      </c>
      <c r="U495" s="7" t="s">
        <v>32</v>
      </c>
      <c r="V495" s="7" t="s">
        <v>939</v>
      </c>
      <c r="W495" s="7" t="s">
        <v>70</v>
      </c>
      <c r="X495" s="7" t="s">
        <v>1751</v>
      </c>
      <c r="Y495" s="10">
        <f t="shared" si="15"/>
        <v>8767542.8599999994</v>
      </c>
      <c r="AH495" s="5" t="e">
        <f>VLOOKUP(B495,[1]DL!$BK:$BP,6,0)</f>
        <v>#N/A</v>
      </c>
    </row>
    <row r="496" spans="1:34" ht="14.5" hidden="1">
      <c r="A496" s="5">
        <v>493</v>
      </c>
      <c r="B496" s="5" t="str">
        <f t="shared" si="14"/>
        <v>09AABCG4768K1Z5GPI-FGG260500100</v>
      </c>
      <c r="C496" s="1" t="s">
        <v>924</v>
      </c>
      <c r="D496" s="1" t="s">
        <v>925</v>
      </c>
      <c r="E496" s="1" t="s">
        <v>940</v>
      </c>
      <c r="F496" s="1" t="s">
        <v>24</v>
      </c>
      <c r="G496" s="1" t="s">
        <v>285</v>
      </c>
      <c r="H496" s="2">
        <v>7159724.7400000002</v>
      </c>
      <c r="I496" s="1" t="s">
        <v>44</v>
      </c>
      <c r="J496" s="3" t="s">
        <v>27</v>
      </c>
      <c r="K496" s="2">
        <v>4536867.5999999996</v>
      </c>
      <c r="L496" s="2">
        <v>2622857.14</v>
      </c>
      <c r="M496" s="2">
        <v>0</v>
      </c>
      <c r="N496" s="2">
        <v>0</v>
      </c>
      <c r="O496" s="2">
        <v>0</v>
      </c>
      <c r="P496" s="7" t="s">
        <v>28</v>
      </c>
      <c r="Q496" s="1" t="s">
        <v>29</v>
      </c>
      <c r="R496" s="3" t="s">
        <v>45</v>
      </c>
      <c r="S496" s="1" t="s">
        <v>46</v>
      </c>
      <c r="T496" s="4" t="s">
        <v>31</v>
      </c>
      <c r="U496" s="7" t="s">
        <v>32</v>
      </c>
      <c r="V496" s="7" t="s">
        <v>941</v>
      </c>
      <c r="W496" s="7" t="s">
        <v>285</v>
      </c>
      <c r="X496" s="7" t="s">
        <v>1751</v>
      </c>
      <c r="Y496" s="10">
        <f t="shared" si="15"/>
        <v>2622857.1400000001</v>
      </c>
      <c r="AH496" s="5" t="e">
        <f>VLOOKUP(B496,[1]DL!$BK:$BP,6,0)</f>
        <v>#N/A</v>
      </c>
    </row>
    <row r="497" spans="1:34" ht="14.5" hidden="1">
      <c r="A497" s="5">
        <v>494</v>
      </c>
      <c r="B497" s="5" t="str">
        <f t="shared" si="14"/>
        <v>09AABCG4768K1Z5GPI-FGG260500103</v>
      </c>
      <c r="C497" s="1" t="s">
        <v>924</v>
      </c>
      <c r="D497" s="1" t="s">
        <v>925</v>
      </c>
      <c r="E497" s="1" t="s">
        <v>942</v>
      </c>
      <c r="F497" s="1" t="s">
        <v>24</v>
      </c>
      <c r="G497" s="1" t="s">
        <v>285</v>
      </c>
      <c r="H497" s="2">
        <v>13324.95</v>
      </c>
      <c r="I497" s="1" t="s">
        <v>44</v>
      </c>
      <c r="J497" s="3" t="s">
        <v>27</v>
      </c>
      <c r="K497" s="2">
        <v>8387.81</v>
      </c>
      <c r="L497" s="2">
        <v>4937.1400000000003</v>
      </c>
      <c r="M497" s="2">
        <v>0</v>
      </c>
      <c r="N497" s="2">
        <v>0</v>
      </c>
      <c r="O497" s="2">
        <v>0</v>
      </c>
      <c r="P497" s="7" t="s">
        <v>28</v>
      </c>
      <c r="Q497" s="1" t="s">
        <v>29</v>
      </c>
      <c r="R497" s="3" t="s">
        <v>45</v>
      </c>
      <c r="S497" s="1" t="s">
        <v>46</v>
      </c>
      <c r="T497" s="4" t="s">
        <v>31</v>
      </c>
      <c r="U497" s="7" t="s">
        <v>32</v>
      </c>
      <c r="V497" s="7" t="s">
        <v>943</v>
      </c>
      <c r="W497" s="7" t="s">
        <v>285</v>
      </c>
      <c r="X497" s="7" t="s">
        <v>1751</v>
      </c>
      <c r="Y497" s="10">
        <f t="shared" si="15"/>
        <v>4937.1400000000003</v>
      </c>
      <c r="AH497" s="5" t="e">
        <f>VLOOKUP(B497,[1]DL!$BK:$BP,6,0)</f>
        <v>#N/A</v>
      </c>
    </row>
    <row r="498" spans="1:34" ht="14.5" hidden="1">
      <c r="A498" s="5">
        <v>495</v>
      </c>
      <c r="B498" s="5" t="str">
        <f t="shared" si="14"/>
        <v>09AABCG4768K1Z5GPI-FGG260500149</v>
      </c>
      <c r="C498" s="1" t="s">
        <v>924</v>
      </c>
      <c r="D498" s="1" t="s">
        <v>925</v>
      </c>
      <c r="E498" s="1" t="s">
        <v>944</v>
      </c>
      <c r="F498" s="1" t="s">
        <v>24</v>
      </c>
      <c r="G498" s="1" t="s">
        <v>204</v>
      </c>
      <c r="H498" s="2">
        <v>6499208.0599999996</v>
      </c>
      <c r="I498" s="1" t="s">
        <v>44</v>
      </c>
      <c r="J498" s="3" t="s">
        <v>27</v>
      </c>
      <c r="K498" s="2">
        <v>4226065.20</v>
      </c>
      <c r="L498" s="2">
        <v>2273142.86</v>
      </c>
      <c r="M498" s="2">
        <v>0</v>
      </c>
      <c r="N498" s="2">
        <v>0</v>
      </c>
      <c r="O498" s="2">
        <v>0</v>
      </c>
      <c r="P498" s="7" t="s">
        <v>28</v>
      </c>
      <c r="Q498" s="1" t="s">
        <v>29</v>
      </c>
      <c r="R498" s="3" t="s">
        <v>45</v>
      </c>
      <c r="S498" s="1" t="s">
        <v>46</v>
      </c>
      <c r="T498" s="4" t="s">
        <v>31</v>
      </c>
      <c r="U498" s="7" t="s">
        <v>32</v>
      </c>
      <c r="V498" s="7" t="s">
        <v>945</v>
      </c>
      <c r="W498" s="7" t="s">
        <v>204</v>
      </c>
      <c r="X498" s="7" t="s">
        <v>1751</v>
      </c>
      <c r="Y498" s="10">
        <f t="shared" si="15"/>
        <v>2273142.8599999999</v>
      </c>
      <c r="AH498" s="5" t="e">
        <f>VLOOKUP(B498,[1]DL!$BK:$BP,6,0)</f>
        <v>#N/A</v>
      </c>
    </row>
    <row r="499" spans="1:34" ht="14.5" hidden="1">
      <c r="A499" s="5">
        <v>496</v>
      </c>
      <c r="B499" s="5" t="str">
        <f t="shared" si="14"/>
        <v>09AABCG4768K1Z5GPI-FGG260500152</v>
      </c>
      <c r="C499" s="1" t="s">
        <v>924</v>
      </c>
      <c r="D499" s="1" t="s">
        <v>925</v>
      </c>
      <c r="E499" s="1" t="s">
        <v>946</v>
      </c>
      <c r="F499" s="1" t="s">
        <v>24</v>
      </c>
      <c r="G499" s="1" t="s">
        <v>52</v>
      </c>
      <c r="H499" s="2">
        <v>28606083.899999999</v>
      </c>
      <c r="I499" s="1" t="s">
        <v>44</v>
      </c>
      <c r="J499" s="3" t="s">
        <v>27</v>
      </c>
      <c r="K499" s="2">
        <v>17937741.039999999</v>
      </c>
      <c r="L499" s="2">
        <v>10668342.859999999</v>
      </c>
      <c r="M499" s="2">
        <v>0</v>
      </c>
      <c r="N499" s="2">
        <v>0</v>
      </c>
      <c r="O499" s="2">
        <v>0</v>
      </c>
      <c r="P499" s="7" t="s">
        <v>28</v>
      </c>
      <c r="Q499" s="1" t="s">
        <v>29</v>
      </c>
      <c r="R499" s="3" t="s">
        <v>45</v>
      </c>
      <c r="S499" s="1" t="s">
        <v>46</v>
      </c>
      <c r="T499" s="4" t="s">
        <v>31</v>
      </c>
      <c r="U499" s="7" t="s">
        <v>32</v>
      </c>
      <c r="V499" s="7" t="s">
        <v>947</v>
      </c>
      <c r="W499" s="7" t="s">
        <v>52</v>
      </c>
      <c r="X499" s="7" t="s">
        <v>1751</v>
      </c>
      <c r="Y499" s="10">
        <f t="shared" si="15"/>
        <v>10668342.859999999</v>
      </c>
      <c r="AH499" s="5" t="e">
        <f>VLOOKUP(B499,[1]DL!$BK:$BP,6,0)</f>
        <v>#N/A</v>
      </c>
    </row>
    <row r="500" spans="1:34" ht="14.5" hidden="1">
      <c r="A500" s="5">
        <v>497</v>
      </c>
      <c r="B500" s="5" t="str">
        <f t="shared" si="14"/>
        <v>09AABCG4768K1Z5GPI-FGG260500166</v>
      </c>
      <c r="C500" s="1" t="s">
        <v>924</v>
      </c>
      <c r="D500" s="1" t="s">
        <v>925</v>
      </c>
      <c r="E500" s="1" t="s">
        <v>948</v>
      </c>
      <c r="F500" s="1" t="s">
        <v>24</v>
      </c>
      <c r="G500" s="1" t="s">
        <v>398</v>
      </c>
      <c r="H500" s="2">
        <v>14495127.960000001</v>
      </c>
      <c r="I500" s="1" t="s">
        <v>44</v>
      </c>
      <c r="J500" s="3" t="s">
        <v>27</v>
      </c>
      <c r="K500" s="2">
        <v>9431127.9600000009</v>
      </c>
      <c r="L500" s="2">
        <v>5064000</v>
      </c>
      <c r="M500" s="2">
        <v>0</v>
      </c>
      <c r="N500" s="2">
        <v>0</v>
      </c>
      <c r="O500" s="2">
        <v>0</v>
      </c>
      <c r="P500" s="7" t="s">
        <v>28</v>
      </c>
      <c r="Q500" s="1" t="s">
        <v>29</v>
      </c>
      <c r="R500" s="3" t="s">
        <v>45</v>
      </c>
      <c r="S500" s="1" t="s">
        <v>46</v>
      </c>
      <c r="T500" s="4" t="s">
        <v>31</v>
      </c>
      <c r="U500" s="7" t="s">
        <v>32</v>
      </c>
      <c r="V500" s="7" t="s">
        <v>949</v>
      </c>
      <c r="W500" s="7" t="s">
        <v>398</v>
      </c>
      <c r="X500" s="7" t="s">
        <v>1751</v>
      </c>
      <c r="Y500" s="10">
        <f t="shared" si="15"/>
        <v>5064000</v>
      </c>
      <c r="AH500" s="5" t="e">
        <f>VLOOKUP(B500,[1]DL!$BK:$BP,6,0)</f>
        <v>#N/A</v>
      </c>
    </row>
    <row r="501" spans="1:34" ht="14.5" hidden="1">
      <c r="A501" s="5">
        <v>498</v>
      </c>
      <c r="B501" s="5" t="str">
        <f t="shared" si="14"/>
        <v>09AABCG4768K1Z5GPI-FGG260500183</v>
      </c>
      <c r="C501" s="1" t="s">
        <v>924</v>
      </c>
      <c r="D501" s="1" t="s">
        <v>925</v>
      </c>
      <c r="E501" s="1" t="s">
        <v>950</v>
      </c>
      <c r="F501" s="1" t="s">
        <v>24</v>
      </c>
      <c r="G501" s="1" t="s">
        <v>171</v>
      </c>
      <c r="H501" s="2">
        <v>4947827.6900000004</v>
      </c>
      <c r="I501" s="1" t="s">
        <v>44</v>
      </c>
      <c r="J501" s="3" t="s">
        <v>27</v>
      </c>
      <c r="K501" s="2">
        <v>3245084.84</v>
      </c>
      <c r="L501" s="2">
        <v>1702742.85</v>
      </c>
      <c r="M501" s="2">
        <v>0</v>
      </c>
      <c r="N501" s="2">
        <v>0</v>
      </c>
      <c r="O501" s="2">
        <v>0</v>
      </c>
      <c r="P501" s="7" t="s">
        <v>28</v>
      </c>
      <c r="Q501" s="1" t="s">
        <v>29</v>
      </c>
      <c r="R501" s="3" t="s">
        <v>45</v>
      </c>
      <c r="S501" s="1" t="s">
        <v>46</v>
      </c>
      <c r="T501" s="4" t="s">
        <v>31</v>
      </c>
      <c r="U501" s="7" t="s">
        <v>32</v>
      </c>
      <c r="V501" s="7" t="s">
        <v>951</v>
      </c>
      <c r="W501" s="7" t="s">
        <v>171</v>
      </c>
      <c r="X501" s="7" t="s">
        <v>1751</v>
      </c>
      <c r="Y501" s="10">
        <f t="shared" si="15"/>
        <v>1702742.8500000001</v>
      </c>
      <c r="AH501" s="5" t="e">
        <f>VLOOKUP(B501,[1]DL!$BK:$BP,6,0)</f>
        <v>#N/A</v>
      </c>
    </row>
    <row r="502" spans="1:34" ht="14.5" hidden="1">
      <c r="A502" s="5">
        <v>499</v>
      </c>
      <c r="B502" s="5" t="str">
        <f t="shared" si="14"/>
        <v>09AABCG4768K1Z5GPI-FGG260500201</v>
      </c>
      <c r="C502" s="1" t="s">
        <v>924</v>
      </c>
      <c r="D502" s="1" t="s">
        <v>925</v>
      </c>
      <c r="E502" s="1" t="s">
        <v>952</v>
      </c>
      <c r="F502" s="1" t="s">
        <v>24</v>
      </c>
      <c r="G502" s="1" t="s">
        <v>35</v>
      </c>
      <c r="H502" s="2">
        <v>6848.49</v>
      </c>
      <c r="I502" s="1" t="s">
        <v>44</v>
      </c>
      <c r="J502" s="3" t="s">
        <v>27</v>
      </c>
      <c r="K502" s="2">
        <v>4357.0600000000004</v>
      </c>
      <c r="L502" s="2">
        <v>2491.4299999999998</v>
      </c>
      <c r="M502" s="2">
        <v>0</v>
      </c>
      <c r="N502" s="2">
        <v>0</v>
      </c>
      <c r="O502" s="2">
        <v>0</v>
      </c>
      <c r="P502" s="7" t="s">
        <v>28</v>
      </c>
      <c r="Q502" s="1" t="s">
        <v>29</v>
      </c>
      <c r="R502" s="3" t="s">
        <v>45</v>
      </c>
      <c r="S502" s="1" t="s">
        <v>46</v>
      </c>
      <c r="T502" s="4" t="s">
        <v>31</v>
      </c>
      <c r="U502" s="7" t="s">
        <v>32</v>
      </c>
      <c r="V502" s="7" t="s">
        <v>953</v>
      </c>
      <c r="W502" s="7" t="s">
        <v>35</v>
      </c>
      <c r="X502" s="7" t="s">
        <v>1751</v>
      </c>
      <c r="Y502" s="10">
        <f t="shared" si="15"/>
        <v>2491.4299999999998</v>
      </c>
      <c r="AH502" s="5" t="e">
        <f>VLOOKUP(B502,[1]DL!$BK:$BP,6,0)</f>
        <v>#N/A</v>
      </c>
    </row>
    <row r="503" spans="1:34" ht="14.5" hidden="1">
      <c r="A503" s="5">
        <v>500</v>
      </c>
      <c r="B503" s="5" t="str">
        <f t="shared" si="14"/>
        <v>09AABCG4768K1Z5GPI-FGG260500202</v>
      </c>
      <c r="C503" s="1" t="s">
        <v>924</v>
      </c>
      <c r="D503" s="1" t="s">
        <v>925</v>
      </c>
      <c r="E503" s="1" t="s">
        <v>954</v>
      </c>
      <c r="F503" s="1" t="s">
        <v>24</v>
      </c>
      <c r="G503" s="1" t="s">
        <v>35</v>
      </c>
      <c r="H503" s="2">
        <v>7831.67</v>
      </c>
      <c r="I503" s="1" t="s">
        <v>44</v>
      </c>
      <c r="J503" s="3" t="s">
        <v>27</v>
      </c>
      <c r="K503" s="2">
        <v>5140.25</v>
      </c>
      <c r="L503" s="2">
        <v>2691.42</v>
      </c>
      <c r="M503" s="2">
        <v>0</v>
      </c>
      <c r="N503" s="2">
        <v>0</v>
      </c>
      <c r="O503" s="2">
        <v>0</v>
      </c>
      <c r="P503" s="7" t="s">
        <v>28</v>
      </c>
      <c r="Q503" s="1" t="s">
        <v>29</v>
      </c>
      <c r="R503" s="3" t="s">
        <v>45</v>
      </c>
      <c r="S503" s="1" t="s">
        <v>46</v>
      </c>
      <c r="T503" s="4" t="s">
        <v>31</v>
      </c>
      <c r="U503" s="7" t="s">
        <v>32</v>
      </c>
      <c r="V503" s="7" t="s">
        <v>955</v>
      </c>
      <c r="W503" s="7" t="s">
        <v>35</v>
      </c>
      <c r="X503" s="7" t="s">
        <v>1751</v>
      </c>
      <c r="Y503" s="10">
        <f t="shared" si="15"/>
        <v>2691.4200000000001</v>
      </c>
      <c r="AH503" s="5" t="e">
        <f>VLOOKUP(B503,[1]DL!$BK:$BP,6,0)</f>
        <v>#N/A</v>
      </c>
    </row>
    <row r="504" spans="1:34" ht="14.5" hidden="1">
      <c r="A504" s="5">
        <v>501</v>
      </c>
      <c r="B504" s="5" t="str">
        <f t="shared" si="14"/>
        <v>09AABCG4768K1Z5GPI-FGG260500203</v>
      </c>
      <c r="C504" s="1" t="s">
        <v>924</v>
      </c>
      <c r="D504" s="1" t="s">
        <v>925</v>
      </c>
      <c r="E504" s="1" t="s">
        <v>956</v>
      </c>
      <c r="F504" s="1" t="s">
        <v>24</v>
      </c>
      <c r="G504" s="1" t="s">
        <v>35</v>
      </c>
      <c r="H504" s="2">
        <v>6125.70</v>
      </c>
      <c r="I504" s="1" t="s">
        <v>44</v>
      </c>
      <c r="J504" s="3" t="s">
        <v>27</v>
      </c>
      <c r="K504" s="2">
        <v>3948.55</v>
      </c>
      <c r="L504" s="2">
        <v>2177.15</v>
      </c>
      <c r="M504" s="2">
        <v>0</v>
      </c>
      <c r="N504" s="2">
        <v>0</v>
      </c>
      <c r="O504" s="2">
        <v>0</v>
      </c>
      <c r="P504" s="7" t="s">
        <v>28</v>
      </c>
      <c r="Q504" s="1" t="s">
        <v>29</v>
      </c>
      <c r="R504" s="3" t="s">
        <v>45</v>
      </c>
      <c r="S504" s="1" t="s">
        <v>46</v>
      </c>
      <c r="T504" s="4" t="s">
        <v>31</v>
      </c>
      <c r="U504" s="7" t="s">
        <v>32</v>
      </c>
      <c r="V504" s="7" t="s">
        <v>957</v>
      </c>
      <c r="W504" s="7" t="s">
        <v>35</v>
      </c>
      <c r="X504" s="7" t="s">
        <v>1751</v>
      </c>
      <c r="Y504" s="10">
        <f t="shared" si="15"/>
        <v>2177.1500000000001</v>
      </c>
      <c r="AH504" s="5" t="e">
        <f>VLOOKUP(B504,[1]DL!$BK:$BP,6,0)</f>
        <v>#N/A</v>
      </c>
    </row>
    <row r="505" spans="1:34" ht="14.5" hidden="1">
      <c r="A505" s="5">
        <v>502</v>
      </c>
      <c r="B505" s="5" t="str">
        <f t="shared" si="14"/>
        <v>09AABCG4768K1Z5GPI-FGG260500204</v>
      </c>
      <c r="C505" s="1" t="s">
        <v>924</v>
      </c>
      <c r="D505" s="1" t="s">
        <v>925</v>
      </c>
      <c r="E505" s="1" t="s">
        <v>958</v>
      </c>
      <c r="F505" s="1" t="s">
        <v>24</v>
      </c>
      <c r="G505" s="1" t="s">
        <v>35</v>
      </c>
      <c r="H505" s="2">
        <v>3743.21</v>
      </c>
      <c r="I505" s="1" t="s">
        <v>44</v>
      </c>
      <c r="J505" s="3" t="s">
        <v>27</v>
      </c>
      <c r="K505" s="2">
        <v>2457.5</v>
      </c>
      <c r="L505" s="2">
        <v>1285.71</v>
      </c>
      <c r="M505" s="2">
        <v>0</v>
      </c>
      <c r="N505" s="2">
        <v>0</v>
      </c>
      <c r="O505" s="2">
        <v>0</v>
      </c>
      <c r="P505" s="7" t="s">
        <v>28</v>
      </c>
      <c r="Q505" s="1" t="s">
        <v>29</v>
      </c>
      <c r="R505" s="3" t="s">
        <v>45</v>
      </c>
      <c r="S505" s="1" t="s">
        <v>46</v>
      </c>
      <c r="T505" s="4" t="s">
        <v>31</v>
      </c>
      <c r="U505" s="7" t="s">
        <v>32</v>
      </c>
      <c r="V505" s="7" t="s">
        <v>959</v>
      </c>
      <c r="W505" s="7" t="s">
        <v>35</v>
      </c>
      <c r="X505" s="7" t="s">
        <v>1751</v>
      </c>
      <c r="Y505" s="10">
        <f t="shared" si="15"/>
        <v>1285.71</v>
      </c>
      <c r="AH505" s="5" t="e">
        <f>VLOOKUP(B505,[1]DL!$BK:$BP,6,0)</f>
        <v>#N/A</v>
      </c>
    </row>
    <row r="506" spans="1:34" ht="14.5" hidden="1">
      <c r="A506" s="5">
        <v>503</v>
      </c>
      <c r="B506" s="5" t="str">
        <f t="shared" si="14"/>
        <v>09AABCG4768K1Z5GPI-FGG260500213</v>
      </c>
      <c r="C506" s="1" t="s">
        <v>924</v>
      </c>
      <c r="D506" s="1" t="s">
        <v>925</v>
      </c>
      <c r="E506" s="1" t="s">
        <v>960</v>
      </c>
      <c r="F506" s="1" t="s">
        <v>24</v>
      </c>
      <c r="G506" s="1" t="s">
        <v>89</v>
      </c>
      <c r="H506" s="2">
        <v>7350647.0899999999</v>
      </c>
      <c r="I506" s="1" t="s">
        <v>44</v>
      </c>
      <c r="J506" s="3" t="s">
        <v>27</v>
      </c>
      <c r="K506" s="2">
        <v>4455904.2300000004</v>
      </c>
      <c r="L506" s="2">
        <v>2894742.86</v>
      </c>
      <c r="M506" s="2">
        <v>0</v>
      </c>
      <c r="N506" s="2">
        <v>0</v>
      </c>
      <c r="O506" s="2">
        <v>0</v>
      </c>
      <c r="P506" s="7" t="s">
        <v>28</v>
      </c>
      <c r="Q506" s="1" t="s">
        <v>29</v>
      </c>
      <c r="R506" s="3" t="s">
        <v>45</v>
      </c>
      <c r="S506" s="1" t="s">
        <v>46</v>
      </c>
      <c r="T506" s="4" t="s">
        <v>31</v>
      </c>
      <c r="U506" s="7" t="s">
        <v>32</v>
      </c>
      <c r="V506" s="7" t="s">
        <v>961</v>
      </c>
      <c r="W506" s="7" t="s">
        <v>89</v>
      </c>
      <c r="X506" s="7" t="s">
        <v>1751</v>
      </c>
      <c r="Y506" s="10">
        <f t="shared" si="15"/>
        <v>2894742.8599999999</v>
      </c>
      <c r="AH506" s="5" t="e">
        <f>VLOOKUP(B506,[1]DL!$BK:$BP,6,0)</f>
        <v>#N/A</v>
      </c>
    </row>
    <row r="507" spans="1:34" ht="14.5" hidden="1">
      <c r="A507" s="5">
        <v>504</v>
      </c>
      <c r="B507" s="5" t="str">
        <f t="shared" si="14"/>
        <v>09AABCG4768K1Z5GPI-FGG260500230</v>
      </c>
      <c r="C507" s="1" t="s">
        <v>924</v>
      </c>
      <c r="D507" s="1" t="s">
        <v>925</v>
      </c>
      <c r="E507" s="1" t="s">
        <v>962</v>
      </c>
      <c r="F507" s="1" t="s">
        <v>24</v>
      </c>
      <c r="G507" s="1" t="s">
        <v>585</v>
      </c>
      <c r="H507" s="2">
        <v>11808359.57</v>
      </c>
      <c r="I507" s="1" t="s">
        <v>44</v>
      </c>
      <c r="J507" s="3" t="s">
        <v>27</v>
      </c>
      <c r="K507" s="2">
        <v>7556931</v>
      </c>
      <c r="L507" s="2">
        <v>4251428.57</v>
      </c>
      <c r="M507" s="2">
        <v>0</v>
      </c>
      <c r="N507" s="2">
        <v>0</v>
      </c>
      <c r="O507" s="2">
        <v>0</v>
      </c>
      <c r="P507" s="7" t="s">
        <v>28</v>
      </c>
      <c r="Q507" s="1" t="s">
        <v>29</v>
      </c>
      <c r="R507" s="3" t="s">
        <v>45</v>
      </c>
      <c r="S507" s="1" t="s">
        <v>46</v>
      </c>
      <c r="T507" s="4" t="s">
        <v>31</v>
      </c>
      <c r="U507" s="7" t="s">
        <v>32</v>
      </c>
      <c r="V507" s="7" t="s">
        <v>963</v>
      </c>
      <c r="W507" s="7" t="s">
        <v>585</v>
      </c>
      <c r="X507" s="7" t="s">
        <v>1751</v>
      </c>
      <c r="Y507" s="10">
        <f t="shared" si="15"/>
        <v>4251428.5700000003</v>
      </c>
      <c r="AH507" s="5" t="e">
        <f>VLOOKUP(B507,[1]DL!$BK:$BP,6,0)</f>
        <v>#N/A</v>
      </c>
    </row>
    <row r="508" spans="1:34" ht="14.5" hidden="1">
      <c r="A508" s="5">
        <v>505</v>
      </c>
      <c r="B508" s="5" t="str">
        <f t="shared" si="14"/>
        <v>09AABCG4768K1Z5GPI-FGG260500238</v>
      </c>
      <c r="C508" s="1" t="s">
        <v>924</v>
      </c>
      <c r="D508" s="1" t="s">
        <v>925</v>
      </c>
      <c r="E508" s="1" t="s">
        <v>964</v>
      </c>
      <c r="F508" s="1" t="s">
        <v>24</v>
      </c>
      <c r="G508" s="1" t="s">
        <v>128</v>
      </c>
      <c r="H508" s="2">
        <v>28836602.579999998</v>
      </c>
      <c r="I508" s="1" t="s">
        <v>44</v>
      </c>
      <c r="J508" s="3" t="s">
        <v>27</v>
      </c>
      <c r="K508" s="2">
        <v>17912202.579999998</v>
      </c>
      <c r="L508" s="2">
        <v>10924400</v>
      </c>
      <c r="M508" s="2">
        <v>0</v>
      </c>
      <c r="N508" s="2">
        <v>0</v>
      </c>
      <c r="O508" s="2">
        <v>0</v>
      </c>
      <c r="P508" s="7" t="s">
        <v>28</v>
      </c>
      <c r="Q508" s="1" t="s">
        <v>29</v>
      </c>
      <c r="R508" s="3" t="s">
        <v>45</v>
      </c>
      <c r="S508" s="1" t="s">
        <v>46</v>
      </c>
      <c r="T508" s="4" t="s">
        <v>31</v>
      </c>
      <c r="U508" s="7" t="s">
        <v>32</v>
      </c>
      <c r="V508" s="7" t="s">
        <v>965</v>
      </c>
      <c r="W508" s="7" t="s">
        <v>128</v>
      </c>
      <c r="X508" s="7" t="s">
        <v>1751</v>
      </c>
      <c r="Y508" s="10">
        <f t="shared" si="15"/>
        <v>10924400</v>
      </c>
      <c r="AH508" s="5" t="e">
        <f>VLOOKUP(B508,[1]DL!$BK:$BP,6,0)</f>
        <v>#N/A</v>
      </c>
    </row>
    <row r="509" spans="1:34" ht="14.5" hidden="1">
      <c r="A509" s="5">
        <v>506</v>
      </c>
      <c r="B509" s="5" t="str">
        <f t="shared" si="14"/>
        <v>09AABCG4768K1Z5GPI-FGG260500275</v>
      </c>
      <c r="C509" s="1" t="s">
        <v>924</v>
      </c>
      <c r="D509" s="1" t="s">
        <v>925</v>
      </c>
      <c r="E509" s="1" t="s">
        <v>966</v>
      </c>
      <c r="F509" s="1" t="s">
        <v>24</v>
      </c>
      <c r="G509" s="1" t="s">
        <v>140</v>
      </c>
      <c r="H509" s="2">
        <v>3321.04</v>
      </c>
      <c r="I509" s="1" t="s">
        <v>44</v>
      </c>
      <c r="J509" s="3" t="s">
        <v>27</v>
      </c>
      <c r="K509" s="2">
        <v>2086.7600000000002</v>
      </c>
      <c r="L509" s="2">
        <v>1234.28</v>
      </c>
      <c r="M509" s="2">
        <v>0</v>
      </c>
      <c r="N509" s="2">
        <v>0</v>
      </c>
      <c r="O509" s="2">
        <v>0</v>
      </c>
      <c r="P509" s="7" t="s">
        <v>28</v>
      </c>
      <c r="Q509" s="1" t="s">
        <v>29</v>
      </c>
      <c r="R509" s="3" t="s">
        <v>45</v>
      </c>
      <c r="S509" s="1" t="s">
        <v>46</v>
      </c>
      <c r="T509" s="4" t="s">
        <v>31</v>
      </c>
      <c r="U509" s="7" t="s">
        <v>32</v>
      </c>
      <c r="V509" s="7" t="s">
        <v>967</v>
      </c>
      <c r="W509" s="7" t="s">
        <v>140</v>
      </c>
      <c r="X509" s="7" t="s">
        <v>1751</v>
      </c>
      <c r="Y509" s="10">
        <f t="shared" si="15"/>
        <v>1234.28</v>
      </c>
      <c r="AH509" s="5" t="e">
        <f>VLOOKUP(B509,[1]DL!$BK:$BP,6,0)</f>
        <v>#N/A</v>
      </c>
    </row>
    <row r="510" spans="1:34" ht="14.5" hidden="1">
      <c r="A510" s="5">
        <v>507</v>
      </c>
      <c r="B510" s="5" t="str">
        <f t="shared" si="14"/>
        <v>09AABCG4768K1Z5GPI-FGG260500298</v>
      </c>
      <c r="C510" s="1" t="s">
        <v>924</v>
      </c>
      <c r="D510" s="1" t="s">
        <v>925</v>
      </c>
      <c r="E510" s="1" t="s">
        <v>968</v>
      </c>
      <c r="F510" s="1" t="s">
        <v>24</v>
      </c>
      <c r="G510" s="1" t="s">
        <v>289</v>
      </c>
      <c r="H510" s="2">
        <v>6887.42</v>
      </c>
      <c r="I510" s="1" t="s">
        <v>44</v>
      </c>
      <c r="J510" s="3" t="s">
        <v>27</v>
      </c>
      <c r="K510" s="2">
        <v>4418.8500000000004</v>
      </c>
      <c r="L510" s="2">
        <v>2468.5700000000002</v>
      </c>
      <c r="M510" s="2">
        <v>0</v>
      </c>
      <c r="N510" s="2">
        <v>0</v>
      </c>
      <c r="O510" s="2">
        <v>0</v>
      </c>
      <c r="P510" s="7" t="s">
        <v>28</v>
      </c>
      <c r="Q510" s="1" t="s">
        <v>29</v>
      </c>
      <c r="R510" s="3" t="s">
        <v>45</v>
      </c>
      <c r="S510" s="1" t="s">
        <v>46</v>
      </c>
      <c r="T510" s="4" t="s">
        <v>31</v>
      </c>
      <c r="U510" s="7" t="s">
        <v>32</v>
      </c>
      <c r="V510" s="7" t="s">
        <v>969</v>
      </c>
      <c r="W510" s="7" t="s">
        <v>289</v>
      </c>
      <c r="X510" s="7" t="s">
        <v>1751</v>
      </c>
      <c r="Y510" s="10">
        <f t="shared" si="15"/>
        <v>2468.5700000000002</v>
      </c>
      <c r="AH510" s="5" t="e">
        <f>VLOOKUP(B510,[1]DL!$BK:$BP,6,0)</f>
        <v>#N/A</v>
      </c>
    </row>
    <row r="511" spans="1:34" ht="14.5" hidden="1">
      <c r="A511" s="5">
        <v>508</v>
      </c>
      <c r="B511" s="5" t="str">
        <f t="shared" si="14"/>
        <v>09AABCG4768K1Z5GPI-FGG260500299</v>
      </c>
      <c r="C511" s="1" t="s">
        <v>924</v>
      </c>
      <c r="D511" s="1" t="s">
        <v>925</v>
      </c>
      <c r="E511" s="1" t="s">
        <v>970</v>
      </c>
      <c r="F511" s="1" t="s">
        <v>24</v>
      </c>
      <c r="G511" s="1" t="s">
        <v>289</v>
      </c>
      <c r="H511" s="2">
        <v>24677174.699999999</v>
      </c>
      <c r="I511" s="1" t="s">
        <v>44</v>
      </c>
      <c r="J511" s="3" t="s">
        <v>27</v>
      </c>
      <c r="K511" s="2">
        <v>15090203.279999999</v>
      </c>
      <c r="L511" s="2">
        <v>9586971.4199999999</v>
      </c>
      <c r="M511" s="2">
        <v>0</v>
      </c>
      <c r="N511" s="2">
        <v>0</v>
      </c>
      <c r="O511" s="2">
        <v>0</v>
      </c>
      <c r="P511" s="7" t="s">
        <v>28</v>
      </c>
      <c r="Q511" s="1" t="s">
        <v>29</v>
      </c>
      <c r="R511" s="3" t="s">
        <v>45</v>
      </c>
      <c r="S511" s="1" t="s">
        <v>46</v>
      </c>
      <c r="T511" s="4" t="s">
        <v>31</v>
      </c>
      <c r="U511" s="7" t="s">
        <v>32</v>
      </c>
      <c r="V511" s="7" t="s">
        <v>971</v>
      </c>
      <c r="W511" s="7" t="s">
        <v>289</v>
      </c>
      <c r="X511" s="7" t="s">
        <v>1751</v>
      </c>
      <c r="Y511" s="10">
        <f t="shared" si="15"/>
        <v>9586971.4199999999</v>
      </c>
      <c r="AH511" s="5" t="e">
        <f>VLOOKUP(B511,[1]DL!$BK:$BP,6,0)</f>
        <v>#N/A</v>
      </c>
    </row>
    <row r="512" spans="1:34" ht="14.5" hidden="1">
      <c r="A512" s="5">
        <v>509</v>
      </c>
      <c r="B512" s="5" t="str">
        <f t="shared" si="14"/>
        <v>09AABCG4768K1Z5GPI-GOK260500023</v>
      </c>
      <c r="C512" s="1" t="s">
        <v>924</v>
      </c>
      <c r="D512" s="1" t="s">
        <v>925</v>
      </c>
      <c r="E512" s="1" t="s">
        <v>972</v>
      </c>
      <c r="F512" s="1" t="s">
        <v>24</v>
      </c>
      <c r="G512" s="1" t="s">
        <v>302</v>
      </c>
      <c r="H512" s="2">
        <v>5270958.8600000003</v>
      </c>
      <c r="I512" s="1" t="s">
        <v>44</v>
      </c>
      <c r="J512" s="3" t="s">
        <v>27</v>
      </c>
      <c r="K512" s="2">
        <v>3213816</v>
      </c>
      <c r="L512" s="2">
        <v>2057142.86</v>
      </c>
      <c r="M512" s="2">
        <v>0</v>
      </c>
      <c r="N512" s="2">
        <v>0</v>
      </c>
      <c r="O512" s="2">
        <v>0</v>
      </c>
      <c r="P512" s="7" t="s">
        <v>28</v>
      </c>
      <c r="Q512" s="1" t="s">
        <v>29</v>
      </c>
      <c r="R512" s="3" t="s">
        <v>45</v>
      </c>
      <c r="S512" s="1" t="s">
        <v>46</v>
      </c>
      <c r="T512" s="4" t="s">
        <v>31</v>
      </c>
      <c r="U512" s="7" t="s">
        <v>32</v>
      </c>
      <c r="V512" s="7" t="s">
        <v>973</v>
      </c>
      <c r="W512" s="7" t="s">
        <v>302</v>
      </c>
      <c r="X512" s="7" t="s">
        <v>1751</v>
      </c>
      <c r="Y512" s="10">
        <f t="shared" si="15"/>
        <v>2057142.8600000001</v>
      </c>
      <c r="AH512" s="5" t="e">
        <f>VLOOKUP(B512,[1]DL!$BK:$BP,6,0)</f>
        <v>#N/A</v>
      </c>
    </row>
    <row r="513" spans="1:34" ht="14.5" hidden="1">
      <c r="A513" s="5">
        <v>510</v>
      </c>
      <c r="B513" s="5" t="str">
        <f t="shared" si="14"/>
        <v>09AABCG4768K1Z5GPI-GOK260500202</v>
      </c>
      <c r="C513" s="1" t="s">
        <v>924</v>
      </c>
      <c r="D513" s="1" t="s">
        <v>925</v>
      </c>
      <c r="E513" s="1" t="s">
        <v>974</v>
      </c>
      <c r="F513" s="1" t="s">
        <v>24</v>
      </c>
      <c r="G513" s="1" t="s">
        <v>25</v>
      </c>
      <c r="H513" s="2">
        <v>422997.12</v>
      </c>
      <c r="I513" s="1" t="s">
        <v>44</v>
      </c>
      <c r="J513" s="3" t="s">
        <v>27</v>
      </c>
      <c r="K513" s="2">
        <v>402854.40</v>
      </c>
      <c r="L513" s="2">
        <v>20142.72</v>
      </c>
      <c r="M513" s="2">
        <v>0</v>
      </c>
      <c r="N513" s="2">
        <v>0</v>
      </c>
      <c r="O513" s="2">
        <v>0</v>
      </c>
      <c r="P513" s="7" t="s">
        <v>28</v>
      </c>
      <c r="Q513" s="1" t="s">
        <v>29</v>
      </c>
      <c r="R513" s="3" t="s">
        <v>45</v>
      </c>
      <c r="S513" s="1" t="s">
        <v>46</v>
      </c>
      <c r="T513" s="4" t="s">
        <v>31</v>
      </c>
      <c r="U513" s="7" t="s">
        <v>32</v>
      </c>
      <c r="V513" s="7" t="s">
        <v>975</v>
      </c>
      <c r="W513" s="7" t="s">
        <v>25</v>
      </c>
      <c r="X513" s="7" t="s">
        <v>1751</v>
      </c>
      <c r="Y513" s="10">
        <f t="shared" si="15"/>
        <v>20142.720000000001</v>
      </c>
      <c r="AH513" s="5" t="e">
        <f>VLOOKUP(B513,[1]DL!$BK:$BP,6,0)</f>
        <v>#N/A</v>
      </c>
    </row>
    <row r="514" spans="1:34" ht="14.5" hidden="1">
      <c r="A514" s="5">
        <v>511</v>
      </c>
      <c r="B514" s="5" t="str">
        <f t="shared" si="14"/>
        <v>09AABCG4768K1Z5GPI-GOK260500203</v>
      </c>
      <c r="C514" s="1" t="s">
        <v>924</v>
      </c>
      <c r="D514" s="1" t="s">
        <v>925</v>
      </c>
      <c r="E514" s="1" t="s">
        <v>976</v>
      </c>
      <c r="F514" s="1" t="s">
        <v>24</v>
      </c>
      <c r="G514" s="1" t="s">
        <v>25</v>
      </c>
      <c r="H514" s="2">
        <v>52190.46</v>
      </c>
      <c r="I514" s="1" t="s">
        <v>44</v>
      </c>
      <c r="J514" s="3" t="s">
        <v>27</v>
      </c>
      <c r="K514" s="2">
        <v>49705.20</v>
      </c>
      <c r="L514" s="2">
        <v>2485.2600000000002</v>
      </c>
      <c r="M514" s="2">
        <v>0</v>
      </c>
      <c r="N514" s="2">
        <v>0</v>
      </c>
      <c r="O514" s="2">
        <v>0</v>
      </c>
      <c r="P514" s="7" t="s">
        <v>28</v>
      </c>
      <c r="Q514" s="1" t="s">
        <v>29</v>
      </c>
      <c r="R514" s="3" t="s">
        <v>45</v>
      </c>
      <c r="S514" s="1" t="s">
        <v>46</v>
      </c>
      <c r="T514" s="4" t="s">
        <v>31</v>
      </c>
      <c r="U514" s="7" t="s">
        <v>32</v>
      </c>
      <c r="V514" s="7" t="s">
        <v>977</v>
      </c>
      <c r="W514" s="7" t="s">
        <v>25</v>
      </c>
      <c r="X514" s="7" t="s">
        <v>1751</v>
      </c>
      <c r="Y514" s="10">
        <f t="shared" si="15"/>
        <v>2485.2600000000002</v>
      </c>
      <c r="AH514" s="5" t="e">
        <f>VLOOKUP(B514,[1]DL!$BK:$BP,6,0)</f>
        <v>#N/A</v>
      </c>
    </row>
    <row r="515" spans="1:34" ht="14.5" hidden="1">
      <c r="A515" s="5">
        <v>512</v>
      </c>
      <c r="B515" s="5" t="str">
        <f t="shared" si="14"/>
        <v>09AABCG4768K1Z5GPI-GOK260500312</v>
      </c>
      <c r="C515" s="1" t="s">
        <v>924</v>
      </c>
      <c r="D515" s="1" t="s">
        <v>925</v>
      </c>
      <c r="E515" s="1" t="s">
        <v>978</v>
      </c>
      <c r="F515" s="1" t="s">
        <v>24</v>
      </c>
      <c r="G515" s="1" t="s">
        <v>70</v>
      </c>
      <c r="H515" s="2">
        <v>4904093.92</v>
      </c>
      <c r="I515" s="1" t="s">
        <v>44</v>
      </c>
      <c r="J515" s="3" t="s">
        <v>27</v>
      </c>
      <c r="K515" s="2">
        <v>3152093.92</v>
      </c>
      <c r="L515" s="2">
        <v>1752000</v>
      </c>
      <c r="M515" s="2">
        <v>0</v>
      </c>
      <c r="N515" s="2">
        <v>0</v>
      </c>
      <c r="O515" s="2">
        <v>0</v>
      </c>
      <c r="P515" s="7" t="s">
        <v>28</v>
      </c>
      <c r="Q515" s="1" t="s">
        <v>29</v>
      </c>
      <c r="R515" s="3" t="s">
        <v>45</v>
      </c>
      <c r="S515" s="1" t="s">
        <v>46</v>
      </c>
      <c r="T515" s="4" t="s">
        <v>31</v>
      </c>
      <c r="U515" s="7" t="s">
        <v>32</v>
      </c>
      <c r="V515" s="7" t="s">
        <v>979</v>
      </c>
      <c r="W515" s="7" t="s">
        <v>70</v>
      </c>
      <c r="X515" s="7" t="s">
        <v>1751</v>
      </c>
      <c r="Y515" s="10">
        <f t="shared" si="15"/>
        <v>1752000</v>
      </c>
      <c r="AH515" s="5" t="e">
        <f>VLOOKUP(B515,[1]DL!$BK:$BP,6,0)</f>
        <v>#N/A</v>
      </c>
    </row>
    <row r="516" spans="1:34" ht="14.5" hidden="1">
      <c r="A516" s="5">
        <v>513</v>
      </c>
      <c r="B516" s="5" t="str">
        <f t="shared" si="14"/>
        <v>09AABCG4768K1Z5GPI-GOK260500313</v>
      </c>
      <c r="C516" s="1" t="s">
        <v>924</v>
      </c>
      <c r="D516" s="1" t="s">
        <v>925</v>
      </c>
      <c r="E516" s="1" t="s">
        <v>980</v>
      </c>
      <c r="F516" s="1" t="s">
        <v>24</v>
      </c>
      <c r="G516" s="1" t="s">
        <v>70</v>
      </c>
      <c r="H516" s="2">
        <v>246748.32</v>
      </c>
      <c r="I516" s="1" t="s">
        <v>44</v>
      </c>
      <c r="J516" s="3" t="s">
        <v>27</v>
      </c>
      <c r="K516" s="2">
        <v>234998.40</v>
      </c>
      <c r="L516" s="2">
        <v>11749.92</v>
      </c>
      <c r="M516" s="2">
        <v>0</v>
      </c>
      <c r="N516" s="2">
        <v>0</v>
      </c>
      <c r="O516" s="2">
        <v>0</v>
      </c>
      <c r="P516" s="7" t="s">
        <v>28</v>
      </c>
      <c r="Q516" s="1" t="s">
        <v>29</v>
      </c>
      <c r="R516" s="3" t="s">
        <v>45</v>
      </c>
      <c r="S516" s="1" t="s">
        <v>46</v>
      </c>
      <c r="T516" s="4" t="s">
        <v>31</v>
      </c>
      <c r="U516" s="7" t="s">
        <v>32</v>
      </c>
      <c r="V516" s="7" t="s">
        <v>981</v>
      </c>
      <c r="W516" s="7" t="s">
        <v>70</v>
      </c>
      <c r="X516" s="7" t="s">
        <v>1751</v>
      </c>
      <c r="Y516" s="10">
        <f t="shared" si="15"/>
        <v>11749.92</v>
      </c>
      <c r="AH516" s="5" t="e">
        <f>VLOOKUP(B516,[1]DL!$BK:$BP,6,0)</f>
        <v>#N/A</v>
      </c>
    </row>
    <row r="517" spans="1:34" ht="14.5" hidden="1">
      <c r="A517" s="5">
        <v>514</v>
      </c>
      <c r="B517" s="5" t="str">
        <f t="shared" si="16" ref="B517:B580">C517&amp;E517</f>
        <v>09AABCG4768K1Z5GPI-GOK260500314</v>
      </c>
      <c r="C517" s="1" t="s">
        <v>924</v>
      </c>
      <c r="D517" s="1" t="s">
        <v>925</v>
      </c>
      <c r="E517" s="1" t="s">
        <v>982</v>
      </c>
      <c r="F517" s="1" t="s">
        <v>24</v>
      </c>
      <c r="G517" s="1" t="s">
        <v>70</v>
      </c>
      <c r="H517" s="2">
        <v>20553.75</v>
      </c>
      <c r="I517" s="1" t="s">
        <v>44</v>
      </c>
      <c r="J517" s="3" t="s">
        <v>27</v>
      </c>
      <c r="K517" s="2">
        <v>19575</v>
      </c>
      <c r="L517" s="2">
        <v>978.75</v>
      </c>
      <c r="M517" s="2">
        <v>0</v>
      </c>
      <c r="N517" s="2">
        <v>0</v>
      </c>
      <c r="O517" s="2">
        <v>0</v>
      </c>
      <c r="P517" s="7" t="s">
        <v>28</v>
      </c>
      <c r="Q517" s="1" t="s">
        <v>29</v>
      </c>
      <c r="R517" s="3" t="s">
        <v>45</v>
      </c>
      <c r="S517" s="1" t="s">
        <v>46</v>
      </c>
      <c r="T517" s="4" t="s">
        <v>31</v>
      </c>
      <c r="U517" s="7" t="s">
        <v>32</v>
      </c>
      <c r="V517" s="7" t="s">
        <v>983</v>
      </c>
      <c r="W517" s="7" t="s">
        <v>70</v>
      </c>
      <c r="X517" s="7" t="s">
        <v>1751</v>
      </c>
      <c r="Y517" s="10">
        <f t="shared" si="17" ref="Y517:Y580">L517+M517+N517+O517</f>
        <v>978.75</v>
      </c>
      <c r="AH517" s="5" t="e">
        <f>VLOOKUP(B517,[1]DL!$BK:$BP,6,0)</f>
        <v>#N/A</v>
      </c>
    </row>
    <row r="518" spans="1:34" ht="14.5" hidden="1">
      <c r="A518" s="5">
        <v>515</v>
      </c>
      <c r="B518" s="5" t="str">
        <f t="shared" si="16"/>
        <v>09AABCG4768K1Z5GPI-GOK260500346</v>
      </c>
      <c r="C518" s="1" t="s">
        <v>924</v>
      </c>
      <c r="D518" s="1" t="s">
        <v>925</v>
      </c>
      <c r="E518" s="1" t="s">
        <v>984</v>
      </c>
      <c r="F518" s="1" t="s">
        <v>24</v>
      </c>
      <c r="G518" s="1" t="s">
        <v>125</v>
      </c>
      <c r="H518" s="2">
        <v>78940.58</v>
      </c>
      <c r="I518" s="1" t="s">
        <v>44</v>
      </c>
      <c r="J518" s="3" t="s">
        <v>27</v>
      </c>
      <c r="K518" s="2">
        <v>75181.5</v>
      </c>
      <c r="L518" s="2">
        <v>3759.08</v>
      </c>
      <c r="M518" s="2">
        <v>0</v>
      </c>
      <c r="N518" s="2">
        <v>0</v>
      </c>
      <c r="O518" s="2">
        <v>0</v>
      </c>
      <c r="P518" s="7" t="s">
        <v>28</v>
      </c>
      <c r="Q518" s="1" t="s">
        <v>29</v>
      </c>
      <c r="R518" s="3" t="s">
        <v>45</v>
      </c>
      <c r="S518" s="1" t="s">
        <v>46</v>
      </c>
      <c r="T518" s="4" t="s">
        <v>31</v>
      </c>
      <c r="U518" s="7" t="s">
        <v>32</v>
      </c>
      <c r="V518" s="7" t="s">
        <v>985</v>
      </c>
      <c r="W518" s="7" t="s">
        <v>125</v>
      </c>
      <c r="X518" s="7" t="s">
        <v>1751</v>
      </c>
      <c r="Y518" s="10">
        <f t="shared" si="17"/>
        <v>3759.0799999999999</v>
      </c>
      <c r="AH518" s="5" t="e">
        <f>VLOOKUP(B518,[1]DL!$BK:$BP,6,0)</f>
        <v>#N/A</v>
      </c>
    </row>
    <row r="519" spans="1:34" ht="14.5" hidden="1">
      <c r="A519" s="5">
        <v>516</v>
      </c>
      <c r="B519" s="5" t="str">
        <f t="shared" si="16"/>
        <v>09AABCG4768K1Z5GPI-GOK260500347</v>
      </c>
      <c r="C519" s="1" t="s">
        <v>924</v>
      </c>
      <c r="D519" s="1" t="s">
        <v>925</v>
      </c>
      <c r="E519" s="1" t="s">
        <v>986</v>
      </c>
      <c r="F519" s="1" t="s">
        <v>24</v>
      </c>
      <c r="G519" s="1" t="s">
        <v>125</v>
      </c>
      <c r="H519" s="2">
        <v>176248.80</v>
      </c>
      <c r="I519" s="1" t="s">
        <v>44</v>
      </c>
      <c r="J519" s="3" t="s">
        <v>27</v>
      </c>
      <c r="K519" s="2">
        <v>167856</v>
      </c>
      <c r="L519" s="2">
        <v>8392.7999999999993</v>
      </c>
      <c r="M519" s="2">
        <v>0</v>
      </c>
      <c r="N519" s="2">
        <v>0</v>
      </c>
      <c r="O519" s="2">
        <v>0</v>
      </c>
      <c r="P519" s="7" t="s">
        <v>28</v>
      </c>
      <c r="Q519" s="1" t="s">
        <v>29</v>
      </c>
      <c r="R519" s="3" t="s">
        <v>45</v>
      </c>
      <c r="S519" s="1" t="s">
        <v>46</v>
      </c>
      <c r="T519" s="4" t="s">
        <v>31</v>
      </c>
      <c r="U519" s="7" t="s">
        <v>32</v>
      </c>
      <c r="V519" s="7" t="s">
        <v>987</v>
      </c>
      <c r="W519" s="7" t="s">
        <v>125</v>
      </c>
      <c r="X519" s="7" t="s">
        <v>1751</v>
      </c>
      <c r="Y519" s="10">
        <f t="shared" si="17"/>
        <v>8392.7999999999993</v>
      </c>
      <c r="AH519" s="5" t="e">
        <f>VLOOKUP(B519,[1]DL!$BK:$BP,6,0)</f>
        <v>#N/A</v>
      </c>
    </row>
    <row r="520" spans="1:34" ht="14.5" hidden="1">
      <c r="A520" s="5">
        <v>517</v>
      </c>
      <c r="B520" s="5" t="str">
        <f t="shared" si="16"/>
        <v>09AABCG4768K1Z5GPI-GOK260500479</v>
      </c>
      <c r="C520" s="1" t="s">
        <v>924</v>
      </c>
      <c r="D520" s="1" t="s">
        <v>925</v>
      </c>
      <c r="E520" s="1" t="s">
        <v>988</v>
      </c>
      <c r="F520" s="1" t="s">
        <v>24</v>
      </c>
      <c r="G520" s="1" t="s">
        <v>385</v>
      </c>
      <c r="H520" s="2">
        <v>570306.03</v>
      </c>
      <c r="I520" s="1" t="s">
        <v>44</v>
      </c>
      <c r="J520" s="3" t="s">
        <v>27</v>
      </c>
      <c r="K520" s="2">
        <v>375563.16</v>
      </c>
      <c r="L520" s="2">
        <v>194742.87</v>
      </c>
      <c r="M520" s="2">
        <v>0</v>
      </c>
      <c r="N520" s="2">
        <v>0</v>
      </c>
      <c r="O520" s="2">
        <v>0</v>
      </c>
      <c r="P520" s="7" t="s">
        <v>28</v>
      </c>
      <c r="Q520" s="1" t="s">
        <v>29</v>
      </c>
      <c r="R520" s="3" t="s">
        <v>45</v>
      </c>
      <c r="S520" s="1" t="s">
        <v>46</v>
      </c>
      <c r="T520" s="4" t="s">
        <v>31</v>
      </c>
      <c r="U520" s="7" t="s">
        <v>32</v>
      </c>
      <c r="V520" s="7" t="s">
        <v>989</v>
      </c>
      <c r="W520" s="7" t="s">
        <v>385</v>
      </c>
      <c r="X520" s="7" t="s">
        <v>1751</v>
      </c>
      <c r="Y520" s="10">
        <f t="shared" si="17"/>
        <v>194742.87</v>
      </c>
      <c r="AH520" s="5" t="e">
        <f>VLOOKUP(B520,[1]DL!$BK:$BP,6,0)</f>
        <v>#N/A</v>
      </c>
    </row>
    <row r="521" spans="1:34" ht="14.5" hidden="1">
      <c r="A521" s="5">
        <v>518</v>
      </c>
      <c r="B521" s="5" t="str">
        <f t="shared" si="16"/>
        <v>09AABCG4768K1Z5GPI-GOK260500480</v>
      </c>
      <c r="C521" s="1" t="s">
        <v>924</v>
      </c>
      <c r="D521" s="1" t="s">
        <v>925</v>
      </c>
      <c r="E521" s="1" t="s">
        <v>990</v>
      </c>
      <c r="F521" s="1" t="s">
        <v>24</v>
      </c>
      <c r="G521" s="1" t="s">
        <v>385</v>
      </c>
      <c r="H521" s="2">
        <v>363774.60</v>
      </c>
      <c r="I521" s="1" t="s">
        <v>44</v>
      </c>
      <c r="J521" s="3" t="s">
        <v>27</v>
      </c>
      <c r="K521" s="2">
        <v>346452</v>
      </c>
      <c r="L521" s="2">
        <v>17322.599999999999</v>
      </c>
      <c r="M521" s="2">
        <v>0</v>
      </c>
      <c r="N521" s="2">
        <v>0</v>
      </c>
      <c r="O521" s="2">
        <v>0</v>
      </c>
      <c r="P521" s="7" t="s">
        <v>28</v>
      </c>
      <c r="Q521" s="1" t="s">
        <v>29</v>
      </c>
      <c r="R521" s="3" t="s">
        <v>45</v>
      </c>
      <c r="S521" s="1" t="s">
        <v>46</v>
      </c>
      <c r="T521" s="4" t="s">
        <v>31</v>
      </c>
      <c r="U521" s="7" t="s">
        <v>32</v>
      </c>
      <c r="V521" s="7" t="s">
        <v>991</v>
      </c>
      <c r="W521" s="7" t="s">
        <v>385</v>
      </c>
      <c r="X521" s="7" t="s">
        <v>1751</v>
      </c>
      <c r="Y521" s="10">
        <f t="shared" si="17"/>
        <v>17322.599999999999</v>
      </c>
      <c r="AH521" s="5" t="e">
        <f>VLOOKUP(B521,[1]DL!$BK:$BP,6,0)</f>
        <v>#N/A</v>
      </c>
    </row>
    <row r="522" spans="1:34" ht="14.5" hidden="1">
      <c r="A522" s="5">
        <v>519</v>
      </c>
      <c r="B522" s="5" t="str">
        <f t="shared" si="16"/>
        <v>09AABCG4768K1Z5GPI-GOK260500481</v>
      </c>
      <c r="C522" s="1" t="s">
        <v>924</v>
      </c>
      <c r="D522" s="1" t="s">
        <v>925</v>
      </c>
      <c r="E522" s="1" t="s">
        <v>992</v>
      </c>
      <c r="F522" s="1" t="s">
        <v>24</v>
      </c>
      <c r="G522" s="1" t="s">
        <v>385</v>
      </c>
      <c r="H522" s="2">
        <v>59461.29</v>
      </c>
      <c r="I522" s="1" t="s">
        <v>44</v>
      </c>
      <c r="J522" s="3" t="s">
        <v>27</v>
      </c>
      <c r="K522" s="2">
        <v>56629.80</v>
      </c>
      <c r="L522" s="2">
        <v>2831.49</v>
      </c>
      <c r="M522" s="2">
        <v>0</v>
      </c>
      <c r="N522" s="2">
        <v>0</v>
      </c>
      <c r="O522" s="2">
        <v>0</v>
      </c>
      <c r="P522" s="7" t="s">
        <v>28</v>
      </c>
      <c r="Q522" s="1" t="s">
        <v>29</v>
      </c>
      <c r="R522" s="3" t="s">
        <v>45</v>
      </c>
      <c r="S522" s="1" t="s">
        <v>46</v>
      </c>
      <c r="T522" s="4" t="s">
        <v>31</v>
      </c>
      <c r="U522" s="7" t="s">
        <v>32</v>
      </c>
      <c r="V522" s="7" t="s">
        <v>993</v>
      </c>
      <c r="W522" s="7" t="s">
        <v>385</v>
      </c>
      <c r="X522" s="7" t="s">
        <v>1751</v>
      </c>
      <c r="Y522" s="10">
        <f t="shared" si="17"/>
        <v>2831.4899999999998</v>
      </c>
      <c r="AH522" s="5" t="e">
        <f>VLOOKUP(B522,[1]DL!$BK:$BP,6,0)</f>
        <v>#N/A</v>
      </c>
    </row>
    <row r="523" spans="1:34" ht="14.5" hidden="1">
      <c r="A523" s="5">
        <v>520</v>
      </c>
      <c r="B523" s="5" t="str">
        <f t="shared" si="16"/>
        <v>09AABCG4768K1Z5GPI-GOK260500608</v>
      </c>
      <c r="C523" s="1" t="s">
        <v>924</v>
      </c>
      <c r="D523" s="1" t="s">
        <v>925</v>
      </c>
      <c r="E523" s="1" t="s">
        <v>994</v>
      </c>
      <c r="F523" s="1" t="s">
        <v>24</v>
      </c>
      <c r="G523" s="1" t="s">
        <v>52</v>
      </c>
      <c r="H523" s="2">
        <v>25409.16</v>
      </c>
      <c r="I523" s="1" t="s">
        <v>44</v>
      </c>
      <c r="J523" s="3" t="s">
        <v>27</v>
      </c>
      <c r="K523" s="2">
        <v>24199.20</v>
      </c>
      <c r="L523" s="2">
        <v>1209.96</v>
      </c>
      <c r="M523" s="2">
        <v>0</v>
      </c>
      <c r="N523" s="2">
        <v>0</v>
      </c>
      <c r="O523" s="2">
        <v>0</v>
      </c>
      <c r="P523" s="7" t="s">
        <v>28</v>
      </c>
      <c r="Q523" s="1" t="s">
        <v>29</v>
      </c>
      <c r="R523" s="3" t="s">
        <v>45</v>
      </c>
      <c r="S523" s="1" t="s">
        <v>46</v>
      </c>
      <c r="T523" s="4" t="s">
        <v>31</v>
      </c>
      <c r="U523" s="7" t="s">
        <v>32</v>
      </c>
      <c r="V523" s="7" t="s">
        <v>995</v>
      </c>
      <c r="W523" s="7" t="s">
        <v>52</v>
      </c>
      <c r="X523" s="7" t="s">
        <v>1751</v>
      </c>
      <c r="Y523" s="10">
        <f t="shared" si="17"/>
        <v>1209.96</v>
      </c>
      <c r="AH523" s="5" t="e">
        <f>VLOOKUP(B523,[1]DL!$BK:$BP,6,0)</f>
        <v>#N/A</v>
      </c>
    </row>
    <row r="524" spans="1:34" ht="14.5" hidden="1">
      <c r="A524" s="5">
        <v>521</v>
      </c>
      <c r="B524" s="5" t="str">
        <f t="shared" si="16"/>
        <v>09AABCG4768K1Z5GPI-GOK260500609</v>
      </c>
      <c r="C524" s="1" t="s">
        <v>924</v>
      </c>
      <c r="D524" s="1" t="s">
        <v>925</v>
      </c>
      <c r="E524" s="1" t="s">
        <v>996</v>
      </c>
      <c r="F524" s="1" t="s">
        <v>24</v>
      </c>
      <c r="G524" s="1" t="s">
        <v>52</v>
      </c>
      <c r="H524" s="2">
        <v>6035211.2199999997</v>
      </c>
      <c r="I524" s="1" t="s">
        <v>44</v>
      </c>
      <c r="J524" s="3" t="s">
        <v>27</v>
      </c>
      <c r="K524" s="2">
        <v>3924925.52</v>
      </c>
      <c r="L524" s="2">
        <v>2110285.7000000002</v>
      </c>
      <c r="M524" s="2">
        <v>0</v>
      </c>
      <c r="N524" s="2">
        <v>0</v>
      </c>
      <c r="O524" s="2">
        <v>0</v>
      </c>
      <c r="P524" s="7" t="s">
        <v>28</v>
      </c>
      <c r="Q524" s="1" t="s">
        <v>29</v>
      </c>
      <c r="R524" s="3" t="s">
        <v>45</v>
      </c>
      <c r="S524" s="1" t="s">
        <v>46</v>
      </c>
      <c r="T524" s="4" t="s">
        <v>31</v>
      </c>
      <c r="U524" s="7" t="s">
        <v>32</v>
      </c>
      <c r="V524" s="7" t="s">
        <v>997</v>
      </c>
      <c r="W524" s="7" t="s">
        <v>52</v>
      </c>
      <c r="X524" s="7" t="s">
        <v>1751</v>
      </c>
      <c r="Y524" s="10">
        <f t="shared" si="17"/>
        <v>2110285.7000000002</v>
      </c>
      <c r="AH524" s="5" t="e">
        <f>VLOOKUP(B524,[1]DL!$BK:$BP,6,0)</f>
        <v>#N/A</v>
      </c>
    </row>
    <row r="525" spans="1:34" ht="14.5" hidden="1">
      <c r="A525" s="5">
        <v>522</v>
      </c>
      <c r="B525" s="5" t="str">
        <f t="shared" si="16"/>
        <v>09AABCG4768K1Z5GPI-GOK260500743</v>
      </c>
      <c r="C525" s="1" t="s">
        <v>924</v>
      </c>
      <c r="D525" s="1" t="s">
        <v>925</v>
      </c>
      <c r="E525" s="1" t="s">
        <v>998</v>
      </c>
      <c r="F525" s="1" t="s">
        <v>24</v>
      </c>
      <c r="G525" s="1" t="s">
        <v>89</v>
      </c>
      <c r="H525" s="2">
        <v>3331237.72</v>
      </c>
      <c r="I525" s="1" t="s">
        <v>44</v>
      </c>
      <c r="J525" s="3" t="s">
        <v>27</v>
      </c>
      <c r="K525" s="2">
        <v>2096952</v>
      </c>
      <c r="L525" s="2">
        <v>1234285.72</v>
      </c>
      <c r="M525" s="2">
        <v>0</v>
      </c>
      <c r="N525" s="2">
        <v>0</v>
      </c>
      <c r="O525" s="2">
        <v>0</v>
      </c>
      <c r="P525" s="7" t="s">
        <v>28</v>
      </c>
      <c r="Q525" s="1" t="s">
        <v>29</v>
      </c>
      <c r="R525" s="3" t="s">
        <v>45</v>
      </c>
      <c r="S525" s="1" t="s">
        <v>46</v>
      </c>
      <c r="T525" s="4" t="s">
        <v>31</v>
      </c>
      <c r="U525" s="7" t="s">
        <v>32</v>
      </c>
      <c r="V525" s="7" t="s">
        <v>999</v>
      </c>
      <c r="W525" s="7" t="s">
        <v>89</v>
      </c>
      <c r="X525" s="7" t="s">
        <v>1751</v>
      </c>
      <c r="Y525" s="10">
        <f t="shared" si="17"/>
        <v>1234285.72</v>
      </c>
      <c r="AH525" s="5" t="e">
        <f>VLOOKUP(B525,[1]DL!$BK:$BP,6,0)</f>
        <v>#N/A</v>
      </c>
    </row>
    <row r="526" spans="1:34" ht="14.5" hidden="1">
      <c r="A526" s="5">
        <v>523</v>
      </c>
      <c r="B526" s="5" t="str">
        <f t="shared" si="16"/>
        <v>09AABCG4768K1Z5GPI-GOK260500744</v>
      </c>
      <c r="C526" s="1" t="s">
        <v>924</v>
      </c>
      <c r="D526" s="1" t="s">
        <v>925</v>
      </c>
      <c r="E526" s="1" t="s">
        <v>1000</v>
      </c>
      <c r="F526" s="1" t="s">
        <v>24</v>
      </c>
      <c r="G526" s="1" t="s">
        <v>89</v>
      </c>
      <c r="H526" s="2">
        <v>65518.74</v>
      </c>
      <c r="I526" s="1" t="s">
        <v>44</v>
      </c>
      <c r="J526" s="3" t="s">
        <v>27</v>
      </c>
      <c r="K526" s="2">
        <v>62398.80</v>
      </c>
      <c r="L526" s="2">
        <v>3119.94</v>
      </c>
      <c r="M526" s="2">
        <v>0</v>
      </c>
      <c r="N526" s="2">
        <v>0</v>
      </c>
      <c r="O526" s="2">
        <v>0</v>
      </c>
      <c r="P526" s="7" t="s">
        <v>28</v>
      </c>
      <c r="Q526" s="1" t="s">
        <v>29</v>
      </c>
      <c r="R526" s="3" t="s">
        <v>45</v>
      </c>
      <c r="S526" s="1" t="s">
        <v>46</v>
      </c>
      <c r="T526" s="4" t="s">
        <v>31</v>
      </c>
      <c r="U526" s="7" t="s">
        <v>32</v>
      </c>
      <c r="V526" s="7" t="s">
        <v>1001</v>
      </c>
      <c r="W526" s="7" t="s">
        <v>89</v>
      </c>
      <c r="X526" s="7" t="s">
        <v>1751</v>
      </c>
      <c r="Y526" s="10">
        <f t="shared" si="17"/>
        <v>3119.9400000000001</v>
      </c>
      <c r="AH526" s="5" t="e">
        <f>VLOOKUP(B526,[1]DL!$BK:$BP,6,0)</f>
        <v>#N/A</v>
      </c>
    </row>
    <row r="527" spans="1:34" ht="14.5" hidden="1">
      <c r="A527" s="5">
        <v>524</v>
      </c>
      <c r="B527" s="5" t="str">
        <f t="shared" si="16"/>
        <v>09AABCG4768K1Z5GPI-GOK260500775</v>
      </c>
      <c r="C527" s="1" t="s">
        <v>924</v>
      </c>
      <c r="D527" s="1" t="s">
        <v>925</v>
      </c>
      <c r="E527" s="1" t="s">
        <v>1002</v>
      </c>
      <c r="F527" s="1" t="s">
        <v>24</v>
      </c>
      <c r="G527" s="1" t="s">
        <v>161</v>
      </c>
      <c r="H527" s="2">
        <v>13702.5</v>
      </c>
      <c r="I527" s="1" t="s">
        <v>44</v>
      </c>
      <c r="J527" s="3" t="s">
        <v>27</v>
      </c>
      <c r="K527" s="2">
        <v>13050</v>
      </c>
      <c r="L527" s="2">
        <v>652.5</v>
      </c>
      <c r="M527" s="2">
        <v>0</v>
      </c>
      <c r="N527" s="2">
        <v>0</v>
      </c>
      <c r="O527" s="2">
        <v>0</v>
      </c>
      <c r="P527" s="7" t="s">
        <v>28</v>
      </c>
      <c r="Q527" s="1" t="s">
        <v>29</v>
      </c>
      <c r="R527" s="3" t="s">
        <v>45</v>
      </c>
      <c r="S527" s="1" t="s">
        <v>46</v>
      </c>
      <c r="T527" s="4" t="s">
        <v>31</v>
      </c>
      <c r="U527" s="7" t="s">
        <v>32</v>
      </c>
      <c r="V527" s="7" t="s">
        <v>1003</v>
      </c>
      <c r="W527" s="7" t="s">
        <v>161</v>
      </c>
      <c r="X527" s="7" t="s">
        <v>1751</v>
      </c>
      <c r="Y527" s="10">
        <f t="shared" si="17"/>
        <v>652.5</v>
      </c>
      <c r="AH527" s="5" t="e">
        <f>VLOOKUP(B527,[1]DL!$BK:$BP,6,0)</f>
        <v>#N/A</v>
      </c>
    </row>
    <row r="528" spans="1:34" ht="14.5" hidden="1">
      <c r="A528" s="5">
        <v>525</v>
      </c>
      <c r="B528" s="5" t="str">
        <f t="shared" si="16"/>
        <v>09AABCG4768K1Z5GPI-GOK260500776</v>
      </c>
      <c r="C528" s="1" t="s">
        <v>924</v>
      </c>
      <c r="D528" s="1" t="s">
        <v>925</v>
      </c>
      <c r="E528" s="1" t="s">
        <v>1004</v>
      </c>
      <c r="F528" s="1" t="s">
        <v>24</v>
      </c>
      <c r="G528" s="1" t="s">
        <v>161</v>
      </c>
      <c r="H528" s="2">
        <v>484304.94</v>
      </c>
      <c r="I528" s="1" t="s">
        <v>44</v>
      </c>
      <c r="J528" s="3" t="s">
        <v>27</v>
      </c>
      <c r="K528" s="2">
        <v>461242.80</v>
      </c>
      <c r="L528" s="2">
        <v>23062.14</v>
      </c>
      <c r="M528" s="2">
        <v>0</v>
      </c>
      <c r="N528" s="2">
        <v>0</v>
      </c>
      <c r="O528" s="2">
        <v>0</v>
      </c>
      <c r="P528" s="7" t="s">
        <v>28</v>
      </c>
      <c r="Q528" s="1" t="s">
        <v>29</v>
      </c>
      <c r="R528" s="3" t="s">
        <v>45</v>
      </c>
      <c r="S528" s="1" t="s">
        <v>46</v>
      </c>
      <c r="T528" s="4" t="s">
        <v>31</v>
      </c>
      <c r="U528" s="7" t="s">
        <v>32</v>
      </c>
      <c r="V528" s="7" t="s">
        <v>1005</v>
      </c>
      <c r="W528" s="7" t="s">
        <v>161</v>
      </c>
      <c r="X528" s="7" t="s">
        <v>1751</v>
      </c>
      <c r="Y528" s="10">
        <f t="shared" si="17"/>
        <v>23062.139999999999</v>
      </c>
      <c r="AH528" s="5" t="e">
        <f>VLOOKUP(B528,[1]DL!$BK:$BP,6,0)</f>
        <v>#N/A</v>
      </c>
    </row>
    <row r="529" spans="1:34" ht="14.5" hidden="1">
      <c r="A529" s="5">
        <v>526</v>
      </c>
      <c r="B529" s="5" t="str">
        <f t="shared" si="16"/>
        <v>09AABCG4768K1Z5GPI-GOK260500891</v>
      </c>
      <c r="C529" s="1" t="s">
        <v>924</v>
      </c>
      <c r="D529" s="1" t="s">
        <v>925</v>
      </c>
      <c r="E529" s="1" t="s">
        <v>1006</v>
      </c>
      <c r="F529" s="1" t="s">
        <v>24</v>
      </c>
      <c r="G529" s="1" t="s">
        <v>585</v>
      </c>
      <c r="H529" s="2">
        <v>3876497.04</v>
      </c>
      <c r="I529" s="1" t="s">
        <v>44</v>
      </c>
      <c r="J529" s="3" t="s">
        <v>27</v>
      </c>
      <c r="K529" s="2">
        <v>2579468.46</v>
      </c>
      <c r="L529" s="2">
        <v>1297028.58</v>
      </c>
      <c r="M529" s="2">
        <v>0</v>
      </c>
      <c r="N529" s="2">
        <v>0</v>
      </c>
      <c r="O529" s="2">
        <v>0</v>
      </c>
      <c r="P529" s="7" t="s">
        <v>28</v>
      </c>
      <c r="Q529" s="1" t="s">
        <v>29</v>
      </c>
      <c r="R529" s="3" t="s">
        <v>45</v>
      </c>
      <c r="S529" s="1" t="s">
        <v>46</v>
      </c>
      <c r="T529" s="4" t="s">
        <v>31</v>
      </c>
      <c r="U529" s="7" t="s">
        <v>32</v>
      </c>
      <c r="V529" s="7" t="s">
        <v>1007</v>
      </c>
      <c r="W529" s="7" t="s">
        <v>585</v>
      </c>
      <c r="X529" s="7" t="s">
        <v>1751</v>
      </c>
      <c r="Y529" s="10">
        <f t="shared" si="17"/>
        <v>1297028.5800000001</v>
      </c>
      <c r="AH529" s="5" t="e">
        <f>VLOOKUP(B529,[1]DL!$BK:$BP,6,0)</f>
        <v>#N/A</v>
      </c>
    </row>
    <row r="530" spans="1:34" ht="14.5" hidden="1">
      <c r="A530" s="5">
        <v>527</v>
      </c>
      <c r="B530" s="5" t="str">
        <f t="shared" si="16"/>
        <v>09AABCG4768K1Z5GPI-GOK260500892</v>
      </c>
      <c r="C530" s="1" t="s">
        <v>924</v>
      </c>
      <c r="D530" s="1" t="s">
        <v>925</v>
      </c>
      <c r="E530" s="1" t="s">
        <v>1008</v>
      </c>
      <c r="F530" s="1" t="s">
        <v>24</v>
      </c>
      <c r="G530" s="1" t="s">
        <v>585</v>
      </c>
      <c r="H530" s="2">
        <v>45962.91</v>
      </c>
      <c r="I530" s="1" t="s">
        <v>44</v>
      </c>
      <c r="J530" s="3" t="s">
        <v>27</v>
      </c>
      <c r="K530" s="2">
        <v>43774.20</v>
      </c>
      <c r="L530" s="2">
        <v>2188.71</v>
      </c>
      <c r="M530" s="2">
        <v>0</v>
      </c>
      <c r="N530" s="2">
        <v>0</v>
      </c>
      <c r="O530" s="2">
        <v>0</v>
      </c>
      <c r="P530" s="7" t="s">
        <v>28</v>
      </c>
      <c r="Q530" s="1" t="s">
        <v>29</v>
      </c>
      <c r="R530" s="3" t="s">
        <v>45</v>
      </c>
      <c r="S530" s="1" t="s">
        <v>46</v>
      </c>
      <c r="T530" s="4" t="s">
        <v>31</v>
      </c>
      <c r="U530" s="7" t="s">
        <v>32</v>
      </c>
      <c r="V530" s="7" t="s">
        <v>1009</v>
      </c>
      <c r="W530" s="7" t="s">
        <v>585</v>
      </c>
      <c r="X530" s="7" t="s">
        <v>1751</v>
      </c>
      <c r="Y530" s="10">
        <f t="shared" si="17"/>
        <v>2188.71</v>
      </c>
      <c r="AH530" s="5" t="e">
        <f>VLOOKUP(B530,[1]DL!$BK:$BP,6,0)</f>
        <v>#N/A</v>
      </c>
    </row>
    <row r="531" spans="1:34" ht="14.5" hidden="1">
      <c r="A531" s="5">
        <v>528</v>
      </c>
      <c r="B531" s="5" t="str">
        <f t="shared" si="16"/>
        <v>09AABCG4768K1Z5GPI-GOK260500893</v>
      </c>
      <c r="C531" s="1" t="s">
        <v>924</v>
      </c>
      <c r="D531" s="1" t="s">
        <v>925</v>
      </c>
      <c r="E531" s="1" t="s">
        <v>1010</v>
      </c>
      <c r="F531" s="1" t="s">
        <v>24</v>
      </c>
      <c r="G531" s="1" t="s">
        <v>585</v>
      </c>
      <c r="H531" s="2">
        <v>225762.26</v>
      </c>
      <c r="I531" s="1" t="s">
        <v>44</v>
      </c>
      <c r="J531" s="3" t="s">
        <v>27</v>
      </c>
      <c r="K531" s="2">
        <v>215011.68</v>
      </c>
      <c r="L531" s="2">
        <v>10750.58</v>
      </c>
      <c r="M531" s="2">
        <v>0</v>
      </c>
      <c r="N531" s="2">
        <v>0</v>
      </c>
      <c r="O531" s="2">
        <v>0</v>
      </c>
      <c r="P531" s="7" t="s">
        <v>28</v>
      </c>
      <c r="Q531" s="1" t="s">
        <v>29</v>
      </c>
      <c r="R531" s="3" t="s">
        <v>45</v>
      </c>
      <c r="S531" s="1" t="s">
        <v>46</v>
      </c>
      <c r="T531" s="4" t="s">
        <v>31</v>
      </c>
      <c r="U531" s="7" t="s">
        <v>32</v>
      </c>
      <c r="V531" s="7" t="s">
        <v>1011</v>
      </c>
      <c r="W531" s="7" t="s">
        <v>585</v>
      </c>
      <c r="X531" s="7" t="s">
        <v>1751</v>
      </c>
      <c r="Y531" s="10">
        <f t="shared" si="17"/>
        <v>10750.58</v>
      </c>
      <c r="AH531" s="5" t="e">
        <f>VLOOKUP(B531,[1]DL!$BK:$BP,6,0)</f>
        <v>#N/A</v>
      </c>
    </row>
    <row r="532" spans="1:34" ht="14.5" hidden="1">
      <c r="A532" s="5">
        <v>529</v>
      </c>
      <c r="B532" s="5" t="str">
        <f t="shared" si="16"/>
        <v>09AABCG4768K1Z5GPI-GOK260501014</v>
      </c>
      <c r="C532" s="1" t="s">
        <v>924</v>
      </c>
      <c r="D532" s="1" t="s">
        <v>925</v>
      </c>
      <c r="E532" s="1" t="s">
        <v>1012</v>
      </c>
      <c r="F532" s="1" t="s">
        <v>24</v>
      </c>
      <c r="G532" s="1" t="s">
        <v>420</v>
      </c>
      <c r="H532" s="2">
        <v>6505937.79</v>
      </c>
      <c r="I532" s="1" t="s">
        <v>44</v>
      </c>
      <c r="J532" s="3" t="s">
        <v>27</v>
      </c>
      <c r="K532" s="2">
        <v>4159080.64</v>
      </c>
      <c r="L532" s="2">
        <v>2346857.15</v>
      </c>
      <c r="M532" s="2">
        <v>0</v>
      </c>
      <c r="N532" s="2">
        <v>0</v>
      </c>
      <c r="O532" s="2">
        <v>0</v>
      </c>
      <c r="P532" s="7" t="s">
        <v>28</v>
      </c>
      <c r="Q532" s="1" t="s">
        <v>29</v>
      </c>
      <c r="R532" s="3" t="s">
        <v>45</v>
      </c>
      <c r="S532" s="1" t="s">
        <v>46</v>
      </c>
      <c r="T532" s="4" t="s">
        <v>31</v>
      </c>
      <c r="U532" s="7" t="s">
        <v>32</v>
      </c>
      <c r="V532" s="7" t="s">
        <v>1013</v>
      </c>
      <c r="W532" s="7" t="s">
        <v>420</v>
      </c>
      <c r="X532" s="7" t="s">
        <v>1751</v>
      </c>
      <c r="Y532" s="10">
        <f t="shared" si="17"/>
        <v>2346857.1499999999</v>
      </c>
      <c r="AH532" s="5" t="e">
        <f>VLOOKUP(B532,[1]DL!$BK:$BP,6,0)</f>
        <v>#N/A</v>
      </c>
    </row>
    <row r="533" spans="1:34" ht="14.5" hidden="1">
      <c r="A533" s="5">
        <v>530</v>
      </c>
      <c r="B533" s="5" t="str">
        <f t="shared" si="16"/>
        <v>09AABCG4768K1Z5GPI-GOK260501058</v>
      </c>
      <c r="C533" s="1" t="s">
        <v>924</v>
      </c>
      <c r="D533" s="1" t="s">
        <v>925</v>
      </c>
      <c r="E533" s="1" t="s">
        <v>1014</v>
      </c>
      <c r="F533" s="1" t="s">
        <v>24</v>
      </c>
      <c r="G533" s="1" t="s">
        <v>289</v>
      </c>
      <c r="H533" s="2">
        <v>7623223.1100000003</v>
      </c>
      <c r="I533" s="1" t="s">
        <v>44</v>
      </c>
      <c r="J533" s="3" t="s">
        <v>27</v>
      </c>
      <c r="K533" s="2">
        <v>4843337.4000000004</v>
      </c>
      <c r="L533" s="2">
        <v>2779885.71</v>
      </c>
      <c r="M533" s="2">
        <v>0</v>
      </c>
      <c r="N533" s="2">
        <v>0</v>
      </c>
      <c r="O533" s="2">
        <v>0</v>
      </c>
      <c r="P533" s="7" t="s">
        <v>28</v>
      </c>
      <c r="Q533" s="1" t="s">
        <v>29</v>
      </c>
      <c r="R533" s="3" t="s">
        <v>45</v>
      </c>
      <c r="S533" s="1" t="s">
        <v>46</v>
      </c>
      <c r="T533" s="4" t="s">
        <v>31</v>
      </c>
      <c r="U533" s="7" t="s">
        <v>32</v>
      </c>
      <c r="V533" s="7" t="s">
        <v>1015</v>
      </c>
      <c r="W533" s="7" t="s">
        <v>289</v>
      </c>
      <c r="X533" s="7" t="s">
        <v>1751</v>
      </c>
      <c r="Y533" s="10">
        <f t="shared" si="17"/>
        <v>2779885.71</v>
      </c>
      <c r="AH533" s="5" t="e">
        <f>VLOOKUP(B533,[1]DL!$BK:$BP,6,0)</f>
        <v>#N/A</v>
      </c>
    </row>
    <row r="534" spans="1:34" ht="14.5" hidden="1">
      <c r="A534" s="5">
        <v>531</v>
      </c>
      <c r="B534" s="5" t="str">
        <f t="shared" si="16"/>
        <v>09AABCG4768K1Z5GPI-GOK260501163</v>
      </c>
      <c r="C534" s="1" t="s">
        <v>924</v>
      </c>
      <c r="D534" s="1" t="s">
        <v>925</v>
      </c>
      <c r="E534" s="1" t="s">
        <v>1016</v>
      </c>
      <c r="F534" s="1" t="s">
        <v>24</v>
      </c>
      <c r="G534" s="1" t="s">
        <v>154</v>
      </c>
      <c r="H534" s="2">
        <v>123196.5</v>
      </c>
      <c r="I534" s="1" t="s">
        <v>44</v>
      </c>
      <c r="J534" s="3" t="s">
        <v>27</v>
      </c>
      <c r="K534" s="2">
        <v>117330</v>
      </c>
      <c r="L534" s="2">
        <v>5866.5</v>
      </c>
      <c r="M534" s="2">
        <v>0</v>
      </c>
      <c r="N534" s="2">
        <v>0</v>
      </c>
      <c r="O534" s="2">
        <v>0</v>
      </c>
      <c r="P534" s="7" t="s">
        <v>28</v>
      </c>
      <c r="Q534" s="1" t="s">
        <v>29</v>
      </c>
      <c r="R534" s="3" t="s">
        <v>45</v>
      </c>
      <c r="S534" s="1" t="s">
        <v>46</v>
      </c>
      <c r="T534" s="4" t="s">
        <v>31</v>
      </c>
      <c r="U534" s="7" t="s">
        <v>32</v>
      </c>
      <c r="V534" s="7" t="s">
        <v>1017</v>
      </c>
      <c r="W534" s="7" t="s">
        <v>154</v>
      </c>
      <c r="X534" s="7" t="s">
        <v>1751</v>
      </c>
      <c r="Y534" s="10">
        <f t="shared" si="17"/>
        <v>5866.5</v>
      </c>
      <c r="AH534" s="5" t="e">
        <f>VLOOKUP(B534,[1]DL!$BK:$BP,6,0)</f>
        <v>#N/A</v>
      </c>
    </row>
    <row r="535" spans="1:34" ht="14.5" hidden="1">
      <c r="A535" s="5">
        <v>532</v>
      </c>
      <c r="B535" s="5" t="str">
        <f t="shared" si="16"/>
        <v>09AABCG4768K1Z5GPI-GOK260501164</v>
      </c>
      <c r="C535" s="1" t="s">
        <v>924</v>
      </c>
      <c r="D535" s="1" t="s">
        <v>925</v>
      </c>
      <c r="E535" s="1" t="s">
        <v>1018</v>
      </c>
      <c r="F535" s="1" t="s">
        <v>24</v>
      </c>
      <c r="G535" s="1" t="s">
        <v>154</v>
      </c>
      <c r="H535" s="2">
        <v>246393</v>
      </c>
      <c r="I535" s="1" t="s">
        <v>44</v>
      </c>
      <c r="J535" s="3" t="s">
        <v>27</v>
      </c>
      <c r="K535" s="2">
        <v>234660</v>
      </c>
      <c r="L535" s="2">
        <v>11733</v>
      </c>
      <c r="M535" s="2">
        <v>0</v>
      </c>
      <c r="N535" s="2">
        <v>0</v>
      </c>
      <c r="O535" s="2">
        <v>0</v>
      </c>
      <c r="P535" s="7" t="s">
        <v>28</v>
      </c>
      <c r="Q535" s="1" t="s">
        <v>29</v>
      </c>
      <c r="R535" s="3" t="s">
        <v>45</v>
      </c>
      <c r="S535" s="1" t="s">
        <v>46</v>
      </c>
      <c r="T535" s="4" t="s">
        <v>31</v>
      </c>
      <c r="U535" s="7" t="s">
        <v>32</v>
      </c>
      <c r="V535" s="7" t="s">
        <v>1019</v>
      </c>
      <c r="W535" s="7" t="s">
        <v>154</v>
      </c>
      <c r="X535" s="7" t="s">
        <v>1751</v>
      </c>
      <c r="Y535" s="10">
        <f t="shared" si="17"/>
        <v>11733</v>
      </c>
      <c r="AH535" s="5" t="e">
        <f>VLOOKUP(B535,[1]DL!$BK:$BP,6,0)</f>
        <v>#N/A</v>
      </c>
    </row>
    <row r="536" spans="1:34" ht="14.5" hidden="1">
      <c r="A536" s="5">
        <v>533</v>
      </c>
      <c r="B536" s="5" t="str">
        <f t="shared" si="16"/>
        <v>09AABCG4768K1Z5GPI-GOK260501191</v>
      </c>
      <c r="C536" s="1" t="s">
        <v>924</v>
      </c>
      <c r="D536" s="1" t="s">
        <v>925</v>
      </c>
      <c r="E536" s="1" t="s">
        <v>1020</v>
      </c>
      <c r="F536" s="1" t="s">
        <v>24</v>
      </c>
      <c r="G536" s="1" t="s">
        <v>76</v>
      </c>
      <c r="H536" s="2">
        <v>5137922.6399999997</v>
      </c>
      <c r="I536" s="1" t="s">
        <v>44</v>
      </c>
      <c r="J536" s="3" t="s">
        <v>27</v>
      </c>
      <c r="K536" s="2">
        <v>3270494.08</v>
      </c>
      <c r="L536" s="2">
        <v>1867428.56</v>
      </c>
      <c r="M536" s="2">
        <v>0</v>
      </c>
      <c r="N536" s="2">
        <v>0</v>
      </c>
      <c r="O536" s="2">
        <v>0</v>
      </c>
      <c r="P536" s="7" t="s">
        <v>28</v>
      </c>
      <c r="Q536" s="1" t="s">
        <v>29</v>
      </c>
      <c r="R536" s="3" t="s">
        <v>45</v>
      </c>
      <c r="S536" s="1" t="s">
        <v>46</v>
      </c>
      <c r="T536" s="4" t="s">
        <v>31</v>
      </c>
      <c r="U536" s="7" t="s">
        <v>32</v>
      </c>
      <c r="V536" s="7" t="s">
        <v>1021</v>
      </c>
      <c r="W536" s="7" t="s">
        <v>76</v>
      </c>
      <c r="X536" s="7" t="s">
        <v>1751</v>
      </c>
      <c r="Y536" s="10">
        <f t="shared" si="17"/>
        <v>1867428.5600000001</v>
      </c>
      <c r="AH536" s="5" t="e">
        <f>VLOOKUP(B536,[1]DL!$BK:$BP,6,0)</f>
        <v>#N/A</v>
      </c>
    </row>
    <row r="537" spans="1:34" ht="14.5" hidden="1">
      <c r="A537" s="5">
        <v>534</v>
      </c>
      <c r="B537" s="5" t="str">
        <f t="shared" si="16"/>
        <v>07AAACC4175D1Z0DLS2627000000031</v>
      </c>
      <c r="C537" s="1" t="s">
        <v>1022</v>
      </c>
      <c r="D537" s="1" t="s">
        <v>1023</v>
      </c>
      <c r="E537" s="1" t="s">
        <v>1024</v>
      </c>
      <c r="F537" s="1" t="s">
        <v>24</v>
      </c>
      <c r="G537" s="1" t="s">
        <v>302</v>
      </c>
      <c r="H537" s="2">
        <v>947.67</v>
      </c>
      <c r="I537" s="1" t="s">
        <v>44</v>
      </c>
      <c r="J537" s="3" t="s">
        <v>27</v>
      </c>
      <c r="K537" s="2">
        <v>803.11</v>
      </c>
      <c r="L537" s="2">
        <v>0</v>
      </c>
      <c r="M537" s="2">
        <v>72.28</v>
      </c>
      <c r="N537" s="2">
        <v>72.28</v>
      </c>
      <c r="O537" s="2">
        <v>0</v>
      </c>
      <c r="P537" s="7" t="s">
        <v>28</v>
      </c>
      <c r="Q537" s="1" t="s">
        <v>120</v>
      </c>
      <c r="R537" s="3" t="s">
        <v>45</v>
      </c>
      <c r="S537" s="1" t="s">
        <v>46</v>
      </c>
      <c r="T537" s="4" t="s">
        <v>31</v>
      </c>
      <c r="U537" s="7" t="s">
        <v>46</v>
      </c>
      <c r="V537" s="7" t="s">
        <v>46</v>
      </c>
      <c r="W537" s="7" t="s">
        <v>46</v>
      </c>
      <c r="X537" s="7" t="s">
        <v>1751</v>
      </c>
      <c r="Y537" s="10">
        <f t="shared" si="17"/>
        <v>144.56</v>
      </c>
      <c r="AH537" s="5" t="e">
        <f>VLOOKUP(B537,[1]DL!$BK:$BP,6,0)</f>
        <v>#N/A</v>
      </c>
    </row>
    <row r="538" spans="1:34" ht="14.5">
      <c r="A538" s="5">
        <v>535</v>
      </c>
      <c r="B538" s="5" t="str">
        <f t="shared" si="16"/>
        <v>07AAACC4175D1Z0DLS2627000000119</v>
      </c>
      <c r="C538" s="1" t="s">
        <v>1022</v>
      </c>
      <c r="D538" s="1" t="s">
        <v>1023</v>
      </c>
      <c r="E538" s="1" t="s">
        <v>1025</v>
      </c>
      <c r="F538" s="1" t="s">
        <v>24</v>
      </c>
      <c r="G538" s="1" t="s">
        <v>302</v>
      </c>
      <c r="H538" s="2">
        <v>4417.3900000000003</v>
      </c>
      <c r="I538" s="1" t="s">
        <v>44</v>
      </c>
      <c r="J538" s="3" t="s">
        <v>27</v>
      </c>
      <c r="K538" s="2">
        <v>3743.55</v>
      </c>
      <c r="L538" s="2">
        <v>0</v>
      </c>
      <c r="M538" s="2">
        <v>336.92</v>
      </c>
      <c r="N538" s="2">
        <v>336.92</v>
      </c>
      <c r="O538" s="2">
        <v>0</v>
      </c>
      <c r="P538" s="7" t="s">
        <v>28</v>
      </c>
      <c r="Q538" s="1" t="s">
        <v>120</v>
      </c>
      <c r="R538" s="3" t="s">
        <v>45</v>
      </c>
      <c r="S538" s="1" t="s">
        <v>46</v>
      </c>
      <c r="T538" s="4" t="s">
        <v>31</v>
      </c>
      <c r="U538" s="7" t="s">
        <v>46</v>
      </c>
      <c r="V538" s="7" t="s">
        <v>46</v>
      </c>
      <c r="W538" s="7" t="s">
        <v>46</v>
      </c>
      <c r="X538" s="7" t="s">
        <v>1751</v>
      </c>
      <c r="Y538" s="10">
        <f t="shared" si="17"/>
        <v>673.84000000000003</v>
      </c>
      <c r="Z538" s="5">
        <v>9155617</v>
      </c>
      <c r="AA538" s="5" t="s">
        <v>1922</v>
      </c>
      <c r="AB538" s="5" t="s">
        <v>1751</v>
      </c>
      <c r="AC538" s="5" t="s">
        <v>1924</v>
      </c>
      <c r="AE538" s="5" t="s">
        <v>1923</v>
      </c>
      <c r="AH538" s="5">
        <f>VLOOKUP(B538,[1]DL!$BK:$BP,6,0)</f>
        <v>9155617</v>
      </c>
    </row>
    <row r="539" spans="1:34" ht="14.5">
      <c r="A539" s="5">
        <v>536</v>
      </c>
      <c r="B539" s="5" t="str">
        <f t="shared" si="16"/>
        <v>07AAACC4175D1Z0DLS2627000000120</v>
      </c>
      <c r="C539" s="1" t="s">
        <v>1022</v>
      </c>
      <c r="D539" s="1" t="s">
        <v>1023</v>
      </c>
      <c r="E539" s="1" t="s">
        <v>1026</v>
      </c>
      <c r="F539" s="1" t="s">
        <v>24</v>
      </c>
      <c r="G539" s="1" t="s">
        <v>302</v>
      </c>
      <c r="H539" s="2">
        <v>2144.06</v>
      </c>
      <c r="I539" s="1" t="s">
        <v>44</v>
      </c>
      <c r="J539" s="3" t="s">
        <v>27</v>
      </c>
      <c r="K539" s="2">
        <v>1817</v>
      </c>
      <c r="L539" s="2">
        <v>0</v>
      </c>
      <c r="M539" s="2">
        <v>163.53</v>
      </c>
      <c r="N539" s="2">
        <v>163.53</v>
      </c>
      <c r="O539" s="2">
        <v>0</v>
      </c>
      <c r="P539" s="7" t="s">
        <v>28</v>
      </c>
      <c r="Q539" s="1" t="s">
        <v>120</v>
      </c>
      <c r="R539" s="3" t="s">
        <v>45</v>
      </c>
      <c r="S539" s="1" t="s">
        <v>46</v>
      </c>
      <c r="T539" s="4" t="s">
        <v>31</v>
      </c>
      <c r="U539" s="7" t="s">
        <v>46</v>
      </c>
      <c r="V539" s="7" t="s">
        <v>46</v>
      </c>
      <c r="W539" s="7" t="s">
        <v>46</v>
      </c>
      <c r="X539" s="7" t="s">
        <v>1751</v>
      </c>
      <c r="Y539" s="10">
        <f t="shared" si="17"/>
        <v>327.06</v>
      </c>
      <c r="Z539" s="5">
        <v>9155611</v>
      </c>
      <c r="AA539" s="5" t="s">
        <v>1922</v>
      </c>
      <c r="AB539" s="5" t="s">
        <v>1751</v>
      </c>
      <c r="AC539" s="5" t="s">
        <v>1924</v>
      </c>
      <c r="AE539" s="5" t="s">
        <v>1923</v>
      </c>
      <c r="AH539" s="5">
        <f>VLOOKUP(B539,[1]DL!$BK:$BP,6,0)</f>
        <v>9155611</v>
      </c>
    </row>
    <row r="540" spans="1:34" ht="14.5">
      <c r="A540" s="5">
        <v>537</v>
      </c>
      <c r="B540" s="5" t="str">
        <f t="shared" si="16"/>
        <v>07AAACC4175D1Z0DLS2627000000348</v>
      </c>
      <c r="C540" s="1" t="s">
        <v>1022</v>
      </c>
      <c r="D540" s="1" t="s">
        <v>1023</v>
      </c>
      <c r="E540" s="1" t="s">
        <v>1027</v>
      </c>
      <c r="F540" s="1" t="s">
        <v>24</v>
      </c>
      <c r="G540" s="1" t="s">
        <v>302</v>
      </c>
      <c r="H540" s="2">
        <v>3400.49</v>
      </c>
      <c r="I540" s="1" t="s">
        <v>44</v>
      </c>
      <c r="J540" s="3" t="s">
        <v>27</v>
      </c>
      <c r="K540" s="2">
        <v>2881.77</v>
      </c>
      <c r="L540" s="2">
        <v>0</v>
      </c>
      <c r="M540" s="2">
        <v>259.36</v>
      </c>
      <c r="N540" s="2">
        <v>259.36</v>
      </c>
      <c r="O540" s="2">
        <v>0</v>
      </c>
      <c r="P540" s="7" t="s">
        <v>28</v>
      </c>
      <c r="Q540" s="1" t="s">
        <v>120</v>
      </c>
      <c r="R540" s="3" t="s">
        <v>45</v>
      </c>
      <c r="S540" s="1" t="s">
        <v>46</v>
      </c>
      <c r="T540" s="4" t="s">
        <v>31</v>
      </c>
      <c r="U540" s="7" t="s">
        <v>46</v>
      </c>
      <c r="V540" s="7" t="s">
        <v>46</v>
      </c>
      <c r="W540" s="7" t="s">
        <v>46</v>
      </c>
      <c r="X540" s="7" t="s">
        <v>1751</v>
      </c>
      <c r="Y540" s="10">
        <f t="shared" si="17"/>
        <v>518.72000000000003</v>
      </c>
      <c r="Z540" s="5">
        <v>9155616</v>
      </c>
      <c r="AA540" s="5" t="s">
        <v>1922</v>
      </c>
      <c r="AB540" s="5" t="s">
        <v>1751</v>
      </c>
      <c r="AC540" s="5" t="s">
        <v>1924</v>
      </c>
      <c r="AE540" s="5" t="s">
        <v>1923</v>
      </c>
      <c r="AH540" s="5">
        <f>VLOOKUP(B540,[1]DL!$BK:$BP,6,0)</f>
        <v>9155616</v>
      </c>
    </row>
    <row r="541" spans="1:34" ht="14.5">
      <c r="A541" s="5">
        <v>538</v>
      </c>
      <c r="B541" s="5" t="str">
        <f t="shared" si="16"/>
        <v>07AAACC4175D1Z0DLS2627000000354</v>
      </c>
      <c r="C541" s="1" t="s">
        <v>1022</v>
      </c>
      <c r="D541" s="1" t="s">
        <v>1023</v>
      </c>
      <c r="E541" s="1" t="s">
        <v>1028</v>
      </c>
      <c r="F541" s="1" t="s">
        <v>24</v>
      </c>
      <c r="G541" s="1" t="s">
        <v>302</v>
      </c>
      <c r="H541" s="2">
        <v>1742.82</v>
      </c>
      <c r="I541" s="1" t="s">
        <v>44</v>
      </c>
      <c r="J541" s="3" t="s">
        <v>27</v>
      </c>
      <c r="K541" s="2">
        <v>1476.96</v>
      </c>
      <c r="L541" s="2">
        <v>0</v>
      </c>
      <c r="M541" s="2">
        <v>132.93</v>
      </c>
      <c r="N541" s="2">
        <v>132.93</v>
      </c>
      <c r="O541" s="2">
        <v>0</v>
      </c>
      <c r="P541" s="7" t="s">
        <v>28</v>
      </c>
      <c r="Q541" s="1" t="s">
        <v>120</v>
      </c>
      <c r="R541" s="3" t="s">
        <v>45</v>
      </c>
      <c r="S541" s="1" t="s">
        <v>46</v>
      </c>
      <c r="T541" s="4" t="s">
        <v>31</v>
      </c>
      <c r="U541" s="7" t="s">
        <v>46</v>
      </c>
      <c r="V541" s="7" t="s">
        <v>46</v>
      </c>
      <c r="W541" s="7" t="s">
        <v>46</v>
      </c>
      <c r="X541" s="7" t="s">
        <v>1751</v>
      </c>
      <c r="Y541" s="10">
        <f t="shared" si="17"/>
        <v>265.86000000000001</v>
      </c>
      <c r="Z541" s="5">
        <v>9155614</v>
      </c>
      <c r="AA541" s="5" t="s">
        <v>1922</v>
      </c>
      <c r="AB541" s="5" t="s">
        <v>1751</v>
      </c>
      <c r="AC541" s="5" t="s">
        <v>1924</v>
      </c>
      <c r="AE541" s="5" t="s">
        <v>1923</v>
      </c>
      <c r="AH541" s="5">
        <f>VLOOKUP(B541,[1]DL!$BK:$BP,6,0)</f>
        <v>9155614</v>
      </c>
    </row>
    <row r="542" spans="1:34" ht="14.5">
      <c r="A542" s="5">
        <v>539</v>
      </c>
      <c r="B542" s="5" t="str">
        <f t="shared" si="16"/>
        <v>07AAACC4175D1Z0DLS2627000000355</v>
      </c>
      <c r="C542" s="1" t="s">
        <v>1022</v>
      </c>
      <c r="D542" s="1" t="s">
        <v>1023</v>
      </c>
      <c r="E542" s="1" t="s">
        <v>1029</v>
      </c>
      <c r="F542" s="1" t="s">
        <v>24</v>
      </c>
      <c r="G542" s="1" t="s">
        <v>302</v>
      </c>
      <c r="H542" s="2">
        <v>2286.16</v>
      </c>
      <c r="I542" s="1" t="s">
        <v>44</v>
      </c>
      <c r="J542" s="3" t="s">
        <v>27</v>
      </c>
      <c r="K542" s="2">
        <v>1937.42</v>
      </c>
      <c r="L542" s="2">
        <v>0</v>
      </c>
      <c r="M542" s="2">
        <v>174.37</v>
      </c>
      <c r="N542" s="2">
        <v>174.37</v>
      </c>
      <c r="O542" s="2">
        <v>0</v>
      </c>
      <c r="P542" s="7" t="s">
        <v>28</v>
      </c>
      <c r="Q542" s="1" t="s">
        <v>120</v>
      </c>
      <c r="R542" s="3" t="s">
        <v>45</v>
      </c>
      <c r="S542" s="1" t="s">
        <v>46</v>
      </c>
      <c r="T542" s="4" t="s">
        <v>31</v>
      </c>
      <c r="U542" s="7" t="s">
        <v>46</v>
      </c>
      <c r="V542" s="7" t="s">
        <v>46</v>
      </c>
      <c r="W542" s="7" t="s">
        <v>46</v>
      </c>
      <c r="X542" s="7" t="s">
        <v>1751</v>
      </c>
      <c r="Y542" s="10">
        <f t="shared" si="17"/>
        <v>348.74000000000001</v>
      </c>
      <c r="Z542" s="5">
        <v>9155612</v>
      </c>
      <c r="AA542" s="5" t="s">
        <v>1922</v>
      </c>
      <c r="AB542" s="5" t="s">
        <v>1751</v>
      </c>
      <c r="AC542" s="5" t="s">
        <v>1924</v>
      </c>
      <c r="AE542" s="5" t="s">
        <v>1923</v>
      </c>
      <c r="AH542" s="5">
        <f>VLOOKUP(B542,[1]DL!$BK:$BP,6,0)</f>
        <v>9155612</v>
      </c>
    </row>
    <row r="543" spans="1:34" ht="14.5">
      <c r="A543" s="5">
        <v>540</v>
      </c>
      <c r="B543" s="5" t="str">
        <f t="shared" si="16"/>
        <v>07AAACC4175D1Z0DLS2627000000590</v>
      </c>
      <c r="C543" s="1" t="s">
        <v>1022</v>
      </c>
      <c r="D543" s="1" t="s">
        <v>1023</v>
      </c>
      <c r="E543" s="1" t="s">
        <v>1030</v>
      </c>
      <c r="F543" s="1" t="s">
        <v>24</v>
      </c>
      <c r="G543" s="1" t="s">
        <v>302</v>
      </c>
      <c r="H543" s="2">
        <v>9312.2199999999993</v>
      </c>
      <c r="I543" s="1" t="s">
        <v>44</v>
      </c>
      <c r="J543" s="3" t="s">
        <v>27</v>
      </c>
      <c r="K543" s="2">
        <v>7891.72</v>
      </c>
      <c r="L543" s="2">
        <v>0</v>
      </c>
      <c r="M543" s="2">
        <v>710.25</v>
      </c>
      <c r="N543" s="2">
        <v>710.25</v>
      </c>
      <c r="O543" s="2">
        <v>0</v>
      </c>
      <c r="P543" s="7" t="s">
        <v>28</v>
      </c>
      <c r="Q543" s="1" t="s">
        <v>120</v>
      </c>
      <c r="R543" s="3" t="s">
        <v>45</v>
      </c>
      <c r="S543" s="1" t="s">
        <v>46</v>
      </c>
      <c r="T543" s="4" t="s">
        <v>31</v>
      </c>
      <c r="U543" s="7" t="s">
        <v>46</v>
      </c>
      <c r="V543" s="7" t="s">
        <v>46</v>
      </c>
      <c r="W543" s="7" t="s">
        <v>46</v>
      </c>
      <c r="X543" s="7" t="s">
        <v>1751</v>
      </c>
      <c r="Y543" s="10">
        <f t="shared" si="17"/>
        <v>1420.5</v>
      </c>
      <c r="Z543" s="5">
        <v>9155609</v>
      </c>
      <c r="AA543" s="5" t="s">
        <v>1922</v>
      </c>
      <c r="AB543" s="5" t="s">
        <v>1751</v>
      </c>
      <c r="AC543" s="5" t="s">
        <v>1924</v>
      </c>
      <c r="AE543" s="5" t="s">
        <v>1923</v>
      </c>
      <c r="AH543" s="5">
        <f>VLOOKUP(B543,[1]DL!$BK:$BP,6,0)</f>
        <v>9155609</v>
      </c>
    </row>
    <row r="544" spans="1:34" ht="14.5">
      <c r="A544" s="5">
        <v>541</v>
      </c>
      <c r="B544" s="5" t="str">
        <f t="shared" si="16"/>
        <v>07AAACC4175D1Z0DLS2627000000593</v>
      </c>
      <c r="C544" s="1" t="s">
        <v>1022</v>
      </c>
      <c r="D544" s="1" t="s">
        <v>1023</v>
      </c>
      <c r="E544" s="1" t="s">
        <v>1031</v>
      </c>
      <c r="F544" s="1" t="s">
        <v>24</v>
      </c>
      <c r="G544" s="1" t="s">
        <v>302</v>
      </c>
      <c r="H544" s="2">
        <v>35279.519999999997</v>
      </c>
      <c r="I544" s="1" t="s">
        <v>44</v>
      </c>
      <c r="J544" s="3" t="s">
        <v>27</v>
      </c>
      <c r="K544" s="2">
        <v>29897.90</v>
      </c>
      <c r="L544" s="2">
        <v>0</v>
      </c>
      <c r="M544" s="2">
        <v>2690.81</v>
      </c>
      <c r="N544" s="2">
        <v>2690.81</v>
      </c>
      <c r="O544" s="2">
        <v>0</v>
      </c>
      <c r="P544" s="7" t="s">
        <v>28</v>
      </c>
      <c r="Q544" s="1" t="s">
        <v>120</v>
      </c>
      <c r="R544" s="3" t="s">
        <v>45</v>
      </c>
      <c r="S544" s="1" t="s">
        <v>46</v>
      </c>
      <c r="T544" s="4" t="s">
        <v>31</v>
      </c>
      <c r="U544" s="7" t="s">
        <v>46</v>
      </c>
      <c r="V544" s="7" t="s">
        <v>46</v>
      </c>
      <c r="W544" s="7" t="s">
        <v>46</v>
      </c>
      <c r="X544" s="7" t="s">
        <v>1751</v>
      </c>
      <c r="Y544" s="10">
        <f t="shared" si="17"/>
        <v>5381.6199999999999</v>
      </c>
      <c r="Z544" s="5">
        <v>9155613</v>
      </c>
      <c r="AA544" s="5" t="s">
        <v>1922</v>
      </c>
      <c r="AB544" s="5" t="s">
        <v>1751</v>
      </c>
      <c r="AC544" s="5" t="s">
        <v>1924</v>
      </c>
      <c r="AE544" s="5" t="s">
        <v>1923</v>
      </c>
      <c r="AH544" s="5">
        <f>VLOOKUP(B544,[1]DL!$BK:$BP,6,0)</f>
        <v>9155613</v>
      </c>
    </row>
    <row r="545" spans="1:34" ht="14.5">
      <c r="A545" s="5">
        <v>542</v>
      </c>
      <c r="B545" s="5" t="str">
        <f t="shared" si="16"/>
        <v>07AAACC4175D1Z0DLS2627000000641</v>
      </c>
      <c r="C545" s="1" t="s">
        <v>1022</v>
      </c>
      <c r="D545" s="1" t="s">
        <v>1023</v>
      </c>
      <c r="E545" s="1" t="s">
        <v>1032</v>
      </c>
      <c r="F545" s="1" t="s">
        <v>24</v>
      </c>
      <c r="G545" s="1" t="s">
        <v>302</v>
      </c>
      <c r="H545" s="2">
        <v>35013.97</v>
      </c>
      <c r="I545" s="1" t="s">
        <v>44</v>
      </c>
      <c r="J545" s="3" t="s">
        <v>27</v>
      </c>
      <c r="K545" s="2">
        <v>29672.85</v>
      </c>
      <c r="L545" s="2">
        <v>0</v>
      </c>
      <c r="M545" s="2">
        <v>2670.56</v>
      </c>
      <c r="N545" s="2">
        <v>2670.56</v>
      </c>
      <c r="O545" s="2">
        <v>0</v>
      </c>
      <c r="P545" s="7" t="s">
        <v>28</v>
      </c>
      <c r="Q545" s="1" t="s">
        <v>120</v>
      </c>
      <c r="R545" s="3" t="s">
        <v>45</v>
      </c>
      <c r="S545" s="1" t="s">
        <v>46</v>
      </c>
      <c r="T545" s="4" t="s">
        <v>31</v>
      </c>
      <c r="U545" s="7" t="s">
        <v>46</v>
      </c>
      <c r="V545" s="7" t="s">
        <v>46</v>
      </c>
      <c r="W545" s="7" t="s">
        <v>46</v>
      </c>
      <c r="X545" s="7" t="s">
        <v>1751</v>
      </c>
      <c r="Y545" s="10">
        <f t="shared" si="17"/>
        <v>5341.1199999999999</v>
      </c>
      <c r="Z545" s="5">
        <v>9155619</v>
      </c>
      <c r="AA545" s="5" t="s">
        <v>1922</v>
      </c>
      <c r="AB545" s="5" t="s">
        <v>1751</v>
      </c>
      <c r="AC545" s="5" t="s">
        <v>1924</v>
      </c>
      <c r="AE545" s="5" t="s">
        <v>1923</v>
      </c>
      <c r="AH545" s="5">
        <f>VLOOKUP(B545,[1]DL!$BK:$BP,6,0)</f>
        <v>9155619</v>
      </c>
    </row>
    <row r="546" spans="1:34" ht="14.5">
      <c r="A546" s="5">
        <v>543</v>
      </c>
      <c r="B546" s="5" t="str">
        <f t="shared" si="16"/>
        <v>07AAACC4175D1Z0DLS2627000000642</v>
      </c>
      <c r="C546" s="1" t="s">
        <v>1022</v>
      </c>
      <c r="D546" s="1" t="s">
        <v>1023</v>
      </c>
      <c r="E546" s="1" t="s">
        <v>1033</v>
      </c>
      <c r="F546" s="1" t="s">
        <v>24</v>
      </c>
      <c r="G546" s="1" t="s">
        <v>302</v>
      </c>
      <c r="H546" s="2">
        <v>5507.36</v>
      </c>
      <c r="I546" s="1" t="s">
        <v>44</v>
      </c>
      <c r="J546" s="3" t="s">
        <v>27</v>
      </c>
      <c r="K546" s="2">
        <v>4667.26</v>
      </c>
      <c r="L546" s="2">
        <v>0</v>
      </c>
      <c r="M546" s="2">
        <v>420.05</v>
      </c>
      <c r="N546" s="2">
        <v>420.05</v>
      </c>
      <c r="O546" s="2">
        <v>0</v>
      </c>
      <c r="P546" s="7" t="s">
        <v>28</v>
      </c>
      <c r="Q546" s="1" t="s">
        <v>120</v>
      </c>
      <c r="R546" s="3" t="s">
        <v>45</v>
      </c>
      <c r="S546" s="1" t="s">
        <v>46</v>
      </c>
      <c r="T546" s="4" t="s">
        <v>31</v>
      </c>
      <c r="U546" s="7" t="s">
        <v>46</v>
      </c>
      <c r="V546" s="7" t="s">
        <v>46</v>
      </c>
      <c r="W546" s="7" t="s">
        <v>46</v>
      </c>
      <c r="X546" s="7" t="s">
        <v>1751</v>
      </c>
      <c r="Y546" s="10">
        <f t="shared" si="17"/>
        <v>840.10000000000002</v>
      </c>
      <c r="Z546" s="5">
        <v>9155618</v>
      </c>
      <c r="AA546" s="5" t="s">
        <v>1922</v>
      </c>
      <c r="AB546" s="5" t="s">
        <v>1751</v>
      </c>
      <c r="AC546" s="5" t="s">
        <v>1924</v>
      </c>
      <c r="AE546" s="5" t="s">
        <v>1923</v>
      </c>
      <c r="AH546" s="5">
        <f>VLOOKUP(B546,[1]DL!$BK:$BP,6,0)</f>
        <v>9155618</v>
      </c>
    </row>
    <row r="547" spans="1:34" ht="14.5">
      <c r="A547" s="5">
        <v>544</v>
      </c>
      <c r="B547" s="5" t="str">
        <f t="shared" si="16"/>
        <v>07AAACC4175D1Z0DLS2627000000643</v>
      </c>
      <c r="C547" s="1" t="s">
        <v>1022</v>
      </c>
      <c r="D547" s="1" t="s">
        <v>1023</v>
      </c>
      <c r="E547" s="1" t="s">
        <v>1034</v>
      </c>
      <c r="F547" s="1" t="s">
        <v>24</v>
      </c>
      <c r="G547" s="1" t="s">
        <v>302</v>
      </c>
      <c r="H547" s="2">
        <v>16838.580000000002</v>
      </c>
      <c r="I547" s="1" t="s">
        <v>44</v>
      </c>
      <c r="J547" s="3" t="s">
        <v>27</v>
      </c>
      <c r="K547" s="2">
        <v>14269.98</v>
      </c>
      <c r="L547" s="2">
        <v>0</v>
      </c>
      <c r="M547" s="2">
        <v>1284.30</v>
      </c>
      <c r="N547" s="2">
        <v>1284.30</v>
      </c>
      <c r="O547" s="2">
        <v>0</v>
      </c>
      <c r="P547" s="7" t="s">
        <v>28</v>
      </c>
      <c r="Q547" s="1" t="s">
        <v>120</v>
      </c>
      <c r="R547" s="3" t="s">
        <v>45</v>
      </c>
      <c r="S547" s="1" t="s">
        <v>46</v>
      </c>
      <c r="T547" s="4" t="s">
        <v>31</v>
      </c>
      <c r="U547" s="7" t="s">
        <v>46</v>
      </c>
      <c r="V547" s="7" t="s">
        <v>46</v>
      </c>
      <c r="W547" s="7" t="s">
        <v>46</v>
      </c>
      <c r="X547" s="7" t="s">
        <v>1751</v>
      </c>
      <c r="Y547" s="10">
        <f t="shared" si="17"/>
        <v>2568.5999999999999</v>
      </c>
      <c r="Z547" s="5">
        <v>9155607</v>
      </c>
      <c r="AA547" s="5" t="s">
        <v>1922</v>
      </c>
      <c r="AB547" s="5" t="s">
        <v>1751</v>
      </c>
      <c r="AC547" s="5" t="s">
        <v>1924</v>
      </c>
      <c r="AE547" s="5" t="s">
        <v>1923</v>
      </c>
      <c r="AH547" s="5">
        <f>VLOOKUP(B547,[1]DL!$BK:$BP,6,0)</f>
        <v>9155607</v>
      </c>
    </row>
    <row r="548" spans="1:34" ht="14.5">
      <c r="A548" s="5">
        <v>545</v>
      </c>
      <c r="B548" s="5" t="str">
        <f t="shared" si="16"/>
        <v>07AAACC4175D1Z0DLS2627000000644</v>
      </c>
      <c r="C548" s="1" t="s">
        <v>1022</v>
      </c>
      <c r="D548" s="1" t="s">
        <v>1023</v>
      </c>
      <c r="E548" s="1" t="s">
        <v>1035</v>
      </c>
      <c r="F548" s="1" t="s">
        <v>24</v>
      </c>
      <c r="G548" s="1" t="s">
        <v>302</v>
      </c>
      <c r="H548" s="2">
        <v>12283.31</v>
      </c>
      <c r="I548" s="1" t="s">
        <v>44</v>
      </c>
      <c r="J548" s="3" t="s">
        <v>27</v>
      </c>
      <c r="K548" s="2">
        <v>10409.59</v>
      </c>
      <c r="L548" s="2">
        <v>0</v>
      </c>
      <c r="M548" s="2">
        <v>936.86</v>
      </c>
      <c r="N548" s="2">
        <v>936.86</v>
      </c>
      <c r="O548" s="2">
        <v>0</v>
      </c>
      <c r="P548" s="7" t="s">
        <v>28</v>
      </c>
      <c r="Q548" s="1" t="s">
        <v>120</v>
      </c>
      <c r="R548" s="3" t="s">
        <v>45</v>
      </c>
      <c r="S548" s="1" t="s">
        <v>46</v>
      </c>
      <c r="T548" s="4" t="s">
        <v>31</v>
      </c>
      <c r="U548" s="7" t="s">
        <v>46</v>
      </c>
      <c r="V548" s="7" t="s">
        <v>46</v>
      </c>
      <c r="W548" s="7" t="s">
        <v>46</v>
      </c>
      <c r="X548" s="7" t="s">
        <v>1751</v>
      </c>
      <c r="Y548" s="10">
        <f t="shared" si="17"/>
        <v>1873.72</v>
      </c>
      <c r="Z548" s="5">
        <v>9155608</v>
      </c>
      <c r="AA548" s="5" t="s">
        <v>1922</v>
      </c>
      <c r="AB548" s="5" t="s">
        <v>1751</v>
      </c>
      <c r="AC548" s="5" t="s">
        <v>1924</v>
      </c>
      <c r="AE548" s="5" t="s">
        <v>1923</v>
      </c>
      <c r="AH548" s="5">
        <f>VLOOKUP(B548,[1]DL!$BK:$BP,6,0)</f>
        <v>9155608</v>
      </c>
    </row>
    <row r="549" spans="1:34" ht="14.5">
      <c r="A549" s="5">
        <v>546</v>
      </c>
      <c r="B549" s="5" t="str">
        <f t="shared" si="16"/>
        <v>07AAACC4175D1Z0DLS2627000000653</v>
      </c>
      <c r="C549" s="1" t="s">
        <v>1022</v>
      </c>
      <c r="D549" s="1" t="s">
        <v>1023</v>
      </c>
      <c r="E549" s="1" t="s">
        <v>1036</v>
      </c>
      <c r="F549" s="1" t="s">
        <v>24</v>
      </c>
      <c r="G549" s="1" t="s">
        <v>302</v>
      </c>
      <c r="H549" s="2">
        <v>3206.84</v>
      </c>
      <c r="I549" s="1" t="s">
        <v>44</v>
      </c>
      <c r="J549" s="3" t="s">
        <v>27</v>
      </c>
      <c r="K549" s="2">
        <v>2717.66</v>
      </c>
      <c r="L549" s="2">
        <v>0</v>
      </c>
      <c r="M549" s="2">
        <v>244.59</v>
      </c>
      <c r="N549" s="2">
        <v>244.59</v>
      </c>
      <c r="O549" s="2">
        <v>0</v>
      </c>
      <c r="P549" s="7" t="s">
        <v>28</v>
      </c>
      <c r="Q549" s="1" t="s">
        <v>120</v>
      </c>
      <c r="R549" s="3" t="s">
        <v>45</v>
      </c>
      <c r="S549" s="1" t="s">
        <v>46</v>
      </c>
      <c r="T549" s="4" t="s">
        <v>31</v>
      </c>
      <c r="U549" s="7" t="s">
        <v>46</v>
      </c>
      <c r="V549" s="7" t="s">
        <v>46</v>
      </c>
      <c r="W549" s="7" t="s">
        <v>46</v>
      </c>
      <c r="X549" s="7" t="s">
        <v>1751</v>
      </c>
      <c r="Y549" s="10">
        <f t="shared" si="17"/>
        <v>489.18000000000001</v>
      </c>
      <c r="Z549" s="5">
        <v>9155610</v>
      </c>
      <c r="AA549" s="5" t="s">
        <v>1922</v>
      </c>
      <c r="AB549" s="5" t="s">
        <v>1751</v>
      </c>
      <c r="AC549" s="5" t="s">
        <v>1924</v>
      </c>
      <c r="AE549" s="5" t="s">
        <v>1923</v>
      </c>
      <c r="AH549" s="5">
        <f>VLOOKUP(B549,[1]DL!$BK:$BP,6,0)</f>
        <v>9155610</v>
      </c>
    </row>
    <row r="550" spans="1:34" ht="14.5">
      <c r="A550" s="5">
        <v>547</v>
      </c>
      <c r="B550" s="5" t="str">
        <f t="shared" si="16"/>
        <v>07AAACC4175D1Z0DLS2627000000660</v>
      </c>
      <c r="C550" s="1" t="s">
        <v>1022</v>
      </c>
      <c r="D550" s="1" t="s">
        <v>1023</v>
      </c>
      <c r="E550" s="1" t="s">
        <v>1037</v>
      </c>
      <c r="F550" s="1" t="s">
        <v>24</v>
      </c>
      <c r="G550" s="1" t="s">
        <v>302</v>
      </c>
      <c r="H550" s="2">
        <v>7367.37</v>
      </c>
      <c r="I550" s="1" t="s">
        <v>44</v>
      </c>
      <c r="J550" s="3" t="s">
        <v>27</v>
      </c>
      <c r="K550" s="2">
        <v>6243.53</v>
      </c>
      <c r="L550" s="2">
        <v>0</v>
      </c>
      <c r="M550" s="2">
        <v>561.91999999999996</v>
      </c>
      <c r="N550" s="2">
        <v>561.91999999999996</v>
      </c>
      <c r="O550" s="2">
        <v>0</v>
      </c>
      <c r="P550" s="7" t="s">
        <v>28</v>
      </c>
      <c r="Q550" s="1" t="s">
        <v>120</v>
      </c>
      <c r="R550" s="3" t="s">
        <v>45</v>
      </c>
      <c r="S550" s="1" t="s">
        <v>46</v>
      </c>
      <c r="T550" s="4" t="s">
        <v>31</v>
      </c>
      <c r="U550" s="7" t="s">
        <v>46</v>
      </c>
      <c r="V550" s="7" t="s">
        <v>46</v>
      </c>
      <c r="W550" s="7" t="s">
        <v>46</v>
      </c>
      <c r="X550" s="7" t="s">
        <v>1751</v>
      </c>
      <c r="Y550" s="10">
        <f t="shared" si="17"/>
        <v>1123.8399999999999</v>
      </c>
      <c r="Z550" s="5">
        <v>9155615</v>
      </c>
      <c r="AA550" s="5" t="s">
        <v>1922</v>
      </c>
      <c r="AB550" s="5" t="s">
        <v>1751</v>
      </c>
      <c r="AC550" s="5" t="s">
        <v>1924</v>
      </c>
      <c r="AE550" s="5" t="s">
        <v>1923</v>
      </c>
      <c r="AH550" s="5">
        <f>VLOOKUP(B550,[1]DL!$BK:$BP,6,0)</f>
        <v>9155615</v>
      </c>
    </row>
    <row r="551" spans="1:34" ht="14.5" hidden="1">
      <c r="A551" s="5">
        <v>548</v>
      </c>
      <c r="B551" s="5" t="str">
        <f t="shared" si="16"/>
        <v>07CALPG9182J1Z6CIG/MAR26/142</v>
      </c>
      <c r="C551" s="1" t="s">
        <v>1038</v>
      </c>
      <c r="D551" s="1" t="s">
        <v>1039</v>
      </c>
      <c r="E551" s="1" t="s">
        <v>1040</v>
      </c>
      <c r="F551" s="1" t="s">
        <v>24</v>
      </c>
      <c r="G551" s="1" t="s">
        <v>250</v>
      </c>
      <c r="H551" s="2">
        <v>99061</v>
      </c>
      <c r="I551" s="1" t="s">
        <v>44</v>
      </c>
      <c r="J551" s="3" t="s">
        <v>27</v>
      </c>
      <c r="K551" s="2">
        <v>83950</v>
      </c>
      <c r="L551" s="2">
        <v>0</v>
      </c>
      <c r="M551" s="2">
        <v>7555.5</v>
      </c>
      <c r="N551" s="2">
        <v>7555.5</v>
      </c>
      <c r="O551" s="2">
        <v>0</v>
      </c>
      <c r="P551" s="7" t="s">
        <v>203</v>
      </c>
      <c r="Q551" s="1" t="s">
        <v>76</v>
      </c>
      <c r="R551" s="3" t="s">
        <v>45</v>
      </c>
      <c r="S551" s="1" t="s">
        <v>46</v>
      </c>
      <c r="T551" s="4" t="s">
        <v>31</v>
      </c>
      <c r="U551" s="7" t="s">
        <v>32</v>
      </c>
      <c r="V551" s="7" t="s">
        <v>1041</v>
      </c>
      <c r="W551" s="7" t="s">
        <v>250</v>
      </c>
      <c r="X551" s="7" t="s">
        <v>1751</v>
      </c>
      <c r="Y551" s="10">
        <f t="shared" si="17"/>
        <v>15111</v>
      </c>
      <c r="AH551" s="5" t="e">
        <f>VLOOKUP(B551,[1]DL!$BK:$BP,6,0)</f>
        <v>#N/A</v>
      </c>
    </row>
    <row r="552" spans="1:34" ht="14.5" hidden="1">
      <c r="A552" s="5">
        <v>549</v>
      </c>
      <c r="B552" s="5" t="str">
        <f t="shared" si="16"/>
        <v>07CALPG9182J1Z6CIG/MAR26/143</v>
      </c>
      <c r="C552" s="1" t="s">
        <v>1038</v>
      </c>
      <c r="D552" s="1" t="s">
        <v>1039</v>
      </c>
      <c r="E552" s="1" t="s">
        <v>1042</v>
      </c>
      <c r="F552" s="1" t="s">
        <v>24</v>
      </c>
      <c r="G552" s="1" t="s">
        <v>250</v>
      </c>
      <c r="H552" s="2">
        <v>99384.32</v>
      </c>
      <c r="I552" s="1" t="s">
        <v>44</v>
      </c>
      <c r="J552" s="3" t="s">
        <v>27</v>
      </c>
      <c r="K552" s="2">
        <v>84224</v>
      </c>
      <c r="L552" s="2">
        <v>0</v>
      </c>
      <c r="M552" s="2">
        <v>7580.16</v>
      </c>
      <c r="N552" s="2">
        <v>7580.16</v>
      </c>
      <c r="O552" s="2">
        <v>0</v>
      </c>
      <c r="P552" s="7" t="s">
        <v>203</v>
      </c>
      <c r="Q552" s="1" t="s">
        <v>76</v>
      </c>
      <c r="R552" s="3" t="s">
        <v>45</v>
      </c>
      <c r="S552" s="1" t="s">
        <v>46</v>
      </c>
      <c r="T552" s="4" t="s">
        <v>31</v>
      </c>
      <c r="U552" s="7" t="s">
        <v>32</v>
      </c>
      <c r="V552" s="7" t="s">
        <v>1043</v>
      </c>
      <c r="W552" s="7" t="s">
        <v>250</v>
      </c>
      <c r="X552" s="7" t="s">
        <v>1751</v>
      </c>
      <c r="Y552" s="10">
        <f t="shared" si="17"/>
        <v>15160.32</v>
      </c>
      <c r="AH552" s="5" t="e">
        <f>VLOOKUP(B552,[1]DL!$BK:$BP,6,0)</f>
        <v>#N/A</v>
      </c>
    </row>
    <row r="553" spans="1:34" ht="14.5" hidden="1">
      <c r="A553" s="5">
        <v>550</v>
      </c>
      <c r="B553" s="5" t="str">
        <f t="shared" si="16"/>
        <v>07CALPG9182J1Z6CIG/MAR26/144</v>
      </c>
      <c r="C553" s="1" t="s">
        <v>1038</v>
      </c>
      <c r="D553" s="1" t="s">
        <v>1039</v>
      </c>
      <c r="E553" s="1" t="s">
        <v>1044</v>
      </c>
      <c r="F553" s="1" t="s">
        <v>24</v>
      </c>
      <c r="G553" s="1" t="s">
        <v>250</v>
      </c>
      <c r="H553" s="2">
        <v>11800</v>
      </c>
      <c r="I553" s="1" t="s">
        <v>44</v>
      </c>
      <c r="J553" s="3" t="s">
        <v>27</v>
      </c>
      <c r="K553" s="2">
        <v>10000</v>
      </c>
      <c r="L553" s="2">
        <v>0</v>
      </c>
      <c r="M553" s="2">
        <v>900</v>
      </c>
      <c r="N553" s="2">
        <v>900</v>
      </c>
      <c r="O553" s="2">
        <v>0</v>
      </c>
      <c r="P553" s="7" t="s">
        <v>203</v>
      </c>
      <c r="Q553" s="1" t="s">
        <v>76</v>
      </c>
      <c r="R553" s="3" t="s">
        <v>45</v>
      </c>
      <c r="S553" s="1" t="s">
        <v>46</v>
      </c>
      <c r="T553" s="4" t="s">
        <v>31</v>
      </c>
      <c r="U553" s="7" t="s">
        <v>32</v>
      </c>
      <c r="V553" s="7" t="s">
        <v>1045</v>
      </c>
      <c r="W553" s="7" t="s">
        <v>250</v>
      </c>
      <c r="X553" s="7" t="s">
        <v>1751</v>
      </c>
      <c r="Y553" s="10">
        <f t="shared" si="17"/>
        <v>1800</v>
      </c>
      <c r="AH553" s="5" t="e">
        <f>VLOOKUP(B553,[1]DL!$BK:$BP,6,0)</f>
        <v>#N/A</v>
      </c>
    </row>
    <row r="554" spans="1:34" ht="14.5" hidden="1">
      <c r="A554" s="5">
        <v>551</v>
      </c>
      <c r="B554" s="5" t="str">
        <f t="shared" si="16"/>
        <v>07CALPG9182J1Z6CIG/MAR26/145</v>
      </c>
      <c r="C554" s="1" t="s">
        <v>1038</v>
      </c>
      <c r="D554" s="1" t="s">
        <v>1039</v>
      </c>
      <c r="E554" s="1" t="s">
        <v>1046</v>
      </c>
      <c r="F554" s="1" t="s">
        <v>24</v>
      </c>
      <c r="G554" s="1" t="s">
        <v>250</v>
      </c>
      <c r="H554" s="2">
        <v>9086</v>
      </c>
      <c r="I554" s="1" t="s">
        <v>44</v>
      </c>
      <c r="J554" s="3" t="s">
        <v>27</v>
      </c>
      <c r="K554" s="2">
        <v>7700</v>
      </c>
      <c r="L554" s="2">
        <v>0</v>
      </c>
      <c r="M554" s="2">
        <v>693</v>
      </c>
      <c r="N554" s="2">
        <v>693</v>
      </c>
      <c r="O554" s="2">
        <v>0</v>
      </c>
      <c r="P554" s="7" t="s">
        <v>203</v>
      </c>
      <c r="Q554" s="1" t="s">
        <v>76</v>
      </c>
      <c r="R554" s="3" t="s">
        <v>45</v>
      </c>
      <c r="S554" s="1" t="s">
        <v>46</v>
      </c>
      <c r="T554" s="4" t="s">
        <v>31</v>
      </c>
      <c r="U554" s="7" t="s">
        <v>32</v>
      </c>
      <c r="V554" s="7" t="s">
        <v>1047</v>
      </c>
      <c r="W554" s="7" t="s">
        <v>250</v>
      </c>
      <c r="X554" s="7" t="s">
        <v>1751</v>
      </c>
      <c r="Y554" s="10">
        <f t="shared" si="17"/>
        <v>1386</v>
      </c>
      <c r="AH554" s="5" t="e">
        <f>VLOOKUP(B554,[1]DL!$BK:$BP,6,0)</f>
        <v>#N/A</v>
      </c>
    </row>
    <row r="555" spans="1:34" ht="14.5" hidden="1">
      <c r="A555" s="5">
        <v>552</v>
      </c>
      <c r="B555" s="5" t="str">
        <f t="shared" si="16"/>
        <v>07CALPG9182J1Z6CIG/MAR26/146</v>
      </c>
      <c r="C555" s="1" t="s">
        <v>1038</v>
      </c>
      <c r="D555" s="1" t="s">
        <v>1039</v>
      </c>
      <c r="E555" s="1" t="s">
        <v>1048</v>
      </c>
      <c r="F555" s="1" t="s">
        <v>24</v>
      </c>
      <c r="G555" s="1" t="s">
        <v>250</v>
      </c>
      <c r="H555" s="2">
        <v>20060</v>
      </c>
      <c r="I555" s="1" t="s">
        <v>44</v>
      </c>
      <c r="J555" s="3" t="s">
        <v>27</v>
      </c>
      <c r="K555" s="2">
        <v>17000</v>
      </c>
      <c r="L555" s="2">
        <v>0</v>
      </c>
      <c r="M555" s="2">
        <v>1530</v>
      </c>
      <c r="N555" s="2">
        <v>1530</v>
      </c>
      <c r="O555" s="2">
        <v>0</v>
      </c>
      <c r="P555" s="7" t="s">
        <v>203</v>
      </c>
      <c r="Q555" s="1" t="s">
        <v>76</v>
      </c>
      <c r="R555" s="3" t="s">
        <v>45</v>
      </c>
      <c r="S555" s="1" t="s">
        <v>46</v>
      </c>
      <c r="T555" s="4" t="s">
        <v>31</v>
      </c>
      <c r="U555" s="7" t="s">
        <v>32</v>
      </c>
      <c r="V555" s="7" t="s">
        <v>1049</v>
      </c>
      <c r="W555" s="7" t="s">
        <v>250</v>
      </c>
      <c r="X555" s="7" t="s">
        <v>1751</v>
      </c>
      <c r="Y555" s="10">
        <f t="shared" si="17"/>
        <v>3060</v>
      </c>
      <c r="AH555" s="5" t="e">
        <f>VLOOKUP(B555,[1]DL!$BK:$BP,6,0)</f>
        <v>#N/A</v>
      </c>
    </row>
    <row r="556" spans="1:34" ht="14.5" hidden="1">
      <c r="A556" s="5">
        <v>553</v>
      </c>
      <c r="B556" s="5" t="str">
        <f t="shared" si="16"/>
        <v>07CALPG9182J1Z6CIG/MAR26/147</v>
      </c>
      <c r="C556" s="1" t="s">
        <v>1038</v>
      </c>
      <c r="D556" s="1" t="s">
        <v>1039</v>
      </c>
      <c r="E556" s="1" t="s">
        <v>1050</v>
      </c>
      <c r="F556" s="1" t="s">
        <v>24</v>
      </c>
      <c r="G556" s="1" t="s">
        <v>250</v>
      </c>
      <c r="H556" s="2">
        <v>6490</v>
      </c>
      <c r="I556" s="1" t="s">
        <v>44</v>
      </c>
      <c r="J556" s="3" t="s">
        <v>27</v>
      </c>
      <c r="K556" s="2">
        <v>5500</v>
      </c>
      <c r="L556" s="2">
        <v>0</v>
      </c>
      <c r="M556" s="2">
        <v>495</v>
      </c>
      <c r="N556" s="2">
        <v>495</v>
      </c>
      <c r="O556" s="2">
        <v>0</v>
      </c>
      <c r="P556" s="7" t="s">
        <v>203</v>
      </c>
      <c r="Q556" s="1" t="s">
        <v>76</v>
      </c>
      <c r="R556" s="3" t="s">
        <v>45</v>
      </c>
      <c r="S556" s="1" t="s">
        <v>46</v>
      </c>
      <c r="T556" s="4" t="s">
        <v>31</v>
      </c>
      <c r="U556" s="7" t="s">
        <v>32</v>
      </c>
      <c r="V556" s="7" t="s">
        <v>1051</v>
      </c>
      <c r="W556" s="7" t="s">
        <v>250</v>
      </c>
      <c r="X556" s="7" t="s">
        <v>1751</v>
      </c>
      <c r="Y556" s="10">
        <f t="shared" si="17"/>
        <v>990</v>
      </c>
      <c r="AH556" s="5" t="e">
        <f>VLOOKUP(B556,[1]DL!$BK:$BP,6,0)</f>
        <v>#N/A</v>
      </c>
    </row>
    <row r="557" spans="1:34" ht="14.5" hidden="1">
      <c r="A557" s="5">
        <v>554</v>
      </c>
      <c r="B557" s="5" t="str">
        <f t="shared" si="16"/>
        <v>07CALPG9182J1Z6CIG/MAR26/148</v>
      </c>
      <c r="C557" s="1" t="s">
        <v>1038</v>
      </c>
      <c r="D557" s="1" t="s">
        <v>1039</v>
      </c>
      <c r="E557" s="1" t="s">
        <v>1052</v>
      </c>
      <c r="F557" s="1" t="s">
        <v>24</v>
      </c>
      <c r="G557" s="1" t="s">
        <v>250</v>
      </c>
      <c r="H557" s="2">
        <v>590</v>
      </c>
      <c r="I557" s="1" t="s">
        <v>44</v>
      </c>
      <c r="J557" s="3" t="s">
        <v>27</v>
      </c>
      <c r="K557" s="2">
        <v>500</v>
      </c>
      <c r="L557" s="2">
        <v>0</v>
      </c>
      <c r="M557" s="2">
        <v>45</v>
      </c>
      <c r="N557" s="2">
        <v>45</v>
      </c>
      <c r="O557" s="2">
        <v>0</v>
      </c>
      <c r="P557" s="7" t="s">
        <v>203</v>
      </c>
      <c r="Q557" s="1" t="s">
        <v>76</v>
      </c>
      <c r="R557" s="3" t="s">
        <v>45</v>
      </c>
      <c r="S557" s="1" t="s">
        <v>46</v>
      </c>
      <c r="T557" s="4" t="s">
        <v>31</v>
      </c>
      <c r="U557" s="7" t="s">
        <v>32</v>
      </c>
      <c r="V557" s="7" t="s">
        <v>1053</v>
      </c>
      <c r="W557" s="7" t="s">
        <v>250</v>
      </c>
      <c r="X557" s="7" t="s">
        <v>1751</v>
      </c>
      <c r="Y557" s="10">
        <f t="shared" si="17"/>
        <v>90</v>
      </c>
      <c r="AH557" s="5" t="e">
        <f>VLOOKUP(B557,[1]DL!$BK:$BP,6,0)</f>
        <v>#N/A</v>
      </c>
    </row>
    <row r="558" spans="1:34" ht="14.5" hidden="1">
      <c r="A558" s="5">
        <v>555</v>
      </c>
      <c r="B558" s="5" t="str">
        <f t="shared" si="16"/>
        <v>07CALPG9182J1Z6CIG/MAR26/149</v>
      </c>
      <c r="C558" s="1" t="s">
        <v>1038</v>
      </c>
      <c r="D558" s="1" t="s">
        <v>1039</v>
      </c>
      <c r="E558" s="1" t="s">
        <v>1054</v>
      </c>
      <c r="F558" s="1" t="s">
        <v>24</v>
      </c>
      <c r="G558" s="1" t="s">
        <v>250</v>
      </c>
      <c r="H558" s="2">
        <v>16520</v>
      </c>
      <c r="I558" s="1" t="s">
        <v>44</v>
      </c>
      <c r="J558" s="3" t="s">
        <v>27</v>
      </c>
      <c r="K558" s="2">
        <v>14000</v>
      </c>
      <c r="L558" s="2">
        <v>0</v>
      </c>
      <c r="M558" s="2">
        <v>1260</v>
      </c>
      <c r="N558" s="2">
        <v>1260</v>
      </c>
      <c r="O558" s="2">
        <v>0</v>
      </c>
      <c r="P558" s="7" t="s">
        <v>203</v>
      </c>
      <c r="Q558" s="1" t="s">
        <v>76</v>
      </c>
      <c r="R558" s="3" t="s">
        <v>45</v>
      </c>
      <c r="S558" s="1" t="s">
        <v>46</v>
      </c>
      <c r="T558" s="4" t="s">
        <v>31</v>
      </c>
      <c r="U558" s="7" t="s">
        <v>32</v>
      </c>
      <c r="V558" s="7" t="s">
        <v>1055</v>
      </c>
      <c r="W558" s="7" t="s">
        <v>250</v>
      </c>
      <c r="X558" s="7" t="s">
        <v>1751</v>
      </c>
      <c r="Y558" s="10">
        <f t="shared" si="17"/>
        <v>2520</v>
      </c>
      <c r="AH558" s="5" t="e">
        <f>VLOOKUP(B558,[1]DL!$BK:$BP,6,0)</f>
        <v>#N/A</v>
      </c>
    </row>
    <row r="559" spans="1:34" ht="14.5" hidden="1">
      <c r="A559" s="5">
        <v>556</v>
      </c>
      <c r="B559" s="5" t="str">
        <f t="shared" si="16"/>
        <v>07CALPG9182J1Z6CIG/MAR26/150</v>
      </c>
      <c r="C559" s="1" t="s">
        <v>1038</v>
      </c>
      <c r="D559" s="1" t="s">
        <v>1039</v>
      </c>
      <c r="E559" s="1" t="s">
        <v>1056</v>
      </c>
      <c r="F559" s="1" t="s">
        <v>24</v>
      </c>
      <c r="G559" s="1" t="s">
        <v>250</v>
      </c>
      <c r="H559" s="2">
        <v>3540</v>
      </c>
      <c r="I559" s="1" t="s">
        <v>44</v>
      </c>
      <c r="J559" s="3" t="s">
        <v>27</v>
      </c>
      <c r="K559" s="2">
        <v>3000</v>
      </c>
      <c r="L559" s="2">
        <v>0</v>
      </c>
      <c r="M559" s="2">
        <v>270</v>
      </c>
      <c r="N559" s="2">
        <v>270</v>
      </c>
      <c r="O559" s="2">
        <v>0</v>
      </c>
      <c r="P559" s="7" t="s">
        <v>203</v>
      </c>
      <c r="Q559" s="1" t="s">
        <v>76</v>
      </c>
      <c r="R559" s="3" t="s">
        <v>45</v>
      </c>
      <c r="S559" s="1" t="s">
        <v>46</v>
      </c>
      <c r="T559" s="4" t="s">
        <v>31</v>
      </c>
      <c r="U559" s="7" t="s">
        <v>32</v>
      </c>
      <c r="V559" s="7" t="s">
        <v>1057</v>
      </c>
      <c r="W559" s="7" t="s">
        <v>250</v>
      </c>
      <c r="X559" s="7" t="s">
        <v>1751</v>
      </c>
      <c r="Y559" s="10">
        <f t="shared" si="17"/>
        <v>540</v>
      </c>
      <c r="AH559" s="5" t="e">
        <f>VLOOKUP(B559,[1]DL!$BK:$BP,6,0)</f>
        <v>#N/A</v>
      </c>
    </row>
    <row r="560" spans="1:34" ht="14.5" hidden="1">
      <c r="A560" s="5">
        <v>557</v>
      </c>
      <c r="B560" s="5" t="str">
        <f t="shared" si="16"/>
        <v>07CALPG9182J1Z6CIG/MAR26/151</v>
      </c>
      <c r="C560" s="1" t="s">
        <v>1038</v>
      </c>
      <c r="D560" s="1" t="s">
        <v>1039</v>
      </c>
      <c r="E560" s="1" t="s">
        <v>1058</v>
      </c>
      <c r="F560" s="1" t="s">
        <v>24</v>
      </c>
      <c r="G560" s="1" t="s">
        <v>250</v>
      </c>
      <c r="H560" s="2">
        <v>590</v>
      </c>
      <c r="I560" s="1" t="s">
        <v>44</v>
      </c>
      <c r="J560" s="3" t="s">
        <v>27</v>
      </c>
      <c r="K560" s="2">
        <v>500</v>
      </c>
      <c r="L560" s="2">
        <v>0</v>
      </c>
      <c r="M560" s="2">
        <v>45</v>
      </c>
      <c r="N560" s="2">
        <v>45</v>
      </c>
      <c r="O560" s="2">
        <v>0</v>
      </c>
      <c r="P560" s="7" t="s">
        <v>203</v>
      </c>
      <c r="Q560" s="1" t="s">
        <v>76</v>
      </c>
      <c r="R560" s="3" t="s">
        <v>45</v>
      </c>
      <c r="S560" s="1" t="s">
        <v>46</v>
      </c>
      <c r="T560" s="4" t="s">
        <v>31</v>
      </c>
      <c r="U560" s="7" t="s">
        <v>32</v>
      </c>
      <c r="V560" s="7" t="s">
        <v>1059</v>
      </c>
      <c r="W560" s="7" t="s">
        <v>250</v>
      </c>
      <c r="X560" s="7" t="s">
        <v>1751</v>
      </c>
      <c r="Y560" s="10">
        <f t="shared" si="17"/>
        <v>90</v>
      </c>
      <c r="AH560" s="5" t="e">
        <f>VLOOKUP(B560,[1]DL!$BK:$BP,6,0)</f>
        <v>#N/A</v>
      </c>
    </row>
    <row r="561" spans="1:34" ht="14.5" hidden="1">
      <c r="A561" s="5">
        <v>558</v>
      </c>
      <c r="B561" s="5" t="str">
        <f t="shared" si="16"/>
        <v>07CALPG9182J1Z6CIG/MAR26/152</v>
      </c>
      <c r="C561" s="1" t="s">
        <v>1038</v>
      </c>
      <c r="D561" s="1" t="s">
        <v>1039</v>
      </c>
      <c r="E561" s="1" t="s">
        <v>1060</v>
      </c>
      <c r="F561" s="1" t="s">
        <v>24</v>
      </c>
      <c r="G561" s="1" t="s">
        <v>250</v>
      </c>
      <c r="H561" s="2">
        <v>4720</v>
      </c>
      <c r="I561" s="1" t="s">
        <v>44</v>
      </c>
      <c r="J561" s="3" t="s">
        <v>27</v>
      </c>
      <c r="K561" s="2">
        <v>4000</v>
      </c>
      <c r="L561" s="2">
        <v>0</v>
      </c>
      <c r="M561" s="2">
        <v>360</v>
      </c>
      <c r="N561" s="2">
        <v>360</v>
      </c>
      <c r="O561" s="2">
        <v>0</v>
      </c>
      <c r="P561" s="7" t="s">
        <v>203</v>
      </c>
      <c r="Q561" s="1" t="s">
        <v>76</v>
      </c>
      <c r="R561" s="3" t="s">
        <v>45</v>
      </c>
      <c r="S561" s="1" t="s">
        <v>46</v>
      </c>
      <c r="T561" s="4" t="s">
        <v>31</v>
      </c>
      <c r="U561" s="7" t="s">
        <v>32</v>
      </c>
      <c r="V561" s="7" t="s">
        <v>1061</v>
      </c>
      <c r="W561" s="7" t="s">
        <v>250</v>
      </c>
      <c r="X561" s="7" t="s">
        <v>1751</v>
      </c>
      <c r="Y561" s="10">
        <f t="shared" si="17"/>
        <v>720</v>
      </c>
      <c r="AH561" s="5" t="e">
        <f>VLOOKUP(B561,[1]DL!$BK:$BP,6,0)</f>
        <v>#N/A</v>
      </c>
    </row>
    <row r="562" spans="1:34" ht="14.5" hidden="1">
      <c r="A562" s="5">
        <v>559</v>
      </c>
      <c r="B562" s="5" t="str">
        <f t="shared" si="16"/>
        <v>07CALPG9182J1Z6CIG/MAR26/153</v>
      </c>
      <c r="C562" s="1" t="s">
        <v>1038</v>
      </c>
      <c r="D562" s="1" t="s">
        <v>1039</v>
      </c>
      <c r="E562" s="1" t="s">
        <v>1062</v>
      </c>
      <c r="F562" s="1" t="s">
        <v>24</v>
      </c>
      <c r="G562" s="1" t="s">
        <v>250</v>
      </c>
      <c r="H562" s="2">
        <v>4897</v>
      </c>
      <c r="I562" s="1" t="s">
        <v>44</v>
      </c>
      <c r="J562" s="3" t="s">
        <v>27</v>
      </c>
      <c r="K562" s="2">
        <v>4150</v>
      </c>
      <c r="L562" s="2">
        <v>0</v>
      </c>
      <c r="M562" s="2">
        <v>373.5</v>
      </c>
      <c r="N562" s="2">
        <v>373.5</v>
      </c>
      <c r="O562" s="2">
        <v>0</v>
      </c>
      <c r="P562" s="7" t="s">
        <v>203</v>
      </c>
      <c r="Q562" s="1" t="s">
        <v>76</v>
      </c>
      <c r="R562" s="3" t="s">
        <v>45</v>
      </c>
      <c r="S562" s="1" t="s">
        <v>46</v>
      </c>
      <c r="T562" s="4" t="s">
        <v>31</v>
      </c>
      <c r="U562" s="7" t="s">
        <v>32</v>
      </c>
      <c r="V562" s="7" t="s">
        <v>1063</v>
      </c>
      <c r="W562" s="7" t="s">
        <v>250</v>
      </c>
      <c r="X562" s="7" t="s">
        <v>1751</v>
      </c>
      <c r="Y562" s="10">
        <f t="shared" si="17"/>
        <v>747</v>
      </c>
      <c r="AH562" s="5" t="e">
        <f>VLOOKUP(B562,[1]DL!$BK:$BP,6,0)</f>
        <v>#N/A</v>
      </c>
    </row>
    <row r="563" spans="1:34" ht="14.5" hidden="1">
      <c r="A563" s="5">
        <v>560</v>
      </c>
      <c r="B563" s="5" t="str">
        <f t="shared" si="16"/>
        <v>07CALPG9182J1Z6CIG/MAR26/154</v>
      </c>
      <c r="C563" s="1" t="s">
        <v>1038</v>
      </c>
      <c r="D563" s="1" t="s">
        <v>1039</v>
      </c>
      <c r="E563" s="1" t="s">
        <v>1064</v>
      </c>
      <c r="F563" s="1" t="s">
        <v>24</v>
      </c>
      <c r="G563" s="1" t="s">
        <v>250</v>
      </c>
      <c r="H563" s="2">
        <v>7198</v>
      </c>
      <c r="I563" s="1" t="s">
        <v>44</v>
      </c>
      <c r="J563" s="3" t="s">
        <v>27</v>
      </c>
      <c r="K563" s="2">
        <v>6100</v>
      </c>
      <c r="L563" s="2">
        <v>0</v>
      </c>
      <c r="M563" s="2">
        <v>549</v>
      </c>
      <c r="N563" s="2">
        <v>549</v>
      </c>
      <c r="O563" s="2">
        <v>0</v>
      </c>
      <c r="P563" s="7" t="s">
        <v>203</v>
      </c>
      <c r="Q563" s="1" t="s">
        <v>76</v>
      </c>
      <c r="R563" s="3" t="s">
        <v>45</v>
      </c>
      <c r="S563" s="1" t="s">
        <v>46</v>
      </c>
      <c r="T563" s="4" t="s">
        <v>31</v>
      </c>
      <c r="U563" s="7" t="s">
        <v>32</v>
      </c>
      <c r="V563" s="7" t="s">
        <v>1065</v>
      </c>
      <c r="W563" s="7" t="s">
        <v>250</v>
      </c>
      <c r="X563" s="7" t="s">
        <v>1751</v>
      </c>
      <c r="Y563" s="10">
        <f t="shared" si="17"/>
        <v>1098</v>
      </c>
      <c r="AH563" s="5" t="e">
        <f>VLOOKUP(B563,[1]DL!$BK:$BP,6,0)</f>
        <v>#N/A</v>
      </c>
    </row>
    <row r="564" spans="1:34" ht="14.5" hidden="1">
      <c r="A564" s="5">
        <v>561</v>
      </c>
      <c r="B564" s="5" t="str">
        <f t="shared" si="16"/>
        <v>07CALPG9182J1Z6CIG/MAR26/155</v>
      </c>
      <c r="C564" s="1" t="s">
        <v>1038</v>
      </c>
      <c r="D564" s="1" t="s">
        <v>1039</v>
      </c>
      <c r="E564" s="1" t="s">
        <v>1066</v>
      </c>
      <c r="F564" s="1" t="s">
        <v>24</v>
      </c>
      <c r="G564" s="1" t="s">
        <v>250</v>
      </c>
      <c r="H564" s="2">
        <v>5121.20</v>
      </c>
      <c r="I564" s="1" t="s">
        <v>44</v>
      </c>
      <c r="J564" s="3" t="s">
        <v>27</v>
      </c>
      <c r="K564" s="2">
        <v>4340</v>
      </c>
      <c r="L564" s="2">
        <v>0</v>
      </c>
      <c r="M564" s="2">
        <v>390.60</v>
      </c>
      <c r="N564" s="2">
        <v>390.60</v>
      </c>
      <c r="O564" s="2">
        <v>0</v>
      </c>
      <c r="P564" s="7" t="s">
        <v>203</v>
      </c>
      <c r="Q564" s="1" t="s">
        <v>76</v>
      </c>
      <c r="R564" s="3" t="s">
        <v>45</v>
      </c>
      <c r="S564" s="1" t="s">
        <v>46</v>
      </c>
      <c r="T564" s="4" t="s">
        <v>31</v>
      </c>
      <c r="U564" s="7" t="s">
        <v>32</v>
      </c>
      <c r="V564" s="7" t="s">
        <v>1067</v>
      </c>
      <c r="W564" s="7" t="s">
        <v>250</v>
      </c>
      <c r="X564" s="7" t="s">
        <v>1751</v>
      </c>
      <c r="Y564" s="10">
        <f t="shared" si="17"/>
        <v>781.20000000000005</v>
      </c>
      <c r="AH564" s="5" t="e">
        <f>VLOOKUP(B564,[1]DL!$BK:$BP,6,0)</f>
        <v>#N/A</v>
      </c>
    </row>
    <row r="565" spans="1:34" ht="14.5" hidden="1">
      <c r="A565" s="5">
        <v>562</v>
      </c>
      <c r="B565" s="5" t="str">
        <f t="shared" si="16"/>
        <v>07CALPG9182J1Z6CIG/MAR26/156</v>
      </c>
      <c r="C565" s="1" t="s">
        <v>1038</v>
      </c>
      <c r="D565" s="1" t="s">
        <v>1039</v>
      </c>
      <c r="E565" s="1" t="s">
        <v>1068</v>
      </c>
      <c r="F565" s="1" t="s">
        <v>24</v>
      </c>
      <c r="G565" s="1" t="s">
        <v>265</v>
      </c>
      <c r="H565" s="2">
        <v>102947.92</v>
      </c>
      <c r="I565" s="1" t="s">
        <v>44</v>
      </c>
      <c r="J565" s="3" t="s">
        <v>27</v>
      </c>
      <c r="K565" s="2">
        <v>87244</v>
      </c>
      <c r="L565" s="2">
        <v>0</v>
      </c>
      <c r="M565" s="2">
        <v>7851.96</v>
      </c>
      <c r="N565" s="2">
        <v>7851.96</v>
      </c>
      <c r="O565" s="2">
        <v>0</v>
      </c>
      <c r="P565" s="7" t="s">
        <v>203</v>
      </c>
      <c r="Q565" s="1" t="s">
        <v>76</v>
      </c>
      <c r="R565" s="3" t="s">
        <v>45</v>
      </c>
      <c r="S565" s="1" t="s">
        <v>46</v>
      </c>
      <c r="T565" s="4" t="s">
        <v>31</v>
      </c>
      <c r="U565" s="7" t="s">
        <v>32</v>
      </c>
      <c r="V565" s="7" t="s">
        <v>1069</v>
      </c>
      <c r="W565" s="7" t="s">
        <v>265</v>
      </c>
      <c r="X565" s="7" t="s">
        <v>1751</v>
      </c>
      <c r="Y565" s="10">
        <f t="shared" si="17"/>
        <v>15703.92</v>
      </c>
      <c r="AH565" s="5" t="e">
        <f>VLOOKUP(B565,[1]DL!$BK:$BP,6,0)</f>
        <v>#N/A</v>
      </c>
    </row>
    <row r="566" spans="1:34" ht="14.5" hidden="1">
      <c r="A566" s="5">
        <v>563</v>
      </c>
      <c r="B566" s="5" t="str">
        <f t="shared" si="16"/>
        <v>07CALPG9182J1Z6CIG/MAR26/157</v>
      </c>
      <c r="C566" s="1" t="s">
        <v>1038</v>
      </c>
      <c r="D566" s="1" t="s">
        <v>1039</v>
      </c>
      <c r="E566" s="1" t="s">
        <v>1070</v>
      </c>
      <c r="F566" s="1" t="s">
        <v>24</v>
      </c>
      <c r="G566" s="1" t="s">
        <v>265</v>
      </c>
      <c r="H566" s="2">
        <v>20650</v>
      </c>
      <c r="I566" s="1" t="s">
        <v>44</v>
      </c>
      <c r="J566" s="3" t="s">
        <v>27</v>
      </c>
      <c r="K566" s="2">
        <v>17500</v>
      </c>
      <c r="L566" s="2">
        <v>0</v>
      </c>
      <c r="M566" s="2">
        <v>1575</v>
      </c>
      <c r="N566" s="2">
        <v>1575</v>
      </c>
      <c r="O566" s="2">
        <v>0</v>
      </c>
      <c r="P566" s="7" t="s">
        <v>203</v>
      </c>
      <c r="Q566" s="1" t="s">
        <v>76</v>
      </c>
      <c r="R566" s="3" t="s">
        <v>45</v>
      </c>
      <c r="S566" s="1" t="s">
        <v>46</v>
      </c>
      <c r="T566" s="4" t="s">
        <v>31</v>
      </c>
      <c r="U566" s="7" t="s">
        <v>32</v>
      </c>
      <c r="V566" s="7" t="s">
        <v>1071</v>
      </c>
      <c r="W566" s="7" t="s">
        <v>265</v>
      </c>
      <c r="X566" s="7" t="s">
        <v>1751</v>
      </c>
      <c r="Y566" s="10">
        <f t="shared" si="17"/>
        <v>3150</v>
      </c>
      <c r="AH566" s="5" t="e">
        <f>VLOOKUP(B566,[1]DL!$BK:$BP,6,0)</f>
        <v>#N/A</v>
      </c>
    </row>
    <row r="567" spans="1:34" ht="14.5" hidden="1">
      <c r="A567" s="5">
        <v>564</v>
      </c>
      <c r="B567" s="5" t="str">
        <f t="shared" si="16"/>
        <v>07CALPG9182J1Z6CIG/MAR26/158</v>
      </c>
      <c r="C567" s="1" t="s">
        <v>1038</v>
      </c>
      <c r="D567" s="1" t="s">
        <v>1039</v>
      </c>
      <c r="E567" s="1" t="s">
        <v>1072</v>
      </c>
      <c r="F567" s="1" t="s">
        <v>24</v>
      </c>
      <c r="G567" s="1" t="s">
        <v>265</v>
      </c>
      <c r="H567" s="2">
        <v>17700</v>
      </c>
      <c r="I567" s="1" t="s">
        <v>44</v>
      </c>
      <c r="J567" s="3" t="s">
        <v>27</v>
      </c>
      <c r="K567" s="2">
        <v>15000</v>
      </c>
      <c r="L567" s="2">
        <v>0</v>
      </c>
      <c r="M567" s="2">
        <v>1350</v>
      </c>
      <c r="N567" s="2">
        <v>1350</v>
      </c>
      <c r="O567" s="2">
        <v>0</v>
      </c>
      <c r="P567" s="7" t="s">
        <v>203</v>
      </c>
      <c r="Q567" s="1" t="s">
        <v>76</v>
      </c>
      <c r="R567" s="3" t="s">
        <v>45</v>
      </c>
      <c r="S567" s="1" t="s">
        <v>46</v>
      </c>
      <c r="T567" s="4" t="s">
        <v>31</v>
      </c>
      <c r="U567" s="7" t="s">
        <v>32</v>
      </c>
      <c r="V567" s="7" t="s">
        <v>1073</v>
      </c>
      <c r="W567" s="7" t="s">
        <v>265</v>
      </c>
      <c r="X567" s="7" t="s">
        <v>1751</v>
      </c>
      <c r="Y567" s="10">
        <f t="shared" si="17"/>
        <v>2700</v>
      </c>
      <c r="AH567" s="5" t="e">
        <f>VLOOKUP(B567,[1]DL!$BK:$BP,6,0)</f>
        <v>#N/A</v>
      </c>
    </row>
    <row r="568" spans="1:34" ht="14.5" hidden="1">
      <c r="A568" s="5">
        <v>565</v>
      </c>
      <c r="B568" s="5" t="str">
        <f t="shared" si="16"/>
        <v>07CALPG9182J1Z6CIG/MAR26/159</v>
      </c>
      <c r="C568" s="1" t="s">
        <v>1038</v>
      </c>
      <c r="D568" s="1" t="s">
        <v>1039</v>
      </c>
      <c r="E568" s="1" t="s">
        <v>1074</v>
      </c>
      <c r="F568" s="1" t="s">
        <v>24</v>
      </c>
      <c r="G568" s="1" t="s">
        <v>267</v>
      </c>
      <c r="H568" s="2">
        <v>4779</v>
      </c>
      <c r="I568" s="1" t="s">
        <v>44</v>
      </c>
      <c r="J568" s="3" t="s">
        <v>27</v>
      </c>
      <c r="K568" s="2">
        <v>4050</v>
      </c>
      <c r="L568" s="2">
        <v>0</v>
      </c>
      <c r="M568" s="2">
        <v>364.5</v>
      </c>
      <c r="N568" s="2">
        <v>364.5</v>
      </c>
      <c r="O568" s="2">
        <v>0</v>
      </c>
      <c r="P568" s="7" t="s">
        <v>203</v>
      </c>
      <c r="Q568" s="1" t="s">
        <v>76</v>
      </c>
      <c r="R568" s="3" t="s">
        <v>45</v>
      </c>
      <c r="S568" s="1" t="s">
        <v>46</v>
      </c>
      <c r="T568" s="4" t="s">
        <v>31</v>
      </c>
      <c r="U568" s="7" t="s">
        <v>32</v>
      </c>
      <c r="V568" s="7" t="s">
        <v>1075</v>
      </c>
      <c r="W568" s="7" t="s">
        <v>267</v>
      </c>
      <c r="X568" s="7" t="s">
        <v>1751</v>
      </c>
      <c r="Y568" s="10">
        <f t="shared" si="17"/>
        <v>729</v>
      </c>
      <c r="AH568" s="5" t="e">
        <f>VLOOKUP(B568,[1]DL!$BK:$BP,6,0)</f>
        <v>#N/A</v>
      </c>
    </row>
    <row r="569" spans="1:34" ht="14.5" hidden="1">
      <c r="A569" s="5">
        <v>566</v>
      </c>
      <c r="B569" s="5" t="str">
        <f t="shared" si="16"/>
        <v>07ACUPC6924F1ZG288</v>
      </c>
      <c r="C569" s="1" t="s">
        <v>1076</v>
      </c>
      <c r="D569" s="1" t="s">
        <v>1077</v>
      </c>
      <c r="E569" s="1" t="s">
        <v>1078</v>
      </c>
      <c r="F569" s="1" t="s">
        <v>24</v>
      </c>
      <c r="G569" s="1" t="s">
        <v>125</v>
      </c>
      <c r="H569" s="2">
        <v>1770</v>
      </c>
      <c r="I569" s="1" t="s">
        <v>44</v>
      </c>
      <c r="J569" s="3" t="s">
        <v>27</v>
      </c>
      <c r="K569" s="2">
        <v>1500</v>
      </c>
      <c r="L569" s="2">
        <v>0</v>
      </c>
      <c r="M569" s="2">
        <v>135</v>
      </c>
      <c r="N569" s="2">
        <v>135</v>
      </c>
      <c r="O569" s="2">
        <v>0</v>
      </c>
      <c r="P569" s="7" t="s">
        <v>28</v>
      </c>
      <c r="Q569" s="1" t="s">
        <v>29</v>
      </c>
      <c r="R569" s="3" t="s">
        <v>45</v>
      </c>
      <c r="S569" s="1" t="s">
        <v>46</v>
      </c>
      <c r="T569" s="4" t="s">
        <v>31</v>
      </c>
      <c r="U569" s="7" t="s">
        <v>46</v>
      </c>
      <c r="V569" s="7" t="s">
        <v>46</v>
      </c>
      <c r="W569" s="7" t="s">
        <v>46</v>
      </c>
      <c r="X569" s="7" t="s">
        <v>1751</v>
      </c>
      <c r="Y569" s="10">
        <f t="shared" si="17"/>
        <v>270</v>
      </c>
      <c r="AH569" s="5" t="e">
        <f>VLOOKUP(B569,[1]DL!$BK:$BP,6,0)</f>
        <v>#N/A</v>
      </c>
    </row>
    <row r="570" spans="1:34" ht="14.5" hidden="1">
      <c r="A570" s="5">
        <v>567</v>
      </c>
      <c r="B570" s="5" t="str">
        <f t="shared" si="16"/>
        <v>07ACUPC6924F1ZG289</v>
      </c>
      <c r="C570" s="1" t="s">
        <v>1076</v>
      </c>
      <c r="D570" s="1" t="s">
        <v>1077</v>
      </c>
      <c r="E570" s="1" t="s">
        <v>1079</v>
      </c>
      <c r="F570" s="1" t="s">
        <v>24</v>
      </c>
      <c r="G570" s="1" t="s">
        <v>125</v>
      </c>
      <c r="H570" s="2">
        <v>5015</v>
      </c>
      <c r="I570" s="1" t="s">
        <v>44</v>
      </c>
      <c r="J570" s="3" t="s">
        <v>27</v>
      </c>
      <c r="K570" s="2">
        <v>4250</v>
      </c>
      <c r="L570" s="2">
        <v>0</v>
      </c>
      <c r="M570" s="2">
        <v>382.5</v>
      </c>
      <c r="N570" s="2">
        <v>382.5</v>
      </c>
      <c r="O570" s="2">
        <v>0</v>
      </c>
      <c r="P570" s="7" t="s">
        <v>28</v>
      </c>
      <c r="Q570" s="1" t="s">
        <v>29</v>
      </c>
      <c r="R570" s="3" t="s">
        <v>45</v>
      </c>
      <c r="S570" s="1" t="s">
        <v>46</v>
      </c>
      <c r="T570" s="4" t="s">
        <v>31</v>
      </c>
      <c r="U570" s="7" t="s">
        <v>46</v>
      </c>
      <c r="V570" s="7" t="s">
        <v>46</v>
      </c>
      <c r="W570" s="7" t="s">
        <v>46</v>
      </c>
      <c r="X570" s="7" t="s">
        <v>1751</v>
      </c>
      <c r="Y570" s="10">
        <f t="shared" si="17"/>
        <v>765</v>
      </c>
      <c r="AH570" s="5" t="e">
        <f>VLOOKUP(B570,[1]DL!$BK:$BP,6,0)</f>
        <v>#N/A</v>
      </c>
    </row>
    <row r="571" spans="1:34" ht="14.5" hidden="1">
      <c r="A571" s="5">
        <v>568</v>
      </c>
      <c r="B571" s="5" t="str">
        <f t="shared" si="16"/>
        <v>07ACUPC6924F1ZG290</v>
      </c>
      <c r="C571" s="1" t="s">
        <v>1076</v>
      </c>
      <c r="D571" s="1" t="s">
        <v>1077</v>
      </c>
      <c r="E571" s="1" t="s">
        <v>1080</v>
      </c>
      <c r="F571" s="1" t="s">
        <v>24</v>
      </c>
      <c r="G571" s="1" t="s">
        <v>125</v>
      </c>
      <c r="H571" s="2">
        <v>1652</v>
      </c>
      <c r="I571" s="1" t="s">
        <v>44</v>
      </c>
      <c r="J571" s="3" t="s">
        <v>27</v>
      </c>
      <c r="K571" s="2">
        <v>1400</v>
      </c>
      <c r="L571" s="2">
        <v>0</v>
      </c>
      <c r="M571" s="2">
        <v>126</v>
      </c>
      <c r="N571" s="2">
        <v>126</v>
      </c>
      <c r="O571" s="2">
        <v>0</v>
      </c>
      <c r="P571" s="7" t="s">
        <v>28</v>
      </c>
      <c r="Q571" s="1" t="s">
        <v>29</v>
      </c>
      <c r="R571" s="3" t="s">
        <v>45</v>
      </c>
      <c r="S571" s="1" t="s">
        <v>46</v>
      </c>
      <c r="T571" s="4" t="s">
        <v>31</v>
      </c>
      <c r="U571" s="7" t="s">
        <v>46</v>
      </c>
      <c r="V571" s="7" t="s">
        <v>46</v>
      </c>
      <c r="W571" s="7" t="s">
        <v>46</v>
      </c>
      <c r="X571" s="7" t="s">
        <v>1751</v>
      </c>
      <c r="Y571" s="10">
        <f t="shared" si="17"/>
        <v>252</v>
      </c>
      <c r="AH571" s="5" t="e">
        <f>VLOOKUP(B571,[1]DL!$BK:$BP,6,0)</f>
        <v>#N/A</v>
      </c>
    </row>
    <row r="572" spans="1:34" ht="14.5" hidden="1">
      <c r="A572" s="5">
        <v>569</v>
      </c>
      <c r="B572" s="5" t="str">
        <f t="shared" si="16"/>
        <v>07ACUPC6924F1ZG291</v>
      </c>
      <c r="C572" s="1" t="s">
        <v>1076</v>
      </c>
      <c r="D572" s="1" t="s">
        <v>1077</v>
      </c>
      <c r="E572" s="1" t="s">
        <v>1081</v>
      </c>
      <c r="F572" s="1" t="s">
        <v>24</v>
      </c>
      <c r="G572" s="1" t="s">
        <v>125</v>
      </c>
      <c r="H572" s="2">
        <v>4366</v>
      </c>
      <c r="I572" s="1" t="s">
        <v>44</v>
      </c>
      <c r="J572" s="3" t="s">
        <v>27</v>
      </c>
      <c r="K572" s="2">
        <v>3700</v>
      </c>
      <c r="L572" s="2">
        <v>0</v>
      </c>
      <c r="M572" s="2">
        <v>333</v>
      </c>
      <c r="N572" s="2">
        <v>333</v>
      </c>
      <c r="O572" s="2">
        <v>0</v>
      </c>
      <c r="P572" s="7" t="s">
        <v>28</v>
      </c>
      <c r="Q572" s="1" t="s">
        <v>29</v>
      </c>
      <c r="R572" s="3" t="s">
        <v>45</v>
      </c>
      <c r="S572" s="1" t="s">
        <v>46</v>
      </c>
      <c r="T572" s="4" t="s">
        <v>31</v>
      </c>
      <c r="U572" s="7" t="s">
        <v>46</v>
      </c>
      <c r="V572" s="7" t="s">
        <v>46</v>
      </c>
      <c r="W572" s="7" t="s">
        <v>46</v>
      </c>
      <c r="X572" s="7" t="s">
        <v>1751</v>
      </c>
      <c r="Y572" s="10">
        <f t="shared" si="17"/>
        <v>666</v>
      </c>
      <c r="AH572" s="5" t="e">
        <f>VLOOKUP(B572,[1]DL!$BK:$BP,6,0)</f>
        <v>#N/A</v>
      </c>
    </row>
    <row r="573" spans="1:34" ht="14.5" hidden="1">
      <c r="A573" s="5">
        <v>570</v>
      </c>
      <c r="B573" s="5" t="str">
        <f t="shared" si="16"/>
        <v>07ACUPC6924F1ZG693</v>
      </c>
      <c r="C573" s="1" t="s">
        <v>1076</v>
      </c>
      <c r="D573" s="1" t="s">
        <v>1077</v>
      </c>
      <c r="E573" s="1" t="s">
        <v>1082</v>
      </c>
      <c r="F573" s="1" t="s">
        <v>24</v>
      </c>
      <c r="G573" s="1" t="s">
        <v>133</v>
      </c>
      <c r="H573" s="2">
        <v>5782</v>
      </c>
      <c r="I573" s="1" t="s">
        <v>44</v>
      </c>
      <c r="J573" s="3" t="s">
        <v>27</v>
      </c>
      <c r="K573" s="2">
        <v>4900</v>
      </c>
      <c r="L573" s="2">
        <v>0</v>
      </c>
      <c r="M573" s="2">
        <v>441</v>
      </c>
      <c r="N573" s="2">
        <v>441</v>
      </c>
      <c r="O573" s="2">
        <v>0</v>
      </c>
      <c r="P573" s="7" t="s">
        <v>28</v>
      </c>
      <c r="Q573" s="1" t="s">
        <v>29</v>
      </c>
      <c r="R573" s="3" t="s">
        <v>45</v>
      </c>
      <c r="S573" s="1" t="s">
        <v>46</v>
      </c>
      <c r="T573" s="4" t="s">
        <v>31</v>
      </c>
      <c r="U573" s="7" t="s">
        <v>46</v>
      </c>
      <c r="V573" s="7" t="s">
        <v>46</v>
      </c>
      <c r="W573" s="7" t="s">
        <v>46</v>
      </c>
      <c r="X573" s="7" t="s">
        <v>1751</v>
      </c>
      <c r="Y573" s="10">
        <f t="shared" si="17"/>
        <v>882</v>
      </c>
      <c r="AH573" s="5" t="e">
        <f>VLOOKUP(B573,[1]DL!$BK:$BP,6,0)</f>
        <v>#N/A</v>
      </c>
    </row>
    <row r="574" spans="1:34" ht="14.5" hidden="1">
      <c r="A574" s="5">
        <v>571</v>
      </c>
      <c r="B574" s="5" t="str">
        <f t="shared" si="16"/>
        <v>07ACUPC6924F1ZG694</v>
      </c>
      <c r="C574" s="1" t="s">
        <v>1076</v>
      </c>
      <c r="D574" s="1" t="s">
        <v>1077</v>
      </c>
      <c r="E574" s="1" t="s">
        <v>1083</v>
      </c>
      <c r="F574" s="1" t="s">
        <v>24</v>
      </c>
      <c r="G574" s="1" t="s">
        <v>133</v>
      </c>
      <c r="H574" s="2">
        <v>63956</v>
      </c>
      <c r="I574" s="1" t="s">
        <v>44</v>
      </c>
      <c r="J574" s="3" t="s">
        <v>27</v>
      </c>
      <c r="K574" s="2">
        <v>54200</v>
      </c>
      <c r="L574" s="2">
        <v>0</v>
      </c>
      <c r="M574" s="2">
        <v>4878</v>
      </c>
      <c r="N574" s="2">
        <v>4878</v>
      </c>
      <c r="O574" s="2">
        <v>0</v>
      </c>
      <c r="P574" s="7" t="s">
        <v>28</v>
      </c>
      <c r="Q574" s="1" t="s">
        <v>29</v>
      </c>
      <c r="R574" s="3" t="s">
        <v>45</v>
      </c>
      <c r="S574" s="1" t="s">
        <v>46</v>
      </c>
      <c r="T574" s="4" t="s">
        <v>31</v>
      </c>
      <c r="U574" s="7" t="s">
        <v>46</v>
      </c>
      <c r="V574" s="7" t="s">
        <v>46</v>
      </c>
      <c r="W574" s="7" t="s">
        <v>46</v>
      </c>
      <c r="X574" s="7" t="s">
        <v>1751</v>
      </c>
      <c r="Y574" s="10">
        <f t="shared" si="17"/>
        <v>9756</v>
      </c>
      <c r="AH574" s="5" t="e">
        <f>VLOOKUP(B574,[1]DL!$BK:$BP,6,0)</f>
        <v>#N/A</v>
      </c>
    </row>
    <row r="575" spans="1:34" ht="14.5" hidden="1">
      <c r="A575" s="5">
        <v>572</v>
      </c>
      <c r="B575" s="5" t="str">
        <f t="shared" si="16"/>
        <v>07ACUPC6924F1ZG695</v>
      </c>
      <c r="C575" s="1" t="s">
        <v>1076</v>
      </c>
      <c r="D575" s="1" t="s">
        <v>1077</v>
      </c>
      <c r="E575" s="1" t="s">
        <v>1084</v>
      </c>
      <c r="F575" s="1" t="s">
        <v>24</v>
      </c>
      <c r="G575" s="1" t="s">
        <v>133</v>
      </c>
      <c r="H575" s="2">
        <v>55460</v>
      </c>
      <c r="I575" s="1" t="s">
        <v>44</v>
      </c>
      <c r="J575" s="3" t="s">
        <v>27</v>
      </c>
      <c r="K575" s="2">
        <v>47000</v>
      </c>
      <c r="L575" s="2">
        <v>0</v>
      </c>
      <c r="M575" s="2">
        <v>4230</v>
      </c>
      <c r="N575" s="2">
        <v>4230</v>
      </c>
      <c r="O575" s="2">
        <v>0</v>
      </c>
      <c r="P575" s="7" t="s">
        <v>28</v>
      </c>
      <c r="Q575" s="1" t="s">
        <v>29</v>
      </c>
      <c r="R575" s="3" t="s">
        <v>45</v>
      </c>
      <c r="S575" s="1" t="s">
        <v>46</v>
      </c>
      <c r="T575" s="4" t="s">
        <v>31</v>
      </c>
      <c r="U575" s="7" t="s">
        <v>46</v>
      </c>
      <c r="V575" s="7" t="s">
        <v>46</v>
      </c>
      <c r="W575" s="7" t="s">
        <v>46</v>
      </c>
      <c r="X575" s="7" t="s">
        <v>1751</v>
      </c>
      <c r="Y575" s="10">
        <f t="shared" si="17"/>
        <v>8460</v>
      </c>
      <c r="AH575" s="5" t="e">
        <f>VLOOKUP(B575,[1]DL!$BK:$BP,6,0)</f>
        <v>#N/A</v>
      </c>
    </row>
    <row r="576" spans="1:34" ht="14.5" hidden="1">
      <c r="A576" s="5">
        <v>573</v>
      </c>
      <c r="B576" s="5" t="str">
        <f t="shared" si="16"/>
        <v>07ACUPC6924F1ZG696</v>
      </c>
      <c r="C576" s="1" t="s">
        <v>1076</v>
      </c>
      <c r="D576" s="1" t="s">
        <v>1077</v>
      </c>
      <c r="E576" s="1" t="s">
        <v>1085</v>
      </c>
      <c r="F576" s="1" t="s">
        <v>24</v>
      </c>
      <c r="G576" s="1" t="s">
        <v>133</v>
      </c>
      <c r="H576" s="2">
        <v>590</v>
      </c>
      <c r="I576" s="1" t="s">
        <v>44</v>
      </c>
      <c r="J576" s="3" t="s">
        <v>27</v>
      </c>
      <c r="K576" s="2">
        <v>500</v>
      </c>
      <c r="L576" s="2">
        <v>0</v>
      </c>
      <c r="M576" s="2">
        <v>45</v>
      </c>
      <c r="N576" s="2">
        <v>45</v>
      </c>
      <c r="O576" s="2">
        <v>0</v>
      </c>
      <c r="P576" s="7" t="s">
        <v>28</v>
      </c>
      <c r="Q576" s="1" t="s">
        <v>29</v>
      </c>
      <c r="R576" s="3" t="s">
        <v>45</v>
      </c>
      <c r="S576" s="1" t="s">
        <v>46</v>
      </c>
      <c r="T576" s="4" t="s">
        <v>31</v>
      </c>
      <c r="U576" s="7" t="s">
        <v>46</v>
      </c>
      <c r="V576" s="7" t="s">
        <v>46</v>
      </c>
      <c r="W576" s="7" t="s">
        <v>46</v>
      </c>
      <c r="X576" s="7" t="s">
        <v>1751</v>
      </c>
      <c r="Y576" s="10">
        <f t="shared" si="17"/>
        <v>90</v>
      </c>
      <c r="AH576" s="5" t="e">
        <f>VLOOKUP(B576,[1]DL!$BK:$BP,6,0)</f>
        <v>#N/A</v>
      </c>
    </row>
    <row r="577" spans="1:34" ht="14.5" hidden="1">
      <c r="A577" s="5">
        <v>574</v>
      </c>
      <c r="B577" s="5" t="str">
        <f t="shared" si="16"/>
        <v>07ACUPC6924F1ZG697</v>
      </c>
      <c r="C577" s="1" t="s">
        <v>1076</v>
      </c>
      <c r="D577" s="1" t="s">
        <v>1077</v>
      </c>
      <c r="E577" s="1" t="s">
        <v>1086</v>
      </c>
      <c r="F577" s="1" t="s">
        <v>24</v>
      </c>
      <c r="G577" s="1" t="s">
        <v>133</v>
      </c>
      <c r="H577" s="2">
        <v>4484</v>
      </c>
      <c r="I577" s="1" t="s">
        <v>44</v>
      </c>
      <c r="J577" s="3" t="s">
        <v>27</v>
      </c>
      <c r="K577" s="2">
        <v>3800</v>
      </c>
      <c r="L577" s="2">
        <v>0</v>
      </c>
      <c r="M577" s="2">
        <v>342</v>
      </c>
      <c r="N577" s="2">
        <v>342</v>
      </c>
      <c r="O577" s="2">
        <v>0</v>
      </c>
      <c r="P577" s="7" t="s">
        <v>28</v>
      </c>
      <c r="Q577" s="1" t="s">
        <v>29</v>
      </c>
      <c r="R577" s="3" t="s">
        <v>45</v>
      </c>
      <c r="S577" s="1" t="s">
        <v>46</v>
      </c>
      <c r="T577" s="4" t="s">
        <v>31</v>
      </c>
      <c r="U577" s="7" t="s">
        <v>46</v>
      </c>
      <c r="V577" s="7" t="s">
        <v>46</v>
      </c>
      <c r="W577" s="7" t="s">
        <v>46</v>
      </c>
      <c r="X577" s="7" t="s">
        <v>1751</v>
      </c>
      <c r="Y577" s="10">
        <f t="shared" si="17"/>
        <v>684</v>
      </c>
      <c r="AH577" s="5" t="e">
        <f>VLOOKUP(B577,[1]DL!$BK:$BP,6,0)</f>
        <v>#N/A</v>
      </c>
    </row>
    <row r="578" spans="1:34" ht="14.5" hidden="1">
      <c r="A578" s="5">
        <v>575</v>
      </c>
      <c r="B578" s="5" t="str">
        <f t="shared" si="16"/>
        <v>07ACUPC6924F1ZG698</v>
      </c>
      <c r="C578" s="1" t="s">
        <v>1076</v>
      </c>
      <c r="D578" s="1" t="s">
        <v>1077</v>
      </c>
      <c r="E578" s="1" t="s">
        <v>1087</v>
      </c>
      <c r="F578" s="1" t="s">
        <v>24</v>
      </c>
      <c r="G578" s="1" t="s">
        <v>133</v>
      </c>
      <c r="H578" s="2">
        <v>2360</v>
      </c>
      <c r="I578" s="1" t="s">
        <v>44</v>
      </c>
      <c r="J578" s="3" t="s">
        <v>27</v>
      </c>
      <c r="K578" s="2">
        <v>2000</v>
      </c>
      <c r="L578" s="2">
        <v>0</v>
      </c>
      <c r="M578" s="2">
        <v>180</v>
      </c>
      <c r="N578" s="2">
        <v>180</v>
      </c>
      <c r="O578" s="2">
        <v>0</v>
      </c>
      <c r="P578" s="7" t="s">
        <v>28</v>
      </c>
      <c r="Q578" s="1" t="s">
        <v>29</v>
      </c>
      <c r="R578" s="3" t="s">
        <v>45</v>
      </c>
      <c r="S578" s="1" t="s">
        <v>46</v>
      </c>
      <c r="T578" s="4" t="s">
        <v>31</v>
      </c>
      <c r="U578" s="7" t="s">
        <v>46</v>
      </c>
      <c r="V578" s="7" t="s">
        <v>46</v>
      </c>
      <c r="W578" s="7" t="s">
        <v>46</v>
      </c>
      <c r="X578" s="7" t="s">
        <v>1751</v>
      </c>
      <c r="Y578" s="10">
        <f t="shared" si="17"/>
        <v>360</v>
      </c>
      <c r="AH578" s="5" t="e">
        <f>VLOOKUP(B578,[1]DL!$BK:$BP,6,0)</f>
        <v>#N/A</v>
      </c>
    </row>
    <row r="579" spans="1:34" ht="14.5" hidden="1">
      <c r="A579" s="5">
        <v>576</v>
      </c>
      <c r="B579" s="5" t="str">
        <f t="shared" si="16"/>
        <v>07ACUPC6924F1ZG699</v>
      </c>
      <c r="C579" s="1" t="s">
        <v>1076</v>
      </c>
      <c r="D579" s="1" t="s">
        <v>1077</v>
      </c>
      <c r="E579" s="1" t="s">
        <v>1088</v>
      </c>
      <c r="F579" s="1" t="s">
        <v>24</v>
      </c>
      <c r="G579" s="1" t="s">
        <v>133</v>
      </c>
      <c r="H579" s="2">
        <v>1368.80</v>
      </c>
      <c r="I579" s="1" t="s">
        <v>44</v>
      </c>
      <c r="J579" s="3" t="s">
        <v>27</v>
      </c>
      <c r="K579" s="2">
        <v>1160</v>
      </c>
      <c r="L579" s="2">
        <v>0</v>
      </c>
      <c r="M579" s="2">
        <v>104.40</v>
      </c>
      <c r="N579" s="2">
        <v>104.40</v>
      </c>
      <c r="O579" s="2">
        <v>0</v>
      </c>
      <c r="P579" s="7" t="s">
        <v>28</v>
      </c>
      <c r="Q579" s="1" t="s">
        <v>29</v>
      </c>
      <c r="R579" s="3" t="s">
        <v>45</v>
      </c>
      <c r="S579" s="1" t="s">
        <v>46</v>
      </c>
      <c r="T579" s="4" t="s">
        <v>31</v>
      </c>
      <c r="U579" s="7" t="s">
        <v>46</v>
      </c>
      <c r="V579" s="7" t="s">
        <v>46</v>
      </c>
      <c r="W579" s="7" t="s">
        <v>46</v>
      </c>
      <c r="X579" s="7" t="s">
        <v>1751</v>
      </c>
      <c r="Y579" s="10">
        <f t="shared" si="17"/>
        <v>208.80000000000001</v>
      </c>
      <c r="AH579" s="5" t="e">
        <f>VLOOKUP(B579,[1]DL!$BK:$BP,6,0)</f>
        <v>#N/A</v>
      </c>
    </row>
    <row r="580" spans="1:34" ht="14.5" hidden="1">
      <c r="A580" s="5">
        <v>577</v>
      </c>
      <c r="B580" s="5" t="str">
        <f t="shared" si="16"/>
        <v>07ACUPC6924F1ZG700</v>
      </c>
      <c r="C580" s="1" t="s">
        <v>1076</v>
      </c>
      <c r="D580" s="1" t="s">
        <v>1077</v>
      </c>
      <c r="E580" s="1" t="s">
        <v>1089</v>
      </c>
      <c r="F580" s="1" t="s">
        <v>24</v>
      </c>
      <c r="G580" s="1" t="s">
        <v>133</v>
      </c>
      <c r="H580" s="2">
        <v>2495.6999999999998</v>
      </c>
      <c r="I580" s="1" t="s">
        <v>44</v>
      </c>
      <c r="J580" s="3" t="s">
        <v>27</v>
      </c>
      <c r="K580" s="2">
        <v>2115</v>
      </c>
      <c r="L580" s="2">
        <v>0</v>
      </c>
      <c r="M580" s="2">
        <v>190.35</v>
      </c>
      <c r="N580" s="2">
        <v>190.35</v>
      </c>
      <c r="O580" s="2">
        <v>0</v>
      </c>
      <c r="P580" s="7" t="s">
        <v>28</v>
      </c>
      <c r="Q580" s="1" t="s">
        <v>29</v>
      </c>
      <c r="R580" s="3" t="s">
        <v>45</v>
      </c>
      <c r="S580" s="1" t="s">
        <v>46</v>
      </c>
      <c r="T580" s="4" t="s">
        <v>31</v>
      </c>
      <c r="U580" s="7" t="s">
        <v>46</v>
      </c>
      <c r="V580" s="7" t="s">
        <v>46</v>
      </c>
      <c r="W580" s="7" t="s">
        <v>46</v>
      </c>
      <c r="X580" s="7" t="s">
        <v>1751</v>
      </c>
      <c r="Y580" s="10">
        <f t="shared" si="17"/>
        <v>380.69999999999999</v>
      </c>
      <c r="AH580" s="5" t="e">
        <f>VLOOKUP(B580,[1]DL!$BK:$BP,6,0)</f>
        <v>#N/A</v>
      </c>
    </row>
    <row r="581" spans="1:34" ht="14.5" hidden="1">
      <c r="A581" s="5">
        <v>578</v>
      </c>
      <c r="B581" s="5" t="str">
        <f t="shared" si="18" ref="B581:B644">C581&amp;E581</f>
        <v>07ACUPC6924F1ZG701</v>
      </c>
      <c r="C581" s="1" t="s">
        <v>1076</v>
      </c>
      <c r="D581" s="1" t="s">
        <v>1077</v>
      </c>
      <c r="E581" s="1" t="s">
        <v>1090</v>
      </c>
      <c r="F581" s="1" t="s">
        <v>24</v>
      </c>
      <c r="G581" s="1" t="s">
        <v>133</v>
      </c>
      <c r="H581" s="2">
        <v>283.20</v>
      </c>
      <c r="I581" s="1" t="s">
        <v>44</v>
      </c>
      <c r="J581" s="3" t="s">
        <v>27</v>
      </c>
      <c r="K581" s="2">
        <v>240</v>
      </c>
      <c r="L581" s="2">
        <v>0</v>
      </c>
      <c r="M581" s="2">
        <v>21.60</v>
      </c>
      <c r="N581" s="2">
        <v>21.60</v>
      </c>
      <c r="O581" s="2">
        <v>0</v>
      </c>
      <c r="P581" s="7" t="s">
        <v>28</v>
      </c>
      <c r="Q581" s="1" t="s">
        <v>29</v>
      </c>
      <c r="R581" s="3" t="s">
        <v>45</v>
      </c>
      <c r="S581" s="1" t="s">
        <v>46</v>
      </c>
      <c r="T581" s="4" t="s">
        <v>31</v>
      </c>
      <c r="U581" s="7" t="s">
        <v>46</v>
      </c>
      <c r="V581" s="7" t="s">
        <v>46</v>
      </c>
      <c r="W581" s="7" t="s">
        <v>46</v>
      </c>
      <c r="X581" s="7" t="s">
        <v>1751</v>
      </c>
      <c r="Y581" s="10">
        <f t="shared" si="19" ref="Y581:Y644">L581+M581+N581+O581</f>
        <v>43.200000000000003</v>
      </c>
      <c r="AH581" s="5" t="e">
        <f>VLOOKUP(B581,[1]DL!$BK:$BP,6,0)</f>
        <v>#N/A</v>
      </c>
    </row>
    <row r="582" spans="1:34" ht="14.5" hidden="1">
      <c r="A582" s="5">
        <v>579</v>
      </c>
      <c r="B582" s="5" t="str">
        <f t="shared" si="18"/>
        <v>07ACUPC6924F1ZG702</v>
      </c>
      <c r="C582" s="1" t="s">
        <v>1076</v>
      </c>
      <c r="D582" s="1" t="s">
        <v>1077</v>
      </c>
      <c r="E582" s="1" t="s">
        <v>1091</v>
      </c>
      <c r="F582" s="1" t="s">
        <v>24</v>
      </c>
      <c r="G582" s="1" t="s">
        <v>133</v>
      </c>
      <c r="H582" s="2">
        <v>267.86</v>
      </c>
      <c r="I582" s="1" t="s">
        <v>44</v>
      </c>
      <c r="J582" s="3" t="s">
        <v>27</v>
      </c>
      <c r="K582" s="2">
        <v>227</v>
      </c>
      <c r="L582" s="2">
        <v>0</v>
      </c>
      <c r="M582" s="2">
        <v>20.43</v>
      </c>
      <c r="N582" s="2">
        <v>20.43</v>
      </c>
      <c r="O582" s="2">
        <v>0</v>
      </c>
      <c r="P582" s="7" t="s">
        <v>28</v>
      </c>
      <c r="Q582" s="1" t="s">
        <v>29</v>
      </c>
      <c r="R582" s="3" t="s">
        <v>45</v>
      </c>
      <c r="S582" s="1" t="s">
        <v>46</v>
      </c>
      <c r="T582" s="4" t="s">
        <v>31</v>
      </c>
      <c r="U582" s="7" t="s">
        <v>46</v>
      </c>
      <c r="V582" s="7" t="s">
        <v>46</v>
      </c>
      <c r="W582" s="7" t="s">
        <v>46</v>
      </c>
      <c r="X582" s="7" t="s">
        <v>1751</v>
      </c>
      <c r="Y582" s="10">
        <f t="shared" si="19"/>
        <v>40.859999999999999</v>
      </c>
      <c r="AH582" s="5" t="e">
        <f>VLOOKUP(B582,[1]DL!$BK:$BP,6,0)</f>
        <v>#N/A</v>
      </c>
    </row>
    <row r="583" spans="1:34" ht="14.5" hidden="1">
      <c r="A583" s="5">
        <v>580</v>
      </c>
      <c r="B583" s="5" t="str">
        <f t="shared" si="18"/>
        <v>07ACUPC6924F1ZG703</v>
      </c>
      <c r="C583" s="1" t="s">
        <v>1076</v>
      </c>
      <c r="D583" s="1" t="s">
        <v>1077</v>
      </c>
      <c r="E583" s="1" t="s">
        <v>1092</v>
      </c>
      <c r="F583" s="1" t="s">
        <v>24</v>
      </c>
      <c r="G583" s="1" t="s">
        <v>133</v>
      </c>
      <c r="H583" s="2">
        <v>979.40</v>
      </c>
      <c r="I583" s="1" t="s">
        <v>44</v>
      </c>
      <c r="J583" s="3" t="s">
        <v>27</v>
      </c>
      <c r="K583" s="2">
        <v>830</v>
      </c>
      <c r="L583" s="2">
        <v>0</v>
      </c>
      <c r="M583" s="2">
        <v>74.70</v>
      </c>
      <c r="N583" s="2">
        <v>74.70</v>
      </c>
      <c r="O583" s="2">
        <v>0</v>
      </c>
      <c r="P583" s="7" t="s">
        <v>28</v>
      </c>
      <c r="Q583" s="1" t="s">
        <v>29</v>
      </c>
      <c r="R583" s="3" t="s">
        <v>45</v>
      </c>
      <c r="S583" s="1" t="s">
        <v>46</v>
      </c>
      <c r="T583" s="4" t="s">
        <v>31</v>
      </c>
      <c r="U583" s="7" t="s">
        <v>46</v>
      </c>
      <c r="V583" s="7" t="s">
        <v>46</v>
      </c>
      <c r="W583" s="7" t="s">
        <v>46</v>
      </c>
      <c r="X583" s="7" t="s">
        <v>1751</v>
      </c>
      <c r="Y583" s="10">
        <f t="shared" si="19"/>
        <v>149.40000000000001</v>
      </c>
      <c r="AH583" s="5" t="e">
        <f>VLOOKUP(B583,[1]DL!$BK:$BP,6,0)</f>
        <v>#N/A</v>
      </c>
    </row>
    <row r="584" spans="1:34" ht="14.5" hidden="1">
      <c r="A584" s="5">
        <v>581</v>
      </c>
      <c r="B584" s="5" t="str">
        <f t="shared" si="18"/>
        <v>07ACUPC6924F1ZG704</v>
      </c>
      <c r="C584" s="1" t="s">
        <v>1076</v>
      </c>
      <c r="D584" s="1" t="s">
        <v>1077</v>
      </c>
      <c r="E584" s="1" t="s">
        <v>1093</v>
      </c>
      <c r="F584" s="1" t="s">
        <v>24</v>
      </c>
      <c r="G584" s="1" t="s">
        <v>133</v>
      </c>
      <c r="H584" s="2">
        <v>4956</v>
      </c>
      <c r="I584" s="1" t="s">
        <v>44</v>
      </c>
      <c r="J584" s="3" t="s">
        <v>27</v>
      </c>
      <c r="K584" s="2">
        <v>4200</v>
      </c>
      <c r="L584" s="2">
        <v>0</v>
      </c>
      <c r="M584" s="2">
        <v>378</v>
      </c>
      <c r="N584" s="2">
        <v>378</v>
      </c>
      <c r="O584" s="2">
        <v>0</v>
      </c>
      <c r="P584" s="7" t="s">
        <v>28</v>
      </c>
      <c r="Q584" s="1" t="s">
        <v>29</v>
      </c>
      <c r="R584" s="3" t="s">
        <v>45</v>
      </c>
      <c r="S584" s="1" t="s">
        <v>46</v>
      </c>
      <c r="T584" s="4" t="s">
        <v>31</v>
      </c>
      <c r="U584" s="7" t="s">
        <v>46</v>
      </c>
      <c r="V584" s="7" t="s">
        <v>46</v>
      </c>
      <c r="W584" s="7" t="s">
        <v>46</v>
      </c>
      <c r="X584" s="7" t="s">
        <v>1751</v>
      </c>
      <c r="Y584" s="10">
        <f t="shared" si="19"/>
        <v>756</v>
      </c>
      <c r="AH584" s="5" t="e">
        <f>VLOOKUP(B584,[1]DL!$BK:$BP,6,0)</f>
        <v>#N/A</v>
      </c>
    </row>
    <row r="585" spans="1:34" ht="14.5" hidden="1">
      <c r="A585" s="5">
        <v>582</v>
      </c>
      <c r="B585" s="5" t="str">
        <f t="shared" si="18"/>
        <v>07ACUPC6924F1ZG705</v>
      </c>
      <c r="C585" s="1" t="s">
        <v>1076</v>
      </c>
      <c r="D585" s="1" t="s">
        <v>1077</v>
      </c>
      <c r="E585" s="1" t="s">
        <v>1094</v>
      </c>
      <c r="F585" s="1" t="s">
        <v>24</v>
      </c>
      <c r="G585" s="1" t="s">
        <v>133</v>
      </c>
      <c r="H585" s="2">
        <v>30975</v>
      </c>
      <c r="I585" s="1" t="s">
        <v>44</v>
      </c>
      <c r="J585" s="3" t="s">
        <v>27</v>
      </c>
      <c r="K585" s="2">
        <v>26250</v>
      </c>
      <c r="L585" s="2">
        <v>0</v>
      </c>
      <c r="M585" s="2">
        <v>2362.5</v>
      </c>
      <c r="N585" s="2">
        <v>2362.5</v>
      </c>
      <c r="O585" s="2">
        <v>0</v>
      </c>
      <c r="P585" s="7" t="s">
        <v>28</v>
      </c>
      <c r="Q585" s="1" t="s">
        <v>29</v>
      </c>
      <c r="R585" s="3" t="s">
        <v>45</v>
      </c>
      <c r="S585" s="1" t="s">
        <v>46</v>
      </c>
      <c r="T585" s="4" t="s">
        <v>31</v>
      </c>
      <c r="U585" s="7" t="s">
        <v>46</v>
      </c>
      <c r="V585" s="7" t="s">
        <v>46</v>
      </c>
      <c r="W585" s="7" t="s">
        <v>46</v>
      </c>
      <c r="X585" s="7" t="s">
        <v>1751</v>
      </c>
      <c r="Y585" s="10">
        <f t="shared" si="19"/>
        <v>4725</v>
      </c>
      <c r="AH585" s="5" t="e">
        <f>VLOOKUP(B585,[1]DL!$BK:$BP,6,0)</f>
        <v>#N/A</v>
      </c>
    </row>
    <row r="586" spans="1:34" ht="14.5" hidden="1">
      <c r="A586" s="5">
        <v>583</v>
      </c>
      <c r="B586" s="5" t="str">
        <f t="shared" si="18"/>
        <v>07ACUPC6924F1ZG706</v>
      </c>
      <c r="C586" s="1" t="s">
        <v>1076</v>
      </c>
      <c r="D586" s="1" t="s">
        <v>1077</v>
      </c>
      <c r="E586" s="1" t="s">
        <v>1095</v>
      </c>
      <c r="F586" s="1" t="s">
        <v>24</v>
      </c>
      <c r="G586" s="1" t="s">
        <v>133</v>
      </c>
      <c r="H586" s="2">
        <v>5900</v>
      </c>
      <c r="I586" s="1" t="s">
        <v>44</v>
      </c>
      <c r="J586" s="3" t="s">
        <v>27</v>
      </c>
      <c r="K586" s="2">
        <v>5000</v>
      </c>
      <c r="L586" s="2">
        <v>0</v>
      </c>
      <c r="M586" s="2">
        <v>450</v>
      </c>
      <c r="N586" s="2">
        <v>450</v>
      </c>
      <c r="O586" s="2">
        <v>0</v>
      </c>
      <c r="P586" s="7" t="s">
        <v>28</v>
      </c>
      <c r="Q586" s="1" t="s">
        <v>29</v>
      </c>
      <c r="R586" s="3" t="s">
        <v>45</v>
      </c>
      <c r="S586" s="1" t="s">
        <v>46</v>
      </c>
      <c r="T586" s="4" t="s">
        <v>31</v>
      </c>
      <c r="U586" s="7" t="s">
        <v>46</v>
      </c>
      <c r="V586" s="7" t="s">
        <v>46</v>
      </c>
      <c r="W586" s="7" t="s">
        <v>46</v>
      </c>
      <c r="X586" s="7" t="s">
        <v>1751</v>
      </c>
      <c r="Y586" s="10">
        <f t="shared" si="19"/>
        <v>900</v>
      </c>
      <c r="AH586" s="5" t="e">
        <f>VLOOKUP(B586,[1]DL!$BK:$BP,6,0)</f>
        <v>#N/A</v>
      </c>
    </row>
    <row r="587" spans="1:34" ht="14.5" hidden="1">
      <c r="A587" s="5">
        <v>584</v>
      </c>
      <c r="B587" s="5" t="str">
        <f t="shared" si="18"/>
        <v>07ACUPC6924F1ZG707</v>
      </c>
      <c r="C587" s="1" t="s">
        <v>1076</v>
      </c>
      <c r="D587" s="1" t="s">
        <v>1077</v>
      </c>
      <c r="E587" s="1" t="s">
        <v>1096</v>
      </c>
      <c r="F587" s="1" t="s">
        <v>24</v>
      </c>
      <c r="G587" s="1" t="s">
        <v>133</v>
      </c>
      <c r="H587" s="2">
        <v>18754.919999999998</v>
      </c>
      <c r="I587" s="1" t="s">
        <v>44</v>
      </c>
      <c r="J587" s="3" t="s">
        <v>27</v>
      </c>
      <c r="K587" s="2">
        <v>15894</v>
      </c>
      <c r="L587" s="2">
        <v>0</v>
      </c>
      <c r="M587" s="2">
        <v>1430.46</v>
      </c>
      <c r="N587" s="2">
        <v>1430.46</v>
      </c>
      <c r="O587" s="2">
        <v>0</v>
      </c>
      <c r="P587" s="7" t="s">
        <v>28</v>
      </c>
      <c r="Q587" s="1" t="s">
        <v>29</v>
      </c>
      <c r="R587" s="3" t="s">
        <v>45</v>
      </c>
      <c r="S587" s="1" t="s">
        <v>46</v>
      </c>
      <c r="T587" s="4" t="s">
        <v>31</v>
      </c>
      <c r="U587" s="7" t="s">
        <v>46</v>
      </c>
      <c r="V587" s="7" t="s">
        <v>46</v>
      </c>
      <c r="W587" s="7" t="s">
        <v>46</v>
      </c>
      <c r="X587" s="7" t="s">
        <v>1751</v>
      </c>
      <c r="Y587" s="10">
        <f t="shared" si="19"/>
        <v>2860.9200000000001</v>
      </c>
      <c r="AH587" s="5" t="e">
        <f>VLOOKUP(B587,[1]DL!$BK:$BP,6,0)</f>
        <v>#N/A</v>
      </c>
    </row>
    <row r="588" spans="1:34" ht="14.5" hidden="1">
      <c r="A588" s="5">
        <v>585</v>
      </c>
      <c r="B588" s="5" t="str">
        <f t="shared" si="18"/>
        <v>07ACUPC6924F1ZG708</v>
      </c>
      <c r="C588" s="1" t="s">
        <v>1076</v>
      </c>
      <c r="D588" s="1" t="s">
        <v>1077</v>
      </c>
      <c r="E588" s="1" t="s">
        <v>1097</v>
      </c>
      <c r="F588" s="1" t="s">
        <v>24</v>
      </c>
      <c r="G588" s="1" t="s">
        <v>133</v>
      </c>
      <c r="H588" s="2">
        <v>2396.58</v>
      </c>
      <c r="I588" s="1" t="s">
        <v>44</v>
      </c>
      <c r="J588" s="3" t="s">
        <v>27</v>
      </c>
      <c r="K588" s="2">
        <v>2031</v>
      </c>
      <c r="L588" s="2">
        <v>0</v>
      </c>
      <c r="M588" s="2">
        <v>182.79</v>
      </c>
      <c r="N588" s="2">
        <v>182.79</v>
      </c>
      <c r="O588" s="2">
        <v>0</v>
      </c>
      <c r="P588" s="7" t="s">
        <v>28</v>
      </c>
      <c r="Q588" s="1" t="s">
        <v>29</v>
      </c>
      <c r="R588" s="3" t="s">
        <v>45</v>
      </c>
      <c r="S588" s="1" t="s">
        <v>46</v>
      </c>
      <c r="T588" s="4" t="s">
        <v>31</v>
      </c>
      <c r="U588" s="7" t="s">
        <v>46</v>
      </c>
      <c r="V588" s="7" t="s">
        <v>46</v>
      </c>
      <c r="W588" s="7" t="s">
        <v>46</v>
      </c>
      <c r="X588" s="7" t="s">
        <v>1751</v>
      </c>
      <c r="Y588" s="10">
        <f t="shared" si="19"/>
        <v>365.57999999999998</v>
      </c>
      <c r="AH588" s="5" t="e">
        <f>VLOOKUP(B588,[1]DL!$BK:$BP,6,0)</f>
        <v>#N/A</v>
      </c>
    </row>
    <row r="589" spans="1:34" ht="14.5" hidden="1">
      <c r="A589" s="5">
        <v>586</v>
      </c>
      <c r="B589" s="5" t="str">
        <f t="shared" si="18"/>
        <v>07ACUPC6924F1ZG709</v>
      </c>
      <c r="C589" s="1" t="s">
        <v>1076</v>
      </c>
      <c r="D589" s="1" t="s">
        <v>1077</v>
      </c>
      <c r="E589" s="1" t="s">
        <v>1098</v>
      </c>
      <c r="F589" s="1" t="s">
        <v>24</v>
      </c>
      <c r="G589" s="1" t="s">
        <v>133</v>
      </c>
      <c r="H589" s="2">
        <v>826</v>
      </c>
      <c r="I589" s="1" t="s">
        <v>44</v>
      </c>
      <c r="J589" s="3" t="s">
        <v>27</v>
      </c>
      <c r="K589" s="2">
        <v>700</v>
      </c>
      <c r="L589" s="2">
        <v>0</v>
      </c>
      <c r="M589" s="2">
        <v>63</v>
      </c>
      <c r="N589" s="2">
        <v>63</v>
      </c>
      <c r="O589" s="2">
        <v>0</v>
      </c>
      <c r="P589" s="7" t="s">
        <v>28</v>
      </c>
      <c r="Q589" s="1" t="s">
        <v>29</v>
      </c>
      <c r="R589" s="3" t="s">
        <v>45</v>
      </c>
      <c r="S589" s="1" t="s">
        <v>46</v>
      </c>
      <c r="T589" s="4" t="s">
        <v>31</v>
      </c>
      <c r="U589" s="7" t="s">
        <v>46</v>
      </c>
      <c r="V589" s="7" t="s">
        <v>46</v>
      </c>
      <c r="W589" s="7" t="s">
        <v>46</v>
      </c>
      <c r="X589" s="7" t="s">
        <v>1751</v>
      </c>
      <c r="Y589" s="10">
        <f t="shared" si="19"/>
        <v>126</v>
      </c>
      <c r="AH589" s="5" t="e">
        <f>VLOOKUP(B589,[1]DL!$BK:$BP,6,0)</f>
        <v>#N/A</v>
      </c>
    </row>
    <row r="590" spans="1:34" ht="14.5" hidden="1">
      <c r="A590" s="5">
        <v>587</v>
      </c>
      <c r="B590" s="5" t="str">
        <f t="shared" si="18"/>
        <v>07ACUPC6924F1ZG710</v>
      </c>
      <c r="C590" s="1" t="s">
        <v>1076</v>
      </c>
      <c r="D590" s="1" t="s">
        <v>1077</v>
      </c>
      <c r="E590" s="1" t="s">
        <v>1099</v>
      </c>
      <c r="F590" s="1" t="s">
        <v>24</v>
      </c>
      <c r="G590" s="1" t="s">
        <v>133</v>
      </c>
      <c r="H590" s="2">
        <v>8024</v>
      </c>
      <c r="I590" s="1" t="s">
        <v>44</v>
      </c>
      <c r="J590" s="3" t="s">
        <v>27</v>
      </c>
      <c r="K590" s="2">
        <v>6800</v>
      </c>
      <c r="L590" s="2">
        <v>0</v>
      </c>
      <c r="M590" s="2">
        <v>612</v>
      </c>
      <c r="N590" s="2">
        <v>612</v>
      </c>
      <c r="O590" s="2">
        <v>0</v>
      </c>
      <c r="P590" s="7" t="s">
        <v>28</v>
      </c>
      <c r="Q590" s="1" t="s">
        <v>29</v>
      </c>
      <c r="R590" s="3" t="s">
        <v>45</v>
      </c>
      <c r="S590" s="1" t="s">
        <v>46</v>
      </c>
      <c r="T590" s="4" t="s">
        <v>31</v>
      </c>
      <c r="U590" s="7" t="s">
        <v>46</v>
      </c>
      <c r="V590" s="7" t="s">
        <v>46</v>
      </c>
      <c r="W590" s="7" t="s">
        <v>46</v>
      </c>
      <c r="X590" s="7" t="s">
        <v>1751</v>
      </c>
      <c r="Y590" s="10">
        <f t="shared" si="19"/>
        <v>1224</v>
      </c>
      <c r="AH590" s="5" t="e">
        <f>VLOOKUP(B590,[1]DL!$BK:$BP,6,0)</f>
        <v>#N/A</v>
      </c>
    </row>
    <row r="591" spans="1:34" ht="14.5" hidden="1">
      <c r="A591" s="5">
        <v>588</v>
      </c>
      <c r="B591" s="5" t="str">
        <f t="shared" si="18"/>
        <v>07AACCE9997K1ZT20260136</v>
      </c>
      <c r="C591" s="1" t="s">
        <v>1100</v>
      </c>
      <c r="D591" s="1" t="s">
        <v>1101</v>
      </c>
      <c r="E591" s="1" t="s">
        <v>1102</v>
      </c>
      <c r="F591" s="1" t="s">
        <v>24</v>
      </c>
      <c r="G591" s="1" t="s">
        <v>420</v>
      </c>
      <c r="H591" s="2">
        <v>672529.20</v>
      </c>
      <c r="I591" s="1" t="s">
        <v>44</v>
      </c>
      <c r="J591" s="3" t="s">
        <v>27</v>
      </c>
      <c r="K591" s="2">
        <v>569940</v>
      </c>
      <c r="L591" s="2">
        <v>0</v>
      </c>
      <c r="M591" s="2">
        <v>51294.60</v>
      </c>
      <c r="N591" s="2">
        <v>51294.60</v>
      </c>
      <c r="O591" s="2">
        <v>0</v>
      </c>
      <c r="P591" s="7" t="s">
        <v>28</v>
      </c>
      <c r="Q591" s="1" t="s">
        <v>29</v>
      </c>
      <c r="R591" s="3" t="s">
        <v>45</v>
      </c>
      <c r="S591" s="1" t="s">
        <v>46</v>
      </c>
      <c r="T591" s="4" t="s">
        <v>31</v>
      </c>
      <c r="U591" s="7" t="s">
        <v>32</v>
      </c>
      <c r="V591" s="7" t="s">
        <v>1103</v>
      </c>
      <c r="W591" s="7" t="s">
        <v>420</v>
      </c>
      <c r="X591" s="7" t="s">
        <v>1751</v>
      </c>
      <c r="Y591" s="10">
        <f t="shared" si="19"/>
        <v>102589.2</v>
      </c>
      <c r="AH591" s="5" t="e">
        <f>VLOOKUP(B591,[1]DL!$BK:$BP,6,0)</f>
        <v>#N/A</v>
      </c>
    </row>
    <row r="592" spans="1:34" ht="14.5" hidden="1">
      <c r="A592" s="5">
        <v>589</v>
      </c>
      <c r="B592" s="5" t="str">
        <f t="shared" si="18"/>
        <v>07AAACM6396E2ZCH07T10202600241</v>
      </c>
      <c r="C592" s="1" t="s">
        <v>1104</v>
      </c>
      <c r="D592" s="1" t="s">
        <v>1105</v>
      </c>
      <c r="E592" s="1" t="s">
        <v>1106</v>
      </c>
      <c r="F592" s="1" t="s">
        <v>24</v>
      </c>
      <c r="G592" s="1" t="s">
        <v>76</v>
      </c>
      <c r="H592" s="2">
        <v>574112.48</v>
      </c>
      <c r="I592" s="1" t="s">
        <v>44</v>
      </c>
      <c r="J592" s="3" t="s">
        <v>27</v>
      </c>
      <c r="K592" s="2">
        <v>486536</v>
      </c>
      <c r="L592" s="2">
        <v>0</v>
      </c>
      <c r="M592" s="2">
        <v>43788.24</v>
      </c>
      <c r="N592" s="2">
        <v>43788.24</v>
      </c>
      <c r="O592" s="2">
        <v>0</v>
      </c>
      <c r="P592" s="7" t="s">
        <v>28</v>
      </c>
      <c r="Q592" s="1" t="s">
        <v>94</v>
      </c>
      <c r="R592" s="3" t="s">
        <v>45</v>
      </c>
      <c r="S592" s="1" t="s">
        <v>46</v>
      </c>
      <c r="T592" s="4" t="s">
        <v>31</v>
      </c>
      <c r="U592" s="7" t="s">
        <v>32</v>
      </c>
      <c r="V592" s="7" t="s">
        <v>1107</v>
      </c>
      <c r="W592" s="7" t="s">
        <v>76</v>
      </c>
      <c r="X592" s="7" t="s">
        <v>1751</v>
      </c>
      <c r="Y592" s="10">
        <f t="shared" si="19"/>
        <v>87576.479999999996</v>
      </c>
      <c r="AH592" s="5" t="e">
        <f>VLOOKUP(B592,[1]DL!$BK:$BP,6,0)</f>
        <v>#N/A</v>
      </c>
    </row>
    <row r="593" spans="1:34" ht="14.5">
      <c r="A593" s="5">
        <v>590</v>
      </c>
      <c r="B593" s="5" t="str">
        <f t="shared" si="18"/>
        <v>07AELPT6048J2ZV446</v>
      </c>
      <c r="C593" s="1" t="s">
        <v>1108</v>
      </c>
      <c r="D593" s="1" t="s">
        <v>1109</v>
      </c>
      <c r="E593" s="1" t="s">
        <v>1110</v>
      </c>
      <c r="F593" s="1" t="s">
        <v>24</v>
      </c>
      <c r="G593" s="1" t="s">
        <v>171</v>
      </c>
      <c r="H593" s="2">
        <v>12980</v>
      </c>
      <c r="I593" s="1" t="s">
        <v>44</v>
      </c>
      <c r="J593" s="3" t="s">
        <v>27</v>
      </c>
      <c r="K593" s="2">
        <v>11000</v>
      </c>
      <c r="L593" s="2">
        <v>0</v>
      </c>
      <c r="M593" s="2">
        <v>990</v>
      </c>
      <c r="N593" s="2">
        <v>990</v>
      </c>
      <c r="O593" s="2">
        <v>0</v>
      </c>
      <c r="P593" s="7" t="s">
        <v>28</v>
      </c>
      <c r="Q593" s="1" t="s">
        <v>904</v>
      </c>
      <c r="R593" s="3" t="s">
        <v>45</v>
      </c>
      <c r="S593" s="1" t="s">
        <v>46</v>
      </c>
      <c r="T593" s="4" t="s">
        <v>31</v>
      </c>
      <c r="U593" s="7" t="s">
        <v>46</v>
      </c>
      <c r="V593" s="7" t="s">
        <v>46</v>
      </c>
      <c r="W593" s="7" t="s">
        <v>46</v>
      </c>
      <c r="X593" s="7" t="s">
        <v>1751</v>
      </c>
      <c r="Y593" s="10">
        <f t="shared" si="19"/>
        <v>1980</v>
      </c>
      <c r="Z593" s="5">
        <v>9175031</v>
      </c>
      <c r="AA593" s="5" t="s">
        <v>1922</v>
      </c>
      <c r="AB593" s="5" t="s">
        <v>1751</v>
      </c>
      <c r="AC593" s="5" t="s">
        <v>1924</v>
      </c>
      <c r="AE593" s="5" t="s">
        <v>1923</v>
      </c>
      <c r="AH593" s="5">
        <f>VLOOKUP(B593,[1]DL!$BK:$BP,6,0)</f>
        <v>9175031</v>
      </c>
    </row>
    <row r="594" spans="1:34" ht="14.5" hidden="1">
      <c r="A594" s="5">
        <v>591</v>
      </c>
      <c r="B594" s="5" t="str">
        <f t="shared" si="18"/>
        <v>27AABCG4768K1Z7GPI-FGR260500007</v>
      </c>
      <c r="C594" s="1" t="s">
        <v>1111</v>
      </c>
      <c r="D594" s="1" t="s">
        <v>430</v>
      </c>
      <c r="E594" s="1" t="s">
        <v>1112</v>
      </c>
      <c r="F594" s="1" t="s">
        <v>24</v>
      </c>
      <c r="G594" s="1" t="s">
        <v>54</v>
      </c>
      <c r="H594" s="2">
        <v>19398953.84</v>
      </c>
      <c r="I594" s="1" t="s">
        <v>44</v>
      </c>
      <c r="J594" s="3" t="s">
        <v>27</v>
      </c>
      <c r="K594" s="2">
        <v>12848325.279999999</v>
      </c>
      <c r="L594" s="2">
        <v>6550628.5599999996</v>
      </c>
      <c r="M594" s="2">
        <v>0</v>
      </c>
      <c r="N594" s="2">
        <v>0</v>
      </c>
      <c r="O594" s="2">
        <v>0</v>
      </c>
      <c r="P594" s="7" t="s">
        <v>28</v>
      </c>
      <c r="Q594" s="1" t="s">
        <v>120</v>
      </c>
      <c r="R594" s="3" t="s">
        <v>45</v>
      </c>
      <c r="S594" s="1" t="s">
        <v>46</v>
      </c>
      <c r="T594" s="4" t="s">
        <v>31</v>
      </c>
      <c r="U594" s="7" t="s">
        <v>32</v>
      </c>
      <c r="V594" s="7" t="s">
        <v>1113</v>
      </c>
      <c r="W594" s="7" t="s">
        <v>54</v>
      </c>
      <c r="X594" s="7" t="s">
        <v>1751</v>
      </c>
      <c r="Y594" s="10">
        <f t="shared" si="19"/>
        <v>6550628.5599999996</v>
      </c>
      <c r="AH594" s="5" t="e">
        <f>VLOOKUP(B594,[1]DL!$BK:$BP,6,0)</f>
        <v>#N/A</v>
      </c>
    </row>
    <row r="595" spans="1:34" ht="14.5" hidden="1">
      <c r="A595" s="5">
        <v>592</v>
      </c>
      <c r="B595" s="5" t="str">
        <f t="shared" si="18"/>
        <v>27AABCG4768K1Z7GPI-FGR260500034</v>
      </c>
      <c r="C595" s="1" t="s">
        <v>1111</v>
      </c>
      <c r="D595" s="1" t="s">
        <v>430</v>
      </c>
      <c r="E595" s="1" t="s">
        <v>1114</v>
      </c>
      <c r="F595" s="1" t="s">
        <v>24</v>
      </c>
      <c r="G595" s="1" t="s">
        <v>93</v>
      </c>
      <c r="H595" s="2">
        <v>1347336.03</v>
      </c>
      <c r="I595" s="1" t="s">
        <v>44</v>
      </c>
      <c r="J595" s="3" t="s">
        <v>27</v>
      </c>
      <c r="K595" s="2">
        <v>890764.60</v>
      </c>
      <c r="L595" s="2">
        <v>456571.43</v>
      </c>
      <c r="M595" s="2">
        <v>0</v>
      </c>
      <c r="N595" s="2">
        <v>0</v>
      </c>
      <c r="O595" s="2">
        <v>0</v>
      </c>
      <c r="P595" s="7" t="s">
        <v>28</v>
      </c>
      <c r="Q595" s="1" t="s">
        <v>120</v>
      </c>
      <c r="R595" s="3" t="s">
        <v>45</v>
      </c>
      <c r="S595" s="1" t="s">
        <v>46</v>
      </c>
      <c r="T595" s="4" t="s">
        <v>31</v>
      </c>
      <c r="U595" s="7" t="s">
        <v>32</v>
      </c>
      <c r="V595" s="7" t="s">
        <v>1115</v>
      </c>
      <c r="W595" s="7" t="s">
        <v>93</v>
      </c>
      <c r="X595" s="7" t="s">
        <v>1751</v>
      </c>
      <c r="Y595" s="10">
        <f t="shared" si="19"/>
        <v>456571.42999999999</v>
      </c>
      <c r="AH595" s="5" t="e">
        <f>VLOOKUP(B595,[1]DL!$BK:$BP,6,0)</f>
        <v>#N/A</v>
      </c>
    </row>
    <row r="596" spans="1:34" ht="14.5" hidden="1">
      <c r="A596" s="5">
        <v>593</v>
      </c>
      <c r="B596" s="5" t="str">
        <f t="shared" si="18"/>
        <v>27AABCG4768K1Z7GPI-FGR260500056</v>
      </c>
      <c r="C596" s="1" t="s">
        <v>1111</v>
      </c>
      <c r="D596" s="1" t="s">
        <v>430</v>
      </c>
      <c r="E596" s="1" t="s">
        <v>1116</v>
      </c>
      <c r="F596" s="1" t="s">
        <v>24</v>
      </c>
      <c r="G596" s="1" t="s">
        <v>50</v>
      </c>
      <c r="H596" s="2">
        <v>5336971.37</v>
      </c>
      <c r="I596" s="1" t="s">
        <v>44</v>
      </c>
      <c r="J596" s="3" t="s">
        <v>27</v>
      </c>
      <c r="K596" s="2">
        <v>3485542.80</v>
      </c>
      <c r="L596" s="2">
        <v>1851428.57</v>
      </c>
      <c r="M596" s="2">
        <v>0</v>
      </c>
      <c r="N596" s="2">
        <v>0</v>
      </c>
      <c r="O596" s="2">
        <v>0</v>
      </c>
      <c r="P596" s="7" t="s">
        <v>28</v>
      </c>
      <c r="Q596" s="1" t="s">
        <v>120</v>
      </c>
      <c r="R596" s="3" t="s">
        <v>45</v>
      </c>
      <c r="S596" s="1" t="s">
        <v>46</v>
      </c>
      <c r="T596" s="4" t="s">
        <v>31</v>
      </c>
      <c r="U596" s="7" t="s">
        <v>32</v>
      </c>
      <c r="V596" s="7" t="s">
        <v>1117</v>
      </c>
      <c r="W596" s="7" t="s">
        <v>50</v>
      </c>
      <c r="X596" s="7" t="s">
        <v>1751</v>
      </c>
      <c r="Y596" s="10">
        <f t="shared" si="19"/>
        <v>1851428.5700000001</v>
      </c>
      <c r="AH596" s="5" t="e">
        <f>VLOOKUP(B596,[1]DL!$BK:$BP,6,0)</f>
        <v>#N/A</v>
      </c>
    </row>
    <row r="597" spans="1:34" ht="14.5" hidden="1">
      <c r="A597" s="5">
        <v>594</v>
      </c>
      <c r="B597" s="5" t="str">
        <f t="shared" si="18"/>
        <v>27AABCG4768K1Z7GPI-FGR260500104</v>
      </c>
      <c r="C597" s="1" t="s">
        <v>1111</v>
      </c>
      <c r="D597" s="1" t="s">
        <v>430</v>
      </c>
      <c r="E597" s="1" t="s">
        <v>1118</v>
      </c>
      <c r="F597" s="1" t="s">
        <v>24</v>
      </c>
      <c r="G597" s="1" t="s">
        <v>628</v>
      </c>
      <c r="H597" s="2">
        <v>23206366.510000002</v>
      </c>
      <c r="I597" s="1" t="s">
        <v>44</v>
      </c>
      <c r="J597" s="3" t="s">
        <v>27</v>
      </c>
      <c r="K597" s="2">
        <v>15234595.08</v>
      </c>
      <c r="L597" s="2">
        <v>7971771.4299999997</v>
      </c>
      <c r="M597" s="2">
        <v>0</v>
      </c>
      <c r="N597" s="2">
        <v>0</v>
      </c>
      <c r="O597" s="2">
        <v>0</v>
      </c>
      <c r="P597" s="7" t="s">
        <v>28</v>
      </c>
      <c r="Q597" s="1" t="s">
        <v>120</v>
      </c>
      <c r="R597" s="3" t="s">
        <v>45</v>
      </c>
      <c r="S597" s="1" t="s">
        <v>46</v>
      </c>
      <c r="T597" s="4" t="s">
        <v>31</v>
      </c>
      <c r="U597" s="7" t="s">
        <v>32</v>
      </c>
      <c r="V597" s="7" t="s">
        <v>1119</v>
      </c>
      <c r="W597" s="7" t="s">
        <v>628</v>
      </c>
      <c r="X597" s="7" t="s">
        <v>1751</v>
      </c>
      <c r="Y597" s="10">
        <f t="shared" si="19"/>
        <v>7971771.4299999997</v>
      </c>
      <c r="AH597" s="5" t="e">
        <f>VLOOKUP(B597,[1]DL!$BK:$BP,6,0)</f>
        <v>#N/A</v>
      </c>
    </row>
    <row r="598" spans="1:34" ht="14.5" hidden="1">
      <c r="A598" s="5">
        <v>595</v>
      </c>
      <c r="B598" s="5" t="str">
        <f t="shared" si="18"/>
        <v>27AABCG4768K1Z7GPI-FGR260500149</v>
      </c>
      <c r="C598" s="1" t="s">
        <v>1111</v>
      </c>
      <c r="D598" s="1" t="s">
        <v>430</v>
      </c>
      <c r="E598" s="1" t="s">
        <v>1120</v>
      </c>
      <c r="F598" s="1" t="s">
        <v>24</v>
      </c>
      <c r="G598" s="1" t="s">
        <v>398</v>
      </c>
      <c r="H598" s="2">
        <v>37587412.859999999</v>
      </c>
      <c r="I598" s="1" t="s">
        <v>44</v>
      </c>
      <c r="J598" s="3" t="s">
        <v>27</v>
      </c>
      <c r="K598" s="2">
        <v>24730270</v>
      </c>
      <c r="L598" s="2">
        <v>12857142.859999999</v>
      </c>
      <c r="M598" s="2">
        <v>0</v>
      </c>
      <c r="N598" s="2">
        <v>0</v>
      </c>
      <c r="O598" s="2">
        <v>0</v>
      </c>
      <c r="P598" s="7" t="s">
        <v>28</v>
      </c>
      <c r="Q598" s="1" t="s">
        <v>120</v>
      </c>
      <c r="R598" s="3" t="s">
        <v>45</v>
      </c>
      <c r="S598" s="1" t="s">
        <v>46</v>
      </c>
      <c r="T598" s="4" t="s">
        <v>31</v>
      </c>
      <c r="U598" s="7" t="s">
        <v>32</v>
      </c>
      <c r="V598" s="7" t="s">
        <v>1121</v>
      </c>
      <c r="W598" s="7" t="s">
        <v>398</v>
      </c>
      <c r="X598" s="7" t="s">
        <v>1751</v>
      </c>
      <c r="Y598" s="10">
        <f t="shared" si="19"/>
        <v>12857142.859999999</v>
      </c>
      <c r="AH598" s="5" t="e">
        <f>VLOOKUP(B598,[1]DL!$BK:$BP,6,0)</f>
        <v>#N/A</v>
      </c>
    </row>
    <row r="599" spans="1:34" ht="14.5" hidden="1">
      <c r="A599" s="5">
        <v>596</v>
      </c>
      <c r="B599" s="5" t="str">
        <f t="shared" si="18"/>
        <v>27AABCG4768K1Z7GPI-FGR260500153</v>
      </c>
      <c r="C599" s="1" t="s">
        <v>1111</v>
      </c>
      <c r="D599" s="1" t="s">
        <v>430</v>
      </c>
      <c r="E599" s="1" t="s">
        <v>1122</v>
      </c>
      <c r="F599" s="1" t="s">
        <v>24</v>
      </c>
      <c r="G599" s="1" t="s">
        <v>398</v>
      </c>
      <c r="H599" s="2">
        <v>15786804</v>
      </c>
      <c r="I599" s="1" t="s">
        <v>44</v>
      </c>
      <c r="J599" s="3" t="s">
        <v>27</v>
      </c>
      <c r="K599" s="2">
        <v>10386804</v>
      </c>
      <c r="L599" s="2">
        <v>5400000</v>
      </c>
      <c r="M599" s="2">
        <v>0</v>
      </c>
      <c r="N599" s="2">
        <v>0</v>
      </c>
      <c r="O599" s="2">
        <v>0</v>
      </c>
      <c r="P599" s="7" t="s">
        <v>28</v>
      </c>
      <c r="Q599" s="1" t="s">
        <v>120</v>
      </c>
      <c r="R599" s="3" t="s">
        <v>45</v>
      </c>
      <c r="S599" s="1" t="s">
        <v>46</v>
      </c>
      <c r="T599" s="4" t="s">
        <v>31</v>
      </c>
      <c r="U599" s="7" t="s">
        <v>32</v>
      </c>
      <c r="V599" s="7" t="s">
        <v>1123</v>
      </c>
      <c r="W599" s="7" t="s">
        <v>398</v>
      </c>
      <c r="X599" s="7" t="s">
        <v>1751</v>
      </c>
      <c r="Y599" s="10">
        <f t="shared" si="19"/>
        <v>5400000</v>
      </c>
      <c r="AH599" s="5" t="e">
        <f>VLOOKUP(B599,[1]DL!$BK:$BP,6,0)</f>
        <v>#N/A</v>
      </c>
    </row>
    <row r="600" spans="1:34" ht="14.5" hidden="1">
      <c r="A600" s="5">
        <v>597</v>
      </c>
      <c r="B600" s="5" t="str">
        <f t="shared" si="18"/>
        <v>27AABCG4768K1Z7GPI-FGR260500174</v>
      </c>
      <c r="C600" s="1" t="s">
        <v>1111</v>
      </c>
      <c r="D600" s="1" t="s">
        <v>430</v>
      </c>
      <c r="E600" s="1" t="s">
        <v>1124</v>
      </c>
      <c r="F600" s="1" t="s">
        <v>24</v>
      </c>
      <c r="G600" s="1" t="s">
        <v>35</v>
      </c>
      <c r="H600" s="2">
        <v>28680905.809999999</v>
      </c>
      <c r="I600" s="1" t="s">
        <v>44</v>
      </c>
      <c r="J600" s="3" t="s">
        <v>27</v>
      </c>
      <c r="K600" s="2">
        <v>18826620.100000001</v>
      </c>
      <c r="L600" s="2">
        <v>9854285.7100000009</v>
      </c>
      <c r="M600" s="2">
        <v>0</v>
      </c>
      <c r="N600" s="2">
        <v>0</v>
      </c>
      <c r="O600" s="2">
        <v>0</v>
      </c>
      <c r="P600" s="7" t="s">
        <v>28</v>
      </c>
      <c r="Q600" s="1" t="s">
        <v>120</v>
      </c>
      <c r="R600" s="3" t="s">
        <v>45</v>
      </c>
      <c r="S600" s="1" t="s">
        <v>46</v>
      </c>
      <c r="T600" s="4" t="s">
        <v>31</v>
      </c>
      <c r="U600" s="7" t="s">
        <v>32</v>
      </c>
      <c r="V600" s="7" t="s">
        <v>1125</v>
      </c>
      <c r="W600" s="7" t="s">
        <v>35</v>
      </c>
      <c r="X600" s="7" t="s">
        <v>1751</v>
      </c>
      <c r="Y600" s="10">
        <f t="shared" si="19"/>
        <v>9854285.7100000009</v>
      </c>
      <c r="AH600" s="5" t="e">
        <f>VLOOKUP(B600,[1]DL!$BK:$BP,6,0)</f>
        <v>#N/A</v>
      </c>
    </row>
    <row r="601" spans="1:34" ht="14.5" hidden="1">
      <c r="A601" s="5">
        <v>598</v>
      </c>
      <c r="B601" s="5" t="str">
        <f t="shared" si="18"/>
        <v>27AABCG4768K1Z7GPI-FGR260500223</v>
      </c>
      <c r="C601" s="1" t="s">
        <v>1111</v>
      </c>
      <c r="D601" s="1" t="s">
        <v>430</v>
      </c>
      <c r="E601" s="1" t="s">
        <v>1126</v>
      </c>
      <c r="F601" s="1" t="s">
        <v>24</v>
      </c>
      <c r="G601" s="1" t="s">
        <v>128</v>
      </c>
      <c r="H601" s="2">
        <v>18475423.82</v>
      </c>
      <c r="I601" s="1" t="s">
        <v>44</v>
      </c>
      <c r="J601" s="3" t="s">
        <v>27</v>
      </c>
      <c r="K601" s="2">
        <v>12172566.68</v>
      </c>
      <c r="L601" s="2">
        <v>6302857.1399999997</v>
      </c>
      <c r="M601" s="2">
        <v>0</v>
      </c>
      <c r="N601" s="2">
        <v>0</v>
      </c>
      <c r="O601" s="2">
        <v>0</v>
      </c>
      <c r="P601" s="7" t="s">
        <v>28</v>
      </c>
      <c r="Q601" s="1" t="s">
        <v>120</v>
      </c>
      <c r="R601" s="3" t="s">
        <v>45</v>
      </c>
      <c r="S601" s="1" t="s">
        <v>46</v>
      </c>
      <c r="T601" s="4" t="s">
        <v>31</v>
      </c>
      <c r="U601" s="7" t="s">
        <v>32</v>
      </c>
      <c r="V601" s="7" t="s">
        <v>1127</v>
      </c>
      <c r="W601" s="7" t="s">
        <v>128</v>
      </c>
      <c r="X601" s="7" t="s">
        <v>1751</v>
      </c>
      <c r="Y601" s="10">
        <f t="shared" si="19"/>
        <v>6302857.1399999997</v>
      </c>
      <c r="AH601" s="5" t="e">
        <f>VLOOKUP(B601,[1]DL!$BK:$BP,6,0)</f>
        <v>#N/A</v>
      </c>
    </row>
    <row r="602" spans="1:34" ht="14.5" hidden="1">
      <c r="A602" s="5">
        <v>599</v>
      </c>
      <c r="B602" s="5" t="str">
        <f t="shared" si="18"/>
        <v>07AAACB0272G1Z5D2503629</v>
      </c>
      <c r="C602" s="1" t="s">
        <v>1128</v>
      </c>
      <c r="D602" s="1" t="s">
        <v>1129</v>
      </c>
      <c r="E602" s="1" t="s">
        <v>1130</v>
      </c>
      <c r="F602" s="1" t="s">
        <v>24</v>
      </c>
      <c r="G602" s="1" t="s">
        <v>1131</v>
      </c>
      <c r="H602" s="2">
        <v>5627</v>
      </c>
      <c r="I602" s="1" t="s">
        <v>44</v>
      </c>
      <c r="J602" s="3" t="s">
        <v>27</v>
      </c>
      <c r="K602" s="2">
        <v>266.60000000000002</v>
      </c>
      <c r="L602" s="2">
        <v>0</v>
      </c>
      <c r="M602" s="2">
        <v>24</v>
      </c>
      <c r="N602" s="2">
        <v>24</v>
      </c>
      <c r="O602" s="2">
        <v>0</v>
      </c>
      <c r="P602" s="7" t="s">
        <v>203</v>
      </c>
      <c r="Q602" s="1" t="s">
        <v>76</v>
      </c>
      <c r="R602" s="3" t="s">
        <v>45</v>
      </c>
      <c r="S602" s="1" t="s">
        <v>46</v>
      </c>
      <c r="T602" s="4" t="s">
        <v>31</v>
      </c>
      <c r="U602" s="7" t="s">
        <v>32</v>
      </c>
      <c r="V602" s="7" t="s">
        <v>1132</v>
      </c>
      <c r="W602" s="7" t="s">
        <v>1133</v>
      </c>
      <c r="X602" s="7" t="s">
        <v>1751</v>
      </c>
      <c r="Y602" s="10">
        <f t="shared" si="19"/>
        <v>48</v>
      </c>
      <c r="AH602" s="5" t="e">
        <f>VLOOKUP(B602,[1]DL!$BK:$BP,6,0)</f>
        <v>#N/A</v>
      </c>
    </row>
    <row r="603" spans="1:34" ht="14.5" hidden="1">
      <c r="A603" s="5">
        <v>600</v>
      </c>
      <c r="B603" s="5" t="str">
        <f t="shared" si="18"/>
        <v>07AAACB0272G1Z5D2503630</v>
      </c>
      <c r="C603" s="1" t="s">
        <v>1128</v>
      </c>
      <c r="D603" s="1" t="s">
        <v>1129</v>
      </c>
      <c r="E603" s="1" t="s">
        <v>1134</v>
      </c>
      <c r="F603" s="1" t="s">
        <v>24</v>
      </c>
      <c r="G603" s="1" t="s">
        <v>1131</v>
      </c>
      <c r="H603" s="2">
        <v>7720</v>
      </c>
      <c r="I603" s="1" t="s">
        <v>44</v>
      </c>
      <c r="J603" s="3" t="s">
        <v>27</v>
      </c>
      <c r="K603" s="2">
        <v>366.55</v>
      </c>
      <c r="L603" s="2">
        <v>0</v>
      </c>
      <c r="M603" s="2">
        <v>33</v>
      </c>
      <c r="N603" s="2">
        <v>33</v>
      </c>
      <c r="O603" s="2">
        <v>0</v>
      </c>
      <c r="P603" s="7" t="s">
        <v>203</v>
      </c>
      <c r="Q603" s="1" t="s">
        <v>76</v>
      </c>
      <c r="R603" s="3" t="s">
        <v>45</v>
      </c>
      <c r="S603" s="1" t="s">
        <v>46</v>
      </c>
      <c r="T603" s="4" t="s">
        <v>31</v>
      </c>
      <c r="U603" s="7" t="s">
        <v>32</v>
      </c>
      <c r="V603" s="7" t="s">
        <v>1135</v>
      </c>
      <c r="W603" s="7" t="s">
        <v>1133</v>
      </c>
      <c r="X603" s="7" t="s">
        <v>1751</v>
      </c>
      <c r="Y603" s="10">
        <f t="shared" si="19"/>
        <v>66</v>
      </c>
      <c r="AH603" s="5" t="e">
        <f>VLOOKUP(B603,[1]DL!$BK:$BP,6,0)</f>
        <v>#N/A</v>
      </c>
    </row>
    <row r="604" spans="1:34" ht="14.5" hidden="1">
      <c r="A604" s="5">
        <v>601</v>
      </c>
      <c r="B604" s="5" t="str">
        <f t="shared" si="18"/>
        <v>07AAACB0272G1Z5D2503844</v>
      </c>
      <c r="C604" s="1" t="s">
        <v>1128</v>
      </c>
      <c r="D604" s="1" t="s">
        <v>1129</v>
      </c>
      <c r="E604" s="1" t="s">
        <v>1136</v>
      </c>
      <c r="F604" s="1" t="s">
        <v>24</v>
      </c>
      <c r="G604" s="1" t="s">
        <v>1133</v>
      </c>
      <c r="H604" s="2">
        <v>13174</v>
      </c>
      <c r="I604" s="1" t="s">
        <v>44</v>
      </c>
      <c r="J604" s="3" t="s">
        <v>27</v>
      </c>
      <c r="K604" s="2">
        <v>622.90</v>
      </c>
      <c r="L604" s="2">
        <v>0</v>
      </c>
      <c r="M604" s="2">
        <v>56</v>
      </c>
      <c r="N604" s="2">
        <v>56</v>
      </c>
      <c r="O604" s="2">
        <v>0</v>
      </c>
      <c r="P604" s="7" t="s">
        <v>203</v>
      </c>
      <c r="Q604" s="1" t="s">
        <v>76</v>
      </c>
      <c r="R604" s="3" t="s">
        <v>45</v>
      </c>
      <c r="S604" s="1" t="s">
        <v>46</v>
      </c>
      <c r="T604" s="4" t="s">
        <v>31</v>
      </c>
      <c r="U604" s="7" t="s">
        <v>32</v>
      </c>
      <c r="V604" s="7" t="s">
        <v>1137</v>
      </c>
      <c r="W604" s="7" t="s">
        <v>263</v>
      </c>
      <c r="X604" s="7" t="s">
        <v>1751</v>
      </c>
      <c r="Y604" s="10">
        <f t="shared" si="19"/>
        <v>112</v>
      </c>
      <c r="AH604" s="5" t="e">
        <f>VLOOKUP(B604,[1]DL!$BK:$BP,6,0)</f>
        <v>#N/A</v>
      </c>
    </row>
    <row r="605" spans="1:34" ht="14.5" hidden="1">
      <c r="A605" s="5">
        <v>602</v>
      </c>
      <c r="B605" s="5" t="str">
        <f t="shared" si="18"/>
        <v>07AAACB0272G1Z5D2503859</v>
      </c>
      <c r="C605" s="1" t="s">
        <v>1128</v>
      </c>
      <c r="D605" s="1" t="s">
        <v>1129</v>
      </c>
      <c r="E605" s="1" t="s">
        <v>1138</v>
      </c>
      <c r="F605" s="1" t="s">
        <v>24</v>
      </c>
      <c r="G605" s="1" t="s">
        <v>1139</v>
      </c>
      <c r="H605" s="2">
        <v>353</v>
      </c>
      <c r="I605" s="1" t="s">
        <v>44</v>
      </c>
      <c r="J605" s="3" t="s">
        <v>27</v>
      </c>
      <c r="K605" s="2">
        <v>17.5</v>
      </c>
      <c r="L605" s="2">
        <v>0</v>
      </c>
      <c r="M605" s="2">
        <v>1.5</v>
      </c>
      <c r="N605" s="2">
        <v>1.5</v>
      </c>
      <c r="O605" s="2">
        <v>0</v>
      </c>
      <c r="P605" s="7" t="s">
        <v>203</v>
      </c>
      <c r="Q605" s="1" t="s">
        <v>76</v>
      </c>
      <c r="R605" s="3" t="s">
        <v>45</v>
      </c>
      <c r="S605" s="1" t="s">
        <v>46</v>
      </c>
      <c r="T605" s="4" t="s">
        <v>31</v>
      </c>
      <c r="U605" s="7" t="s">
        <v>32</v>
      </c>
      <c r="V605" s="7" t="s">
        <v>1140</v>
      </c>
      <c r="W605" s="7" t="s">
        <v>585</v>
      </c>
      <c r="X605" s="7" t="s">
        <v>1751</v>
      </c>
      <c r="Y605" s="10">
        <f t="shared" si="19"/>
        <v>3</v>
      </c>
      <c r="AH605" s="5" t="e">
        <f>VLOOKUP(B605,[1]DL!$BK:$BP,6,0)</f>
        <v>#N/A</v>
      </c>
    </row>
    <row r="606" spans="1:34" ht="14.5" hidden="1">
      <c r="A606" s="5">
        <v>603</v>
      </c>
      <c r="B606" s="5" t="str">
        <f t="shared" si="18"/>
        <v>07AAACB0272G1Z5D2503860</v>
      </c>
      <c r="C606" s="1" t="s">
        <v>1128</v>
      </c>
      <c r="D606" s="1" t="s">
        <v>1129</v>
      </c>
      <c r="E606" s="1" t="s">
        <v>1141</v>
      </c>
      <c r="F606" s="1" t="s">
        <v>24</v>
      </c>
      <c r="G606" s="1" t="s">
        <v>1139</v>
      </c>
      <c r="H606" s="2">
        <v>9520</v>
      </c>
      <c r="I606" s="1" t="s">
        <v>44</v>
      </c>
      <c r="J606" s="3" t="s">
        <v>27</v>
      </c>
      <c r="K606" s="2">
        <v>450.40</v>
      </c>
      <c r="L606" s="2">
        <v>0</v>
      </c>
      <c r="M606" s="2">
        <v>40.5</v>
      </c>
      <c r="N606" s="2">
        <v>40.5</v>
      </c>
      <c r="O606" s="2">
        <v>0</v>
      </c>
      <c r="P606" s="7" t="s">
        <v>203</v>
      </c>
      <c r="Q606" s="1" t="s">
        <v>76</v>
      </c>
      <c r="R606" s="3" t="s">
        <v>45</v>
      </c>
      <c r="S606" s="1" t="s">
        <v>46</v>
      </c>
      <c r="T606" s="4" t="s">
        <v>31</v>
      </c>
      <c r="U606" s="7" t="s">
        <v>32</v>
      </c>
      <c r="V606" s="7" t="s">
        <v>1142</v>
      </c>
      <c r="W606" s="7" t="s">
        <v>585</v>
      </c>
      <c r="X606" s="7" t="s">
        <v>1751</v>
      </c>
      <c r="Y606" s="10">
        <f t="shared" si="19"/>
        <v>81</v>
      </c>
      <c r="AH606" s="5" t="e">
        <f>VLOOKUP(B606,[1]DL!$BK:$BP,6,0)</f>
        <v>#N/A</v>
      </c>
    </row>
    <row r="607" spans="1:34" ht="14.5" hidden="1">
      <c r="A607" s="5">
        <v>604</v>
      </c>
      <c r="B607" s="5" t="str">
        <f t="shared" si="18"/>
        <v>07AAACB0272G1Z5D2503902</v>
      </c>
      <c r="C607" s="1" t="s">
        <v>1128</v>
      </c>
      <c r="D607" s="1" t="s">
        <v>1129</v>
      </c>
      <c r="E607" s="1" t="s">
        <v>1143</v>
      </c>
      <c r="F607" s="1" t="s">
        <v>24</v>
      </c>
      <c r="G607" s="1" t="s">
        <v>1139</v>
      </c>
      <c r="H607" s="2">
        <v>9624</v>
      </c>
      <c r="I607" s="1" t="s">
        <v>44</v>
      </c>
      <c r="J607" s="3" t="s">
        <v>27</v>
      </c>
      <c r="K607" s="2">
        <v>456.65</v>
      </c>
      <c r="L607" s="2">
        <v>0</v>
      </c>
      <c r="M607" s="2">
        <v>41</v>
      </c>
      <c r="N607" s="2">
        <v>41</v>
      </c>
      <c r="O607" s="2">
        <v>0</v>
      </c>
      <c r="P607" s="7" t="s">
        <v>203</v>
      </c>
      <c r="Q607" s="1" t="s">
        <v>76</v>
      </c>
      <c r="R607" s="3" t="s">
        <v>45</v>
      </c>
      <c r="S607" s="1" t="s">
        <v>46</v>
      </c>
      <c r="T607" s="4" t="s">
        <v>31</v>
      </c>
      <c r="U607" s="7" t="s">
        <v>32</v>
      </c>
      <c r="V607" s="7" t="s">
        <v>1144</v>
      </c>
      <c r="W607" s="7" t="s">
        <v>585</v>
      </c>
      <c r="X607" s="7" t="s">
        <v>1751</v>
      </c>
      <c r="Y607" s="10">
        <f t="shared" si="19"/>
        <v>82</v>
      </c>
      <c r="AH607" s="5" t="e">
        <f>VLOOKUP(B607,[1]DL!$BK:$BP,6,0)</f>
        <v>#N/A</v>
      </c>
    </row>
    <row r="608" spans="1:34" ht="14.5" hidden="1">
      <c r="A608" s="5">
        <v>605</v>
      </c>
      <c r="B608" s="5" t="str">
        <f t="shared" si="18"/>
        <v>07AACCT4418N1Z2307450</v>
      </c>
      <c r="C608" s="1" t="s">
        <v>1145</v>
      </c>
      <c r="D608" s="1" t="s">
        <v>1146</v>
      </c>
      <c r="E608" s="1" t="s">
        <v>1147</v>
      </c>
      <c r="F608" s="1" t="s">
        <v>24</v>
      </c>
      <c r="G608" s="1" t="s">
        <v>25</v>
      </c>
      <c r="H608" s="2">
        <v>24898.73</v>
      </c>
      <c r="I608" s="1" t="s">
        <v>44</v>
      </c>
      <c r="J608" s="3" t="s">
        <v>27</v>
      </c>
      <c r="K608" s="2">
        <v>21730.16</v>
      </c>
      <c r="L608" s="2">
        <v>0</v>
      </c>
      <c r="M608" s="2">
        <v>1584.29</v>
      </c>
      <c r="N608" s="2">
        <v>1584.29</v>
      </c>
      <c r="O608" s="2">
        <v>0</v>
      </c>
      <c r="P608" s="7" t="s">
        <v>28</v>
      </c>
      <c r="Q608" s="1" t="s">
        <v>120</v>
      </c>
      <c r="R608" s="3" t="s">
        <v>45</v>
      </c>
      <c r="S608" s="1" t="s">
        <v>46</v>
      </c>
      <c r="T608" s="4" t="s">
        <v>31</v>
      </c>
      <c r="U608" s="7" t="s">
        <v>46</v>
      </c>
      <c r="V608" s="7" t="s">
        <v>46</v>
      </c>
      <c r="W608" s="7" t="s">
        <v>46</v>
      </c>
      <c r="X608" s="7" t="s">
        <v>1751</v>
      </c>
      <c r="Y608" s="10">
        <f t="shared" si="19"/>
        <v>3168.5799999999999</v>
      </c>
      <c r="AH608" s="5" t="e">
        <f>VLOOKUP(B608,[1]DL!$BK:$BP,6,0)</f>
        <v>#N/A</v>
      </c>
    </row>
    <row r="609" spans="1:34" ht="14.5" hidden="1">
      <c r="A609" s="5">
        <v>606</v>
      </c>
      <c r="B609" s="5" t="str">
        <f t="shared" si="18"/>
        <v>07AALHB4482N1ZTRA/26-27/001</v>
      </c>
      <c r="C609" s="1" t="s">
        <v>1148</v>
      </c>
      <c r="D609" s="1" t="s">
        <v>1149</v>
      </c>
      <c r="E609" s="1" t="s">
        <v>1150</v>
      </c>
      <c r="F609" s="1" t="s">
        <v>24</v>
      </c>
      <c r="G609" s="1" t="s">
        <v>628</v>
      </c>
      <c r="H609" s="2">
        <v>590</v>
      </c>
      <c r="I609" s="1" t="s">
        <v>44</v>
      </c>
      <c r="J609" s="3" t="s">
        <v>27</v>
      </c>
      <c r="K609" s="2">
        <v>500</v>
      </c>
      <c r="L609" s="2">
        <v>0</v>
      </c>
      <c r="M609" s="2">
        <v>45</v>
      </c>
      <c r="N609" s="2">
        <v>45</v>
      </c>
      <c r="O609" s="2">
        <v>0</v>
      </c>
      <c r="P609" s="7" t="s">
        <v>28</v>
      </c>
      <c r="Q609" s="1" t="s">
        <v>29</v>
      </c>
      <c r="R609" s="3" t="s">
        <v>45</v>
      </c>
      <c r="S609" s="1" t="s">
        <v>46</v>
      </c>
      <c r="T609" s="4" t="s">
        <v>31</v>
      </c>
      <c r="U609" s="7" t="s">
        <v>32</v>
      </c>
      <c r="V609" s="7" t="s">
        <v>1151</v>
      </c>
      <c r="W609" s="7" t="s">
        <v>628</v>
      </c>
      <c r="X609" s="7" t="s">
        <v>1751</v>
      </c>
      <c r="Y609" s="10">
        <f t="shared" si="19"/>
        <v>90</v>
      </c>
      <c r="AH609" s="5" t="e">
        <f>VLOOKUP(B609,[1]DL!$BK:$BP,6,0)</f>
        <v>#N/A</v>
      </c>
    </row>
    <row r="610" spans="1:34" ht="14.5" hidden="1">
      <c r="A610" s="5">
        <v>607</v>
      </c>
      <c r="B610" s="5" t="str">
        <f t="shared" si="18"/>
        <v>07AALHB4482N1ZTRA/26-27/002</v>
      </c>
      <c r="C610" s="1" t="s">
        <v>1148</v>
      </c>
      <c r="D610" s="1" t="s">
        <v>1149</v>
      </c>
      <c r="E610" s="1" t="s">
        <v>1152</v>
      </c>
      <c r="F610" s="1" t="s">
        <v>24</v>
      </c>
      <c r="G610" s="1" t="s">
        <v>628</v>
      </c>
      <c r="H610" s="2">
        <v>2360</v>
      </c>
      <c r="I610" s="1" t="s">
        <v>44</v>
      </c>
      <c r="J610" s="3" t="s">
        <v>27</v>
      </c>
      <c r="K610" s="2">
        <v>2000</v>
      </c>
      <c r="L610" s="2">
        <v>0</v>
      </c>
      <c r="M610" s="2">
        <v>180</v>
      </c>
      <c r="N610" s="2">
        <v>180</v>
      </c>
      <c r="O610" s="2">
        <v>0</v>
      </c>
      <c r="P610" s="7" t="s">
        <v>28</v>
      </c>
      <c r="Q610" s="1" t="s">
        <v>29</v>
      </c>
      <c r="R610" s="3" t="s">
        <v>45</v>
      </c>
      <c r="S610" s="1" t="s">
        <v>46</v>
      </c>
      <c r="T610" s="4" t="s">
        <v>31</v>
      </c>
      <c r="U610" s="7" t="s">
        <v>32</v>
      </c>
      <c r="V610" s="7" t="s">
        <v>1153</v>
      </c>
      <c r="W610" s="7" t="s">
        <v>628</v>
      </c>
      <c r="X610" s="7" t="s">
        <v>1751</v>
      </c>
      <c r="Y610" s="10">
        <f t="shared" si="19"/>
        <v>360</v>
      </c>
      <c r="AH610" s="5" t="e">
        <f>VLOOKUP(B610,[1]DL!$BK:$BP,6,0)</f>
        <v>#N/A</v>
      </c>
    </row>
    <row r="611" spans="1:34" ht="14.5" hidden="1">
      <c r="A611" s="5">
        <v>608</v>
      </c>
      <c r="B611" s="5" t="str">
        <f t="shared" si="18"/>
        <v>07AALHB4482N1ZTRA/26-27/003</v>
      </c>
      <c r="C611" s="1" t="s">
        <v>1148</v>
      </c>
      <c r="D611" s="1" t="s">
        <v>1149</v>
      </c>
      <c r="E611" s="1" t="s">
        <v>1154</v>
      </c>
      <c r="F611" s="1" t="s">
        <v>24</v>
      </c>
      <c r="G611" s="1" t="s">
        <v>628</v>
      </c>
      <c r="H611" s="2">
        <v>1416</v>
      </c>
      <c r="I611" s="1" t="s">
        <v>44</v>
      </c>
      <c r="J611" s="3" t="s">
        <v>27</v>
      </c>
      <c r="K611" s="2">
        <v>1200</v>
      </c>
      <c r="L611" s="2">
        <v>0</v>
      </c>
      <c r="M611" s="2">
        <v>108</v>
      </c>
      <c r="N611" s="2">
        <v>108</v>
      </c>
      <c r="O611" s="2">
        <v>0</v>
      </c>
      <c r="P611" s="7" t="s">
        <v>28</v>
      </c>
      <c r="Q611" s="1" t="s">
        <v>29</v>
      </c>
      <c r="R611" s="3" t="s">
        <v>45</v>
      </c>
      <c r="S611" s="1" t="s">
        <v>46</v>
      </c>
      <c r="T611" s="4" t="s">
        <v>31</v>
      </c>
      <c r="U611" s="7" t="s">
        <v>32</v>
      </c>
      <c r="V611" s="7" t="s">
        <v>1155</v>
      </c>
      <c r="W611" s="7" t="s">
        <v>628</v>
      </c>
      <c r="X611" s="7" t="s">
        <v>1751</v>
      </c>
      <c r="Y611" s="10">
        <f t="shared" si="19"/>
        <v>216</v>
      </c>
      <c r="AH611" s="5" t="e">
        <f>VLOOKUP(B611,[1]DL!$BK:$BP,6,0)</f>
        <v>#N/A</v>
      </c>
    </row>
    <row r="612" spans="1:34" ht="14.5" hidden="1">
      <c r="A612" s="5">
        <v>609</v>
      </c>
      <c r="B612" s="5" t="str">
        <f t="shared" si="18"/>
        <v>07AALHB4482N1ZTRA/26-27/004</v>
      </c>
      <c r="C612" s="1" t="s">
        <v>1148</v>
      </c>
      <c r="D612" s="1" t="s">
        <v>1149</v>
      </c>
      <c r="E612" s="1" t="s">
        <v>1156</v>
      </c>
      <c r="F612" s="1" t="s">
        <v>24</v>
      </c>
      <c r="G612" s="1" t="s">
        <v>628</v>
      </c>
      <c r="H612" s="2">
        <v>17464</v>
      </c>
      <c r="I612" s="1" t="s">
        <v>44</v>
      </c>
      <c r="J612" s="3" t="s">
        <v>27</v>
      </c>
      <c r="K612" s="2">
        <v>14800</v>
      </c>
      <c r="L612" s="2">
        <v>0</v>
      </c>
      <c r="M612" s="2">
        <v>1332</v>
      </c>
      <c r="N612" s="2">
        <v>1332</v>
      </c>
      <c r="O612" s="2">
        <v>0</v>
      </c>
      <c r="P612" s="7" t="s">
        <v>28</v>
      </c>
      <c r="Q612" s="1" t="s">
        <v>29</v>
      </c>
      <c r="R612" s="3" t="s">
        <v>45</v>
      </c>
      <c r="S612" s="1" t="s">
        <v>46</v>
      </c>
      <c r="T612" s="4" t="s">
        <v>31</v>
      </c>
      <c r="U612" s="7" t="s">
        <v>32</v>
      </c>
      <c r="V612" s="7" t="s">
        <v>1157</v>
      </c>
      <c r="W612" s="7" t="s">
        <v>628</v>
      </c>
      <c r="X612" s="7" t="s">
        <v>1751</v>
      </c>
      <c r="Y612" s="10">
        <f t="shared" si="19"/>
        <v>2664</v>
      </c>
      <c r="AH612" s="5" t="e">
        <f>VLOOKUP(B612,[1]DL!$BK:$BP,6,0)</f>
        <v>#N/A</v>
      </c>
    </row>
    <row r="613" spans="1:34" ht="14.5" hidden="1">
      <c r="A613" s="5">
        <v>610</v>
      </c>
      <c r="B613" s="5" t="str">
        <f t="shared" si="18"/>
        <v>07AALHB4482N1ZTRA/26-27/005</v>
      </c>
      <c r="C613" s="1" t="s">
        <v>1148</v>
      </c>
      <c r="D613" s="1" t="s">
        <v>1149</v>
      </c>
      <c r="E613" s="1" t="s">
        <v>1158</v>
      </c>
      <c r="F613" s="1" t="s">
        <v>24</v>
      </c>
      <c r="G613" s="1" t="s">
        <v>628</v>
      </c>
      <c r="H613" s="2">
        <v>2950</v>
      </c>
      <c r="I613" s="1" t="s">
        <v>44</v>
      </c>
      <c r="J613" s="3" t="s">
        <v>27</v>
      </c>
      <c r="K613" s="2">
        <v>2500</v>
      </c>
      <c r="L613" s="2">
        <v>0</v>
      </c>
      <c r="M613" s="2">
        <v>225</v>
      </c>
      <c r="N613" s="2">
        <v>225</v>
      </c>
      <c r="O613" s="2">
        <v>0</v>
      </c>
      <c r="P613" s="7" t="s">
        <v>28</v>
      </c>
      <c r="Q613" s="1" t="s">
        <v>29</v>
      </c>
      <c r="R613" s="3" t="s">
        <v>45</v>
      </c>
      <c r="S613" s="1" t="s">
        <v>46</v>
      </c>
      <c r="T613" s="4" t="s">
        <v>31</v>
      </c>
      <c r="U613" s="7" t="s">
        <v>32</v>
      </c>
      <c r="V613" s="7" t="s">
        <v>1159</v>
      </c>
      <c r="W613" s="7" t="s">
        <v>628</v>
      </c>
      <c r="X613" s="7" t="s">
        <v>1751</v>
      </c>
      <c r="Y613" s="10">
        <f t="shared" si="19"/>
        <v>450</v>
      </c>
      <c r="AH613" s="5" t="e">
        <f>VLOOKUP(B613,[1]DL!$BK:$BP,6,0)</f>
        <v>#N/A</v>
      </c>
    </row>
    <row r="614" spans="1:34" ht="14.5" hidden="1">
      <c r="A614" s="5">
        <v>611</v>
      </c>
      <c r="B614" s="5" t="str">
        <f t="shared" si="18"/>
        <v>07AALHB4482N1ZTRA/26-27/006</v>
      </c>
      <c r="C614" s="1" t="s">
        <v>1148</v>
      </c>
      <c r="D614" s="1" t="s">
        <v>1149</v>
      </c>
      <c r="E614" s="1" t="s">
        <v>1160</v>
      </c>
      <c r="F614" s="1" t="s">
        <v>24</v>
      </c>
      <c r="G614" s="1" t="s">
        <v>628</v>
      </c>
      <c r="H614" s="2">
        <v>1180</v>
      </c>
      <c r="I614" s="1" t="s">
        <v>44</v>
      </c>
      <c r="J614" s="3" t="s">
        <v>27</v>
      </c>
      <c r="K614" s="2">
        <v>1000</v>
      </c>
      <c r="L614" s="2">
        <v>0</v>
      </c>
      <c r="M614" s="2">
        <v>90</v>
      </c>
      <c r="N614" s="2">
        <v>90</v>
      </c>
      <c r="O614" s="2">
        <v>0</v>
      </c>
      <c r="P614" s="7" t="s">
        <v>28</v>
      </c>
      <c r="Q614" s="1" t="s">
        <v>29</v>
      </c>
      <c r="R614" s="3" t="s">
        <v>45</v>
      </c>
      <c r="S614" s="1" t="s">
        <v>46</v>
      </c>
      <c r="T614" s="4" t="s">
        <v>31</v>
      </c>
      <c r="U614" s="7" t="s">
        <v>32</v>
      </c>
      <c r="V614" s="7" t="s">
        <v>1161</v>
      </c>
      <c r="W614" s="7" t="s">
        <v>628</v>
      </c>
      <c r="X614" s="7" t="s">
        <v>1751</v>
      </c>
      <c r="Y614" s="10">
        <f t="shared" si="19"/>
        <v>180</v>
      </c>
      <c r="AH614" s="5" t="e">
        <f>VLOOKUP(B614,[1]DL!$BK:$BP,6,0)</f>
        <v>#N/A</v>
      </c>
    </row>
    <row r="615" spans="1:34" ht="14.5">
      <c r="A615" s="5">
        <v>612</v>
      </c>
      <c r="B615" s="5" t="str">
        <f t="shared" si="18"/>
        <v>07AAACT2438A1ZV3473455437</v>
      </c>
      <c r="C615" s="1" t="s">
        <v>1162</v>
      </c>
      <c r="D615" s="1" t="s">
        <v>1163</v>
      </c>
      <c r="E615" s="1" t="s">
        <v>1164</v>
      </c>
      <c r="F615" s="1" t="s">
        <v>24</v>
      </c>
      <c r="G615" s="1" t="s">
        <v>52</v>
      </c>
      <c r="H615" s="2">
        <v>37465</v>
      </c>
      <c r="I615" s="1" t="s">
        <v>44</v>
      </c>
      <c r="J615" s="3" t="s">
        <v>27</v>
      </c>
      <c r="K615" s="2">
        <v>31750</v>
      </c>
      <c r="L615" s="2">
        <v>0</v>
      </c>
      <c r="M615" s="2">
        <v>2857.5</v>
      </c>
      <c r="N615" s="2">
        <v>2857.5</v>
      </c>
      <c r="O615" s="2">
        <v>0</v>
      </c>
      <c r="P615" s="7" t="s">
        <v>28</v>
      </c>
      <c r="Q615" s="1" t="s">
        <v>484</v>
      </c>
      <c r="R615" s="3" t="s">
        <v>45</v>
      </c>
      <c r="S615" s="1" t="s">
        <v>46</v>
      </c>
      <c r="T615" s="4" t="s">
        <v>31</v>
      </c>
      <c r="U615" s="7" t="s">
        <v>46</v>
      </c>
      <c r="V615" s="7" t="s">
        <v>46</v>
      </c>
      <c r="W615" s="7" t="s">
        <v>46</v>
      </c>
      <c r="X615" s="7" t="s">
        <v>1751</v>
      </c>
      <c r="Y615" s="10">
        <f t="shared" si="19"/>
        <v>5715</v>
      </c>
      <c r="Z615" s="5">
        <v>9167997</v>
      </c>
      <c r="AA615" s="5" t="s">
        <v>1922</v>
      </c>
      <c r="AB615" s="5" t="s">
        <v>1751</v>
      </c>
      <c r="AC615" s="5" t="s">
        <v>1924</v>
      </c>
      <c r="AE615" s="5" t="s">
        <v>1923</v>
      </c>
      <c r="AH615" s="5">
        <f>VLOOKUP(B615,[1]DL!$BK:$BP,6,0)</f>
        <v>9167997</v>
      </c>
    </row>
    <row r="616" spans="1:34" ht="14.5">
      <c r="A616" s="5">
        <v>613</v>
      </c>
      <c r="B616" s="5" t="str">
        <f t="shared" si="18"/>
        <v>07AAACT2438A1ZV3473457367</v>
      </c>
      <c r="C616" s="1" t="s">
        <v>1162</v>
      </c>
      <c r="D616" s="1" t="s">
        <v>1163</v>
      </c>
      <c r="E616" s="1" t="s">
        <v>1165</v>
      </c>
      <c r="F616" s="1" t="s">
        <v>24</v>
      </c>
      <c r="G616" s="1" t="s">
        <v>52</v>
      </c>
      <c r="H616" s="2">
        <v>8850</v>
      </c>
      <c r="I616" s="1" t="s">
        <v>44</v>
      </c>
      <c r="J616" s="3" t="s">
        <v>27</v>
      </c>
      <c r="K616" s="2">
        <v>7500</v>
      </c>
      <c r="L616" s="2">
        <v>0</v>
      </c>
      <c r="M616" s="2">
        <v>675</v>
      </c>
      <c r="N616" s="2">
        <v>675</v>
      </c>
      <c r="O616" s="2">
        <v>0</v>
      </c>
      <c r="P616" s="7" t="s">
        <v>28</v>
      </c>
      <c r="Q616" s="1" t="s">
        <v>484</v>
      </c>
      <c r="R616" s="3" t="s">
        <v>45</v>
      </c>
      <c r="S616" s="1" t="s">
        <v>46</v>
      </c>
      <c r="T616" s="4" t="s">
        <v>31</v>
      </c>
      <c r="U616" s="7" t="s">
        <v>46</v>
      </c>
      <c r="V616" s="7" t="s">
        <v>46</v>
      </c>
      <c r="W616" s="7" t="s">
        <v>46</v>
      </c>
      <c r="X616" s="7" t="s">
        <v>1751</v>
      </c>
      <c r="Y616" s="10">
        <f t="shared" si="19"/>
        <v>1350</v>
      </c>
      <c r="Z616" s="5">
        <v>9167995</v>
      </c>
      <c r="AA616" s="5" t="s">
        <v>1922</v>
      </c>
      <c r="AB616" s="5" t="s">
        <v>1751</v>
      </c>
      <c r="AC616" s="5" t="s">
        <v>1924</v>
      </c>
      <c r="AE616" s="5" t="s">
        <v>1923</v>
      </c>
      <c r="AH616" s="5">
        <f>VLOOKUP(B616,[1]DL!$BK:$BP,6,0)</f>
        <v>9167995</v>
      </c>
    </row>
    <row r="617" spans="1:34" ht="14.5" hidden="1">
      <c r="A617" s="5">
        <v>614</v>
      </c>
      <c r="B617" s="5" t="str">
        <f t="shared" si="18"/>
        <v>07AJIPT1632L1ZWME/25-26/32</v>
      </c>
      <c r="C617" s="1" t="s">
        <v>1166</v>
      </c>
      <c r="D617" s="1" t="s">
        <v>1167</v>
      </c>
      <c r="E617" s="1" t="s">
        <v>1168</v>
      </c>
      <c r="F617" s="1" t="s">
        <v>24</v>
      </c>
      <c r="G617" s="1" t="s">
        <v>267</v>
      </c>
      <c r="H617" s="2">
        <v>495600</v>
      </c>
      <c r="I617" s="1" t="s">
        <v>44</v>
      </c>
      <c r="J617" s="3" t="s">
        <v>27</v>
      </c>
      <c r="K617" s="2">
        <v>420000</v>
      </c>
      <c r="L617" s="2">
        <v>0</v>
      </c>
      <c r="M617" s="2">
        <v>37800</v>
      </c>
      <c r="N617" s="2">
        <v>37800</v>
      </c>
      <c r="O617" s="2">
        <v>0</v>
      </c>
      <c r="P617" s="7" t="s">
        <v>203</v>
      </c>
      <c r="Q617" s="1" t="s">
        <v>367</v>
      </c>
      <c r="R617" s="3" t="s">
        <v>45</v>
      </c>
      <c r="S617" s="1" t="s">
        <v>46</v>
      </c>
      <c r="T617" s="4" t="s">
        <v>31</v>
      </c>
      <c r="U617" s="7" t="s">
        <v>46</v>
      </c>
      <c r="V617" s="7" t="s">
        <v>46</v>
      </c>
      <c r="W617" s="7" t="s">
        <v>46</v>
      </c>
      <c r="X617" s="7" t="s">
        <v>1751</v>
      </c>
      <c r="Y617" s="10">
        <f t="shared" si="19"/>
        <v>75600</v>
      </c>
      <c r="AH617" s="5" t="e">
        <f>VLOOKUP(B617,[1]DL!$BK:$BP,6,0)</f>
        <v>#N/A</v>
      </c>
    </row>
    <row r="618" spans="1:34" ht="14.5" hidden="1">
      <c r="A618" s="5">
        <v>615</v>
      </c>
      <c r="B618" s="5" t="str">
        <f t="shared" si="18"/>
        <v>07AACCJ5057F1ZODL202G202605451</v>
      </c>
      <c r="C618" s="1" t="s">
        <v>358</v>
      </c>
      <c r="D618" s="1" t="s">
        <v>359</v>
      </c>
      <c r="E618" s="1" t="s">
        <v>1169</v>
      </c>
      <c r="F618" s="1" t="s">
        <v>24</v>
      </c>
      <c r="G618" s="1" t="s">
        <v>1131</v>
      </c>
      <c r="H618" s="2">
        <v>11821.62</v>
      </c>
      <c r="I618" s="1" t="s">
        <v>44</v>
      </c>
      <c r="J618" s="3" t="s">
        <v>27</v>
      </c>
      <c r="K618" s="2">
        <v>10018.299999999999</v>
      </c>
      <c r="L618" s="2">
        <v>0</v>
      </c>
      <c r="M618" s="2">
        <v>901.66</v>
      </c>
      <c r="N618" s="2">
        <v>901.66</v>
      </c>
      <c r="O618" s="2">
        <v>0</v>
      </c>
      <c r="P618" s="7" t="s">
        <v>203</v>
      </c>
      <c r="Q618" s="1" t="s">
        <v>1170</v>
      </c>
      <c r="R618" s="3" t="s">
        <v>45</v>
      </c>
      <c r="S618" s="1" t="s">
        <v>46</v>
      </c>
      <c r="T618" s="4" t="s">
        <v>31</v>
      </c>
      <c r="U618" s="7" t="s">
        <v>32</v>
      </c>
      <c r="V618" s="7" t="s">
        <v>1171</v>
      </c>
      <c r="W618" s="7" t="s">
        <v>1172</v>
      </c>
      <c r="X618" s="7" t="s">
        <v>1751</v>
      </c>
      <c r="Y618" s="10">
        <f t="shared" si="19"/>
        <v>1803.3199999999999</v>
      </c>
      <c r="AH618" s="5" t="e">
        <f>VLOOKUP(B618,[1]DL!$BK:$BP,6,0)</f>
        <v>#N/A</v>
      </c>
    </row>
    <row r="619" spans="1:34" ht="14.5" hidden="1">
      <c r="A619" s="5">
        <v>616</v>
      </c>
      <c r="B619" s="5" t="str">
        <f t="shared" si="18"/>
        <v>07AACCJ5057F1ZODL202G202605452</v>
      </c>
      <c r="C619" s="1" t="s">
        <v>358</v>
      </c>
      <c r="D619" s="1" t="s">
        <v>359</v>
      </c>
      <c r="E619" s="1" t="s">
        <v>1173</v>
      </c>
      <c r="F619" s="1" t="s">
        <v>24</v>
      </c>
      <c r="G619" s="1" t="s">
        <v>1131</v>
      </c>
      <c r="H619" s="2">
        <v>3361.97</v>
      </c>
      <c r="I619" s="1" t="s">
        <v>44</v>
      </c>
      <c r="J619" s="3" t="s">
        <v>27</v>
      </c>
      <c r="K619" s="2">
        <v>2849.13</v>
      </c>
      <c r="L619" s="2">
        <v>0</v>
      </c>
      <c r="M619" s="2">
        <v>256.42</v>
      </c>
      <c r="N619" s="2">
        <v>256.42</v>
      </c>
      <c r="O619" s="2">
        <v>0</v>
      </c>
      <c r="P619" s="7" t="s">
        <v>203</v>
      </c>
      <c r="Q619" s="1" t="s">
        <v>1170</v>
      </c>
      <c r="R619" s="3" t="s">
        <v>45</v>
      </c>
      <c r="S619" s="1" t="s">
        <v>46</v>
      </c>
      <c r="T619" s="4" t="s">
        <v>31</v>
      </c>
      <c r="U619" s="7" t="s">
        <v>32</v>
      </c>
      <c r="V619" s="7" t="s">
        <v>1174</v>
      </c>
      <c r="W619" s="7" t="s">
        <v>1172</v>
      </c>
      <c r="X619" s="7" t="s">
        <v>1751</v>
      </c>
      <c r="Y619" s="10">
        <f t="shared" si="19"/>
        <v>512.84000000000003</v>
      </c>
      <c r="AH619" s="5" t="e">
        <f>VLOOKUP(B619,[1]DL!$BK:$BP,6,0)</f>
        <v>#N/A</v>
      </c>
    </row>
    <row r="620" spans="1:34" ht="14.5" hidden="1">
      <c r="A620" s="5">
        <v>617</v>
      </c>
      <c r="B620" s="5" t="str">
        <f t="shared" si="18"/>
        <v>07AACCJ5057F1ZODL202G202606795</v>
      </c>
      <c r="C620" s="1" t="s">
        <v>358</v>
      </c>
      <c r="D620" s="1" t="s">
        <v>359</v>
      </c>
      <c r="E620" s="1" t="s">
        <v>1175</v>
      </c>
      <c r="F620" s="1" t="s">
        <v>24</v>
      </c>
      <c r="G620" s="1" t="s">
        <v>209</v>
      </c>
      <c r="H620" s="2">
        <v>2.36</v>
      </c>
      <c r="I620" s="1" t="s">
        <v>44</v>
      </c>
      <c r="J620" s="3" t="s">
        <v>27</v>
      </c>
      <c r="K620" s="2">
        <v>2</v>
      </c>
      <c r="L620" s="2">
        <v>0</v>
      </c>
      <c r="M620" s="2">
        <v>0.18</v>
      </c>
      <c r="N620" s="2">
        <v>0.18</v>
      </c>
      <c r="O620" s="2">
        <v>0</v>
      </c>
      <c r="P620" s="7" t="s">
        <v>203</v>
      </c>
      <c r="Q620" s="1" t="s">
        <v>1170</v>
      </c>
      <c r="R620" s="3" t="s">
        <v>45</v>
      </c>
      <c r="S620" s="1" t="s">
        <v>46</v>
      </c>
      <c r="T620" s="4" t="s">
        <v>31</v>
      </c>
      <c r="U620" s="7" t="s">
        <v>32</v>
      </c>
      <c r="V620" s="7" t="s">
        <v>1176</v>
      </c>
      <c r="W620" s="7" t="s">
        <v>1177</v>
      </c>
      <c r="X620" s="7" t="s">
        <v>1751</v>
      </c>
      <c r="Y620" s="10">
        <f t="shared" si="19"/>
        <v>0.35999999999999999</v>
      </c>
      <c r="AH620" s="5" t="e">
        <f>VLOOKUP(B620,[1]DL!$BK:$BP,6,0)</f>
        <v>#N/A</v>
      </c>
    </row>
    <row r="621" spans="1:34" ht="14.5" hidden="1">
      <c r="A621" s="5">
        <v>618</v>
      </c>
      <c r="B621" s="5" t="str">
        <f t="shared" si="18"/>
        <v>09AAHFJ5917G1Z6JPR/25-26/1023</v>
      </c>
      <c r="C621" s="1" t="s">
        <v>1178</v>
      </c>
      <c r="D621" s="1" t="s">
        <v>1179</v>
      </c>
      <c r="E621" s="1" t="s">
        <v>1180</v>
      </c>
      <c r="F621" s="1" t="s">
        <v>24</v>
      </c>
      <c r="G621" s="1" t="s">
        <v>267</v>
      </c>
      <c r="H621" s="2">
        <v>6490</v>
      </c>
      <c r="I621" s="1" t="s">
        <v>44</v>
      </c>
      <c r="J621" s="3" t="s">
        <v>27</v>
      </c>
      <c r="K621" s="2">
        <v>5500</v>
      </c>
      <c r="L621" s="2">
        <v>990</v>
      </c>
      <c r="M621" s="2">
        <v>0</v>
      </c>
      <c r="N621" s="2">
        <v>0</v>
      </c>
      <c r="O621" s="2">
        <v>0</v>
      </c>
      <c r="P621" s="7" t="s">
        <v>203</v>
      </c>
      <c r="Q621" s="1" t="s">
        <v>420</v>
      </c>
      <c r="R621" s="3" t="s">
        <v>45</v>
      </c>
      <c r="S621" s="1" t="s">
        <v>46</v>
      </c>
      <c r="T621" s="4" t="s">
        <v>31</v>
      </c>
      <c r="U621" s="7" t="s">
        <v>32</v>
      </c>
      <c r="V621" s="7" t="s">
        <v>1181</v>
      </c>
      <c r="W621" s="7" t="s">
        <v>25</v>
      </c>
      <c r="X621" s="7" t="s">
        <v>1751</v>
      </c>
      <c r="Y621" s="10">
        <f t="shared" si="19"/>
        <v>990</v>
      </c>
      <c r="AH621" s="5" t="e">
        <f>VLOOKUP(B621,[1]DL!$BK:$BP,6,0)</f>
        <v>#N/A</v>
      </c>
    </row>
    <row r="622" spans="1:34" ht="14.5" hidden="1">
      <c r="A622" s="5">
        <v>619</v>
      </c>
      <c r="B622" s="5" t="str">
        <f t="shared" si="18"/>
        <v>09AAHFJ5917G1Z6JPR/25-26/1024</v>
      </c>
      <c r="C622" s="1" t="s">
        <v>1178</v>
      </c>
      <c r="D622" s="1" t="s">
        <v>1179</v>
      </c>
      <c r="E622" s="1" t="s">
        <v>1182</v>
      </c>
      <c r="F622" s="1" t="s">
        <v>24</v>
      </c>
      <c r="G622" s="1" t="s">
        <v>267</v>
      </c>
      <c r="H622" s="2">
        <v>41300</v>
      </c>
      <c r="I622" s="1" t="s">
        <v>44</v>
      </c>
      <c r="J622" s="3" t="s">
        <v>27</v>
      </c>
      <c r="K622" s="2">
        <v>35000</v>
      </c>
      <c r="L622" s="2">
        <v>6300</v>
      </c>
      <c r="M622" s="2">
        <v>0</v>
      </c>
      <c r="N622" s="2">
        <v>0</v>
      </c>
      <c r="O622" s="2">
        <v>0</v>
      </c>
      <c r="P622" s="7" t="s">
        <v>203</v>
      </c>
      <c r="Q622" s="1" t="s">
        <v>420</v>
      </c>
      <c r="R622" s="3" t="s">
        <v>45</v>
      </c>
      <c r="S622" s="1" t="s">
        <v>46</v>
      </c>
      <c r="T622" s="4" t="s">
        <v>31</v>
      </c>
      <c r="U622" s="7" t="s">
        <v>32</v>
      </c>
      <c r="V622" s="7" t="s">
        <v>1183</v>
      </c>
      <c r="W622" s="7" t="s">
        <v>25</v>
      </c>
      <c r="X622" s="7" t="s">
        <v>1751</v>
      </c>
      <c r="Y622" s="10">
        <f t="shared" si="19"/>
        <v>6300</v>
      </c>
      <c r="AH622" s="5" t="e">
        <f>VLOOKUP(B622,[1]DL!$BK:$BP,6,0)</f>
        <v>#N/A</v>
      </c>
    </row>
    <row r="623" spans="1:34" ht="14.5" hidden="1">
      <c r="A623" s="5">
        <v>620</v>
      </c>
      <c r="B623" s="5" t="str">
        <f t="shared" si="18"/>
        <v>09AAHFJ5917G1Z6JPR/25-26/773</v>
      </c>
      <c r="C623" s="1" t="s">
        <v>1178</v>
      </c>
      <c r="D623" s="1" t="s">
        <v>1179</v>
      </c>
      <c r="E623" s="1" t="s">
        <v>1184</v>
      </c>
      <c r="F623" s="1" t="s">
        <v>24</v>
      </c>
      <c r="G623" s="1" t="s">
        <v>1172</v>
      </c>
      <c r="H623" s="2">
        <v>107026</v>
      </c>
      <c r="I623" s="1" t="s">
        <v>44</v>
      </c>
      <c r="J623" s="3" t="s">
        <v>27</v>
      </c>
      <c r="K623" s="2">
        <v>90700</v>
      </c>
      <c r="L623" s="2">
        <v>16326</v>
      </c>
      <c r="M623" s="2">
        <v>0</v>
      </c>
      <c r="N623" s="2">
        <v>0</v>
      </c>
      <c r="O623" s="2">
        <v>0</v>
      </c>
      <c r="P623" s="7" t="s">
        <v>203</v>
      </c>
      <c r="Q623" s="1" t="s">
        <v>420</v>
      </c>
      <c r="R623" s="3" t="s">
        <v>45</v>
      </c>
      <c r="S623" s="1" t="s">
        <v>46</v>
      </c>
      <c r="T623" s="4" t="s">
        <v>31</v>
      </c>
      <c r="U623" s="7" t="s">
        <v>32</v>
      </c>
      <c r="V623" s="7" t="s">
        <v>1185</v>
      </c>
      <c r="W623" s="7" t="s">
        <v>1172</v>
      </c>
      <c r="X623" s="7" t="s">
        <v>1751</v>
      </c>
      <c r="Y623" s="10">
        <f t="shared" si="19"/>
        <v>16326</v>
      </c>
      <c r="AH623" s="5" t="e">
        <f>VLOOKUP(B623,[1]DL!$BK:$BP,6,0)</f>
        <v>#N/A</v>
      </c>
    </row>
    <row r="624" spans="1:34" ht="14.5" hidden="1">
      <c r="A624" s="5">
        <v>621</v>
      </c>
      <c r="B624" s="5" t="str">
        <f t="shared" si="18"/>
        <v>09AAHFJ5917G1Z6JPR/25-26/774</v>
      </c>
      <c r="C624" s="1" t="s">
        <v>1178</v>
      </c>
      <c r="D624" s="1" t="s">
        <v>1179</v>
      </c>
      <c r="E624" s="1" t="s">
        <v>1186</v>
      </c>
      <c r="F624" s="1" t="s">
        <v>24</v>
      </c>
      <c r="G624" s="1" t="s">
        <v>1172</v>
      </c>
      <c r="H624" s="2">
        <v>1162994</v>
      </c>
      <c r="I624" s="1" t="s">
        <v>44</v>
      </c>
      <c r="J624" s="3" t="s">
        <v>27</v>
      </c>
      <c r="K624" s="2">
        <v>985588</v>
      </c>
      <c r="L624" s="2">
        <v>177405.84</v>
      </c>
      <c r="M624" s="2">
        <v>0</v>
      </c>
      <c r="N624" s="2">
        <v>0</v>
      </c>
      <c r="O624" s="2">
        <v>0</v>
      </c>
      <c r="P624" s="7" t="s">
        <v>203</v>
      </c>
      <c r="Q624" s="1" t="s">
        <v>420</v>
      </c>
      <c r="R624" s="3" t="s">
        <v>45</v>
      </c>
      <c r="S624" s="1" t="s">
        <v>46</v>
      </c>
      <c r="T624" s="4" t="s">
        <v>31</v>
      </c>
      <c r="U624" s="7" t="s">
        <v>32</v>
      </c>
      <c r="V624" s="7" t="s">
        <v>1187</v>
      </c>
      <c r="W624" s="7" t="s">
        <v>1172</v>
      </c>
      <c r="X624" s="7" t="s">
        <v>1751</v>
      </c>
      <c r="Y624" s="10">
        <f t="shared" si="19"/>
        <v>177405.84</v>
      </c>
      <c r="AH624" s="5" t="e">
        <f>VLOOKUP(B624,[1]DL!$BK:$BP,6,0)</f>
        <v>#N/A</v>
      </c>
    </row>
    <row r="625" spans="1:34" ht="14.5" hidden="1">
      <c r="A625" s="5">
        <v>622</v>
      </c>
      <c r="B625" s="5" t="str">
        <f t="shared" si="18"/>
        <v>09AAHFJ5917G1Z6JPR/25-26/777</v>
      </c>
      <c r="C625" s="1" t="s">
        <v>1178</v>
      </c>
      <c r="D625" s="1" t="s">
        <v>1179</v>
      </c>
      <c r="E625" s="1" t="s">
        <v>1188</v>
      </c>
      <c r="F625" s="1" t="s">
        <v>24</v>
      </c>
      <c r="G625" s="1" t="s">
        <v>1189</v>
      </c>
      <c r="H625" s="2">
        <v>42017</v>
      </c>
      <c r="I625" s="1" t="s">
        <v>44</v>
      </c>
      <c r="J625" s="3" t="s">
        <v>27</v>
      </c>
      <c r="K625" s="2">
        <v>35608</v>
      </c>
      <c r="L625" s="2">
        <v>6409.44</v>
      </c>
      <c r="M625" s="2">
        <v>0</v>
      </c>
      <c r="N625" s="2">
        <v>0</v>
      </c>
      <c r="O625" s="2">
        <v>0</v>
      </c>
      <c r="P625" s="7" t="s">
        <v>203</v>
      </c>
      <c r="Q625" s="1" t="s">
        <v>420</v>
      </c>
      <c r="R625" s="3" t="s">
        <v>45</v>
      </c>
      <c r="S625" s="1" t="s">
        <v>46</v>
      </c>
      <c r="T625" s="4" t="s">
        <v>31</v>
      </c>
      <c r="U625" s="7" t="s">
        <v>32</v>
      </c>
      <c r="V625" s="7" t="s">
        <v>1190</v>
      </c>
      <c r="W625" s="7" t="s">
        <v>1189</v>
      </c>
      <c r="X625" s="7" t="s">
        <v>1751</v>
      </c>
      <c r="Y625" s="10">
        <f t="shared" si="19"/>
        <v>6409.4399999999996</v>
      </c>
      <c r="AH625" s="5" t="e">
        <f>VLOOKUP(B625,[1]DL!$BK:$BP,6,0)</f>
        <v>#N/A</v>
      </c>
    </row>
    <row r="626" spans="1:34" ht="14.5" hidden="1">
      <c r="A626" s="5">
        <v>623</v>
      </c>
      <c r="B626" s="5" t="str">
        <f t="shared" si="18"/>
        <v>09AAHFJ5917G1Z6JPR/25-26/778</v>
      </c>
      <c r="C626" s="1" t="s">
        <v>1178</v>
      </c>
      <c r="D626" s="1" t="s">
        <v>1179</v>
      </c>
      <c r="E626" s="1" t="s">
        <v>1191</v>
      </c>
      <c r="F626" s="1" t="s">
        <v>24</v>
      </c>
      <c r="G626" s="1" t="s">
        <v>1189</v>
      </c>
      <c r="H626" s="2">
        <v>38232</v>
      </c>
      <c r="I626" s="1" t="s">
        <v>44</v>
      </c>
      <c r="J626" s="3" t="s">
        <v>27</v>
      </c>
      <c r="K626" s="2">
        <v>32400</v>
      </c>
      <c r="L626" s="2">
        <v>5832</v>
      </c>
      <c r="M626" s="2">
        <v>0</v>
      </c>
      <c r="N626" s="2">
        <v>0</v>
      </c>
      <c r="O626" s="2">
        <v>0</v>
      </c>
      <c r="P626" s="7" t="s">
        <v>203</v>
      </c>
      <c r="Q626" s="1" t="s">
        <v>420</v>
      </c>
      <c r="R626" s="3" t="s">
        <v>45</v>
      </c>
      <c r="S626" s="1" t="s">
        <v>46</v>
      </c>
      <c r="T626" s="4" t="s">
        <v>31</v>
      </c>
      <c r="U626" s="7" t="s">
        <v>32</v>
      </c>
      <c r="V626" s="7" t="s">
        <v>1192</v>
      </c>
      <c r="W626" s="7" t="s">
        <v>1189</v>
      </c>
      <c r="X626" s="7" t="s">
        <v>1751</v>
      </c>
      <c r="Y626" s="10">
        <f t="shared" si="19"/>
        <v>5832</v>
      </c>
      <c r="AH626" s="5" t="e">
        <f>VLOOKUP(B626,[1]DL!$BK:$BP,6,0)</f>
        <v>#N/A</v>
      </c>
    </row>
    <row r="627" spans="1:34" ht="14.5" hidden="1">
      <c r="A627" s="5">
        <v>624</v>
      </c>
      <c r="B627" s="5" t="str">
        <f t="shared" si="18"/>
        <v>09AAHFJ5917G1Z6JPR/25-26/877</v>
      </c>
      <c r="C627" s="1" t="s">
        <v>1178</v>
      </c>
      <c r="D627" s="1" t="s">
        <v>1179</v>
      </c>
      <c r="E627" s="1" t="s">
        <v>1193</v>
      </c>
      <c r="F627" s="1" t="s">
        <v>24</v>
      </c>
      <c r="G627" s="1" t="s">
        <v>250</v>
      </c>
      <c r="H627" s="2">
        <v>7009</v>
      </c>
      <c r="I627" s="1" t="s">
        <v>44</v>
      </c>
      <c r="J627" s="3" t="s">
        <v>27</v>
      </c>
      <c r="K627" s="2">
        <v>5940</v>
      </c>
      <c r="L627" s="2">
        <v>1069.20</v>
      </c>
      <c r="M627" s="2">
        <v>0</v>
      </c>
      <c r="N627" s="2">
        <v>0</v>
      </c>
      <c r="O627" s="2">
        <v>0</v>
      </c>
      <c r="P627" s="7" t="s">
        <v>203</v>
      </c>
      <c r="Q627" s="1" t="s">
        <v>420</v>
      </c>
      <c r="R627" s="3" t="s">
        <v>45</v>
      </c>
      <c r="S627" s="1" t="s">
        <v>46</v>
      </c>
      <c r="T627" s="4" t="s">
        <v>31</v>
      </c>
      <c r="U627" s="7" t="s">
        <v>32</v>
      </c>
      <c r="V627" s="7" t="s">
        <v>1194</v>
      </c>
      <c r="W627" s="7" t="s">
        <v>250</v>
      </c>
      <c r="X627" s="7" t="s">
        <v>1751</v>
      </c>
      <c r="Y627" s="10">
        <f t="shared" si="19"/>
        <v>1069.2</v>
      </c>
      <c r="AH627" s="5" t="e">
        <f>VLOOKUP(B627,[1]DL!$BK:$BP,6,0)</f>
        <v>#N/A</v>
      </c>
    </row>
    <row r="628" spans="1:34" ht="14.5" hidden="1">
      <c r="A628" s="5">
        <v>625</v>
      </c>
      <c r="B628" s="5" t="str">
        <f t="shared" si="18"/>
        <v>09AAHFJ5917G1Z6JPR/25-26/878</v>
      </c>
      <c r="C628" s="1" t="s">
        <v>1178</v>
      </c>
      <c r="D628" s="1" t="s">
        <v>1179</v>
      </c>
      <c r="E628" s="1" t="s">
        <v>1195</v>
      </c>
      <c r="F628" s="1" t="s">
        <v>24</v>
      </c>
      <c r="G628" s="1" t="s">
        <v>250</v>
      </c>
      <c r="H628" s="2">
        <v>38232</v>
      </c>
      <c r="I628" s="1" t="s">
        <v>44</v>
      </c>
      <c r="J628" s="3" t="s">
        <v>27</v>
      </c>
      <c r="K628" s="2">
        <v>32400</v>
      </c>
      <c r="L628" s="2">
        <v>5832</v>
      </c>
      <c r="M628" s="2">
        <v>0</v>
      </c>
      <c r="N628" s="2">
        <v>0</v>
      </c>
      <c r="O628" s="2">
        <v>0</v>
      </c>
      <c r="P628" s="7" t="s">
        <v>203</v>
      </c>
      <c r="Q628" s="1" t="s">
        <v>420</v>
      </c>
      <c r="R628" s="3" t="s">
        <v>45</v>
      </c>
      <c r="S628" s="1" t="s">
        <v>46</v>
      </c>
      <c r="T628" s="4" t="s">
        <v>31</v>
      </c>
      <c r="U628" s="7" t="s">
        <v>32</v>
      </c>
      <c r="V628" s="7" t="s">
        <v>1196</v>
      </c>
      <c r="W628" s="7" t="s">
        <v>250</v>
      </c>
      <c r="X628" s="7" t="s">
        <v>1751</v>
      </c>
      <c r="Y628" s="10">
        <f t="shared" si="19"/>
        <v>5832</v>
      </c>
      <c r="AH628" s="5" t="e">
        <f>VLOOKUP(B628,[1]DL!$BK:$BP,6,0)</f>
        <v>#N/A</v>
      </c>
    </row>
    <row r="629" spans="1:34" ht="14.5" hidden="1">
      <c r="A629" s="5">
        <v>626</v>
      </c>
      <c r="B629" s="5" t="str">
        <f t="shared" si="18"/>
        <v>09AAHFJ5917G1Z6JPR/25-26/879</v>
      </c>
      <c r="C629" s="1" t="s">
        <v>1178</v>
      </c>
      <c r="D629" s="1" t="s">
        <v>1179</v>
      </c>
      <c r="E629" s="1" t="s">
        <v>1197</v>
      </c>
      <c r="F629" s="1" t="s">
        <v>24</v>
      </c>
      <c r="G629" s="1" t="s">
        <v>250</v>
      </c>
      <c r="H629" s="2">
        <v>147488</v>
      </c>
      <c r="I629" s="1" t="s">
        <v>44</v>
      </c>
      <c r="J629" s="3" t="s">
        <v>27</v>
      </c>
      <c r="K629" s="2">
        <v>124990</v>
      </c>
      <c r="L629" s="2">
        <v>22498.20</v>
      </c>
      <c r="M629" s="2">
        <v>0</v>
      </c>
      <c r="N629" s="2">
        <v>0</v>
      </c>
      <c r="O629" s="2">
        <v>0</v>
      </c>
      <c r="P629" s="7" t="s">
        <v>203</v>
      </c>
      <c r="Q629" s="1" t="s">
        <v>420</v>
      </c>
      <c r="R629" s="3" t="s">
        <v>45</v>
      </c>
      <c r="S629" s="1" t="s">
        <v>46</v>
      </c>
      <c r="T629" s="4" t="s">
        <v>31</v>
      </c>
      <c r="U629" s="7" t="s">
        <v>32</v>
      </c>
      <c r="V629" s="7" t="s">
        <v>1198</v>
      </c>
      <c r="W629" s="7" t="s">
        <v>250</v>
      </c>
      <c r="X629" s="7" t="s">
        <v>1751</v>
      </c>
      <c r="Y629" s="10">
        <f t="shared" si="19"/>
        <v>22498.200000000001</v>
      </c>
      <c r="AH629" s="5" t="e">
        <f>VLOOKUP(B629,[1]DL!$BK:$BP,6,0)</f>
        <v>#N/A</v>
      </c>
    </row>
    <row r="630" spans="1:34" ht="14.5" hidden="1">
      <c r="A630" s="5">
        <v>627</v>
      </c>
      <c r="B630" s="5" t="str">
        <f t="shared" si="18"/>
        <v>09AAHFJ5917G1Z6JPR/25-26/882</v>
      </c>
      <c r="C630" s="1" t="s">
        <v>1178</v>
      </c>
      <c r="D630" s="1" t="s">
        <v>1179</v>
      </c>
      <c r="E630" s="1" t="s">
        <v>1199</v>
      </c>
      <c r="F630" s="1" t="s">
        <v>24</v>
      </c>
      <c r="G630" s="1" t="s">
        <v>250</v>
      </c>
      <c r="H630" s="2">
        <v>67496</v>
      </c>
      <c r="I630" s="1" t="s">
        <v>44</v>
      </c>
      <c r="J630" s="3" t="s">
        <v>27</v>
      </c>
      <c r="K630" s="2">
        <v>57200</v>
      </c>
      <c r="L630" s="2">
        <v>10296</v>
      </c>
      <c r="M630" s="2">
        <v>0</v>
      </c>
      <c r="N630" s="2">
        <v>0</v>
      </c>
      <c r="O630" s="2">
        <v>0</v>
      </c>
      <c r="P630" s="7" t="s">
        <v>203</v>
      </c>
      <c r="Q630" s="1" t="s">
        <v>420</v>
      </c>
      <c r="R630" s="3" t="s">
        <v>45</v>
      </c>
      <c r="S630" s="1" t="s">
        <v>46</v>
      </c>
      <c r="T630" s="4" t="s">
        <v>31</v>
      </c>
      <c r="U630" s="7" t="s">
        <v>32</v>
      </c>
      <c r="V630" s="7" t="s">
        <v>1200</v>
      </c>
      <c r="W630" s="7" t="s">
        <v>250</v>
      </c>
      <c r="X630" s="7" t="s">
        <v>1751</v>
      </c>
      <c r="Y630" s="10">
        <f t="shared" si="19"/>
        <v>10296</v>
      </c>
      <c r="AH630" s="5" t="e">
        <f>VLOOKUP(B630,[1]DL!$BK:$BP,6,0)</f>
        <v>#N/A</v>
      </c>
    </row>
    <row r="631" spans="1:34" ht="14.5" hidden="1">
      <c r="A631" s="5">
        <v>628</v>
      </c>
      <c r="B631" s="5" t="str">
        <f t="shared" si="18"/>
        <v>09AAHFJ5917G1Z6JPR/25-26/887</v>
      </c>
      <c r="C631" s="1" t="s">
        <v>1178</v>
      </c>
      <c r="D631" s="1" t="s">
        <v>1179</v>
      </c>
      <c r="E631" s="1" t="s">
        <v>1201</v>
      </c>
      <c r="F631" s="1" t="s">
        <v>24</v>
      </c>
      <c r="G631" s="1" t="s">
        <v>250</v>
      </c>
      <c r="H631" s="2">
        <v>9558</v>
      </c>
      <c r="I631" s="1" t="s">
        <v>44</v>
      </c>
      <c r="J631" s="3" t="s">
        <v>27</v>
      </c>
      <c r="K631" s="2">
        <v>8100</v>
      </c>
      <c r="L631" s="2">
        <v>1458</v>
      </c>
      <c r="M631" s="2">
        <v>0</v>
      </c>
      <c r="N631" s="2">
        <v>0</v>
      </c>
      <c r="O631" s="2">
        <v>0</v>
      </c>
      <c r="P631" s="7" t="s">
        <v>203</v>
      </c>
      <c r="Q631" s="1" t="s">
        <v>420</v>
      </c>
      <c r="R631" s="3" t="s">
        <v>45</v>
      </c>
      <c r="S631" s="1" t="s">
        <v>46</v>
      </c>
      <c r="T631" s="4" t="s">
        <v>31</v>
      </c>
      <c r="U631" s="7" t="s">
        <v>32</v>
      </c>
      <c r="V631" s="7" t="s">
        <v>1202</v>
      </c>
      <c r="W631" s="7" t="s">
        <v>250</v>
      </c>
      <c r="X631" s="7" t="s">
        <v>1751</v>
      </c>
      <c r="Y631" s="10">
        <f t="shared" si="19"/>
        <v>1458</v>
      </c>
      <c r="AH631" s="5" t="e">
        <f>VLOOKUP(B631,[1]DL!$BK:$BP,6,0)</f>
        <v>#N/A</v>
      </c>
    </row>
    <row r="632" spans="1:34" ht="14.5" hidden="1">
      <c r="A632" s="5">
        <v>629</v>
      </c>
      <c r="B632" s="5" t="str">
        <f t="shared" si="18"/>
        <v>09AAHFJ5917G1Z6JPR/25-26/900</v>
      </c>
      <c r="C632" s="1" t="s">
        <v>1178</v>
      </c>
      <c r="D632" s="1" t="s">
        <v>1179</v>
      </c>
      <c r="E632" s="1" t="s">
        <v>1203</v>
      </c>
      <c r="F632" s="1" t="s">
        <v>24</v>
      </c>
      <c r="G632" s="1" t="s">
        <v>267</v>
      </c>
      <c r="H632" s="2">
        <v>9112</v>
      </c>
      <c r="I632" s="1" t="s">
        <v>44</v>
      </c>
      <c r="J632" s="3" t="s">
        <v>27</v>
      </c>
      <c r="K632" s="2">
        <v>7722</v>
      </c>
      <c r="L632" s="2">
        <v>1389.96</v>
      </c>
      <c r="M632" s="2">
        <v>0</v>
      </c>
      <c r="N632" s="2">
        <v>0</v>
      </c>
      <c r="O632" s="2">
        <v>0</v>
      </c>
      <c r="P632" s="7" t="s">
        <v>203</v>
      </c>
      <c r="Q632" s="1" t="s">
        <v>420</v>
      </c>
      <c r="R632" s="3" t="s">
        <v>45</v>
      </c>
      <c r="S632" s="1" t="s">
        <v>46</v>
      </c>
      <c r="T632" s="4" t="s">
        <v>31</v>
      </c>
      <c r="U632" s="7" t="s">
        <v>46</v>
      </c>
      <c r="V632" s="7" t="s">
        <v>46</v>
      </c>
      <c r="W632" s="7" t="s">
        <v>46</v>
      </c>
      <c r="X632" s="7" t="s">
        <v>1751</v>
      </c>
      <c r="Y632" s="10">
        <f t="shared" si="19"/>
        <v>1389.96</v>
      </c>
      <c r="AH632" s="5" t="e">
        <f>VLOOKUP(B632,[1]DL!$BK:$BP,6,0)</f>
        <v>#N/A</v>
      </c>
    </row>
    <row r="633" spans="1:34" ht="14.5" hidden="1">
      <c r="A633" s="5">
        <v>630</v>
      </c>
      <c r="B633" s="5" t="str">
        <f t="shared" si="18"/>
        <v>09AAHFJ5917G1Z6JPR/25-26/901</v>
      </c>
      <c r="C633" s="1" t="s">
        <v>1178</v>
      </c>
      <c r="D633" s="1" t="s">
        <v>1179</v>
      </c>
      <c r="E633" s="1" t="s">
        <v>1204</v>
      </c>
      <c r="F633" s="1" t="s">
        <v>24</v>
      </c>
      <c r="G633" s="1" t="s">
        <v>267</v>
      </c>
      <c r="H633" s="2">
        <v>10514</v>
      </c>
      <c r="I633" s="1" t="s">
        <v>44</v>
      </c>
      <c r="J633" s="3" t="s">
        <v>27</v>
      </c>
      <c r="K633" s="2">
        <v>8910</v>
      </c>
      <c r="L633" s="2">
        <v>1603.80</v>
      </c>
      <c r="M633" s="2">
        <v>0</v>
      </c>
      <c r="N633" s="2">
        <v>0</v>
      </c>
      <c r="O633" s="2">
        <v>0</v>
      </c>
      <c r="P633" s="7" t="s">
        <v>203</v>
      </c>
      <c r="Q633" s="1" t="s">
        <v>420</v>
      </c>
      <c r="R633" s="3" t="s">
        <v>45</v>
      </c>
      <c r="S633" s="1" t="s">
        <v>46</v>
      </c>
      <c r="T633" s="4" t="s">
        <v>31</v>
      </c>
      <c r="U633" s="7" t="s">
        <v>46</v>
      </c>
      <c r="V633" s="7" t="s">
        <v>46</v>
      </c>
      <c r="W633" s="7" t="s">
        <v>46</v>
      </c>
      <c r="X633" s="7" t="s">
        <v>1751</v>
      </c>
      <c r="Y633" s="10">
        <f t="shared" si="19"/>
        <v>1603.8</v>
      </c>
      <c r="AH633" s="5" t="e">
        <f>VLOOKUP(B633,[1]DL!$BK:$BP,6,0)</f>
        <v>#N/A</v>
      </c>
    </row>
    <row r="634" spans="1:34" ht="14.5" hidden="1">
      <c r="A634" s="5">
        <v>631</v>
      </c>
      <c r="B634" s="5" t="str">
        <f t="shared" si="18"/>
        <v>09AAHFJ5917G1Z6JPR/25-26/907</v>
      </c>
      <c r="C634" s="1" t="s">
        <v>1178</v>
      </c>
      <c r="D634" s="1" t="s">
        <v>1179</v>
      </c>
      <c r="E634" s="1" t="s">
        <v>1205</v>
      </c>
      <c r="F634" s="1" t="s">
        <v>24</v>
      </c>
      <c r="G634" s="1" t="s">
        <v>267</v>
      </c>
      <c r="H634" s="2">
        <v>7009</v>
      </c>
      <c r="I634" s="1" t="s">
        <v>44</v>
      </c>
      <c r="J634" s="3" t="s">
        <v>27</v>
      </c>
      <c r="K634" s="2">
        <v>5940</v>
      </c>
      <c r="L634" s="2">
        <v>1069.20</v>
      </c>
      <c r="M634" s="2">
        <v>0</v>
      </c>
      <c r="N634" s="2">
        <v>0</v>
      </c>
      <c r="O634" s="2">
        <v>0</v>
      </c>
      <c r="P634" s="7" t="s">
        <v>203</v>
      </c>
      <c r="Q634" s="1" t="s">
        <v>420</v>
      </c>
      <c r="R634" s="3" t="s">
        <v>45</v>
      </c>
      <c r="S634" s="1" t="s">
        <v>46</v>
      </c>
      <c r="T634" s="4" t="s">
        <v>31</v>
      </c>
      <c r="U634" s="7" t="s">
        <v>32</v>
      </c>
      <c r="V634" s="7" t="s">
        <v>1206</v>
      </c>
      <c r="W634" s="7" t="s">
        <v>267</v>
      </c>
      <c r="X634" s="7" t="s">
        <v>1751</v>
      </c>
      <c r="Y634" s="10">
        <f t="shared" si="19"/>
        <v>1069.2</v>
      </c>
      <c r="AH634" s="5" t="e">
        <f>VLOOKUP(B634,[1]DL!$BK:$BP,6,0)</f>
        <v>#N/A</v>
      </c>
    </row>
    <row r="635" spans="1:34" ht="14.5" hidden="1">
      <c r="A635" s="5">
        <v>632</v>
      </c>
      <c r="B635" s="5" t="str">
        <f t="shared" si="18"/>
        <v>09AAHFJ5917G1Z6JPR/25-26/909</v>
      </c>
      <c r="C635" s="1" t="s">
        <v>1178</v>
      </c>
      <c r="D635" s="1" t="s">
        <v>1179</v>
      </c>
      <c r="E635" s="1" t="s">
        <v>1207</v>
      </c>
      <c r="F635" s="1" t="s">
        <v>24</v>
      </c>
      <c r="G635" s="1" t="s">
        <v>267</v>
      </c>
      <c r="H635" s="2">
        <v>148364</v>
      </c>
      <c r="I635" s="1" t="s">
        <v>44</v>
      </c>
      <c r="J635" s="3" t="s">
        <v>27</v>
      </c>
      <c r="K635" s="2">
        <v>125732</v>
      </c>
      <c r="L635" s="2">
        <v>22631.76</v>
      </c>
      <c r="M635" s="2">
        <v>0</v>
      </c>
      <c r="N635" s="2">
        <v>0</v>
      </c>
      <c r="O635" s="2">
        <v>0</v>
      </c>
      <c r="P635" s="7" t="s">
        <v>203</v>
      </c>
      <c r="Q635" s="1" t="s">
        <v>420</v>
      </c>
      <c r="R635" s="3" t="s">
        <v>45</v>
      </c>
      <c r="S635" s="1" t="s">
        <v>46</v>
      </c>
      <c r="T635" s="4" t="s">
        <v>31</v>
      </c>
      <c r="U635" s="7" t="s">
        <v>32</v>
      </c>
      <c r="V635" s="7" t="s">
        <v>1208</v>
      </c>
      <c r="W635" s="7" t="s">
        <v>267</v>
      </c>
      <c r="X635" s="7" t="s">
        <v>1751</v>
      </c>
      <c r="Y635" s="10">
        <f t="shared" si="19"/>
        <v>22631.759999999998</v>
      </c>
      <c r="AH635" s="5" t="e">
        <f>VLOOKUP(B635,[1]DL!$BK:$BP,6,0)</f>
        <v>#N/A</v>
      </c>
    </row>
    <row r="636" spans="1:34" ht="14.5" hidden="1">
      <c r="A636" s="5">
        <v>633</v>
      </c>
      <c r="B636" s="5" t="str">
        <f t="shared" si="18"/>
        <v>09AAHFJ5917G1Z6JPR/25-26/927</v>
      </c>
      <c r="C636" s="1" t="s">
        <v>1178</v>
      </c>
      <c r="D636" s="1" t="s">
        <v>1179</v>
      </c>
      <c r="E636" s="1" t="s">
        <v>1209</v>
      </c>
      <c r="F636" s="1" t="s">
        <v>24</v>
      </c>
      <c r="G636" s="1" t="s">
        <v>267</v>
      </c>
      <c r="H636" s="2">
        <v>94622</v>
      </c>
      <c r="I636" s="1" t="s">
        <v>44</v>
      </c>
      <c r="J636" s="3" t="s">
        <v>27</v>
      </c>
      <c r="K636" s="2">
        <v>80188</v>
      </c>
      <c r="L636" s="2">
        <v>14433.84</v>
      </c>
      <c r="M636" s="2">
        <v>0</v>
      </c>
      <c r="N636" s="2">
        <v>0</v>
      </c>
      <c r="O636" s="2">
        <v>0</v>
      </c>
      <c r="P636" s="7" t="s">
        <v>203</v>
      </c>
      <c r="Q636" s="1" t="s">
        <v>420</v>
      </c>
      <c r="R636" s="3" t="s">
        <v>45</v>
      </c>
      <c r="S636" s="1" t="s">
        <v>46</v>
      </c>
      <c r="T636" s="4" t="s">
        <v>31</v>
      </c>
      <c r="U636" s="7" t="s">
        <v>32</v>
      </c>
      <c r="V636" s="7" t="s">
        <v>1210</v>
      </c>
      <c r="W636" s="7" t="s">
        <v>302</v>
      </c>
      <c r="X636" s="7" t="s">
        <v>1751</v>
      </c>
      <c r="Y636" s="10">
        <f t="shared" si="19"/>
        <v>14433.84</v>
      </c>
      <c r="AH636" s="5" t="e">
        <f>VLOOKUP(B636,[1]DL!$BK:$BP,6,0)</f>
        <v>#N/A</v>
      </c>
    </row>
    <row r="637" spans="1:34" ht="14.5" hidden="1">
      <c r="A637" s="5">
        <v>634</v>
      </c>
      <c r="B637" s="5" t="str">
        <f t="shared" si="18"/>
        <v>09AAHFJ5917G1Z6JPR/25-26/928</v>
      </c>
      <c r="C637" s="1" t="s">
        <v>1178</v>
      </c>
      <c r="D637" s="1" t="s">
        <v>1179</v>
      </c>
      <c r="E637" s="1" t="s">
        <v>1211</v>
      </c>
      <c r="F637" s="1" t="s">
        <v>24</v>
      </c>
      <c r="G637" s="1" t="s">
        <v>267</v>
      </c>
      <c r="H637" s="2">
        <v>898249</v>
      </c>
      <c r="I637" s="1" t="s">
        <v>44</v>
      </c>
      <c r="J637" s="3" t="s">
        <v>27</v>
      </c>
      <c r="K637" s="2">
        <v>761228</v>
      </c>
      <c r="L637" s="2">
        <v>137021.04</v>
      </c>
      <c r="M637" s="2">
        <v>0</v>
      </c>
      <c r="N637" s="2">
        <v>0</v>
      </c>
      <c r="O637" s="2">
        <v>0</v>
      </c>
      <c r="P637" s="7" t="s">
        <v>203</v>
      </c>
      <c r="Q637" s="1" t="s">
        <v>420</v>
      </c>
      <c r="R637" s="3" t="s">
        <v>45</v>
      </c>
      <c r="S637" s="1" t="s">
        <v>46</v>
      </c>
      <c r="T637" s="4" t="s">
        <v>31</v>
      </c>
      <c r="U637" s="7" t="s">
        <v>32</v>
      </c>
      <c r="V637" s="7" t="s">
        <v>1212</v>
      </c>
      <c r="W637" s="7" t="s">
        <v>302</v>
      </c>
      <c r="X637" s="7" t="s">
        <v>1751</v>
      </c>
      <c r="Y637" s="10">
        <f t="shared" si="19"/>
        <v>137021.04000000001</v>
      </c>
      <c r="AH637" s="5" t="e">
        <f>VLOOKUP(B637,[1]DL!$BK:$BP,6,0)</f>
        <v>#N/A</v>
      </c>
    </row>
    <row r="638" spans="1:34" ht="14.5" hidden="1">
      <c r="A638" s="5">
        <v>635</v>
      </c>
      <c r="B638" s="5" t="str">
        <f t="shared" si="18"/>
        <v>09AAHFJ5917G1Z6JPR/25-26/929</v>
      </c>
      <c r="C638" s="1" t="s">
        <v>1178</v>
      </c>
      <c r="D638" s="1" t="s">
        <v>1179</v>
      </c>
      <c r="E638" s="1" t="s">
        <v>1213</v>
      </c>
      <c r="F638" s="1" t="s">
        <v>24</v>
      </c>
      <c r="G638" s="1" t="s">
        <v>267</v>
      </c>
      <c r="H638" s="2">
        <v>106554</v>
      </c>
      <c r="I638" s="1" t="s">
        <v>44</v>
      </c>
      <c r="J638" s="3" t="s">
        <v>27</v>
      </c>
      <c r="K638" s="2">
        <v>90300</v>
      </c>
      <c r="L638" s="2">
        <v>16254</v>
      </c>
      <c r="M638" s="2">
        <v>0</v>
      </c>
      <c r="N638" s="2">
        <v>0</v>
      </c>
      <c r="O638" s="2">
        <v>0</v>
      </c>
      <c r="P638" s="7" t="s">
        <v>203</v>
      </c>
      <c r="Q638" s="1" t="s">
        <v>420</v>
      </c>
      <c r="R638" s="3" t="s">
        <v>45</v>
      </c>
      <c r="S638" s="1" t="s">
        <v>46</v>
      </c>
      <c r="T638" s="4" t="s">
        <v>31</v>
      </c>
      <c r="U638" s="7" t="s">
        <v>46</v>
      </c>
      <c r="V638" s="7" t="s">
        <v>46</v>
      </c>
      <c r="W638" s="7" t="s">
        <v>46</v>
      </c>
      <c r="X638" s="7" t="s">
        <v>1751</v>
      </c>
      <c r="Y638" s="10">
        <f t="shared" si="19"/>
        <v>16254</v>
      </c>
      <c r="AH638" s="5" t="e">
        <f>VLOOKUP(B638,[1]DL!$BK:$BP,6,0)</f>
        <v>#N/A</v>
      </c>
    </row>
    <row r="639" spans="1:34" ht="14.5" hidden="1">
      <c r="A639" s="5">
        <v>636</v>
      </c>
      <c r="B639" s="5" t="str">
        <f t="shared" si="18"/>
        <v>09AAHFJ5917G1Z6JPR/25-26/937</v>
      </c>
      <c r="C639" s="1" t="s">
        <v>1178</v>
      </c>
      <c r="D639" s="1" t="s">
        <v>1179</v>
      </c>
      <c r="E639" s="1" t="s">
        <v>1214</v>
      </c>
      <c r="F639" s="1" t="s">
        <v>24</v>
      </c>
      <c r="G639" s="1" t="s">
        <v>267</v>
      </c>
      <c r="H639" s="2">
        <v>15340</v>
      </c>
      <c r="I639" s="1" t="s">
        <v>44</v>
      </c>
      <c r="J639" s="3" t="s">
        <v>27</v>
      </c>
      <c r="K639" s="2">
        <v>13000</v>
      </c>
      <c r="L639" s="2">
        <v>2340</v>
      </c>
      <c r="M639" s="2">
        <v>0</v>
      </c>
      <c r="N639" s="2">
        <v>0</v>
      </c>
      <c r="O639" s="2">
        <v>0</v>
      </c>
      <c r="P639" s="7" t="s">
        <v>203</v>
      </c>
      <c r="Q639" s="1" t="s">
        <v>420</v>
      </c>
      <c r="R639" s="3" t="s">
        <v>45</v>
      </c>
      <c r="S639" s="1" t="s">
        <v>46</v>
      </c>
      <c r="T639" s="4" t="s">
        <v>31</v>
      </c>
      <c r="U639" s="7" t="s">
        <v>32</v>
      </c>
      <c r="V639" s="7" t="s">
        <v>1215</v>
      </c>
      <c r="W639" s="7" t="s">
        <v>43</v>
      </c>
      <c r="X639" s="7" t="s">
        <v>1751</v>
      </c>
      <c r="Y639" s="10">
        <f t="shared" si="19"/>
        <v>2340</v>
      </c>
      <c r="AH639" s="5" t="e">
        <f>VLOOKUP(B639,[1]DL!$BK:$BP,6,0)</f>
        <v>#N/A</v>
      </c>
    </row>
    <row r="640" spans="1:34" ht="14.5" hidden="1">
      <c r="A640" s="5">
        <v>637</v>
      </c>
      <c r="B640" s="5" t="str">
        <f t="shared" si="18"/>
        <v>09AAHFJ5917G1Z6JPR/25-26/947</v>
      </c>
      <c r="C640" s="1" t="s">
        <v>1178</v>
      </c>
      <c r="D640" s="1" t="s">
        <v>1179</v>
      </c>
      <c r="E640" s="1" t="s">
        <v>1216</v>
      </c>
      <c r="F640" s="1" t="s">
        <v>24</v>
      </c>
      <c r="G640" s="1" t="s">
        <v>267</v>
      </c>
      <c r="H640" s="2">
        <v>21830</v>
      </c>
      <c r="I640" s="1" t="s">
        <v>44</v>
      </c>
      <c r="J640" s="3" t="s">
        <v>27</v>
      </c>
      <c r="K640" s="2">
        <v>18500</v>
      </c>
      <c r="L640" s="2">
        <v>3330</v>
      </c>
      <c r="M640" s="2">
        <v>0</v>
      </c>
      <c r="N640" s="2">
        <v>0</v>
      </c>
      <c r="O640" s="2">
        <v>0</v>
      </c>
      <c r="P640" s="7" t="s">
        <v>203</v>
      </c>
      <c r="Q640" s="1" t="s">
        <v>420</v>
      </c>
      <c r="R640" s="3" t="s">
        <v>45</v>
      </c>
      <c r="S640" s="1" t="s">
        <v>46</v>
      </c>
      <c r="T640" s="4" t="s">
        <v>31</v>
      </c>
      <c r="U640" s="7" t="s">
        <v>32</v>
      </c>
      <c r="V640" s="7" t="s">
        <v>1217</v>
      </c>
      <c r="W640" s="7" t="s">
        <v>43</v>
      </c>
      <c r="X640" s="7" t="s">
        <v>1751</v>
      </c>
      <c r="Y640" s="10">
        <f t="shared" si="19"/>
        <v>3330</v>
      </c>
      <c r="AH640" s="5" t="e">
        <f>VLOOKUP(B640,[1]DL!$BK:$BP,6,0)</f>
        <v>#N/A</v>
      </c>
    </row>
    <row r="641" spans="1:34" ht="14.5" hidden="1">
      <c r="A641" s="5">
        <v>638</v>
      </c>
      <c r="B641" s="5" t="str">
        <f t="shared" si="18"/>
        <v>09AAHFJ5917G1Z6JPR/25-26/963</v>
      </c>
      <c r="C641" s="1" t="s">
        <v>1178</v>
      </c>
      <c r="D641" s="1" t="s">
        <v>1179</v>
      </c>
      <c r="E641" s="1" t="s">
        <v>1218</v>
      </c>
      <c r="F641" s="1" t="s">
        <v>24</v>
      </c>
      <c r="G641" s="1" t="s">
        <v>267</v>
      </c>
      <c r="H641" s="2">
        <v>29311</v>
      </c>
      <c r="I641" s="1" t="s">
        <v>44</v>
      </c>
      <c r="J641" s="3" t="s">
        <v>27</v>
      </c>
      <c r="K641" s="2">
        <v>24840</v>
      </c>
      <c r="L641" s="2">
        <v>4471.20</v>
      </c>
      <c r="M641" s="2">
        <v>0</v>
      </c>
      <c r="N641" s="2">
        <v>0</v>
      </c>
      <c r="O641" s="2">
        <v>0</v>
      </c>
      <c r="P641" s="7" t="s">
        <v>203</v>
      </c>
      <c r="Q641" s="1" t="s">
        <v>420</v>
      </c>
      <c r="R641" s="3" t="s">
        <v>45</v>
      </c>
      <c r="S641" s="1" t="s">
        <v>46</v>
      </c>
      <c r="T641" s="4" t="s">
        <v>31</v>
      </c>
      <c r="U641" s="7" t="s">
        <v>32</v>
      </c>
      <c r="V641" s="7" t="s">
        <v>1219</v>
      </c>
      <c r="W641" s="7" t="s">
        <v>43</v>
      </c>
      <c r="X641" s="7" t="s">
        <v>1751</v>
      </c>
      <c r="Y641" s="10">
        <f t="shared" si="19"/>
        <v>4471.1999999999998</v>
      </c>
      <c r="AH641" s="5" t="e">
        <f>VLOOKUP(B641,[1]DL!$BK:$BP,6,0)</f>
        <v>#N/A</v>
      </c>
    </row>
    <row r="642" spans="1:34" ht="14.5" hidden="1">
      <c r="A642" s="5">
        <v>639</v>
      </c>
      <c r="B642" s="5" t="str">
        <f t="shared" si="18"/>
        <v>09AAHFJ5917G1Z6JPR/25-26/965</v>
      </c>
      <c r="C642" s="1" t="s">
        <v>1178</v>
      </c>
      <c r="D642" s="1" t="s">
        <v>1179</v>
      </c>
      <c r="E642" s="1" t="s">
        <v>1220</v>
      </c>
      <c r="F642" s="1" t="s">
        <v>24</v>
      </c>
      <c r="G642" s="1" t="s">
        <v>267</v>
      </c>
      <c r="H642" s="2">
        <v>7009</v>
      </c>
      <c r="I642" s="1" t="s">
        <v>44</v>
      </c>
      <c r="J642" s="3" t="s">
        <v>27</v>
      </c>
      <c r="K642" s="2">
        <v>5940</v>
      </c>
      <c r="L642" s="2">
        <v>1069.20</v>
      </c>
      <c r="M642" s="2">
        <v>0</v>
      </c>
      <c r="N642" s="2">
        <v>0</v>
      </c>
      <c r="O642" s="2">
        <v>0</v>
      </c>
      <c r="P642" s="7" t="s">
        <v>203</v>
      </c>
      <c r="Q642" s="1" t="s">
        <v>420</v>
      </c>
      <c r="R642" s="3" t="s">
        <v>45</v>
      </c>
      <c r="S642" s="1" t="s">
        <v>46</v>
      </c>
      <c r="T642" s="4" t="s">
        <v>31</v>
      </c>
      <c r="U642" s="7" t="s">
        <v>32</v>
      </c>
      <c r="V642" s="7" t="s">
        <v>1221</v>
      </c>
      <c r="W642" s="7" t="s">
        <v>43</v>
      </c>
      <c r="X642" s="7" t="s">
        <v>1751</v>
      </c>
      <c r="Y642" s="10">
        <f t="shared" si="19"/>
        <v>1069.2</v>
      </c>
      <c r="AH642" s="5" t="e">
        <f>VLOOKUP(B642,[1]DL!$BK:$BP,6,0)</f>
        <v>#N/A</v>
      </c>
    </row>
    <row r="643" spans="1:34" ht="14.5" hidden="1">
      <c r="A643" s="5">
        <v>640</v>
      </c>
      <c r="B643" s="5" t="str">
        <f t="shared" si="18"/>
        <v>09AAHFJ5917G1Z6JPR/25-26/977</v>
      </c>
      <c r="C643" s="1" t="s">
        <v>1178</v>
      </c>
      <c r="D643" s="1" t="s">
        <v>1179</v>
      </c>
      <c r="E643" s="1" t="s">
        <v>1222</v>
      </c>
      <c r="F643" s="1" t="s">
        <v>24</v>
      </c>
      <c r="G643" s="1" t="s">
        <v>267</v>
      </c>
      <c r="H643" s="2">
        <v>11215</v>
      </c>
      <c r="I643" s="1" t="s">
        <v>44</v>
      </c>
      <c r="J643" s="3" t="s">
        <v>27</v>
      </c>
      <c r="K643" s="2">
        <v>9504</v>
      </c>
      <c r="L643" s="2">
        <v>1710.72</v>
      </c>
      <c r="M643" s="2">
        <v>0</v>
      </c>
      <c r="N643" s="2">
        <v>0</v>
      </c>
      <c r="O643" s="2">
        <v>0</v>
      </c>
      <c r="P643" s="7" t="s">
        <v>203</v>
      </c>
      <c r="Q643" s="1" t="s">
        <v>420</v>
      </c>
      <c r="R643" s="3" t="s">
        <v>45</v>
      </c>
      <c r="S643" s="1" t="s">
        <v>46</v>
      </c>
      <c r="T643" s="4" t="s">
        <v>31</v>
      </c>
      <c r="U643" s="7" t="s">
        <v>32</v>
      </c>
      <c r="V643" s="7" t="s">
        <v>1223</v>
      </c>
      <c r="W643" s="7" t="s">
        <v>25</v>
      </c>
      <c r="X643" s="7" t="s">
        <v>1751</v>
      </c>
      <c r="Y643" s="10">
        <f t="shared" si="19"/>
        <v>1710.72</v>
      </c>
      <c r="AH643" s="5" t="e">
        <f>VLOOKUP(B643,[1]DL!$BK:$BP,6,0)</f>
        <v>#N/A</v>
      </c>
    </row>
    <row r="644" spans="1:34" ht="14.5" hidden="1">
      <c r="A644" s="5">
        <v>641</v>
      </c>
      <c r="B644" s="5" t="str">
        <f t="shared" si="18"/>
        <v>09AAHFJ5917G1Z6JPR/25-26/980</v>
      </c>
      <c r="C644" s="1" t="s">
        <v>1178</v>
      </c>
      <c r="D644" s="1" t="s">
        <v>1179</v>
      </c>
      <c r="E644" s="1" t="s">
        <v>1224</v>
      </c>
      <c r="F644" s="1" t="s">
        <v>24</v>
      </c>
      <c r="G644" s="1" t="s">
        <v>267</v>
      </c>
      <c r="H644" s="2">
        <v>38940</v>
      </c>
      <c r="I644" s="1" t="s">
        <v>44</v>
      </c>
      <c r="J644" s="3" t="s">
        <v>27</v>
      </c>
      <c r="K644" s="2">
        <v>33000</v>
      </c>
      <c r="L644" s="2">
        <v>5940</v>
      </c>
      <c r="M644" s="2">
        <v>0</v>
      </c>
      <c r="N644" s="2">
        <v>0</v>
      </c>
      <c r="O644" s="2">
        <v>0</v>
      </c>
      <c r="P644" s="7" t="s">
        <v>203</v>
      </c>
      <c r="Q644" s="1" t="s">
        <v>420</v>
      </c>
      <c r="R644" s="3" t="s">
        <v>45</v>
      </c>
      <c r="S644" s="1" t="s">
        <v>46</v>
      </c>
      <c r="T644" s="4" t="s">
        <v>31</v>
      </c>
      <c r="U644" s="7" t="s">
        <v>32</v>
      </c>
      <c r="V644" s="7" t="s">
        <v>1225</v>
      </c>
      <c r="W644" s="7" t="s">
        <v>25</v>
      </c>
      <c r="X644" s="7" t="s">
        <v>1751</v>
      </c>
      <c r="Y644" s="10">
        <f t="shared" si="19"/>
        <v>5940</v>
      </c>
      <c r="AH644" s="5" t="e">
        <f>VLOOKUP(B644,[1]DL!$BK:$BP,6,0)</f>
        <v>#N/A</v>
      </c>
    </row>
    <row r="645" spans="1:34" ht="14.5" hidden="1">
      <c r="A645" s="5">
        <v>642</v>
      </c>
      <c r="B645" s="5" t="str">
        <f t="shared" si="20" ref="B645:B708">C645&amp;E645</f>
        <v>24AAFCA3559A1Z5BLGJ2627000040</v>
      </c>
      <c r="C645" s="1" t="s">
        <v>1226</v>
      </c>
      <c r="D645" s="1" t="s">
        <v>1227</v>
      </c>
      <c r="E645" s="1" t="s">
        <v>1228</v>
      </c>
      <c r="F645" s="1" t="s">
        <v>24</v>
      </c>
      <c r="G645" s="1" t="s">
        <v>54</v>
      </c>
      <c r="H645" s="2">
        <v>67024</v>
      </c>
      <c r="I645" s="1" t="s">
        <v>44</v>
      </c>
      <c r="J645" s="3" t="s">
        <v>27</v>
      </c>
      <c r="K645" s="2">
        <v>56800</v>
      </c>
      <c r="L645" s="2">
        <v>10224</v>
      </c>
      <c r="M645" s="2">
        <v>0</v>
      </c>
      <c r="N645" s="2">
        <v>0</v>
      </c>
      <c r="O645" s="2">
        <v>0</v>
      </c>
      <c r="P645" s="7" t="s">
        <v>28</v>
      </c>
      <c r="Q645" s="1" t="s">
        <v>29</v>
      </c>
      <c r="R645" s="3" t="s">
        <v>45</v>
      </c>
      <c r="S645" s="1" t="s">
        <v>46</v>
      </c>
      <c r="T645" s="4" t="s">
        <v>31</v>
      </c>
      <c r="U645" s="7" t="s">
        <v>46</v>
      </c>
      <c r="V645" s="7" t="s">
        <v>46</v>
      </c>
      <c r="W645" s="7" t="s">
        <v>46</v>
      </c>
      <c r="X645" s="7" t="s">
        <v>1751</v>
      </c>
      <c r="Y645" s="10">
        <f t="shared" si="21" ref="Y645:Y708">L645+M645+N645+O645</f>
        <v>10224</v>
      </c>
      <c r="AH645" s="5" t="e">
        <f>VLOOKUP(B645,[1]DL!$BK:$BP,6,0)</f>
        <v>#N/A</v>
      </c>
    </row>
    <row r="646" spans="1:34" ht="14.5">
      <c r="A646" s="5">
        <v>643</v>
      </c>
      <c r="B646" s="5" t="str">
        <f t="shared" si="20"/>
        <v>07AVQPK8011N2Z1612</v>
      </c>
      <c r="C646" s="1" t="s">
        <v>1229</v>
      </c>
      <c r="D646" s="1" t="s">
        <v>1230</v>
      </c>
      <c r="E646" s="1" t="s">
        <v>1231</v>
      </c>
      <c r="F646" s="1" t="s">
        <v>24</v>
      </c>
      <c r="G646" s="1" t="s">
        <v>43</v>
      </c>
      <c r="H646" s="2">
        <v>31034</v>
      </c>
      <c r="I646" s="1" t="s">
        <v>44</v>
      </c>
      <c r="J646" s="3" t="s">
        <v>27</v>
      </c>
      <c r="K646" s="2">
        <v>26300</v>
      </c>
      <c r="L646" s="2">
        <v>0</v>
      </c>
      <c r="M646" s="2">
        <v>2367</v>
      </c>
      <c r="N646" s="2">
        <v>2367</v>
      </c>
      <c r="O646" s="2">
        <v>0</v>
      </c>
      <c r="P646" s="7" t="s">
        <v>28</v>
      </c>
      <c r="Q646" s="1" t="s">
        <v>94</v>
      </c>
      <c r="R646" s="3" t="s">
        <v>45</v>
      </c>
      <c r="S646" s="1" t="s">
        <v>46</v>
      </c>
      <c r="T646" s="4" t="s">
        <v>31</v>
      </c>
      <c r="U646" s="7" t="s">
        <v>46</v>
      </c>
      <c r="V646" s="7" t="s">
        <v>46</v>
      </c>
      <c r="W646" s="7" t="s">
        <v>46</v>
      </c>
      <c r="X646" s="7" t="s">
        <v>1751</v>
      </c>
      <c r="Y646" s="10">
        <f t="shared" si="21"/>
        <v>4734</v>
      </c>
      <c r="Z646" s="5">
        <v>9151235</v>
      </c>
      <c r="AA646" s="5" t="s">
        <v>1922</v>
      </c>
      <c r="AB646" s="5" t="s">
        <v>1751</v>
      </c>
      <c r="AC646" s="5" t="s">
        <v>1925</v>
      </c>
      <c r="AE646" s="5" t="s">
        <v>1923</v>
      </c>
      <c r="AH646" s="5">
        <f>VLOOKUP(B646,[1]DL!$BK:$BP,6,0)</f>
        <v>9151235</v>
      </c>
    </row>
    <row r="647" spans="1:34" ht="14.5" hidden="1">
      <c r="A647" s="5">
        <v>644</v>
      </c>
      <c r="B647" s="5" t="str">
        <f t="shared" si="20"/>
        <v>07AVQPK8011N2Z1615</v>
      </c>
      <c r="C647" s="1" t="s">
        <v>1229</v>
      </c>
      <c r="D647" s="1" t="s">
        <v>1230</v>
      </c>
      <c r="E647" s="1" t="s">
        <v>1232</v>
      </c>
      <c r="F647" s="1" t="s">
        <v>24</v>
      </c>
      <c r="G647" s="1" t="s">
        <v>76</v>
      </c>
      <c r="H647" s="2">
        <v>41596</v>
      </c>
      <c r="I647" s="1" t="s">
        <v>44</v>
      </c>
      <c r="J647" s="3" t="s">
        <v>27</v>
      </c>
      <c r="K647" s="2">
        <v>35250</v>
      </c>
      <c r="L647" s="2">
        <v>0</v>
      </c>
      <c r="M647" s="2">
        <v>3173</v>
      </c>
      <c r="N647" s="2">
        <v>3173</v>
      </c>
      <c r="O647" s="2">
        <v>0</v>
      </c>
      <c r="P647" s="7" t="s">
        <v>28</v>
      </c>
      <c r="Q647" s="1" t="s">
        <v>94</v>
      </c>
      <c r="R647" s="3" t="s">
        <v>45</v>
      </c>
      <c r="S647" s="1" t="s">
        <v>46</v>
      </c>
      <c r="T647" s="4" t="s">
        <v>31</v>
      </c>
      <c r="U647" s="7" t="s">
        <v>46</v>
      </c>
      <c r="V647" s="7" t="s">
        <v>46</v>
      </c>
      <c r="W647" s="7" t="s">
        <v>46</v>
      </c>
      <c r="X647" s="7" t="s">
        <v>1751</v>
      </c>
      <c r="Y647" s="10">
        <f t="shared" si="21"/>
        <v>6346</v>
      </c>
      <c r="AH647" s="5" t="e">
        <f>VLOOKUP(B647,[1]DL!$BK:$BP,6,0)</f>
        <v>#N/A</v>
      </c>
    </row>
    <row r="648" spans="1:34" ht="14.5">
      <c r="A648" s="5">
        <v>645</v>
      </c>
      <c r="B648" s="5" t="str">
        <f t="shared" si="20"/>
        <v>07AAACN0474C1ZX130/26-27</v>
      </c>
      <c r="C648" s="1" t="s">
        <v>1233</v>
      </c>
      <c r="D648" s="1" t="s">
        <v>1234</v>
      </c>
      <c r="E648" s="1" t="s">
        <v>1235</v>
      </c>
      <c r="F648" s="1" t="s">
        <v>24</v>
      </c>
      <c r="G648" s="1" t="s">
        <v>285</v>
      </c>
      <c r="H648" s="2">
        <v>39429.699999999997</v>
      </c>
      <c r="I648" s="1" t="s">
        <v>44</v>
      </c>
      <c r="J648" s="3" t="s">
        <v>27</v>
      </c>
      <c r="K648" s="2">
        <v>33415</v>
      </c>
      <c r="L648" s="2">
        <v>0</v>
      </c>
      <c r="M648" s="2">
        <v>3007.35</v>
      </c>
      <c r="N648" s="2">
        <v>3007.35</v>
      </c>
      <c r="O648" s="2">
        <v>0</v>
      </c>
      <c r="P648" s="7" t="s">
        <v>28</v>
      </c>
      <c r="Q648" s="1" t="s">
        <v>29</v>
      </c>
      <c r="R648" s="3" t="s">
        <v>45</v>
      </c>
      <c r="S648" s="1" t="s">
        <v>46</v>
      </c>
      <c r="T648" s="4" t="s">
        <v>31</v>
      </c>
      <c r="U648" s="7" t="s">
        <v>32</v>
      </c>
      <c r="V648" s="7" t="s">
        <v>1236</v>
      </c>
      <c r="W648" s="7" t="s">
        <v>285</v>
      </c>
      <c r="X648" s="7" t="s">
        <v>1751</v>
      </c>
      <c r="Y648" s="10">
        <f t="shared" si="21"/>
        <v>6014.6999999999998</v>
      </c>
      <c r="Z648" s="5">
        <v>9164740</v>
      </c>
      <c r="AA648" s="5" t="s">
        <v>1922</v>
      </c>
      <c r="AB648" s="5" t="s">
        <v>1751</v>
      </c>
      <c r="AC648" s="5" t="s">
        <v>1925</v>
      </c>
      <c r="AE648" s="5" t="s">
        <v>1923</v>
      </c>
      <c r="AH648" s="5">
        <f>VLOOKUP(B648,[1]DL!$BK:$BP,6,0)</f>
        <v>9164740</v>
      </c>
    </row>
    <row r="649" spans="1:34" ht="14.5" hidden="1">
      <c r="A649" s="5">
        <v>646</v>
      </c>
      <c r="B649" s="5" t="str">
        <f t="shared" si="20"/>
        <v>07AAACN0474C1ZX142/26-27</v>
      </c>
      <c r="C649" s="1" t="s">
        <v>1233</v>
      </c>
      <c r="D649" s="1" t="s">
        <v>1234</v>
      </c>
      <c r="E649" s="1" t="s">
        <v>1237</v>
      </c>
      <c r="F649" s="1" t="s">
        <v>24</v>
      </c>
      <c r="G649" s="1" t="s">
        <v>125</v>
      </c>
      <c r="H649" s="2">
        <v>149624</v>
      </c>
      <c r="I649" s="1" t="s">
        <v>44</v>
      </c>
      <c r="J649" s="3" t="s">
        <v>27</v>
      </c>
      <c r="K649" s="2">
        <v>126800</v>
      </c>
      <c r="L649" s="2">
        <v>0</v>
      </c>
      <c r="M649" s="2">
        <v>11412</v>
      </c>
      <c r="N649" s="2">
        <v>11412</v>
      </c>
      <c r="O649" s="2">
        <v>0</v>
      </c>
      <c r="P649" s="7" t="s">
        <v>28</v>
      </c>
      <c r="Q649" s="1" t="s">
        <v>29</v>
      </c>
      <c r="R649" s="3" t="s">
        <v>45</v>
      </c>
      <c r="S649" s="1" t="s">
        <v>46</v>
      </c>
      <c r="T649" s="4" t="s">
        <v>31</v>
      </c>
      <c r="U649" s="7" t="s">
        <v>32</v>
      </c>
      <c r="V649" s="7" t="s">
        <v>1238</v>
      </c>
      <c r="W649" s="7" t="s">
        <v>125</v>
      </c>
      <c r="X649" s="7" t="s">
        <v>1751</v>
      </c>
      <c r="Y649" s="10">
        <f t="shared" si="21"/>
        <v>22824</v>
      </c>
      <c r="AH649" s="5" t="e">
        <f>VLOOKUP(B649,[1]DL!$BK:$BP,6,0)</f>
        <v>#N/A</v>
      </c>
    </row>
    <row r="650" spans="1:34" ht="14.5" hidden="1">
      <c r="A650" s="5">
        <v>647</v>
      </c>
      <c r="B650" s="5" t="str">
        <f t="shared" si="20"/>
        <v>07AAACN0474C1ZX308/26-27</v>
      </c>
      <c r="C650" s="1" t="s">
        <v>1233</v>
      </c>
      <c r="D650" s="1" t="s">
        <v>1234</v>
      </c>
      <c r="E650" s="1" t="s">
        <v>1239</v>
      </c>
      <c r="F650" s="1" t="s">
        <v>24</v>
      </c>
      <c r="G650" s="1" t="s">
        <v>52</v>
      </c>
      <c r="H650" s="2">
        <v>27328.80</v>
      </c>
      <c r="I650" s="1" t="s">
        <v>44</v>
      </c>
      <c r="J650" s="3" t="s">
        <v>27</v>
      </c>
      <c r="K650" s="2">
        <v>23160</v>
      </c>
      <c r="L650" s="2">
        <v>0</v>
      </c>
      <c r="M650" s="2">
        <v>2084.40</v>
      </c>
      <c r="N650" s="2">
        <v>2084.40</v>
      </c>
      <c r="O650" s="2">
        <v>0</v>
      </c>
      <c r="P650" s="7" t="s">
        <v>28</v>
      </c>
      <c r="Q650" s="1" t="s">
        <v>29</v>
      </c>
      <c r="R650" s="3" t="s">
        <v>45</v>
      </c>
      <c r="S650" s="1" t="s">
        <v>46</v>
      </c>
      <c r="T650" s="4" t="s">
        <v>31</v>
      </c>
      <c r="U650" s="7" t="s">
        <v>32</v>
      </c>
      <c r="V650" s="7" t="s">
        <v>1240</v>
      </c>
      <c r="W650" s="7" t="s">
        <v>52</v>
      </c>
      <c r="X650" s="7" t="s">
        <v>1751</v>
      </c>
      <c r="Y650" s="10">
        <f t="shared" si="21"/>
        <v>4168.8000000000002</v>
      </c>
      <c r="AH650" s="5" t="e">
        <f>VLOOKUP(B650,[1]DL!$BK:$BP,6,0)</f>
        <v>#N/A</v>
      </c>
    </row>
    <row r="651" spans="1:34" ht="14.5" hidden="1">
      <c r="A651" s="5">
        <v>648</v>
      </c>
      <c r="B651" s="5" t="str">
        <f t="shared" si="20"/>
        <v>07AAACN0474C1ZX309/26-27</v>
      </c>
      <c r="C651" s="1" t="s">
        <v>1233</v>
      </c>
      <c r="D651" s="1" t="s">
        <v>1234</v>
      </c>
      <c r="E651" s="1" t="s">
        <v>1241</v>
      </c>
      <c r="F651" s="1" t="s">
        <v>24</v>
      </c>
      <c r="G651" s="1" t="s">
        <v>52</v>
      </c>
      <c r="H651" s="2">
        <v>113350.80</v>
      </c>
      <c r="I651" s="1" t="s">
        <v>44</v>
      </c>
      <c r="J651" s="3" t="s">
        <v>27</v>
      </c>
      <c r="K651" s="2">
        <v>96060</v>
      </c>
      <c r="L651" s="2">
        <v>0</v>
      </c>
      <c r="M651" s="2">
        <v>8645.40</v>
      </c>
      <c r="N651" s="2">
        <v>8645.40</v>
      </c>
      <c r="O651" s="2">
        <v>0</v>
      </c>
      <c r="P651" s="7" t="s">
        <v>28</v>
      </c>
      <c r="Q651" s="1" t="s">
        <v>29</v>
      </c>
      <c r="R651" s="3" t="s">
        <v>45</v>
      </c>
      <c r="S651" s="1" t="s">
        <v>46</v>
      </c>
      <c r="T651" s="4" t="s">
        <v>31</v>
      </c>
      <c r="U651" s="7" t="s">
        <v>32</v>
      </c>
      <c r="V651" s="7" t="s">
        <v>1242</v>
      </c>
      <c r="W651" s="7" t="s">
        <v>52</v>
      </c>
      <c r="X651" s="7" t="s">
        <v>1751</v>
      </c>
      <c r="Y651" s="10">
        <f t="shared" si="21"/>
        <v>17290.799999999999</v>
      </c>
      <c r="AH651" s="5" t="e">
        <f>VLOOKUP(B651,[1]DL!$BK:$BP,6,0)</f>
        <v>#N/A</v>
      </c>
    </row>
    <row r="652" spans="1:34" ht="14.5" hidden="1">
      <c r="A652" s="5">
        <v>649</v>
      </c>
      <c r="B652" s="5" t="str">
        <f t="shared" si="20"/>
        <v>07AAACN0474C1ZX310/26-27</v>
      </c>
      <c r="C652" s="1" t="s">
        <v>1233</v>
      </c>
      <c r="D652" s="1" t="s">
        <v>1234</v>
      </c>
      <c r="E652" s="1" t="s">
        <v>1243</v>
      </c>
      <c r="F652" s="1" t="s">
        <v>24</v>
      </c>
      <c r="G652" s="1" t="s">
        <v>52</v>
      </c>
      <c r="H652" s="2">
        <v>113350.80</v>
      </c>
      <c r="I652" s="1" t="s">
        <v>44</v>
      </c>
      <c r="J652" s="3" t="s">
        <v>27</v>
      </c>
      <c r="K652" s="2">
        <v>96060</v>
      </c>
      <c r="L652" s="2">
        <v>0</v>
      </c>
      <c r="M652" s="2">
        <v>8645.40</v>
      </c>
      <c r="N652" s="2">
        <v>8645.40</v>
      </c>
      <c r="O652" s="2">
        <v>0</v>
      </c>
      <c r="P652" s="7" t="s">
        <v>28</v>
      </c>
      <c r="Q652" s="1" t="s">
        <v>29</v>
      </c>
      <c r="R652" s="3" t="s">
        <v>45</v>
      </c>
      <c r="S652" s="1" t="s">
        <v>46</v>
      </c>
      <c r="T652" s="4" t="s">
        <v>31</v>
      </c>
      <c r="U652" s="7" t="s">
        <v>32</v>
      </c>
      <c r="V652" s="7" t="s">
        <v>1244</v>
      </c>
      <c r="W652" s="7" t="s">
        <v>52</v>
      </c>
      <c r="X652" s="7" t="s">
        <v>1751</v>
      </c>
      <c r="Y652" s="10">
        <f t="shared" si="21"/>
        <v>17290.799999999999</v>
      </c>
      <c r="AH652" s="5" t="e">
        <f>VLOOKUP(B652,[1]DL!$BK:$BP,6,0)</f>
        <v>#N/A</v>
      </c>
    </row>
    <row r="653" spans="1:34" ht="14.5" hidden="1">
      <c r="A653" s="5">
        <v>650</v>
      </c>
      <c r="B653" s="5" t="str">
        <f t="shared" si="20"/>
        <v>07AAACN0474C1ZX710/26-27</v>
      </c>
      <c r="C653" s="1" t="s">
        <v>1233</v>
      </c>
      <c r="D653" s="1" t="s">
        <v>1234</v>
      </c>
      <c r="E653" s="1" t="s">
        <v>1245</v>
      </c>
      <c r="F653" s="1" t="s">
        <v>24</v>
      </c>
      <c r="G653" s="1" t="s">
        <v>420</v>
      </c>
      <c r="H653" s="2">
        <v>34019.40</v>
      </c>
      <c r="I653" s="1" t="s">
        <v>44</v>
      </c>
      <c r="J653" s="3" t="s">
        <v>27</v>
      </c>
      <c r="K653" s="2">
        <v>28830</v>
      </c>
      <c r="L653" s="2">
        <v>0</v>
      </c>
      <c r="M653" s="2">
        <v>2594.6999999999998</v>
      </c>
      <c r="N653" s="2">
        <v>2594.6999999999998</v>
      </c>
      <c r="O653" s="2">
        <v>0</v>
      </c>
      <c r="P653" s="7" t="s">
        <v>28</v>
      </c>
      <c r="Q653" s="1" t="s">
        <v>29</v>
      </c>
      <c r="R653" s="3" t="s">
        <v>45</v>
      </c>
      <c r="S653" s="1" t="s">
        <v>46</v>
      </c>
      <c r="T653" s="4" t="s">
        <v>31</v>
      </c>
      <c r="U653" s="7" t="s">
        <v>32</v>
      </c>
      <c r="V653" s="7" t="s">
        <v>1246</v>
      </c>
      <c r="W653" s="7" t="s">
        <v>420</v>
      </c>
      <c r="X653" s="7" t="s">
        <v>1751</v>
      </c>
      <c r="Y653" s="10">
        <f t="shared" si="21"/>
        <v>5189.3999999999996</v>
      </c>
      <c r="AH653" s="5" t="e">
        <f>VLOOKUP(B653,[1]DL!$BK:$BP,6,0)</f>
        <v>#N/A</v>
      </c>
    </row>
    <row r="654" spans="1:34" ht="14.5" hidden="1">
      <c r="A654" s="5">
        <v>651</v>
      </c>
      <c r="B654" s="5" t="str">
        <f t="shared" si="20"/>
        <v>07AAACN0474C1ZX763/26-27</v>
      </c>
      <c r="C654" s="1" t="s">
        <v>1233</v>
      </c>
      <c r="D654" s="1" t="s">
        <v>1234</v>
      </c>
      <c r="E654" s="1" t="s">
        <v>1247</v>
      </c>
      <c r="F654" s="1" t="s">
        <v>24</v>
      </c>
      <c r="G654" s="1" t="s">
        <v>154</v>
      </c>
      <c r="H654" s="2">
        <v>76228</v>
      </c>
      <c r="I654" s="1" t="s">
        <v>44</v>
      </c>
      <c r="J654" s="3" t="s">
        <v>27</v>
      </c>
      <c r="K654" s="2">
        <v>64600</v>
      </c>
      <c r="L654" s="2">
        <v>0</v>
      </c>
      <c r="M654" s="2">
        <v>5814</v>
      </c>
      <c r="N654" s="2">
        <v>5814</v>
      </c>
      <c r="O654" s="2">
        <v>0</v>
      </c>
      <c r="P654" s="7" t="s">
        <v>28</v>
      </c>
      <c r="Q654" s="1" t="s">
        <v>29</v>
      </c>
      <c r="R654" s="3" t="s">
        <v>45</v>
      </c>
      <c r="S654" s="1" t="s">
        <v>46</v>
      </c>
      <c r="T654" s="4" t="s">
        <v>31</v>
      </c>
      <c r="U654" s="7" t="s">
        <v>32</v>
      </c>
      <c r="V654" s="7" t="s">
        <v>1248</v>
      </c>
      <c r="W654" s="7" t="s">
        <v>154</v>
      </c>
      <c r="X654" s="7" t="s">
        <v>1751</v>
      </c>
      <c r="Y654" s="10">
        <f t="shared" si="21"/>
        <v>11628</v>
      </c>
      <c r="AH654" s="5" t="e">
        <f>VLOOKUP(B654,[1]DL!$BK:$BP,6,0)</f>
        <v>#N/A</v>
      </c>
    </row>
    <row r="655" spans="1:34" ht="14.5" hidden="1">
      <c r="A655" s="5">
        <v>652</v>
      </c>
      <c r="B655" s="5" t="str">
        <f t="shared" si="20"/>
        <v>07AAACN0474C1ZX764/26-27</v>
      </c>
      <c r="C655" s="1" t="s">
        <v>1233</v>
      </c>
      <c r="D655" s="1" t="s">
        <v>1234</v>
      </c>
      <c r="E655" s="1" t="s">
        <v>1249</v>
      </c>
      <c r="F655" s="1" t="s">
        <v>24</v>
      </c>
      <c r="G655" s="1" t="s">
        <v>154</v>
      </c>
      <c r="H655" s="2">
        <v>214665.60</v>
      </c>
      <c r="I655" s="1" t="s">
        <v>44</v>
      </c>
      <c r="J655" s="3" t="s">
        <v>27</v>
      </c>
      <c r="K655" s="2">
        <v>181920</v>
      </c>
      <c r="L655" s="2">
        <v>0</v>
      </c>
      <c r="M655" s="2">
        <v>16372.80</v>
      </c>
      <c r="N655" s="2">
        <v>16372.80</v>
      </c>
      <c r="O655" s="2">
        <v>0</v>
      </c>
      <c r="P655" s="7" t="s">
        <v>28</v>
      </c>
      <c r="Q655" s="1" t="s">
        <v>29</v>
      </c>
      <c r="R655" s="3" t="s">
        <v>45</v>
      </c>
      <c r="S655" s="1" t="s">
        <v>46</v>
      </c>
      <c r="T655" s="4" t="s">
        <v>31</v>
      </c>
      <c r="U655" s="7" t="s">
        <v>32</v>
      </c>
      <c r="V655" s="7" t="s">
        <v>1250</v>
      </c>
      <c r="W655" s="7" t="s">
        <v>154</v>
      </c>
      <c r="X655" s="7" t="s">
        <v>1751</v>
      </c>
      <c r="Y655" s="10">
        <f t="shared" si="21"/>
        <v>32745.599999999999</v>
      </c>
      <c r="AH655" s="5" t="e">
        <f>VLOOKUP(B655,[1]DL!$BK:$BP,6,0)</f>
        <v>#N/A</v>
      </c>
    </row>
    <row r="656" spans="1:34" ht="14.5" hidden="1">
      <c r="A656" s="5">
        <v>653</v>
      </c>
      <c r="B656" s="5" t="str">
        <f t="shared" si="20"/>
        <v>07AAACN0474C1ZX765/26-27</v>
      </c>
      <c r="C656" s="1" t="s">
        <v>1233</v>
      </c>
      <c r="D656" s="1" t="s">
        <v>1234</v>
      </c>
      <c r="E656" s="1" t="s">
        <v>1251</v>
      </c>
      <c r="F656" s="1" t="s">
        <v>24</v>
      </c>
      <c r="G656" s="1" t="s">
        <v>154</v>
      </c>
      <c r="H656" s="2">
        <v>54374.40</v>
      </c>
      <c r="I656" s="1" t="s">
        <v>44</v>
      </c>
      <c r="J656" s="3" t="s">
        <v>27</v>
      </c>
      <c r="K656" s="2">
        <v>46080</v>
      </c>
      <c r="L656" s="2">
        <v>0</v>
      </c>
      <c r="M656" s="2">
        <v>4147.20</v>
      </c>
      <c r="N656" s="2">
        <v>4147.20</v>
      </c>
      <c r="O656" s="2">
        <v>0</v>
      </c>
      <c r="P656" s="7" t="s">
        <v>28</v>
      </c>
      <c r="Q656" s="1" t="s">
        <v>29</v>
      </c>
      <c r="R656" s="3" t="s">
        <v>45</v>
      </c>
      <c r="S656" s="1" t="s">
        <v>46</v>
      </c>
      <c r="T656" s="4" t="s">
        <v>31</v>
      </c>
      <c r="U656" s="7" t="s">
        <v>32</v>
      </c>
      <c r="V656" s="7" t="s">
        <v>1252</v>
      </c>
      <c r="W656" s="7" t="s">
        <v>154</v>
      </c>
      <c r="X656" s="7" t="s">
        <v>1751</v>
      </c>
      <c r="Y656" s="10">
        <f t="shared" si="21"/>
        <v>8294.3999999999996</v>
      </c>
      <c r="AH656" s="5" t="e">
        <f>VLOOKUP(B656,[1]DL!$BK:$BP,6,0)</f>
        <v>#N/A</v>
      </c>
    </row>
    <row r="657" spans="1:34" ht="14.5" hidden="1">
      <c r="A657" s="5">
        <v>654</v>
      </c>
      <c r="B657" s="5" t="str">
        <f t="shared" si="20"/>
        <v>07AAACN0474C1ZX766/26-27</v>
      </c>
      <c r="C657" s="1" t="s">
        <v>1233</v>
      </c>
      <c r="D657" s="1" t="s">
        <v>1234</v>
      </c>
      <c r="E657" s="1" t="s">
        <v>1253</v>
      </c>
      <c r="F657" s="1" t="s">
        <v>24</v>
      </c>
      <c r="G657" s="1" t="s">
        <v>154</v>
      </c>
      <c r="H657" s="2">
        <v>56675.40</v>
      </c>
      <c r="I657" s="1" t="s">
        <v>44</v>
      </c>
      <c r="J657" s="3" t="s">
        <v>27</v>
      </c>
      <c r="K657" s="2">
        <v>48030</v>
      </c>
      <c r="L657" s="2">
        <v>0</v>
      </c>
      <c r="M657" s="2">
        <v>4322.70</v>
      </c>
      <c r="N657" s="2">
        <v>4322.70</v>
      </c>
      <c r="O657" s="2">
        <v>0</v>
      </c>
      <c r="P657" s="7" t="s">
        <v>28</v>
      </c>
      <c r="Q657" s="1" t="s">
        <v>29</v>
      </c>
      <c r="R657" s="3" t="s">
        <v>45</v>
      </c>
      <c r="S657" s="1" t="s">
        <v>46</v>
      </c>
      <c r="T657" s="4" t="s">
        <v>31</v>
      </c>
      <c r="U657" s="7" t="s">
        <v>32</v>
      </c>
      <c r="V657" s="7" t="s">
        <v>1254</v>
      </c>
      <c r="W657" s="7" t="s">
        <v>154</v>
      </c>
      <c r="X657" s="7" t="s">
        <v>1751</v>
      </c>
      <c r="Y657" s="10">
        <f t="shared" si="21"/>
        <v>8645.3999999999996</v>
      </c>
      <c r="AH657" s="5" t="e">
        <f>VLOOKUP(B657,[1]DL!$BK:$BP,6,0)</f>
        <v>#N/A</v>
      </c>
    </row>
    <row r="658" spans="1:34" ht="14.5" hidden="1">
      <c r="A658" s="5">
        <v>655</v>
      </c>
      <c r="B658" s="5" t="str">
        <f t="shared" si="20"/>
        <v>07DBWPM3646A1ZGCD/2026-27/0004</v>
      </c>
      <c r="C658" s="1" t="s">
        <v>1255</v>
      </c>
      <c r="D658" s="1" t="s">
        <v>1256</v>
      </c>
      <c r="E658" s="1" t="s">
        <v>1257</v>
      </c>
      <c r="F658" s="1" t="s">
        <v>24</v>
      </c>
      <c r="G658" s="1" t="s">
        <v>50</v>
      </c>
      <c r="H658" s="2">
        <v>171725</v>
      </c>
      <c r="I658" s="1" t="s">
        <v>44</v>
      </c>
      <c r="J658" s="3" t="s">
        <v>27</v>
      </c>
      <c r="K658" s="2">
        <v>145530</v>
      </c>
      <c r="L658" s="2">
        <v>0</v>
      </c>
      <c r="M658" s="2">
        <v>13097.70</v>
      </c>
      <c r="N658" s="2">
        <v>13097.70</v>
      </c>
      <c r="O658" s="2">
        <v>0</v>
      </c>
      <c r="P658" s="7" t="s">
        <v>28</v>
      </c>
      <c r="Q658" s="1" t="s">
        <v>29</v>
      </c>
      <c r="R658" s="3" t="s">
        <v>45</v>
      </c>
      <c r="S658" s="1" t="s">
        <v>46</v>
      </c>
      <c r="T658" s="4" t="s">
        <v>31</v>
      </c>
      <c r="U658" s="7" t="s">
        <v>46</v>
      </c>
      <c r="V658" s="7" t="s">
        <v>46</v>
      </c>
      <c r="W658" s="7" t="s">
        <v>46</v>
      </c>
      <c r="X658" s="7" t="s">
        <v>1751</v>
      </c>
      <c r="Y658" s="10">
        <f t="shared" si="21"/>
        <v>26195.400000000001</v>
      </c>
      <c r="AH658" s="5" t="e">
        <f>VLOOKUP(B658,[1]DL!$BK:$BP,6,0)</f>
        <v>#N/A</v>
      </c>
    </row>
    <row r="659" spans="1:34" ht="14.5">
      <c r="A659" s="5">
        <v>656</v>
      </c>
      <c r="B659" s="5" t="str">
        <f t="shared" si="20"/>
        <v>07AFCPB1962P1ZCHEXA2026-27/3289</v>
      </c>
      <c r="C659" s="1" t="s">
        <v>1258</v>
      </c>
      <c r="D659" s="1" t="s">
        <v>1259</v>
      </c>
      <c r="E659" s="1" t="s">
        <v>1260</v>
      </c>
      <c r="F659" s="1" t="s">
        <v>24</v>
      </c>
      <c r="G659" s="1" t="s">
        <v>52</v>
      </c>
      <c r="H659" s="2">
        <v>19352</v>
      </c>
      <c r="I659" s="1" t="s">
        <v>44</v>
      </c>
      <c r="J659" s="3" t="s">
        <v>27</v>
      </c>
      <c r="K659" s="2">
        <v>16400</v>
      </c>
      <c r="L659" s="2">
        <v>0</v>
      </c>
      <c r="M659" s="2">
        <v>1476</v>
      </c>
      <c r="N659" s="2">
        <v>1476</v>
      </c>
      <c r="O659" s="2">
        <v>0</v>
      </c>
      <c r="P659" s="7" t="s">
        <v>28</v>
      </c>
      <c r="Q659" s="1" t="s">
        <v>29</v>
      </c>
      <c r="R659" s="3" t="s">
        <v>45</v>
      </c>
      <c r="S659" s="1" t="s">
        <v>46</v>
      </c>
      <c r="T659" s="4" t="s">
        <v>31</v>
      </c>
      <c r="U659" s="7" t="s">
        <v>46</v>
      </c>
      <c r="V659" s="7" t="s">
        <v>46</v>
      </c>
      <c r="W659" s="7" t="s">
        <v>46</v>
      </c>
      <c r="X659" s="7" t="s">
        <v>1751</v>
      </c>
      <c r="Y659" s="10">
        <f t="shared" si="21"/>
        <v>2952</v>
      </c>
      <c r="Z659" s="5">
        <v>9168299</v>
      </c>
      <c r="AA659" s="5" t="s">
        <v>1922</v>
      </c>
      <c r="AB659" s="5" t="s">
        <v>1751</v>
      </c>
      <c r="AC659" s="5" t="s">
        <v>1924</v>
      </c>
      <c r="AE659" s="5" t="s">
        <v>1923</v>
      </c>
      <c r="AH659" s="5">
        <f>VLOOKUP(B659,[1]DL!$BK:$BP,6,0)</f>
        <v>9168299</v>
      </c>
    </row>
    <row r="660" spans="1:34" ht="14.5" hidden="1">
      <c r="A660" s="5">
        <v>657</v>
      </c>
      <c r="B660" s="5" t="str">
        <f t="shared" si="20"/>
        <v>06AAACC4175D1Z2HRF2627000000341</v>
      </c>
      <c r="C660" s="1" t="s">
        <v>1261</v>
      </c>
      <c r="D660" s="1" t="s">
        <v>1262</v>
      </c>
      <c r="E660" s="1" t="s">
        <v>1263</v>
      </c>
      <c r="F660" s="1" t="s">
        <v>24</v>
      </c>
      <c r="G660" s="1" t="s">
        <v>54</v>
      </c>
      <c r="H660" s="2">
        <v>4668.08</v>
      </c>
      <c r="I660" s="1" t="s">
        <v>44</v>
      </c>
      <c r="J660" s="3" t="s">
        <v>27</v>
      </c>
      <c r="K660" s="2">
        <v>3956</v>
      </c>
      <c r="L660" s="2">
        <v>712.08</v>
      </c>
      <c r="M660" s="2">
        <v>0</v>
      </c>
      <c r="N660" s="2">
        <v>0</v>
      </c>
      <c r="O660" s="2">
        <v>0</v>
      </c>
      <c r="P660" s="7" t="s">
        <v>28</v>
      </c>
      <c r="Q660" s="1" t="s">
        <v>120</v>
      </c>
      <c r="R660" s="3" t="s">
        <v>45</v>
      </c>
      <c r="S660" s="1" t="s">
        <v>46</v>
      </c>
      <c r="T660" s="4" t="s">
        <v>31</v>
      </c>
      <c r="U660" s="7" t="s">
        <v>46</v>
      </c>
      <c r="V660" s="7" t="s">
        <v>46</v>
      </c>
      <c r="W660" s="7" t="s">
        <v>46</v>
      </c>
      <c r="X660" s="7" t="s">
        <v>1751</v>
      </c>
      <c r="Y660" s="10">
        <f t="shared" si="21"/>
        <v>712.08000000000004</v>
      </c>
      <c r="AH660" s="5" t="e">
        <f>VLOOKUP(B660,[1]DL!$BK:$BP,6,0)</f>
        <v>#N/A</v>
      </c>
    </row>
    <row r="661" spans="1:34" ht="14.5">
      <c r="A661" s="5">
        <v>658</v>
      </c>
      <c r="B661" s="5" t="str">
        <f t="shared" si="20"/>
        <v>06AAACC4175D1Z2HRF2627000000683</v>
      </c>
      <c r="C661" s="1" t="s">
        <v>1261</v>
      </c>
      <c r="D661" s="1" t="s">
        <v>1262</v>
      </c>
      <c r="E661" s="1" t="s">
        <v>1264</v>
      </c>
      <c r="F661" s="1" t="s">
        <v>24</v>
      </c>
      <c r="G661" s="1" t="s">
        <v>54</v>
      </c>
      <c r="H661" s="2">
        <v>4668.08</v>
      </c>
      <c r="I661" s="1" t="s">
        <v>44</v>
      </c>
      <c r="J661" s="3" t="s">
        <v>27</v>
      </c>
      <c r="K661" s="2">
        <v>3956</v>
      </c>
      <c r="L661" s="2">
        <v>712.08</v>
      </c>
      <c r="M661" s="2">
        <v>0</v>
      </c>
      <c r="N661" s="2">
        <v>0</v>
      </c>
      <c r="O661" s="2">
        <v>0</v>
      </c>
      <c r="P661" s="7" t="s">
        <v>28</v>
      </c>
      <c r="Q661" s="1" t="s">
        <v>120</v>
      </c>
      <c r="R661" s="3" t="s">
        <v>45</v>
      </c>
      <c r="S661" s="1" t="s">
        <v>46</v>
      </c>
      <c r="T661" s="4" t="s">
        <v>31</v>
      </c>
      <c r="U661" s="7" t="s">
        <v>46</v>
      </c>
      <c r="V661" s="7" t="s">
        <v>46</v>
      </c>
      <c r="W661" s="7" t="s">
        <v>46</v>
      </c>
      <c r="X661" s="7" t="s">
        <v>1751</v>
      </c>
      <c r="Y661" s="10">
        <f t="shared" si="21"/>
        <v>712.08000000000004</v>
      </c>
      <c r="Z661" s="5">
        <v>9156867</v>
      </c>
      <c r="AA661" s="5" t="s">
        <v>1922</v>
      </c>
      <c r="AB661" s="5" t="s">
        <v>1751</v>
      </c>
      <c r="AC661" s="5" t="s">
        <v>1924</v>
      </c>
      <c r="AE661" s="5" t="s">
        <v>1923</v>
      </c>
      <c r="AH661" s="5">
        <f>VLOOKUP(B661,[1]DL!$BK:$BP,6,0)</f>
        <v>9156867</v>
      </c>
    </row>
    <row r="662" spans="1:34" ht="14.5">
      <c r="A662" s="5">
        <v>659</v>
      </c>
      <c r="B662" s="5" t="str">
        <f t="shared" si="20"/>
        <v>06AAACC4175D1Z2HRF2627000000684</v>
      </c>
      <c r="C662" s="1" t="s">
        <v>1261</v>
      </c>
      <c r="D662" s="1" t="s">
        <v>1262</v>
      </c>
      <c r="E662" s="1" t="s">
        <v>1265</v>
      </c>
      <c r="F662" s="1" t="s">
        <v>24</v>
      </c>
      <c r="G662" s="1" t="s">
        <v>54</v>
      </c>
      <c r="H662" s="2">
        <v>4668.08</v>
      </c>
      <c r="I662" s="1" t="s">
        <v>44</v>
      </c>
      <c r="J662" s="3" t="s">
        <v>27</v>
      </c>
      <c r="K662" s="2">
        <v>3956</v>
      </c>
      <c r="L662" s="2">
        <v>712.08</v>
      </c>
      <c r="M662" s="2">
        <v>0</v>
      </c>
      <c r="N662" s="2">
        <v>0</v>
      </c>
      <c r="O662" s="2">
        <v>0</v>
      </c>
      <c r="P662" s="7" t="s">
        <v>28</v>
      </c>
      <c r="Q662" s="1" t="s">
        <v>120</v>
      </c>
      <c r="R662" s="3" t="s">
        <v>45</v>
      </c>
      <c r="S662" s="1" t="s">
        <v>46</v>
      </c>
      <c r="T662" s="4" t="s">
        <v>31</v>
      </c>
      <c r="U662" s="7" t="s">
        <v>46</v>
      </c>
      <c r="V662" s="7" t="s">
        <v>46</v>
      </c>
      <c r="W662" s="7" t="s">
        <v>46</v>
      </c>
      <c r="X662" s="7" t="s">
        <v>1751</v>
      </c>
      <c r="Y662" s="10">
        <f t="shared" si="21"/>
        <v>712.08000000000004</v>
      </c>
      <c r="Z662" s="5">
        <v>9156863</v>
      </c>
      <c r="AA662" s="5" t="s">
        <v>1922</v>
      </c>
      <c r="AB662" s="5" t="s">
        <v>1751</v>
      </c>
      <c r="AC662" s="5" t="s">
        <v>1924</v>
      </c>
      <c r="AE662" s="5" t="s">
        <v>1923</v>
      </c>
      <c r="AH662" s="5">
        <f>VLOOKUP(B662,[1]DL!$BK:$BP,6,0)</f>
        <v>9156863</v>
      </c>
    </row>
    <row r="663" spans="1:34" ht="14.5">
      <c r="A663" s="5">
        <v>660</v>
      </c>
      <c r="B663" s="5" t="str">
        <f t="shared" si="20"/>
        <v>06AAACC4175D1Z2HRF2627000000685</v>
      </c>
      <c r="C663" s="1" t="s">
        <v>1261</v>
      </c>
      <c r="D663" s="1" t="s">
        <v>1262</v>
      </c>
      <c r="E663" s="1" t="s">
        <v>1266</v>
      </c>
      <c r="F663" s="1" t="s">
        <v>24</v>
      </c>
      <c r="G663" s="1" t="s">
        <v>54</v>
      </c>
      <c r="H663" s="2">
        <v>5150.70</v>
      </c>
      <c r="I663" s="1" t="s">
        <v>44</v>
      </c>
      <c r="J663" s="3" t="s">
        <v>27</v>
      </c>
      <c r="K663" s="2">
        <v>4365</v>
      </c>
      <c r="L663" s="2">
        <v>785.70</v>
      </c>
      <c r="M663" s="2">
        <v>0</v>
      </c>
      <c r="N663" s="2">
        <v>0</v>
      </c>
      <c r="O663" s="2">
        <v>0</v>
      </c>
      <c r="P663" s="7" t="s">
        <v>28</v>
      </c>
      <c r="Q663" s="1" t="s">
        <v>120</v>
      </c>
      <c r="R663" s="3" t="s">
        <v>45</v>
      </c>
      <c r="S663" s="1" t="s">
        <v>46</v>
      </c>
      <c r="T663" s="4" t="s">
        <v>31</v>
      </c>
      <c r="U663" s="7" t="s">
        <v>46</v>
      </c>
      <c r="V663" s="7" t="s">
        <v>46</v>
      </c>
      <c r="W663" s="7" t="s">
        <v>46</v>
      </c>
      <c r="X663" s="7" t="s">
        <v>1751</v>
      </c>
      <c r="Y663" s="10">
        <f t="shared" si="21"/>
        <v>785.70000000000005</v>
      </c>
      <c r="Z663" s="5">
        <v>9156869</v>
      </c>
      <c r="AA663" s="5" t="s">
        <v>1922</v>
      </c>
      <c r="AB663" s="5" t="s">
        <v>1751</v>
      </c>
      <c r="AC663" s="5" t="s">
        <v>1924</v>
      </c>
      <c r="AE663" s="5" t="s">
        <v>1923</v>
      </c>
      <c r="AH663" s="5">
        <f>VLOOKUP(B663,[1]DL!$BK:$BP,6,0)</f>
        <v>9156869</v>
      </c>
    </row>
    <row r="664" spans="1:34" ht="14.5">
      <c r="A664" s="5">
        <v>661</v>
      </c>
      <c r="B664" s="5" t="str">
        <f t="shared" si="20"/>
        <v>06AAACC4175D1Z2HRF2627000000686</v>
      </c>
      <c r="C664" s="1" t="s">
        <v>1261</v>
      </c>
      <c r="D664" s="1" t="s">
        <v>1262</v>
      </c>
      <c r="E664" s="1" t="s">
        <v>1267</v>
      </c>
      <c r="F664" s="1" t="s">
        <v>24</v>
      </c>
      <c r="G664" s="1" t="s">
        <v>54</v>
      </c>
      <c r="H664" s="2">
        <v>5150.70</v>
      </c>
      <c r="I664" s="1" t="s">
        <v>44</v>
      </c>
      <c r="J664" s="3" t="s">
        <v>27</v>
      </c>
      <c r="K664" s="2">
        <v>4365</v>
      </c>
      <c r="L664" s="2">
        <v>785.70</v>
      </c>
      <c r="M664" s="2">
        <v>0</v>
      </c>
      <c r="N664" s="2">
        <v>0</v>
      </c>
      <c r="O664" s="2">
        <v>0</v>
      </c>
      <c r="P664" s="7" t="s">
        <v>28</v>
      </c>
      <c r="Q664" s="1" t="s">
        <v>120</v>
      </c>
      <c r="R664" s="3" t="s">
        <v>45</v>
      </c>
      <c r="S664" s="1" t="s">
        <v>46</v>
      </c>
      <c r="T664" s="4" t="s">
        <v>31</v>
      </c>
      <c r="U664" s="7" t="s">
        <v>46</v>
      </c>
      <c r="V664" s="7" t="s">
        <v>46</v>
      </c>
      <c r="W664" s="7" t="s">
        <v>46</v>
      </c>
      <c r="X664" s="7" t="s">
        <v>1751</v>
      </c>
      <c r="Y664" s="10">
        <f t="shared" si="21"/>
        <v>785.70000000000005</v>
      </c>
      <c r="Z664" s="5">
        <v>9156860</v>
      </c>
      <c r="AA664" s="5" t="s">
        <v>1922</v>
      </c>
      <c r="AB664" s="5" t="s">
        <v>1751</v>
      </c>
      <c r="AC664" s="5" t="s">
        <v>1924</v>
      </c>
      <c r="AE664" s="5" t="s">
        <v>1923</v>
      </c>
      <c r="AH664" s="5">
        <f>VLOOKUP(B664,[1]DL!$BK:$BP,6,0)</f>
        <v>9156860</v>
      </c>
    </row>
    <row r="665" spans="1:34" ht="14.5">
      <c r="A665" s="5">
        <v>662</v>
      </c>
      <c r="B665" s="5" t="str">
        <f t="shared" si="20"/>
        <v>06AAACC4175D1Z2HRF2627000000687</v>
      </c>
      <c r="C665" s="1" t="s">
        <v>1261</v>
      </c>
      <c r="D665" s="1" t="s">
        <v>1262</v>
      </c>
      <c r="E665" s="1" t="s">
        <v>1268</v>
      </c>
      <c r="F665" s="1" t="s">
        <v>24</v>
      </c>
      <c r="G665" s="1" t="s">
        <v>54</v>
      </c>
      <c r="H665" s="2">
        <v>5150.70</v>
      </c>
      <c r="I665" s="1" t="s">
        <v>44</v>
      </c>
      <c r="J665" s="3" t="s">
        <v>27</v>
      </c>
      <c r="K665" s="2">
        <v>4365</v>
      </c>
      <c r="L665" s="2">
        <v>785.70</v>
      </c>
      <c r="M665" s="2">
        <v>0</v>
      </c>
      <c r="N665" s="2">
        <v>0</v>
      </c>
      <c r="O665" s="2">
        <v>0</v>
      </c>
      <c r="P665" s="7" t="s">
        <v>28</v>
      </c>
      <c r="Q665" s="1" t="s">
        <v>120</v>
      </c>
      <c r="R665" s="3" t="s">
        <v>45</v>
      </c>
      <c r="S665" s="1" t="s">
        <v>46</v>
      </c>
      <c r="T665" s="4" t="s">
        <v>31</v>
      </c>
      <c r="U665" s="7" t="s">
        <v>46</v>
      </c>
      <c r="V665" s="7" t="s">
        <v>46</v>
      </c>
      <c r="W665" s="7" t="s">
        <v>46</v>
      </c>
      <c r="X665" s="7" t="s">
        <v>1751</v>
      </c>
      <c r="Y665" s="10">
        <f t="shared" si="21"/>
        <v>785.70000000000005</v>
      </c>
      <c r="Z665" s="5">
        <v>9156862</v>
      </c>
      <c r="AA665" s="5" t="s">
        <v>1922</v>
      </c>
      <c r="AB665" s="5" t="s">
        <v>1751</v>
      </c>
      <c r="AC665" s="5" t="s">
        <v>1924</v>
      </c>
      <c r="AE665" s="5" t="s">
        <v>1923</v>
      </c>
      <c r="AH665" s="5">
        <f>VLOOKUP(B665,[1]DL!$BK:$BP,6,0)</f>
        <v>9156862</v>
      </c>
    </row>
    <row r="666" spans="1:34" ht="14.5">
      <c r="A666" s="5">
        <v>663</v>
      </c>
      <c r="B666" s="5" t="str">
        <f t="shared" si="20"/>
        <v>06AAACC4175D1Z2HRF2627000000688</v>
      </c>
      <c r="C666" s="1" t="s">
        <v>1261</v>
      </c>
      <c r="D666" s="1" t="s">
        <v>1262</v>
      </c>
      <c r="E666" s="1" t="s">
        <v>1269</v>
      </c>
      <c r="F666" s="1" t="s">
        <v>24</v>
      </c>
      <c r="G666" s="1" t="s">
        <v>54</v>
      </c>
      <c r="H666" s="2">
        <v>5150.70</v>
      </c>
      <c r="I666" s="1" t="s">
        <v>44</v>
      </c>
      <c r="J666" s="3" t="s">
        <v>27</v>
      </c>
      <c r="K666" s="2">
        <v>4365</v>
      </c>
      <c r="L666" s="2">
        <v>785.70</v>
      </c>
      <c r="M666" s="2">
        <v>0</v>
      </c>
      <c r="N666" s="2">
        <v>0</v>
      </c>
      <c r="O666" s="2">
        <v>0</v>
      </c>
      <c r="P666" s="7" t="s">
        <v>28</v>
      </c>
      <c r="Q666" s="1" t="s">
        <v>120</v>
      </c>
      <c r="R666" s="3" t="s">
        <v>45</v>
      </c>
      <c r="S666" s="1" t="s">
        <v>46</v>
      </c>
      <c r="T666" s="4" t="s">
        <v>31</v>
      </c>
      <c r="U666" s="7" t="s">
        <v>46</v>
      </c>
      <c r="V666" s="7" t="s">
        <v>46</v>
      </c>
      <c r="W666" s="7" t="s">
        <v>46</v>
      </c>
      <c r="X666" s="7" t="s">
        <v>1751</v>
      </c>
      <c r="Y666" s="10">
        <f t="shared" si="21"/>
        <v>785.70000000000005</v>
      </c>
      <c r="Z666" s="5">
        <v>9156865</v>
      </c>
      <c r="AA666" s="5" t="s">
        <v>1922</v>
      </c>
      <c r="AB666" s="5" t="s">
        <v>1751</v>
      </c>
      <c r="AC666" s="5" t="s">
        <v>1924</v>
      </c>
      <c r="AE666" s="5" t="s">
        <v>1923</v>
      </c>
      <c r="AH666" s="5">
        <f>VLOOKUP(B666,[1]DL!$BK:$BP,6,0)</f>
        <v>9156865</v>
      </c>
    </row>
    <row r="667" spans="1:34" ht="14.5" hidden="1">
      <c r="A667" s="5">
        <v>664</v>
      </c>
      <c r="B667" s="5" t="str">
        <f t="shared" si="20"/>
        <v>06AAACC4175D1Z2HRF2627000000689</v>
      </c>
      <c r="C667" s="1" t="s">
        <v>1261</v>
      </c>
      <c r="D667" s="1" t="s">
        <v>1262</v>
      </c>
      <c r="E667" s="1" t="s">
        <v>1270</v>
      </c>
      <c r="F667" s="1" t="s">
        <v>24</v>
      </c>
      <c r="G667" s="1" t="s">
        <v>54</v>
      </c>
      <c r="H667" s="2">
        <v>4174.84</v>
      </c>
      <c r="I667" s="1" t="s">
        <v>44</v>
      </c>
      <c r="J667" s="3" t="s">
        <v>27</v>
      </c>
      <c r="K667" s="2">
        <v>3538</v>
      </c>
      <c r="L667" s="2">
        <v>636.84</v>
      </c>
      <c r="M667" s="2">
        <v>0</v>
      </c>
      <c r="N667" s="2">
        <v>0</v>
      </c>
      <c r="O667" s="2">
        <v>0</v>
      </c>
      <c r="P667" s="7" t="s">
        <v>28</v>
      </c>
      <c r="Q667" s="1" t="s">
        <v>120</v>
      </c>
      <c r="R667" s="3" t="s">
        <v>45</v>
      </c>
      <c r="S667" s="1" t="s">
        <v>46</v>
      </c>
      <c r="T667" s="4" t="s">
        <v>31</v>
      </c>
      <c r="U667" s="7" t="s">
        <v>46</v>
      </c>
      <c r="V667" s="7" t="s">
        <v>46</v>
      </c>
      <c r="W667" s="7" t="s">
        <v>46</v>
      </c>
      <c r="X667" s="7" t="s">
        <v>1751</v>
      </c>
      <c r="Y667" s="10">
        <f t="shared" si="21"/>
        <v>636.84000000000003</v>
      </c>
      <c r="AH667" s="5" t="e">
        <f>VLOOKUP(B667,[1]DL!$BK:$BP,6,0)</f>
        <v>#N/A</v>
      </c>
    </row>
    <row r="668" spans="1:34" ht="14.5">
      <c r="A668" s="5">
        <v>665</v>
      </c>
      <c r="B668" s="5" t="str">
        <f t="shared" si="20"/>
        <v>06AAACC4175D1Z2HRF2627000000690</v>
      </c>
      <c r="C668" s="1" t="s">
        <v>1261</v>
      </c>
      <c r="D668" s="1" t="s">
        <v>1262</v>
      </c>
      <c r="E668" s="1" t="s">
        <v>1271</v>
      </c>
      <c r="F668" s="1" t="s">
        <v>24</v>
      </c>
      <c r="G668" s="1" t="s">
        <v>54</v>
      </c>
      <c r="H668" s="2">
        <v>5150.70</v>
      </c>
      <c r="I668" s="1" t="s">
        <v>44</v>
      </c>
      <c r="J668" s="3" t="s">
        <v>27</v>
      </c>
      <c r="K668" s="2">
        <v>4365</v>
      </c>
      <c r="L668" s="2">
        <v>785.70</v>
      </c>
      <c r="M668" s="2">
        <v>0</v>
      </c>
      <c r="N668" s="2">
        <v>0</v>
      </c>
      <c r="O668" s="2">
        <v>0</v>
      </c>
      <c r="P668" s="7" t="s">
        <v>28</v>
      </c>
      <c r="Q668" s="1" t="s">
        <v>120</v>
      </c>
      <c r="R668" s="3" t="s">
        <v>45</v>
      </c>
      <c r="S668" s="1" t="s">
        <v>46</v>
      </c>
      <c r="T668" s="4" t="s">
        <v>31</v>
      </c>
      <c r="U668" s="7" t="s">
        <v>46</v>
      </c>
      <c r="V668" s="7" t="s">
        <v>46</v>
      </c>
      <c r="W668" s="7" t="s">
        <v>46</v>
      </c>
      <c r="X668" s="7" t="s">
        <v>1751</v>
      </c>
      <c r="Y668" s="10">
        <f t="shared" si="21"/>
        <v>785.70000000000005</v>
      </c>
      <c r="Z668" s="5">
        <v>9156859</v>
      </c>
      <c r="AA668" s="5" t="s">
        <v>1922</v>
      </c>
      <c r="AB668" s="5" t="s">
        <v>1751</v>
      </c>
      <c r="AC668" s="5" t="s">
        <v>1924</v>
      </c>
      <c r="AE668" s="5" t="s">
        <v>1923</v>
      </c>
      <c r="AH668" s="5">
        <f>VLOOKUP(B668,[1]DL!$BK:$BP,6,0)</f>
        <v>9156859</v>
      </c>
    </row>
    <row r="669" spans="1:34" ht="14.5">
      <c r="A669" s="5">
        <v>666</v>
      </c>
      <c r="B669" s="5" t="str">
        <f t="shared" si="20"/>
        <v>06AAACC4175D1Z2HRF2627000000691</v>
      </c>
      <c r="C669" s="1" t="s">
        <v>1261</v>
      </c>
      <c r="D669" s="1" t="s">
        <v>1262</v>
      </c>
      <c r="E669" s="1" t="s">
        <v>1272</v>
      </c>
      <c r="F669" s="1" t="s">
        <v>24</v>
      </c>
      <c r="G669" s="1" t="s">
        <v>54</v>
      </c>
      <c r="H669" s="2">
        <v>5150.70</v>
      </c>
      <c r="I669" s="1" t="s">
        <v>44</v>
      </c>
      <c r="J669" s="3" t="s">
        <v>27</v>
      </c>
      <c r="K669" s="2">
        <v>4365</v>
      </c>
      <c r="L669" s="2">
        <v>785.70</v>
      </c>
      <c r="M669" s="2">
        <v>0</v>
      </c>
      <c r="N669" s="2">
        <v>0</v>
      </c>
      <c r="O669" s="2">
        <v>0</v>
      </c>
      <c r="P669" s="7" t="s">
        <v>28</v>
      </c>
      <c r="Q669" s="1" t="s">
        <v>120</v>
      </c>
      <c r="R669" s="3" t="s">
        <v>45</v>
      </c>
      <c r="S669" s="1" t="s">
        <v>46</v>
      </c>
      <c r="T669" s="4" t="s">
        <v>31</v>
      </c>
      <c r="U669" s="7" t="s">
        <v>46</v>
      </c>
      <c r="V669" s="7" t="s">
        <v>46</v>
      </c>
      <c r="W669" s="7" t="s">
        <v>46</v>
      </c>
      <c r="X669" s="7" t="s">
        <v>1751</v>
      </c>
      <c r="Y669" s="10">
        <f t="shared" si="21"/>
        <v>785.70000000000005</v>
      </c>
      <c r="Z669" s="5">
        <v>9156866</v>
      </c>
      <c r="AA669" s="5" t="s">
        <v>1922</v>
      </c>
      <c r="AB669" s="5" t="s">
        <v>1751</v>
      </c>
      <c r="AC669" s="5" t="s">
        <v>1924</v>
      </c>
      <c r="AE669" s="5" t="s">
        <v>1923</v>
      </c>
      <c r="AH669" s="5">
        <f>VLOOKUP(B669,[1]DL!$BK:$BP,6,0)</f>
        <v>9156866</v>
      </c>
    </row>
    <row r="670" spans="1:34" ht="14.5">
      <c r="A670" s="5">
        <v>667</v>
      </c>
      <c r="B670" s="5" t="str">
        <f t="shared" si="20"/>
        <v>06AAACC4175D1Z2HRF2627000000692</v>
      </c>
      <c r="C670" s="1" t="s">
        <v>1261</v>
      </c>
      <c r="D670" s="1" t="s">
        <v>1262</v>
      </c>
      <c r="E670" s="1" t="s">
        <v>1273</v>
      </c>
      <c r="F670" s="1" t="s">
        <v>24</v>
      </c>
      <c r="G670" s="1" t="s">
        <v>54</v>
      </c>
      <c r="H670" s="2">
        <v>4845.08</v>
      </c>
      <c r="I670" s="1" t="s">
        <v>44</v>
      </c>
      <c r="J670" s="3" t="s">
        <v>27</v>
      </c>
      <c r="K670" s="2">
        <v>4106</v>
      </c>
      <c r="L670" s="2">
        <v>739.08</v>
      </c>
      <c r="M670" s="2">
        <v>0</v>
      </c>
      <c r="N670" s="2">
        <v>0</v>
      </c>
      <c r="O670" s="2">
        <v>0</v>
      </c>
      <c r="P670" s="7" t="s">
        <v>28</v>
      </c>
      <c r="Q670" s="1" t="s">
        <v>120</v>
      </c>
      <c r="R670" s="3" t="s">
        <v>45</v>
      </c>
      <c r="S670" s="1" t="s">
        <v>46</v>
      </c>
      <c r="T670" s="4" t="s">
        <v>31</v>
      </c>
      <c r="U670" s="7" t="s">
        <v>46</v>
      </c>
      <c r="V670" s="7" t="s">
        <v>46</v>
      </c>
      <c r="W670" s="7" t="s">
        <v>46</v>
      </c>
      <c r="X670" s="7" t="s">
        <v>1751</v>
      </c>
      <c r="Y670" s="10">
        <f t="shared" si="21"/>
        <v>739.08000000000004</v>
      </c>
      <c r="Z670" s="5">
        <v>9156870</v>
      </c>
      <c r="AA670" s="5" t="s">
        <v>1922</v>
      </c>
      <c r="AB670" s="5" t="s">
        <v>1751</v>
      </c>
      <c r="AC670" s="5" t="s">
        <v>1924</v>
      </c>
      <c r="AE670" s="5" t="s">
        <v>1923</v>
      </c>
      <c r="AH670" s="5">
        <f>VLOOKUP(B670,[1]DL!$BK:$BP,6,0)</f>
        <v>9156870</v>
      </c>
    </row>
    <row r="671" spans="1:34" ht="14.5" hidden="1">
      <c r="A671" s="5">
        <v>668</v>
      </c>
      <c r="B671" s="5" t="str">
        <f t="shared" si="20"/>
        <v>06AAACC4175D1Z2HRF2627000001072</v>
      </c>
      <c r="C671" s="1" t="s">
        <v>1261</v>
      </c>
      <c r="D671" s="1" t="s">
        <v>1262</v>
      </c>
      <c r="E671" s="1" t="s">
        <v>1274</v>
      </c>
      <c r="F671" s="1" t="s">
        <v>24</v>
      </c>
      <c r="G671" s="1" t="s">
        <v>54</v>
      </c>
      <c r="H671" s="2">
        <v>4174.84</v>
      </c>
      <c r="I671" s="1" t="s">
        <v>44</v>
      </c>
      <c r="J671" s="3" t="s">
        <v>27</v>
      </c>
      <c r="K671" s="2">
        <v>3538</v>
      </c>
      <c r="L671" s="2">
        <v>636.84</v>
      </c>
      <c r="M671" s="2">
        <v>0</v>
      </c>
      <c r="N671" s="2">
        <v>0</v>
      </c>
      <c r="O671" s="2">
        <v>0</v>
      </c>
      <c r="P671" s="7" t="s">
        <v>28</v>
      </c>
      <c r="Q671" s="1" t="s">
        <v>120</v>
      </c>
      <c r="R671" s="3" t="s">
        <v>45</v>
      </c>
      <c r="S671" s="1" t="s">
        <v>46</v>
      </c>
      <c r="T671" s="4" t="s">
        <v>31</v>
      </c>
      <c r="U671" s="7" t="s">
        <v>46</v>
      </c>
      <c r="V671" s="7" t="s">
        <v>46</v>
      </c>
      <c r="W671" s="7" t="s">
        <v>46</v>
      </c>
      <c r="X671" s="7" t="s">
        <v>1751</v>
      </c>
      <c r="Y671" s="10">
        <f t="shared" si="21"/>
        <v>636.84000000000003</v>
      </c>
      <c r="AH671" s="5" t="e">
        <f>VLOOKUP(B671,[1]DL!$BK:$BP,6,0)</f>
        <v>#N/A</v>
      </c>
    </row>
    <row r="672" spans="1:34" ht="14.5" hidden="1">
      <c r="A672" s="5">
        <v>669</v>
      </c>
      <c r="B672" s="5" t="str">
        <f t="shared" si="20"/>
        <v>06AAACC4175D1Z2HRF2627000001494</v>
      </c>
      <c r="C672" s="1" t="s">
        <v>1261</v>
      </c>
      <c r="D672" s="1" t="s">
        <v>1262</v>
      </c>
      <c r="E672" s="1" t="s">
        <v>1275</v>
      </c>
      <c r="F672" s="1" t="s">
        <v>24</v>
      </c>
      <c r="G672" s="1" t="s">
        <v>54</v>
      </c>
      <c r="H672" s="2">
        <v>4174.84</v>
      </c>
      <c r="I672" s="1" t="s">
        <v>44</v>
      </c>
      <c r="J672" s="3" t="s">
        <v>27</v>
      </c>
      <c r="K672" s="2">
        <v>3538</v>
      </c>
      <c r="L672" s="2">
        <v>636.84</v>
      </c>
      <c r="M672" s="2">
        <v>0</v>
      </c>
      <c r="N672" s="2">
        <v>0</v>
      </c>
      <c r="O672" s="2">
        <v>0</v>
      </c>
      <c r="P672" s="7" t="s">
        <v>28</v>
      </c>
      <c r="Q672" s="1" t="s">
        <v>120</v>
      </c>
      <c r="R672" s="3" t="s">
        <v>45</v>
      </c>
      <c r="S672" s="1" t="s">
        <v>46</v>
      </c>
      <c r="T672" s="4" t="s">
        <v>31</v>
      </c>
      <c r="U672" s="7" t="s">
        <v>46</v>
      </c>
      <c r="V672" s="7" t="s">
        <v>46</v>
      </c>
      <c r="W672" s="7" t="s">
        <v>46</v>
      </c>
      <c r="X672" s="7" t="s">
        <v>1751</v>
      </c>
      <c r="Y672" s="10">
        <f t="shared" si="21"/>
        <v>636.84000000000003</v>
      </c>
      <c r="AH672" s="5" t="e">
        <f>VLOOKUP(B672,[1]DL!$BK:$BP,6,0)</f>
        <v>#N/A</v>
      </c>
    </row>
    <row r="673" spans="1:34" ht="14.5">
      <c r="A673" s="5">
        <v>670</v>
      </c>
      <c r="B673" s="5" t="str">
        <f t="shared" si="20"/>
        <v>06AAACC4175D1Z2HRF2627000001499</v>
      </c>
      <c r="C673" s="1" t="s">
        <v>1261</v>
      </c>
      <c r="D673" s="1" t="s">
        <v>1262</v>
      </c>
      <c r="E673" s="1" t="s">
        <v>1276</v>
      </c>
      <c r="F673" s="1" t="s">
        <v>24</v>
      </c>
      <c r="G673" s="1" t="s">
        <v>54</v>
      </c>
      <c r="H673" s="2">
        <v>5150.70</v>
      </c>
      <c r="I673" s="1" t="s">
        <v>44</v>
      </c>
      <c r="J673" s="3" t="s">
        <v>27</v>
      </c>
      <c r="K673" s="2">
        <v>4365</v>
      </c>
      <c r="L673" s="2">
        <v>785.70</v>
      </c>
      <c r="M673" s="2">
        <v>0</v>
      </c>
      <c r="N673" s="2">
        <v>0</v>
      </c>
      <c r="O673" s="2">
        <v>0</v>
      </c>
      <c r="P673" s="7" t="s">
        <v>28</v>
      </c>
      <c r="Q673" s="1" t="s">
        <v>120</v>
      </c>
      <c r="R673" s="3" t="s">
        <v>45</v>
      </c>
      <c r="S673" s="1" t="s">
        <v>46</v>
      </c>
      <c r="T673" s="4" t="s">
        <v>31</v>
      </c>
      <c r="U673" s="7" t="s">
        <v>46</v>
      </c>
      <c r="V673" s="7" t="s">
        <v>46</v>
      </c>
      <c r="W673" s="7" t="s">
        <v>46</v>
      </c>
      <c r="X673" s="7" t="s">
        <v>1751</v>
      </c>
      <c r="Y673" s="10">
        <f t="shared" si="21"/>
        <v>785.70000000000005</v>
      </c>
      <c r="Z673" s="5">
        <v>9156868</v>
      </c>
      <c r="AA673" s="5" t="s">
        <v>1922</v>
      </c>
      <c r="AB673" s="5" t="s">
        <v>1751</v>
      </c>
      <c r="AC673" s="5" t="s">
        <v>1924</v>
      </c>
      <c r="AE673" s="5" t="s">
        <v>1923</v>
      </c>
      <c r="AH673" s="5">
        <f>VLOOKUP(B673,[1]DL!$BK:$BP,6,0)</f>
        <v>9156868</v>
      </c>
    </row>
    <row r="674" spans="1:34" ht="14.5" hidden="1">
      <c r="A674" s="5">
        <v>671</v>
      </c>
      <c r="B674" s="5" t="str">
        <f t="shared" si="20"/>
        <v>06AAACC4175D1Z2HRF2627000001500</v>
      </c>
      <c r="C674" s="1" t="s">
        <v>1261</v>
      </c>
      <c r="D674" s="1" t="s">
        <v>1262</v>
      </c>
      <c r="E674" s="1" t="s">
        <v>1277</v>
      </c>
      <c r="F674" s="1" t="s">
        <v>24</v>
      </c>
      <c r="G674" s="1" t="s">
        <v>54</v>
      </c>
      <c r="H674" s="2">
        <v>2118.10</v>
      </c>
      <c r="I674" s="1" t="s">
        <v>44</v>
      </c>
      <c r="J674" s="3" t="s">
        <v>27</v>
      </c>
      <c r="K674" s="2">
        <v>1795</v>
      </c>
      <c r="L674" s="2">
        <v>323.10000000000002</v>
      </c>
      <c r="M674" s="2">
        <v>0</v>
      </c>
      <c r="N674" s="2">
        <v>0</v>
      </c>
      <c r="O674" s="2">
        <v>0</v>
      </c>
      <c r="P674" s="7" t="s">
        <v>28</v>
      </c>
      <c r="Q674" s="1" t="s">
        <v>120</v>
      </c>
      <c r="R674" s="3" t="s">
        <v>45</v>
      </c>
      <c r="S674" s="1" t="s">
        <v>46</v>
      </c>
      <c r="T674" s="4" t="s">
        <v>31</v>
      </c>
      <c r="U674" s="7" t="s">
        <v>46</v>
      </c>
      <c r="V674" s="7" t="s">
        <v>46</v>
      </c>
      <c r="W674" s="7" t="s">
        <v>46</v>
      </c>
      <c r="X674" s="7" t="s">
        <v>1751</v>
      </c>
      <c r="Y674" s="10">
        <f t="shared" si="21"/>
        <v>323.10000000000002</v>
      </c>
      <c r="AH674" s="5" t="e">
        <f>VLOOKUP(B674,[1]DL!$BK:$BP,6,0)</f>
        <v>#N/A</v>
      </c>
    </row>
    <row r="675" spans="1:34" ht="14.5" hidden="1">
      <c r="A675" s="5">
        <v>672</v>
      </c>
      <c r="B675" s="5" t="str">
        <f t="shared" si="20"/>
        <v>07AARCA9982D1Z42025-26/MAR/09</v>
      </c>
      <c r="C675" s="1" t="s">
        <v>1278</v>
      </c>
      <c r="D675" s="1" t="s">
        <v>1279</v>
      </c>
      <c r="E675" s="1" t="s">
        <v>1280</v>
      </c>
      <c r="F675" s="1" t="s">
        <v>24</v>
      </c>
      <c r="G675" s="1" t="s">
        <v>1172</v>
      </c>
      <c r="H675" s="2">
        <v>2076800</v>
      </c>
      <c r="I675" s="1" t="s">
        <v>44</v>
      </c>
      <c r="J675" s="3" t="s">
        <v>27</v>
      </c>
      <c r="K675" s="2">
        <v>1760000</v>
      </c>
      <c r="L675" s="2">
        <v>0</v>
      </c>
      <c r="M675" s="2">
        <v>158400</v>
      </c>
      <c r="N675" s="2">
        <v>158400</v>
      </c>
      <c r="O675" s="2">
        <v>0</v>
      </c>
      <c r="P675" s="7" t="s">
        <v>203</v>
      </c>
      <c r="Q675" s="1" t="s">
        <v>128</v>
      </c>
      <c r="R675" s="3" t="s">
        <v>45</v>
      </c>
      <c r="S675" s="1" t="s">
        <v>46</v>
      </c>
      <c r="T675" s="4" t="s">
        <v>31</v>
      </c>
      <c r="U675" s="7" t="s">
        <v>32</v>
      </c>
      <c r="V675" s="7" t="s">
        <v>1281</v>
      </c>
      <c r="W675" s="7" t="s">
        <v>1172</v>
      </c>
      <c r="X675" s="7" t="s">
        <v>1751</v>
      </c>
      <c r="Y675" s="10">
        <f t="shared" si="21"/>
        <v>316800</v>
      </c>
      <c r="AH675" s="5" t="e">
        <f>VLOOKUP(B675,[1]DL!$BK:$BP,6,0)</f>
        <v>#N/A</v>
      </c>
    </row>
    <row r="676" spans="1:34" ht="14.5" hidden="1">
      <c r="A676" s="5">
        <v>673</v>
      </c>
      <c r="B676" s="5" t="str">
        <f t="shared" si="20"/>
        <v>07AARCA9982D1Z42025-26/MAR/208</v>
      </c>
      <c r="C676" s="1" t="s">
        <v>1278</v>
      </c>
      <c r="D676" s="1" t="s">
        <v>1279</v>
      </c>
      <c r="E676" s="1" t="s">
        <v>1282</v>
      </c>
      <c r="F676" s="1" t="s">
        <v>24</v>
      </c>
      <c r="G676" s="1" t="s">
        <v>267</v>
      </c>
      <c r="H676" s="2">
        <v>2194800</v>
      </c>
      <c r="I676" s="1" t="s">
        <v>44</v>
      </c>
      <c r="J676" s="3" t="s">
        <v>27</v>
      </c>
      <c r="K676" s="2">
        <v>1860000</v>
      </c>
      <c r="L676" s="2">
        <v>0</v>
      </c>
      <c r="M676" s="2">
        <v>167400</v>
      </c>
      <c r="N676" s="2">
        <v>167400</v>
      </c>
      <c r="O676" s="2">
        <v>0</v>
      </c>
      <c r="P676" s="7" t="s">
        <v>203</v>
      </c>
      <c r="Q676" s="1" t="s">
        <v>128</v>
      </c>
      <c r="R676" s="3" t="s">
        <v>45</v>
      </c>
      <c r="S676" s="1" t="s">
        <v>46</v>
      </c>
      <c r="T676" s="4" t="s">
        <v>31</v>
      </c>
      <c r="U676" s="7" t="s">
        <v>32</v>
      </c>
      <c r="V676" s="7" t="s">
        <v>1283</v>
      </c>
      <c r="W676" s="7" t="s">
        <v>628</v>
      </c>
      <c r="X676" s="7" t="s">
        <v>1751</v>
      </c>
      <c r="Y676" s="10">
        <f t="shared" si="21"/>
        <v>334800</v>
      </c>
      <c r="AH676" s="5" t="e">
        <f>VLOOKUP(B676,[1]DL!$BK:$BP,6,0)</f>
        <v>#N/A</v>
      </c>
    </row>
    <row r="677" spans="1:34" ht="14.5" hidden="1">
      <c r="A677" s="5">
        <v>674</v>
      </c>
      <c r="B677" s="5" t="str">
        <f t="shared" si="20"/>
        <v>07AAHCD7454P1ZZTD/3588/2026-27</v>
      </c>
      <c r="C677" s="1" t="s">
        <v>1284</v>
      </c>
      <c r="D677" s="1" t="s">
        <v>593</v>
      </c>
      <c r="E677" s="1" t="s">
        <v>1285</v>
      </c>
      <c r="F677" s="1" t="s">
        <v>24</v>
      </c>
      <c r="G677" s="1" t="s">
        <v>289</v>
      </c>
      <c r="H677" s="2">
        <v>2360</v>
      </c>
      <c r="I677" s="1" t="s">
        <v>44</v>
      </c>
      <c r="J677" s="3" t="s">
        <v>27</v>
      </c>
      <c r="K677" s="2">
        <v>2000</v>
      </c>
      <c r="L677" s="2">
        <v>0</v>
      </c>
      <c r="M677" s="2">
        <v>180</v>
      </c>
      <c r="N677" s="2">
        <v>180</v>
      </c>
      <c r="O677" s="2">
        <v>0</v>
      </c>
      <c r="P677" s="7" t="s">
        <v>28</v>
      </c>
      <c r="Q677" s="1" t="s">
        <v>29</v>
      </c>
      <c r="R677" s="3" t="s">
        <v>45</v>
      </c>
      <c r="S677" s="1" t="s">
        <v>46</v>
      </c>
      <c r="T677" s="4" t="s">
        <v>31</v>
      </c>
      <c r="U677" s="7" t="s">
        <v>32</v>
      </c>
      <c r="V677" s="7" t="s">
        <v>1286</v>
      </c>
      <c r="W677" s="7" t="s">
        <v>289</v>
      </c>
      <c r="X677" s="7" t="s">
        <v>1751</v>
      </c>
      <c r="Y677" s="10">
        <f t="shared" si="21"/>
        <v>360</v>
      </c>
      <c r="AH677" s="5" t="e">
        <f>VLOOKUP(B677,[1]DL!$BK:$BP,6,0)</f>
        <v>#N/A</v>
      </c>
    </row>
    <row r="678" spans="1:34" ht="14.5" hidden="1">
      <c r="A678" s="5">
        <v>675</v>
      </c>
      <c r="B678" s="5" t="str">
        <f t="shared" si="20"/>
        <v>07AAHCD7454P1ZZTD/3589/2026-27</v>
      </c>
      <c r="C678" s="1" t="s">
        <v>1284</v>
      </c>
      <c r="D678" s="1" t="s">
        <v>593</v>
      </c>
      <c r="E678" s="1" t="s">
        <v>1287</v>
      </c>
      <c r="F678" s="1" t="s">
        <v>24</v>
      </c>
      <c r="G678" s="1" t="s">
        <v>289</v>
      </c>
      <c r="H678" s="2">
        <v>2360</v>
      </c>
      <c r="I678" s="1" t="s">
        <v>44</v>
      </c>
      <c r="J678" s="3" t="s">
        <v>27</v>
      </c>
      <c r="K678" s="2">
        <v>2000</v>
      </c>
      <c r="L678" s="2">
        <v>0</v>
      </c>
      <c r="M678" s="2">
        <v>180</v>
      </c>
      <c r="N678" s="2">
        <v>180</v>
      </c>
      <c r="O678" s="2">
        <v>0</v>
      </c>
      <c r="P678" s="7" t="s">
        <v>28</v>
      </c>
      <c r="Q678" s="1" t="s">
        <v>29</v>
      </c>
      <c r="R678" s="3" t="s">
        <v>45</v>
      </c>
      <c r="S678" s="1" t="s">
        <v>46</v>
      </c>
      <c r="T678" s="4" t="s">
        <v>31</v>
      </c>
      <c r="U678" s="7" t="s">
        <v>32</v>
      </c>
      <c r="V678" s="7" t="s">
        <v>1288</v>
      </c>
      <c r="W678" s="7" t="s">
        <v>289</v>
      </c>
      <c r="X678" s="7" t="s">
        <v>1751</v>
      </c>
      <c r="Y678" s="10">
        <f t="shared" si="21"/>
        <v>360</v>
      </c>
      <c r="AH678" s="5" t="e">
        <f>VLOOKUP(B678,[1]DL!$BK:$BP,6,0)</f>
        <v>#N/A</v>
      </c>
    </row>
    <row r="679" spans="1:34" ht="14.5" hidden="1">
      <c r="A679" s="5">
        <v>676</v>
      </c>
      <c r="B679" s="5" t="str">
        <f t="shared" si="20"/>
        <v>07AAHCD7454P1ZZTD/3590/2026-27</v>
      </c>
      <c r="C679" s="1" t="s">
        <v>1284</v>
      </c>
      <c r="D679" s="1" t="s">
        <v>593</v>
      </c>
      <c r="E679" s="1" t="s">
        <v>1289</v>
      </c>
      <c r="F679" s="1" t="s">
        <v>24</v>
      </c>
      <c r="G679" s="1" t="s">
        <v>289</v>
      </c>
      <c r="H679" s="2">
        <v>9440</v>
      </c>
      <c r="I679" s="1" t="s">
        <v>44</v>
      </c>
      <c r="J679" s="3" t="s">
        <v>27</v>
      </c>
      <c r="K679" s="2">
        <v>8000</v>
      </c>
      <c r="L679" s="2">
        <v>0</v>
      </c>
      <c r="M679" s="2">
        <v>720</v>
      </c>
      <c r="N679" s="2">
        <v>720</v>
      </c>
      <c r="O679" s="2">
        <v>0</v>
      </c>
      <c r="P679" s="7" t="s">
        <v>28</v>
      </c>
      <c r="Q679" s="1" t="s">
        <v>29</v>
      </c>
      <c r="R679" s="3" t="s">
        <v>45</v>
      </c>
      <c r="S679" s="1" t="s">
        <v>46</v>
      </c>
      <c r="T679" s="4" t="s">
        <v>31</v>
      </c>
      <c r="U679" s="7" t="s">
        <v>32</v>
      </c>
      <c r="V679" s="7" t="s">
        <v>1290</v>
      </c>
      <c r="W679" s="7" t="s">
        <v>289</v>
      </c>
      <c r="X679" s="7" t="s">
        <v>1751</v>
      </c>
      <c r="Y679" s="10">
        <f t="shared" si="21"/>
        <v>1440</v>
      </c>
      <c r="AH679" s="5" t="e">
        <f>VLOOKUP(B679,[1]DL!$BK:$BP,6,0)</f>
        <v>#N/A</v>
      </c>
    </row>
    <row r="680" spans="1:34" ht="14.5" hidden="1">
      <c r="A680" s="5">
        <v>677</v>
      </c>
      <c r="B680" s="5" t="str">
        <f t="shared" si="20"/>
        <v>07AAHCD7454P1ZZTD/831/2026-27</v>
      </c>
      <c r="C680" s="1" t="s">
        <v>1284</v>
      </c>
      <c r="D680" s="1" t="s">
        <v>593</v>
      </c>
      <c r="E680" s="1" t="s">
        <v>1291</v>
      </c>
      <c r="F680" s="1" t="s">
        <v>24</v>
      </c>
      <c r="G680" s="1" t="s">
        <v>25</v>
      </c>
      <c r="H680" s="2">
        <v>149.86000000000001</v>
      </c>
      <c r="I680" s="1" t="s">
        <v>44</v>
      </c>
      <c r="J680" s="3" t="s">
        <v>27</v>
      </c>
      <c r="K680" s="2">
        <v>127</v>
      </c>
      <c r="L680" s="2">
        <v>0</v>
      </c>
      <c r="M680" s="2">
        <v>11.43</v>
      </c>
      <c r="N680" s="2">
        <v>11.43</v>
      </c>
      <c r="O680" s="2">
        <v>0</v>
      </c>
      <c r="P680" s="7" t="s">
        <v>28</v>
      </c>
      <c r="Q680" s="1" t="s">
        <v>29</v>
      </c>
      <c r="R680" s="3" t="s">
        <v>45</v>
      </c>
      <c r="S680" s="1" t="s">
        <v>46</v>
      </c>
      <c r="T680" s="4" t="s">
        <v>31</v>
      </c>
      <c r="U680" s="7" t="s">
        <v>32</v>
      </c>
      <c r="V680" s="7" t="s">
        <v>1292</v>
      </c>
      <c r="W680" s="7" t="s">
        <v>25</v>
      </c>
      <c r="X680" s="7" t="s">
        <v>1751</v>
      </c>
      <c r="Y680" s="10">
        <f t="shared" si="21"/>
        <v>22.859999999999999</v>
      </c>
      <c r="AH680" s="5" t="e">
        <f>VLOOKUP(B680,[1]DL!$BK:$BP,6,0)</f>
        <v>#N/A</v>
      </c>
    </row>
    <row r="681" spans="1:34" ht="14.5" hidden="1">
      <c r="A681" s="5">
        <v>678</v>
      </c>
      <c r="B681" s="5" t="str">
        <f t="shared" si="20"/>
        <v>07AAHCD7454P1ZZTD/832/2026-27</v>
      </c>
      <c r="C681" s="1" t="s">
        <v>1284</v>
      </c>
      <c r="D681" s="1" t="s">
        <v>593</v>
      </c>
      <c r="E681" s="1" t="s">
        <v>1293</v>
      </c>
      <c r="F681" s="1" t="s">
        <v>24</v>
      </c>
      <c r="G681" s="1" t="s">
        <v>25</v>
      </c>
      <c r="H681" s="2">
        <v>536.90</v>
      </c>
      <c r="I681" s="1" t="s">
        <v>44</v>
      </c>
      <c r="J681" s="3" t="s">
        <v>27</v>
      </c>
      <c r="K681" s="2">
        <v>455</v>
      </c>
      <c r="L681" s="2">
        <v>0</v>
      </c>
      <c r="M681" s="2">
        <v>40.950000000000003</v>
      </c>
      <c r="N681" s="2">
        <v>40.950000000000003</v>
      </c>
      <c r="O681" s="2">
        <v>0</v>
      </c>
      <c r="P681" s="7" t="s">
        <v>28</v>
      </c>
      <c r="Q681" s="1" t="s">
        <v>29</v>
      </c>
      <c r="R681" s="3" t="s">
        <v>45</v>
      </c>
      <c r="S681" s="1" t="s">
        <v>46</v>
      </c>
      <c r="T681" s="4" t="s">
        <v>31</v>
      </c>
      <c r="U681" s="7" t="s">
        <v>32</v>
      </c>
      <c r="V681" s="7" t="s">
        <v>1294</v>
      </c>
      <c r="W681" s="7" t="s">
        <v>25</v>
      </c>
      <c r="X681" s="7" t="s">
        <v>1751</v>
      </c>
      <c r="Y681" s="10">
        <f t="shared" si="21"/>
        <v>81.900000000000006</v>
      </c>
      <c r="AH681" s="5" t="e">
        <f>VLOOKUP(B681,[1]DL!$BK:$BP,6,0)</f>
        <v>#N/A</v>
      </c>
    </row>
    <row r="682" spans="1:34" ht="14.5" hidden="1">
      <c r="A682" s="5">
        <v>679</v>
      </c>
      <c r="B682" s="5" t="str">
        <f t="shared" si="20"/>
        <v>07AAHCD7454P1ZZTD/833/2026-27</v>
      </c>
      <c r="C682" s="1" t="s">
        <v>1284</v>
      </c>
      <c r="D682" s="1" t="s">
        <v>593</v>
      </c>
      <c r="E682" s="1" t="s">
        <v>1295</v>
      </c>
      <c r="F682" s="1" t="s">
        <v>24</v>
      </c>
      <c r="G682" s="1" t="s">
        <v>25</v>
      </c>
      <c r="H682" s="2">
        <v>70.80</v>
      </c>
      <c r="I682" s="1" t="s">
        <v>44</v>
      </c>
      <c r="J682" s="3" t="s">
        <v>27</v>
      </c>
      <c r="K682" s="2">
        <v>60</v>
      </c>
      <c r="L682" s="2">
        <v>0</v>
      </c>
      <c r="M682" s="2">
        <v>5.40</v>
      </c>
      <c r="N682" s="2">
        <v>5.40</v>
      </c>
      <c r="O682" s="2">
        <v>0</v>
      </c>
      <c r="P682" s="7" t="s">
        <v>28</v>
      </c>
      <c r="Q682" s="1" t="s">
        <v>29</v>
      </c>
      <c r="R682" s="3" t="s">
        <v>45</v>
      </c>
      <c r="S682" s="1" t="s">
        <v>46</v>
      </c>
      <c r="T682" s="4" t="s">
        <v>31</v>
      </c>
      <c r="U682" s="7" t="s">
        <v>32</v>
      </c>
      <c r="V682" s="7" t="s">
        <v>1296</v>
      </c>
      <c r="W682" s="7" t="s">
        <v>25</v>
      </c>
      <c r="X682" s="7" t="s">
        <v>1751</v>
      </c>
      <c r="Y682" s="10">
        <f t="shared" si="21"/>
        <v>10.800000000000001</v>
      </c>
      <c r="AH682" s="5" t="e">
        <f>VLOOKUP(B682,[1]DL!$BK:$BP,6,0)</f>
        <v>#N/A</v>
      </c>
    </row>
    <row r="683" spans="1:34" ht="14.5" hidden="1">
      <c r="A683" s="5">
        <v>680</v>
      </c>
      <c r="B683" s="5" t="str">
        <f t="shared" si="20"/>
        <v>07AAHCD7454P1ZZTD/834/2026-27</v>
      </c>
      <c r="C683" s="1" t="s">
        <v>1284</v>
      </c>
      <c r="D683" s="1" t="s">
        <v>593</v>
      </c>
      <c r="E683" s="1" t="s">
        <v>1297</v>
      </c>
      <c r="F683" s="1" t="s">
        <v>24</v>
      </c>
      <c r="G683" s="1" t="s">
        <v>25</v>
      </c>
      <c r="H683" s="2">
        <v>5.90</v>
      </c>
      <c r="I683" s="1" t="s">
        <v>44</v>
      </c>
      <c r="J683" s="3" t="s">
        <v>27</v>
      </c>
      <c r="K683" s="2">
        <v>5</v>
      </c>
      <c r="L683" s="2">
        <v>0</v>
      </c>
      <c r="M683" s="2">
        <v>0.45</v>
      </c>
      <c r="N683" s="2">
        <v>0.45</v>
      </c>
      <c r="O683" s="2">
        <v>0</v>
      </c>
      <c r="P683" s="7" t="s">
        <v>28</v>
      </c>
      <c r="Q683" s="1" t="s">
        <v>29</v>
      </c>
      <c r="R683" s="3" t="s">
        <v>45</v>
      </c>
      <c r="S683" s="1" t="s">
        <v>46</v>
      </c>
      <c r="T683" s="4" t="s">
        <v>31</v>
      </c>
      <c r="U683" s="7" t="s">
        <v>32</v>
      </c>
      <c r="V683" s="7" t="s">
        <v>1298</v>
      </c>
      <c r="W683" s="7" t="s">
        <v>25</v>
      </c>
      <c r="X683" s="7" t="s">
        <v>1751</v>
      </c>
      <c r="Y683" s="10">
        <f t="shared" si="21"/>
        <v>0.90000000000000002</v>
      </c>
      <c r="AH683" s="5" t="e">
        <f>VLOOKUP(B683,[1]DL!$BK:$BP,6,0)</f>
        <v>#N/A</v>
      </c>
    </row>
    <row r="684" spans="1:34" ht="14.5" hidden="1">
      <c r="A684" s="5">
        <v>681</v>
      </c>
      <c r="B684" s="5" t="str">
        <f t="shared" si="20"/>
        <v>07AAHCD7454P1ZZTD/835/2026-27</v>
      </c>
      <c r="C684" s="1" t="s">
        <v>1284</v>
      </c>
      <c r="D684" s="1" t="s">
        <v>593</v>
      </c>
      <c r="E684" s="1" t="s">
        <v>1299</v>
      </c>
      <c r="F684" s="1" t="s">
        <v>24</v>
      </c>
      <c r="G684" s="1" t="s">
        <v>25</v>
      </c>
      <c r="H684" s="2">
        <v>1180</v>
      </c>
      <c r="I684" s="1" t="s">
        <v>44</v>
      </c>
      <c r="J684" s="3" t="s">
        <v>27</v>
      </c>
      <c r="K684" s="2">
        <v>1000</v>
      </c>
      <c r="L684" s="2">
        <v>0</v>
      </c>
      <c r="M684" s="2">
        <v>90</v>
      </c>
      <c r="N684" s="2">
        <v>90</v>
      </c>
      <c r="O684" s="2">
        <v>0</v>
      </c>
      <c r="P684" s="7" t="s">
        <v>28</v>
      </c>
      <c r="Q684" s="1" t="s">
        <v>29</v>
      </c>
      <c r="R684" s="3" t="s">
        <v>45</v>
      </c>
      <c r="S684" s="1" t="s">
        <v>46</v>
      </c>
      <c r="T684" s="4" t="s">
        <v>31</v>
      </c>
      <c r="U684" s="7" t="s">
        <v>32</v>
      </c>
      <c r="V684" s="7" t="s">
        <v>1300</v>
      </c>
      <c r="W684" s="7" t="s">
        <v>25</v>
      </c>
      <c r="X684" s="7" t="s">
        <v>1751</v>
      </c>
      <c r="Y684" s="10">
        <f t="shared" si="21"/>
        <v>180</v>
      </c>
      <c r="AH684" s="5" t="e">
        <f>VLOOKUP(B684,[1]DL!$BK:$BP,6,0)</f>
        <v>#N/A</v>
      </c>
    </row>
    <row r="685" spans="1:34" ht="14.5" hidden="1">
      <c r="A685" s="5">
        <v>682</v>
      </c>
      <c r="B685" s="5" t="str">
        <f t="shared" si="20"/>
        <v>07AAEPA7126M1ZRJDA/DN/26-27/1</v>
      </c>
      <c r="C685" s="1" t="s">
        <v>1301</v>
      </c>
      <c r="D685" s="1" t="s">
        <v>1302</v>
      </c>
      <c r="E685" s="1" t="s">
        <v>1303</v>
      </c>
      <c r="F685" s="1" t="s">
        <v>24</v>
      </c>
      <c r="G685" s="1" t="s">
        <v>89</v>
      </c>
      <c r="H685" s="2">
        <v>70210</v>
      </c>
      <c r="I685" s="1" t="s">
        <v>44</v>
      </c>
      <c r="J685" s="3" t="s">
        <v>27</v>
      </c>
      <c r="K685" s="2">
        <v>59500</v>
      </c>
      <c r="L685" s="2">
        <v>0</v>
      </c>
      <c r="M685" s="2">
        <v>5355</v>
      </c>
      <c r="N685" s="2">
        <v>5355</v>
      </c>
      <c r="O685" s="2">
        <v>0</v>
      </c>
      <c r="P685" s="7" t="s">
        <v>28</v>
      </c>
      <c r="Q685" s="1" t="s">
        <v>29</v>
      </c>
      <c r="R685" s="3" t="s">
        <v>45</v>
      </c>
      <c r="S685" s="1" t="s">
        <v>46</v>
      </c>
      <c r="T685" s="4" t="s">
        <v>31</v>
      </c>
      <c r="U685" s="7" t="s">
        <v>32</v>
      </c>
      <c r="V685" s="7" t="s">
        <v>1304</v>
      </c>
      <c r="W685" s="7" t="s">
        <v>128</v>
      </c>
      <c r="X685" s="7" t="s">
        <v>1751</v>
      </c>
      <c r="Y685" s="10">
        <f t="shared" si="21"/>
        <v>10710</v>
      </c>
      <c r="AH685" s="5" t="e">
        <f>VLOOKUP(B685,[1]DL!$BK:$BP,6,0)</f>
        <v>#N/A</v>
      </c>
    </row>
    <row r="686" spans="1:34" ht="14.5" hidden="1">
      <c r="A686" s="5">
        <v>683</v>
      </c>
      <c r="B686" s="5" t="str">
        <f t="shared" si="20"/>
        <v>07AAEPA7126M1ZRJDA/DN/26-27/10</v>
      </c>
      <c r="C686" s="1" t="s">
        <v>1301</v>
      </c>
      <c r="D686" s="1" t="s">
        <v>1302</v>
      </c>
      <c r="E686" s="1" t="s">
        <v>1305</v>
      </c>
      <c r="F686" s="1" t="s">
        <v>24</v>
      </c>
      <c r="G686" s="1" t="s">
        <v>89</v>
      </c>
      <c r="H686" s="2">
        <v>173.46</v>
      </c>
      <c r="I686" s="1" t="s">
        <v>44</v>
      </c>
      <c r="J686" s="3" t="s">
        <v>27</v>
      </c>
      <c r="K686" s="2">
        <v>147</v>
      </c>
      <c r="L686" s="2">
        <v>0</v>
      </c>
      <c r="M686" s="2">
        <v>13.23</v>
      </c>
      <c r="N686" s="2">
        <v>13.23</v>
      </c>
      <c r="O686" s="2">
        <v>0</v>
      </c>
      <c r="P686" s="7" t="s">
        <v>28</v>
      </c>
      <c r="Q686" s="1" t="s">
        <v>29</v>
      </c>
      <c r="R686" s="3" t="s">
        <v>45</v>
      </c>
      <c r="S686" s="1" t="s">
        <v>46</v>
      </c>
      <c r="T686" s="4" t="s">
        <v>31</v>
      </c>
      <c r="U686" s="7" t="s">
        <v>32</v>
      </c>
      <c r="V686" s="7" t="s">
        <v>1306</v>
      </c>
      <c r="W686" s="7" t="s">
        <v>128</v>
      </c>
      <c r="X686" s="7" t="s">
        <v>1751</v>
      </c>
      <c r="Y686" s="10">
        <f t="shared" si="21"/>
        <v>26.460000000000001</v>
      </c>
      <c r="AH686" s="5" t="e">
        <f>VLOOKUP(B686,[1]DL!$BK:$BP,6,0)</f>
        <v>#N/A</v>
      </c>
    </row>
    <row r="687" spans="1:34" ht="14.5" hidden="1">
      <c r="A687" s="5">
        <v>684</v>
      </c>
      <c r="B687" s="5" t="str">
        <f t="shared" si="20"/>
        <v>07AAEPA7126M1ZRJDA/DN/26-27/11</v>
      </c>
      <c r="C687" s="1" t="s">
        <v>1301</v>
      </c>
      <c r="D687" s="1" t="s">
        <v>1302</v>
      </c>
      <c r="E687" s="1" t="s">
        <v>1307</v>
      </c>
      <c r="F687" s="1" t="s">
        <v>24</v>
      </c>
      <c r="G687" s="1" t="s">
        <v>89</v>
      </c>
      <c r="H687" s="2">
        <v>472</v>
      </c>
      <c r="I687" s="1" t="s">
        <v>44</v>
      </c>
      <c r="J687" s="3" t="s">
        <v>27</v>
      </c>
      <c r="K687" s="2">
        <v>400</v>
      </c>
      <c r="L687" s="2">
        <v>0</v>
      </c>
      <c r="M687" s="2">
        <v>36</v>
      </c>
      <c r="N687" s="2">
        <v>36</v>
      </c>
      <c r="O687" s="2">
        <v>0</v>
      </c>
      <c r="P687" s="7" t="s">
        <v>28</v>
      </c>
      <c r="Q687" s="1" t="s">
        <v>29</v>
      </c>
      <c r="R687" s="3" t="s">
        <v>45</v>
      </c>
      <c r="S687" s="1" t="s">
        <v>46</v>
      </c>
      <c r="T687" s="4" t="s">
        <v>31</v>
      </c>
      <c r="U687" s="7" t="s">
        <v>32</v>
      </c>
      <c r="V687" s="7" t="s">
        <v>1308</v>
      </c>
      <c r="W687" s="7" t="s">
        <v>128</v>
      </c>
      <c r="X687" s="7" t="s">
        <v>1751</v>
      </c>
      <c r="Y687" s="10">
        <f t="shared" si="21"/>
        <v>72</v>
      </c>
      <c r="AH687" s="5" t="e">
        <f>VLOOKUP(B687,[1]DL!$BK:$BP,6,0)</f>
        <v>#N/A</v>
      </c>
    </row>
    <row r="688" spans="1:34" ht="14.5" hidden="1">
      <c r="A688" s="5">
        <v>685</v>
      </c>
      <c r="B688" s="5" t="str">
        <f t="shared" si="20"/>
        <v>07AAEPA7126M1ZRJDA/DN/26-27/12</v>
      </c>
      <c r="C688" s="1" t="s">
        <v>1301</v>
      </c>
      <c r="D688" s="1" t="s">
        <v>1302</v>
      </c>
      <c r="E688" s="1" t="s">
        <v>1309</v>
      </c>
      <c r="F688" s="1" t="s">
        <v>24</v>
      </c>
      <c r="G688" s="1" t="s">
        <v>89</v>
      </c>
      <c r="H688" s="2">
        <v>315.06</v>
      </c>
      <c r="I688" s="1" t="s">
        <v>44</v>
      </c>
      <c r="J688" s="3" t="s">
        <v>27</v>
      </c>
      <c r="K688" s="2">
        <v>267</v>
      </c>
      <c r="L688" s="2">
        <v>0</v>
      </c>
      <c r="M688" s="2">
        <v>24.03</v>
      </c>
      <c r="N688" s="2">
        <v>24.03</v>
      </c>
      <c r="O688" s="2">
        <v>0</v>
      </c>
      <c r="P688" s="7" t="s">
        <v>28</v>
      </c>
      <c r="Q688" s="1" t="s">
        <v>29</v>
      </c>
      <c r="R688" s="3" t="s">
        <v>45</v>
      </c>
      <c r="S688" s="1" t="s">
        <v>46</v>
      </c>
      <c r="T688" s="4" t="s">
        <v>31</v>
      </c>
      <c r="U688" s="7" t="s">
        <v>32</v>
      </c>
      <c r="V688" s="7" t="s">
        <v>1310</v>
      </c>
      <c r="W688" s="7" t="s">
        <v>128</v>
      </c>
      <c r="X688" s="7" t="s">
        <v>1751</v>
      </c>
      <c r="Y688" s="10">
        <f t="shared" si="21"/>
        <v>48.060000000000002</v>
      </c>
      <c r="AH688" s="5" t="e">
        <f>VLOOKUP(B688,[1]DL!$BK:$BP,6,0)</f>
        <v>#N/A</v>
      </c>
    </row>
    <row r="689" spans="1:34" ht="14.5" hidden="1">
      <c r="A689" s="5">
        <v>686</v>
      </c>
      <c r="B689" s="5" t="str">
        <f t="shared" si="20"/>
        <v>07AAEPA7126M1ZRJDA/DN/26-27/13</v>
      </c>
      <c r="C689" s="1" t="s">
        <v>1301</v>
      </c>
      <c r="D689" s="1" t="s">
        <v>1302</v>
      </c>
      <c r="E689" s="1" t="s">
        <v>1311</v>
      </c>
      <c r="F689" s="1" t="s">
        <v>24</v>
      </c>
      <c r="G689" s="1" t="s">
        <v>89</v>
      </c>
      <c r="H689" s="2">
        <v>29174.32</v>
      </c>
      <c r="I689" s="1" t="s">
        <v>44</v>
      </c>
      <c r="J689" s="3" t="s">
        <v>27</v>
      </c>
      <c r="K689" s="2">
        <v>24724</v>
      </c>
      <c r="L689" s="2">
        <v>0</v>
      </c>
      <c r="M689" s="2">
        <v>2225.16</v>
      </c>
      <c r="N689" s="2">
        <v>2225.16</v>
      </c>
      <c r="O689" s="2">
        <v>0</v>
      </c>
      <c r="P689" s="7" t="s">
        <v>28</v>
      </c>
      <c r="Q689" s="1" t="s">
        <v>29</v>
      </c>
      <c r="R689" s="3" t="s">
        <v>45</v>
      </c>
      <c r="S689" s="1" t="s">
        <v>46</v>
      </c>
      <c r="T689" s="4" t="s">
        <v>31</v>
      </c>
      <c r="U689" s="7" t="s">
        <v>32</v>
      </c>
      <c r="V689" s="7" t="s">
        <v>1312</v>
      </c>
      <c r="W689" s="7" t="s">
        <v>128</v>
      </c>
      <c r="X689" s="7" t="s">
        <v>1751</v>
      </c>
      <c r="Y689" s="10">
        <f t="shared" si="21"/>
        <v>4450.3199999999997</v>
      </c>
      <c r="AH689" s="5" t="e">
        <f>VLOOKUP(B689,[1]DL!$BK:$BP,6,0)</f>
        <v>#N/A</v>
      </c>
    </row>
    <row r="690" spans="1:34" ht="14.5" hidden="1">
      <c r="A690" s="5">
        <v>687</v>
      </c>
      <c r="B690" s="5" t="str">
        <f t="shared" si="20"/>
        <v>07AAEPA7126M1ZRJDA/DN/26-27/14</v>
      </c>
      <c r="C690" s="1" t="s">
        <v>1301</v>
      </c>
      <c r="D690" s="1" t="s">
        <v>1302</v>
      </c>
      <c r="E690" s="1" t="s">
        <v>1313</v>
      </c>
      <c r="F690" s="1" t="s">
        <v>24</v>
      </c>
      <c r="G690" s="1" t="s">
        <v>89</v>
      </c>
      <c r="H690" s="2">
        <v>2306.29</v>
      </c>
      <c r="I690" s="1" t="s">
        <v>44</v>
      </c>
      <c r="J690" s="3" t="s">
        <v>27</v>
      </c>
      <c r="K690" s="2">
        <v>1954.49</v>
      </c>
      <c r="L690" s="2">
        <v>0</v>
      </c>
      <c r="M690" s="2">
        <v>175.90</v>
      </c>
      <c r="N690" s="2">
        <v>175.90</v>
      </c>
      <c r="O690" s="2">
        <v>0</v>
      </c>
      <c r="P690" s="7" t="s">
        <v>28</v>
      </c>
      <c r="Q690" s="1" t="s">
        <v>29</v>
      </c>
      <c r="R690" s="3" t="s">
        <v>45</v>
      </c>
      <c r="S690" s="1" t="s">
        <v>46</v>
      </c>
      <c r="T690" s="4" t="s">
        <v>31</v>
      </c>
      <c r="U690" s="7" t="s">
        <v>32</v>
      </c>
      <c r="V690" s="7" t="s">
        <v>1314</v>
      </c>
      <c r="W690" s="7" t="s">
        <v>128</v>
      </c>
      <c r="X690" s="7" t="s">
        <v>1751</v>
      </c>
      <c r="Y690" s="10">
        <f t="shared" si="21"/>
        <v>351.80000000000001</v>
      </c>
      <c r="AH690" s="5" t="e">
        <f>VLOOKUP(B690,[1]DL!$BK:$BP,6,0)</f>
        <v>#N/A</v>
      </c>
    </row>
    <row r="691" spans="1:34" ht="14.5" hidden="1">
      <c r="A691" s="5">
        <v>688</v>
      </c>
      <c r="B691" s="5" t="str">
        <f t="shared" si="20"/>
        <v>07AAEPA7126M1ZRJDA/DN/26-27/15</v>
      </c>
      <c r="C691" s="1" t="s">
        <v>1301</v>
      </c>
      <c r="D691" s="1" t="s">
        <v>1302</v>
      </c>
      <c r="E691" s="1" t="s">
        <v>1315</v>
      </c>
      <c r="F691" s="1" t="s">
        <v>24</v>
      </c>
      <c r="G691" s="1" t="s">
        <v>89</v>
      </c>
      <c r="H691" s="2">
        <v>2306.29</v>
      </c>
      <c r="I691" s="1" t="s">
        <v>44</v>
      </c>
      <c r="J691" s="3" t="s">
        <v>27</v>
      </c>
      <c r="K691" s="2">
        <v>1954.49</v>
      </c>
      <c r="L691" s="2">
        <v>0</v>
      </c>
      <c r="M691" s="2">
        <v>175.90</v>
      </c>
      <c r="N691" s="2">
        <v>175.90</v>
      </c>
      <c r="O691" s="2">
        <v>0</v>
      </c>
      <c r="P691" s="7" t="s">
        <v>28</v>
      </c>
      <c r="Q691" s="1" t="s">
        <v>29</v>
      </c>
      <c r="R691" s="3" t="s">
        <v>45</v>
      </c>
      <c r="S691" s="1" t="s">
        <v>46</v>
      </c>
      <c r="T691" s="4" t="s">
        <v>31</v>
      </c>
      <c r="U691" s="7" t="s">
        <v>32</v>
      </c>
      <c r="V691" s="7" t="s">
        <v>1316</v>
      </c>
      <c r="W691" s="7" t="s">
        <v>128</v>
      </c>
      <c r="X691" s="7" t="s">
        <v>1751</v>
      </c>
      <c r="Y691" s="10">
        <f t="shared" si="21"/>
        <v>351.80000000000001</v>
      </c>
      <c r="AH691" s="5" t="e">
        <f>VLOOKUP(B691,[1]DL!$BK:$BP,6,0)</f>
        <v>#N/A</v>
      </c>
    </row>
    <row r="692" spans="1:34" ht="14.5" hidden="1">
      <c r="A692" s="5">
        <v>689</v>
      </c>
      <c r="B692" s="5" t="str">
        <f t="shared" si="20"/>
        <v>07AAEPA7126M1ZRJDA/DN/26-27/16</v>
      </c>
      <c r="C692" s="1" t="s">
        <v>1301</v>
      </c>
      <c r="D692" s="1" t="s">
        <v>1302</v>
      </c>
      <c r="E692" s="1" t="s">
        <v>1317</v>
      </c>
      <c r="F692" s="1" t="s">
        <v>24</v>
      </c>
      <c r="G692" s="1" t="s">
        <v>89</v>
      </c>
      <c r="H692" s="2">
        <v>4720</v>
      </c>
      <c r="I692" s="1" t="s">
        <v>44</v>
      </c>
      <c r="J692" s="3" t="s">
        <v>27</v>
      </c>
      <c r="K692" s="2">
        <v>4000</v>
      </c>
      <c r="L692" s="2">
        <v>0</v>
      </c>
      <c r="M692" s="2">
        <v>360</v>
      </c>
      <c r="N692" s="2">
        <v>360</v>
      </c>
      <c r="O692" s="2">
        <v>0</v>
      </c>
      <c r="P692" s="7" t="s">
        <v>28</v>
      </c>
      <c r="Q692" s="1" t="s">
        <v>29</v>
      </c>
      <c r="R692" s="3" t="s">
        <v>45</v>
      </c>
      <c r="S692" s="1" t="s">
        <v>46</v>
      </c>
      <c r="T692" s="4" t="s">
        <v>31</v>
      </c>
      <c r="U692" s="7" t="s">
        <v>32</v>
      </c>
      <c r="V692" s="7" t="s">
        <v>1318</v>
      </c>
      <c r="W692" s="7" t="s">
        <v>128</v>
      </c>
      <c r="X692" s="7" t="s">
        <v>1751</v>
      </c>
      <c r="Y692" s="10">
        <f t="shared" si="21"/>
        <v>720</v>
      </c>
      <c r="AH692" s="5" t="e">
        <f>VLOOKUP(B692,[1]DL!$BK:$BP,6,0)</f>
        <v>#N/A</v>
      </c>
    </row>
    <row r="693" spans="1:34" ht="14.5" hidden="1">
      <c r="A693" s="5">
        <v>690</v>
      </c>
      <c r="B693" s="5" t="str">
        <f t="shared" si="20"/>
        <v>07AAEPA7126M1ZRJDA/DN/26-27/17</v>
      </c>
      <c r="C693" s="1" t="s">
        <v>1301</v>
      </c>
      <c r="D693" s="1" t="s">
        <v>1302</v>
      </c>
      <c r="E693" s="1" t="s">
        <v>1319</v>
      </c>
      <c r="F693" s="1" t="s">
        <v>24</v>
      </c>
      <c r="G693" s="1" t="s">
        <v>89</v>
      </c>
      <c r="H693" s="2">
        <v>8614</v>
      </c>
      <c r="I693" s="1" t="s">
        <v>44</v>
      </c>
      <c r="J693" s="3" t="s">
        <v>27</v>
      </c>
      <c r="K693" s="2">
        <v>7300</v>
      </c>
      <c r="L693" s="2">
        <v>0</v>
      </c>
      <c r="M693" s="2">
        <v>657</v>
      </c>
      <c r="N693" s="2">
        <v>657</v>
      </c>
      <c r="O693" s="2">
        <v>0</v>
      </c>
      <c r="P693" s="7" t="s">
        <v>28</v>
      </c>
      <c r="Q693" s="1" t="s">
        <v>29</v>
      </c>
      <c r="R693" s="3" t="s">
        <v>45</v>
      </c>
      <c r="S693" s="1" t="s">
        <v>46</v>
      </c>
      <c r="T693" s="4" t="s">
        <v>31</v>
      </c>
      <c r="U693" s="7" t="s">
        <v>32</v>
      </c>
      <c r="V693" s="7" t="s">
        <v>1320</v>
      </c>
      <c r="W693" s="7" t="s">
        <v>128</v>
      </c>
      <c r="X693" s="7" t="s">
        <v>1751</v>
      </c>
      <c r="Y693" s="10">
        <f t="shared" si="21"/>
        <v>1314</v>
      </c>
      <c r="AH693" s="5" t="e">
        <f>VLOOKUP(B693,[1]DL!$BK:$BP,6,0)</f>
        <v>#N/A</v>
      </c>
    </row>
    <row r="694" spans="1:34" ht="14.5" hidden="1">
      <c r="A694" s="5">
        <v>691</v>
      </c>
      <c r="B694" s="5" t="str">
        <f t="shared" si="20"/>
        <v>07AAEPA7126M1ZRJDA/DN/26-27/18</v>
      </c>
      <c r="C694" s="1" t="s">
        <v>1301</v>
      </c>
      <c r="D694" s="1" t="s">
        <v>1302</v>
      </c>
      <c r="E694" s="1" t="s">
        <v>1321</v>
      </c>
      <c r="F694" s="1" t="s">
        <v>24</v>
      </c>
      <c r="G694" s="1" t="s">
        <v>89</v>
      </c>
      <c r="H694" s="2">
        <v>9086</v>
      </c>
      <c r="I694" s="1" t="s">
        <v>44</v>
      </c>
      <c r="J694" s="3" t="s">
        <v>27</v>
      </c>
      <c r="K694" s="2">
        <v>7700</v>
      </c>
      <c r="L694" s="2">
        <v>0</v>
      </c>
      <c r="M694" s="2">
        <v>693</v>
      </c>
      <c r="N694" s="2">
        <v>693</v>
      </c>
      <c r="O694" s="2">
        <v>0</v>
      </c>
      <c r="P694" s="7" t="s">
        <v>28</v>
      </c>
      <c r="Q694" s="1" t="s">
        <v>29</v>
      </c>
      <c r="R694" s="3" t="s">
        <v>45</v>
      </c>
      <c r="S694" s="1" t="s">
        <v>46</v>
      </c>
      <c r="T694" s="4" t="s">
        <v>31</v>
      </c>
      <c r="U694" s="7" t="s">
        <v>32</v>
      </c>
      <c r="V694" s="7" t="s">
        <v>1322</v>
      </c>
      <c r="W694" s="7" t="s">
        <v>128</v>
      </c>
      <c r="X694" s="7" t="s">
        <v>1751</v>
      </c>
      <c r="Y694" s="10">
        <f t="shared" si="21"/>
        <v>1386</v>
      </c>
      <c r="AH694" s="5" t="e">
        <f>VLOOKUP(B694,[1]DL!$BK:$BP,6,0)</f>
        <v>#N/A</v>
      </c>
    </row>
    <row r="695" spans="1:34" ht="14.5" hidden="1">
      <c r="A695" s="5">
        <v>692</v>
      </c>
      <c r="B695" s="5" t="str">
        <f t="shared" si="20"/>
        <v>07AAEPA7126M1ZRJDA/DN/26-27/19</v>
      </c>
      <c r="C695" s="1" t="s">
        <v>1301</v>
      </c>
      <c r="D695" s="1" t="s">
        <v>1302</v>
      </c>
      <c r="E695" s="1" t="s">
        <v>1323</v>
      </c>
      <c r="F695" s="1" t="s">
        <v>24</v>
      </c>
      <c r="G695" s="1" t="s">
        <v>89</v>
      </c>
      <c r="H695" s="2">
        <v>4012</v>
      </c>
      <c r="I695" s="1" t="s">
        <v>44</v>
      </c>
      <c r="J695" s="3" t="s">
        <v>27</v>
      </c>
      <c r="K695" s="2">
        <v>3400</v>
      </c>
      <c r="L695" s="2">
        <v>0</v>
      </c>
      <c r="M695" s="2">
        <v>306</v>
      </c>
      <c r="N695" s="2">
        <v>306</v>
      </c>
      <c r="O695" s="2">
        <v>0</v>
      </c>
      <c r="P695" s="7" t="s">
        <v>28</v>
      </c>
      <c r="Q695" s="1" t="s">
        <v>29</v>
      </c>
      <c r="R695" s="3" t="s">
        <v>45</v>
      </c>
      <c r="S695" s="1" t="s">
        <v>46</v>
      </c>
      <c r="T695" s="4" t="s">
        <v>31</v>
      </c>
      <c r="U695" s="7" t="s">
        <v>32</v>
      </c>
      <c r="V695" s="7" t="s">
        <v>1324</v>
      </c>
      <c r="W695" s="7" t="s">
        <v>128</v>
      </c>
      <c r="X695" s="7" t="s">
        <v>1751</v>
      </c>
      <c r="Y695" s="10">
        <f t="shared" si="21"/>
        <v>612</v>
      </c>
      <c r="AH695" s="5" t="e">
        <f>VLOOKUP(B695,[1]DL!$BK:$BP,6,0)</f>
        <v>#N/A</v>
      </c>
    </row>
    <row r="696" spans="1:34" ht="14.5" hidden="1">
      <c r="A696" s="5">
        <v>693</v>
      </c>
      <c r="B696" s="5" t="str">
        <f t="shared" si="20"/>
        <v>07AAEPA7126M1ZRJDA/DN/26-27/2</v>
      </c>
      <c r="C696" s="1" t="s">
        <v>1301</v>
      </c>
      <c r="D696" s="1" t="s">
        <v>1302</v>
      </c>
      <c r="E696" s="1" t="s">
        <v>1325</v>
      </c>
      <c r="F696" s="1" t="s">
        <v>24</v>
      </c>
      <c r="G696" s="1" t="s">
        <v>89</v>
      </c>
      <c r="H696" s="2">
        <v>61950</v>
      </c>
      <c r="I696" s="1" t="s">
        <v>44</v>
      </c>
      <c r="J696" s="3" t="s">
        <v>27</v>
      </c>
      <c r="K696" s="2">
        <v>52500</v>
      </c>
      <c r="L696" s="2">
        <v>0</v>
      </c>
      <c r="M696" s="2">
        <v>4725</v>
      </c>
      <c r="N696" s="2">
        <v>4725</v>
      </c>
      <c r="O696" s="2">
        <v>0</v>
      </c>
      <c r="P696" s="7" t="s">
        <v>28</v>
      </c>
      <c r="Q696" s="1" t="s">
        <v>29</v>
      </c>
      <c r="R696" s="3" t="s">
        <v>45</v>
      </c>
      <c r="S696" s="1" t="s">
        <v>46</v>
      </c>
      <c r="T696" s="4" t="s">
        <v>31</v>
      </c>
      <c r="U696" s="7" t="s">
        <v>32</v>
      </c>
      <c r="V696" s="7" t="s">
        <v>1326</v>
      </c>
      <c r="W696" s="7" t="s">
        <v>128</v>
      </c>
      <c r="X696" s="7" t="s">
        <v>1751</v>
      </c>
      <c r="Y696" s="10">
        <f t="shared" si="21"/>
        <v>9450</v>
      </c>
      <c r="AH696" s="5" t="e">
        <f>VLOOKUP(B696,[1]DL!$BK:$BP,6,0)</f>
        <v>#N/A</v>
      </c>
    </row>
    <row r="697" spans="1:34" ht="14.5" hidden="1">
      <c r="A697" s="5">
        <v>694</v>
      </c>
      <c r="B697" s="5" t="str">
        <f t="shared" si="20"/>
        <v>07AAEPA7126M1ZRJDA/DN/26-27/20</v>
      </c>
      <c r="C697" s="1" t="s">
        <v>1301</v>
      </c>
      <c r="D697" s="1" t="s">
        <v>1302</v>
      </c>
      <c r="E697" s="1" t="s">
        <v>1327</v>
      </c>
      <c r="F697" s="1" t="s">
        <v>24</v>
      </c>
      <c r="G697" s="1" t="s">
        <v>89</v>
      </c>
      <c r="H697" s="2">
        <v>944</v>
      </c>
      <c r="I697" s="1" t="s">
        <v>44</v>
      </c>
      <c r="J697" s="3" t="s">
        <v>27</v>
      </c>
      <c r="K697" s="2">
        <v>800</v>
      </c>
      <c r="L697" s="2">
        <v>0</v>
      </c>
      <c r="M697" s="2">
        <v>72</v>
      </c>
      <c r="N697" s="2">
        <v>72</v>
      </c>
      <c r="O697" s="2">
        <v>0</v>
      </c>
      <c r="P697" s="7" t="s">
        <v>28</v>
      </c>
      <c r="Q697" s="1" t="s">
        <v>29</v>
      </c>
      <c r="R697" s="3" t="s">
        <v>45</v>
      </c>
      <c r="S697" s="1" t="s">
        <v>46</v>
      </c>
      <c r="T697" s="4" t="s">
        <v>31</v>
      </c>
      <c r="U697" s="7" t="s">
        <v>32</v>
      </c>
      <c r="V697" s="7" t="s">
        <v>1328</v>
      </c>
      <c r="W697" s="7" t="s">
        <v>128</v>
      </c>
      <c r="X697" s="7" t="s">
        <v>1751</v>
      </c>
      <c r="Y697" s="10">
        <f t="shared" si="21"/>
        <v>144</v>
      </c>
      <c r="AH697" s="5" t="e">
        <f>VLOOKUP(B697,[1]DL!$BK:$BP,6,0)</f>
        <v>#N/A</v>
      </c>
    </row>
    <row r="698" spans="1:34" ht="14.5" hidden="1">
      <c r="A698" s="5">
        <v>695</v>
      </c>
      <c r="B698" s="5" t="str">
        <f t="shared" si="20"/>
        <v>07AAEPA7126M1ZRJDA/DN/26-27/21</v>
      </c>
      <c r="C698" s="1" t="s">
        <v>1301</v>
      </c>
      <c r="D698" s="1" t="s">
        <v>1302</v>
      </c>
      <c r="E698" s="1" t="s">
        <v>1329</v>
      </c>
      <c r="F698" s="1" t="s">
        <v>24</v>
      </c>
      <c r="G698" s="1" t="s">
        <v>89</v>
      </c>
      <c r="H698" s="2">
        <v>1180</v>
      </c>
      <c r="I698" s="1" t="s">
        <v>44</v>
      </c>
      <c r="J698" s="3" t="s">
        <v>27</v>
      </c>
      <c r="K698" s="2">
        <v>1000</v>
      </c>
      <c r="L698" s="2">
        <v>0</v>
      </c>
      <c r="M698" s="2">
        <v>90</v>
      </c>
      <c r="N698" s="2">
        <v>90</v>
      </c>
      <c r="O698" s="2">
        <v>0</v>
      </c>
      <c r="P698" s="7" t="s">
        <v>28</v>
      </c>
      <c r="Q698" s="1" t="s">
        <v>29</v>
      </c>
      <c r="R698" s="3" t="s">
        <v>45</v>
      </c>
      <c r="S698" s="1" t="s">
        <v>46</v>
      </c>
      <c r="T698" s="4" t="s">
        <v>31</v>
      </c>
      <c r="U698" s="7" t="s">
        <v>32</v>
      </c>
      <c r="V698" s="7" t="s">
        <v>1330</v>
      </c>
      <c r="W698" s="7" t="s">
        <v>128</v>
      </c>
      <c r="X698" s="7" t="s">
        <v>1751</v>
      </c>
      <c r="Y698" s="10">
        <f t="shared" si="21"/>
        <v>180</v>
      </c>
      <c r="AH698" s="5" t="e">
        <f>VLOOKUP(B698,[1]DL!$BK:$BP,6,0)</f>
        <v>#N/A</v>
      </c>
    </row>
    <row r="699" spans="1:34" ht="14.5" hidden="1">
      <c r="A699" s="5">
        <v>696</v>
      </c>
      <c r="B699" s="5" t="str">
        <f t="shared" si="20"/>
        <v>07AAEPA7126M1ZRJDA/DN/26-27/22</v>
      </c>
      <c r="C699" s="1" t="s">
        <v>1301</v>
      </c>
      <c r="D699" s="1" t="s">
        <v>1302</v>
      </c>
      <c r="E699" s="1" t="s">
        <v>1331</v>
      </c>
      <c r="F699" s="1" t="s">
        <v>24</v>
      </c>
      <c r="G699" s="1" t="s">
        <v>89</v>
      </c>
      <c r="H699" s="2">
        <v>7080</v>
      </c>
      <c r="I699" s="1" t="s">
        <v>44</v>
      </c>
      <c r="J699" s="3" t="s">
        <v>27</v>
      </c>
      <c r="K699" s="2">
        <v>6000</v>
      </c>
      <c r="L699" s="2">
        <v>0</v>
      </c>
      <c r="M699" s="2">
        <v>540</v>
      </c>
      <c r="N699" s="2">
        <v>540</v>
      </c>
      <c r="O699" s="2">
        <v>0</v>
      </c>
      <c r="P699" s="7" t="s">
        <v>28</v>
      </c>
      <c r="Q699" s="1" t="s">
        <v>29</v>
      </c>
      <c r="R699" s="3" t="s">
        <v>45</v>
      </c>
      <c r="S699" s="1" t="s">
        <v>46</v>
      </c>
      <c r="T699" s="4" t="s">
        <v>31</v>
      </c>
      <c r="U699" s="7" t="s">
        <v>32</v>
      </c>
      <c r="V699" s="7" t="s">
        <v>1332</v>
      </c>
      <c r="W699" s="7" t="s">
        <v>128</v>
      </c>
      <c r="X699" s="7" t="s">
        <v>1751</v>
      </c>
      <c r="Y699" s="10">
        <f t="shared" si="21"/>
        <v>1080</v>
      </c>
      <c r="AH699" s="5" t="e">
        <f>VLOOKUP(B699,[1]DL!$BK:$BP,6,0)</f>
        <v>#N/A</v>
      </c>
    </row>
    <row r="700" spans="1:34" ht="14.5" hidden="1">
      <c r="A700" s="5">
        <v>697</v>
      </c>
      <c r="B700" s="5" t="str">
        <f t="shared" si="20"/>
        <v>07AAEPA7126M1ZRJDA/DN/26-27/23</v>
      </c>
      <c r="C700" s="1" t="s">
        <v>1301</v>
      </c>
      <c r="D700" s="1" t="s">
        <v>1302</v>
      </c>
      <c r="E700" s="1" t="s">
        <v>1333</v>
      </c>
      <c r="F700" s="1" t="s">
        <v>24</v>
      </c>
      <c r="G700" s="1" t="s">
        <v>89</v>
      </c>
      <c r="H700" s="2">
        <v>1770</v>
      </c>
      <c r="I700" s="1" t="s">
        <v>44</v>
      </c>
      <c r="J700" s="3" t="s">
        <v>27</v>
      </c>
      <c r="K700" s="2">
        <v>1500</v>
      </c>
      <c r="L700" s="2">
        <v>0</v>
      </c>
      <c r="M700" s="2">
        <v>135</v>
      </c>
      <c r="N700" s="2">
        <v>135</v>
      </c>
      <c r="O700" s="2">
        <v>0</v>
      </c>
      <c r="P700" s="7" t="s">
        <v>28</v>
      </c>
      <c r="Q700" s="1" t="s">
        <v>29</v>
      </c>
      <c r="R700" s="3" t="s">
        <v>45</v>
      </c>
      <c r="S700" s="1" t="s">
        <v>46</v>
      </c>
      <c r="T700" s="4" t="s">
        <v>31</v>
      </c>
      <c r="U700" s="7" t="s">
        <v>32</v>
      </c>
      <c r="V700" s="7" t="s">
        <v>1334</v>
      </c>
      <c r="W700" s="7" t="s">
        <v>128</v>
      </c>
      <c r="X700" s="7" t="s">
        <v>1751</v>
      </c>
      <c r="Y700" s="10">
        <f t="shared" si="21"/>
        <v>270</v>
      </c>
      <c r="AH700" s="5" t="e">
        <f>VLOOKUP(B700,[1]DL!$BK:$BP,6,0)</f>
        <v>#N/A</v>
      </c>
    </row>
    <row r="701" spans="1:34" ht="14.5" hidden="1">
      <c r="A701" s="5">
        <v>698</v>
      </c>
      <c r="B701" s="5" t="str">
        <f t="shared" si="20"/>
        <v>07AAEPA7126M1ZRJDA/DN/26-27/24</v>
      </c>
      <c r="C701" s="1" t="s">
        <v>1301</v>
      </c>
      <c r="D701" s="1" t="s">
        <v>1302</v>
      </c>
      <c r="E701" s="1" t="s">
        <v>1335</v>
      </c>
      <c r="F701" s="1" t="s">
        <v>24</v>
      </c>
      <c r="G701" s="1" t="s">
        <v>89</v>
      </c>
      <c r="H701" s="2">
        <v>4720</v>
      </c>
      <c r="I701" s="1" t="s">
        <v>44</v>
      </c>
      <c r="J701" s="3" t="s">
        <v>27</v>
      </c>
      <c r="K701" s="2">
        <v>4000</v>
      </c>
      <c r="L701" s="2">
        <v>0</v>
      </c>
      <c r="M701" s="2">
        <v>360</v>
      </c>
      <c r="N701" s="2">
        <v>360</v>
      </c>
      <c r="O701" s="2">
        <v>0</v>
      </c>
      <c r="P701" s="7" t="s">
        <v>28</v>
      </c>
      <c r="Q701" s="1" t="s">
        <v>29</v>
      </c>
      <c r="R701" s="3" t="s">
        <v>45</v>
      </c>
      <c r="S701" s="1" t="s">
        <v>46</v>
      </c>
      <c r="T701" s="4" t="s">
        <v>31</v>
      </c>
      <c r="U701" s="7" t="s">
        <v>32</v>
      </c>
      <c r="V701" s="7" t="s">
        <v>1336</v>
      </c>
      <c r="W701" s="7" t="s">
        <v>128</v>
      </c>
      <c r="X701" s="7" t="s">
        <v>1751</v>
      </c>
      <c r="Y701" s="10">
        <f t="shared" si="21"/>
        <v>720</v>
      </c>
      <c r="AH701" s="5" t="e">
        <f>VLOOKUP(B701,[1]DL!$BK:$BP,6,0)</f>
        <v>#N/A</v>
      </c>
    </row>
    <row r="702" spans="1:34" ht="14.5" hidden="1">
      <c r="A702" s="5">
        <v>699</v>
      </c>
      <c r="B702" s="5" t="str">
        <f t="shared" si="20"/>
        <v>07AAEPA7126M1ZRJDA/DN/26-27/25</v>
      </c>
      <c r="C702" s="1" t="s">
        <v>1301</v>
      </c>
      <c r="D702" s="1" t="s">
        <v>1302</v>
      </c>
      <c r="E702" s="1" t="s">
        <v>1337</v>
      </c>
      <c r="F702" s="1" t="s">
        <v>24</v>
      </c>
      <c r="G702" s="1" t="s">
        <v>89</v>
      </c>
      <c r="H702" s="2">
        <v>3540</v>
      </c>
      <c r="I702" s="1" t="s">
        <v>44</v>
      </c>
      <c r="J702" s="3" t="s">
        <v>27</v>
      </c>
      <c r="K702" s="2">
        <v>3000</v>
      </c>
      <c r="L702" s="2">
        <v>0</v>
      </c>
      <c r="M702" s="2">
        <v>270</v>
      </c>
      <c r="N702" s="2">
        <v>270</v>
      </c>
      <c r="O702" s="2">
        <v>0</v>
      </c>
      <c r="P702" s="7" t="s">
        <v>28</v>
      </c>
      <c r="Q702" s="1" t="s">
        <v>29</v>
      </c>
      <c r="R702" s="3" t="s">
        <v>45</v>
      </c>
      <c r="S702" s="1" t="s">
        <v>46</v>
      </c>
      <c r="T702" s="4" t="s">
        <v>31</v>
      </c>
      <c r="U702" s="7" t="s">
        <v>32</v>
      </c>
      <c r="V702" s="7" t="s">
        <v>1338</v>
      </c>
      <c r="W702" s="7" t="s">
        <v>128</v>
      </c>
      <c r="X702" s="7" t="s">
        <v>1751</v>
      </c>
      <c r="Y702" s="10">
        <f t="shared" si="21"/>
        <v>540</v>
      </c>
      <c r="AH702" s="5" t="e">
        <f>VLOOKUP(B702,[1]DL!$BK:$BP,6,0)</f>
        <v>#N/A</v>
      </c>
    </row>
    <row r="703" spans="1:34" ht="14.5" hidden="1">
      <c r="A703" s="5">
        <v>700</v>
      </c>
      <c r="B703" s="5" t="str">
        <f t="shared" si="20"/>
        <v>07AAEPA7126M1ZRJDA/DN/26-27/26</v>
      </c>
      <c r="C703" s="1" t="s">
        <v>1301</v>
      </c>
      <c r="D703" s="1" t="s">
        <v>1302</v>
      </c>
      <c r="E703" s="1" t="s">
        <v>1339</v>
      </c>
      <c r="F703" s="1" t="s">
        <v>24</v>
      </c>
      <c r="G703" s="1" t="s">
        <v>89</v>
      </c>
      <c r="H703" s="2">
        <v>944</v>
      </c>
      <c r="I703" s="1" t="s">
        <v>44</v>
      </c>
      <c r="J703" s="3" t="s">
        <v>27</v>
      </c>
      <c r="K703" s="2">
        <v>800</v>
      </c>
      <c r="L703" s="2">
        <v>0</v>
      </c>
      <c r="M703" s="2">
        <v>72</v>
      </c>
      <c r="N703" s="2">
        <v>72</v>
      </c>
      <c r="O703" s="2">
        <v>0</v>
      </c>
      <c r="P703" s="7" t="s">
        <v>28</v>
      </c>
      <c r="Q703" s="1" t="s">
        <v>29</v>
      </c>
      <c r="R703" s="3" t="s">
        <v>45</v>
      </c>
      <c r="S703" s="1" t="s">
        <v>46</v>
      </c>
      <c r="T703" s="4" t="s">
        <v>31</v>
      </c>
      <c r="U703" s="7" t="s">
        <v>32</v>
      </c>
      <c r="V703" s="7" t="s">
        <v>1340</v>
      </c>
      <c r="W703" s="7" t="s">
        <v>128</v>
      </c>
      <c r="X703" s="7" t="s">
        <v>1751</v>
      </c>
      <c r="Y703" s="10">
        <f t="shared" si="21"/>
        <v>144</v>
      </c>
      <c r="AH703" s="5" t="e">
        <f>VLOOKUP(B703,[1]DL!$BK:$BP,6,0)</f>
        <v>#N/A</v>
      </c>
    </row>
    <row r="704" spans="1:34" ht="14.5" hidden="1">
      <c r="A704" s="5">
        <v>701</v>
      </c>
      <c r="B704" s="5" t="str">
        <f t="shared" si="20"/>
        <v>07AAEPA7126M1ZRJDA/DN/26-27/27</v>
      </c>
      <c r="C704" s="1" t="s">
        <v>1301</v>
      </c>
      <c r="D704" s="1" t="s">
        <v>1302</v>
      </c>
      <c r="E704" s="1" t="s">
        <v>1341</v>
      </c>
      <c r="F704" s="1" t="s">
        <v>24</v>
      </c>
      <c r="G704" s="1" t="s">
        <v>89</v>
      </c>
      <c r="H704" s="2">
        <v>1770</v>
      </c>
      <c r="I704" s="1" t="s">
        <v>44</v>
      </c>
      <c r="J704" s="3" t="s">
        <v>27</v>
      </c>
      <c r="K704" s="2">
        <v>1500</v>
      </c>
      <c r="L704" s="2">
        <v>0</v>
      </c>
      <c r="M704" s="2">
        <v>135</v>
      </c>
      <c r="N704" s="2">
        <v>135</v>
      </c>
      <c r="O704" s="2">
        <v>0</v>
      </c>
      <c r="P704" s="7" t="s">
        <v>28</v>
      </c>
      <c r="Q704" s="1" t="s">
        <v>29</v>
      </c>
      <c r="R704" s="3" t="s">
        <v>45</v>
      </c>
      <c r="S704" s="1" t="s">
        <v>46</v>
      </c>
      <c r="T704" s="4" t="s">
        <v>31</v>
      </c>
      <c r="U704" s="7" t="s">
        <v>32</v>
      </c>
      <c r="V704" s="7" t="s">
        <v>1342</v>
      </c>
      <c r="W704" s="7" t="s">
        <v>128</v>
      </c>
      <c r="X704" s="7" t="s">
        <v>1751</v>
      </c>
      <c r="Y704" s="10">
        <f t="shared" si="21"/>
        <v>270</v>
      </c>
      <c r="AH704" s="5" t="e">
        <f>VLOOKUP(B704,[1]DL!$BK:$BP,6,0)</f>
        <v>#N/A</v>
      </c>
    </row>
    <row r="705" spans="1:34" ht="14.5" hidden="1">
      <c r="A705" s="5">
        <v>702</v>
      </c>
      <c r="B705" s="5" t="str">
        <f t="shared" si="20"/>
        <v>07AAEPA7126M1ZRJDA/DN/26-27/28</v>
      </c>
      <c r="C705" s="1" t="s">
        <v>1301</v>
      </c>
      <c r="D705" s="1" t="s">
        <v>1302</v>
      </c>
      <c r="E705" s="1" t="s">
        <v>1343</v>
      </c>
      <c r="F705" s="1" t="s">
        <v>24</v>
      </c>
      <c r="G705" s="1" t="s">
        <v>89</v>
      </c>
      <c r="H705" s="2">
        <v>7080</v>
      </c>
      <c r="I705" s="1" t="s">
        <v>44</v>
      </c>
      <c r="J705" s="3" t="s">
        <v>27</v>
      </c>
      <c r="K705" s="2">
        <v>6000</v>
      </c>
      <c r="L705" s="2">
        <v>0</v>
      </c>
      <c r="M705" s="2">
        <v>540</v>
      </c>
      <c r="N705" s="2">
        <v>540</v>
      </c>
      <c r="O705" s="2">
        <v>0</v>
      </c>
      <c r="P705" s="7" t="s">
        <v>28</v>
      </c>
      <c r="Q705" s="1" t="s">
        <v>29</v>
      </c>
      <c r="R705" s="3" t="s">
        <v>45</v>
      </c>
      <c r="S705" s="1" t="s">
        <v>46</v>
      </c>
      <c r="T705" s="4" t="s">
        <v>31</v>
      </c>
      <c r="U705" s="7" t="s">
        <v>32</v>
      </c>
      <c r="V705" s="7" t="s">
        <v>1344</v>
      </c>
      <c r="W705" s="7" t="s">
        <v>128</v>
      </c>
      <c r="X705" s="7" t="s">
        <v>1751</v>
      </c>
      <c r="Y705" s="10">
        <f t="shared" si="21"/>
        <v>1080</v>
      </c>
      <c r="AH705" s="5" t="e">
        <f>VLOOKUP(B705,[1]DL!$BK:$BP,6,0)</f>
        <v>#N/A</v>
      </c>
    </row>
    <row r="706" spans="1:34" ht="14.5" hidden="1">
      <c r="A706" s="5">
        <v>703</v>
      </c>
      <c r="B706" s="5" t="str">
        <f t="shared" si="20"/>
        <v>07AAEPA7126M1ZRJDA/DN/26-27/29</v>
      </c>
      <c r="C706" s="1" t="s">
        <v>1301</v>
      </c>
      <c r="D706" s="1" t="s">
        <v>1302</v>
      </c>
      <c r="E706" s="1" t="s">
        <v>1345</v>
      </c>
      <c r="F706" s="1" t="s">
        <v>24</v>
      </c>
      <c r="G706" s="1" t="s">
        <v>89</v>
      </c>
      <c r="H706" s="2">
        <v>1770</v>
      </c>
      <c r="I706" s="1" t="s">
        <v>44</v>
      </c>
      <c r="J706" s="3" t="s">
        <v>27</v>
      </c>
      <c r="K706" s="2">
        <v>1500</v>
      </c>
      <c r="L706" s="2">
        <v>0</v>
      </c>
      <c r="M706" s="2">
        <v>135</v>
      </c>
      <c r="N706" s="2">
        <v>135</v>
      </c>
      <c r="O706" s="2">
        <v>0</v>
      </c>
      <c r="P706" s="7" t="s">
        <v>28</v>
      </c>
      <c r="Q706" s="1" t="s">
        <v>29</v>
      </c>
      <c r="R706" s="3" t="s">
        <v>45</v>
      </c>
      <c r="S706" s="1" t="s">
        <v>46</v>
      </c>
      <c r="T706" s="4" t="s">
        <v>31</v>
      </c>
      <c r="U706" s="7" t="s">
        <v>32</v>
      </c>
      <c r="V706" s="7" t="s">
        <v>1346</v>
      </c>
      <c r="W706" s="7" t="s">
        <v>128</v>
      </c>
      <c r="X706" s="7" t="s">
        <v>1751</v>
      </c>
      <c r="Y706" s="10">
        <f t="shared" si="21"/>
        <v>270</v>
      </c>
      <c r="AH706" s="5" t="e">
        <f>VLOOKUP(B706,[1]DL!$BK:$BP,6,0)</f>
        <v>#N/A</v>
      </c>
    </row>
    <row r="707" spans="1:34" ht="14.5" hidden="1">
      <c r="A707" s="5">
        <v>704</v>
      </c>
      <c r="B707" s="5" t="str">
        <f t="shared" si="20"/>
        <v>07AAEPA7126M1ZRJDA/DN/26-27/3</v>
      </c>
      <c r="C707" s="1" t="s">
        <v>1301</v>
      </c>
      <c r="D707" s="1" t="s">
        <v>1302</v>
      </c>
      <c r="E707" s="1" t="s">
        <v>1347</v>
      </c>
      <c r="F707" s="1" t="s">
        <v>24</v>
      </c>
      <c r="G707" s="1" t="s">
        <v>89</v>
      </c>
      <c r="H707" s="2">
        <v>14750</v>
      </c>
      <c r="I707" s="1" t="s">
        <v>44</v>
      </c>
      <c r="J707" s="3" t="s">
        <v>27</v>
      </c>
      <c r="K707" s="2">
        <v>12500</v>
      </c>
      <c r="L707" s="2">
        <v>0</v>
      </c>
      <c r="M707" s="2">
        <v>1125</v>
      </c>
      <c r="N707" s="2">
        <v>1125</v>
      </c>
      <c r="O707" s="2">
        <v>0</v>
      </c>
      <c r="P707" s="7" t="s">
        <v>28</v>
      </c>
      <c r="Q707" s="1" t="s">
        <v>29</v>
      </c>
      <c r="R707" s="3" t="s">
        <v>45</v>
      </c>
      <c r="S707" s="1" t="s">
        <v>46</v>
      </c>
      <c r="T707" s="4" t="s">
        <v>31</v>
      </c>
      <c r="U707" s="7" t="s">
        <v>32</v>
      </c>
      <c r="V707" s="7" t="s">
        <v>1348</v>
      </c>
      <c r="W707" s="7" t="s">
        <v>128</v>
      </c>
      <c r="X707" s="7" t="s">
        <v>1751</v>
      </c>
      <c r="Y707" s="10">
        <f t="shared" si="21"/>
        <v>2250</v>
      </c>
      <c r="AH707" s="5" t="e">
        <f>VLOOKUP(B707,[1]DL!$BK:$BP,6,0)</f>
        <v>#N/A</v>
      </c>
    </row>
    <row r="708" spans="1:34" ht="14.5" hidden="1">
      <c r="A708" s="5">
        <v>705</v>
      </c>
      <c r="B708" s="5" t="str">
        <f t="shared" si="20"/>
        <v>07AAEPA7126M1ZRJDA/DN/26-27/30</v>
      </c>
      <c r="C708" s="1" t="s">
        <v>1301</v>
      </c>
      <c r="D708" s="1" t="s">
        <v>1302</v>
      </c>
      <c r="E708" s="1" t="s">
        <v>1349</v>
      </c>
      <c r="F708" s="1" t="s">
        <v>24</v>
      </c>
      <c r="G708" s="1" t="s">
        <v>89</v>
      </c>
      <c r="H708" s="2">
        <v>4720</v>
      </c>
      <c r="I708" s="1" t="s">
        <v>44</v>
      </c>
      <c r="J708" s="3" t="s">
        <v>27</v>
      </c>
      <c r="K708" s="2">
        <v>4000</v>
      </c>
      <c r="L708" s="2">
        <v>0</v>
      </c>
      <c r="M708" s="2">
        <v>360</v>
      </c>
      <c r="N708" s="2">
        <v>360</v>
      </c>
      <c r="O708" s="2">
        <v>0</v>
      </c>
      <c r="P708" s="7" t="s">
        <v>28</v>
      </c>
      <c r="Q708" s="1" t="s">
        <v>29</v>
      </c>
      <c r="R708" s="3" t="s">
        <v>45</v>
      </c>
      <c r="S708" s="1" t="s">
        <v>46</v>
      </c>
      <c r="T708" s="4" t="s">
        <v>31</v>
      </c>
      <c r="U708" s="7" t="s">
        <v>32</v>
      </c>
      <c r="V708" s="7" t="s">
        <v>1350</v>
      </c>
      <c r="W708" s="7" t="s">
        <v>128</v>
      </c>
      <c r="X708" s="7" t="s">
        <v>1751</v>
      </c>
      <c r="Y708" s="10">
        <f t="shared" si="21"/>
        <v>720</v>
      </c>
      <c r="AH708" s="5" t="e">
        <f>VLOOKUP(B708,[1]DL!$BK:$BP,6,0)</f>
        <v>#N/A</v>
      </c>
    </row>
    <row r="709" spans="1:34" ht="14.5" hidden="1">
      <c r="A709" s="5">
        <v>706</v>
      </c>
      <c r="B709" s="5" t="str">
        <f t="shared" si="22" ref="B709:B772">C709&amp;E709</f>
        <v>07AAEPA7126M1ZRJDA/DN/26-27/31</v>
      </c>
      <c r="C709" s="1" t="s">
        <v>1301</v>
      </c>
      <c r="D709" s="1" t="s">
        <v>1302</v>
      </c>
      <c r="E709" s="1" t="s">
        <v>1351</v>
      </c>
      <c r="F709" s="1" t="s">
        <v>24</v>
      </c>
      <c r="G709" s="1" t="s">
        <v>89</v>
      </c>
      <c r="H709" s="2">
        <v>3540</v>
      </c>
      <c r="I709" s="1" t="s">
        <v>44</v>
      </c>
      <c r="J709" s="3" t="s">
        <v>27</v>
      </c>
      <c r="K709" s="2">
        <v>3000</v>
      </c>
      <c r="L709" s="2">
        <v>0</v>
      </c>
      <c r="M709" s="2">
        <v>270</v>
      </c>
      <c r="N709" s="2">
        <v>270</v>
      </c>
      <c r="O709" s="2">
        <v>0</v>
      </c>
      <c r="P709" s="7" t="s">
        <v>28</v>
      </c>
      <c r="Q709" s="1" t="s">
        <v>29</v>
      </c>
      <c r="R709" s="3" t="s">
        <v>45</v>
      </c>
      <c r="S709" s="1" t="s">
        <v>46</v>
      </c>
      <c r="T709" s="4" t="s">
        <v>31</v>
      </c>
      <c r="U709" s="7" t="s">
        <v>32</v>
      </c>
      <c r="V709" s="7" t="s">
        <v>1352</v>
      </c>
      <c r="W709" s="7" t="s">
        <v>128</v>
      </c>
      <c r="X709" s="7" t="s">
        <v>1751</v>
      </c>
      <c r="Y709" s="10">
        <f t="shared" si="23" ref="Y709:Y772">L709+M709+N709+O709</f>
        <v>540</v>
      </c>
      <c r="AH709" s="5" t="e">
        <f>VLOOKUP(B709,[1]DL!$BK:$BP,6,0)</f>
        <v>#N/A</v>
      </c>
    </row>
    <row r="710" spans="1:34" ht="14.5" hidden="1">
      <c r="A710" s="5">
        <v>707</v>
      </c>
      <c r="B710" s="5" t="str">
        <f t="shared" si="22"/>
        <v>07AAEPA7126M1ZRJDA/DN/26-27/32</v>
      </c>
      <c r="C710" s="1" t="s">
        <v>1301</v>
      </c>
      <c r="D710" s="1" t="s">
        <v>1302</v>
      </c>
      <c r="E710" s="1" t="s">
        <v>1353</v>
      </c>
      <c r="F710" s="1" t="s">
        <v>24</v>
      </c>
      <c r="G710" s="1" t="s">
        <v>89</v>
      </c>
      <c r="H710" s="2">
        <v>2478</v>
      </c>
      <c r="I710" s="1" t="s">
        <v>44</v>
      </c>
      <c r="J710" s="3" t="s">
        <v>27</v>
      </c>
      <c r="K710" s="2">
        <v>2100</v>
      </c>
      <c r="L710" s="2">
        <v>0</v>
      </c>
      <c r="M710" s="2">
        <v>189</v>
      </c>
      <c r="N710" s="2">
        <v>189</v>
      </c>
      <c r="O710" s="2">
        <v>0</v>
      </c>
      <c r="P710" s="7" t="s">
        <v>28</v>
      </c>
      <c r="Q710" s="1" t="s">
        <v>29</v>
      </c>
      <c r="R710" s="3" t="s">
        <v>45</v>
      </c>
      <c r="S710" s="1" t="s">
        <v>46</v>
      </c>
      <c r="T710" s="4" t="s">
        <v>31</v>
      </c>
      <c r="U710" s="7" t="s">
        <v>32</v>
      </c>
      <c r="V710" s="7" t="s">
        <v>1354</v>
      </c>
      <c r="W710" s="7" t="s">
        <v>128</v>
      </c>
      <c r="X710" s="7" t="s">
        <v>1751</v>
      </c>
      <c r="Y710" s="10">
        <f t="shared" si="23"/>
        <v>378</v>
      </c>
      <c r="AH710" s="5" t="e">
        <f>VLOOKUP(B710,[1]DL!$BK:$BP,6,0)</f>
        <v>#N/A</v>
      </c>
    </row>
    <row r="711" spans="1:34" ht="14.5" hidden="1">
      <c r="A711" s="5">
        <v>708</v>
      </c>
      <c r="B711" s="5" t="str">
        <f t="shared" si="22"/>
        <v>07AAEPA7126M1ZRJDA/DN/26-27/33</v>
      </c>
      <c r="C711" s="1" t="s">
        <v>1301</v>
      </c>
      <c r="D711" s="1" t="s">
        <v>1302</v>
      </c>
      <c r="E711" s="1" t="s">
        <v>1355</v>
      </c>
      <c r="F711" s="1" t="s">
        <v>24</v>
      </c>
      <c r="G711" s="1" t="s">
        <v>89</v>
      </c>
      <c r="H711" s="2">
        <v>4985.5</v>
      </c>
      <c r="I711" s="1" t="s">
        <v>44</v>
      </c>
      <c r="J711" s="3" t="s">
        <v>27</v>
      </c>
      <c r="K711" s="2">
        <v>4225</v>
      </c>
      <c r="L711" s="2">
        <v>0</v>
      </c>
      <c r="M711" s="2">
        <v>380.25</v>
      </c>
      <c r="N711" s="2">
        <v>380.25</v>
      </c>
      <c r="O711" s="2">
        <v>0</v>
      </c>
      <c r="P711" s="7" t="s">
        <v>28</v>
      </c>
      <c r="Q711" s="1" t="s">
        <v>29</v>
      </c>
      <c r="R711" s="3" t="s">
        <v>45</v>
      </c>
      <c r="S711" s="1" t="s">
        <v>46</v>
      </c>
      <c r="T711" s="4" t="s">
        <v>31</v>
      </c>
      <c r="U711" s="7" t="s">
        <v>32</v>
      </c>
      <c r="V711" s="7" t="s">
        <v>1356</v>
      </c>
      <c r="W711" s="7" t="s">
        <v>128</v>
      </c>
      <c r="X711" s="7" t="s">
        <v>1751</v>
      </c>
      <c r="Y711" s="10">
        <f t="shared" si="23"/>
        <v>760.5</v>
      </c>
      <c r="AH711" s="5" t="e">
        <f>VLOOKUP(B711,[1]DL!$BK:$BP,6,0)</f>
        <v>#N/A</v>
      </c>
    </row>
    <row r="712" spans="1:34" ht="14.5" hidden="1">
      <c r="A712" s="5">
        <v>709</v>
      </c>
      <c r="B712" s="5" t="str">
        <f t="shared" si="22"/>
        <v>07AAEPA7126M1ZRJDA/DN/26-27/34</v>
      </c>
      <c r="C712" s="1" t="s">
        <v>1301</v>
      </c>
      <c r="D712" s="1" t="s">
        <v>1302</v>
      </c>
      <c r="E712" s="1" t="s">
        <v>1357</v>
      </c>
      <c r="F712" s="1" t="s">
        <v>24</v>
      </c>
      <c r="G712" s="1" t="s">
        <v>89</v>
      </c>
      <c r="H712" s="2">
        <v>1770</v>
      </c>
      <c r="I712" s="1" t="s">
        <v>44</v>
      </c>
      <c r="J712" s="3" t="s">
        <v>27</v>
      </c>
      <c r="K712" s="2">
        <v>1500</v>
      </c>
      <c r="L712" s="2">
        <v>0</v>
      </c>
      <c r="M712" s="2">
        <v>135</v>
      </c>
      <c r="N712" s="2">
        <v>135</v>
      </c>
      <c r="O712" s="2">
        <v>0</v>
      </c>
      <c r="P712" s="7" t="s">
        <v>28</v>
      </c>
      <c r="Q712" s="1" t="s">
        <v>29</v>
      </c>
      <c r="R712" s="3" t="s">
        <v>45</v>
      </c>
      <c r="S712" s="1" t="s">
        <v>46</v>
      </c>
      <c r="T712" s="4" t="s">
        <v>31</v>
      </c>
      <c r="U712" s="7" t="s">
        <v>32</v>
      </c>
      <c r="V712" s="7" t="s">
        <v>1358</v>
      </c>
      <c r="W712" s="7" t="s">
        <v>128</v>
      </c>
      <c r="X712" s="7" t="s">
        <v>1751</v>
      </c>
      <c r="Y712" s="10">
        <f t="shared" si="23"/>
        <v>270</v>
      </c>
      <c r="AH712" s="5" t="e">
        <f>VLOOKUP(B712,[1]DL!$BK:$BP,6,0)</f>
        <v>#N/A</v>
      </c>
    </row>
    <row r="713" spans="1:34" ht="14.5" hidden="1">
      <c r="A713" s="5">
        <v>710</v>
      </c>
      <c r="B713" s="5" t="str">
        <f t="shared" si="22"/>
        <v>07AAEPA7126M1ZRJDA/DN/26-27/35</v>
      </c>
      <c r="C713" s="1" t="s">
        <v>1301</v>
      </c>
      <c r="D713" s="1" t="s">
        <v>1302</v>
      </c>
      <c r="E713" s="1" t="s">
        <v>1359</v>
      </c>
      <c r="F713" s="1" t="s">
        <v>24</v>
      </c>
      <c r="G713" s="1" t="s">
        <v>89</v>
      </c>
      <c r="H713" s="2">
        <v>3510.5</v>
      </c>
      <c r="I713" s="1" t="s">
        <v>44</v>
      </c>
      <c r="J713" s="3" t="s">
        <v>27</v>
      </c>
      <c r="K713" s="2">
        <v>2975</v>
      </c>
      <c r="L713" s="2">
        <v>0</v>
      </c>
      <c r="M713" s="2">
        <v>267.75</v>
      </c>
      <c r="N713" s="2">
        <v>267.75</v>
      </c>
      <c r="O713" s="2">
        <v>0</v>
      </c>
      <c r="P713" s="7" t="s">
        <v>28</v>
      </c>
      <c r="Q713" s="1" t="s">
        <v>29</v>
      </c>
      <c r="R713" s="3" t="s">
        <v>45</v>
      </c>
      <c r="S713" s="1" t="s">
        <v>46</v>
      </c>
      <c r="T713" s="4" t="s">
        <v>31</v>
      </c>
      <c r="U713" s="7" t="s">
        <v>32</v>
      </c>
      <c r="V713" s="7" t="s">
        <v>1360</v>
      </c>
      <c r="W713" s="7" t="s">
        <v>128</v>
      </c>
      <c r="X713" s="7" t="s">
        <v>1751</v>
      </c>
      <c r="Y713" s="10">
        <f t="shared" si="23"/>
        <v>535.5</v>
      </c>
      <c r="AH713" s="5" t="e">
        <f>VLOOKUP(B713,[1]DL!$BK:$BP,6,0)</f>
        <v>#N/A</v>
      </c>
    </row>
    <row r="714" spans="1:34" ht="14.5" hidden="1">
      <c r="A714" s="5">
        <v>711</v>
      </c>
      <c r="B714" s="5" t="str">
        <f t="shared" si="22"/>
        <v>07AAEPA7126M1ZRJDA/DN/26-27/36</v>
      </c>
      <c r="C714" s="1" t="s">
        <v>1301</v>
      </c>
      <c r="D714" s="1" t="s">
        <v>1302</v>
      </c>
      <c r="E714" s="1" t="s">
        <v>1361</v>
      </c>
      <c r="F714" s="1" t="s">
        <v>24</v>
      </c>
      <c r="G714" s="1" t="s">
        <v>89</v>
      </c>
      <c r="H714" s="2">
        <v>1858.5</v>
      </c>
      <c r="I714" s="1" t="s">
        <v>44</v>
      </c>
      <c r="J714" s="3" t="s">
        <v>27</v>
      </c>
      <c r="K714" s="2">
        <v>1575</v>
      </c>
      <c r="L714" s="2">
        <v>0</v>
      </c>
      <c r="M714" s="2">
        <v>141.75</v>
      </c>
      <c r="N714" s="2">
        <v>141.75</v>
      </c>
      <c r="O714" s="2">
        <v>0</v>
      </c>
      <c r="P714" s="7" t="s">
        <v>28</v>
      </c>
      <c r="Q714" s="1" t="s">
        <v>29</v>
      </c>
      <c r="R714" s="3" t="s">
        <v>45</v>
      </c>
      <c r="S714" s="1" t="s">
        <v>46</v>
      </c>
      <c r="T714" s="4" t="s">
        <v>31</v>
      </c>
      <c r="U714" s="7" t="s">
        <v>32</v>
      </c>
      <c r="V714" s="7" t="s">
        <v>1362</v>
      </c>
      <c r="W714" s="7" t="s">
        <v>128</v>
      </c>
      <c r="X714" s="7" t="s">
        <v>1751</v>
      </c>
      <c r="Y714" s="10">
        <f t="shared" si="23"/>
        <v>283.5</v>
      </c>
      <c r="AH714" s="5" t="e">
        <f>VLOOKUP(B714,[1]DL!$BK:$BP,6,0)</f>
        <v>#N/A</v>
      </c>
    </row>
    <row r="715" spans="1:34" ht="14.5" hidden="1">
      <c r="A715" s="5">
        <v>712</v>
      </c>
      <c r="B715" s="5" t="str">
        <f t="shared" si="22"/>
        <v>07AAEPA7126M1ZRJDA/DN/26-27/37</v>
      </c>
      <c r="C715" s="1" t="s">
        <v>1301</v>
      </c>
      <c r="D715" s="1" t="s">
        <v>1302</v>
      </c>
      <c r="E715" s="1" t="s">
        <v>1363</v>
      </c>
      <c r="F715" s="1" t="s">
        <v>24</v>
      </c>
      <c r="G715" s="1" t="s">
        <v>89</v>
      </c>
      <c r="H715" s="2">
        <v>914.5</v>
      </c>
      <c r="I715" s="1" t="s">
        <v>44</v>
      </c>
      <c r="J715" s="3" t="s">
        <v>27</v>
      </c>
      <c r="K715" s="2">
        <v>775</v>
      </c>
      <c r="L715" s="2">
        <v>0</v>
      </c>
      <c r="M715" s="2">
        <v>69.75</v>
      </c>
      <c r="N715" s="2">
        <v>69.75</v>
      </c>
      <c r="O715" s="2">
        <v>0</v>
      </c>
      <c r="P715" s="7" t="s">
        <v>28</v>
      </c>
      <c r="Q715" s="1" t="s">
        <v>29</v>
      </c>
      <c r="R715" s="3" t="s">
        <v>45</v>
      </c>
      <c r="S715" s="1" t="s">
        <v>46</v>
      </c>
      <c r="T715" s="4" t="s">
        <v>31</v>
      </c>
      <c r="U715" s="7" t="s">
        <v>32</v>
      </c>
      <c r="V715" s="7" t="s">
        <v>1364</v>
      </c>
      <c r="W715" s="7" t="s">
        <v>128</v>
      </c>
      <c r="X715" s="7" t="s">
        <v>1751</v>
      </c>
      <c r="Y715" s="10">
        <f t="shared" si="23"/>
        <v>139.5</v>
      </c>
      <c r="AH715" s="5" t="e">
        <f>VLOOKUP(B715,[1]DL!$BK:$BP,6,0)</f>
        <v>#N/A</v>
      </c>
    </row>
    <row r="716" spans="1:34" ht="14.5" hidden="1">
      <c r="A716" s="5">
        <v>713</v>
      </c>
      <c r="B716" s="5" t="str">
        <f t="shared" si="22"/>
        <v>07AAEPA7126M1ZRJDA/DN/26-27/38</v>
      </c>
      <c r="C716" s="1" t="s">
        <v>1301</v>
      </c>
      <c r="D716" s="1" t="s">
        <v>1302</v>
      </c>
      <c r="E716" s="1" t="s">
        <v>1365</v>
      </c>
      <c r="F716" s="1" t="s">
        <v>24</v>
      </c>
      <c r="G716" s="1" t="s">
        <v>89</v>
      </c>
      <c r="H716" s="2">
        <v>619.5</v>
      </c>
      <c r="I716" s="1" t="s">
        <v>44</v>
      </c>
      <c r="J716" s="3" t="s">
        <v>27</v>
      </c>
      <c r="K716" s="2">
        <v>525</v>
      </c>
      <c r="L716" s="2">
        <v>0</v>
      </c>
      <c r="M716" s="2">
        <v>47.25</v>
      </c>
      <c r="N716" s="2">
        <v>47.25</v>
      </c>
      <c r="O716" s="2">
        <v>0</v>
      </c>
      <c r="P716" s="7" t="s">
        <v>28</v>
      </c>
      <c r="Q716" s="1" t="s">
        <v>29</v>
      </c>
      <c r="R716" s="3" t="s">
        <v>45</v>
      </c>
      <c r="S716" s="1" t="s">
        <v>46</v>
      </c>
      <c r="T716" s="4" t="s">
        <v>31</v>
      </c>
      <c r="U716" s="7" t="s">
        <v>32</v>
      </c>
      <c r="V716" s="7" t="s">
        <v>1366</v>
      </c>
      <c r="W716" s="7" t="s">
        <v>128</v>
      </c>
      <c r="X716" s="7" t="s">
        <v>1751</v>
      </c>
      <c r="Y716" s="10">
        <f t="shared" si="23"/>
        <v>94.5</v>
      </c>
      <c r="AH716" s="5" t="e">
        <f>VLOOKUP(B716,[1]DL!$BK:$BP,6,0)</f>
        <v>#N/A</v>
      </c>
    </row>
    <row r="717" spans="1:34" ht="14.5" hidden="1">
      <c r="A717" s="5">
        <v>714</v>
      </c>
      <c r="B717" s="5" t="str">
        <f t="shared" si="22"/>
        <v>07AAEPA7126M1ZRJDA/DN/26-27/39</v>
      </c>
      <c r="C717" s="1" t="s">
        <v>1301</v>
      </c>
      <c r="D717" s="1" t="s">
        <v>1302</v>
      </c>
      <c r="E717" s="1" t="s">
        <v>1367</v>
      </c>
      <c r="F717" s="1" t="s">
        <v>24</v>
      </c>
      <c r="G717" s="1" t="s">
        <v>89</v>
      </c>
      <c r="H717" s="2">
        <v>1770</v>
      </c>
      <c r="I717" s="1" t="s">
        <v>44</v>
      </c>
      <c r="J717" s="3" t="s">
        <v>27</v>
      </c>
      <c r="K717" s="2">
        <v>1500</v>
      </c>
      <c r="L717" s="2">
        <v>0</v>
      </c>
      <c r="M717" s="2">
        <v>135</v>
      </c>
      <c r="N717" s="2">
        <v>135</v>
      </c>
      <c r="O717" s="2">
        <v>0</v>
      </c>
      <c r="P717" s="7" t="s">
        <v>28</v>
      </c>
      <c r="Q717" s="1" t="s">
        <v>29</v>
      </c>
      <c r="R717" s="3" t="s">
        <v>45</v>
      </c>
      <c r="S717" s="1" t="s">
        <v>46</v>
      </c>
      <c r="T717" s="4" t="s">
        <v>31</v>
      </c>
      <c r="U717" s="7" t="s">
        <v>32</v>
      </c>
      <c r="V717" s="7" t="s">
        <v>1368</v>
      </c>
      <c r="W717" s="7" t="s">
        <v>128</v>
      </c>
      <c r="X717" s="7" t="s">
        <v>1751</v>
      </c>
      <c r="Y717" s="10">
        <f t="shared" si="23"/>
        <v>270</v>
      </c>
      <c r="AH717" s="5" t="e">
        <f>VLOOKUP(B717,[1]DL!$BK:$BP,6,0)</f>
        <v>#N/A</v>
      </c>
    </row>
    <row r="718" spans="1:34" ht="14.5" hidden="1">
      <c r="A718" s="5">
        <v>715</v>
      </c>
      <c r="B718" s="5" t="str">
        <f t="shared" si="22"/>
        <v>07AAEPA7126M1ZRJDA/DN/26-27/4</v>
      </c>
      <c r="C718" s="1" t="s">
        <v>1301</v>
      </c>
      <c r="D718" s="1" t="s">
        <v>1302</v>
      </c>
      <c r="E718" s="1" t="s">
        <v>1369</v>
      </c>
      <c r="F718" s="1" t="s">
        <v>24</v>
      </c>
      <c r="G718" s="1" t="s">
        <v>89</v>
      </c>
      <c r="H718" s="2">
        <v>14750</v>
      </c>
      <c r="I718" s="1" t="s">
        <v>44</v>
      </c>
      <c r="J718" s="3" t="s">
        <v>27</v>
      </c>
      <c r="K718" s="2">
        <v>12500</v>
      </c>
      <c r="L718" s="2">
        <v>0</v>
      </c>
      <c r="M718" s="2">
        <v>1125</v>
      </c>
      <c r="N718" s="2">
        <v>1125</v>
      </c>
      <c r="O718" s="2">
        <v>0</v>
      </c>
      <c r="P718" s="7" t="s">
        <v>28</v>
      </c>
      <c r="Q718" s="1" t="s">
        <v>29</v>
      </c>
      <c r="R718" s="3" t="s">
        <v>45</v>
      </c>
      <c r="S718" s="1" t="s">
        <v>46</v>
      </c>
      <c r="T718" s="4" t="s">
        <v>31</v>
      </c>
      <c r="U718" s="7" t="s">
        <v>32</v>
      </c>
      <c r="V718" s="7" t="s">
        <v>1370</v>
      </c>
      <c r="W718" s="7" t="s">
        <v>128</v>
      </c>
      <c r="X718" s="7" t="s">
        <v>1751</v>
      </c>
      <c r="Y718" s="10">
        <f t="shared" si="23"/>
        <v>2250</v>
      </c>
      <c r="AH718" s="5" t="e">
        <f>VLOOKUP(B718,[1]DL!$BK:$BP,6,0)</f>
        <v>#N/A</v>
      </c>
    </row>
    <row r="719" spans="1:34" ht="14.5" hidden="1">
      <c r="A719" s="5">
        <v>716</v>
      </c>
      <c r="B719" s="5" t="str">
        <f t="shared" si="22"/>
        <v>07AAEPA7126M1ZRJDA/DN/26-27/40</v>
      </c>
      <c r="C719" s="1" t="s">
        <v>1301</v>
      </c>
      <c r="D719" s="1" t="s">
        <v>1302</v>
      </c>
      <c r="E719" s="1" t="s">
        <v>1371</v>
      </c>
      <c r="F719" s="1" t="s">
        <v>24</v>
      </c>
      <c r="G719" s="1" t="s">
        <v>89</v>
      </c>
      <c r="H719" s="2">
        <v>2891</v>
      </c>
      <c r="I719" s="1" t="s">
        <v>44</v>
      </c>
      <c r="J719" s="3" t="s">
        <v>27</v>
      </c>
      <c r="K719" s="2">
        <v>2450</v>
      </c>
      <c r="L719" s="2">
        <v>0</v>
      </c>
      <c r="M719" s="2">
        <v>220.5</v>
      </c>
      <c r="N719" s="2">
        <v>220.5</v>
      </c>
      <c r="O719" s="2">
        <v>0</v>
      </c>
      <c r="P719" s="7" t="s">
        <v>28</v>
      </c>
      <c r="Q719" s="1" t="s">
        <v>29</v>
      </c>
      <c r="R719" s="3" t="s">
        <v>45</v>
      </c>
      <c r="S719" s="1" t="s">
        <v>46</v>
      </c>
      <c r="T719" s="4" t="s">
        <v>31</v>
      </c>
      <c r="U719" s="7" t="s">
        <v>32</v>
      </c>
      <c r="V719" s="7" t="s">
        <v>1372</v>
      </c>
      <c r="W719" s="7" t="s">
        <v>128</v>
      </c>
      <c r="X719" s="7" t="s">
        <v>1751</v>
      </c>
      <c r="Y719" s="10">
        <f t="shared" si="23"/>
        <v>441</v>
      </c>
      <c r="AH719" s="5" t="e">
        <f>VLOOKUP(B719,[1]DL!$BK:$BP,6,0)</f>
        <v>#N/A</v>
      </c>
    </row>
    <row r="720" spans="1:34" ht="14.5" hidden="1">
      <c r="A720" s="5">
        <v>717</v>
      </c>
      <c r="B720" s="5" t="str">
        <f t="shared" si="22"/>
        <v>07AAEPA7126M1ZRJDA/DN/26-27/41</v>
      </c>
      <c r="C720" s="1" t="s">
        <v>1301</v>
      </c>
      <c r="D720" s="1" t="s">
        <v>1302</v>
      </c>
      <c r="E720" s="1" t="s">
        <v>1373</v>
      </c>
      <c r="F720" s="1" t="s">
        <v>24</v>
      </c>
      <c r="G720" s="1" t="s">
        <v>89</v>
      </c>
      <c r="H720" s="2">
        <v>4543</v>
      </c>
      <c r="I720" s="1" t="s">
        <v>44</v>
      </c>
      <c r="J720" s="3" t="s">
        <v>27</v>
      </c>
      <c r="K720" s="2">
        <v>3850</v>
      </c>
      <c r="L720" s="2">
        <v>0</v>
      </c>
      <c r="M720" s="2">
        <v>346.5</v>
      </c>
      <c r="N720" s="2">
        <v>346.5</v>
      </c>
      <c r="O720" s="2">
        <v>0</v>
      </c>
      <c r="P720" s="7" t="s">
        <v>28</v>
      </c>
      <c r="Q720" s="1" t="s">
        <v>29</v>
      </c>
      <c r="R720" s="3" t="s">
        <v>45</v>
      </c>
      <c r="S720" s="1" t="s">
        <v>46</v>
      </c>
      <c r="T720" s="4" t="s">
        <v>31</v>
      </c>
      <c r="U720" s="7" t="s">
        <v>32</v>
      </c>
      <c r="V720" s="7" t="s">
        <v>1374</v>
      </c>
      <c r="W720" s="7" t="s">
        <v>128</v>
      </c>
      <c r="X720" s="7" t="s">
        <v>1751</v>
      </c>
      <c r="Y720" s="10">
        <f t="shared" si="23"/>
        <v>693</v>
      </c>
      <c r="AH720" s="5" t="e">
        <f>VLOOKUP(B720,[1]DL!$BK:$BP,6,0)</f>
        <v>#N/A</v>
      </c>
    </row>
    <row r="721" spans="1:34" ht="14.5" hidden="1">
      <c r="A721" s="5">
        <v>718</v>
      </c>
      <c r="B721" s="5" t="str">
        <f t="shared" si="22"/>
        <v>07AAEPA7126M1ZRJDA/DN/26-27/42</v>
      </c>
      <c r="C721" s="1" t="s">
        <v>1301</v>
      </c>
      <c r="D721" s="1" t="s">
        <v>1302</v>
      </c>
      <c r="E721" s="1" t="s">
        <v>1375</v>
      </c>
      <c r="F721" s="1" t="s">
        <v>24</v>
      </c>
      <c r="G721" s="1" t="s">
        <v>89</v>
      </c>
      <c r="H721" s="2">
        <v>1593</v>
      </c>
      <c r="I721" s="1" t="s">
        <v>44</v>
      </c>
      <c r="J721" s="3" t="s">
        <v>27</v>
      </c>
      <c r="K721" s="2">
        <v>1350</v>
      </c>
      <c r="L721" s="2">
        <v>0</v>
      </c>
      <c r="M721" s="2">
        <v>121.5</v>
      </c>
      <c r="N721" s="2">
        <v>121.5</v>
      </c>
      <c r="O721" s="2">
        <v>0</v>
      </c>
      <c r="P721" s="7" t="s">
        <v>28</v>
      </c>
      <c r="Q721" s="1" t="s">
        <v>29</v>
      </c>
      <c r="R721" s="3" t="s">
        <v>45</v>
      </c>
      <c r="S721" s="1" t="s">
        <v>46</v>
      </c>
      <c r="T721" s="4" t="s">
        <v>31</v>
      </c>
      <c r="U721" s="7" t="s">
        <v>32</v>
      </c>
      <c r="V721" s="7" t="s">
        <v>1376</v>
      </c>
      <c r="W721" s="7" t="s">
        <v>128</v>
      </c>
      <c r="X721" s="7" t="s">
        <v>1751</v>
      </c>
      <c r="Y721" s="10">
        <f t="shared" si="23"/>
        <v>243</v>
      </c>
      <c r="AH721" s="5" t="e">
        <f>VLOOKUP(B721,[1]DL!$BK:$BP,6,0)</f>
        <v>#N/A</v>
      </c>
    </row>
    <row r="722" spans="1:34" ht="14.5" hidden="1">
      <c r="A722" s="5">
        <v>719</v>
      </c>
      <c r="B722" s="5" t="str">
        <f t="shared" si="22"/>
        <v>07AAEPA7126M1ZRJDA/DN/26-27/43</v>
      </c>
      <c r="C722" s="1" t="s">
        <v>1301</v>
      </c>
      <c r="D722" s="1" t="s">
        <v>1302</v>
      </c>
      <c r="E722" s="1" t="s">
        <v>1377</v>
      </c>
      <c r="F722" s="1" t="s">
        <v>24</v>
      </c>
      <c r="G722" s="1" t="s">
        <v>89</v>
      </c>
      <c r="H722" s="2">
        <v>4513.5</v>
      </c>
      <c r="I722" s="1" t="s">
        <v>44</v>
      </c>
      <c r="J722" s="3" t="s">
        <v>27</v>
      </c>
      <c r="K722" s="2">
        <v>3825</v>
      </c>
      <c r="L722" s="2">
        <v>0</v>
      </c>
      <c r="M722" s="2">
        <v>344.25</v>
      </c>
      <c r="N722" s="2">
        <v>344.25</v>
      </c>
      <c r="O722" s="2">
        <v>0</v>
      </c>
      <c r="P722" s="7" t="s">
        <v>28</v>
      </c>
      <c r="Q722" s="1" t="s">
        <v>29</v>
      </c>
      <c r="R722" s="3" t="s">
        <v>45</v>
      </c>
      <c r="S722" s="1" t="s">
        <v>46</v>
      </c>
      <c r="T722" s="4" t="s">
        <v>31</v>
      </c>
      <c r="U722" s="7" t="s">
        <v>32</v>
      </c>
      <c r="V722" s="7" t="s">
        <v>1378</v>
      </c>
      <c r="W722" s="7" t="s">
        <v>128</v>
      </c>
      <c r="X722" s="7" t="s">
        <v>1751</v>
      </c>
      <c r="Y722" s="10">
        <f t="shared" si="23"/>
        <v>688.5</v>
      </c>
      <c r="AH722" s="5" t="e">
        <f>VLOOKUP(B722,[1]DL!$BK:$BP,6,0)</f>
        <v>#N/A</v>
      </c>
    </row>
    <row r="723" spans="1:34" ht="14.5" hidden="1">
      <c r="A723" s="5">
        <v>720</v>
      </c>
      <c r="B723" s="5" t="str">
        <f t="shared" si="22"/>
        <v>07AAEPA7126M1ZRJDA/DN/26-27/44</v>
      </c>
      <c r="C723" s="1" t="s">
        <v>1301</v>
      </c>
      <c r="D723" s="1" t="s">
        <v>1302</v>
      </c>
      <c r="E723" s="1" t="s">
        <v>1379</v>
      </c>
      <c r="F723" s="1" t="s">
        <v>24</v>
      </c>
      <c r="G723" s="1" t="s">
        <v>89</v>
      </c>
      <c r="H723" s="2">
        <v>1858.5</v>
      </c>
      <c r="I723" s="1" t="s">
        <v>44</v>
      </c>
      <c r="J723" s="3" t="s">
        <v>27</v>
      </c>
      <c r="K723" s="2">
        <v>1575</v>
      </c>
      <c r="L723" s="2">
        <v>0</v>
      </c>
      <c r="M723" s="2">
        <v>141.75</v>
      </c>
      <c r="N723" s="2">
        <v>141.75</v>
      </c>
      <c r="O723" s="2">
        <v>0</v>
      </c>
      <c r="P723" s="7" t="s">
        <v>28</v>
      </c>
      <c r="Q723" s="1" t="s">
        <v>29</v>
      </c>
      <c r="R723" s="3" t="s">
        <v>45</v>
      </c>
      <c r="S723" s="1" t="s">
        <v>46</v>
      </c>
      <c r="T723" s="4" t="s">
        <v>31</v>
      </c>
      <c r="U723" s="7" t="s">
        <v>32</v>
      </c>
      <c r="V723" s="7" t="s">
        <v>1380</v>
      </c>
      <c r="W723" s="7" t="s">
        <v>128</v>
      </c>
      <c r="X723" s="7" t="s">
        <v>1751</v>
      </c>
      <c r="Y723" s="10">
        <f t="shared" si="23"/>
        <v>283.5</v>
      </c>
      <c r="AH723" s="5" t="e">
        <f>VLOOKUP(B723,[1]DL!$BK:$BP,6,0)</f>
        <v>#N/A</v>
      </c>
    </row>
    <row r="724" spans="1:34" ht="14.5" hidden="1">
      <c r="A724" s="5">
        <v>721</v>
      </c>
      <c r="B724" s="5" t="str">
        <f t="shared" si="22"/>
        <v>07AAEPA7126M1ZRJDA/DN/26-27/45</v>
      </c>
      <c r="C724" s="1" t="s">
        <v>1301</v>
      </c>
      <c r="D724" s="1" t="s">
        <v>1302</v>
      </c>
      <c r="E724" s="1" t="s">
        <v>1381</v>
      </c>
      <c r="F724" s="1" t="s">
        <v>24</v>
      </c>
      <c r="G724" s="1" t="s">
        <v>89</v>
      </c>
      <c r="H724" s="2">
        <v>2478</v>
      </c>
      <c r="I724" s="1" t="s">
        <v>44</v>
      </c>
      <c r="J724" s="3" t="s">
        <v>27</v>
      </c>
      <c r="K724" s="2">
        <v>2100</v>
      </c>
      <c r="L724" s="2">
        <v>0</v>
      </c>
      <c r="M724" s="2">
        <v>189</v>
      </c>
      <c r="N724" s="2">
        <v>189</v>
      </c>
      <c r="O724" s="2">
        <v>0</v>
      </c>
      <c r="P724" s="7" t="s">
        <v>28</v>
      </c>
      <c r="Q724" s="1" t="s">
        <v>29</v>
      </c>
      <c r="R724" s="3" t="s">
        <v>45</v>
      </c>
      <c r="S724" s="1" t="s">
        <v>46</v>
      </c>
      <c r="T724" s="4" t="s">
        <v>31</v>
      </c>
      <c r="U724" s="7" t="s">
        <v>32</v>
      </c>
      <c r="V724" s="7" t="s">
        <v>1382</v>
      </c>
      <c r="W724" s="7" t="s">
        <v>128</v>
      </c>
      <c r="X724" s="7" t="s">
        <v>1751</v>
      </c>
      <c r="Y724" s="10">
        <f t="shared" si="23"/>
        <v>378</v>
      </c>
      <c r="AH724" s="5" t="e">
        <f>VLOOKUP(B724,[1]DL!$BK:$BP,6,0)</f>
        <v>#N/A</v>
      </c>
    </row>
    <row r="725" spans="1:34" ht="14.5" hidden="1">
      <c r="A725" s="5">
        <v>722</v>
      </c>
      <c r="B725" s="5" t="str">
        <f t="shared" si="22"/>
        <v>07AAEPA7126M1ZRJDA/DN/26-27/5</v>
      </c>
      <c r="C725" s="1" t="s">
        <v>1301</v>
      </c>
      <c r="D725" s="1" t="s">
        <v>1302</v>
      </c>
      <c r="E725" s="1" t="s">
        <v>1383</v>
      </c>
      <c r="F725" s="1" t="s">
        <v>24</v>
      </c>
      <c r="G725" s="1" t="s">
        <v>89</v>
      </c>
      <c r="H725" s="2">
        <v>1130.44</v>
      </c>
      <c r="I725" s="1" t="s">
        <v>44</v>
      </c>
      <c r="J725" s="3" t="s">
        <v>27</v>
      </c>
      <c r="K725" s="2">
        <v>958</v>
      </c>
      <c r="L725" s="2">
        <v>0</v>
      </c>
      <c r="M725" s="2">
        <v>86.22</v>
      </c>
      <c r="N725" s="2">
        <v>86.22</v>
      </c>
      <c r="O725" s="2">
        <v>0</v>
      </c>
      <c r="P725" s="7" t="s">
        <v>28</v>
      </c>
      <c r="Q725" s="1" t="s">
        <v>29</v>
      </c>
      <c r="R725" s="3" t="s">
        <v>45</v>
      </c>
      <c r="S725" s="1" t="s">
        <v>46</v>
      </c>
      <c r="T725" s="4" t="s">
        <v>31</v>
      </c>
      <c r="U725" s="7" t="s">
        <v>32</v>
      </c>
      <c r="V725" s="7" t="s">
        <v>1384</v>
      </c>
      <c r="W725" s="7" t="s">
        <v>128</v>
      </c>
      <c r="X725" s="7" t="s">
        <v>1751</v>
      </c>
      <c r="Y725" s="10">
        <f t="shared" si="23"/>
        <v>172.44</v>
      </c>
      <c r="AH725" s="5" t="e">
        <f>VLOOKUP(B725,[1]DL!$BK:$BP,6,0)</f>
        <v>#N/A</v>
      </c>
    </row>
    <row r="726" spans="1:34" ht="14.5" hidden="1">
      <c r="A726" s="5">
        <v>723</v>
      </c>
      <c r="B726" s="5" t="str">
        <f t="shared" si="22"/>
        <v>07AAEPA7126M1ZRJDA/DN/26-27/6</v>
      </c>
      <c r="C726" s="1" t="s">
        <v>1301</v>
      </c>
      <c r="D726" s="1" t="s">
        <v>1302</v>
      </c>
      <c r="E726" s="1" t="s">
        <v>1385</v>
      </c>
      <c r="F726" s="1" t="s">
        <v>24</v>
      </c>
      <c r="G726" s="1" t="s">
        <v>89</v>
      </c>
      <c r="H726" s="2">
        <v>752.84</v>
      </c>
      <c r="I726" s="1" t="s">
        <v>44</v>
      </c>
      <c r="J726" s="3" t="s">
        <v>27</v>
      </c>
      <c r="K726" s="2">
        <v>638</v>
      </c>
      <c r="L726" s="2">
        <v>0</v>
      </c>
      <c r="M726" s="2">
        <v>57.42</v>
      </c>
      <c r="N726" s="2">
        <v>57.42</v>
      </c>
      <c r="O726" s="2">
        <v>0</v>
      </c>
      <c r="P726" s="7" t="s">
        <v>28</v>
      </c>
      <c r="Q726" s="1" t="s">
        <v>29</v>
      </c>
      <c r="R726" s="3" t="s">
        <v>45</v>
      </c>
      <c r="S726" s="1" t="s">
        <v>46</v>
      </c>
      <c r="T726" s="4" t="s">
        <v>31</v>
      </c>
      <c r="U726" s="7" t="s">
        <v>32</v>
      </c>
      <c r="V726" s="7" t="s">
        <v>1386</v>
      </c>
      <c r="W726" s="7" t="s">
        <v>128</v>
      </c>
      <c r="X726" s="7" t="s">
        <v>1751</v>
      </c>
      <c r="Y726" s="10">
        <f t="shared" si="23"/>
        <v>114.84</v>
      </c>
      <c r="AH726" s="5" t="e">
        <f>VLOOKUP(B726,[1]DL!$BK:$BP,6,0)</f>
        <v>#N/A</v>
      </c>
    </row>
    <row r="727" spans="1:34" ht="14.5" hidden="1">
      <c r="A727" s="5">
        <v>724</v>
      </c>
      <c r="B727" s="5" t="str">
        <f t="shared" si="22"/>
        <v>07AAEPA7126M1ZRJDA/DN/26-27/7</v>
      </c>
      <c r="C727" s="1" t="s">
        <v>1301</v>
      </c>
      <c r="D727" s="1" t="s">
        <v>1302</v>
      </c>
      <c r="E727" s="1" t="s">
        <v>1387</v>
      </c>
      <c r="F727" s="1" t="s">
        <v>24</v>
      </c>
      <c r="G727" s="1" t="s">
        <v>89</v>
      </c>
      <c r="H727" s="2">
        <v>87.32</v>
      </c>
      <c r="I727" s="1" t="s">
        <v>44</v>
      </c>
      <c r="J727" s="3" t="s">
        <v>27</v>
      </c>
      <c r="K727" s="2">
        <v>74</v>
      </c>
      <c r="L727" s="2">
        <v>0</v>
      </c>
      <c r="M727" s="2">
        <v>6.66</v>
      </c>
      <c r="N727" s="2">
        <v>6.66</v>
      </c>
      <c r="O727" s="2">
        <v>0</v>
      </c>
      <c r="P727" s="7" t="s">
        <v>28</v>
      </c>
      <c r="Q727" s="1" t="s">
        <v>29</v>
      </c>
      <c r="R727" s="3" t="s">
        <v>45</v>
      </c>
      <c r="S727" s="1" t="s">
        <v>46</v>
      </c>
      <c r="T727" s="4" t="s">
        <v>31</v>
      </c>
      <c r="U727" s="7" t="s">
        <v>32</v>
      </c>
      <c r="V727" s="7" t="s">
        <v>1388</v>
      </c>
      <c r="W727" s="7" t="s">
        <v>128</v>
      </c>
      <c r="X727" s="7" t="s">
        <v>1751</v>
      </c>
      <c r="Y727" s="10">
        <f t="shared" si="23"/>
        <v>13.32</v>
      </c>
      <c r="AH727" s="5" t="e">
        <f>VLOOKUP(B727,[1]DL!$BK:$BP,6,0)</f>
        <v>#N/A</v>
      </c>
    </row>
    <row r="728" spans="1:34" ht="14.5" hidden="1">
      <c r="A728" s="5">
        <v>725</v>
      </c>
      <c r="B728" s="5" t="str">
        <f t="shared" si="22"/>
        <v>07AAEPA7126M1ZRJDA/DN/26-27/8</v>
      </c>
      <c r="C728" s="1" t="s">
        <v>1301</v>
      </c>
      <c r="D728" s="1" t="s">
        <v>1302</v>
      </c>
      <c r="E728" s="1" t="s">
        <v>1389</v>
      </c>
      <c r="F728" s="1" t="s">
        <v>24</v>
      </c>
      <c r="G728" s="1" t="s">
        <v>89</v>
      </c>
      <c r="H728" s="2">
        <v>57.82</v>
      </c>
      <c r="I728" s="1" t="s">
        <v>44</v>
      </c>
      <c r="J728" s="3" t="s">
        <v>27</v>
      </c>
      <c r="K728" s="2">
        <v>49</v>
      </c>
      <c r="L728" s="2">
        <v>0</v>
      </c>
      <c r="M728" s="2">
        <v>4.41</v>
      </c>
      <c r="N728" s="2">
        <v>4.41</v>
      </c>
      <c r="O728" s="2">
        <v>0</v>
      </c>
      <c r="P728" s="7" t="s">
        <v>28</v>
      </c>
      <c r="Q728" s="1" t="s">
        <v>29</v>
      </c>
      <c r="R728" s="3" t="s">
        <v>45</v>
      </c>
      <c r="S728" s="1" t="s">
        <v>46</v>
      </c>
      <c r="T728" s="4" t="s">
        <v>31</v>
      </c>
      <c r="U728" s="7" t="s">
        <v>32</v>
      </c>
      <c r="V728" s="7" t="s">
        <v>1390</v>
      </c>
      <c r="W728" s="7" t="s">
        <v>128</v>
      </c>
      <c r="X728" s="7" t="s">
        <v>1751</v>
      </c>
      <c r="Y728" s="10">
        <f t="shared" si="23"/>
        <v>8.8200000000000003</v>
      </c>
      <c r="AH728" s="5" t="e">
        <f>VLOOKUP(B728,[1]DL!$BK:$BP,6,0)</f>
        <v>#N/A</v>
      </c>
    </row>
    <row r="729" spans="1:34" ht="14.5" hidden="1">
      <c r="A729" s="5">
        <v>726</v>
      </c>
      <c r="B729" s="5" t="str">
        <f t="shared" si="22"/>
        <v>07AAEPA7126M1ZRJDA/DN/26-27/9</v>
      </c>
      <c r="C729" s="1" t="s">
        <v>1301</v>
      </c>
      <c r="D729" s="1" t="s">
        <v>1302</v>
      </c>
      <c r="E729" s="1" t="s">
        <v>1391</v>
      </c>
      <c r="F729" s="1" t="s">
        <v>24</v>
      </c>
      <c r="G729" s="1" t="s">
        <v>89</v>
      </c>
      <c r="H729" s="2">
        <v>251.34</v>
      </c>
      <c r="I729" s="1" t="s">
        <v>44</v>
      </c>
      <c r="J729" s="3" t="s">
        <v>27</v>
      </c>
      <c r="K729" s="2">
        <v>213</v>
      </c>
      <c r="L729" s="2">
        <v>0</v>
      </c>
      <c r="M729" s="2">
        <v>19.170000000000002</v>
      </c>
      <c r="N729" s="2">
        <v>19.170000000000002</v>
      </c>
      <c r="O729" s="2">
        <v>0</v>
      </c>
      <c r="P729" s="7" t="s">
        <v>28</v>
      </c>
      <c r="Q729" s="1" t="s">
        <v>29</v>
      </c>
      <c r="R729" s="3" t="s">
        <v>45</v>
      </c>
      <c r="S729" s="1" t="s">
        <v>46</v>
      </c>
      <c r="T729" s="4" t="s">
        <v>31</v>
      </c>
      <c r="U729" s="7" t="s">
        <v>32</v>
      </c>
      <c r="V729" s="7" t="s">
        <v>1392</v>
      </c>
      <c r="W729" s="7" t="s">
        <v>128</v>
      </c>
      <c r="X729" s="7" t="s">
        <v>1751</v>
      </c>
      <c r="Y729" s="10">
        <f t="shared" si="23"/>
        <v>38.340000000000003</v>
      </c>
      <c r="AH729" s="5" t="e">
        <f>VLOOKUP(B729,[1]DL!$BK:$BP,6,0)</f>
        <v>#N/A</v>
      </c>
    </row>
    <row r="730" spans="1:34" ht="14.5" hidden="1">
      <c r="A730" s="5">
        <v>727</v>
      </c>
      <c r="B730" s="5" t="str">
        <f t="shared" si="22"/>
        <v>30AAACT3957G1ZK202639152</v>
      </c>
      <c r="C730" s="1" t="s">
        <v>1393</v>
      </c>
      <c r="D730" s="1" t="s">
        <v>1394</v>
      </c>
      <c r="E730" s="1" t="s">
        <v>1395</v>
      </c>
      <c r="F730" s="1" t="s">
        <v>24</v>
      </c>
      <c r="G730" s="1" t="s">
        <v>35</v>
      </c>
      <c r="H730" s="2">
        <v>195514.17</v>
      </c>
      <c r="I730" s="1" t="s">
        <v>1396</v>
      </c>
      <c r="J730" s="3" t="s">
        <v>27</v>
      </c>
      <c r="K730" s="2">
        <v>165689.97</v>
      </c>
      <c r="L730" s="2">
        <v>0</v>
      </c>
      <c r="M730" s="2">
        <v>14912.10</v>
      </c>
      <c r="N730" s="2">
        <v>14912.10</v>
      </c>
      <c r="O730" s="2">
        <v>0</v>
      </c>
      <c r="P730" s="7" t="s">
        <v>28</v>
      </c>
      <c r="Q730" s="1" t="s">
        <v>29</v>
      </c>
      <c r="R730" s="3" t="s">
        <v>27</v>
      </c>
      <c r="S730" s="1" t="s">
        <v>30</v>
      </c>
      <c r="T730" s="4" t="s">
        <v>31</v>
      </c>
      <c r="U730" s="7" t="s">
        <v>32</v>
      </c>
      <c r="V730" s="7" t="s">
        <v>1397</v>
      </c>
      <c r="W730" s="7" t="s">
        <v>87</v>
      </c>
      <c r="X730" s="7" t="s">
        <v>1751</v>
      </c>
      <c r="Y730" s="10">
        <f t="shared" si="23"/>
        <v>29824.200000000001</v>
      </c>
      <c r="AH730" s="5" t="e">
        <f>VLOOKUP(B730,[1]DL!$BK:$BP,6,0)</f>
        <v>#N/A</v>
      </c>
    </row>
    <row r="731" spans="1:34" ht="14.5" hidden="1">
      <c r="A731" s="5">
        <v>728</v>
      </c>
      <c r="B731" s="5" t="str">
        <f t="shared" si="22"/>
        <v>30AAACT3957G1ZK202639161</v>
      </c>
      <c r="C731" s="1" t="s">
        <v>1393</v>
      </c>
      <c r="D731" s="1" t="s">
        <v>1394</v>
      </c>
      <c r="E731" s="1" t="s">
        <v>1398</v>
      </c>
      <c r="F731" s="1" t="s">
        <v>24</v>
      </c>
      <c r="G731" s="1" t="s">
        <v>35</v>
      </c>
      <c r="H731" s="2">
        <v>23589</v>
      </c>
      <c r="I731" s="1" t="s">
        <v>1396</v>
      </c>
      <c r="J731" s="3" t="s">
        <v>27</v>
      </c>
      <c r="K731" s="2">
        <v>10892.5</v>
      </c>
      <c r="L731" s="2">
        <v>0</v>
      </c>
      <c r="M731" s="2">
        <v>980.33</v>
      </c>
      <c r="N731" s="2">
        <v>980.33</v>
      </c>
      <c r="O731" s="2">
        <v>0</v>
      </c>
      <c r="P731" s="7" t="s">
        <v>28</v>
      </c>
      <c r="Q731" s="1" t="s">
        <v>29</v>
      </c>
      <c r="R731" s="3" t="s">
        <v>27</v>
      </c>
      <c r="S731" s="1" t="s">
        <v>30</v>
      </c>
      <c r="T731" s="4" t="s">
        <v>31</v>
      </c>
      <c r="U731" s="7" t="s">
        <v>32</v>
      </c>
      <c r="V731" s="7" t="s">
        <v>1399</v>
      </c>
      <c r="W731" s="7" t="s">
        <v>87</v>
      </c>
      <c r="X731" s="7" t="s">
        <v>1751</v>
      </c>
      <c r="Y731" s="10">
        <f t="shared" si="23"/>
        <v>1960.6600000000001</v>
      </c>
      <c r="AH731" s="5" t="e">
        <f>VLOOKUP(B731,[1]DL!$BK:$BP,6,0)</f>
        <v>#N/A</v>
      </c>
    </row>
    <row r="732" spans="1:34" ht="14.5" hidden="1">
      <c r="A732" s="5">
        <v>729</v>
      </c>
      <c r="B732" s="5" t="str">
        <f t="shared" si="22"/>
        <v>06APEPY5362C1ZTMIS/26-27/02</v>
      </c>
      <c r="C732" s="1" t="s">
        <v>1400</v>
      </c>
      <c r="D732" s="1" t="s">
        <v>1401</v>
      </c>
      <c r="E732" s="1" t="s">
        <v>1402</v>
      </c>
      <c r="F732" s="1" t="s">
        <v>24</v>
      </c>
      <c r="G732" s="1" t="s">
        <v>585</v>
      </c>
      <c r="H732" s="2">
        <v>16815</v>
      </c>
      <c r="I732" s="1" t="s">
        <v>44</v>
      </c>
      <c r="J732" s="3" t="s">
        <v>27</v>
      </c>
      <c r="K732" s="2">
        <v>14250</v>
      </c>
      <c r="L732" s="2">
        <v>2565</v>
      </c>
      <c r="M732" s="2">
        <v>0</v>
      </c>
      <c r="N732" s="2">
        <v>0</v>
      </c>
      <c r="O732" s="2">
        <v>0</v>
      </c>
      <c r="P732" s="7" t="s">
        <v>28</v>
      </c>
      <c r="Q732" s="1" t="s">
        <v>484</v>
      </c>
      <c r="R732" s="3" t="s">
        <v>45</v>
      </c>
      <c r="S732" s="1" t="s">
        <v>46</v>
      </c>
      <c r="T732" s="4" t="s">
        <v>31</v>
      </c>
      <c r="U732" s="7" t="s">
        <v>46</v>
      </c>
      <c r="V732" s="7" t="s">
        <v>46</v>
      </c>
      <c r="W732" s="7" t="s">
        <v>46</v>
      </c>
      <c r="X732" s="7" t="s">
        <v>1751</v>
      </c>
      <c r="Y732" s="10">
        <f t="shared" si="23"/>
        <v>2565</v>
      </c>
      <c r="AH732" s="5" t="e">
        <f>VLOOKUP(B732,[1]DL!$BK:$BP,6,0)</f>
        <v>#N/A</v>
      </c>
    </row>
    <row r="733" spans="1:34" ht="14.5" hidden="1">
      <c r="A733" s="5">
        <v>730</v>
      </c>
      <c r="B733" s="5" t="str">
        <f t="shared" si="22"/>
        <v>24AADCS0030Q1ZGSSPL26270019</v>
      </c>
      <c r="C733" s="1" t="s">
        <v>1403</v>
      </c>
      <c r="D733" s="1" t="s">
        <v>1404</v>
      </c>
      <c r="E733" s="1" t="s">
        <v>1405</v>
      </c>
      <c r="F733" s="1" t="s">
        <v>24</v>
      </c>
      <c r="G733" s="1" t="s">
        <v>125</v>
      </c>
      <c r="H733" s="2">
        <v>655312.77</v>
      </c>
      <c r="I733" s="1" t="s">
        <v>44</v>
      </c>
      <c r="J733" s="3" t="s">
        <v>27</v>
      </c>
      <c r="K733" s="2">
        <v>624107.40</v>
      </c>
      <c r="L733" s="2">
        <v>31205.37</v>
      </c>
      <c r="M733" s="2">
        <v>0</v>
      </c>
      <c r="N733" s="2">
        <v>0</v>
      </c>
      <c r="O733" s="2">
        <v>0</v>
      </c>
      <c r="P733" s="7" t="s">
        <v>28</v>
      </c>
      <c r="Q733" s="1" t="s">
        <v>29</v>
      </c>
      <c r="R733" s="3" t="s">
        <v>45</v>
      </c>
      <c r="S733" s="1" t="s">
        <v>46</v>
      </c>
      <c r="T733" s="4" t="s">
        <v>31</v>
      </c>
      <c r="U733" s="7" t="s">
        <v>32</v>
      </c>
      <c r="V733" s="7" t="s">
        <v>1406</v>
      </c>
      <c r="W733" s="7" t="s">
        <v>125</v>
      </c>
      <c r="X733" s="7" t="s">
        <v>1751</v>
      </c>
      <c r="Y733" s="10">
        <f t="shared" si="23"/>
        <v>31205.369999999999</v>
      </c>
      <c r="AH733" s="5" t="e">
        <f>VLOOKUP(B733,[1]DL!$BK:$BP,6,0)</f>
        <v>#N/A</v>
      </c>
    </row>
    <row r="734" spans="1:34" ht="14.5" hidden="1">
      <c r="A734" s="5">
        <v>731</v>
      </c>
      <c r="B734" s="5" t="str">
        <f t="shared" si="22"/>
        <v>24AADCS0030Q1ZGSSPL26270045</v>
      </c>
      <c r="C734" s="1" t="s">
        <v>1403</v>
      </c>
      <c r="D734" s="1" t="s">
        <v>1404</v>
      </c>
      <c r="E734" s="1" t="s">
        <v>1407</v>
      </c>
      <c r="F734" s="1" t="s">
        <v>24</v>
      </c>
      <c r="G734" s="1" t="s">
        <v>161</v>
      </c>
      <c r="H734" s="2">
        <v>1667870.40</v>
      </c>
      <c r="I734" s="1" t="s">
        <v>44</v>
      </c>
      <c r="J734" s="3" t="s">
        <v>27</v>
      </c>
      <c r="K734" s="2">
        <v>1588448</v>
      </c>
      <c r="L734" s="2">
        <v>79422.399999999994</v>
      </c>
      <c r="M734" s="2">
        <v>0</v>
      </c>
      <c r="N734" s="2">
        <v>0</v>
      </c>
      <c r="O734" s="2">
        <v>0</v>
      </c>
      <c r="P734" s="7" t="s">
        <v>28</v>
      </c>
      <c r="Q734" s="1" t="s">
        <v>29</v>
      </c>
      <c r="R734" s="3" t="s">
        <v>45</v>
      </c>
      <c r="S734" s="1" t="s">
        <v>46</v>
      </c>
      <c r="T734" s="4" t="s">
        <v>31</v>
      </c>
      <c r="U734" s="7" t="s">
        <v>32</v>
      </c>
      <c r="V734" s="7" t="s">
        <v>1408</v>
      </c>
      <c r="W734" s="7" t="s">
        <v>161</v>
      </c>
      <c r="X734" s="7" t="s">
        <v>1751</v>
      </c>
      <c r="Y734" s="10">
        <f t="shared" si="23"/>
        <v>79422.399999999994</v>
      </c>
      <c r="AH734" s="5" t="e">
        <f>VLOOKUP(B734,[1]DL!$BK:$BP,6,0)</f>
        <v>#N/A</v>
      </c>
    </row>
    <row r="735" spans="1:34" ht="14.5" hidden="1">
      <c r="A735" s="5">
        <v>732</v>
      </c>
      <c r="B735" s="5" t="str">
        <f t="shared" si="22"/>
        <v>24AADCS0030Q1ZGSSPL26270055</v>
      </c>
      <c r="C735" s="1" t="s">
        <v>1403</v>
      </c>
      <c r="D735" s="1" t="s">
        <v>1404</v>
      </c>
      <c r="E735" s="1" t="s">
        <v>1409</v>
      </c>
      <c r="F735" s="1" t="s">
        <v>24</v>
      </c>
      <c r="G735" s="1" t="s">
        <v>128</v>
      </c>
      <c r="H735" s="2">
        <v>936293.40</v>
      </c>
      <c r="I735" s="1" t="s">
        <v>44</v>
      </c>
      <c r="J735" s="3" t="s">
        <v>27</v>
      </c>
      <c r="K735" s="2">
        <v>891708</v>
      </c>
      <c r="L735" s="2">
        <v>44585.40</v>
      </c>
      <c r="M735" s="2">
        <v>0</v>
      </c>
      <c r="N735" s="2">
        <v>0</v>
      </c>
      <c r="O735" s="2">
        <v>0</v>
      </c>
      <c r="P735" s="7" t="s">
        <v>28</v>
      </c>
      <c r="Q735" s="1" t="s">
        <v>29</v>
      </c>
      <c r="R735" s="3" t="s">
        <v>45</v>
      </c>
      <c r="S735" s="1" t="s">
        <v>46</v>
      </c>
      <c r="T735" s="4" t="s">
        <v>31</v>
      </c>
      <c r="U735" s="7" t="s">
        <v>32</v>
      </c>
      <c r="V735" s="7" t="s">
        <v>1410</v>
      </c>
      <c r="W735" s="7" t="s">
        <v>128</v>
      </c>
      <c r="X735" s="7" t="s">
        <v>1751</v>
      </c>
      <c r="Y735" s="10">
        <f t="shared" si="23"/>
        <v>44585.400000000001</v>
      </c>
      <c r="AH735" s="5" t="e">
        <f>VLOOKUP(B735,[1]DL!$BK:$BP,6,0)</f>
        <v>#N/A</v>
      </c>
    </row>
    <row r="736" spans="1:34" ht="14.5" hidden="1">
      <c r="A736" s="5">
        <v>733</v>
      </c>
      <c r="B736" s="5" t="str">
        <f t="shared" si="22"/>
        <v>24AADCS0030Q1ZGSSPL26270071</v>
      </c>
      <c r="C736" s="1" t="s">
        <v>1403</v>
      </c>
      <c r="D736" s="1" t="s">
        <v>1404</v>
      </c>
      <c r="E736" s="1" t="s">
        <v>1411</v>
      </c>
      <c r="F736" s="1" t="s">
        <v>24</v>
      </c>
      <c r="G736" s="1" t="s">
        <v>154</v>
      </c>
      <c r="H736" s="2">
        <v>1477383.43</v>
      </c>
      <c r="I736" s="1" t="s">
        <v>44</v>
      </c>
      <c r="J736" s="3" t="s">
        <v>27</v>
      </c>
      <c r="K736" s="2">
        <v>1407031.84</v>
      </c>
      <c r="L736" s="2">
        <v>70351.59</v>
      </c>
      <c r="M736" s="2">
        <v>0</v>
      </c>
      <c r="N736" s="2">
        <v>0</v>
      </c>
      <c r="O736" s="2">
        <v>0</v>
      </c>
      <c r="P736" s="7" t="s">
        <v>28</v>
      </c>
      <c r="Q736" s="1" t="s">
        <v>29</v>
      </c>
      <c r="R736" s="3" t="s">
        <v>45</v>
      </c>
      <c r="S736" s="1" t="s">
        <v>46</v>
      </c>
      <c r="T736" s="4" t="s">
        <v>31</v>
      </c>
      <c r="U736" s="7" t="s">
        <v>32</v>
      </c>
      <c r="V736" s="7" t="s">
        <v>1412</v>
      </c>
      <c r="W736" s="7" t="s">
        <v>154</v>
      </c>
      <c r="X736" s="7" t="s">
        <v>1751</v>
      </c>
      <c r="Y736" s="10">
        <f t="shared" si="23"/>
        <v>70351.589999999997</v>
      </c>
      <c r="AH736" s="5" t="e">
        <f>VLOOKUP(B736,[1]DL!$BK:$BP,6,0)</f>
        <v>#N/A</v>
      </c>
    </row>
    <row r="737" spans="1:34" ht="14.5" hidden="1">
      <c r="A737" s="5">
        <v>734</v>
      </c>
      <c r="B737" s="5" t="str">
        <f t="shared" si="22"/>
        <v>24AADCS0030Q1ZGSSPL26270073</v>
      </c>
      <c r="C737" s="1" t="s">
        <v>1403</v>
      </c>
      <c r="D737" s="1" t="s">
        <v>1404</v>
      </c>
      <c r="E737" s="1" t="s">
        <v>1413</v>
      </c>
      <c r="F737" s="1" t="s">
        <v>24</v>
      </c>
      <c r="G737" s="1" t="s">
        <v>76</v>
      </c>
      <c r="H737" s="2">
        <v>1604830.50</v>
      </c>
      <c r="I737" s="1" t="s">
        <v>44</v>
      </c>
      <c r="J737" s="3" t="s">
        <v>27</v>
      </c>
      <c r="K737" s="2">
        <v>1528410</v>
      </c>
      <c r="L737" s="2">
        <v>76420.5</v>
      </c>
      <c r="M737" s="2">
        <v>0</v>
      </c>
      <c r="N737" s="2">
        <v>0</v>
      </c>
      <c r="O737" s="2">
        <v>0</v>
      </c>
      <c r="P737" s="7" t="s">
        <v>28</v>
      </c>
      <c r="Q737" s="1" t="s">
        <v>29</v>
      </c>
      <c r="R737" s="3" t="s">
        <v>45</v>
      </c>
      <c r="S737" s="1" t="s">
        <v>46</v>
      </c>
      <c r="T737" s="4" t="s">
        <v>31</v>
      </c>
      <c r="U737" s="7" t="s">
        <v>32</v>
      </c>
      <c r="V737" s="7" t="s">
        <v>1414</v>
      </c>
      <c r="W737" s="7" t="s">
        <v>76</v>
      </c>
      <c r="X737" s="7" t="s">
        <v>1751</v>
      </c>
      <c r="Y737" s="10">
        <f t="shared" si="23"/>
        <v>76420.5</v>
      </c>
      <c r="AH737" s="5" t="e">
        <f>VLOOKUP(B737,[1]DL!$BK:$BP,6,0)</f>
        <v>#N/A</v>
      </c>
    </row>
    <row r="738" spans="1:34" ht="14.5" hidden="1">
      <c r="A738" s="5">
        <v>735</v>
      </c>
      <c r="B738" s="5" t="str">
        <f t="shared" si="22"/>
        <v>07AABCM4781A1ZRR51722271</v>
      </c>
      <c r="C738" s="1" t="s">
        <v>1415</v>
      </c>
      <c r="D738" s="1" t="s">
        <v>1416</v>
      </c>
      <c r="E738" s="1" t="s">
        <v>1417</v>
      </c>
      <c r="F738" s="1" t="s">
        <v>24</v>
      </c>
      <c r="G738" s="1" t="s">
        <v>50</v>
      </c>
      <c r="H738" s="2">
        <v>3717</v>
      </c>
      <c r="I738" s="1" t="s">
        <v>44</v>
      </c>
      <c r="J738" s="3" t="s">
        <v>27</v>
      </c>
      <c r="K738" s="2">
        <v>3150</v>
      </c>
      <c r="L738" s="2">
        <v>0</v>
      </c>
      <c r="M738" s="2">
        <v>283.5</v>
      </c>
      <c r="N738" s="2">
        <v>283.5</v>
      </c>
      <c r="O738" s="2">
        <v>0</v>
      </c>
      <c r="P738" s="7" t="s">
        <v>28</v>
      </c>
      <c r="Q738" s="1" t="s">
        <v>29</v>
      </c>
      <c r="R738" s="3" t="s">
        <v>45</v>
      </c>
      <c r="S738" s="1" t="s">
        <v>46</v>
      </c>
      <c r="T738" s="4" t="s">
        <v>31</v>
      </c>
      <c r="U738" s="7" t="s">
        <v>46</v>
      </c>
      <c r="V738" s="7" t="s">
        <v>46</v>
      </c>
      <c r="W738" s="7" t="s">
        <v>46</v>
      </c>
      <c r="X738" s="7" t="s">
        <v>1751</v>
      </c>
      <c r="Y738" s="10">
        <f t="shared" si="23"/>
        <v>567</v>
      </c>
      <c r="AH738" s="5" t="e">
        <f>VLOOKUP(B738,[1]DL!$BK:$BP,6,0)</f>
        <v>#N/A</v>
      </c>
    </row>
    <row r="739" spans="1:34" ht="14.5" hidden="1">
      <c r="A739" s="5">
        <v>736</v>
      </c>
      <c r="B739" s="5" t="str">
        <f t="shared" si="22"/>
        <v>07AABCM4781A1ZRR51733411</v>
      </c>
      <c r="C739" s="1" t="s">
        <v>1415</v>
      </c>
      <c r="D739" s="1" t="s">
        <v>1416</v>
      </c>
      <c r="E739" s="1" t="s">
        <v>1418</v>
      </c>
      <c r="F739" s="1" t="s">
        <v>24</v>
      </c>
      <c r="G739" s="1" t="s">
        <v>154</v>
      </c>
      <c r="H739" s="2">
        <v>1211225.22</v>
      </c>
      <c r="I739" s="1" t="s">
        <v>44</v>
      </c>
      <c r="J739" s="3" t="s">
        <v>27</v>
      </c>
      <c r="K739" s="2">
        <v>1026462.02</v>
      </c>
      <c r="L739" s="2">
        <v>0</v>
      </c>
      <c r="M739" s="2">
        <v>92381.60</v>
      </c>
      <c r="N739" s="2">
        <v>92381.60</v>
      </c>
      <c r="O739" s="2">
        <v>0</v>
      </c>
      <c r="P739" s="7" t="s">
        <v>28</v>
      </c>
      <c r="Q739" s="1" t="s">
        <v>29</v>
      </c>
      <c r="R739" s="3" t="s">
        <v>45</v>
      </c>
      <c r="S739" s="1" t="s">
        <v>46</v>
      </c>
      <c r="T739" s="4" t="s">
        <v>31</v>
      </c>
      <c r="U739" s="7" t="s">
        <v>32</v>
      </c>
      <c r="V739" s="7" t="s">
        <v>1419</v>
      </c>
      <c r="W739" s="7" t="s">
        <v>154</v>
      </c>
      <c r="X739" s="7" t="s">
        <v>1751</v>
      </c>
      <c r="Y739" s="10">
        <f t="shared" si="23"/>
        <v>184763.20000000001</v>
      </c>
      <c r="AH739" s="5" t="e">
        <f>VLOOKUP(B739,[1]DL!$BK:$BP,6,0)</f>
        <v>#N/A</v>
      </c>
    </row>
    <row r="740" spans="1:34" ht="14.5" hidden="1">
      <c r="A740" s="5">
        <v>737</v>
      </c>
      <c r="B740" s="5" t="str">
        <f t="shared" si="22"/>
        <v>07COJPD7419B1Z7DE/0003</v>
      </c>
      <c r="C740" s="1" t="s">
        <v>199</v>
      </c>
      <c r="D740" s="1" t="s">
        <v>200</v>
      </c>
      <c r="E740" s="1" t="s">
        <v>1420</v>
      </c>
      <c r="F740" s="1" t="s">
        <v>24</v>
      </c>
      <c r="G740" s="1" t="s">
        <v>54</v>
      </c>
      <c r="H740" s="2">
        <v>65670</v>
      </c>
      <c r="I740" s="1" t="s">
        <v>44</v>
      </c>
      <c r="J740" s="3" t="s">
        <v>27</v>
      </c>
      <c r="K740" s="2">
        <v>45155.70</v>
      </c>
      <c r="L740" s="2">
        <v>0</v>
      </c>
      <c r="M740" s="2">
        <v>10257.14</v>
      </c>
      <c r="N740" s="2">
        <v>10257.14</v>
      </c>
      <c r="O740" s="2">
        <v>0</v>
      </c>
      <c r="P740" s="7" t="s">
        <v>28</v>
      </c>
      <c r="Q740" s="1" t="s">
        <v>29</v>
      </c>
      <c r="R740" s="3" t="s">
        <v>45</v>
      </c>
      <c r="S740" s="1" t="s">
        <v>46</v>
      </c>
      <c r="T740" s="4" t="s">
        <v>31</v>
      </c>
      <c r="U740" s="7" t="s">
        <v>46</v>
      </c>
      <c r="V740" s="7" t="s">
        <v>46</v>
      </c>
      <c r="W740" s="7" t="s">
        <v>46</v>
      </c>
      <c r="X740" s="7" t="s">
        <v>1751</v>
      </c>
      <c r="Y740" s="10">
        <f t="shared" si="23"/>
        <v>20514.279999999999</v>
      </c>
      <c r="AH740" s="5" t="e">
        <f>VLOOKUP(B740,[1]DL!$BK:$BP,6,0)</f>
        <v>#N/A</v>
      </c>
    </row>
    <row r="741" spans="1:34" ht="14.5" hidden="1">
      <c r="A741" s="5">
        <v>738</v>
      </c>
      <c r="B741" s="5" t="str">
        <f t="shared" si="22"/>
        <v>07COJPD7419B1Z7DE/0034</v>
      </c>
      <c r="C741" s="1" t="s">
        <v>199</v>
      </c>
      <c r="D741" s="1" t="s">
        <v>200</v>
      </c>
      <c r="E741" s="1" t="s">
        <v>1421</v>
      </c>
      <c r="F741" s="1" t="s">
        <v>24</v>
      </c>
      <c r="G741" s="1" t="s">
        <v>43</v>
      </c>
      <c r="H741" s="2">
        <v>121071.54</v>
      </c>
      <c r="I741" s="1" t="s">
        <v>44</v>
      </c>
      <c r="J741" s="3" t="s">
        <v>27</v>
      </c>
      <c r="K741" s="2">
        <v>102603</v>
      </c>
      <c r="L741" s="2">
        <v>0</v>
      </c>
      <c r="M741" s="2">
        <v>9234.27</v>
      </c>
      <c r="N741" s="2">
        <v>9234.27</v>
      </c>
      <c r="O741" s="2">
        <v>0</v>
      </c>
      <c r="P741" s="7" t="s">
        <v>28</v>
      </c>
      <c r="Q741" s="1" t="s">
        <v>29</v>
      </c>
      <c r="R741" s="3" t="s">
        <v>45</v>
      </c>
      <c r="S741" s="1" t="s">
        <v>46</v>
      </c>
      <c r="T741" s="4" t="s">
        <v>31</v>
      </c>
      <c r="U741" s="7" t="s">
        <v>32</v>
      </c>
      <c r="V741" s="7" t="s">
        <v>1422</v>
      </c>
      <c r="W741" s="7" t="s">
        <v>43</v>
      </c>
      <c r="X741" s="7" t="s">
        <v>1751</v>
      </c>
      <c r="Y741" s="10">
        <f t="shared" si="23"/>
        <v>18468.540000000001</v>
      </c>
      <c r="AH741" s="5" t="e">
        <f>VLOOKUP(B741,[1]DL!$BK:$BP,6,0)</f>
        <v>#N/A</v>
      </c>
    </row>
    <row r="742" spans="1:34" ht="14.5" hidden="1">
      <c r="A742" s="5">
        <v>739</v>
      </c>
      <c r="B742" s="5" t="str">
        <f t="shared" si="22"/>
        <v>07COJPD7419B1Z7DE/0035</v>
      </c>
      <c r="C742" s="1" t="s">
        <v>199</v>
      </c>
      <c r="D742" s="1" t="s">
        <v>200</v>
      </c>
      <c r="E742" s="1" t="s">
        <v>1423</v>
      </c>
      <c r="F742" s="1" t="s">
        <v>24</v>
      </c>
      <c r="G742" s="1" t="s">
        <v>43</v>
      </c>
      <c r="H742" s="2">
        <v>115872.46</v>
      </c>
      <c r="I742" s="1" t="s">
        <v>44</v>
      </c>
      <c r="J742" s="3" t="s">
        <v>27</v>
      </c>
      <c r="K742" s="2">
        <v>98197</v>
      </c>
      <c r="L742" s="2">
        <v>0</v>
      </c>
      <c r="M742" s="2">
        <v>8837.73</v>
      </c>
      <c r="N742" s="2">
        <v>8837.73</v>
      </c>
      <c r="O742" s="2">
        <v>0</v>
      </c>
      <c r="P742" s="7" t="s">
        <v>28</v>
      </c>
      <c r="Q742" s="1" t="s">
        <v>29</v>
      </c>
      <c r="R742" s="3" t="s">
        <v>45</v>
      </c>
      <c r="S742" s="1" t="s">
        <v>46</v>
      </c>
      <c r="T742" s="4" t="s">
        <v>31</v>
      </c>
      <c r="U742" s="7" t="s">
        <v>32</v>
      </c>
      <c r="V742" s="7" t="s">
        <v>1424</v>
      </c>
      <c r="W742" s="7" t="s">
        <v>43</v>
      </c>
      <c r="X742" s="7" t="s">
        <v>1751</v>
      </c>
      <c r="Y742" s="10">
        <f t="shared" si="23"/>
        <v>17675.459999999999</v>
      </c>
      <c r="AH742" s="5" t="e">
        <f>VLOOKUP(B742,[1]DL!$BK:$BP,6,0)</f>
        <v>#N/A</v>
      </c>
    </row>
    <row r="743" spans="1:34" ht="14.5" hidden="1">
      <c r="A743" s="5">
        <v>740</v>
      </c>
      <c r="B743" s="5" t="str">
        <f t="shared" si="22"/>
        <v>07COJPD7419B1Z7DE/0036</v>
      </c>
      <c r="C743" s="1" t="s">
        <v>199</v>
      </c>
      <c r="D743" s="1" t="s">
        <v>200</v>
      </c>
      <c r="E743" s="1" t="s">
        <v>1425</v>
      </c>
      <c r="F743" s="1" t="s">
        <v>24</v>
      </c>
      <c r="G743" s="1" t="s">
        <v>43</v>
      </c>
      <c r="H743" s="2">
        <v>761.10</v>
      </c>
      <c r="I743" s="1" t="s">
        <v>44</v>
      </c>
      <c r="J743" s="3" t="s">
        <v>27</v>
      </c>
      <c r="K743" s="2">
        <v>645</v>
      </c>
      <c r="L743" s="2">
        <v>0</v>
      </c>
      <c r="M743" s="2">
        <v>58.05</v>
      </c>
      <c r="N743" s="2">
        <v>58.05</v>
      </c>
      <c r="O743" s="2">
        <v>0</v>
      </c>
      <c r="P743" s="7" t="s">
        <v>28</v>
      </c>
      <c r="Q743" s="1" t="s">
        <v>29</v>
      </c>
      <c r="R743" s="3" t="s">
        <v>45</v>
      </c>
      <c r="S743" s="1" t="s">
        <v>46</v>
      </c>
      <c r="T743" s="4" t="s">
        <v>31</v>
      </c>
      <c r="U743" s="7" t="s">
        <v>32</v>
      </c>
      <c r="V743" s="7" t="s">
        <v>1426</v>
      </c>
      <c r="W743" s="7" t="s">
        <v>43</v>
      </c>
      <c r="X743" s="7" t="s">
        <v>1751</v>
      </c>
      <c r="Y743" s="10">
        <f t="shared" si="23"/>
        <v>116.09999999999999</v>
      </c>
      <c r="AH743" s="5" t="e">
        <f>VLOOKUP(B743,[1]DL!$BK:$BP,6,0)</f>
        <v>#N/A</v>
      </c>
    </row>
    <row r="744" spans="1:34" ht="14.5" hidden="1">
      <c r="A744" s="5">
        <v>741</v>
      </c>
      <c r="B744" s="5" t="str">
        <f t="shared" si="22"/>
        <v>07COJPD7419B1Z7DE/0037</v>
      </c>
      <c r="C744" s="1" t="s">
        <v>199</v>
      </c>
      <c r="D744" s="1" t="s">
        <v>200</v>
      </c>
      <c r="E744" s="1" t="s">
        <v>1427</v>
      </c>
      <c r="F744" s="1" t="s">
        <v>24</v>
      </c>
      <c r="G744" s="1" t="s">
        <v>43</v>
      </c>
      <c r="H744" s="2">
        <v>129.80000000000001</v>
      </c>
      <c r="I744" s="1" t="s">
        <v>44</v>
      </c>
      <c r="J744" s="3" t="s">
        <v>27</v>
      </c>
      <c r="K744" s="2">
        <v>110</v>
      </c>
      <c r="L744" s="2">
        <v>0</v>
      </c>
      <c r="M744" s="2">
        <v>9.90</v>
      </c>
      <c r="N744" s="2">
        <v>9.90</v>
      </c>
      <c r="O744" s="2">
        <v>0</v>
      </c>
      <c r="P744" s="7" t="s">
        <v>28</v>
      </c>
      <c r="Q744" s="1" t="s">
        <v>29</v>
      </c>
      <c r="R744" s="3" t="s">
        <v>45</v>
      </c>
      <c r="S744" s="1" t="s">
        <v>46</v>
      </c>
      <c r="T744" s="4" t="s">
        <v>31</v>
      </c>
      <c r="U744" s="7" t="s">
        <v>32</v>
      </c>
      <c r="V744" s="7" t="s">
        <v>1428</v>
      </c>
      <c r="W744" s="7" t="s">
        <v>43</v>
      </c>
      <c r="X744" s="7" t="s">
        <v>1751</v>
      </c>
      <c r="Y744" s="10">
        <f t="shared" si="23"/>
        <v>19.800000000000001</v>
      </c>
      <c r="AH744" s="5" t="e">
        <f>VLOOKUP(B744,[1]DL!$BK:$BP,6,0)</f>
        <v>#N/A</v>
      </c>
    </row>
    <row r="745" spans="1:34" ht="14.5" hidden="1">
      <c r="A745" s="5">
        <v>742</v>
      </c>
      <c r="B745" s="5" t="str">
        <f t="shared" si="22"/>
        <v>07COJPD7419B1Z7DE/0038</v>
      </c>
      <c r="C745" s="1" t="s">
        <v>199</v>
      </c>
      <c r="D745" s="1" t="s">
        <v>200</v>
      </c>
      <c r="E745" s="1" t="s">
        <v>1429</v>
      </c>
      <c r="F745" s="1" t="s">
        <v>24</v>
      </c>
      <c r="G745" s="1" t="s">
        <v>43</v>
      </c>
      <c r="H745" s="2">
        <v>100.30</v>
      </c>
      <c r="I745" s="1" t="s">
        <v>44</v>
      </c>
      <c r="J745" s="3" t="s">
        <v>27</v>
      </c>
      <c r="K745" s="2">
        <v>85</v>
      </c>
      <c r="L745" s="2">
        <v>0</v>
      </c>
      <c r="M745" s="2">
        <v>7.65</v>
      </c>
      <c r="N745" s="2">
        <v>7.65</v>
      </c>
      <c r="O745" s="2">
        <v>0</v>
      </c>
      <c r="P745" s="7" t="s">
        <v>28</v>
      </c>
      <c r="Q745" s="1" t="s">
        <v>29</v>
      </c>
      <c r="R745" s="3" t="s">
        <v>45</v>
      </c>
      <c r="S745" s="1" t="s">
        <v>46</v>
      </c>
      <c r="T745" s="4" t="s">
        <v>31</v>
      </c>
      <c r="U745" s="7" t="s">
        <v>32</v>
      </c>
      <c r="V745" s="7" t="s">
        <v>1430</v>
      </c>
      <c r="W745" s="7" t="s">
        <v>43</v>
      </c>
      <c r="X745" s="7" t="s">
        <v>1751</v>
      </c>
      <c r="Y745" s="10">
        <f t="shared" si="23"/>
        <v>15.300000000000001</v>
      </c>
      <c r="AH745" s="5" t="e">
        <f>VLOOKUP(B745,[1]DL!$BK:$BP,6,0)</f>
        <v>#N/A</v>
      </c>
    </row>
    <row r="746" spans="1:34" ht="14.5" hidden="1">
      <c r="A746" s="5">
        <v>743</v>
      </c>
      <c r="B746" s="5" t="str">
        <f t="shared" si="22"/>
        <v>07COJPD7419B1Z7DE/0039</v>
      </c>
      <c r="C746" s="1" t="s">
        <v>199</v>
      </c>
      <c r="D746" s="1" t="s">
        <v>200</v>
      </c>
      <c r="E746" s="1" t="s">
        <v>1431</v>
      </c>
      <c r="F746" s="1" t="s">
        <v>24</v>
      </c>
      <c r="G746" s="1" t="s">
        <v>43</v>
      </c>
      <c r="H746" s="2">
        <v>88.5</v>
      </c>
      <c r="I746" s="1" t="s">
        <v>44</v>
      </c>
      <c r="J746" s="3" t="s">
        <v>27</v>
      </c>
      <c r="K746" s="2">
        <v>75</v>
      </c>
      <c r="L746" s="2">
        <v>0</v>
      </c>
      <c r="M746" s="2">
        <v>6.75</v>
      </c>
      <c r="N746" s="2">
        <v>6.75</v>
      </c>
      <c r="O746" s="2">
        <v>0</v>
      </c>
      <c r="P746" s="7" t="s">
        <v>28</v>
      </c>
      <c r="Q746" s="1" t="s">
        <v>29</v>
      </c>
      <c r="R746" s="3" t="s">
        <v>45</v>
      </c>
      <c r="S746" s="1" t="s">
        <v>46</v>
      </c>
      <c r="T746" s="4" t="s">
        <v>31</v>
      </c>
      <c r="U746" s="7" t="s">
        <v>32</v>
      </c>
      <c r="V746" s="7" t="s">
        <v>1432</v>
      </c>
      <c r="W746" s="7" t="s">
        <v>43</v>
      </c>
      <c r="X746" s="7" t="s">
        <v>1751</v>
      </c>
      <c r="Y746" s="10">
        <f t="shared" si="23"/>
        <v>13.5</v>
      </c>
      <c r="AH746" s="5" t="e">
        <f>VLOOKUP(B746,[1]DL!$BK:$BP,6,0)</f>
        <v>#N/A</v>
      </c>
    </row>
    <row r="747" spans="1:34" ht="14.5" hidden="1">
      <c r="A747" s="5">
        <v>744</v>
      </c>
      <c r="B747" s="5" t="str">
        <f t="shared" si="22"/>
        <v>07COJPD7419B1Z7DE/0040</v>
      </c>
      <c r="C747" s="1" t="s">
        <v>199</v>
      </c>
      <c r="D747" s="1" t="s">
        <v>200</v>
      </c>
      <c r="E747" s="1" t="s">
        <v>1433</v>
      </c>
      <c r="F747" s="1" t="s">
        <v>24</v>
      </c>
      <c r="G747" s="1" t="s">
        <v>43</v>
      </c>
      <c r="H747" s="2">
        <v>82.60</v>
      </c>
      <c r="I747" s="1" t="s">
        <v>44</v>
      </c>
      <c r="J747" s="3" t="s">
        <v>27</v>
      </c>
      <c r="K747" s="2">
        <v>70</v>
      </c>
      <c r="L747" s="2">
        <v>0</v>
      </c>
      <c r="M747" s="2">
        <v>6.30</v>
      </c>
      <c r="N747" s="2">
        <v>6.30</v>
      </c>
      <c r="O747" s="2">
        <v>0</v>
      </c>
      <c r="P747" s="7" t="s">
        <v>28</v>
      </c>
      <c r="Q747" s="1" t="s">
        <v>29</v>
      </c>
      <c r="R747" s="3" t="s">
        <v>45</v>
      </c>
      <c r="S747" s="1" t="s">
        <v>46</v>
      </c>
      <c r="T747" s="4" t="s">
        <v>31</v>
      </c>
      <c r="U747" s="7" t="s">
        <v>32</v>
      </c>
      <c r="V747" s="7" t="s">
        <v>1434</v>
      </c>
      <c r="W747" s="7" t="s">
        <v>43</v>
      </c>
      <c r="X747" s="7" t="s">
        <v>1751</v>
      </c>
      <c r="Y747" s="10">
        <f t="shared" si="23"/>
        <v>12.6</v>
      </c>
      <c r="AH747" s="5" t="e">
        <f>VLOOKUP(B747,[1]DL!$BK:$BP,6,0)</f>
        <v>#N/A</v>
      </c>
    </row>
    <row r="748" spans="1:34" ht="14.5" hidden="1">
      <c r="A748" s="5">
        <v>745</v>
      </c>
      <c r="B748" s="5" t="str">
        <f t="shared" si="22"/>
        <v>07COJPD7419B1Z7DE/0041</v>
      </c>
      <c r="C748" s="1" t="s">
        <v>199</v>
      </c>
      <c r="D748" s="1" t="s">
        <v>200</v>
      </c>
      <c r="E748" s="1" t="s">
        <v>1435</v>
      </c>
      <c r="F748" s="1" t="s">
        <v>24</v>
      </c>
      <c r="G748" s="1" t="s">
        <v>43</v>
      </c>
      <c r="H748" s="2">
        <v>413</v>
      </c>
      <c r="I748" s="1" t="s">
        <v>44</v>
      </c>
      <c r="J748" s="3" t="s">
        <v>27</v>
      </c>
      <c r="K748" s="2">
        <v>350</v>
      </c>
      <c r="L748" s="2">
        <v>0</v>
      </c>
      <c r="M748" s="2">
        <v>31.5</v>
      </c>
      <c r="N748" s="2">
        <v>31.5</v>
      </c>
      <c r="O748" s="2">
        <v>0</v>
      </c>
      <c r="P748" s="7" t="s">
        <v>28</v>
      </c>
      <c r="Q748" s="1" t="s">
        <v>29</v>
      </c>
      <c r="R748" s="3" t="s">
        <v>45</v>
      </c>
      <c r="S748" s="1" t="s">
        <v>46</v>
      </c>
      <c r="T748" s="4" t="s">
        <v>31</v>
      </c>
      <c r="U748" s="7" t="s">
        <v>32</v>
      </c>
      <c r="V748" s="7" t="s">
        <v>1436</v>
      </c>
      <c r="W748" s="7" t="s">
        <v>43</v>
      </c>
      <c r="X748" s="7" t="s">
        <v>1751</v>
      </c>
      <c r="Y748" s="10">
        <f t="shared" si="23"/>
        <v>63</v>
      </c>
      <c r="AH748" s="5" t="e">
        <f>VLOOKUP(B748,[1]DL!$BK:$BP,6,0)</f>
        <v>#N/A</v>
      </c>
    </row>
    <row r="749" spans="1:34" ht="14.5" hidden="1">
      <c r="A749" s="5">
        <v>746</v>
      </c>
      <c r="B749" s="5" t="str">
        <f t="shared" si="22"/>
        <v>07COJPD7419B1Z7DE/0042</v>
      </c>
      <c r="C749" s="1" t="s">
        <v>199</v>
      </c>
      <c r="D749" s="1" t="s">
        <v>200</v>
      </c>
      <c r="E749" s="1" t="s">
        <v>1437</v>
      </c>
      <c r="F749" s="1" t="s">
        <v>24</v>
      </c>
      <c r="G749" s="1" t="s">
        <v>43</v>
      </c>
      <c r="H749" s="2">
        <v>2950</v>
      </c>
      <c r="I749" s="1" t="s">
        <v>44</v>
      </c>
      <c r="J749" s="3" t="s">
        <v>27</v>
      </c>
      <c r="K749" s="2">
        <v>2500</v>
      </c>
      <c r="L749" s="2">
        <v>0</v>
      </c>
      <c r="M749" s="2">
        <v>225</v>
      </c>
      <c r="N749" s="2">
        <v>225</v>
      </c>
      <c r="O749" s="2">
        <v>0</v>
      </c>
      <c r="P749" s="7" t="s">
        <v>28</v>
      </c>
      <c r="Q749" s="1" t="s">
        <v>29</v>
      </c>
      <c r="R749" s="3" t="s">
        <v>45</v>
      </c>
      <c r="S749" s="1" t="s">
        <v>46</v>
      </c>
      <c r="T749" s="4" t="s">
        <v>31</v>
      </c>
      <c r="U749" s="7" t="s">
        <v>32</v>
      </c>
      <c r="V749" s="7" t="s">
        <v>1438</v>
      </c>
      <c r="W749" s="7" t="s">
        <v>43</v>
      </c>
      <c r="X749" s="7" t="s">
        <v>1751</v>
      </c>
      <c r="Y749" s="10">
        <f t="shared" si="23"/>
        <v>450</v>
      </c>
      <c r="AH749" s="5" t="e">
        <f>VLOOKUP(B749,[1]DL!$BK:$BP,6,0)</f>
        <v>#N/A</v>
      </c>
    </row>
    <row r="750" spans="1:34" ht="14.5" hidden="1">
      <c r="A750" s="5">
        <v>747</v>
      </c>
      <c r="B750" s="5" t="str">
        <f t="shared" si="22"/>
        <v>07COJPD7419B1Z7DE/0043</v>
      </c>
      <c r="C750" s="1" t="s">
        <v>199</v>
      </c>
      <c r="D750" s="1" t="s">
        <v>200</v>
      </c>
      <c r="E750" s="1" t="s">
        <v>1439</v>
      </c>
      <c r="F750" s="1" t="s">
        <v>24</v>
      </c>
      <c r="G750" s="1" t="s">
        <v>43</v>
      </c>
      <c r="H750" s="2">
        <v>4720</v>
      </c>
      <c r="I750" s="1" t="s">
        <v>44</v>
      </c>
      <c r="J750" s="3" t="s">
        <v>27</v>
      </c>
      <c r="K750" s="2">
        <v>4000</v>
      </c>
      <c r="L750" s="2">
        <v>0</v>
      </c>
      <c r="M750" s="2">
        <v>360</v>
      </c>
      <c r="N750" s="2">
        <v>360</v>
      </c>
      <c r="O750" s="2">
        <v>0</v>
      </c>
      <c r="P750" s="7" t="s">
        <v>28</v>
      </c>
      <c r="Q750" s="1" t="s">
        <v>29</v>
      </c>
      <c r="R750" s="3" t="s">
        <v>45</v>
      </c>
      <c r="S750" s="1" t="s">
        <v>46</v>
      </c>
      <c r="T750" s="4" t="s">
        <v>31</v>
      </c>
      <c r="U750" s="7" t="s">
        <v>32</v>
      </c>
      <c r="V750" s="7" t="s">
        <v>1440</v>
      </c>
      <c r="W750" s="7" t="s">
        <v>43</v>
      </c>
      <c r="X750" s="7" t="s">
        <v>1751</v>
      </c>
      <c r="Y750" s="10">
        <f t="shared" si="23"/>
        <v>720</v>
      </c>
      <c r="AH750" s="5" t="e">
        <f>VLOOKUP(B750,[1]DL!$BK:$BP,6,0)</f>
        <v>#N/A</v>
      </c>
    </row>
    <row r="751" spans="1:34" ht="14.5" hidden="1">
      <c r="A751" s="5">
        <v>748</v>
      </c>
      <c r="B751" s="5" t="str">
        <f t="shared" si="22"/>
        <v>07COJPD7419B1Z7DE/0080</v>
      </c>
      <c r="C751" s="1" t="s">
        <v>199</v>
      </c>
      <c r="D751" s="1" t="s">
        <v>200</v>
      </c>
      <c r="E751" s="1" t="s">
        <v>1441</v>
      </c>
      <c r="F751" s="1" t="s">
        <v>24</v>
      </c>
      <c r="G751" s="1" t="s">
        <v>285</v>
      </c>
      <c r="H751" s="2">
        <v>2950</v>
      </c>
      <c r="I751" s="1" t="s">
        <v>44</v>
      </c>
      <c r="J751" s="3" t="s">
        <v>27</v>
      </c>
      <c r="K751" s="2">
        <v>2500</v>
      </c>
      <c r="L751" s="2">
        <v>0</v>
      </c>
      <c r="M751" s="2">
        <v>225</v>
      </c>
      <c r="N751" s="2">
        <v>225</v>
      </c>
      <c r="O751" s="2">
        <v>0</v>
      </c>
      <c r="P751" s="7" t="s">
        <v>28</v>
      </c>
      <c r="Q751" s="1" t="s">
        <v>29</v>
      </c>
      <c r="R751" s="3" t="s">
        <v>45</v>
      </c>
      <c r="S751" s="1" t="s">
        <v>46</v>
      </c>
      <c r="T751" s="4" t="s">
        <v>31</v>
      </c>
      <c r="U751" s="7" t="s">
        <v>32</v>
      </c>
      <c r="V751" s="7" t="s">
        <v>1442</v>
      </c>
      <c r="W751" s="7" t="s">
        <v>285</v>
      </c>
      <c r="X751" s="7" t="s">
        <v>1751</v>
      </c>
      <c r="Y751" s="10">
        <f t="shared" si="23"/>
        <v>450</v>
      </c>
      <c r="AH751" s="5" t="e">
        <f>VLOOKUP(B751,[1]DL!$BK:$BP,6,0)</f>
        <v>#N/A</v>
      </c>
    </row>
    <row r="752" spans="1:34" ht="14.5" hidden="1">
      <c r="A752" s="5">
        <v>749</v>
      </c>
      <c r="B752" s="5" t="str">
        <f t="shared" si="22"/>
        <v>07COJPD7419B1Z7DE/0121</v>
      </c>
      <c r="C752" s="1" t="s">
        <v>199</v>
      </c>
      <c r="D752" s="1" t="s">
        <v>200</v>
      </c>
      <c r="E752" s="1" t="s">
        <v>1443</v>
      </c>
      <c r="F752" s="1" t="s">
        <v>24</v>
      </c>
      <c r="G752" s="1" t="s">
        <v>204</v>
      </c>
      <c r="H752" s="2">
        <v>138989.94</v>
      </c>
      <c r="I752" s="1" t="s">
        <v>44</v>
      </c>
      <c r="J752" s="3" t="s">
        <v>27</v>
      </c>
      <c r="K752" s="2">
        <v>95675.66</v>
      </c>
      <c r="L752" s="2">
        <v>0</v>
      </c>
      <c r="M752" s="2">
        <v>21657.14</v>
      </c>
      <c r="N752" s="2">
        <v>21657.14</v>
      </c>
      <c r="O752" s="2">
        <v>0</v>
      </c>
      <c r="P752" s="7" t="s">
        <v>28</v>
      </c>
      <c r="Q752" s="1" t="s">
        <v>29</v>
      </c>
      <c r="R752" s="3" t="s">
        <v>45</v>
      </c>
      <c r="S752" s="1" t="s">
        <v>46</v>
      </c>
      <c r="T752" s="4" t="s">
        <v>31</v>
      </c>
      <c r="U752" s="7" t="s">
        <v>46</v>
      </c>
      <c r="V752" s="7" t="s">
        <v>46</v>
      </c>
      <c r="W752" s="7" t="s">
        <v>46</v>
      </c>
      <c r="X752" s="7" t="s">
        <v>1751</v>
      </c>
      <c r="Y752" s="10">
        <f t="shared" si="23"/>
        <v>43314.279999999999</v>
      </c>
      <c r="AH752" s="5" t="e">
        <f>VLOOKUP(B752,[1]DL!$BK:$BP,6,0)</f>
        <v>#N/A</v>
      </c>
    </row>
    <row r="753" spans="1:34" ht="14.5" hidden="1">
      <c r="A753" s="5">
        <v>750</v>
      </c>
      <c r="B753" s="5" t="str">
        <f t="shared" si="22"/>
        <v>07COJPD7419B1Z7DE/0122</v>
      </c>
      <c r="C753" s="1" t="s">
        <v>199</v>
      </c>
      <c r="D753" s="1" t="s">
        <v>200</v>
      </c>
      <c r="E753" s="1" t="s">
        <v>1444</v>
      </c>
      <c r="F753" s="1" t="s">
        <v>24</v>
      </c>
      <c r="G753" s="1" t="s">
        <v>204</v>
      </c>
      <c r="H753" s="2">
        <v>13500</v>
      </c>
      <c r="I753" s="1" t="s">
        <v>44</v>
      </c>
      <c r="J753" s="3" t="s">
        <v>27</v>
      </c>
      <c r="K753" s="2">
        <v>9242.86</v>
      </c>
      <c r="L753" s="2">
        <v>0</v>
      </c>
      <c r="M753" s="2">
        <v>2128.58</v>
      </c>
      <c r="N753" s="2">
        <v>2128.58</v>
      </c>
      <c r="O753" s="2">
        <v>0</v>
      </c>
      <c r="P753" s="7" t="s">
        <v>28</v>
      </c>
      <c r="Q753" s="1" t="s">
        <v>29</v>
      </c>
      <c r="R753" s="3" t="s">
        <v>45</v>
      </c>
      <c r="S753" s="1" t="s">
        <v>46</v>
      </c>
      <c r="T753" s="4" t="s">
        <v>31</v>
      </c>
      <c r="U753" s="7" t="s">
        <v>46</v>
      </c>
      <c r="V753" s="7" t="s">
        <v>46</v>
      </c>
      <c r="W753" s="7" t="s">
        <v>46</v>
      </c>
      <c r="X753" s="7" t="s">
        <v>1751</v>
      </c>
      <c r="Y753" s="10">
        <f t="shared" si="23"/>
        <v>4257.1599999999999</v>
      </c>
      <c r="AH753" s="5" t="e">
        <f>VLOOKUP(B753,[1]DL!$BK:$BP,6,0)</f>
        <v>#N/A</v>
      </c>
    </row>
    <row r="754" spans="1:34" ht="14.5" hidden="1">
      <c r="A754" s="5">
        <v>751</v>
      </c>
      <c r="B754" s="5" t="str">
        <f t="shared" si="22"/>
        <v>07COJPD7419B1Z7DE/0123</v>
      </c>
      <c r="C754" s="1" t="s">
        <v>199</v>
      </c>
      <c r="D754" s="1" t="s">
        <v>200</v>
      </c>
      <c r="E754" s="1" t="s">
        <v>1445</v>
      </c>
      <c r="F754" s="1" t="s">
        <v>24</v>
      </c>
      <c r="G754" s="1" t="s">
        <v>204</v>
      </c>
      <c r="H754" s="2">
        <v>1180</v>
      </c>
      <c r="I754" s="1" t="s">
        <v>44</v>
      </c>
      <c r="J754" s="3" t="s">
        <v>27</v>
      </c>
      <c r="K754" s="2">
        <v>1000</v>
      </c>
      <c r="L754" s="2">
        <v>0</v>
      </c>
      <c r="M754" s="2">
        <v>90</v>
      </c>
      <c r="N754" s="2">
        <v>90</v>
      </c>
      <c r="O754" s="2">
        <v>0</v>
      </c>
      <c r="P754" s="7" t="s">
        <v>28</v>
      </c>
      <c r="Q754" s="1" t="s">
        <v>29</v>
      </c>
      <c r="R754" s="3" t="s">
        <v>45</v>
      </c>
      <c r="S754" s="1" t="s">
        <v>46</v>
      </c>
      <c r="T754" s="4" t="s">
        <v>31</v>
      </c>
      <c r="U754" s="7" t="s">
        <v>32</v>
      </c>
      <c r="V754" s="7" t="s">
        <v>1446</v>
      </c>
      <c r="W754" s="7" t="s">
        <v>204</v>
      </c>
      <c r="X754" s="7" t="s">
        <v>1751</v>
      </c>
      <c r="Y754" s="10">
        <f t="shared" si="23"/>
        <v>180</v>
      </c>
      <c r="AH754" s="5" t="e">
        <f>VLOOKUP(B754,[1]DL!$BK:$BP,6,0)</f>
        <v>#N/A</v>
      </c>
    </row>
    <row r="755" spans="1:34" ht="14.5" hidden="1">
      <c r="A755" s="5">
        <v>752</v>
      </c>
      <c r="B755" s="5" t="str">
        <f t="shared" si="22"/>
        <v>07COJPD7419B1Z7DE/0263</v>
      </c>
      <c r="C755" s="1" t="s">
        <v>199</v>
      </c>
      <c r="D755" s="1" t="s">
        <v>200</v>
      </c>
      <c r="E755" s="1" t="s">
        <v>1447</v>
      </c>
      <c r="F755" s="1" t="s">
        <v>24</v>
      </c>
      <c r="G755" s="1" t="s">
        <v>420</v>
      </c>
      <c r="H755" s="2">
        <v>7619</v>
      </c>
      <c r="I755" s="1" t="s">
        <v>44</v>
      </c>
      <c r="J755" s="3" t="s">
        <v>27</v>
      </c>
      <c r="K755" s="2">
        <v>5219</v>
      </c>
      <c r="L755" s="2">
        <v>0</v>
      </c>
      <c r="M755" s="2">
        <v>1200</v>
      </c>
      <c r="N755" s="2">
        <v>1200</v>
      </c>
      <c r="O755" s="2">
        <v>0</v>
      </c>
      <c r="P755" s="7" t="s">
        <v>28</v>
      </c>
      <c r="Q755" s="1" t="s">
        <v>29</v>
      </c>
      <c r="R755" s="3" t="s">
        <v>45</v>
      </c>
      <c r="S755" s="1" t="s">
        <v>46</v>
      </c>
      <c r="T755" s="4" t="s">
        <v>31</v>
      </c>
      <c r="U755" s="7" t="s">
        <v>46</v>
      </c>
      <c r="V755" s="7" t="s">
        <v>46</v>
      </c>
      <c r="W755" s="7" t="s">
        <v>46</v>
      </c>
      <c r="X755" s="7" t="s">
        <v>1751</v>
      </c>
      <c r="Y755" s="10">
        <f t="shared" si="23"/>
        <v>2400</v>
      </c>
      <c r="AH755" s="5" t="e">
        <f>VLOOKUP(B755,[1]DL!$BK:$BP,6,0)</f>
        <v>#N/A</v>
      </c>
    </row>
    <row r="756" spans="1:34" ht="14.5" hidden="1">
      <c r="A756" s="5">
        <v>753</v>
      </c>
      <c r="B756" s="5" t="str">
        <f t="shared" si="22"/>
        <v>07AAACB0446L1ZU2026407R00001770</v>
      </c>
      <c r="C756" s="1" t="s">
        <v>1448</v>
      </c>
      <c r="D756" s="1" t="s">
        <v>1449</v>
      </c>
      <c r="E756" s="1" t="s">
        <v>1450</v>
      </c>
      <c r="F756" s="1" t="s">
        <v>24</v>
      </c>
      <c r="G756" s="1" t="s">
        <v>76</v>
      </c>
      <c r="H756" s="2">
        <v>5619.32</v>
      </c>
      <c r="I756" s="1" t="s">
        <v>44</v>
      </c>
      <c r="J756" s="3" t="s">
        <v>27</v>
      </c>
      <c r="K756" s="2">
        <v>4762.1400000000003</v>
      </c>
      <c r="L756" s="2">
        <v>0</v>
      </c>
      <c r="M756" s="2">
        <v>428.59</v>
      </c>
      <c r="N756" s="2">
        <v>428.59</v>
      </c>
      <c r="O756" s="2">
        <v>0</v>
      </c>
      <c r="P756" s="7" t="s">
        <v>28</v>
      </c>
      <c r="Q756" s="1" t="s">
        <v>29</v>
      </c>
      <c r="R756" s="3" t="s">
        <v>45</v>
      </c>
      <c r="S756" s="1" t="s">
        <v>46</v>
      </c>
      <c r="T756" s="4" t="s">
        <v>31</v>
      </c>
      <c r="U756" s="7" t="s">
        <v>46</v>
      </c>
      <c r="V756" s="7" t="s">
        <v>46</v>
      </c>
      <c r="W756" s="7" t="s">
        <v>46</v>
      </c>
      <c r="X756" s="7" t="s">
        <v>1751</v>
      </c>
      <c r="Y756" s="10">
        <f t="shared" si="23"/>
        <v>857.17999999999995</v>
      </c>
      <c r="AH756" s="5" t="e">
        <f>VLOOKUP(B756,[1]DL!$BK:$BP,6,0)</f>
        <v>#N/A</v>
      </c>
    </row>
    <row r="757" spans="1:34" ht="14.5" hidden="1">
      <c r="A757" s="5">
        <v>754</v>
      </c>
      <c r="B757" s="5" t="str">
        <f t="shared" si="22"/>
        <v>07AAACB0446L1ZU2026407R00001771</v>
      </c>
      <c r="C757" s="1" t="s">
        <v>1448</v>
      </c>
      <c r="D757" s="1" t="s">
        <v>1449</v>
      </c>
      <c r="E757" s="1" t="s">
        <v>1451</v>
      </c>
      <c r="F757" s="1" t="s">
        <v>24</v>
      </c>
      <c r="G757" s="1" t="s">
        <v>76</v>
      </c>
      <c r="H757" s="2">
        <v>63653.79</v>
      </c>
      <c r="I757" s="1" t="s">
        <v>44</v>
      </c>
      <c r="J757" s="3" t="s">
        <v>27</v>
      </c>
      <c r="K757" s="2">
        <v>53943.89</v>
      </c>
      <c r="L757" s="2">
        <v>0</v>
      </c>
      <c r="M757" s="2">
        <v>4854.95</v>
      </c>
      <c r="N757" s="2">
        <v>4854.95</v>
      </c>
      <c r="O757" s="2">
        <v>0</v>
      </c>
      <c r="P757" s="7" t="s">
        <v>28</v>
      </c>
      <c r="Q757" s="1" t="s">
        <v>29</v>
      </c>
      <c r="R757" s="3" t="s">
        <v>45</v>
      </c>
      <c r="S757" s="1" t="s">
        <v>46</v>
      </c>
      <c r="T757" s="4" t="s">
        <v>31</v>
      </c>
      <c r="U757" s="7" t="s">
        <v>46</v>
      </c>
      <c r="V757" s="7" t="s">
        <v>46</v>
      </c>
      <c r="W757" s="7" t="s">
        <v>46</v>
      </c>
      <c r="X757" s="7" t="s">
        <v>1751</v>
      </c>
      <c r="Y757" s="10">
        <f t="shared" si="23"/>
        <v>9709.8999999999996</v>
      </c>
      <c r="AH757" s="5" t="e">
        <f>VLOOKUP(B757,[1]DL!$BK:$BP,6,0)</f>
        <v>#N/A</v>
      </c>
    </row>
    <row r="758" spans="1:34" ht="14.5" hidden="1">
      <c r="A758" s="5">
        <v>755</v>
      </c>
      <c r="B758" s="5" t="str">
        <f t="shared" si="22"/>
        <v>07AAACB0446L1ZU2026407R00001772</v>
      </c>
      <c r="C758" s="1" t="s">
        <v>1448</v>
      </c>
      <c r="D758" s="1" t="s">
        <v>1449</v>
      </c>
      <c r="E758" s="1" t="s">
        <v>1452</v>
      </c>
      <c r="F758" s="1" t="s">
        <v>24</v>
      </c>
      <c r="G758" s="1" t="s">
        <v>76</v>
      </c>
      <c r="H758" s="2">
        <v>93852.84</v>
      </c>
      <c r="I758" s="1" t="s">
        <v>44</v>
      </c>
      <c r="J758" s="3" t="s">
        <v>27</v>
      </c>
      <c r="K758" s="2">
        <v>79536.30</v>
      </c>
      <c r="L758" s="2">
        <v>0</v>
      </c>
      <c r="M758" s="2">
        <v>7158.27</v>
      </c>
      <c r="N758" s="2">
        <v>7158.27</v>
      </c>
      <c r="O758" s="2">
        <v>0</v>
      </c>
      <c r="P758" s="7" t="s">
        <v>28</v>
      </c>
      <c r="Q758" s="1" t="s">
        <v>29</v>
      </c>
      <c r="R758" s="3" t="s">
        <v>45</v>
      </c>
      <c r="S758" s="1" t="s">
        <v>46</v>
      </c>
      <c r="T758" s="4" t="s">
        <v>31</v>
      </c>
      <c r="U758" s="7" t="s">
        <v>46</v>
      </c>
      <c r="V758" s="7" t="s">
        <v>46</v>
      </c>
      <c r="W758" s="7" t="s">
        <v>46</v>
      </c>
      <c r="X758" s="7" t="s">
        <v>1751</v>
      </c>
      <c r="Y758" s="10">
        <f t="shared" si="23"/>
        <v>14316.540000000001</v>
      </c>
      <c r="AH758" s="5" t="e">
        <f>VLOOKUP(B758,[1]DL!$BK:$BP,6,0)</f>
        <v>#N/A</v>
      </c>
    </row>
    <row r="759" spans="1:34" ht="14.5" hidden="1">
      <c r="A759" s="5">
        <v>756</v>
      </c>
      <c r="B759" s="5" t="str">
        <f t="shared" si="22"/>
        <v>03AABCG4768K1ZHGPI-JAL260500433</v>
      </c>
      <c r="C759" s="1" t="s">
        <v>1453</v>
      </c>
      <c r="D759" s="1" t="s">
        <v>430</v>
      </c>
      <c r="E759" s="1" t="s">
        <v>1454</v>
      </c>
      <c r="F759" s="1" t="s">
        <v>24</v>
      </c>
      <c r="G759" s="1" t="s">
        <v>289</v>
      </c>
      <c r="H759" s="2">
        <v>1402775.52</v>
      </c>
      <c r="I759" s="1" t="s">
        <v>44</v>
      </c>
      <c r="J759" s="3" t="s">
        <v>27</v>
      </c>
      <c r="K759" s="2">
        <v>934775.52</v>
      </c>
      <c r="L759" s="2">
        <v>468000</v>
      </c>
      <c r="M759" s="2">
        <v>0</v>
      </c>
      <c r="N759" s="2">
        <v>0</v>
      </c>
      <c r="O759" s="2">
        <v>0</v>
      </c>
      <c r="P759" s="7" t="s">
        <v>28</v>
      </c>
      <c r="Q759" s="1" t="s">
        <v>29</v>
      </c>
      <c r="R759" s="3" t="s">
        <v>45</v>
      </c>
      <c r="S759" s="1" t="s">
        <v>46</v>
      </c>
      <c r="T759" s="4" t="s">
        <v>31</v>
      </c>
      <c r="U759" s="7" t="s">
        <v>32</v>
      </c>
      <c r="V759" s="7" t="s">
        <v>1455</v>
      </c>
      <c r="W759" s="7" t="s">
        <v>289</v>
      </c>
      <c r="X759" s="7" t="s">
        <v>1751</v>
      </c>
      <c r="Y759" s="10">
        <f t="shared" si="23"/>
        <v>468000</v>
      </c>
      <c r="AH759" s="5" t="e">
        <f>VLOOKUP(B759,[1]DL!$BK:$BP,6,0)</f>
        <v>#N/A</v>
      </c>
    </row>
    <row r="760" spans="1:34" ht="14.5" hidden="1">
      <c r="A760" s="5">
        <v>757</v>
      </c>
      <c r="B760" s="5" t="str">
        <f t="shared" si="22"/>
        <v>07ABLCS1295E1Z68/BR/26000264</v>
      </c>
      <c r="C760" s="1" t="s">
        <v>1456</v>
      </c>
      <c r="D760" s="1" t="s">
        <v>1457</v>
      </c>
      <c r="E760" s="1" t="s">
        <v>1458</v>
      </c>
      <c r="F760" s="1" t="s">
        <v>24</v>
      </c>
      <c r="G760" s="1" t="s">
        <v>171</v>
      </c>
      <c r="H760" s="2">
        <v>13713</v>
      </c>
      <c r="I760" s="1" t="s">
        <v>44</v>
      </c>
      <c r="J760" s="3" t="s">
        <v>27</v>
      </c>
      <c r="K760" s="2">
        <v>11621.43</v>
      </c>
      <c r="L760" s="2">
        <v>0</v>
      </c>
      <c r="M760" s="2">
        <v>1045.94</v>
      </c>
      <c r="N760" s="2">
        <v>1045.94</v>
      </c>
      <c r="O760" s="2">
        <v>0</v>
      </c>
      <c r="P760" s="7" t="s">
        <v>28</v>
      </c>
      <c r="Q760" s="1" t="s">
        <v>29</v>
      </c>
      <c r="R760" s="3" t="s">
        <v>45</v>
      </c>
      <c r="S760" s="1" t="s">
        <v>46</v>
      </c>
      <c r="T760" s="4" t="s">
        <v>31</v>
      </c>
      <c r="U760" s="7" t="s">
        <v>32</v>
      </c>
      <c r="V760" s="7" t="s">
        <v>1459</v>
      </c>
      <c r="W760" s="7" t="s">
        <v>171</v>
      </c>
      <c r="X760" s="7" t="s">
        <v>1751</v>
      </c>
      <c r="Y760" s="10">
        <f t="shared" si="23"/>
        <v>2091.8800000000001</v>
      </c>
      <c r="AH760" s="5" t="e">
        <f>VLOOKUP(B760,[1]DL!$BK:$BP,6,0)</f>
        <v>#N/A</v>
      </c>
    </row>
    <row r="761" spans="1:34" ht="14.5" hidden="1">
      <c r="A761" s="5">
        <v>758</v>
      </c>
      <c r="B761" s="5" t="str">
        <f t="shared" si="22"/>
        <v>07AIDPG3491L2Z226-27/VG-2</v>
      </c>
      <c r="C761" s="1" t="s">
        <v>1460</v>
      </c>
      <c r="D761" s="1" t="s">
        <v>1461</v>
      </c>
      <c r="E761" s="1" t="s">
        <v>1462</v>
      </c>
      <c r="F761" s="1" t="s">
        <v>24</v>
      </c>
      <c r="G761" s="1" t="s">
        <v>76</v>
      </c>
      <c r="H761" s="2">
        <v>210</v>
      </c>
      <c r="I761" s="1" t="s">
        <v>44</v>
      </c>
      <c r="J761" s="3" t="s">
        <v>27</v>
      </c>
      <c r="K761" s="2">
        <v>200</v>
      </c>
      <c r="L761" s="2">
        <v>0</v>
      </c>
      <c r="M761" s="2">
        <v>5</v>
      </c>
      <c r="N761" s="2">
        <v>5</v>
      </c>
      <c r="O761" s="2">
        <v>0</v>
      </c>
      <c r="P761" s="7" t="s">
        <v>28</v>
      </c>
      <c r="Q761" s="1" t="s">
        <v>29</v>
      </c>
      <c r="R761" s="3" t="s">
        <v>45</v>
      </c>
      <c r="S761" s="1" t="s">
        <v>46</v>
      </c>
      <c r="T761" s="4" t="s">
        <v>31</v>
      </c>
      <c r="U761" s="7" t="s">
        <v>32</v>
      </c>
      <c r="V761" s="7" t="s">
        <v>1463</v>
      </c>
      <c r="W761" s="7" t="s">
        <v>120</v>
      </c>
      <c r="X761" s="7" t="s">
        <v>1751</v>
      </c>
      <c r="Y761" s="10">
        <f t="shared" si="23"/>
        <v>10</v>
      </c>
      <c r="AH761" s="5" t="e">
        <f>VLOOKUP(B761,[1]DL!$BK:$BP,6,0)</f>
        <v>#N/A</v>
      </c>
    </row>
    <row r="762" spans="1:34" ht="14.5" hidden="1">
      <c r="A762" s="5">
        <v>759</v>
      </c>
      <c r="B762" s="5" t="str">
        <f t="shared" si="22"/>
        <v>06AAACF8110B1ZCHA2601000225</v>
      </c>
      <c r="C762" s="1" t="s">
        <v>1464</v>
      </c>
      <c r="D762" s="1" t="s">
        <v>1465</v>
      </c>
      <c r="E762" s="1" t="s">
        <v>1466</v>
      </c>
      <c r="F762" s="1" t="s">
        <v>24</v>
      </c>
      <c r="G762" s="1" t="s">
        <v>125</v>
      </c>
      <c r="H762" s="2">
        <v>262564.09999999998</v>
      </c>
      <c r="I762" s="1" t="s">
        <v>44</v>
      </c>
      <c r="J762" s="3" t="s">
        <v>27</v>
      </c>
      <c r="K762" s="2">
        <v>250061.05</v>
      </c>
      <c r="L762" s="2">
        <v>12503.05</v>
      </c>
      <c r="M762" s="2">
        <v>0</v>
      </c>
      <c r="N762" s="2">
        <v>0</v>
      </c>
      <c r="O762" s="2">
        <v>0</v>
      </c>
      <c r="P762" s="7" t="s">
        <v>28</v>
      </c>
      <c r="Q762" s="1" t="s">
        <v>120</v>
      </c>
      <c r="R762" s="3" t="s">
        <v>45</v>
      </c>
      <c r="S762" s="1" t="s">
        <v>46</v>
      </c>
      <c r="T762" s="4" t="s">
        <v>31</v>
      </c>
      <c r="U762" s="7" t="s">
        <v>46</v>
      </c>
      <c r="V762" s="7" t="s">
        <v>46</v>
      </c>
      <c r="W762" s="7" t="s">
        <v>46</v>
      </c>
      <c r="X762" s="7" t="s">
        <v>1751</v>
      </c>
      <c r="Y762" s="10">
        <f t="shared" si="23"/>
        <v>12503.049999999999</v>
      </c>
      <c r="AH762" s="5" t="e">
        <f>VLOOKUP(B762,[1]DL!$BK:$BP,6,0)</f>
        <v>#N/A</v>
      </c>
    </row>
    <row r="763" spans="1:34" ht="14.5" hidden="1">
      <c r="A763" s="5">
        <v>760</v>
      </c>
      <c r="B763" s="5" t="str">
        <f t="shared" si="22"/>
        <v>07AJJPG0822E1ZP051</v>
      </c>
      <c r="C763" s="1" t="s">
        <v>1467</v>
      </c>
      <c r="D763" s="1" t="s">
        <v>1468</v>
      </c>
      <c r="E763" s="1" t="s">
        <v>1469</v>
      </c>
      <c r="F763" s="1" t="s">
        <v>24</v>
      </c>
      <c r="G763" s="1" t="s">
        <v>125</v>
      </c>
      <c r="H763" s="2">
        <v>1416</v>
      </c>
      <c r="I763" s="1" t="s">
        <v>44</v>
      </c>
      <c r="J763" s="3" t="s">
        <v>27</v>
      </c>
      <c r="K763" s="2">
        <v>1200</v>
      </c>
      <c r="L763" s="2">
        <v>0</v>
      </c>
      <c r="M763" s="2">
        <v>108</v>
      </c>
      <c r="N763" s="2">
        <v>108</v>
      </c>
      <c r="O763" s="2">
        <v>0</v>
      </c>
      <c r="P763" s="7" t="s">
        <v>28</v>
      </c>
      <c r="Q763" s="1" t="s">
        <v>904</v>
      </c>
      <c r="R763" s="3" t="s">
        <v>45</v>
      </c>
      <c r="S763" s="1" t="s">
        <v>46</v>
      </c>
      <c r="T763" s="4" t="s">
        <v>31</v>
      </c>
      <c r="U763" s="7" t="s">
        <v>46</v>
      </c>
      <c r="V763" s="7" t="s">
        <v>46</v>
      </c>
      <c r="W763" s="7" t="s">
        <v>46</v>
      </c>
      <c r="X763" s="7" t="s">
        <v>1751</v>
      </c>
      <c r="Y763" s="10">
        <f t="shared" si="23"/>
        <v>216</v>
      </c>
      <c r="AH763" s="5" t="e">
        <f>VLOOKUP(B763,[1]DL!$BK:$BP,6,0)</f>
        <v>#N/A</v>
      </c>
    </row>
    <row r="764" spans="1:34" ht="14.5" hidden="1">
      <c r="A764" s="5">
        <v>761</v>
      </c>
      <c r="B764" s="5" t="str">
        <f t="shared" si="22"/>
        <v>07AAECC1851C1Z5CCPL/2025-26/REN</v>
      </c>
      <c r="C764" s="1" t="s">
        <v>410</v>
      </c>
      <c r="D764" s="1" t="s">
        <v>411</v>
      </c>
      <c r="E764" s="1" t="s">
        <v>1470</v>
      </c>
      <c r="F764" s="1" t="s">
        <v>24</v>
      </c>
      <c r="G764" s="1" t="s">
        <v>1471</v>
      </c>
      <c r="H764" s="2">
        <v>165200</v>
      </c>
      <c r="I764" s="1" t="s">
        <v>44</v>
      </c>
      <c r="J764" s="3" t="s">
        <v>27</v>
      </c>
      <c r="K764" s="2">
        <v>140000</v>
      </c>
      <c r="L764" s="2">
        <v>0</v>
      </c>
      <c r="M764" s="2">
        <v>12600</v>
      </c>
      <c r="N764" s="2">
        <v>12600</v>
      </c>
      <c r="O764" s="2">
        <v>0</v>
      </c>
      <c r="P764" s="7" t="s">
        <v>203</v>
      </c>
      <c r="Q764" s="1" t="s">
        <v>89</v>
      </c>
      <c r="R764" s="3" t="s">
        <v>45</v>
      </c>
      <c r="S764" s="1" t="s">
        <v>46</v>
      </c>
      <c r="T764" s="4" t="s">
        <v>31</v>
      </c>
      <c r="U764" s="7" t="s">
        <v>46</v>
      </c>
      <c r="V764" s="7" t="s">
        <v>46</v>
      </c>
      <c r="W764" s="7" t="s">
        <v>46</v>
      </c>
      <c r="X764" s="7" t="s">
        <v>1751</v>
      </c>
      <c r="Y764" s="10">
        <f t="shared" si="23"/>
        <v>25200</v>
      </c>
      <c r="AH764" s="5" t="e">
        <f>VLOOKUP(B764,[1]DL!$BK:$BP,6,0)</f>
        <v>#N/A</v>
      </c>
    </row>
    <row r="765" spans="1:34" ht="14.5" hidden="1">
      <c r="A765" s="5">
        <v>762</v>
      </c>
      <c r="B765" s="5" t="str">
        <f t="shared" si="22"/>
        <v>07AABCI6363G1ZLC07E262700004322</v>
      </c>
      <c r="C765" s="1" t="s">
        <v>1472</v>
      </c>
      <c r="D765" s="1" t="s">
        <v>1473</v>
      </c>
      <c r="E765" s="1" t="s">
        <v>1474</v>
      </c>
      <c r="F765" s="1" t="s">
        <v>24</v>
      </c>
      <c r="G765" s="1" t="s">
        <v>93</v>
      </c>
      <c r="H765" s="2">
        <v>16081.22</v>
      </c>
      <c r="I765" s="1" t="s">
        <v>44</v>
      </c>
      <c r="J765" s="3" t="s">
        <v>27</v>
      </c>
      <c r="K765" s="2">
        <v>13628.16</v>
      </c>
      <c r="L765" s="2">
        <v>0</v>
      </c>
      <c r="M765" s="2">
        <v>1226.53</v>
      </c>
      <c r="N765" s="2">
        <v>1226.53</v>
      </c>
      <c r="O765" s="2">
        <v>0</v>
      </c>
      <c r="P765" s="7" t="s">
        <v>28</v>
      </c>
      <c r="Q765" s="1" t="s">
        <v>29</v>
      </c>
      <c r="R765" s="3" t="s">
        <v>45</v>
      </c>
      <c r="S765" s="1" t="s">
        <v>46</v>
      </c>
      <c r="T765" s="4" t="s">
        <v>31</v>
      </c>
      <c r="U765" s="7" t="s">
        <v>46</v>
      </c>
      <c r="V765" s="7" t="s">
        <v>46</v>
      </c>
      <c r="W765" s="7" t="s">
        <v>46</v>
      </c>
      <c r="X765" s="7" t="s">
        <v>1751</v>
      </c>
      <c r="Y765" s="10">
        <f t="shared" si="23"/>
        <v>2453.0599999999999</v>
      </c>
      <c r="AH765" s="5" t="e">
        <f>VLOOKUP(B765,[1]DL!$BK:$BP,6,0)</f>
        <v>#N/A</v>
      </c>
    </row>
    <row r="766" spans="1:34" ht="14.5" hidden="1">
      <c r="A766" s="5">
        <v>763</v>
      </c>
      <c r="B766" s="5" t="str">
        <f t="shared" si="22"/>
        <v>07AABCI6363G1ZLC07E262700008631</v>
      </c>
      <c r="C766" s="1" t="s">
        <v>1472</v>
      </c>
      <c r="D766" s="1" t="s">
        <v>1473</v>
      </c>
      <c r="E766" s="1" t="s">
        <v>1475</v>
      </c>
      <c r="F766" s="1" t="s">
        <v>24</v>
      </c>
      <c r="G766" s="1" t="s">
        <v>93</v>
      </c>
      <c r="H766" s="2">
        <v>13052.19</v>
      </c>
      <c r="I766" s="1" t="s">
        <v>44</v>
      </c>
      <c r="J766" s="3" t="s">
        <v>27</v>
      </c>
      <c r="K766" s="2">
        <v>11061.17</v>
      </c>
      <c r="L766" s="2">
        <v>0</v>
      </c>
      <c r="M766" s="2">
        <v>995.51</v>
      </c>
      <c r="N766" s="2">
        <v>995.51</v>
      </c>
      <c r="O766" s="2">
        <v>0</v>
      </c>
      <c r="P766" s="7" t="s">
        <v>28</v>
      </c>
      <c r="Q766" s="1" t="s">
        <v>29</v>
      </c>
      <c r="R766" s="3" t="s">
        <v>45</v>
      </c>
      <c r="S766" s="1" t="s">
        <v>46</v>
      </c>
      <c r="T766" s="4" t="s">
        <v>31</v>
      </c>
      <c r="U766" s="7" t="s">
        <v>46</v>
      </c>
      <c r="V766" s="7" t="s">
        <v>46</v>
      </c>
      <c r="W766" s="7" t="s">
        <v>46</v>
      </c>
      <c r="X766" s="7" t="s">
        <v>1751</v>
      </c>
      <c r="Y766" s="10">
        <f t="shared" si="23"/>
        <v>1991.02</v>
      </c>
      <c r="AH766" s="5" t="e">
        <f>VLOOKUP(B766,[1]DL!$BK:$BP,6,0)</f>
        <v>#N/A</v>
      </c>
    </row>
    <row r="767" spans="1:34" ht="14.5" hidden="1">
      <c r="A767" s="5">
        <v>764</v>
      </c>
      <c r="B767" s="5" t="str">
        <f t="shared" si="22"/>
        <v>07AABCI6363G1ZLC07E262700009513</v>
      </c>
      <c r="C767" s="1" t="s">
        <v>1472</v>
      </c>
      <c r="D767" s="1" t="s">
        <v>1473</v>
      </c>
      <c r="E767" s="1" t="s">
        <v>1476</v>
      </c>
      <c r="F767" s="1" t="s">
        <v>24</v>
      </c>
      <c r="G767" s="1" t="s">
        <v>43</v>
      </c>
      <c r="H767" s="2">
        <v>9883.68</v>
      </c>
      <c r="I767" s="1" t="s">
        <v>44</v>
      </c>
      <c r="J767" s="3" t="s">
        <v>27</v>
      </c>
      <c r="K767" s="2">
        <v>8376</v>
      </c>
      <c r="L767" s="2">
        <v>0</v>
      </c>
      <c r="M767" s="2">
        <v>753.84</v>
      </c>
      <c r="N767" s="2">
        <v>753.84</v>
      </c>
      <c r="O767" s="2">
        <v>0</v>
      </c>
      <c r="P767" s="7" t="s">
        <v>28</v>
      </c>
      <c r="Q767" s="1" t="s">
        <v>29</v>
      </c>
      <c r="R767" s="3" t="s">
        <v>45</v>
      </c>
      <c r="S767" s="1" t="s">
        <v>46</v>
      </c>
      <c r="T767" s="4" t="s">
        <v>31</v>
      </c>
      <c r="U767" s="7" t="s">
        <v>46</v>
      </c>
      <c r="V767" s="7" t="s">
        <v>46</v>
      </c>
      <c r="W767" s="7" t="s">
        <v>46</v>
      </c>
      <c r="X767" s="7" t="s">
        <v>1751</v>
      </c>
      <c r="Y767" s="10">
        <f t="shared" si="23"/>
        <v>1507.6800000000001</v>
      </c>
      <c r="AH767" s="5" t="e">
        <f>VLOOKUP(B767,[1]DL!$BK:$BP,6,0)</f>
        <v>#N/A</v>
      </c>
    </row>
    <row r="768" spans="1:34" ht="14.5">
      <c r="A768" s="5">
        <v>765</v>
      </c>
      <c r="B768" s="5" t="str">
        <f t="shared" si="22"/>
        <v>07AABCI6363G1ZLC07E262700010044</v>
      </c>
      <c r="C768" s="1" t="s">
        <v>1472</v>
      </c>
      <c r="D768" s="1" t="s">
        <v>1473</v>
      </c>
      <c r="E768" s="1" t="s">
        <v>1477</v>
      </c>
      <c r="F768" s="1" t="s">
        <v>24</v>
      </c>
      <c r="G768" s="1" t="s">
        <v>93</v>
      </c>
      <c r="H768" s="2">
        <v>2423.7199999999998</v>
      </c>
      <c r="I768" s="1" t="s">
        <v>44</v>
      </c>
      <c r="J768" s="3" t="s">
        <v>27</v>
      </c>
      <c r="K768" s="2">
        <v>2054</v>
      </c>
      <c r="L768" s="2">
        <v>0</v>
      </c>
      <c r="M768" s="2">
        <v>184.86</v>
      </c>
      <c r="N768" s="2">
        <v>184.86</v>
      </c>
      <c r="O768" s="2">
        <v>0</v>
      </c>
      <c r="P768" s="7" t="s">
        <v>28</v>
      </c>
      <c r="Q768" s="1" t="s">
        <v>29</v>
      </c>
      <c r="R768" s="3" t="s">
        <v>45</v>
      </c>
      <c r="S768" s="1" t="s">
        <v>46</v>
      </c>
      <c r="T768" s="4" t="s">
        <v>31</v>
      </c>
      <c r="U768" s="7" t="s">
        <v>46</v>
      </c>
      <c r="V768" s="7" t="s">
        <v>46</v>
      </c>
      <c r="W768" s="7" t="s">
        <v>46</v>
      </c>
      <c r="X768" s="7" t="s">
        <v>1751</v>
      </c>
      <c r="Y768" s="10">
        <f t="shared" si="23"/>
        <v>369.72000000000003</v>
      </c>
      <c r="Z768" s="5">
        <v>9156758</v>
      </c>
      <c r="AA768" s="5" t="s">
        <v>1922</v>
      </c>
      <c r="AB768" s="5" t="s">
        <v>1751</v>
      </c>
      <c r="AC768" s="5" t="s">
        <v>1924</v>
      </c>
      <c r="AE768" s="5" t="s">
        <v>1923</v>
      </c>
      <c r="AH768" s="5">
        <f>VLOOKUP(B768,[1]DL!$BK:$BP,6,0)</f>
        <v>9156758</v>
      </c>
    </row>
    <row r="769" spans="1:34" ht="14.5" hidden="1">
      <c r="A769" s="5">
        <v>766</v>
      </c>
      <c r="B769" s="5" t="str">
        <f t="shared" si="22"/>
        <v>07AFGFS5626D1Z0211</v>
      </c>
      <c r="C769" s="1" t="s">
        <v>1478</v>
      </c>
      <c r="D769" s="1" t="s">
        <v>1479</v>
      </c>
      <c r="E769" s="1" t="s">
        <v>1480</v>
      </c>
      <c r="F769" s="1" t="s">
        <v>24</v>
      </c>
      <c r="G769" s="1" t="s">
        <v>154</v>
      </c>
      <c r="H769" s="2">
        <v>32634</v>
      </c>
      <c r="I769" s="1" t="s">
        <v>44</v>
      </c>
      <c r="J769" s="3" t="s">
        <v>27</v>
      </c>
      <c r="K769" s="2">
        <v>31080</v>
      </c>
      <c r="L769" s="2">
        <v>0</v>
      </c>
      <c r="M769" s="2">
        <v>777</v>
      </c>
      <c r="N769" s="2">
        <v>777</v>
      </c>
      <c r="O769" s="2">
        <v>0</v>
      </c>
      <c r="P769" s="7" t="s">
        <v>28</v>
      </c>
      <c r="Q769" s="1" t="s">
        <v>29</v>
      </c>
      <c r="R769" s="3" t="s">
        <v>45</v>
      </c>
      <c r="S769" s="1" t="s">
        <v>46</v>
      </c>
      <c r="T769" s="4" t="s">
        <v>31</v>
      </c>
      <c r="U769" s="7" t="s">
        <v>46</v>
      </c>
      <c r="V769" s="7" t="s">
        <v>46</v>
      </c>
      <c r="W769" s="7" t="s">
        <v>46</v>
      </c>
      <c r="X769" s="7" t="s">
        <v>1751</v>
      </c>
      <c r="Y769" s="10">
        <f t="shared" si="23"/>
        <v>1554</v>
      </c>
      <c r="AH769" s="5" t="e">
        <f>VLOOKUP(B769,[1]DL!$BK:$BP,6,0)</f>
        <v>#N/A</v>
      </c>
    </row>
    <row r="770" spans="1:34" ht="14.5">
      <c r="A770" s="5">
        <v>767</v>
      </c>
      <c r="B770" s="5" t="str">
        <f t="shared" si="22"/>
        <v>07AFGFS5626D1Z03</v>
      </c>
      <c r="C770" s="1" t="s">
        <v>1478</v>
      </c>
      <c r="D770" s="1" t="s">
        <v>1479</v>
      </c>
      <c r="E770" s="1" t="s">
        <v>903</v>
      </c>
      <c r="F770" s="1" t="s">
        <v>24</v>
      </c>
      <c r="G770" s="1" t="s">
        <v>54</v>
      </c>
      <c r="H770" s="2">
        <v>34587</v>
      </c>
      <c r="I770" s="1" t="s">
        <v>44</v>
      </c>
      <c r="J770" s="3" t="s">
        <v>27</v>
      </c>
      <c r="K770" s="2">
        <v>32940</v>
      </c>
      <c r="L770" s="2">
        <v>0</v>
      </c>
      <c r="M770" s="2">
        <v>823.5</v>
      </c>
      <c r="N770" s="2">
        <v>823.5</v>
      </c>
      <c r="O770" s="2">
        <v>0</v>
      </c>
      <c r="P770" s="7" t="s">
        <v>28</v>
      </c>
      <c r="Q770" s="1" t="s">
        <v>29</v>
      </c>
      <c r="R770" s="3" t="s">
        <v>45</v>
      </c>
      <c r="S770" s="1" t="s">
        <v>46</v>
      </c>
      <c r="T770" s="4" t="s">
        <v>31</v>
      </c>
      <c r="U770" s="7" t="s">
        <v>46</v>
      </c>
      <c r="V770" s="7" t="s">
        <v>46</v>
      </c>
      <c r="W770" s="7" t="s">
        <v>46</v>
      </c>
      <c r="X770" s="7" t="s">
        <v>1751</v>
      </c>
      <c r="Y770" s="10">
        <f t="shared" si="23"/>
        <v>1647</v>
      </c>
      <c r="Z770" s="5">
        <v>9156871</v>
      </c>
      <c r="AA770" s="5" t="s">
        <v>1922</v>
      </c>
      <c r="AB770" s="5" t="s">
        <v>1751</v>
      </c>
      <c r="AC770" s="5" t="s">
        <v>1925</v>
      </c>
      <c r="AE770" s="5" t="s">
        <v>1923</v>
      </c>
      <c r="AH770" s="5">
        <f>VLOOKUP(B770,[1]DL!$BK:$BP,6,0)</f>
        <v>9156871</v>
      </c>
    </row>
    <row r="771" spans="1:34" ht="14.5">
      <c r="A771" s="5">
        <v>768</v>
      </c>
      <c r="B771" s="5" t="str">
        <f t="shared" si="22"/>
        <v>07AFGFS5626D1Z076</v>
      </c>
      <c r="C771" s="1" t="s">
        <v>1478</v>
      </c>
      <c r="D771" s="1" t="s">
        <v>1479</v>
      </c>
      <c r="E771" s="1" t="s">
        <v>181</v>
      </c>
      <c r="F771" s="1" t="s">
        <v>24</v>
      </c>
      <c r="G771" s="1" t="s">
        <v>70</v>
      </c>
      <c r="H771" s="2">
        <v>7080</v>
      </c>
      <c r="I771" s="1" t="s">
        <v>44</v>
      </c>
      <c r="J771" s="3" t="s">
        <v>27</v>
      </c>
      <c r="K771" s="2">
        <v>6000</v>
      </c>
      <c r="L771" s="2">
        <v>0</v>
      </c>
      <c r="M771" s="2">
        <v>540</v>
      </c>
      <c r="N771" s="2">
        <v>540</v>
      </c>
      <c r="O771" s="2">
        <v>0</v>
      </c>
      <c r="P771" s="7" t="s">
        <v>28</v>
      </c>
      <c r="Q771" s="1" t="s">
        <v>29</v>
      </c>
      <c r="R771" s="3" t="s">
        <v>45</v>
      </c>
      <c r="S771" s="1" t="s">
        <v>46</v>
      </c>
      <c r="T771" s="4" t="s">
        <v>31</v>
      </c>
      <c r="U771" s="7" t="s">
        <v>46</v>
      </c>
      <c r="V771" s="7" t="s">
        <v>46</v>
      </c>
      <c r="W771" s="7" t="s">
        <v>46</v>
      </c>
      <c r="X771" s="7" t="s">
        <v>1751</v>
      </c>
      <c r="Y771" s="10">
        <f t="shared" si="23"/>
        <v>1080</v>
      </c>
      <c r="Z771" s="5">
        <v>9164654</v>
      </c>
      <c r="AA771" s="5" t="s">
        <v>1922</v>
      </c>
      <c r="AB771" s="5" t="s">
        <v>1751</v>
      </c>
      <c r="AC771" s="5" t="s">
        <v>1925</v>
      </c>
      <c r="AE771" s="5" t="s">
        <v>1923</v>
      </c>
      <c r="AH771" s="5">
        <f>VLOOKUP(B771,[1]DL!$BK:$BP,6,0)</f>
        <v>9164654</v>
      </c>
    </row>
    <row r="772" spans="1:34" ht="14.5" hidden="1">
      <c r="A772" s="5">
        <v>769</v>
      </c>
      <c r="B772" s="5" t="str">
        <f t="shared" si="22"/>
        <v>07AFRPA0468A1ZUCPS/2026-27/5024</v>
      </c>
      <c r="C772" s="1" t="s">
        <v>1481</v>
      </c>
      <c r="D772" s="1" t="s">
        <v>1482</v>
      </c>
      <c r="E772" s="1" t="s">
        <v>1483</v>
      </c>
      <c r="F772" s="1" t="s">
        <v>24</v>
      </c>
      <c r="G772" s="1" t="s">
        <v>43</v>
      </c>
      <c r="H772" s="2">
        <v>3550</v>
      </c>
      <c r="I772" s="1" t="s">
        <v>44</v>
      </c>
      <c r="J772" s="3" t="s">
        <v>27</v>
      </c>
      <c r="K772" s="2">
        <v>3008.47</v>
      </c>
      <c r="L772" s="2">
        <v>0</v>
      </c>
      <c r="M772" s="2">
        <v>270.76</v>
      </c>
      <c r="N772" s="2">
        <v>270.76</v>
      </c>
      <c r="O772" s="2">
        <v>0</v>
      </c>
      <c r="P772" s="7" t="s">
        <v>28</v>
      </c>
      <c r="Q772" s="1" t="s">
        <v>179</v>
      </c>
      <c r="R772" s="3" t="s">
        <v>45</v>
      </c>
      <c r="S772" s="1" t="s">
        <v>46</v>
      </c>
      <c r="T772" s="4" t="s">
        <v>31</v>
      </c>
      <c r="U772" s="7" t="s">
        <v>46</v>
      </c>
      <c r="V772" s="7" t="s">
        <v>46</v>
      </c>
      <c r="W772" s="7" t="s">
        <v>46</v>
      </c>
      <c r="X772" s="7" t="s">
        <v>1751</v>
      </c>
      <c r="Y772" s="10">
        <f t="shared" si="23"/>
        <v>541.51999999999998</v>
      </c>
      <c r="AH772" s="5" t="e">
        <f>VLOOKUP(B772,[1]DL!$BK:$BP,6,0)</f>
        <v>#N/A</v>
      </c>
    </row>
    <row r="773" spans="1:34" ht="14.5" hidden="1">
      <c r="A773" s="5">
        <v>770</v>
      </c>
      <c r="B773" s="5" t="str">
        <f t="shared" si="24" ref="B773:B836">C773&amp;E773</f>
        <v>07AARCA9982D1Z42026-27/Apr/59</v>
      </c>
      <c r="C773" s="1" t="s">
        <v>1278</v>
      </c>
      <c r="D773" s="1" t="s">
        <v>1279</v>
      </c>
      <c r="E773" s="1" t="s">
        <v>1484</v>
      </c>
      <c r="F773" s="1" t="s">
        <v>24</v>
      </c>
      <c r="G773" s="1" t="s">
        <v>76</v>
      </c>
      <c r="H773" s="2">
        <v>2017800</v>
      </c>
      <c r="I773" s="1" t="s">
        <v>44</v>
      </c>
      <c r="J773" s="3" t="s">
        <v>27</v>
      </c>
      <c r="K773" s="2">
        <v>1710000</v>
      </c>
      <c r="L773" s="2">
        <v>0</v>
      </c>
      <c r="M773" s="2">
        <v>153900</v>
      </c>
      <c r="N773" s="2">
        <v>153900</v>
      </c>
      <c r="O773" s="2">
        <v>0</v>
      </c>
      <c r="P773" s="7" t="s">
        <v>28</v>
      </c>
      <c r="Q773" s="1" t="s">
        <v>29</v>
      </c>
      <c r="R773" s="3" t="s">
        <v>45</v>
      </c>
      <c r="S773" s="1" t="s">
        <v>46</v>
      </c>
      <c r="T773" s="4" t="s">
        <v>31</v>
      </c>
      <c r="U773" s="7" t="s">
        <v>32</v>
      </c>
      <c r="V773" s="7" t="s">
        <v>1485</v>
      </c>
      <c r="W773" s="7" t="s">
        <v>484</v>
      </c>
      <c r="X773" s="7" t="s">
        <v>1751</v>
      </c>
      <c r="Y773" s="10">
        <f t="shared" si="25" ref="Y773:Y836">L773+M773+N773+O773</f>
        <v>307800</v>
      </c>
      <c r="AH773" s="5" t="e">
        <f>VLOOKUP(B773,[1]DL!$BK:$BP,6,0)</f>
        <v>#N/A</v>
      </c>
    </row>
    <row r="774" spans="1:34" ht="14.5" hidden="1">
      <c r="A774" s="5">
        <v>771</v>
      </c>
      <c r="B774" s="5" t="str">
        <f t="shared" si="24"/>
        <v>07AAAFL1585H1ZDLKS01-2627-00147</v>
      </c>
      <c r="C774" s="1" t="s">
        <v>1486</v>
      </c>
      <c r="D774" s="1" t="s">
        <v>1487</v>
      </c>
      <c r="E774" s="1" t="s">
        <v>1488</v>
      </c>
      <c r="F774" s="1" t="s">
        <v>24</v>
      </c>
      <c r="G774" s="1" t="s">
        <v>125</v>
      </c>
      <c r="H774" s="2">
        <v>40000</v>
      </c>
      <c r="I774" s="1" t="s">
        <v>44</v>
      </c>
      <c r="J774" s="3" t="s">
        <v>45</v>
      </c>
      <c r="K774" s="2">
        <v>40000</v>
      </c>
      <c r="L774" s="2">
        <v>0</v>
      </c>
      <c r="M774" s="2">
        <v>0</v>
      </c>
      <c r="N774" s="2">
        <v>0</v>
      </c>
      <c r="O774" s="2">
        <v>0</v>
      </c>
      <c r="P774" s="7" t="s">
        <v>28</v>
      </c>
      <c r="Q774" s="1" t="s">
        <v>29</v>
      </c>
      <c r="R774" s="3" t="s">
        <v>45</v>
      </c>
      <c r="S774" s="1" t="s">
        <v>46</v>
      </c>
      <c r="T774" s="4" t="s">
        <v>31</v>
      </c>
      <c r="U774" s="7" t="s">
        <v>32</v>
      </c>
      <c r="V774" s="7" t="s">
        <v>1489</v>
      </c>
      <c r="W774" s="7" t="s">
        <v>125</v>
      </c>
      <c r="X774" s="7" t="s">
        <v>1751</v>
      </c>
      <c r="Y774" s="10">
        <f t="shared" si="25"/>
        <v>0</v>
      </c>
      <c r="AH774" s="5" t="e">
        <f>VLOOKUP(B774,[1]DL!$BK:$BP,6,0)</f>
        <v>#N/A</v>
      </c>
    </row>
    <row r="775" spans="1:34" ht="14.5" hidden="1">
      <c r="A775" s="5">
        <v>772</v>
      </c>
      <c r="B775" s="5" t="str">
        <f t="shared" si="24"/>
        <v>06AABCG4768K1ZBGPI-CRN260500551</v>
      </c>
      <c r="C775" s="1" t="s">
        <v>1490</v>
      </c>
      <c r="D775" s="1" t="s">
        <v>1491</v>
      </c>
      <c r="E775" s="1" t="s">
        <v>1492</v>
      </c>
      <c r="F775" s="1" t="s">
        <v>24</v>
      </c>
      <c r="G775" s="1" t="s">
        <v>420</v>
      </c>
      <c r="H775" s="2">
        <v>1197736.46</v>
      </c>
      <c r="I775" s="1" t="s">
        <v>44</v>
      </c>
      <c r="J775" s="3" t="s">
        <v>27</v>
      </c>
      <c r="K775" s="2">
        <v>796593.60</v>
      </c>
      <c r="L775" s="2">
        <v>401142.86</v>
      </c>
      <c r="M775" s="2">
        <v>0</v>
      </c>
      <c r="N775" s="2">
        <v>0</v>
      </c>
      <c r="O775" s="2">
        <v>0</v>
      </c>
      <c r="P775" s="7" t="s">
        <v>28</v>
      </c>
      <c r="Q775" s="1" t="s">
        <v>29</v>
      </c>
      <c r="R775" s="3" t="s">
        <v>45</v>
      </c>
      <c r="S775" s="1" t="s">
        <v>46</v>
      </c>
      <c r="T775" s="4" t="s">
        <v>31</v>
      </c>
      <c r="U775" s="7" t="s">
        <v>32</v>
      </c>
      <c r="V775" s="7" t="s">
        <v>1493</v>
      </c>
      <c r="W775" s="7" t="s">
        <v>420</v>
      </c>
      <c r="X775" s="7" t="s">
        <v>1751</v>
      </c>
      <c r="Y775" s="10">
        <f t="shared" si="25"/>
        <v>401142.85999999999</v>
      </c>
      <c r="AH775" s="5" t="e">
        <f>VLOOKUP(B775,[1]DL!$BK:$BP,6,0)</f>
        <v>#N/A</v>
      </c>
    </row>
    <row r="776" spans="1:34" ht="14.5" hidden="1">
      <c r="A776" s="5">
        <v>773</v>
      </c>
      <c r="B776" s="5" t="str">
        <f t="shared" si="24"/>
        <v>06AATPS8100Q1ZWFBD/2026-27/001</v>
      </c>
      <c r="C776" s="1" t="s">
        <v>1494</v>
      </c>
      <c r="D776" s="1" t="s">
        <v>1495</v>
      </c>
      <c r="E776" s="1" t="s">
        <v>1496</v>
      </c>
      <c r="F776" s="1" t="s">
        <v>24</v>
      </c>
      <c r="G776" s="1" t="s">
        <v>54</v>
      </c>
      <c r="H776" s="2">
        <v>13200</v>
      </c>
      <c r="I776" s="1" t="s">
        <v>44</v>
      </c>
      <c r="J776" s="3" t="s">
        <v>27</v>
      </c>
      <c r="K776" s="2">
        <v>10285.709999999999</v>
      </c>
      <c r="L776" s="2">
        <v>4114.28</v>
      </c>
      <c r="M776" s="2">
        <v>0</v>
      </c>
      <c r="N776" s="2">
        <v>0</v>
      </c>
      <c r="O776" s="2">
        <v>0</v>
      </c>
      <c r="P776" s="7" t="s">
        <v>28</v>
      </c>
      <c r="Q776" s="1" t="s">
        <v>29</v>
      </c>
      <c r="R776" s="3" t="s">
        <v>45</v>
      </c>
      <c r="S776" s="1" t="s">
        <v>46</v>
      </c>
      <c r="T776" s="4" t="s">
        <v>31</v>
      </c>
      <c r="U776" s="7" t="s">
        <v>32</v>
      </c>
      <c r="V776" s="7" t="s">
        <v>1497</v>
      </c>
      <c r="W776" s="7" t="s">
        <v>54</v>
      </c>
      <c r="X776" s="7" t="s">
        <v>1751</v>
      </c>
      <c r="Y776" s="10">
        <f t="shared" si="25"/>
        <v>4114.2799999999997</v>
      </c>
      <c r="AH776" s="5" t="e">
        <f>VLOOKUP(B776,[1]DL!$BK:$BP,6,0)</f>
        <v>#N/A</v>
      </c>
    </row>
    <row r="777" spans="1:34" ht="14.5" hidden="1">
      <c r="A777" s="5">
        <v>774</v>
      </c>
      <c r="B777" s="5" t="str">
        <f t="shared" si="24"/>
        <v>07AAAAP3929N1Z617</v>
      </c>
      <c r="C777" s="1" t="s">
        <v>1498</v>
      </c>
      <c r="D777" s="1" t="s">
        <v>1499</v>
      </c>
      <c r="E777" s="1" t="s">
        <v>1500</v>
      </c>
      <c r="F777" s="1" t="s">
        <v>24</v>
      </c>
      <c r="G777" s="1" t="s">
        <v>76</v>
      </c>
      <c r="H777" s="2">
        <v>4956</v>
      </c>
      <c r="I777" s="1" t="s">
        <v>44</v>
      </c>
      <c r="J777" s="3" t="s">
        <v>27</v>
      </c>
      <c r="K777" s="2">
        <v>4200</v>
      </c>
      <c r="L777" s="2">
        <v>0</v>
      </c>
      <c r="M777" s="2">
        <v>378</v>
      </c>
      <c r="N777" s="2">
        <v>378</v>
      </c>
      <c r="O777" s="2">
        <v>0</v>
      </c>
      <c r="P777" s="7" t="s">
        <v>28</v>
      </c>
      <c r="Q777" s="1" t="s">
        <v>29</v>
      </c>
      <c r="R777" s="3" t="s">
        <v>45</v>
      </c>
      <c r="S777" s="1" t="s">
        <v>46</v>
      </c>
      <c r="T777" s="4" t="s">
        <v>31</v>
      </c>
      <c r="U777" s="7" t="s">
        <v>32</v>
      </c>
      <c r="V777" s="7" t="s">
        <v>1501</v>
      </c>
      <c r="W777" s="7" t="s">
        <v>1502</v>
      </c>
      <c r="X777" s="7" t="s">
        <v>1751</v>
      </c>
      <c r="Y777" s="10">
        <f t="shared" si="25"/>
        <v>756</v>
      </c>
      <c r="AH777" s="5" t="e">
        <f>VLOOKUP(B777,[1]DL!$BK:$BP,6,0)</f>
        <v>#N/A</v>
      </c>
    </row>
    <row r="778" spans="1:34" ht="14.5" hidden="1">
      <c r="A778" s="5">
        <v>775</v>
      </c>
      <c r="B778" s="5" t="str">
        <f t="shared" si="24"/>
        <v>07AAAFV2196A1ZGVE/0460/26-27</v>
      </c>
      <c r="C778" s="1" t="s">
        <v>1503</v>
      </c>
      <c r="D778" s="1" t="s">
        <v>1504</v>
      </c>
      <c r="E778" s="1" t="s">
        <v>1505</v>
      </c>
      <c r="F778" s="1" t="s">
        <v>24</v>
      </c>
      <c r="G778" s="1" t="s">
        <v>128</v>
      </c>
      <c r="H778" s="2">
        <v>5900</v>
      </c>
      <c r="I778" s="1" t="s">
        <v>44</v>
      </c>
      <c r="J778" s="3" t="s">
        <v>27</v>
      </c>
      <c r="K778" s="2">
        <v>5000</v>
      </c>
      <c r="L778" s="2">
        <v>0</v>
      </c>
      <c r="M778" s="2">
        <v>450</v>
      </c>
      <c r="N778" s="2">
        <v>450</v>
      </c>
      <c r="O778" s="2">
        <v>0</v>
      </c>
      <c r="P778" s="7" t="s">
        <v>28</v>
      </c>
      <c r="Q778" s="1" t="s">
        <v>94</v>
      </c>
      <c r="R778" s="3" t="s">
        <v>45</v>
      </c>
      <c r="S778" s="1" t="s">
        <v>46</v>
      </c>
      <c r="T778" s="4" t="s">
        <v>31</v>
      </c>
      <c r="U778" s="7" t="s">
        <v>32</v>
      </c>
      <c r="V778" s="7" t="s">
        <v>1506</v>
      </c>
      <c r="W778" s="7" t="s">
        <v>128</v>
      </c>
      <c r="X778" s="7" t="s">
        <v>1751</v>
      </c>
      <c r="Y778" s="10">
        <f t="shared" si="25"/>
        <v>900</v>
      </c>
      <c r="AH778" s="5" t="e">
        <f>VLOOKUP(B778,[1]DL!$BK:$BP,6,0)</f>
        <v>#N/A</v>
      </c>
    </row>
    <row r="779" spans="1:34" ht="14.5" hidden="1">
      <c r="A779" s="5">
        <v>776</v>
      </c>
      <c r="B779" s="5" t="str">
        <f t="shared" si="24"/>
        <v>07AAAFV2196A1ZGVE/087/26-27</v>
      </c>
      <c r="C779" s="1" t="s">
        <v>1503</v>
      </c>
      <c r="D779" s="1" t="s">
        <v>1504</v>
      </c>
      <c r="E779" s="1" t="s">
        <v>1507</v>
      </c>
      <c r="F779" s="1" t="s">
        <v>24</v>
      </c>
      <c r="G779" s="1" t="s">
        <v>50</v>
      </c>
      <c r="H779" s="2">
        <v>9968</v>
      </c>
      <c r="I779" s="1" t="s">
        <v>44</v>
      </c>
      <c r="J779" s="3" t="s">
        <v>27</v>
      </c>
      <c r="K779" s="2">
        <v>8448</v>
      </c>
      <c r="L779" s="2">
        <v>0</v>
      </c>
      <c r="M779" s="2">
        <v>760.32</v>
      </c>
      <c r="N779" s="2">
        <v>760.32</v>
      </c>
      <c r="O779" s="2">
        <v>0</v>
      </c>
      <c r="P779" s="7" t="s">
        <v>28</v>
      </c>
      <c r="Q779" s="1" t="s">
        <v>94</v>
      </c>
      <c r="R779" s="3" t="s">
        <v>45</v>
      </c>
      <c r="S779" s="1" t="s">
        <v>46</v>
      </c>
      <c r="T779" s="4" t="s">
        <v>31</v>
      </c>
      <c r="U779" s="7" t="s">
        <v>32</v>
      </c>
      <c r="V779" s="7" t="s">
        <v>1508</v>
      </c>
      <c r="W779" s="7" t="s">
        <v>50</v>
      </c>
      <c r="X779" s="7" t="s">
        <v>1751</v>
      </c>
      <c r="Y779" s="10">
        <f t="shared" si="25"/>
        <v>1520.6400000000001</v>
      </c>
      <c r="AH779" s="5" t="e">
        <f>VLOOKUP(B779,[1]DL!$BK:$BP,6,0)</f>
        <v>#N/A</v>
      </c>
    </row>
    <row r="780" spans="1:34" ht="14.5" hidden="1">
      <c r="A780" s="5">
        <v>777</v>
      </c>
      <c r="B780" s="5" t="str">
        <f t="shared" si="24"/>
        <v>07BLCPA8441H1ZCWR/26-27/2</v>
      </c>
      <c r="C780" s="1" t="s">
        <v>1509</v>
      </c>
      <c r="D780" s="1" t="s">
        <v>1510</v>
      </c>
      <c r="E780" s="1" t="s">
        <v>1511</v>
      </c>
      <c r="F780" s="1" t="s">
        <v>24</v>
      </c>
      <c r="G780" s="1" t="s">
        <v>43</v>
      </c>
      <c r="H780" s="2">
        <v>6909</v>
      </c>
      <c r="I780" s="1" t="s">
        <v>44</v>
      </c>
      <c r="J780" s="3" t="s">
        <v>27</v>
      </c>
      <c r="K780" s="2">
        <v>5855</v>
      </c>
      <c r="L780" s="2">
        <v>0</v>
      </c>
      <c r="M780" s="2">
        <v>526.95000000000005</v>
      </c>
      <c r="N780" s="2">
        <v>526.95000000000005</v>
      </c>
      <c r="O780" s="2">
        <v>0</v>
      </c>
      <c r="P780" s="7" t="s">
        <v>28</v>
      </c>
      <c r="Q780" s="1" t="s">
        <v>179</v>
      </c>
      <c r="R780" s="3" t="s">
        <v>45</v>
      </c>
      <c r="S780" s="1" t="s">
        <v>46</v>
      </c>
      <c r="T780" s="4" t="s">
        <v>31</v>
      </c>
      <c r="U780" s="7" t="s">
        <v>46</v>
      </c>
      <c r="V780" s="7" t="s">
        <v>46</v>
      </c>
      <c r="W780" s="7" t="s">
        <v>46</v>
      </c>
      <c r="X780" s="7" t="s">
        <v>1751</v>
      </c>
      <c r="Y780" s="10">
        <f t="shared" si="25"/>
        <v>1053.9000000000001</v>
      </c>
      <c r="AH780" s="5" t="e">
        <f>VLOOKUP(B780,[1]DL!$BK:$BP,6,0)</f>
        <v>#N/A</v>
      </c>
    </row>
    <row r="781" spans="1:34" ht="14.5" hidden="1">
      <c r="A781" s="5">
        <v>778</v>
      </c>
      <c r="B781" s="5" t="str">
        <f t="shared" si="24"/>
        <v>07BLCPA8441H1ZCWR/26-27/23</v>
      </c>
      <c r="C781" s="1" t="s">
        <v>1509</v>
      </c>
      <c r="D781" s="1" t="s">
        <v>1510</v>
      </c>
      <c r="E781" s="1" t="s">
        <v>1512</v>
      </c>
      <c r="F781" s="1" t="s">
        <v>24</v>
      </c>
      <c r="G781" s="1" t="s">
        <v>76</v>
      </c>
      <c r="H781" s="2">
        <v>2360</v>
      </c>
      <c r="I781" s="1" t="s">
        <v>44</v>
      </c>
      <c r="J781" s="3" t="s">
        <v>27</v>
      </c>
      <c r="K781" s="2">
        <v>2000</v>
      </c>
      <c r="L781" s="2">
        <v>0</v>
      </c>
      <c r="M781" s="2">
        <v>180</v>
      </c>
      <c r="N781" s="2">
        <v>180</v>
      </c>
      <c r="O781" s="2">
        <v>0</v>
      </c>
      <c r="P781" s="7" t="s">
        <v>28</v>
      </c>
      <c r="Q781" s="1" t="s">
        <v>179</v>
      </c>
      <c r="R781" s="3" t="s">
        <v>45</v>
      </c>
      <c r="S781" s="1" t="s">
        <v>46</v>
      </c>
      <c r="T781" s="4" t="s">
        <v>31</v>
      </c>
      <c r="U781" s="7" t="s">
        <v>46</v>
      </c>
      <c r="V781" s="7" t="s">
        <v>46</v>
      </c>
      <c r="W781" s="7" t="s">
        <v>46</v>
      </c>
      <c r="X781" s="7" t="s">
        <v>1751</v>
      </c>
      <c r="Y781" s="10">
        <f t="shared" si="25"/>
        <v>360</v>
      </c>
      <c r="AH781" s="5" t="e">
        <f>VLOOKUP(B781,[1]DL!$BK:$BP,6,0)</f>
        <v>#N/A</v>
      </c>
    </row>
    <row r="782" spans="1:34" ht="14.5" hidden="1">
      <c r="A782" s="5">
        <v>779</v>
      </c>
      <c r="B782" s="5" t="str">
        <f t="shared" si="24"/>
        <v>07BGEPM3391K2Z2D-0001</v>
      </c>
      <c r="C782" s="1" t="s">
        <v>1513</v>
      </c>
      <c r="D782" s="1" t="s">
        <v>1514</v>
      </c>
      <c r="E782" s="1" t="s">
        <v>1515</v>
      </c>
      <c r="F782" s="1" t="s">
        <v>24</v>
      </c>
      <c r="G782" s="1" t="s">
        <v>125</v>
      </c>
      <c r="H782" s="2">
        <v>10030</v>
      </c>
      <c r="I782" s="1" t="s">
        <v>44</v>
      </c>
      <c r="J782" s="3" t="s">
        <v>27</v>
      </c>
      <c r="K782" s="2">
        <v>8500</v>
      </c>
      <c r="L782" s="2">
        <v>0</v>
      </c>
      <c r="M782" s="2">
        <v>765</v>
      </c>
      <c r="N782" s="2">
        <v>765</v>
      </c>
      <c r="O782" s="2">
        <v>0</v>
      </c>
      <c r="P782" s="7" t="s">
        <v>28</v>
      </c>
      <c r="Q782" s="1" t="s">
        <v>29</v>
      </c>
      <c r="R782" s="3" t="s">
        <v>45</v>
      </c>
      <c r="S782" s="1" t="s">
        <v>46</v>
      </c>
      <c r="T782" s="4" t="s">
        <v>31</v>
      </c>
      <c r="U782" s="7" t="s">
        <v>32</v>
      </c>
      <c r="V782" s="7" t="s">
        <v>1516</v>
      </c>
      <c r="W782" s="7" t="s">
        <v>35</v>
      </c>
      <c r="X782" s="7" t="s">
        <v>1751</v>
      </c>
      <c r="Y782" s="10">
        <f t="shared" si="25"/>
        <v>1530</v>
      </c>
      <c r="AH782" s="5" t="e">
        <f>VLOOKUP(B782,[1]DL!$BK:$BP,6,0)</f>
        <v>#N/A</v>
      </c>
    </row>
    <row r="783" spans="1:34" ht="14.5" hidden="1">
      <c r="A783" s="5">
        <v>780</v>
      </c>
      <c r="B783" s="5" t="str">
        <f t="shared" si="24"/>
        <v>07BGEPM3391K2Z2D-00010</v>
      </c>
      <c r="C783" s="1" t="s">
        <v>1513</v>
      </c>
      <c r="D783" s="1" t="s">
        <v>1514</v>
      </c>
      <c r="E783" s="1" t="s">
        <v>1517</v>
      </c>
      <c r="F783" s="1" t="s">
        <v>24</v>
      </c>
      <c r="G783" s="1" t="s">
        <v>398</v>
      </c>
      <c r="H783" s="2">
        <v>15.34</v>
      </c>
      <c r="I783" s="1" t="s">
        <v>44</v>
      </c>
      <c r="J783" s="3" t="s">
        <v>27</v>
      </c>
      <c r="K783" s="2">
        <v>13</v>
      </c>
      <c r="L783" s="2">
        <v>0</v>
      </c>
      <c r="M783" s="2">
        <v>1.17</v>
      </c>
      <c r="N783" s="2">
        <v>1.17</v>
      </c>
      <c r="O783" s="2">
        <v>0</v>
      </c>
      <c r="P783" s="7" t="s">
        <v>28</v>
      </c>
      <c r="Q783" s="1" t="s">
        <v>29</v>
      </c>
      <c r="R783" s="3" t="s">
        <v>45</v>
      </c>
      <c r="S783" s="1" t="s">
        <v>46</v>
      </c>
      <c r="T783" s="4" t="s">
        <v>31</v>
      </c>
      <c r="U783" s="7" t="s">
        <v>32</v>
      </c>
      <c r="V783" s="7" t="s">
        <v>1518</v>
      </c>
      <c r="W783" s="7" t="s">
        <v>35</v>
      </c>
      <c r="X783" s="7" t="s">
        <v>1751</v>
      </c>
      <c r="Y783" s="10">
        <f t="shared" si="25"/>
        <v>2.3399999999999999</v>
      </c>
      <c r="AH783" s="5" t="e">
        <f>VLOOKUP(B783,[1]DL!$BK:$BP,6,0)</f>
        <v>#N/A</v>
      </c>
    </row>
    <row r="784" spans="1:34" ht="14.5" hidden="1">
      <c r="A784" s="5">
        <v>781</v>
      </c>
      <c r="B784" s="5" t="str">
        <f t="shared" si="24"/>
        <v>07BGEPM3391K2Z2D-00011</v>
      </c>
      <c r="C784" s="1" t="s">
        <v>1513</v>
      </c>
      <c r="D784" s="1" t="s">
        <v>1514</v>
      </c>
      <c r="E784" s="1" t="s">
        <v>1519</v>
      </c>
      <c r="F784" s="1" t="s">
        <v>24</v>
      </c>
      <c r="G784" s="1" t="s">
        <v>398</v>
      </c>
      <c r="H784" s="2">
        <v>472</v>
      </c>
      <c r="I784" s="1" t="s">
        <v>44</v>
      </c>
      <c r="J784" s="3" t="s">
        <v>27</v>
      </c>
      <c r="K784" s="2">
        <v>400</v>
      </c>
      <c r="L784" s="2">
        <v>0</v>
      </c>
      <c r="M784" s="2">
        <v>36</v>
      </c>
      <c r="N784" s="2">
        <v>36</v>
      </c>
      <c r="O784" s="2">
        <v>0</v>
      </c>
      <c r="P784" s="7" t="s">
        <v>28</v>
      </c>
      <c r="Q784" s="1" t="s">
        <v>29</v>
      </c>
      <c r="R784" s="3" t="s">
        <v>45</v>
      </c>
      <c r="S784" s="1" t="s">
        <v>46</v>
      </c>
      <c r="T784" s="4" t="s">
        <v>31</v>
      </c>
      <c r="U784" s="7" t="s">
        <v>32</v>
      </c>
      <c r="V784" s="7" t="s">
        <v>1520</v>
      </c>
      <c r="W784" s="7" t="s">
        <v>35</v>
      </c>
      <c r="X784" s="7" t="s">
        <v>1751</v>
      </c>
      <c r="Y784" s="10">
        <f t="shared" si="25"/>
        <v>72</v>
      </c>
      <c r="AH784" s="5" t="e">
        <f>VLOOKUP(B784,[1]DL!$BK:$BP,6,0)</f>
        <v>#N/A</v>
      </c>
    </row>
    <row r="785" spans="1:34" ht="14.5" hidden="1">
      <c r="A785" s="5">
        <v>782</v>
      </c>
      <c r="B785" s="5" t="str">
        <f t="shared" si="24"/>
        <v>07BGEPM3391K2Z2D-00014</v>
      </c>
      <c r="C785" s="1" t="s">
        <v>1513</v>
      </c>
      <c r="D785" s="1" t="s">
        <v>1514</v>
      </c>
      <c r="E785" s="1" t="s">
        <v>1521</v>
      </c>
      <c r="F785" s="1" t="s">
        <v>24</v>
      </c>
      <c r="G785" s="1" t="s">
        <v>398</v>
      </c>
      <c r="H785" s="2">
        <v>265.5</v>
      </c>
      <c r="I785" s="1" t="s">
        <v>44</v>
      </c>
      <c r="J785" s="3" t="s">
        <v>27</v>
      </c>
      <c r="K785" s="2">
        <v>225</v>
      </c>
      <c r="L785" s="2">
        <v>0</v>
      </c>
      <c r="M785" s="2">
        <v>20.25</v>
      </c>
      <c r="N785" s="2">
        <v>20.25</v>
      </c>
      <c r="O785" s="2">
        <v>0</v>
      </c>
      <c r="P785" s="7" t="s">
        <v>28</v>
      </c>
      <c r="Q785" s="1" t="s">
        <v>29</v>
      </c>
      <c r="R785" s="3" t="s">
        <v>45</v>
      </c>
      <c r="S785" s="1" t="s">
        <v>46</v>
      </c>
      <c r="T785" s="4" t="s">
        <v>31</v>
      </c>
      <c r="U785" s="7" t="s">
        <v>32</v>
      </c>
      <c r="V785" s="7" t="s">
        <v>1522</v>
      </c>
      <c r="W785" s="7" t="s">
        <v>35</v>
      </c>
      <c r="X785" s="7" t="s">
        <v>1751</v>
      </c>
      <c r="Y785" s="10">
        <f t="shared" si="25"/>
        <v>40.5</v>
      </c>
      <c r="AH785" s="5" t="e">
        <f>VLOOKUP(B785,[1]DL!$BK:$BP,6,0)</f>
        <v>#N/A</v>
      </c>
    </row>
    <row r="786" spans="1:34" ht="14.5" hidden="1">
      <c r="A786" s="5">
        <v>783</v>
      </c>
      <c r="B786" s="5" t="str">
        <f t="shared" si="24"/>
        <v>07BGEPM3391K2Z2D-00015</v>
      </c>
      <c r="C786" s="1" t="s">
        <v>1513</v>
      </c>
      <c r="D786" s="1" t="s">
        <v>1514</v>
      </c>
      <c r="E786" s="1" t="s">
        <v>1523</v>
      </c>
      <c r="F786" s="1" t="s">
        <v>24</v>
      </c>
      <c r="G786" s="1" t="s">
        <v>398</v>
      </c>
      <c r="H786" s="2">
        <v>2280.94</v>
      </c>
      <c r="I786" s="1" t="s">
        <v>44</v>
      </c>
      <c r="J786" s="3" t="s">
        <v>27</v>
      </c>
      <c r="K786" s="2">
        <v>1933</v>
      </c>
      <c r="L786" s="2">
        <v>0</v>
      </c>
      <c r="M786" s="2">
        <v>173.97</v>
      </c>
      <c r="N786" s="2">
        <v>173.97</v>
      </c>
      <c r="O786" s="2">
        <v>0</v>
      </c>
      <c r="P786" s="7" t="s">
        <v>28</v>
      </c>
      <c r="Q786" s="1" t="s">
        <v>29</v>
      </c>
      <c r="R786" s="3" t="s">
        <v>45</v>
      </c>
      <c r="S786" s="1" t="s">
        <v>46</v>
      </c>
      <c r="T786" s="4" t="s">
        <v>31</v>
      </c>
      <c r="U786" s="7" t="s">
        <v>32</v>
      </c>
      <c r="V786" s="7" t="s">
        <v>1524</v>
      </c>
      <c r="W786" s="7" t="s">
        <v>35</v>
      </c>
      <c r="X786" s="7" t="s">
        <v>1751</v>
      </c>
      <c r="Y786" s="10">
        <f t="shared" si="25"/>
        <v>347.94</v>
      </c>
      <c r="AH786" s="5" t="e">
        <f>VLOOKUP(B786,[1]DL!$BK:$BP,6,0)</f>
        <v>#N/A</v>
      </c>
    </row>
    <row r="787" spans="1:34" ht="14.5" hidden="1">
      <c r="A787" s="5">
        <v>784</v>
      </c>
      <c r="B787" s="5" t="str">
        <f t="shared" si="24"/>
        <v>07BGEPM3391K2Z2D-00016</v>
      </c>
      <c r="C787" s="1" t="s">
        <v>1513</v>
      </c>
      <c r="D787" s="1" t="s">
        <v>1514</v>
      </c>
      <c r="E787" s="1" t="s">
        <v>1525</v>
      </c>
      <c r="F787" s="1" t="s">
        <v>24</v>
      </c>
      <c r="G787" s="1" t="s">
        <v>398</v>
      </c>
      <c r="H787" s="2">
        <v>93.22</v>
      </c>
      <c r="I787" s="1" t="s">
        <v>44</v>
      </c>
      <c r="J787" s="3" t="s">
        <v>27</v>
      </c>
      <c r="K787" s="2">
        <v>79</v>
      </c>
      <c r="L787" s="2">
        <v>0</v>
      </c>
      <c r="M787" s="2">
        <v>7.11</v>
      </c>
      <c r="N787" s="2">
        <v>7.11</v>
      </c>
      <c r="O787" s="2">
        <v>0</v>
      </c>
      <c r="P787" s="7" t="s">
        <v>28</v>
      </c>
      <c r="Q787" s="1" t="s">
        <v>29</v>
      </c>
      <c r="R787" s="3" t="s">
        <v>45</v>
      </c>
      <c r="S787" s="1" t="s">
        <v>46</v>
      </c>
      <c r="T787" s="4" t="s">
        <v>31</v>
      </c>
      <c r="U787" s="7" t="s">
        <v>32</v>
      </c>
      <c r="V787" s="7" t="s">
        <v>1526</v>
      </c>
      <c r="W787" s="7" t="s">
        <v>35</v>
      </c>
      <c r="X787" s="7" t="s">
        <v>1751</v>
      </c>
      <c r="Y787" s="10">
        <f t="shared" si="25"/>
        <v>14.220000000000001</v>
      </c>
      <c r="AH787" s="5" t="e">
        <f>VLOOKUP(B787,[1]DL!$BK:$BP,6,0)</f>
        <v>#N/A</v>
      </c>
    </row>
    <row r="788" spans="1:34" ht="14.5" hidden="1">
      <c r="A788" s="5">
        <v>785</v>
      </c>
      <c r="B788" s="5" t="str">
        <f t="shared" si="24"/>
        <v>07BGEPM3391K2Z2D-00017</v>
      </c>
      <c r="C788" s="1" t="s">
        <v>1513</v>
      </c>
      <c r="D788" s="1" t="s">
        <v>1514</v>
      </c>
      <c r="E788" s="1" t="s">
        <v>1527</v>
      </c>
      <c r="F788" s="1" t="s">
        <v>24</v>
      </c>
      <c r="G788" s="1" t="s">
        <v>398</v>
      </c>
      <c r="H788" s="2">
        <v>3.54</v>
      </c>
      <c r="I788" s="1" t="s">
        <v>44</v>
      </c>
      <c r="J788" s="3" t="s">
        <v>27</v>
      </c>
      <c r="K788" s="2">
        <v>3</v>
      </c>
      <c r="L788" s="2">
        <v>0</v>
      </c>
      <c r="M788" s="2">
        <v>0.27</v>
      </c>
      <c r="N788" s="2">
        <v>0.27</v>
      </c>
      <c r="O788" s="2">
        <v>0</v>
      </c>
      <c r="P788" s="7" t="s">
        <v>28</v>
      </c>
      <c r="Q788" s="1" t="s">
        <v>29</v>
      </c>
      <c r="R788" s="3" t="s">
        <v>45</v>
      </c>
      <c r="S788" s="1" t="s">
        <v>46</v>
      </c>
      <c r="T788" s="4" t="s">
        <v>31</v>
      </c>
      <c r="U788" s="7" t="s">
        <v>32</v>
      </c>
      <c r="V788" s="7" t="s">
        <v>1528</v>
      </c>
      <c r="W788" s="7" t="s">
        <v>35</v>
      </c>
      <c r="X788" s="7" t="s">
        <v>1751</v>
      </c>
      <c r="Y788" s="10">
        <f t="shared" si="25"/>
        <v>0.54000000000000004</v>
      </c>
      <c r="AH788" s="5" t="e">
        <f>VLOOKUP(B788,[1]DL!$BK:$BP,6,0)</f>
        <v>#N/A</v>
      </c>
    </row>
    <row r="789" spans="1:34" ht="14.5" hidden="1">
      <c r="A789" s="5">
        <v>786</v>
      </c>
      <c r="B789" s="5" t="str">
        <f t="shared" si="24"/>
        <v>07BGEPM3391K2Z2D-00019</v>
      </c>
      <c r="C789" s="1" t="s">
        <v>1513</v>
      </c>
      <c r="D789" s="1" t="s">
        <v>1514</v>
      </c>
      <c r="E789" s="1" t="s">
        <v>1529</v>
      </c>
      <c r="F789" s="1" t="s">
        <v>24</v>
      </c>
      <c r="G789" s="1" t="s">
        <v>398</v>
      </c>
      <c r="H789" s="2">
        <v>82.60</v>
      </c>
      <c r="I789" s="1" t="s">
        <v>44</v>
      </c>
      <c r="J789" s="3" t="s">
        <v>27</v>
      </c>
      <c r="K789" s="2">
        <v>70</v>
      </c>
      <c r="L789" s="2">
        <v>0</v>
      </c>
      <c r="M789" s="2">
        <v>6.30</v>
      </c>
      <c r="N789" s="2">
        <v>6.30</v>
      </c>
      <c r="O789" s="2">
        <v>0</v>
      </c>
      <c r="P789" s="7" t="s">
        <v>28</v>
      </c>
      <c r="Q789" s="1" t="s">
        <v>29</v>
      </c>
      <c r="R789" s="3" t="s">
        <v>45</v>
      </c>
      <c r="S789" s="1" t="s">
        <v>46</v>
      </c>
      <c r="T789" s="4" t="s">
        <v>31</v>
      </c>
      <c r="U789" s="7" t="s">
        <v>32</v>
      </c>
      <c r="V789" s="7" t="s">
        <v>1530</v>
      </c>
      <c r="W789" s="7" t="s">
        <v>35</v>
      </c>
      <c r="X789" s="7" t="s">
        <v>1751</v>
      </c>
      <c r="Y789" s="10">
        <f t="shared" si="25"/>
        <v>12.6</v>
      </c>
      <c r="AH789" s="5" t="e">
        <f>VLOOKUP(B789,[1]DL!$BK:$BP,6,0)</f>
        <v>#N/A</v>
      </c>
    </row>
    <row r="790" spans="1:34" ht="14.5" hidden="1">
      <c r="A790" s="5">
        <v>787</v>
      </c>
      <c r="B790" s="5" t="str">
        <f t="shared" si="24"/>
        <v>07BGEPM3391K2Z2D-0002</v>
      </c>
      <c r="C790" s="1" t="s">
        <v>1513</v>
      </c>
      <c r="D790" s="1" t="s">
        <v>1514</v>
      </c>
      <c r="E790" s="1" t="s">
        <v>1531</v>
      </c>
      <c r="F790" s="1" t="s">
        <v>24</v>
      </c>
      <c r="G790" s="1" t="s">
        <v>125</v>
      </c>
      <c r="H790" s="2">
        <v>11210</v>
      </c>
      <c r="I790" s="1" t="s">
        <v>44</v>
      </c>
      <c r="J790" s="3" t="s">
        <v>27</v>
      </c>
      <c r="K790" s="2">
        <v>9500</v>
      </c>
      <c r="L790" s="2">
        <v>0</v>
      </c>
      <c r="M790" s="2">
        <v>855</v>
      </c>
      <c r="N790" s="2">
        <v>855</v>
      </c>
      <c r="O790" s="2">
        <v>0</v>
      </c>
      <c r="P790" s="7" t="s">
        <v>28</v>
      </c>
      <c r="Q790" s="1" t="s">
        <v>29</v>
      </c>
      <c r="R790" s="3" t="s">
        <v>45</v>
      </c>
      <c r="S790" s="1" t="s">
        <v>46</v>
      </c>
      <c r="T790" s="4" t="s">
        <v>31</v>
      </c>
      <c r="U790" s="7" t="s">
        <v>32</v>
      </c>
      <c r="V790" s="7" t="s">
        <v>1532</v>
      </c>
      <c r="W790" s="7" t="s">
        <v>35</v>
      </c>
      <c r="X790" s="7" t="s">
        <v>1751</v>
      </c>
      <c r="Y790" s="10">
        <f t="shared" si="25"/>
        <v>1710</v>
      </c>
      <c r="AH790" s="5" t="e">
        <f>VLOOKUP(B790,[1]DL!$BK:$BP,6,0)</f>
        <v>#N/A</v>
      </c>
    </row>
    <row r="791" spans="1:34" ht="14.5" hidden="1">
      <c r="A791" s="5">
        <v>788</v>
      </c>
      <c r="B791" s="5" t="str">
        <f t="shared" si="24"/>
        <v>07BGEPM3391K2Z2D-00021</v>
      </c>
      <c r="C791" s="1" t="s">
        <v>1513</v>
      </c>
      <c r="D791" s="1" t="s">
        <v>1514</v>
      </c>
      <c r="E791" s="1" t="s">
        <v>1533</v>
      </c>
      <c r="F791" s="1" t="s">
        <v>24</v>
      </c>
      <c r="G791" s="1" t="s">
        <v>398</v>
      </c>
      <c r="H791" s="2">
        <v>83.78</v>
      </c>
      <c r="I791" s="1" t="s">
        <v>44</v>
      </c>
      <c r="J791" s="3" t="s">
        <v>27</v>
      </c>
      <c r="K791" s="2">
        <v>71</v>
      </c>
      <c r="L791" s="2">
        <v>0</v>
      </c>
      <c r="M791" s="2">
        <v>6.39</v>
      </c>
      <c r="N791" s="2">
        <v>6.39</v>
      </c>
      <c r="O791" s="2">
        <v>0</v>
      </c>
      <c r="P791" s="7" t="s">
        <v>28</v>
      </c>
      <c r="Q791" s="1" t="s">
        <v>29</v>
      </c>
      <c r="R791" s="3" t="s">
        <v>45</v>
      </c>
      <c r="S791" s="1" t="s">
        <v>46</v>
      </c>
      <c r="T791" s="4" t="s">
        <v>31</v>
      </c>
      <c r="U791" s="7" t="s">
        <v>32</v>
      </c>
      <c r="V791" s="7" t="s">
        <v>1534</v>
      </c>
      <c r="W791" s="7" t="s">
        <v>35</v>
      </c>
      <c r="X791" s="7" t="s">
        <v>1751</v>
      </c>
      <c r="Y791" s="10">
        <f t="shared" si="25"/>
        <v>12.779999999999999</v>
      </c>
      <c r="AH791" s="5" t="e">
        <f>VLOOKUP(B791,[1]DL!$BK:$BP,6,0)</f>
        <v>#N/A</v>
      </c>
    </row>
    <row r="792" spans="1:34" ht="14.5" hidden="1">
      <c r="A792" s="5">
        <v>789</v>
      </c>
      <c r="B792" s="5" t="str">
        <f t="shared" si="24"/>
        <v>07BGEPM3391K2Z2D-0003</v>
      </c>
      <c r="C792" s="1" t="s">
        <v>1513</v>
      </c>
      <c r="D792" s="1" t="s">
        <v>1514</v>
      </c>
      <c r="E792" s="1" t="s">
        <v>1535</v>
      </c>
      <c r="F792" s="1" t="s">
        <v>24</v>
      </c>
      <c r="G792" s="1" t="s">
        <v>125</v>
      </c>
      <c r="H792" s="2">
        <v>17346</v>
      </c>
      <c r="I792" s="1" t="s">
        <v>44</v>
      </c>
      <c r="J792" s="3" t="s">
        <v>27</v>
      </c>
      <c r="K792" s="2">
        <v>14700</v>
      </c>
      <c r="L792" s="2">
        <v>0</v>
      </c>
      <c r="M792" s="2">
        <v>1323</v>
      </c>
      <c r="N792" s="2">
        <v>1323</v>
      </c>
      <c r="O792" s="2">
        <v>0</v>
      </c>
      <c r="P792" s="7" t="s">
        <v>28</v>
      </c>
      <c r="Q792" s="1" t="s">
        <v>29</v>
      </c>
      <c r="R792" s="3" t="s">
        <v>45</v>
      </c>
      <c r="S792" s="1" t="s">
        <v>46</v>
      </c>
      <c r="T792" s="4" t="s">
        <v>31</v>
      </c>
      <c r="U792" s="7" t="s">
        <v>32</v>
      </c>
      <c r="V792" s="7" t="s">
        <v>1536</v>
      </c>
      <c r="W792" s="7" t="s">
        <v>35</v>
      </c>
      <c r="X792" s="7" t="s">
        <v>1751</v>
      </c>
      <c r="Y792" s="10">
        <f t="shared" si="25"/>
        <v>2646</v>
      </c>
      <c r="AH792" s="5" t="e">
        <f>VLOOKUP(B792,[1]DL!$BK:$BP,6,0)</f>
        <v>#N/A</v>
      </c>
    </row>
    <row r="793" spans="1:34" ht="14.5" hidden="1">
      <c r="A793" s="5">
        <v>790</v>
      </c>
      <c r="B793" s="5" t="str">
        <f t="shared" si="24"/>
        <v>07BGEPM3391K2Z2D-0004</v>
      </c>
      <c r="C793" s="1" t="s">
        <v>1513</v>
      </c>
      <c r="D793" s="1" t="s">
        <v>1514</v>
      </c>
      <c r="E793" s="1" t="s">
        <v>1537</v>
      </c>
      <c r="F793" s="1" t="s">
        <v>24</v>
      </c>
      <c r="G793" s="1" t="s">
        <v>125</v>
      </c>
      <c r="H793" s="2">
        <v>1180</v>
      </c>
      <c r="I793" s="1" t="s">
        <v>44</v>
      </c>
      <c r="J793" s="3" t="s">
        <v>27</v>
      </c>
      <c r="K793" s="2">
        <v>1000</v>
      </c>
      <c r="L793" s="2">
        <v>0</v>
      </c>
      <c r="M793" s="2">
        <v>90</v>
      </c>
      <c r="N793" s="2">
        <v>90</v>
      </c>
      <c r="O793" s="2">
        <v>0</v>
      </c>
      <c r="P793" s="7" t="s">
        <v>28</v>
      </c>
      <c r="Q793" s="1" t="s">
        <v>29</v>
      </c>
      <c r="R793" s="3" t="s">
        <v>45</v>
      </c>
      <c r="S793" s="1" t="s">
        <v>46</v>
      </c>
      <c r="T793" s="4" t="s">
        <v>31</v>
      </c>
      <c r="U793" s="7" t="s">
        <v>32</v>
      </c>
      <c r="V793" s="7" t="s">
        <v>1538</v>
      </c>
      <c r="W793" s="7" t="s">
        <v>35</v>
      </c>
      <c r="X793" s="7" t="s">
        <v>1751</v>
      </c>
      <c r="Y793" s="10">
        <f t="shared" si="25"/>
        <v>180</v>
      </c>
      <c r="AH793" s="5" t="e">
        <f>VLOOKUP(B793,[1]DL!$BK:$BP,6,0)</f>
        <v>#N/A</v>
      </c>
    </row>
    <row r="794" spans="1:34" ht="14.5" hidden="1">
      <c r="A794" s="5">
        <v>791</v>
      </c>
      <c r="B794" s="5" t="str">
        <f t="shared" si="24"/>
        <v>07BGEPM3391K2Z2D-0005</v>
      </c>
      <c r="C794" s="1" t="s">
        <v>1513</v>
      </c>
      <c r="D794" s="1" t="s">
        <v>1514</v>
      </c>
      <c r="E794" s="1" t="s">
        <v>1539</v>
      </c>
      <c r="F794" s="1" t="s">
        <v>24</v>
      </c>
      <c r="G794" s="1" t="s">
        <v>125</v>
      </c>
      <c r="H794" s="2">
        <v>1770</v>
      </c>
      <c r="I794" s="1" t="s">
        <v>44</v>
      </c>
      <c r="J794" s="3" t="s">
        <v>27</v>
      </c>
      <c r="K794" s="2">
        <v>1500</v>
      </c>
      <c r="L794" s="2">
        <v>0</v>
      </c>
      <c r="M794" s="2">
        <v>135</v>
      </c>
      <c r="N794" s="2">
        <v>135</v>
      </c>
      <c r="O794" s="2">
        <v>0</v>
      </c>
      <c r="P794" s="7" t="s">
        <v>28</v>
      </c>
      <c r="Q794" s="1" t="s">
        <v>29</v>
      </c>
      <c r="R794" s="3" t="s">
        <v>45</v>
      </c>
      <c r="S794" s="1" t="s">
        <v>46</v>
      </c>
      <c r="T794" s="4" t="s">
        <v>31</v>
      </c>
      <c r="U794" s="7" t="s">
        <v>32</v>
      </c>
      <c r="V794" s="7" t="s">
        <v>1540</v>
      </c>
      <c r="W794" s="7" t="s">
        <v>35</v>
      </c>
      <c r="X794" s="7" t="s">
        <v>1751</v>
      </c>
      <c r="Y794" s="10">
        <f t="shared" si="25"/>
        <v>270</v>
      </c>
      <c r="AH794" s="5" t="e">
        <f>VLOOKUP(B794,[1]DL!$BK:$BP,6,0)</f>
        <v>#N/A</v>
      </c>
    </row>
    <row r="795" spans="1:34" ht="14.5" hidden="1">
      <c r="A795" s="5">
        <v>792</v>
      </c>
      <c r="B795" s="5" t="str">
        <f t="shared" si="24"/>
        <v>07BGEPM3391K2Z2D-0006</v>
      </c>
      <c r="C795" s="1" t="s">
        <v>1513</v>
      </c>
      <c r="D795" s="1" t="s">
        <v>1514</v>
      </c>
      <c r="E795" s="1" t="s">
        <v>1541</v>
      </c>
      <c r="F795" s="1" t="s">
        <v>24</v>
      </c>
      <c r="G795" s="1" t="s">
        <v>125</v>
      </c>
      <c r="H795" s="2">
        <v>18644</v>
      </c>
      <c r="I795" s="1" t="s">
        <v>44</v>
      </c>
      <c r="J795" s="3" t="s">
        <v>27</v>
      </c>
      <c r="K795" s="2">
        <v>15800</v>
      </c>
      <c r="L795" s="2">
        <v>0</v>
      </c>
      <c r="M795" s="2">
        <v>1422</v>
      </c>
      <c r="N795" s="2">
        <v>1422</v>
      </c>
      <c r="O795" s="2">
        <v>0</v>
      </c>
      <c r="P795" s="7" t="s">
        <v>28</v>
      </c>
      <c r="Q795" s="1" t="s">
        <v>29</v>
      </c>
      <c r="R795" s="3" t="s">
        <v>45</v>
      </c>
      <c r="S795" s="1" t="s">
        <v>46</v>
      </c>
      <c r="T795" s="4" t="s">
        <v>31</v>
      </c>
      <c r="U795" s="7" t="s">
        <v>32</v>
      </c>
      <c r="V795" s="7" t="s">
        <v>1542</v>
      </c>
      <c r="W795" s="7" t="s">
        <v>35</v>
      </c>
      <c r="X795" s="7" t="s">
        <v>1751</v>
      </c>
      <c r="Y795" s="10">
        <f t="shared" si="25"/>
        <v>2844</v>
      </c>
      <c r="AH795" s="5" t="e">
        <f>VLOOKUP(B795,[1]DL!$BK:$BP,6,0)</f>
        <v>#N/A</v>
      </c>
    </row>
    <row r="796" spans="1:34" ht="14.5" hidden="1">
      <c r="A796" s="5">
        <v>793</v>
      </c>
      <c r="B796" s="5" t="str">
        <f t="shared" si="24"/>
        <v>07BGEPM3391K2Z2D-0007</v>
      </c>
      <c r="C796" s="1" t="s">
        <v>1513</v>
      </c>
      <c r="D796" s="1" t="s">
        <v>1514</v>
      </c>
      <c r="E796" s="1" t="s">
        <v>1543</v>
      </c>
      <c r="F796" s="1" t="s">
        <v>24</v>
      </c>
      <c r="G796" s="1" t="s">
        <v>125</v>
      </c>
      <c r="H796" s="2">
        <v>10030</v>
      </c>
      <c r="I796" s="1" t="s">
        <v>44</v>
      </c>
      <c r="J796" s="3" t="s">
        <v>27</v>
      </c>
      <c r="K796" s="2">
        <v>8500</v>
      </c>
      <c r="L796" s="2">
        <v>0</v>
      </c>
      <c r="M796" s="2">
        <v>765</v>
      </c>
      <c r="N796" s="2">
        <v>765</v>
      </c>
      <c r="O796" s="2">
        <v>0</v>
      </c>
      <c r="P796" s="7" t="s">
        <v>28</v>
      </c>
      <c r="Q796" s="1" t="s">
        <v>29</v>
      </c>
      <c r="R796" s="3" t="s">
        <v>45</v>
      </c>
      <c r="S796" s="1" t="s">
        <v>46</v>
      </c>
      <c r="T796" s="4" t="s">
        <v>31</v>
      </c>
      <c r="U796" s="7" t="s">
        <v>32</v>
      </c>
      <c r="V796" s="7" t="s">
        <v>1544</v>
      </c>
      <c r="W796" s="7" t="s">
        <v>35</v>
      </c>
      <c r="X796" s="7" t="s">
        <v>1751</v>
      </c>
      <c r="Y796" s="10">
        <f t="shared" si="25"/>
        <v>1530</v>
      </c>
      <c r="AH796" s="5" t="e">
        <f>VLOOKUP(B796,[1]DL!$BK:$BP,6,0)</f>
        <v>#N/A</v>
      </c>
    </row>
    <row r="797" spans="1:34" ht="14.5" hidden="1">
      <c r="A797" s="5">
        <v>794</v>
      </c>
      <c r="B797" s="5" t="str">
        <f t="shared" si="24"/>
        <v>07BGEPM3391K2Z2D-0008</v>
      </c>
      <c r="C797" s="1" t="s">
        <v>1513</v>
      </c>
      <c r="D797" s="1" t="s">
        <v>1514</v>
      </c>
      <c r="E797" s="1" t="s">
        <v>1545</v>
      </c>
      <c r="F797" s="1" t="s">
        <v>24</v>
      </c>
      <c r="G797" s="1" t="s">
        <v>398</v>
      </c>
      <c r="H797" s="2">
        <v>12980</v>
      </c>
      <c r="I797" s="1" t="s">
        <v>44</v>
      </c>
      <c r="J797" s="3" t="s">
        <v>27</v>
      </c>
      <c r="K797" s="2">
        <v>11000</v>
      </c>
      <c r="L797" s="2">
        <v>0</v>
      </c>
      <c r="M797" s="2">
        <v>990</v>
      </c>
      <c r="N797" s="2">
        <v>990</v>
      </c>
      <c r="O797" s="2">
        <v>0</v>
      </c>
      <c r="P797" s="7" t="s">
        <v>28</v>
      </c>
      <c r="Q797" s="1" t="s">
        <v>29</v>
      </c>
      <c r="R797" s="3" t="s">
        <v>45</v>
      </c>
      <c r="S797" s="1" t="s">
        <v>46</v>
      </c>
      <c r="T797" s="4" t="s">
        <v>31</v>
      </c>
      <c r="U797" s="7" t="s">
        <v>32</v>
      </c>
      <c r="V797" s="7" t="s">
        <v>1546</v>
      </c>
      <c r="W797" s="7" t="s">
        <v>35</v>
      </c>
      <c r="X797" s="7" t="s">
        <v>1751</v>
      </c>
      <c r="Y797" s="10">
        <f t="shared" si="25"/>
        <v>1980</v>
      </c>
      <c r="AH797" s="5" t="e">
        <f>VLOOKUP(B797,[1]DL!$BK:$BP,6,0)</f>
        <v>#N/A</v>
      </c>
    </row>
    <row r="798" spans="1:34" ht="14.5" hidden="1">
      <c r="A798" s="5">
        <v>795</v>
      </c>
      <c r="B798" s="5" t="str">
        <f t="shared" si="24"/>
        <v>07BGEPM3391K2Z2D-0009</v>
      </c>
      <c r="C798" s="1" t="s">
        <v>1513</v>
      </c>
      <c r="D798" s="1" t="s">
        <v>1514</v>
      </c>
      <c r="E798" s="1" t="s">
        <v>1547</v>
      </c>
      <c r="F798" s="1" t="s">
        <v>24</v>
      </c>
      <c r="G798" s="1" t="s">
        <v>398</v>
      </c>
      <c r="H798" s="2">
        <v>17936</v>
      </c>
      <c r="I798" s="1" t="s">
        <v>44</v>
      </c>
      <c r="J798" s="3" t="s">
        <v>27</v>
      </c>
      <c r="K798" s="2">
        <v>15200</v>
      </c>
      <c r="L798" s="2">
        <v>0</v>
      </c>
      <c r="M798" s="2">
        <v>1368</v>
      </c>
      <c r="N798" s="2">
        <v>1368</v>
      </c>
      <c r="O798" s="2">
        <v>0</v>
      </c>
      <c r="P798" s="7" t="s">
        <v>28</v>
      </c>
      <c r="Q798" s="1" t="s">
        <v>29</v>
      </c>
      <c r="R798" s="3" t="s">
        <v>45</v>
      </c>
      <c r="S798" s="1" t="s">
        <v>46</v>
      </c>
      <c r="T798" s="4" t="s">
        <v>31</v>
      </c>
      <c r="U798" s="7" t="s">
        <v>32</v>
      </c>
      <c r="V798" s="7" t="s">
        <v>1548</v>
      </c>
      <c r="W798" s="7" t="s">
        <v>35</v>
      </c>
      <c r="X798" s="7" t="s">
        <v>1751</v>
      </c>
      <c r="Y798" s="10">
        <f t="shared" si="25"/>
        <v>2736</v>
      </c>
      <c r="AH798" s="5" t="e">
        <f>VLOOKUP(B798,[1]DL!$BK:$BP,6,0)</f>
        <v>#N/A</v>
      </c>
    </row>
    <row r="799" spans="1:34" ht="14.5" hidden="1">
      <c r="A799" s="5">
        <v>796</v>
      </c>
      <c r="B799" s="5" t="str">
        <f t="shared" si="24"/>
        <v>07AAACA2775P1ZBDI-01</v>
      </c>
      <c r="C799" s="1" t="s">
        <v>1549</v>
      </c>
      <c r="D799" s="1" t="s">
        <v>1550</v>
      </c>
      <c r="E799" s="1" t="s">
        <v>1551</v>
      </c>
      <c r="F799" s="1" t="s">
        <v>24</v>
      </c>
      <c r="G799" s="1" t="s">
        <v>125</v>
      </c>
      <c r="H799" s="2">
        <v>3186</v>
      </c>
      <c r="I799" s="1" t="s">
        <v>44</v>
      </c>
      <c r="J799" s="3" t="s">
        <v>27</v>
      </c>
      <c r="K799" s="2">
        <v>2700</v>
      </c>
      <c r="L799" s="2">
        <v>0</v>
      </c>
      <c r="M799" s="2">
        <v>243</v>
      </c>
      <c r="N799" s="2">
        <v>243</v>
      </c>
      <c r="O799" s="2">
        <v>0</v>
      </c>
      <c r="P799" s="7" t="s">
        <v>28</v>
      </c>
      <c r="Q799" s="1" t="s">
        <v>94</v>
      </c>
      <c r="R799" s="3" t="s">
        <v>45</v>
      </c>
      <c r="S799" s="1" t="s">
        <v>46</v>
      </c>
      <c r="T799" s="4" t="s">
        <v>31</v>
      </c>
      <c r="U799" s="7" t="s">
        <v>46</v>
      </c>
      <c r="V799" s="7" t="s">
        <v>46</v>
      </c>
      <c r="W799" s="7" t="s">
        <v>46</v>
      </c>
      <c r="X799" s="7" t="s">
        <v>1751</v>
      </c>
      <c r="Y799" s="10">
        <f t="shared" si="25"/>
        <v>486</v>
      </c>
      <c r="AH799" s="5" t="e">
        <f>VLOOKUP(B799,[1]DL!$BK:$BP,6,0)</f>
        <v>#N/A</v>
      </c>
    </row>
    <row r="800" spans="1:34" ht="14.5" hidden="1">
      <c r="A800" s="5">
        <v>797</v>
      </c>
      <c r="B800" s="5" t="str">
        <f t="shared" si="24"/>
        <v>07AAACA2775P1ZBDI-010</v>
      </c>
      <c r="C800" s="1" t="s">
        <v>1549</v>
      </c>
      <c r="D800" s="1" t="s">
        <v>1550</v>
      </c>
      <c r="E800" s="1" t="s">
        <v>1552</v>
      </c>
      <c r="F800" s="1" t="s">
        <v>24</v>
      </c>
      <c r="G800" s="1" t="s">
        <v>398</v>
      </c>
      <c r="H800" s="2">
        <v>5428</v>
      </c>
      <c r="I800" s="1" t="s">
        <v>44</v>
      </c>
      <c r="J800" s="3" t="s">
        <v>27</v>
      </c>
      <c r="K800" s="2">
        <v>4600</v>
      </c>
      <c r="L800" s="2">
        <v>0</v>
      </c>
      <c r="M800" s="2">
        <v>414</v>
      </c>
      <c r="N800" s="2">
        <v>414</v>
      </c>
      <c r="O800" s="2">
        <v>0</v>
      </c>
      <c r="P800" s="7" t="s">
        <v>28</v>
      </c>
      <c r="Q800" s="1" t="s">
        <v>94</v>
      </c>
      <c r="R800" s="3" t="s">
        <v>45</v>
      </c>
      <c r="S800" s="1" t="s">
        <v>46</v>
      </c>
      <c r="T800" s="4" t="s">
        <v>31</v>
      </c>
      <c r="U800" s="7" t="s">
        <v>46</v>
      </c>
      <c r="V800" s="7" t="s">
        <v>46</v>
      </c>
      <c r="W800" s="7" t="s">
        <v>46</v>
      </c>
      <c r="X800" s="7" t="s">
        <v>1751</v>
      </c>
      <c r="Y800" s="10">
        <f t="shared" si="25"/>
        <v>828</v>
      </c>
      <c r="AH800" s="5" t="e">
        <f>VLOOKUP(B800,[1]DL!$BK:$BP,6,0)</f>
        <v>#N/A</v>
      </c>
    </row>
    <row r="801" spans="1:34" ht="14.5" hidden="1">
      <c r="A801" s="5">
        <v>798</v>
      </c>
      <c r="B801" s="5" t="str">
        <f t="shared" si="24"/>
        <v>07AAACA2775P1ZBDI-011</v>
      </c>
      <c r="C801" s="1" t="s">
        <v>1549</v>
      </c>
      <c r="D801" s="1" t="s">
        <v>1550</v>
      </c>
      <c r="E801" s="1" t="s">
        <v>1553</v>
      </c>
      <c r="F801" s="1" t="s">
        <v>24</v>
      </c>
      <c r="G801" s="1" t="s">
        <v>398</v>
      </c>
      <c r="H801" s="2">
        <v>8732</v>
      </c>
      <c r="I801" s="1" t="s">
        <v>44</v>
      </c>
      <c r="J801" s="3" t="s">
        <v>27</v>
      </c>
      <c r="K801" s="2">
        <v>7400</v>
      </c>
      <c r="L801" s="2">
        <v>0</v>
      </c>
      <c r="M801" s="2">
        <v>666</v>
      </c>
      <c r="N801" s="2">
        <v>666</v>
      </c>
      <c r="O801" s="2">
        <v>0</v>
      </c>
      <c r="P801" s="7" t="s">
        <v>28</v>
      </c>
      <c r="Q801" s="1" t="s">
        <v>94</v>
      </c>
      <c r="R801" s="3" t="s">
        <v>45</v>
      </c>
      <c r="S801" s="1" t="s">
        <v>46</v>
      </c>
      <c r="T801" s="4" t="s">
        <v>31</v>
      </c>
      <c r="U801" s="7" t="s">
        <v>46</v>
      </c>
      <c r="V801" s="7" t="s">
        <v>46</v>
      </c>
      <c r="W801" s="7" t="s">
        <v>46</v>
      </c>
      <c r="X801" s="7" t="s">
        <v>1751</v>
      </c>
      <c r="Y801" s="10">
        <f t="shared" si="25"/>
        <v>1332</v>
      </c>
      <c r="AH801" s="5" t="e">
        <f>VLOOKUP(B801,[1]DL!$BK:$BP,6,0)</f>
        <v>#N/A</v>
      </c>
    </row>
    <row r="802" spans="1:34" ht="14.5" hidden="1">
      <c r="A802" s="5">
        <v>799</v>
      </c>
      <c r="B802" s="5" t="str">
        <f t="shared" si="24"/>
        <v>07AAACA2775P1ZBDI-012</v>
      </c>
      <c r="C802" s="1" t="s">
        <v>1549</v>
      </c>
      <c r="D802" s="1" t="s">
        <v>1550</v>
      </c>
      <c r="E802" s="1" t="s">
        <v>1554</v>
      </c>
      <c r="F802" s="1" t="s">
        <v>24</v>
      </c>
      <c r="G802" s="1" t="s">
        <v>398</v>
      </c>
      <c r="H802" s="2">
        <v>18880</v>
      </c>
      <c r="I802" s="1" t="s">
        <v>44</v>
      </c>
      <c r="J802" s="3" t="s">
        <v>27</v>
      </c>
      <c r="K802" s="2">
        <v>16000</v>
      </c>
      <c r="L802" s="2">
        <v>0</v>
      </c>
      <c r="M802" s="2">
        <v>1440</v>
      </c>
      <c r="N802" s="2">
        <v>1440</v>
      </c>
      <c r="O802" s="2">
        <v>0</v>
      </c>
      <c r="P802" s="7" t="s">
        <v>28</v>
      </c>
      <c r="Q802" s="1" t="s">
        <v>94</v>
      </c>
      <c r="R802" s="3" t="s">
        <v>45</v>
      </c>
      <c r="S802" s="1" t="s">
        <v>46</v>
      </c>
      <c r="T802" s="4" t="s">
        <v>31</v>
      </c>
      <c r="U802" s="7" t="s">
        <v>46</v>
      </c>
      <c r="V802" s="7" t="s">
        <v>46</v>
      </c>
      <c r="W802" s="7" t="s">
        <v>46</v>
      </c>
      <c r="X802" s="7" t="s">
        <v>1751</v>
      </c>
      <c r="Y802" s="10">
        <f t="shared" si="25"/>
        <v>2880</v>
      </c>
      <c r="AH802" s="5" t="e">
        <f>VLOOKUP(B802,[1]DL!$BK:$BP,6,0)</f>
        <v>#N/A</v>
      </c>
    </row>
    <row r="803" spans="1:34" ht="14.5" hidden="1">
      <c r="A803" s="5">
        <v>800</v>
      </c>
      <c r="B803" s="5" t="str">
        <f t="shared" si="24"/>
        <v>07AAACA2775P1ZBDI-013</v>
      </c>
      <c r="C803" s="1" t="s">
        <v>1549</v>
      </c>
      <c r="D803" s="1" t="s">
        <v>1550</v>
      </c>
      <c r="E803" s="1" t="s">
        <v>1555</v>
      </c>
      <c r="F803" s="1" t="s">
        <v>24</v>
      </c>
      <c r="G803" s="1" t="s">
        <v>398</v>
      </c>
      <c r="H803" s="2">
        <v>993.56</v>
      </c>
      <c r="I803" s="1" t="s">
        <v>44</v>
      </c>
      <c r="J803" s="3" t="s">
        <v>27</v>
      </c>
      <c r="K803" s="2">
        <v>842</v>
      </c>
      <c r="L803" s="2">
        <v>0</v>
      </c>
      <c r="M803" s="2">
        <v>75.78</v>
      </c>
      <c r="N803" s="2">
        <v>75.78</v>
      </c>
      <c r="O803" s="2">
        <v>0</v>
      </c>
      <c r="P803" s="7" t="s">
        <v>28</v>
      </c>
      <c r="Q803" s="1" t="s">
        <v>94</v>
      </c>
      <c r="R803" s="3" t="s">
        <v>45</v>
      </c>
      <c r="S803" s="1" t="s">
        <v>46</v>
      </c>
      <c r="T803" s="4" t="s">
        <v>31</v>
      </c>
      <c r="U803" s="7" t="s">
        <v>46</v>
      </c>
      <c r="V803" s="7" t="s">
        <v>46</v>
      </c>
      <c r="W803" s="7" t="s">
        <v>46</v>
      </c>
      <c r="X803" s="7" t="s">
        <v>1751</v>
      </c>
      <c r="Y803" s="10">
        <f t="shared" si="25"/>
        <v>151.56</v>
      </c>
      <c r="AH803" s="5" t="e">
        <f>VLOOKUP(B803,[1]DL!$BK:$BP,6,0)</f>
        <v>#N/A</v>
      </c>
    </row>
    <row r="804" spans="1:34" ht="14.5" hidden="1">
      <c r="A804" s="5">
        <v>801</v>
      </c>
      <c r="B804" s="5" t="str">
        <f t="shared" si="24"/>
        <v>07AAACA2775P1ZBDI-014</v>
      </c>
      <c r="C804" s="1" t="s">
        <v>1549</v>
      </c>
      <c r="D804" s="1" t="s">
        <v>1550</v>
      </c>
      <c r="E804" s="1" t="s">
        <v>1556</v>
      </c>
      <c r="F804" s="1" t="s">
        <v>24</v>
      </c>
      <c r="G804" s="1" t="s">
        <v>398</v>
      </c>
      <c r="H804" s="2">
        <v>3799.60</v>
      </c>
      <c r="I804" s="1" t="s">
        <v>44</v>
      </c>
      <c r="J804" s="3" t="s">
        <v>27</v>
      </c>
      <c r="K804" s="2">
        <v>3220</v>
      </c>
      <c r="L804" s="2">
        <v>0</v>
      </c>
      <c r="M804" s="2">
        <v>289.80</v>
      </c>
      <c r="N804" s="2">
        <v>289.80</v>
      </c>
      <c r="O804" s="2">
        <v>0</v>
      </c>
      <c r="P804" s="7" t="s">
        <v>28</v>
      </c>
      <c r="Q804" s="1" t="s">
        <v>94</v>
      </c>
      <c r="R804" s="3" t="s">
        <v>45</v>
      </c>
      <c r="S804" s="1" t="s">
        <v>46</v>
      </c>
      <c r="T804" s="4" t="s">
        <v>31</v>
      </c>
      <c r="U804" s="7" t="s">
        <v>46</v>
      </c>
      <c r="V804" s="7" t="s">
        <v>46</v>
      </c>
      <c r="W804" s="7" t="s">
        <v>46</v>
      </c>
      <c r="X804" s="7" t="s">
        <v>1751</v>
      </c>
      <c r="Y804" s="10">
        <f t="shared" si="25"/>
        <v>579.60000000000002</v>
      </c>
      <c r="AH804" s="5" t="e">
        <f>VLOOKUP(B804,[1]DL!$BK:$BP,6,0)</f>
        <v>#N/A</v>
      </c>
    </row>
    <row r="805" spans="1:34" ht="14.5" hidden="1">
      <c r="A805" s="5">
        <v>802</v>
      </c>
      <c r="B805" s="5" t="str">
        <f t="shared" si="24"/>
        <v>07AAACA2775P1ZBDI-015</v>
      </c>
      <c r="C805" s="1" t="s">
        <v>1549</v>
      </c>
      <c r="D805" s="1" t="s">
        <v>1550</v>
      </c>
      <c r="E805" s="1" t="s">
        <v>1557</v>
      </c>
      <c r="F805" s="1" t="s">
        <v>24</v>
      </c>
      <c r="G805" s="1" t="s">
        <v>398</v>
      </c>
      <c r="H805" s="2">
        <v>348.10</v>
      </c>
      <c r="I805" s="1" t="s">
        <v>44</v>
      </c>
      <c r="J805" s="3" t="s">
        <v>27</v>
      </c>
      <c r="K805" s="2">
        <v>295</v>
      </c>
      <c r="L805" s="2">
        <v>0</v>
      </c>
      <c r="M805" s="2">
        <v>26.55</v>
      </c>
      <c r="N805" s="2">
        <v>26.55</v>
      </c>
      <c r="O805" s="2">
        <v>0</v>
      </c>
      <c r="P805" s="7" t="s">
        <v>28</v>
      </c>
      <c r="Q805" s="1" t="s">
        <v>94</v>
      </c>
      <c r="R805" s="3" t="s">
        <v>45</v>
      </c>
      <c r="S805" s="1" t="s">
        <v>46</v>
      </c>
      <c r="T805" s="4" t="s">
        <v>31</v>
      </c>
      <c r="U805" s="7" t="s">
        <v>46</v>
      </c>
      <c r="V805" s="7" t="s">
        <v>46</v>
      </c>
      <c r="W805" s="7" t="s">
        <v>46</v>
      </c>
      <c r="X805" s="7" t="s">
        <v>1751</v>
      </c>
      <c r="Y805" s="10">
        <f t="shared" si="25"/>
        <v>53.100000000000001</v>
      </c>
      <c r="AH805" s="5" t="e">
        <f>VLOOKUP(B805,[1]DL!$BK:$BP,6,0)</f>
        <v>#N/A</v>
      </c>
    </row>
    <row r="806" spans="1:34" ht="14.5" hidden="1">
      <c r="A806" s="5">
        <v>803</v>
      </c>
      <c r="B806" s="5" t="str">
        <f t="shared" si="24"/>
        <v>07AAACA2775P1ZBDI-016</v>
      </c>
      <c r="C806" s="1" t="s">
        <v>1549</v>
      </c>
      <c r="D806" s="1" t="s">
        <v>1550</v>
      </c>
      <c r="E806" s="1" t="s">
        <v>1558</v>
      </c>
      <c r="F806" s="1" t="s">
        <v>24</v>
      </c>
      <c r="G806" s="1" t="s">
        <v>398</v>
      </c>
      <c r="H806" s="2">
        <v>47.20</v>
      </c>
      <c r="I806" s="1" t="s">
        <v>44</v>
      </c>
      <c r="J806" s="3" t="s">
        <v>27</v>
      </c>
      <c r="K806" s="2">
        <v>40</v>
      </c>
      <c r="L806" s="2">
        <v>0</v>
      </c>
      <c r="M806" s="2">
        <v>3.60</v>
      </c>
      <c r="N806" s="2">
        <v>3.60</v>
      </c>
      <c r="O806" s="2">
        <v>0</v>
      </c>
      <c r="P806" s="7" t="s">
        <v>28</v>
      </c>
      <c r="Q806" s="1" t="s">
        <v>94</v>
      </c>
      <c r="R806" s="3" t="s">
        <v>45</v>
      </c>
      <c r="S806" s="1" t="s">
        <v>46</v>
      </c>
      <c r="T806" s="4" t="s">
        <v>31</v>
      </c>
      <c r="U806" s="7" t="s">
        <v>46</v>
      </c>
      <c r="V806" s="7" t="s">
        <v>46</v>
      </c>
      <c r="W806" s="7" t="s">
        <v>46</v>
      </c>
      <c r="X806" s="7" t="s">
        <v>1751</v>
      </c>
      <c r="Y806" s="10">
        <f t="shared" si="25"/>
        <v>7.2000000000000002</v>
      </c>
      <c r="AH806" s="5" t="e">
        <f>VLOOKUP(B806,[1]DL!$BK:$BP,6,0)</f>
        <v>#N/A</v>
      </c>
    </row>
    <row r="807" spans="1:34" ht="14.5" hidden="1">
      <c r="A807" s="5">
        <v>804</v>
      </c>
      <c r="B807" s="5" t="str">
        <f t="shared" si="24"/>
        <v>07AAACA2775P1ZBDI-018</v>
      </c>
      <c r="C807" s="1" t="s">
        <v>1549</v>
      </c>
      <c r="D807" s="1" t="s">
        <v>1550</v>
      </c>
      <c r="E807" s="1" t="s">
        <v>1559</v>
      </c>
      <c r="F807" s="1" t="s">
        <v>24</v>
      </c>
      <c r="G807" s="1" t="s">
        <v>398</v>
      </c>
      <c r="H807" s="2">
        <v>690.30</v>
      </c>
      <c r="I807" s="1" t="s">
        <v>44</v>
      </c>
      <c r="J807" s="3" t="s">
        <v>27</v>
      </c>
      <c r="K807" s="2">
        <v>585</v>
      </c>
      <c r="L807" s="2">
        <v>0</v>
      </c>
      <c r="M807" s="2">
        <v>52.65</v>
      </c>
      <c r="N807" s="2">
        <v>52.65</v>
      </c>
      <c r="O807" s="2">
        <v>0</v>
      </c>
      <c r="P807" s="7" t="s">
        <v>28</v>
      </c>
      <c r="Q807" s="1" t="s">
        <v>94</v>
      </c>
      <c r="R807" s="3" t="s">
        <v>45</v>
      </c>
      <c r="S807" s="1" t="s">
        <v>46</v>
      </c>
      <c r="T807" s="4" t="s">
        <v>31</v>
      </c>
      <c r="U807" s="7" t="s">
        <v>46</v>
      </c>
      <c r="V807" s="7" t="s">
        <v>46</v>
      </c>
      <c r="W807" s="7" t="s">
        <v>46</v>
      </c>
      <c r="X807" s="7" t="s">
        <v>1751</v>
      </c>
      <c r="Y807" s="10">
        <f t="shared" si="25"/>
        <v>105.3</v>
      </c>
      <c r="AH807" s="5" t="e">
        <f>VLOOKUP(B807,[1]DL!$BK:$BP,6,0)</f>
        <v>#N/A</v>
      </c>
    </row>
    <row r="808" spans="1:34" ht="14.5" hidden="1">
      <c r="A808" s="5">
        <v>805</v>
      </c>
      <c r="B808" s="5" t="str">
        <f t="shared" si="24"/>
        <v>07AAACA2775P1ZBDI-02</v>
      </c>
      <c r="C808" s="1" t="s">
        <v>1549</v>
      </c>
      <c r="D808" s="1" t="s">
        <v>1550</v>
      </c>
      <c r="E808" s="1" t="s">
        <v>1560</v>
      </c>
      <c r="F808" s="1" t="s">
        <v>24</v>
      </c>
      <c r="G808" s="1" t="s">
        <v>125</v>
      </c>
      <c r="H808" s="2">
        <v>15222</v>
      </c>
      <c r="I808" s="1" t="s">
        <v>44</v>
      </c>
      <c r="J808" s="3" t="s">
        <v>27</v>
      </c>
      <c r="K808" s="2">
        <v>12900</v>
      </c>
      <c r="L808" s="2">
        <v>0</v>
      </c>
      <c r="M808" s="2">
        <v>1161</v>
      </c>
      <c r="N808" s="2">
        <v>1161</v>
      </c>
      <c r="O808" s="2">
        <v>0</v>
      </c>
      <c r="P808" s="7" t="s">
        <v>28</v>
      </c>
      <c r="Q808" s="1" t="s">
        <v>94</v>
      </c>
      <c r="R808" s="3" t="s">
        <v>45</v>
      </c>
      <c r="S808" s="1" t="s">
        <v>46</v>
      </c>
      <c r="T808" s="4" t="s">
        <v>31</v>
      </c>
      <c r="U808" s="7" t="s">
        <v>46</v>
      </c>
      <c r="V808" s="7" t="s">
        <v>46</v>
      </c>
      <c r="W808" s="7" t="s">
        <v>46</v>
      </c>
      <c r="X808" s="7" t="s">
        <v>1751</v>
      </c>
      <c r="Y808" s="10">
        <f t="shared" si="25"/>
        <v>2322</v>
      </c>
      <c r="AH808" s="5" t="e">
        <f>VLOOKUP(B808,[1]DL!$BK:$BP,6,0)</f>
        <v>#N/A</v>
      </c>
    </row>
    <row r="809" spans="1:34" ht="14.5" hidden="1">
      <c r="A809" s="5">
        <v>806</v>
      </c>
      <c r="B809" s="5" t="str">
        <f t="shared" si="24"/>
        <v>07AAACA2775P1ZBDI-020</v>
      </c>
      <c r="C809" s="1" t="s">
        <v>1549</v>
      </c>
      <c r="D809" s="1" t="s">
        <v>1550</v>
      </c>
      <c r="E809" s="1" t="s">
        <v>1561</v>
      </c>
      <c r="F809" s="1" t="s">
        <v>24</v>
      </c>
      <c r="G809" s="1" t="s">
        <v>398</v>
      </c>
      <c r="H809" s="2">
        <v>448.40</v>
      </c>
      <c r="I809" s="1" t="s">
        <v>44</v>
      </c>
      <c r="J809" s="3" t="s">
        <v>27</v>
      </c>
      <c r="K809" s="2">
        <v>380</v>
      </c>
      <c r="L809" s="2">
        <v>0</v>
      </c>
      <c r="M809" s="2">
        <v>34.200000000000003</v>
      </c>
      <c r="N809" s="2">
        <v>34.200000000000003</v>
      </c>
      <c r="O809" s="2">
        <v>0</v>
      </c>
      <c r="P809" s="7" t="s">
        <v>28</v>
      </c>
      <c r="Q809" s="1" t="s">
        <v>94</v>
      </c>
      <c r="R809" s="3" t="s">
        <v>45</v>
      </c>
      <c r="S809" s="1" t="s">
        <v>46</v>
      </c>
      <c r="T809" s="4" t="s">
        <v>31</v>
      </c>
      <c r="U809" s="7" t="s">
        <v>46</v>
      </c>
      <c r="V809" s="7" t="s">
        <v>46</v>
      </c>
      <c r="W809" s="7" t="s">
        <v>46</v>
      </c>
      <c r="X809" s="7" t="s">
        <v>1751</v>
      </c>
      <c r="Y809" s="10">
        <f t="shared" si="25"/>
        <v>68.400000000000006</v>
      </c>
      <c r="AH809" s="5" t="e">
        <f>VLOOKUP(B809,[1]DL!$BK:$BP,6,0)</f>
        <v>#N/A</v>
      </c>
    </row>
    <row r="810" spans="1:34" ht="14.5" hidden="1">
      <c r="A810" s="5">
        <v>807</v>
      </c>
      <c r="B810" s="5" t="str">
        <f t="shared" si="24"/>
        <v>07AAACA2775P1ZBDI-03</v>
      </c>
      <c r="C810" s="1" t="s">
        <v>1549</v>
      </c>
      <c r="D810" s="1" t="s">
        <v>1550</v>
      </c>
      <c r="E810" s="1" t="s">
        <v>1562</v>
      </c>
      <c r="F810" s="1" t="s">
        <v>24</v>
      </c>
      <c r="G810" s="1" t="s">
        <v>125</v>
      </c>
      <c r="H810" s="2">
        <v>5428</v>
      </c>
      <c r="I810" s="1" t="s">
        <v>44</v>
      </c>
      <c r="J810" s="3" t="s">
        <v>27</v>
      </c>
      <c r="K810" s="2">
        <v>4600</v>
      </c>
      <c r="L810" s="2">
        <v>0</v>
      </c>
      <c r="M810" s="2">
        <v>414</v>
      </c>
      <c r="N810" s="2">
        <v>414</v>
      </c>
      <c r="O810" s="2">
        <v>0</v>
      </c>
      <c r="P810" s="7" t="s">
        <v>28</v>
      </c>
      <c r="Q810" s="1" t="s">
        <v>94</v>
      </c>
      <c r="R810" s="3" t="s">
        <v>45</v>
      </c>
      <c r="S810" s="1" t="s">
        <v>46</v>
      </c>
      <c r="T810" s="4" t="s">
        <v>31</v>
      </c>
      <c r="U810" s="7" t="s">
        <v>46</v>
      </c>
      <c r="V810" s="7" t="s">
        <v>46</v>
      </c>
      <c r="W810" s="7" t="s">
        <v>46</v>
      </c>
      <c r="X810" s="7" t="s">
        <v>1751</v>
      </c>
      <c r="Y810" s="10">
        <f t="shared" si="25"/>
        <v>828</v>
      </c>
      <c r="AH810" s="5" t="e">
        <f>VLOOKUP(B810,[1]DL!$BK:$BP,6,0)</f>
        <v>#N/A</v>
      </c>
    </row>
    <row r="811" spans="1:34" ht="14.5" hidden="1">
      <c r="A811" s="5">
        <v>808</v>
      </c>
      <c r="B811" s="5" t="str">
        <f t="shared" si="24"/>
        <v>07AAACA2775P1ZBDI-04</v>
      </c>
      <c r="C811" s="1" t="s">
        <v>1549</v>
      </c>
      <c r="D811" s="1" t="s">
        <v>1550</v>
      </c>
      <c r="E811" s="1" t="s">
        <v>1563</v>
      </c>
      <c r="F811" s="1" t="s">
        <v>24</v>
      </c>
      <c r="G811" s="1" t="s">
        <v>125</v>
      </c>
      <c r="H811" s="2">
        <v>1180</v>
      </c>
      <c r="I811" s="1" t="s">
        <v>44</v>
      </c>
      <c r="J811" s="3" t="s">
        <v>27</v>
      </c>
      <c r="K811" s="2">
        <v>1000</v>
      </c>
      <c r="L811" s="2">
        <v>0</v>
      </c>
      <c r="M811" s="2">
        <v>90</v>
      </c>
      <c r="N811" s="2">
        <v>90</v>
      </c>
      <c r="O811" s="2">
        <v>0</v>
      </c>
      <c r="P811" s="7" t="s">
        <v>28</v>
      </c>
      <c r="Q811" s="1" t="s">
        <v>94</v>
      </c>
      <c r="R811" s="3" t="s">
        <v>45</v>
      </c>
      <c r="S811" s="1" t="s">
        <v>46</v>
      </c>
      <c r="T811" s="4" t="s">
        <v>31</v>
      </c>
      <c r="U811" s="7" t="s">
        <v>46</v>
      </c>
      <c r="V811" s="7" t="s">
        <v>46</v>
      </c>
      <c r="W811" s="7" t="s">
        <v>46</v>
      </c>
      <c r="X811" s="7" t="s">
        <v>1751</v>
      </c>
      <c r="Y811" s="10">
        <f t="shared" si="25"/>
        <v>180</v>
      </c>
      <c r="AH811" s="5" t="e">
        <f>VLOOKUP(B811,[1]DL!$BK:$BP,6,0)</f>
        <v>#N/A</v>
      </c>
    </row>
    <row r="812" spans="1:34" ht="14.5" hidden="1">
      <c r="A812" s="5">
        <v>809</v>
      </c>
      <c r="B812" s="5" t="str">
        <f t="shared" si="24"/>
        <v>07AAACA2775P1ZBDI-05</v>
      </c>
      <c r="C812" s="1" t="s">
        <v>1549</v>
      </c>
      <c r="D812" s="1" t="s">
        <v>1550</v>
      </c>
      <c r="E812" s="1" t="s">
        <v>1564</v>
      </c>
      <c r="F812" s="1" t="s">
        <v>24</v>
      </c>
      <c r="G812" s="1" t="s">
        <v>125</v>
      </c>
      <c r="H812" s="2">
        <v>2950</v>
      </c>
      <c r="I812" s="1" t="s">
        <v>44</v>
      </c>
      <c r="J812" s="3" t="s">
        <v>27</v>
      </c>
      <c r="K812" s="2">
        <v>2500</v>
      </c>
      <c r="L812" s="2">
        <v>0</v>
      </c>
      <c r="M812" s="2">
        <v>225</v>
      </c>
      <c r="N812" s="2">
        <v>225</v>
      </c>
      <c r="O812" s="2">
        <v>0</v>
      </c>
      <c r="P812" s="7" t="s">
        <v>28</v>
      </c>
      <c r="Q812" s="1" t="s">
        <v>94</v>
      </c>
      <c r="R812" s="3" t="s">
        <v>45</v>
      </c>
      <c r="S812" s="1" t="s">
        <v>46</v>
      </c>
      <c r="T812" s="4" t="s">
        <v>31</v>
      </c>
      <c r="U812" s="7" t="s">
        <v>46</v>
      </c>
      <c r="V812" s="7" t="s">
        <v>46</v>
      </c>
      <c r="W812" s="7" t="s">
        <v>46</v>
      </c>
      <c r="X812" s="7" t="s">
        <v>1751</v>
      </c>
      <c r="Y812" s="10">
        <f t="shared" si="25"/>
        <v>450</v>
      </c>
      <c r="AH812" s="5" t="e">
        <f>VLOOKUP(B812,[1]DL!$BK:$BP,6,0)</f>
        <v>#N/A</v>
      </c>
    </row>
    <row r="813" spans="1:34" ht="14.5" hidden="1">
      <c r="A813" s="5">
        <v>810</v>
      </c>
      <c r="B813" s="5" t="str">
        <f t="shared" si="24"/>
        <v>07AAACA2775P1ZBDI-06</v>
      </c>
      <c r="C813" s="1" t="s">
        <v>1549</v>
      </c>
      <c r="D813" s="1" t="s">
        <v>1550</v>
      </c>
      <c r="E813" s="1" t="s">
        <v>1565</v>
      </c>
      <c r="F813" s="1" t="s">
        <v>24</v>
      </c>
      <c r="G813" s="1" t="s">
        <v>125</v>
      </c>
      <c r="H813" s="2">
        <v>22168.02</v>
      </c>
      <c r="I813" s="1" t="s">
        <v>44</v>
      </c>
      <c r="J813" s="3" t="s">
        <v>27</v>
      </c>
      <c r="K813" s="2">
        <v>18786.46</v>
      </c>
      <c r="L813" s="2">
        <v>0</v>
      </c>
      <c r="M813" s="2">
        <v>1690.78</v>
      </c>
      <c r="N813" s="2">
        <v>1690.78</v>
      </c>
      <c r="O813" s="2">
        <v>0</v>
      </c>
      <c r="P813" s="7" t="s">
        <v>28</v>
      </c>
      <c r="Q813" s="1" t="s">
        <v>94</v>
      </c>
      <c r="R813" s="3" t="s">
        <v>45</v>
      </c>
      <c r="S813" s="1" t="s">
        <v>46</v>
      </c>
      <c r="T813" s="4" t="s">
        <v>31</v>
      </c>
      <c r="U813" s="7" t="s">
        <v>46</v>
      </c>
      <c r="V813" s="7" t="s">
        <v>46</v>
      </c>
      <c r="W813" s="7" t="s">
        <v>46</v>
      </c>
      <c r="X813" s="7" t="s">
        <v>1751</v>
      </c>
      <c r="Y813" s="10">
        <f t="shared" si="25"/>
        <v>3381.5599999999999</v>
      </c>
      <c r="AH813" s="5" t="e">
        <f>VLOOKUP(B813,[1]DL!$BK:$BP,6,0)</f>
        <v>#N/A</v>
      </c>
    </row>
    <row r="814" spans="1:34" ht="14.5" hidden="1">
      <c r="A814" s="5">
        <v>811</v>
      </c>
      <c r="B814" s="5" t="str">
        <f t="shared" si="24"/>
        <v>07AAACA2775P1ZBDI-07</v>
      </c>
      <c r="C814" s="1" t="s">
        <v>1549</v>
      </c>
      <c r="D814" s="1" t="s">
        <v>1550</v>
      </c>
      <c r="E814" s="1" t="s">
        <v>1566</v>
      </c>
      <c r="F814" s="1" t="s">
        <v>24</v>
      </c>
      <c r="G814" s="1" t="s">
        <v>125</v>
      </c>
      <c r="H814" s="2">
        <v>12744</v>
      </c>
      <c r="I814" s="1" t="s">
        <v>44</v>
      </c>
      <c r="J814" s="3" t="s">
        <v>27</v>
      </c>
      <c r="K814" s="2">
        <v>10800</v>
      </c>
      <c r="L814" s="2">
        <v>0</v>
      </c>
      <c r="M814" s="2">
        <v>972</v>
      </c>
      <c r="N814" s="2">
        <v>972</v>
      </c>
      <c r="O814" s="2">
        <v>0</v>
      </c>
      <c r="P814" s="7" t="s">
        <v>28</v>
      </c>
      <c r="Q814" s="1" t="s">
        <v>94</v>
      </c>
      <c r="R814" s="3" t="s">
        <v>45</v>
      </c>
      <c r="S814" s="1" t="s">
        <v>46</v>
      </c>
      <c r="T814" s="4" t="s">
        <v>31</v>
      </c>
      <c r="U814" s="7" t="s">
        <v>46</v>
      </c>
      <c r="V814" s="7" t="s">
        <v>46</v>
      </c>
      <c r="W814" s="7" t="s">
        <v>46</v>
      </c>
      <c r="X814" s="7" t="s">
        <v>1751</v>
      </c>
      <c r="Y814" s="10">
        <f t="shared" si="25"/>
        <v>1944</v>
      </c>
      <c r="AH814" s="5" t="e">
        <f>VLOOKUP(B814,[1]DL!$BK:$BP,6,0)</f>
        <v>#N/A</v>
      </c>
    </row>
    <row r="815" spans="1:34" ht="14.5" hidden="1">
      <c r="A815" s="5">
        <v>812</v>
      </c>
      <c r="B815" s="5" t="str">
        <f t="shared" si="24"/>
        <v>07AAACA2775P1ZBDI-08</v>
      </c>
      <c r="C815" s="1" t="s">
        <v>1549</v>
      </c>
      <c r="D815" s="1" t="s">
        <v>1550</v>
      </c>
      <c r="E815" s="1" t="s">
        <v>1567</v>
      </c>
      <c r="F815" s="1" t="s">
        <v>24</v>
      </c>
      <c r="G815" s="1" t="s">
        <v>398</v>
      </c>
      <c r="H815" s="2">
        <v>2006</v>
      </c>
      <c r="I815" s="1" t="s">
        <v>44</v>
      </c>
      <c r="J815" s="3" t="s">
        <v>27</v>
      </c>
      <c r="K815" s="2">
        <v>1700</v>
      </c>
      <c r="L815" s="2">
        <v>0</v>
      </c>
      <c r="M815" s="2">
        <v>153</v>
      </c>
      <c r="N815" s="2">
        <v>153</v>
      </c>
      <c r="O815" s="2">
        <v>0</v>
      </c>
      <c r="P815" s="7" t="s">
        <v>28</v>
      </c>
      <c r="Q815" s="1" t="s">
        <v>94</v>
      </c>
      <c r="R815" s="3" t="s">
        <v>45</v>
      </c>
      <c r="S815" s="1" t="s">
        <v>46</v>
      </c>
      <c r="T815" s="4" t="s">
        <v>31</v>
      </c>
      <c r="U815" s="7" t="s">
        <v>46</v>
      </c>
      <c r="V815" s="7" t="s">
        <v>46</v>
      </c>
      <c r="W815" s="7" t="s">
        <v>46</v>
      </c>
      <c r="X815" s="7" t="s">
        <v>1751</v>
      </c>
      <c r="Y815" s="10">
        <f t="shared" si="25"/>
        <v>306</v>
      </c>
      <c r="AH815" s="5" t="e">
        <f>VLOOKUP(B815,[1]DL!$BK:$BP,6,0)</f>
        <v>#N/A</v>
      </c>
    </row>
    <row r="816" spans="1:34" ht="14.5" hidden="1">
      <c r="A816" s="5">
        <v>813</v>
      </c>
      <c r="B816" s="5" t="str">
        <f t="shared" si="24"/>
        <v>07AAACA2775P1ZBDI-09</v>
      </c>
      <c r="C816" s="1" t="s">
        <v>1549</v>
      </c>
      <c r="D816" s="1" t="s">
        <v>1550</v>
      </c>
      <c r="E816" s="1" t="s">
        <v>1568</v>
      </c>
      <c r="F816" s="1" t="s">
        <v>24</v>
      </c>
      <c r="G816" s="1" t="s">
        <v>398</v>
      </c>
      <c r="H816" s="2">
        <v>15222</v>
      </c>
      <c r="I816" s="1" t="s">
        <v>44</v>
      </c>
      <c r="J816" s="3" t="s">
        <v>27</v>
      </c>
      <c r="K816" s="2">
        <v>12900</v>
      </c>
      <c r="L816" s="2">
        <v>0</v>
      </c>
      <c r="M816" s="2">
        <v>1161</v>
      </c>
      <c r="N816" s="2">
        <v>1161</v>
      </c>
      <c r="O816" s="2">
        <v>0</v>
      </c>
      <c r="P816" s="7" t="s">
        <v>28</v>
      </c>
      <c r="Q816" s="1" t="s">
        <v>94</v>
      </c>
      <c r="R816" s="3" t="s">
        <v>45</v>
      </c>
      <c r="S816" s="1" t="s">
        <v>46</v>
      </c>
      <c r="T816" s="4" t="s">
        <v>31</v>
      </c>
      <c r="U816" s="7" t="s">
        <v>46</v>
      </c>
      <c r="V816" s="7" t="s">
        <v>46</v>
      </c>
      <c r="W816" s="7" t="s">
        <v>46</v>
      </c>
      <c r="X816" s="7" t="s">
        <v>1751</v>
      </c>
      <c r="Y816" s="10">
        <f t="shared" si="25"/>
        <v>2322</v>
      </c>
      <c r="AH816" s="5" t="e">
        <f>VLOOKUP(B816,[1]DL!$BK:$BP,6,0)</f>
        <v>#N/A</v>
      </c>
    </row>
    <row r="817" spans="1:34" ht="14.5" hidden="1">
      <c r="A817" s="5">
        <v>814</v>
      </c>
      <c r="B817" s="5" t="str">
        <f t="shared" si="24"/>
        <v>07ABTFA2503J1ZEAL2026-94</v>
      </c>
      <c r="C817" s="1" t="s">
        <v>1569</v>
      </c>
      <c r="D817" s="1" t="s">
        <v>1570</v>
      </c>
      <c r="E817" s="1" t="s">
        <v>1571</v>
      </c>
      <c r="F817" s="1" t="s">
        <v>24</v>
      </c>
      <c r="G817" s="1" t="s">
        <v>154</v>
      </c>
      <c r="H817" s="2">
        <v>11500</v>
      </c>
      <c r="I817" s="1" t="s">
        <v>44</v>
      </c>
      <c r="J817" s="3" t="s">
        <v>45</v>
      </c>
      <c r="K817" s="2">
        <v>11500</v>
      </c>
      <c r="L817" s="2">
        <v>0</v>
      </c>
      <c r="M817" s="2">
        <v>1035</v>
      </c>
      <c r="N817" s="2">
        <v>1035</v>
      </c>
      <c r="O817" s="2">
        <v>0</v>
      </c>
      <c r="P817" s="7" t="s">
        <v>28</v>
      </c>
      <c r="Q817" s="1" t="s">
        <v>94</v>
      </c>
      <c r="R817" s="3" t="s">
        <v>45</v>
      </c>
      <c r="S817" s="1" t="s">
        <v>46</v>
      </c>
      <c r="T817" s="4" t="s">
        <v>31</v>
      </c>
      <c r="U817" s="7" t="s">
        <v>46</v>
      </c>
      <c r="V817" s="7" t="s">
        <v>46</v>
      </c>
      <c r="W817" s="7" t="s">
        <v>46</v>
      </c>
      <c r="X817" s="7" t="s">
        <v>1751</v>
      </c>
      <c r="Y817" s="10">
        <f t="shared" si="25"/>
        <v>2070</v>
      </c>
      <c r="AH817" s="5" t="e">
        <f>VLOOKUP(B817,[1]DL!$BK:$BP,6,0)</f>
        <v>#N/A</v>
      </c>
    </row>
    <row r="818" spans="1:34" ht="14.5">
      <c r="A818" s="5">
        <v>815</v>
      </c>
      <c r="B818" s="5" t="str">
        <f t="shared" si="24"/>
        <v>07AANCS0651B1ZMTXA26-00607</v>
      </c>
      <c r="C818" s="1" t="s">
        <v>1572</v>
      </c>
      <c r="D818" s="1" t="s">
        <v>1573</v>
      </c>
      <c r="E818" s="1" t="s">
        <v>1574</v>
      </c>
      <c r="F818" s="1" t="s">
        <v>24</v>
      </c>
      <c r="G818" s="1" t="s">
        <v>171</v>
      </c>
      <c r="H818" s="2">
        <v>15965.30</v>
      </c>
      <c r="I818" s="1" t="s">
        <v>44</v>
      </c>
      <c r="J818" s="3" t="s">
        <v>27</v>
      </c>
      <c r="K818" s="2">
        <v>13529.92</v>
      </c>
      <c r="L818" s="2">
        <v>0</v>
      </c>
      <c r="M818" s="2">
        <v>1217.69</v>
      </c>
      <c r="N818" s="2">
        <v>1217.69</v>
      </c>
      <c r="O818" s="2">
        <v>0</v>
      </c>
      <c r="P818" s="7" t="s">
        <v>28</v>
      </c>
      <c r="Q818" s="1" t="s">
        <v>94</v>
      </c>
      <c r="R818" s="3" t="s">
        <v>45</v>
      </c>
      <c r="S818" s="1" t="s">
        <v>46</v>
      </c>
      <c r="T818" s="4" t="s">
        <v>31</v>
      </c>
      <c r="U818" s="7" t="s">
        <v>46</v>
      </c>
      <c r="V818" s="7" t="s">
        <v>46</v>
      </c>
      <c r="W818" s="7" t="s">
        <v>46</v>
      </c>
      <c r="X818" s="7" t="s">
        <v>1751</v>
      </c>
      <c r="Y818" s="10">
        <f t="shared" si="25"/>
        <v>2435.3800000000001</v>
      </c>
      <c r="Z818" s="5">
        <v>9175014</v>
      </c>
      <c r="AA818" s="5" t="s">
        <v>1922</v>
      </c>
      <c r="AB818" s="5" t="s">
        <v>1751</v>
      </c>
      <c r="AC818" s="5" t="s">
        <v>1925</v>
      </c>
      <c r="AE818" s="5" t="s">
        <v>1923</v>
      </c>
      <c r="AH818" s="5">
        <f>VLOOKUP(B818,[1]DL!$BK:$BP,6,0)</f>
        <v>9175014</v>
      </c>
    </row>
    <row r="819" spans="1:34" ht="14.5">
      <c r="A819" s="5">
        <v>816</v>
      </c>
      <c r="B819" s="5" t="str">
        <f t="shared" si="24"/>
        <v>07BGQPS0312G1ZF5500</v>
      </c>
      <c r="C819" s="1" t="s">
        <v>1575</v>
      </c>
      <c r="D819" s="1" t="s">
        <v>1576</v>
      </c>
      <c r="E819" s="1" t="s">
        <v>1577</v>
      </c>
      <c r="F819" s="1" t="s">
        <v>24</v>
      </c>
      <c r="G819" s="1" t="s">
        <v>1578</v>
      </c>
      <c r="H819" s="2">
        <v>48297</v>
      </c>
      <c r="I819" s="1" t="s">
        <v>44</v>
      </c>
      <c r="J819" s="3" t="s">
        <v>27</v>
      </c>
      <c r="K819" s="2">
        <v>40930</v>
      </c>
      <c r="L819" s="2">
        <v>0</v>
      </c>
      <c r="M819" s="2">
        <v>3683.70</v>
      </c>
      <c r="N819" s="2">
        <v>3683.70</v>
      </c>
      <c r="O819" s="2">
        <v>0</v>
      </c>
      <c r="P819" s="7" t="s">
        <v>203</v>
      </c>
      <c r="Q819" s="1" t="s">
        <v>585</v>
      </c>
      <c r="R819" s="3" t="s">
        <v>45</v>
      </c>
      <c r="S819" s="1" t="s">
        <v>46</v>
      </c>
      <c r="T819" s="4" t="s">
        <v>31</v>
      </c>
      <c r="U819" s="7" t="s">
        <v>46</v>
      </c>
      <c r="V819" s="7" t="s">
        <v>46</v>
      </c>
      <c r="W819" s="7" t="s">
        <v>46</v>
      </c>
      <c r="X819" s="7" t="s">
        <v>1751</v>
      </c>
      <c r="Y819" s="10">
        <f t="shared" si="25"/>
        <v>7367.3999999999996</v>
      </c>
      <c r="Z819" s="5">
        <v>9122840</v>
      </c>
      <c r="AA819" s="5" t="s">
        <v>1922</v>
      </c>
      <c r="AB819" s="5" t="s">
        <v>1751</v>
      </c>
      <c r="AC819" s="5" t="s">
        <v>1925</v>
      </c>
      <c r="AE819" s="5" t="s">
        <v>1923</v>
      </c>
      <c r="AH819" s="5">
        <f>VLOOKUP(B819,[1]DL!$BK:$BP,6,0)</f>
        <v>9122840</v>
      </c>
    </row>
    <row r="820" spans="1:34" ht="14.5">
      <c r="A820" s="5">
        <v>817</v>
      </c>
      <c r="B820" s="5" t="str">
        <f t="shared" si="24"/>
        <v>07BGQPS0312G1ZF5501</v>
      </c>
      <c r="C820" s="1" t="s">
        <v>1575</v>
      </c>
      <c r="D820" s="1" t="s">
        <v>1576</v>
      </c>
      <c r="E820" s="1" t="s">
        <v>1579</v>
      </c>
      <c r="F820" s="1" t="s">
        <v>24</v>
      </c>
      <c r="G820" s="1" t="s">
        <v>1578</v>
      </c>
      <c r="H820" s="2">
        <v>6042</v>
      </c>
      <c r="I820" s="1" t="s">
        <v>44</v>
      </c>
      <c r="J820" s="3" t="s">
        <v>27</v>
      </c>
      <c r="K820" s="2">
        <v>5120</v>
      </c>
      <c r="L820" s="2">
        <v>0</v>
      </c>
      <c r="M820" s="2">
        <v>460.80</v>
      </c>
      <c r="N820" s="2">
        <v>460.80</v>
      </c>
      <c r="O820" s="2">
        <v>0</v>
      </c>
      <c r="P820" s="7" t="s">
        <v>203</v>
      </c>
      <c r="Q820" s="1" t="s">
        <v>585</v>
      </c>
      <c r="R820" s="3" t="s">
        <v>45</v>
      </c>
      <c r="S820" s="1" t="s">
        <v>46</v>
      </c>
      <c r="T820" s="4" t="s">
        <v>31</v>
      </c>
      <c r="U820" s="7" t="s">
        <v>46</v>
      </c>
      <c r="V820" s="7" t="s">
        <v>46</v>
      </c>
      <c r="W820" s="7" t="s">
        <v>46</v>
      </c>
      <c r="X820" s="7" t="s">
        <v>1751</v>
      </c>
      <c r="Y820" s="10">
        <f t="shared" si="25"/>
        <v>921.60000000000002</v>
      </c>
      <c r="Z820" s="5">
        <v>9122848</v>
      </c>
      <c r="AA820" s="5" t="s">
        <v>1922</v>
      </c>
      <c r="AB820" s="5" t="s">
        <v>1751</v>
      </c>
      <c r="AC820" s="5" t="s">
        <v>1925</v>
      </c>
      <c r="AE820" s="5" t="s">
        <v>1923</v>
      </c>
      <c r="AH820" s="5">
        <f>VLOOKUP(B820,[1]DL!$BK:$BP,6,0)</f>
        <v>9122848</v>
      </c>
    </row>
    <row r="821" spans="1:34" ht="14.5" hidden="1">
      <c r="A821" s="5">
        <v>818</v>
      </c>
      <c r="B821" s="5" t="str">
        <f t="shared" si="24"/>
        <v>23AABCG4768K1ZFGPI-JGM260500205</v>
      </c>
      <c r="C821" s="1" t="s">
        <v>1580</v>
      </c>
      <c r="D821" s="1" t="s">
        <v>925</v>
      </c>
      <c r="E821" s="1" t="s">
        <v>1581</v>
      </c>
      <c r="F821" s="1" t="s">
        <v>24</v>
      </c>
      <c r="G821" s="1" t="s">
        <v>289</v>
      </c>
      <c r="H821" s="2">
        <v>642406.34</v>
      </c>
      <c r="I821" s="1" t="s">
        <v>44</v>
      </c>
      <c r="J821" s="3" t="s">
        <v>27</v>
      </c>
      <c r="K821" s="2">
        <v>419549.20</v>
      </c>
      <c r="L821" s="2">
        <v>222857.14</v>
      </c>
      <c r="M821" s="2">
        <v>0</v>
      </c>
      <c r="N821" s="2">
        <v>0</v>
      </c>
      <c r="O821" s="2">
        <v>0</v>
      </c>
      <c r="P821" s="7" t="s">
        <v>28</v>
      </c>
      <c r="Q821" s="1" t="s">
        <v>120</v>
      </c>
      <c r="R821" s="3" t="s">
        <v>45</v>
      </c>
      <c r="S821" s="1" t="s">
        <v>46</v>
      </c>
      <c r="T821" s="4" t="s">
        <v>31</v>
      </c>
      <c r="U821" s="7" t="s">
        <v>32</v>
      </c>
      <c r="V821" s="7" t="s">
        <v>1582</v>
      </c>
      <c r="W821" s="7" t="s">
        <v>289</v>
      </c>
      <c r="X821" s="7" t="s">
        <v>1751</v>
      </c>
      <c r="Y821" s="10">
        <f t="shared" si="25"/>
        <v>222857.14000000001</v>
      </c>
      <c r="AH821" s="5" t="e">
        <f>VLOOKUP(B821,[1]DL!$BK:$BP,6,0)</f>
        <v>#N/A</v>
      </c>
    </row>
    <row r="822" spans="1:34" ht="14.5" hidden="1">
      <c r="A822" s="5">
        <v>819</v>
      </c>
      <c r="B822" s="5" t="str">
        <f t="shared" si="24"/>
        <v>07AAGPG1403R1ZPMD/26-27/0216</v>
      </c>
      <c r="C822" s="1" t="s">
        <v>1583</v>
      </c>
      <c r="D822" s="1" t="s">
        <v>1584</v>
      </c>
      <c r="E822" s="1" t="s">
        <v>1585</v>
      </c>
      <c r="F822" s="1" t="s">
        <v>24</v>
      </c>
      <c r="G822" s="1" t="s">
        <v>289</v>
      </c>
      <c r="H822" s="2">
        <v>6002</v>
      </c>
      <c r="I822" s="1" t="s">
        <v>44</v>
      </c>
      <c r="J822" s="3" t="s">
        <v>27</v>
      </c>
      <c r="K822" s="2">
        <v>5086.82</v>
      </c>
      <c r="L822" s="2">
        <v>0</v>
      </c>
      <c r="M822" s="2">
        <v>457.81</v>
      </c>
      <c r="N822" s="2">
        <v>457.81</v>
      </c>
      <c r="O822" s="2">
        <v>0</v>
      </c>
      <c r="P822" s="7" t="s">
        <v>28</v>
      </c>
      <c r="Q822" s="1" t="s">
        <v>94</v>
      </c>
      <c r="R822" s="3" t="s">
        <v>45</v>
      </c>
      <c r="S822" s="1" t="s">
        <v>46</v>
      </c>
      <c r="T822" s="4" t="s">
        <v>31</v>
      </c>
      <c r="U822" s="7" t="s">
        <v>32</v>
      </c>
      <c r="V822" s="7" t="s">
        <v>1586</v>
      </c>
      <c r="W822" s="7" t="s">
        <v>289</v>
      </c>
      <c r="X822" s="7" t="s">
        <v>1751</v>
      </c>
      <c r="Y822" s="10">
        <f t="shared" si="25"/>
        <v>915.62</v>
      </c>
      <c r="AH822" s="5" t="e">
        <f>VLOOKUP(B822,[1]DL!$BK:$BP,6,0)</f>
        <v>#N/A</v>
      </c>
    </row>
    <row r="823" spans="1:34" ht="14.5" hidden="1">
      <c r="A823" s="5">
        <v>820</v>
      </c>
      <c r="B823" s="5" t="str">
        <f t="shared" si="24"/>
        <v>27AAACI7573H1ZC22Q66374</v>
      </c>
      <c r="C823" s="1" t="s">
        <v>1587</v>
      </c>
      <c r="D823" s="1" t="s">
        <v>1588</v>
      </c>
      <c r="E823" s="1" t="s">
        <v>1589</v>
      </c>
      <c r="F823" s="1" t="s">
        <v>24</v>
      </c>
      <c r="G823" s="1" t="s">
        <v>285</v>
      </c>
      <c r="H823" s="2">
        <v>17700</v>
      </c>
      <c r="I823" s="1" t="s">
        <v>44</v>
      </c>
      <c r="J823" s="3" t="s">
        <v>27</v>
      </c>
      <c r="K823" s="2">
        <v>15000</v>
      </c>
      <c r="L823" s="2">
        <v>2700</v>
      </c>
      <c r="M823" s="2">
        <v>0</v>
      </c>
      <c r="N823" s="2">
        <v>0</v>
      </c>
      <c r="O823" s="2">
        <v>0</v>
      </c>
      <c r="P823" s="7" t="s">
        <v>28</v>
      </c>
      <c r="Q823" s="1" t="s">
        <v>29</v>
      </c>
      <c r="R823" s="3" t="s">
        <v>45</v>
      </c>
      <c r="S823" s="1" t="s">
        <v>46</v>
      </c>
      <c r="T823" s="4" t="s">
        <v>31</v>
      </c>
      <c r="U823" s="7" t="s">
        <v>46</v>
      </c>
      <c r="V823" s="7" t="s">
        <v>46</v>
      </c>
      <c r="W823" s="7" t="s">
        <v>46</v>
      </c>
      <c r="X823" s="7" t="s">
        <v>1751</v>
      </c>
      <c r="Y823" s="10">
        <f t="shared" si="25"/>
        <v>2700</v>
      </c>
      <c r="AH823" s="5" t="e">
        <f>VLOOKUP(B823,[1]DL!$BK:$BP,6,0)</f>
        <v>#N/A</v>
      </c>
    </row>
    <row r="824" spans="1:34" ht="14.5" hidden="1">
      <c r="A824" s="5">
        <v>821</v>
      </c>
      <c r="B824" s="5" t="str">
        <f t="shared" si="24"/>
        <v>27AAACI7573H1ZC22Q66970</v>
      </c>
      <c r="C824" s="1" t="s">
        <v>1587</v>
      </c>
      <c r="D824" s="1" t="s">
        <v>1588</v>
      </c>
      <c r="E824" s="1" t="s">
        <v>1590</v>
      </c>
      <c r="F824" s="1" t="s">
        <v>24</v>
      </c>
      <c r="G824" s="1" t="s">
        <v>285</v>
      </c>
      <c r="H824" s="2">
        <v>17700</v>
      </c>
      <c r="I824" s="1" t="s">
        <v>44</v>
      </c>
      <c r="J824" s="3" t="s">
        <v>27</v>
      </c>
      <c r="K824" s="2">
        <v>15000</v>
      </c>
      <c r="L824" s="2">
        <v>2700</v>
      </c>
      <c r="M824" s="2">
        <v>0</v>
      </c>
      <c r="N824" s="2">
        <v>0</v>
      </c>
      <c r="O824" s="2">
        <v>0</v>
      </c>
      <c r="P824" s="7" t="s">
        <v>28</v>
      </c>
      <c r="Q824" s="1" t="s">
        <v>29</v>
      </c>
      <c r="R824" s="3" t="s">
        <v>45</v>
      </c>
      <c r="S824" s="1" t="s">
        <v>46</v>
      </c>
      <c r="T824" s="4" t="s">
        <v>31</v>
      </c>
      <c r="U824" s="7" t="s">
        <v>46</v>
      </c>
      <c r="V824" s="7" t="s">
        <v>46</v>
      </c>
      <c r="W824" s="7" t="s">
        <v>46</v>
      </c>
      <c r="X824" s="7" t="s">
        <v>1751</v>
      </c>
      <c r="Y824" s="10">
        <f t="shared" si="25"/>
        <v>2700</v>
      </c>
      <c r="AH824" s="5" t="e">
        <f>VLOOKUP(B824,[1]DL!$BK:$BP,6,0)</f>
        <v>#N/A</v>
      </c>
    </row>
    <row r="825" spans="1:34" ht="14.5" hidden="1">
      <c r="A825" s="5">
        <v>822</v>
      </c>
      <c r="B825" s="5" t="str">
        <f t="shared" si="24"/>
        <v>27AAACI7573H1ZC22Q66975</v>
      </c>
      <c r="C825" s="1" t="s">
        <v>1587</v>
      </c>
      <c r="D825" s="1" t="s">
        <v>1588</v>
      </c>
      <c r="E825" s="1" t="s">
        <v>1591</v>
      </c>
      <c r="F825" s="1" t="s">
        <v>24</v>
      </c>
      <c r="G825" s="1" t="s">
        <v>285</v>
      </c>
      <c r="H825" s="2">
        <v>88500</v>
      </c>
      <c r="I825" s="1" t="s">
        <v>44</v>
      </c>
      <c r="J825" s="3" t="s">
        <v>27</v>
      </c>
      <c r="K825" s="2">
        <v>75000</v>
      </c>
      <c r="L825" s="2">
        <v>13500</v>
      </c>
      <c r="M825" s="2">
        <v>0</v>
      </c>
      <c r="N825" s="2">
        <v>0</v>
      </c>
      <c r="O825" s="2">
        <v>0</v>
      </c>
      <c r="P825" s="7" t="s">
        <v>28</v>
      </c>
      <c r="Q825" s="1" t="s">
        <v>29</v>
      </c>
      <c r="R825" s="3" t="s">
        <v>45</v>
      </c>
      <c r="S825" s="1" t="s">
        <v>46</v>
      </c>
      <c r="T825" s="4" t="s">
        <v>31</v>
      </c>
      <c r="U825" s="7" t="s">
        <v>46</v>
      </c>
      <c r="V825" s="7" t="s">
        <v>46</v>
      </c>
      <c r="W825" s="7" t="s">
        <v>46</v>
      </c>
      <c r="X825" s="7" t="s">
        <v>1751</v>
      </c>
      <c r="Y825" s="10">
        <f t="shared" si="25"/>
        <v>13500</v>
      </c>
      <c r="AH825" s="5" t="e">
        <f>VLOOKUP(B825,[1]DL!$BK:$BP,6,0)</f>
        <v>#N/A</v>
      </c>
    </row>
    <row r="826" spans="1:34" ht="14.5" hidden="1">
      <c r="A826" s="5">
        <v>823</v>
      </c>
      <c r="B826" s="5" t="str">
        <f t="shared" si="24"/>
        <v>27AAACI7573H1ZC22Q73324</v>
      </c>
      <c r="C826" s="1" t="s">
        <v>1587</v>
      </c>
      <c r="D826" s="1" t="s">
        <v>1588</v>
      </c>
      <c r="E826" s="1" t="s">
        <v>1592</v>
      </c>
      <c r="F826" s="1" t="s">
        <v>24</v>
      </c>
      <c r="G826" s="1" t="s">
        <v>52</v>
      </c>
      <c r="H826" s="2">
        <v>590.01</v>
      </c>
      <c r="I826" s="1" t="s">
        <v>44</v>
      </c>
      <c r="J826" s="3" t="s">
        <v>27</v>
      </c>
      <c r="K826" s="2">
        <v>500.01</v>
      </c>
      <c r="L826" s="2">
        <v>90</v>
      </c>
      <c r="M826" s="2">
        <v>0</v>
      </c>
      <c r="N826" s="2">
        <v>0</v>
      </c>
      <c r="O826" s="2">
        <v>0</v>
      </c>
      <c r="P826" s="7" t="s">
        <v>28</v>
      </c>
      <c r="Q826" s="1" t="s">
        <v>29</v>
      </c>
      <c r="R826" s="3" t="s">
        <v>45</v>
      </c>
      <c r="S826" s="1" t="s">
        <v>46</v>
      </c>
      <c r="T826" s="4" t="s">
        <v>31</v>
      </c>
      <c r="U826" s="7" t="s">
        <v>46</v>
      </c>
      <c r="V826" s="7" t="s">
        <v>46</v>
      </c>
      <c r="W826" s="7" t="s">
        <v>46</v>
      </c>
      <c r="X826" s="7" t="s">
        <v>1751</v>
      </c>
      <c r="Y826" s="10">
        <f t="shared" si="25"/>
        <v>90</v>
      </c>
      <c r="AH826" s="5" t="e">
        <f>VLOOKUP(B826,[1]DL!$BK:$BP,6,0)</f>
        <v>#N/A</v>
      </c>
    </row>
    <row r="827" spans="1:34" ht="14.5" hidden="1">
      <c r="A827" s="5">
        <v>824</v>
      </c>
      <c r="B827" s="5" t="str">
        <f t="shared" si="24"/>
        <v>27AAACI7573H1ZC41114060</v>
      </c>
      <c r="C827" s="1" t="s">
        <v>1587</v>
      </c>
      <c r="D827" s="1" t="s">
        <v>1588</v>
      </c>
      <c r="E827" s="1" t="s">
        <v>1593</v>
      </c>
      <c r="F827" s="1" t="s">
        <v>24</v>
      </c>
      <c r="G827" s="1" t="s">
        <v>89</v>
      </c>
      <c r="H827" s="2">
        <v>177000</v>
      </c>
      <c r="I827" s="1" t="s">
        <v>44</v>
      </c>
      <c r="J827" s="3" t="s">
        <v>27</v>
      </c>
      <c r="K827" s="2">
        <v>150000</v>
      </c>
      <c r="L827" s="2">
        <v>27000</v>
      </c>
      <c r="M827" s="2">
        <v>0</v>
      </c>
      <c r="N827" s="2">
        <v>0</v>
      </c>
      <c r="O827" s="2">
        <v>0</v>
      </c>
      <c r="P827" s="7" t="s">
        <v>28</v>
      </c>
      <c r="Q827" s="1" t="s">
        <v>29</v>
      </c>
      <c r="R827" s="3" t="s">
        <v>45</v>
      </c>
      <c r="S827" s="1" t="s">
        <v>46</v>
      </c>
      <c r="T827" s="4" t="s">
        <v>31</v>
      </c>
      <c r="U827" s="7" t="s">
        <v>46</v>
      </c>
      <c r="V827" s="7" t="s">
        <v>46</v>
      </c>
      <c r="W827" s="7" t="s">
        <v>46</v>
      </c>
      <c r="X827" s="7" t="s">
        <v>1751</v>
      </c>
      <c r="Y827" s="10">
        <f t="shared" si="25"/>
        <v>27000</v>
      </c>
      <c r="AH827" s="5" t="e">
        <f>VLOOKUP(B827,[1]DL!$BK:$BP,6,0)</f>
        <v>#N/A</v>
      </c>
    </row>
    <row r="828" spans="1:34" ht="14.5" hidden="1">
      <c r="A828" s="5">
        <v>825</v>
      </c>
      <c r="B828" s="5" t="str">
        <f t="shared" si="24"/>
        <v>27AAACI7573H1ZC54M4888500002</v>
      </c>
      <c r="C828" s="1" t="s">
        <v>1587</v>
      </c>
      <c r="D828" s="1" t="s">
        <v>1588</v>
      </c>
      <c r="E828" s="1" t="s">
        <v>1594</v>
      </c>
      <c r="F828" s="1" t="s">
        <v>24</v>
      </c>
      <c r="G828" s="1" t="s">
        <v>420</v>
      </c>
      <c r="H828" s="2">
        <v>210</v>
      </c>
      <c r="I828" s="1" t="s">
        <v>44</v>
      </c>
      <c r="J828" s="3" t="s">
        <v>27</v>
      </c>
      <c r="K828" s="2">
        <v>177.97</v>
      </c>
      <c r="L828" s="2">
        <v>32.03</v>
      </c>
      <c r="M828" s="2">
        <v>0</v>
      </c>
      <c r="N828" s="2">
        <v>0</v>
      </c>
      <c r="O828" s="2">
        <v>0</v>
      </c>
      <c r="P828" s="7" t="s">
        <v>28</v>
      </c>
      <c r="Q828" s="1" t="s">
        <v>29</v>
      </c>
      <c r="R828" s="3" t="s">
        <v>45</v>
      </c>
      <c r="S828" s="1" t="s">
        <v>46</v>
      </c>
      <c r="T828" s="4" t="s">
        <v>31</v>
      </c>
      <c r="U828" s="7" t="s">
        <v>46</v>
      </c>
      <c r="V828" s="7" t="s">
        <v>46</v>
      </c>
      <c r="W828" s="7" t="s">
        <v>46</v>
      </c>
      <c r="X828" s="7" t="s">
        <v>1751</v>
      </c>
      <c r="Y828" s="10">
        <f t="shared" si="25"/>
        <v>32.030000000000001</v>
      </c>
      <c r="AH828" s="5" t="e">
        <f>VLOOKUP(B828,[1]DL!$BK:$BP,6,0)</f>
        <v>#N/A</v>
      </c>
    </row>
    <row r="829" spans="1:34" ht="14.5" hidden="1">
      <c r="A829" s="5">
        <v>826</v>
      </c>
      <c r="B829" s="5" t="str">
        <f t="shared" si="24"/>
        <v>27AAACI7573H1ZCH158910300003</v>
      </c>
      <c r="C829" s="1" t="s">
        <v>1587</v>
      </c>
      <c r="D829" s="1" t="s">
        <v>1588</v>
      </c>
      <c r="E829" s="1" t="s">
        <v>1595</v>
      </c>
      <c r="F829" s="1" t="s">
        <v>24</v>
      </c>
      <c r="G829" s="1" t="s">
        <v>140</v>
      </c>
      <c r="H829" s="2">
        <v>1394.30</v>
      </c>
      <c r="I829" s="1" t="s">
        <v>44</v>
      </c>
      <c r="J829" s="3" t="s">
        <v>27</v>
      </c>
      <c r="K829" s="2">
        <v>1181.6099999999999</v>
      </c>
      <c r="L829" s="2">
        <v>212.69</v>
      </c>
      <c r="M829" s="2">
        <v>0</v>
      </c>
      <c r="N829" s="2">
        <v>0</v>
      </c>
      <c r="O829" s="2">
        <v>0</v>
      </c>
      <c r="P829" s="7" t="s">
        <v>28</v>
      </c>
      <c r="Q829" s="1" t="s">
        <v>29</v>
      </c>
      <c r="R829" s="3" t="s">
        <v>45</v>
      </c>
      <c r="S829" s="1" t="s">
        <v>46</v>
      </c>
      <c r="T829" s="4" t="s">
        <v>31</v>
      </c>
      <c r="U829" s="7" t="s">
        <v>46</v>
      </c>
      <c r="V829" s="7" t="s">
        <v>46</v>
      </c>
      <c r="W829" s="7" t="s">
        <v>46</v>
      </c>
      <c r="X829" s="7" t="s">
        <v>1751</v>
      </c>
      <c r="Y829" s="10">
        <f t="shared" si="25"/>
        <v>212.69</v>
      </c>
      <c r="AH829" s="5" t="e">
        <f>VLOOKUP(B829,[1]DL!$BK:$BP,6,0)</f>
        <v>#N/A</v>
      </c>
    </row>
    <row r="830" spans="1:34" ht="14.5" hidden="1">
      <c r="A830" s="5">
        <v>827</v>
      </c>
      <c r="B830" s="5" t="str">
        <f t="shared" si="24"/>
        <v>07AABCB1043Q1ZOBS3003260000001</v>
      </c>
      <c r="C830" s="1" t="s">
        <v>1596</v>
      </c>
      <c r="D830" s="1" t="s">
        <v>1597</v>
      </c>
      <c r="E830" s="1" t="s">
        <v>1598</v>
      </c>
      <c r="F830" s="1" t="s">
        <v>24</v>
      </c>
      <c r="G830" s="1" t="s">
        <v>76</v>
      </c>
      <c r="H830" s="2">
        <v>134946</v>
      </c>
      <c r="I830" s="1" t="s">
        <v>44</v>
      </c>
      <c r="J830" s="3" t="s">
        <v>27</v>
      </c>
      <c r="K830" s="2">
        <v>128520</v>
      </c>
      <c r="L830" s="2">
        <v>0</v>
      </c>
      <c r="M830" s="2">
        <v>3213</v>
      </c>
      <c r="N830" s="2">
        <v>3213</v>
      </c>
      <c r="O830" s="2">
        <v>0</v>
      </c>
      <c r="P830" s="7" t="s">
        <v>28</v>
      </c>
      <c r="Q830" s="1" t="s">
        <v>29</v>
      </c>
      <c r="R830" s="3" t="s">
        <v>45</v>
      </c>
      <c r="S830" s="1" t="s">
        <v>46</v>
      </c>
      <c r="T830" s="4" t="s">
        <v>31</v>
      </c>
      <c r="U830" s="7" t="s">
        <v>32</v>
      </c>
      <c r="V830" s="7" t="s">
        <v>1599</v>
      </c>
      <c r="W830" s="7" t="s">
        <v>76</v>
      </c>
      <c r="X830" s="7" t="s">
        <v>1751</v>
      </c>
      <c r="Y830" s="10">
        <f t="shared" si="25"/>
        <v>6426</v>
      </c>
      <c r="AH830" s="5" t="e">
        <f>VLOOKUP(B830,[1]DL!$BK:$BP,6,0)</f>
        <v>#N/A</v>
      </c>
    </row>
    <row r="831" spans="1:34" ht="14.5" hidden="1">
      <c r="A831" s="5">
        <v>828</v>
      </c>
      <c r="B831" s="5" t="str">
        <f t="shared" si="24"/>
        <v>07AAJCG9480A1ZJDL029S2627000009</v>
      </c>
      <c r="C831" s="1" t="s">
        <v>1600</v>
      </c>
      <c r="D831" s="1" t="s">
        <v>1601</v>
      </c>
      <c r="E831" s="1" t="s">
        <v>1602</v>
      </c>
      <c r="F831" s="1" t="s">
        <v>24</v>
      </c>
      <c r="G831" s="1" t="s">
        <v>285</v>
      </c>
      <c r="H831" s="2">
        <v>4620</v>
      </c>
      <c r="I831" s="1" t="s">
        <v>44</v>
      </c>
      <c r="J831" s="3" t="s">
        <v>27</v>
      </c>
      <c r="K831" s="2">
        <v>4400</v>
      </c>
      <c r="L831" s="2">
        <v>0</v>
      </c>
      <c r="M831" s="2">
        <v>110</v>
      </c>
      <c r="N831" s="2">
        <v>110</v>
      </c>
      <c r="O831" s="2">
        <v>0</v>
      </c>
      <c r="P831" s="7" t="s">
        <v>28</v>
      </c>
      <c r="Q831" s="1" t="s">
        <v>29</v>
      </c>
      <c r="R831" s="3" t="s">
        <v>45</v>
      </c>
      <c r="S831" s="1" t="s">
        <v>46</v>
      </c>
      <c r="T831" s="4" t="s">
        <v>31</v>
      </c>
      <c r="U831" s="7" t="s">
        <v>32</v>
      </c>
      <c r="V831" s="7" t="s">
        <v>1603</v>
      </c>
      <c r="W831" s="7" t="s">
        <v>161</v>
      </c>
      <c r="X831" s="7" t="s">
        <v>1751</v>
      </c>
      <c r="Y831" s="10">
        <f t="shared" si="25"/>
        <v>220</v>
      </c>
      <c r="AH831" s="5" t="e">
        <f>VLOOKUP(B831,[1]DL!$BK:$BP,6,0)</f>
        <v>#N/A</v>
      </c>
    </row>
    <row r="832" spans="1:34" ht="14.5" hidden="1">
      <c r="A832" s="5">
        <v>829</v>
      </c>
      <c r="B832" s="5" t="str">
        <f t="shared" si="24"/>
        <v>07AAJCG9480A1ZJDL029S2627000020</v>
      </c>
      <c r="C832" s="1" t="s">
        <v>1600</v>
      </c>
      <c r="D832" s="1" t="s">
        <v>1601</v>
      </c>
      <c r="E832" s="1" t="s">
        <v>1604</v>
      </c>
      <c r="F832" s="1" t="s">
        <v>24</v>
      </c>
      <c r="G832" s="1" t="s">
        <v>385</v>
      </c>
      <c r="H832" s="2">
        <v>38</v>
      </c>
      <c r="I832" s="1" t="s">
        <v>44</v>
      </c>
      <c r="J832" s="3" t="s">
        <v>27</v>
      </c>
      <c r="K832" s="2">
        <v>36.200000000000003</v>
      </c>
      <c r="L832" s="2">
        <v>0</v>
      </c>
      <c r="M832" s="2">
        <v>0.90</v>
      </c>
      <c r="N832" s="2">
        <v>0.90</v>
      </c>
      <c r="O832" s="2">
        <v>0</v>
      </c>
      <c r="P832" s="7" t="s">
        <v>28</v>
      </c>
      <c r="Q832" s="1" t="s">
        <v>29</v>
      </c>
      <c r="R832" s="3" t="s">
        <v>45</v>
      </c>
      <c r="S832" s="1" t="s">
        <v>46</v>
      </c>
      <c r="T832" s="4" t="s">
        <v>31</v>
      </c>
      <c r="U832" s="7" t="s">
        <v>32</v>
      </c>
      <c r="V832" s="7" t="s">
        <v>1605</v>
      </c>
      <c r="W832" s="7" t="s">
        <v>161</v>
      </c>
      <c r="X832" s="7" t="s">
        <v>1751</v>
      </c>
      <c r="Y832" s="10">
        <f t="shared" si="25"/>
        <v>1.8</v>
      </c>
      <c r="AH832" s="5" t="e">
        <f>VLOOKUP(B832,[1]DL!$BK:$BP,6,0)</f>
        <v>#N/A</v>
      </c>
    </row>
    <row r="833" spans="1:34" ht="14.5" hidden="1">
      <c r="A833" s="5">
        <v>830</v>
      </c>
      <c r="B833" s="5" t="str">
        <f t="shared" si="24"/>
        <v>07AAJCG9480A1ZJDL029S2627000024</v>
      </c>
      <c r="C833" s="1" t="s">
        <v>1600</v>
      </c>
      <c r="D833" s="1" t="s">
        <v>1601</v>
      </c>
      <c r="E833" s="1" t="s">
        <v>1606</v>
      </c>
      <c r="F833" s="1" t="s">
        <v>24</v>
      </c>
      <c r="G833" s="1" t="s">
        <v>398</v>
      </c>
      <c r="H833" s="2">
        <v>1032</v>
      </c>
      <c r="I833" s="1" t="s">
        <v>44</v>
      </c>
      <c r="J833" s="3" t="s">
        <v>27</v>
      </c>
      <c r="K833" s="2">
        <v>874.24</v>
      </c>
      <c r="L833" s="2">
        <v>0</v>
      </c>
      <c r="M833" s="2">
        <v>78.680000000000007</v>
      </c>
      <c r="N833" s="2">
        <v>78.680000000000007</v>
      </c>
      <c r="O833" s="2">
        <v>0</v>
      </c>
      <c r="P833" s="7" t="s">
        <v>28</v>
      </c>
      <c r="Q833" s="1" t="s">
        <v>29</v>
      </c>
      <c r="R833" s="3" t="s">
        <v>45</v>
      </c>
      <c r="S833" s="1" t="s">
        <v>46</v>
      </c>
      <c r="T833" s="4" t="s">
        <v>31</v>
      </c>
      <c r="U833" s="7" t="s">
        <v>32</v>
      </c>
      <c r="V833" s="7" t="s">
        <v>1607</v>
      </c>
      <c r="W833" s="7" t="s">
        <v>161</v>
      </c>
      <c r="X833" s="7" t="s">
        <v>1751</v>
      </c>
      <c r="Y833" s="10">
        <f t="shared" si="25"/>
        <v>157.36000000000001</v>
      </c>
      <c r="AH833" s="5" t="e">
        <f>VLOOKUP(B833,[1]DL!$BK:$BP,6,0)</f>
        <v>#N/A</v>
      </c>
    </row>
    <row r="834" spans="1:34" ht="14.5" hidden="1">
      <c r="A834" s="5">
        <v>831</v>
      </c>
      <c r="B834" s="5" t="str">
        <f t="shared" si="24"/>
        <v>07ALEPH4709E1ZFMH/26-27/009</v>
      </c>
      <c r="C834" s="1" t="s">
        <v>1608</v>
      </c>
      <c r="D834" s="1" t="s">
        <v>1609</v>
      </c>
      <c r="E834" s="1" t="s">
        <v>1610</v>
      </c>
      <c r="F834" s="1" t="s">
        <v>24</v>
      </c>
      <c r="G834" s="1" t="s">
        <v>76</v>
      </c>
      <c r="H834" s="2">
        <v>11435.38</v>
      </c>
      <c r="I834" s="1" t="s">
        <v>44</v>
      </c>
      <c r="J834" s="3" t="s">
        <v>27</v>
      </c>
      <c r="K834" s="2">
        <v>9691</v>
      </c>
      <c r="L834" s="2">
        <v>0</v>
      </c>
      <c r="M834" s="2">
        <v>872.19</v>
      </c>
      <c r="N834" s="2">
        <v>872.19</v>
      </c>
      <c r="O834" s="2">
        <v>0</v>
      </c>
      <c r="P834" s="7" t="s">
        <v>28</v>
      </c>
      <c r="Q834" s="1" t="s">
        <v>29</v>
      </c>
      <c r="R834" s="3" t="s">
        <v>45</v>
      </c>
      <c r="S834" s="1" t="s">
        <v>46</v>
      </c>
      <c r="T834" s="4" t="s">
        <v>31</v>
      </c>
      <c r="U834" s="7" t="s">
        <v>46</v>
      </c>
      <c r="V834" s="7" t="s">
        <v>46</v>
      </c>
      <c r="W834" s="7" t="s">
        <v>46</v>
      </c>
      <c r="X834" s="7" t="s">
        <v>1751</v>
      </c>
      <c r="Y834" s="10">
        <f t="shared" si="25"/>
        <v>1744.3800000000001</v>
      </c>
      <c r="AH834" s="5" t="e">
        <f>VLOOKUP(B834,[1]DL!$BK:$BP,6,0)</f>
        <v>#N/A</v>
      </c>
    </row>
    <row r="835" spans="1:34" ht="14.5" hidden="1">
      <c r="A835" s="5">
        <v>832</v>
      </c>
      <c r="B835" s="5" t="str">
        <f t="shared" si="24"/>
        <v>07ABNFS1629M1ZNSS/26-27/100</v>
      </c>
      <c r="C835" s="1" t="s">
        <v>1611</v>
      </c>
      <c r="D835" s="1" t="s">
        <v>1612</v>
      </c>
      <c r="E835" s="1" t="s">
        <v>1613</v>
      </c>
      <c r="F835" s="1" t="s">
        <v>24</v>
      </c>
      <c r="G835" s="1" t="s">
        <v>204</v>
      </c>
      <c r="H835" s="2">
        <v>88795</v>
      </c>
      <c r="I835" s="1" t="s">
        <v>44</v>
      </c>
      <c r="J835" s="3" t="s">
        <v>27</v>
      </c>
      <c r="K835" s="2">
        <v>75250</v>
      </c>
      <c r="L835" s="2">
        <v>0</v>
      </c>
      <c r="M835" s="2">
        <v>6772.5</v>
      </c>
      <c r="N835" s="2">
        <v>6772.5</v>
      </c>
      <c r="O835" s="2">
        <v>0</v>
      </c>
      <c r="P835" s="7" t="s">
        <v>28</v>
      </c>
      <c r="Q835" s="1" t="s">
        <v>29</v>
      </c>
      <c r="R835" s="3" t="s">
        <v>45</v>
      </c>
      <c r="S835" s="1" t="s">
        <v>46</v>
      </c>
      <c r="T835" s="4" t="s">
        <v>31</v>
      </c>
      <c r="U835" s="7" t="s">
        <v>32</v>
      </c>
      <c r="V835" s="7" t="s">
        <v>1614</v>
      </c>
      <c r="W835" s="7" t="s">
        <v>52</v>
      </c>
      <c r="X835" s="7" t="s">
        <v>1751</v>
      </c>
      <c r="Y835" s="10">
        <f t="shared" si="25"/>
        <v>13545</v>
      </c>
      <c r="AH835" s="5" t="e">
        <f>VLOOKUP(B835,[1]DL!$BK:$BP,6,0)</f>
        <v>#N/A</v>
      </c>
    </row>
    <row r="836" spans="1:34" ht="14.5" hidden="1">
      <c r="A836" s="5">
        <v>833</v>
      </c>
      <c r="B836" s="5" t="str">
        <f t="shared" si="24"/>
        <v>07ABNFS1629M1ZNSS/26-27/112</v>
      </c>
      <c r="C836" s="1" t="s">
        <v>1611</v>
      </c>
      <c r="D836" s="1" t="s">
        <v>1612</v>
      </c>
      <c r="E836" s="1" t="s">
        <v>1615</v>
      </c>
      <c r="F836" s="1" t="s">
        <v>24</v>
      </c>
      <c r="G836" s="1" t="s">
        <v>398</v>
      </c>
      <c r="H836" s="2">
        <v>142485</v>
      </c>
      <c r="I836" s="1" t="s">
        <v>44</v>
      </c>
      <c r="J836" s="3" t="s">
        <v>27</v>
      </c>
      <c r="K836" s="2">
        <v>120750</v>
      </c>
      <c r="L836" s="2">
        <v>0</v>
      </c>
      <c r="M836" s="2">
        <v>10867.5</v>
      </c>
      <c r="N836" s="2">
        <v>10867.5</v>
      </c>
      <c r="O836" s="2">
        <v>0</v>
      </c>
      <c r="P836" s="7" t="s">
        <v>28</v>
      </c>
      <c r="Q836" s="1" t="s">
        <v>29</v>
      </c>
      <c r="R836" s="3" t="s">
        <v>45</v>
      </c>
      <c r="S836" s="1" t="s">
        <v>46</v>
      </c>
      <c r="T836" s="4" t="s">
        <v>31</v>
      </c>
      <c r="U836" s="7" t="s">
        <v>32</v>
      </c>
      <c r="V836" s="7" t="s">
        <v>1616</v>
      </c>
      <c r="W836" s="7" t="s">
        <v>398</v>
      </c>
      <c r="X836" s="7" t="s">
        <v>1751</v>
      </c>
      <c r="Y836" s="10">
        <f t="shared" si="25"/>
        <v>21735</v>
      </c>
      <c r="AH836" s="5" t="e">
        <f>VLOOKUP(B836,[1]DL!$BK:$BP,6,0)</f>
        <v>#N/A</v>
      </c>
    </row>
    <row r="837" spans="1:34" ht="14.5" hidden="1">
      <c r="A837" s="5">
        <v>834</v>
      </c>
      <c r="B837" s="5" t="str">
        <f t="shared" si="26" ref="B837:B900">C837&amp;E837</f>
        <v>07ABNFS1629M1ZNSS/26-27/153</v>
      </c>
      <c r="C837" s="1" t="s">
        <v>1611</v>
      </c>
      <c r="D837" s="1" t="s">
        <v>1612</v>
      </c>
      <c r="E837" s="1" t="s">
        <v>1617</v>
      </c>
      <c r="F837" s="1" t="s">
        <v>24</v>
      </c>
      <c r="G837" s="1" t="s">
        <v>171</v>
      </c>
      <c r="H837" s="2">
        <v>86730</v>
      </c>
      <c r="I837" s="1" t="s">
        <v>44</v>
      </c>
      <c r="J837" s="3" t="s">
        <v>27</v>
      </c>
      <c r="K837" s="2">
        <v>73500</v>
      </c>
      <c r="L837" s="2">
        <v>0</v>
      </c>
      <c r="M837" s="2">
        <v>6615</v>
      </c>
      <c r="N837" s="2">
        <v>6615</v>
      </c>
      <c r="O837" s="2">
        <v>0</v>
      </c>
      <c r="P837" s="7" t="s">
        <v>28</v>
      </c>
      <c r="Q837" s="1" t="s">
        <v>29</v>
      </c>
      <c r="R837" s="3" t="s">
        <v>45</v>
      </c>
      <c r="S837" s="1" t="s">
        <v>46</v>
      </c>
      <c r="T837" s="4" t="s">
        <v>31</v>
      </c>
      <c r="U837" s="7" t="s">
        <v>32</v>
      </c>
      <c r="V837" s="7" t="s">
        <v>1618</v>
      </c>
      <c r="W837" s="7" t="s">
        <v>171</v>
      </c>
      <c r="X837" s="7" t="s">
        <v>1751</v>
      </c>
      <c r="Y837" s="10">
        <f t="shared" si="27" ref="Y837:Y900">L837+M837+N837+O837</f>
        <v>13230</v>
      </c>
      <c r="AH837" s="5" t="e">
        <f>VLOOKUP(B837,[1]DL!$BK:$BP,6,0)</f>
        <v>#N/A</v>
      </c>
    </row>
    <row r="838" spans="1:34" ht="14.5" hidden="1">
      <c r="A838" s="5">
        <v>835</v>
      </c>
      <c r="B838" s="5" t="str">
        <f t="shared" si="26"/>
        <v>07ABNFS1629M1ZNSS/26-27/237</v>
      </c>
      <c r="C838" s="1" t="s">
        <v>1611</v>
      </c>
      <c r="D838" s="1" t="s">
        <v>1612</v>
      </c>
      <c r="E838" s="1" t="s">
        <v>1619</v>
      </c>
      <c r="F838" s="1" t="s">
        <v>24</v>
      </c>
      <c r="G838" s="1" t="s">
        <v>133</v>
      </c>
      <c r="H838" s="2">
        <v>80535</v>
      </c>
      <c r="I838" s="1" t="s">
        <v>44</v>
      </c>
      <c r="J838" s="3" t="s">
        <v>27</v>
      </c>
      <c r="K838" s="2">
        <v>68250</v>
      </c>
      <c r="L838" s="2">
        <v>0</v>
      </c>
      <c r="M838" s="2">
        <v>6142.5</v>
      </c>
      <c r="N838" s="2">
        <v>6142.5</v>
      </c>
      <c r="O838" s="2">
        <v>0</v>
      </c>
      <c r="P838" s="7" t="s">
        <v>28</v>
      </c>
      <c r="Q838" s="1" t="s">
        <v>29</v>
      </c>
      <c r="R838" s="3" t="s">
        <v>45</v>
      </c>
      <c r="S838" s="1" t="s">
        <v>46</v>
      </c>
      <c r="T838" s="4" t="s">
        <v>31</v>
      </c>
      <c r="U838" s="7" t="s">
        <v>32</v>
      </c>
      <c r="V838" s="7" t="s">
        <v>1620</v>
      </c>
      <c r="W838" s="7" t="s">
        <v>133</v>
      </c>
      <c r="X838" s="7" t="s">
        <v>1751</v>
      </c>
      <c r="Y838" s="10">
        <f t="shared" si="27"/>
        <v>12285</v>
      </c>
      <c r="AH838" s="5" t="e">
        <f>VLOOKUP(B838,[1]DL!$BK:$BP,6,0)</f>
        <v>#N/A</v>
      </c>
    </row>
    <row r="839" spans="1:34" ht="14.5" hidden="1">
      <c r="A839" s="5">
        <v>836</v>
      </c>
      <c r="B839" s="5" t="str">
        <f t="shared" si="26"/>
        <v>07AAEFT6742N2ZMD025202627</v>
      </c>
      <c r="C839" s="1" t="s">
        <v>1621</v>
      </c>
      <c r="D839" s="1" t="s">
        <v>1622</v>
      </c>
      <c r="E839" s="1" t="s">
        <v>1623</v>
      </c>
      <c r="F839" s="1" t="s">
        <v>24</v>
      </c>
      <c r="G839" s="1" t="s">
        <v>204</v>
      </c>
      <c r="H839" s="2">
        <v>238750</v>
      </c>
      <c r="I839" s="1" t="s">
        <v>44</v>
      </c>
      <c r="J839" s="3" t="s">
        <v>45</v>
      </c>
      <c r="K839" s="2">
        <v>238750</v>
      </c>
      <c r="L839" s="2">
        <v>0</v>
      </c>
      <c r="M839" s="2">
        <v>21488</v>
      </c>
      <c r="N839" s="2">
        <v>21488</v>
      </c>
      <c r="O839" s="2">
        <v>0</v>
      </c>
      <c r="P839" s="7" t="s">
        <v>28</v>
      </c>
      <c r="Q839" s="1" t="s">
        <v>29</v>
      </c>
      <c r="R839" s="3" t="s">
        <v>45</v>
      </c>
      <c r="S839" s="1" t="s">
        <v>46</v>
      </c>
      <c r="T839" s="4" t="s">
        <v>31</v>
      </c>
      <c r="U839" s="7" t="s">
        <v>32</v>
      </c>
      <c r="V839" s="7" t="s">
        <v>1624</v>
      </c>
      <c r="W839" s="7" t="s">
        <v>204</v>
      </c>
      <c r="X839" s="7" t="s">
        <v>1751</v>
      </c>
      <c r="Y839" s="10">
        <f t="shared" si="27"/>
        <v>42976</v>
      </c>
      <c r="AH839" s="5" t="e">
        <f>VLOOKUP(B839,[1]DL!$BK:$BP,6,0)</f>
        <v>#N/A</v>
      </c>
    </row>
    <row r="840" spans="1:34" ht="14.5" hidden="1">
      <c r="A840" s="5">
        <v>837</v>
      </c>
      <c r="B840" s="5" t="str">
        <f t="shared" si="26"/>
        <v>07AAEFT6742N2ZMD026202627</v>
      </c>
      <c r="C840" s="1" t="s">
        <v>1621</v>
      </c>
      <c r="D840" s="1" t="s">
        <v>1622</v>
      </c>
      <c r="E840" s="1" t="s">
        <v>1625</v>
      </c>
      <c r="F840" s="1" t="s">
        <v>24</v>
      </c>
      <c r="G840" s="1" t="s">
        <v>204</v>
      </c>
      <c r="H840" s="2">
        <v>69000</v>
      </c>
      <c r="I840" s="1" t="s">
        <v>44</v>
      </c>
      <c r="J840" s="3" t="s">
        <v>45</v>
      </c>
      <c r="K840" s="2">
        <v>69000</v>
      </c>
      <c r="L840" s="2">
        <v>0</v>
      </c>
      <c r="M840" s="2">
        <v>6210</v>
      </c>
      <c r="N840" s="2">
        <v>6210</v>
      </c>
      <c r="O840" s="2">
        <v>0</v>
      </c>
      <c r="P840" s="7" t="s">
        <v>28</v>
      </c>
      <c r="Q840" s="1" t="s">
        <v>29</v>
      </c>
      <c r="R840" s="3" t="s">
        <v>45</v>
      </c>
      <c r="S840" s="1" t="s">
        <v>46</v>
      </c>
      <c r="T840" s="4" t="s">
        <v>31</v>
      </c>
      <c r="U840" s="7" t="s">
        <v>32</v>
      </c>
      <c r="V840" s="7" t="s">
        <v>1626</v>
      </c>
      <c r="W840" s="7" t="s">
        <v>204</v>
      </c>
      <c r="X840" s="7" t="s">
        <v>1751</v>
      </c>
      <c r="Y840" s="10">
        <f t="shared" si="27"/>
        <v>12420</v>
      </c>
      <c r="AH840" s="5" t="e">
        <f>VLOOKUP(B840,[1]DL!$BK:$BP,6,0)</f>
        <v>#N/A</v>
      </c>
    </row>
    <row r="841" spans="1:34" ht="14.5" hidden="1">
      <c r="A841" s="5">
        <v>838</v>
      </c>
      <c r="B841" s="5" t="str">
        <f t="shared" si="26"/>
        <v>07AAEFT6742N2ZMD027202627</v>
      </c>
      <c r="C841" s="1" t="s">
        <v>1621</v>
      </c>
      <c r="D841" s="1" t="s">
        <v>1622</v>
      </c>
      <c r="E841" s="1" t="s">
        <v>1627</v>
      </c>
      <c r="F841" s="1" t="s">
        <v>24</v>
      </c>
      <c r="G841" s="1" t="s">
        <v>204</v>
      </c>
      <c r="H841" s="2">
        <v>28750</v>
      </c>
      <c r="I841" s="1" t="s">
        <v>44</v>
      </c>
      <c r="J841" s="3" t="s">
        <v>45</v>
      </c>
      <c r="K841" s="2">
        <v>28750</v>
      </c>
      <c r="L841" s="2">
        <v>0</v>
      </c>
      <c r="M841" s="2">
        <v>2588</v>
      </c>
      <c r="N841" s="2">
        <v>2588</v>
      </c>
      <c r="O841" s="2">
        <v>0</v>
      </c>
      <c r="P841" s="7" t="s">
        <v>28</v>
      </c>
      <c r="Q841" s="1" t="s">
        <v>29</v>
      </c>
      <c r="R841" s="3" t="s">
        <v>45</v>
      </c>
      <c r="S841" s="1" t="s">
        <v>46</v>
      </c>
      <c r="T841" s="4" t="s">
        <v>31</v>
      </c>
      <c r="U841" s="7" t="s">
        <v>32</v>
      </c>
      <c r="V841" s="7" t="s">
        <v>1628</v>
      </c>
      <c r="W841" s="7" t="s">
        <v>204</v>
      </c>
      <c r="X841" s="7" t="s">
        <v>1751</v>
      </c>
      <c r="Y841" s="10">
        <f t="shared" si="27"/>
        <v>5176</v>
      </c>
      <c r="AH841" s="5" t="e">
        <f>VLOOKUP(B841,[1]DL!$BK:$BP,6,0)</f>
        <v>#N/A</v>
      </c>
    </row>
    <row r="842" spans="1:34" ht="14.5" hidden="1">
      <c r="A842" s="5">
        <v>839</v>
      </c>
      <c r="B842" s="5" t="str">
        <f t="shared" si="26"/>
        <v>07AAEFT6742N2ZMD028202627</v>
      </c>
      <c r="C842" s="1" t="s">
        <v>1621</v>
      </c>
      <c r="D842" s="1" t="s">
        <v>1622</v>
      </c>
      <c r="E842" s="1" t="s">
        <v>1629</v>
      </c>
      <c r="F842" s="1" t="s">
        <v>24</v>
      </c>
      <c r="G842" s="1" t="s">
        <v>204</v>
      </c>
      <c r="H842" s="2">
        <v>103500</v>
      </c>
      <c r="I842" s="1" t="s">
        <v>44</v>
      </c>
      <c r="J842" s="3" t="s">
        <v>45</v>
      </c>
      <c r="K842" s="2">
        <v>103500</v>
      </c>
      <c r="L842" s="2">
        <v>0</v>
      </c>
      <c r="M842" s="2">
        <v>9315</v>
      </c>
      <c r="N842" s="2">
        <v>9315</v>
      </c>
      <c r="O842" s="2">
        <v>0</v>
      </c>
      <c r="P842" s="7" t="s">
        <v>28</v>
      </c>
      <c r="Q842" s="1" t="s">
        <v>29</v>
      </c>
      <c r="R842" s="3" t="s">
        <v>45</v>
      </c>
      <c r="S842" s="1" t="s">
        <v>46</v>
      </c>
      <c r="T842" s="4" t="s">
        <v>31</v>
      </c>
      <c r="U842" s="7" t="s">
        <v>32</v>
      </c>
      <c r="V842" s="7" t="s">
        <v>1630</v>
      </c>
      <c r="W842" s="7" t="s">
        <v>204</v>
      </c>
      <c r="X842" s="7" t="s">
        <v>1751</v>
      </c>
      <c r="Y842" s="10">
        <f t="shared" si="27"/>
        <v>18630</v>
      </c>
      <c r="AH842" s="5" t="e">
        <f>VLOOKUP(B842,[1]DL!$BK:$BP,6,0)</f>
        <v>#N/A</v>
      </c>
    </row>
    <row r="843" spans="1:34" ht="14.5" hidden="1">
      <c r="A843" s="5">
        <v>840</v>
      </c>
      <c r="B843" s="5" t="str">
        <f t="shared" si="26"/>
        <v>07AAMPB1295N1ZEBE/DW2627S0001</v>
      </c>
      <c r="C843" s="1" t="s">
        <v>1631</v>
      </c>
      <c r="D843" s="1" t="s">
        <v>1632</v>
      </c>
      <c r="E843" s="1" t="s">
        <v>1633</v>
      </c>
      <c r="F843" s="1" t="s">
        <v>24</v>
      </c>
      <c r="G843" s="1" t="s">
        <v>89</v>
      </c>
      <c r="H843" s="2">
        <v>4248</v>
      </c>
      <c r="I843" s="1" t="s">
        <v>44</v>
      </c>
      <c r="J843" s="3" t="s">
        <v>27</v>
      </c>
      <c r="K843" s="2">
        <v>3600</v>
      </c>
      <c r="L843" s="2">
        <v>0</v>
      </c>
      <c r="M843" s="2">
        <v>324</v>
      </c>
      <c r="N843" s="2">
        <v>324</v>
      </c>
      <c r="O843" s="2">
        <v>0</v>
      </c>
      <c r="P843" s="7" t="s">
        <v>28</v>
      </c>
      <c r="Q843" s="1" t="s">
        <v>484</v>
      </c>
      <c r="R843" s="3" t="s">
        <v>45</v>
      </c>
      <c r="S843" s="1" t="s">
        <v>46</v>
      </c>
      <c r="T843" s="4" t="s">
        <v>31</v>
      </c>
      <c r="U843" s="7" t="s">
        <v>32</v>
      </c>
      <c r="V843" s="7" t="s">
        <v>1634</v>
      </c>
      <c r="W843" s="7" t="s">
        <v>89</v>
      </c>
      <c r="X843" s="7" t="s">
        <v>1751</v>
      </c>
      <c r="Y843" s="10">
        <f t="shared" si="27"/>
        <v>648</v>
      </c>
      <c r="AH843" s="5" t="e">
        <f>VLOOKUP(B843,[1]DL!$BK:$BP,6,0)</f>
        <v>#N/A</v>
      </c>
    </row>
    <row r="844" spans="1:34" ht="14.5" hidden="1">
      <c r="A844" s="5">
        <v>841</v>
      </c>
      <c r="B844" s="5" t="str">
        <f t="shared" si="26"/>
        <v>07AAMPB1295N1ZEBE/DW2627S0002</v>
      </c>
      <c r="C844" s="1" t="s">
        <v>1631</v>
      </c>
      <c r="D844" s="1" t="s">
        <v>1632</v>
      </c>
      <c r="E844" s="1" t="s">
        <v>1635</v>
      </c>
      <c r="F844" s="1" t="s">
        <v>24</v>
      </c>
      <c r="G844" s="1" t="s">
        <v>89</v>
      </c>
      <c r="H844" s="2">
        <v>7080</v>
      </c>
      <c r="I844" s="1" t="s">
        <v>44</v>
      </c>
      <c r="J844" s="3" t="s">
        <v>27</v>
      </c>
      <c r="K844" s="2">
        <v>6000</v>
      </c>
      <c r="L844" s="2">
        <v>0</v>
      </c>
      <c r="M844" s="2">
        <v>540</v>
      </c>
      <c r="N844" s="2">
        <v>540</v>
      </c>
      <c r="O844" s="2">
        <v>0</v>
      </c>
      <c r="P844" s="7" t="s">
        <v>28</v>
      </c>
      <c r="Q844" s="1" t="s">
        <v>484</v>
      </c>
      <c r="R844" s="3" t="s">
        <v>45</v>
      </c>
      <c r="S844" s="1" t="s">
        <v>46</v>
      </c>
      <c r="T844" s="4" t="s">
        <v>31</v>
      </c>
      <c r="U844" s="7" t="s">
        <v>32</v>
      </c>
      <c r="V844" s="7" t="s">
        <v>1636</v>
      </c>
      <c r="W844" s="7" t="s">
        <v>89</v>
      </c>
      <c r="X844" s="7" t="s">
        <v>1751</v>
      </c>
      <c r="Y844" s="10">
        <f t="shared" si="27"/>
        <v>1080</v>
      </c>
      <c r="AH844" s="5" t="e">
        <f>VLOOKUP(B844,[1]DL!$BK:$BP,6,0)</f>
        <v>#N/A</v>
      </c>
    </row>
    <row r="845" spans="1:34" ht="14.5" hidden="1">
      <c r="A845" s="5">
        <v>842</v>
      </c>
      <c r="B845" s="5" t="str">
        <f t="shared" si="26"/>
        <v>07AAMPB1295N1ZEBE/DW2627S0003</v>
      </c>
      <c r="C845" s="1" t="s">
        <v>1631</v>
      </c>
      <c r="D845" s="1" t="s">
        <v>1632</v>
      </c>
      <c r="E845" s="1" t="s">
        <v>1637</v>
      </c>
      <c r="F845" s="1" t="s">
        <v>24</v>
      </c>
      <c r="G845" s="1" t="s">
        <v>89</v>
      </c>
      <c r="H845" s="2">
        <v>2360</v>
      </c>
      <c r="I845" s="1" t="s">
        <v>44</v>
      </c>
      <c r="J845" s="3" t="s">
        <v>27</v>
      </c>
      <c r="K845" s="2">
        <v>2000</v>
      </c>
      <c r="L845" s="2">
        <v>0</v>
      </c>
      <c r="M845" s="2">
        <v>180</v>
      </c>
      <c r="N845" s="2">
        <v>180</v>
      </c>
      <c r="O845" s="2">
        <v>0</v>
      </c>
      <c r="P845" s="7" t="s">
        <v>28</v>
      </c>
      <c r="Q845" s="1" t="s">
        <v>484</v>
      </c>
      <c r="R845" s="3" t="s">
        <v>45</v>
      </c>
      <c r="S845" s="1" t="s">
        <v>46</v>
      </c>
      <c r="T845" s="4" t="s">
        <v>31</v>
      </c>
      <c r="U845" s="7" t="s">
        <v>32</v>
      </c>
      <c r="V845" s="7" t="s">
        <v>1638</v>
      </c>
      <c r="W845" s="7" t="s">
        <v>89</v>
      </c>
      <c r="X845" s="7" t="s">
        <v>1751</v>
      </c>
      <c r="Y845" s="10">
        <f t="shared" si="27"/>
        <v>360</v>
      </c>
      <c r="AH845" s="5" t="e">
        <f>VLOOKUP(B845,[1]DL!$BK:$BP,6,0)</f>
        <v>#N/A</v>
      </c>
    </row>
    <row r="846" spans="1:34" ht="14.5" hidden="1">
      <c r="A846" s="5">
        <v>843</v>
      </c>
      <c r="B846" s="5" t="str">
        <f t="shared" si="26"/>
        <v>07AAMPB1295N1ZEBE/DW2627S0004</v>
      </c>
      <c r="C846" s="1" t="s">
        <v>1631</v>
      </c>
      <c r="D846" s="1" t="s">
        <v>1632</v>
      </c>
      <c r="E846" s="1" t="s">
        <v>1639</v>
      </c>
      <c r="F846" s="1" t="s">
        <v>24</v>
      </c>
      <c r="G846" s="1" t="s">
        <v>89</v>
      </c>
      <c r="H846" s="2">
        <v>6490</v>
      </c>
      <c r="I846" s="1" t="s">
        <v>44</v>
      </c>
      <c r="J846" s="3" t="s">
        <v>27</v>
      </c>
      <c r="K846" s="2">
        <v>5500</v>
      </c>
      <c r="L846" s="2">
        <v>0</v>
      </c>
      <c r="M846" s="2">
        <v>495</v>
      </c>
      <c r="N846" s="2">
        <v>495</v>
      </c>
      <c r="O846" s="2">
        <v>0</v>
      </c>
      <c r="P846" s="7" t="s">
        <v>28</v>
      </c>
      <c r="Q846" s="1" t="s">
        <v>484</v>
      </c>
      <c r="R846" s="3" t="s">
        <v>45</v>
      </c>
      <c r="S846" s="1" t="s">
        <v>46</v>
      </c>
      <c r="T846" s="4" t="s">
        <v>31</v>
      </c>
      <c r="U846" s="7" t="s">
        <v>32</v>
      </c>
      <c r="V846" s="7" t="s">
        <v>1640</v>
      </c>
      <c r="W846" s="7" t="s">
        <v>89</v>
      </c>
      <c r="X846" s="7" t="s">
        <v>1751</v>
      </c>
      <c r="Y846" s="10">
        <f t="shared" si="27"/>
        <v>990</v>
      </c>
      <c r="AH846" s="5" t="e">
        <f>VLOOKUP(B846,[1]DL!$BK:$BP,6,0)</f>
        <v>#N/A</v>
      </c>
    </row>
    <row r="847" spans="1:34" ht="14.5" hidden="1">
      <c r="A847" s="5">
        <v>844</v>
      </c>
      <c r="B847" s="5" t="str">
        <f t="shared" si="26"/>
        <v>07AAMPB1295N1ZEBE/DW2627S0005</v>
      </c>
      <c r="C847" s="1" t="s">
        <v>1631</v>
      </c>
      <c r="D847" s="1" t="s">
        <v>1632</v>
      </c>
      <c r="E847" s="1" t="s">
        <v>1641</v>
      </c>
      <c r="F847" s="1" t="s">
        <v>24</v>
      </c>
      <c r="G847" s="1" t="s">
        <v>89</v>
      </c>
      <c r="H847" s="2">
        <v>26550</v>
      </c>
      <c r="I847" s="1" t="s">
        <v>44</v>
      </c>
      <c r="J847" s="3" t="s">
        <v>27</v>
      </c>
      <c r="K847" s="2">
        <v>22500</v>
      </c>
      <c r="L847" s="2">
        <v>0</v>
      </c>
      <c r="M847" s="2">
        <v>2025</v>
      </c>
      <c r="N847" s="2">
        <v>2025</v>
      </c>
      <c r="O847" s="2">
        <v>0</v>
      </c>
      <c r="P847" s="7" t="s">
        <v>28</v>
      </c>
      <c r="Q847" s="1" t="s">
        <v>484</v>
      </c>
      <c r="R847" s="3" t="s">
        <v>45</v>
      </c>
      <c r="S847" s="1" t="s">
        <v>46</v>
      </c>
      <c r="T847" s="4" t="s">
        <v>31</v>
      </c>
      <c r="U847" s="7" t="s">
        <v>32</v>
      </c>
      <c r="V847" s="7" t="s">
        <v>1642</v>
      </c>
      <c r="W847" s="7" t="s">
        <v>89</v>
      </c>
      <c r="X847" s="7" t="s">
        <v>1751</v>
      </c>
      <c r="Y847" s="10">
        <f t="shared" si="27"/>
        <v>4050</v>
      </c>
      <c r="AH847" s="5" t="e">
        <f>VLOOKUP(B847,[1]DL!$BK:$BP,6,0)</f>
        <v>#N/A</v>
      </c>
    </row>
    <row r="848" spans="1:34" ht="14.5" hidden="1">
      <c r="A848" s="5">
        <v>845</v>
      </c>
      <c r="B848" s="5" t="str">
        <f t="shared" si="26"/>
        <v>07AAMPB1295N1ZEBE/DW2627S0006</v>
      </c>
      <c r="C848" s="1" t="s">
        <v>1631</v>
      </c>
      <c r="D848" s="1" t="s">
        <v>1632</v>
      </c>
      <c r="E848" s="1" t="s">
        <v>1643</v>
      </c>
      <c r="F848" s="1" t="s">
        <v>24</v>
      </c>
      <c r="G848" s="1" t="s">
        <v>89</v>
      </c>
      <c r="H848" s="2">
        <v>7080</v>
      </c>
      <c r="I848" s="1" t="s">
        <v>44</v>
      </c>
      <c r="J848" s="3" t="s">
        <v>27</v>
      </c>
      <c r="K848" s="2">
        <v>6000</v>
      </c>
      <c r="L848" s="2">
        <v>0</v>
      </c>
      <c r="M848" s="2">
        <v>540</v>
      </c>
      <c r="N848" s="2">
        <v>540</v>
      </c>
      <c r="O848" s="2">
        <v>0</v>
      </c>
      <c r="P848" s="7" t="s">
        <v>28</v>
      </c>
      <c r="Q848" s="1" t="s">
        <v>484</v>
      </c>
      <c r="R848" s="3" t="s">
        <v>45</v>
      </c>
      <c r="S848" s="1" t="s">
        <v>46</v>
      </c>
      <c r="T848" s="4" t="s">
        <v>31</v>
      </c>
      <c r="U848" s="7" t="s">
        <v>32</v>
      </c>
      <c r="V848" s="7" t="s">
        <v>1644</v>
      </c>
      <c r="W848" s="7" t="s">
        <v>89</v>
      </c>
      <c r="X848" s="7" t="s">
        <v>1751</v>
      </c>
      <c r="Y848" s="10">
        <f t="shared" si="27"/>
        <v>1080</v>
      </c>
      <c r="AH848" s="5" t="e">
        <f>VLOOKUP(B848,[1]DL!$BK:$BP,6,0)</f>
        <v>#N/A</v>
      </c>
    </row>
    <row r="849" spans="1:34" ht="14.5" hidden="1">
      <c r="A849" s="5">
        <v>846</v>
      </c>
      <c r="B849" s="5" t="str">
        <f t="shared" si="26"/>
        <v>07AAMPB1295N1ZEBE/DW2627S0007</v>
      </c>
      <c r="C849" s="1" t="s">
        <v>1631</v>
      </c>
      <c r="D849" s="1" t="s">
        <v>1632</v>
      </c>
      <c r="E849" s="1" t="s">
        <v>1645</v>
      </c>
      <c r="F849" s="1" t="s">
        <v>24</v>
      </c>
      <c r="G849" s="1" t="s">
        <v>89</v>
      </c>
      <c r="H849" s="2">
        <v>2360</v>
      </c>
      <c r="I849" s="1" t="s">
        <v>44</v>
      </c>
      <c r="J849" s="3" t="s">
        <v>27</v>
      </c>
      <c r="K849" s="2">
        <v>2000</v>
      </c>
      <c r="L849" s="2">
        <v>0</v>
      </c>
      <c r="M849" s="2">
        <v>180</v>
      </c>
      <c r="N849" s="2">
        <v>180</v>
      </c>
      <c r="O849" s="2">
        <v>0</v>
      </c>
      <c r="P849" s="7" t="s">
        <v>28</v>
      </c>
      <c r="Q849" s="1" t="s">
        <v>484</v>
      </c>
      <c r="R849" s="3" t="s">
        <v>45</v>
      </c>
      <c r="S849" s="1" t="s">
        <v>46</v>
      </c>
      <c r="T849" s="4" t="s">
        <v>31</v>
      </c>
      <c r="U849" s="7" t="s">
        <v>32</v>
      </c>
      <c r="V849" s="7" t="s">
        <v>1646</v>
      </c>
      <c r="W849" s="7" t="s">
        <v>89</v>
      </c>
      <c r="X849" s="7" t="s">
        <v>1751</v>
      </c>
      <c r="Y849" s="10">
        <f t="shared" si="27"/>
        <v>360</v>
      </c>
      <c r="AH849" s="5" t="e">
        <f>VLOOKUP(B849,[1]DL!$BK:$BP,6,0)</f>
        <v>#N/A</v>
      </c>
    </row>
    <row r="850" spans="1:34" ht="14.5" hidden="1">
      <c r="A850" s="5">
        <v>847</v>
      </c>
      <c r="B850" s="5" t="str">
        <f t="shared" si="26"/>
        <v>07AAMPB1295N1ZEBE/DW2627S0008</v>
      </c>
      <c r="C850" s="1" t="s">
        <v>1631</v>
      </c>
      <c r="D850" s="1" t="s">
        <v>1632</v>
      </c>
      <c r="E850" s="1" t="s">
        <v>1647</v>
      </c>
      <c r="F850" s="1" t="s">
        <v>24</v>
      </c>
      <c r="G850" s="1" t="s">
        <v>89</v>
      </c>
      <c r="H850" s="2">
        <v>6490</v>
      </c>
      <c r="I850" s="1" t="s">
        <v>44</v>
      </c>
      <c r="J850" s="3" t="s">
        <v>27</v>
      </c>
      <c r="K850" s="2">
        <v>5500</v>
      </c>
      <c r="L850" s="2">
        <v>0</v>
      </c>
      <c r="M850" s="2">
        <v>495</v>
      </c>
      <c r="N850" s="2">
        <v>495</v>
      </c>
      <c r="O850" s="2">
        <v>0</v>
      </c>
      <c r="P850" s="7" t="s">
        <v>28</v>
      </c>
      <c r="Q850" s="1" t="s">
        <v>484</v>
      </c>
      <c r="R850" s="3" t="s">
        <v>45</v>
      </c>
      <c r="S850" s="1" t="s">
        <v>46</v>
      </c>
      <c r="T850" s="4" t="s">
        <v>31</v>
      </c>
      <c r="U850" s="7" t="s">
        <v>32</v>
      </c>
      <c r="V850" s="7" t="s">
        <v>1648</v>
      </c>
      <c r="W850" s="7" t="s">
        <v>89</v>
      </c>
      <c r="X850" s="7" t="s">
        <v>1751</v>
      </c>
      <c r="Y850" s="10">
        <f t="shared" si="27"/>
        <v>990</v>
      </c>
      <c r="AH850" s="5" t="e">
        <f>VLOOKUP(B850,[1]DL!$BK:$BP,6,0)</f>
        <v>#N/A</v>
      </c>
    </row>
    <row r="851" spans="1:34" ht="14.5" hidden="1">
      <c r="A851" s="5">
        <v>848</v>
      </c>
      <c r="B851" s="5" t="str">
        <f t="shared" si="26"/>
        <v>07AAMPB1295N1ZEBE/DW2627S0009</v>
      </c>
      <c r="C851" s="1" t="s">
        <v>1631</v>
      </c>
      <c r="D851" s="1" t="s">
        <v>1632</v>
      </c>
      <c r="E851" s="1" t="s">
        <v>1649</v>
      </c>
      <c r="F851" s="1" t="s">
        <v>24</v>
      </c>
      <c r="G851" s="1" t="s">
        <v>89</v>
      </c>
      <c r="H851" s="2">
        <v>26550</v>
      </c>
      <c r="I851" s="1" t="s">
        <v>44</v>
      </c>
      <c r="J851" s="3" t="s">
        <v>27</v>
      </c>
      <c r="K851" s="2">
        <v>22500</v>
      </c>
      <c r="L851" s="2">
        <v>0</v>
      </c>
      <c r="M851" s="2">
        <v>2025</v>
      </c>
      <c r="N851" s="2">
        <v>2025</v>
      </c>
      <c r="O851" s="2">
        <v>0</v>
      </c>
      <c r="P851" s="7" t="s">
        <v>28</v>
      </c>
      <c r="Q851" s="1" t="s">
        <v>484</v>
      </c>
      <c r="R851" s="3" t="s">
        <v>45</v>
      </c>
      <c r="S851" s="1" t="s">
        <v>46</v>
      </c>
      <c r="T851" s="4" t="s">
        <v>31</v>
      </c>
      <c r="U851" s="7" t="s">
        <v>32</v>
      </c>
      <c r="V851" s="7" t="s">
        <v>1650</v>
      </c>
      <c r="W851" s="7" t="s">
        <v>89</v>
      </c>
      <c r="X851" s="7" t="s">
        <v>1751</v>
      </c>
      <c r="Y851" s="10">
        <f t="shared" si="27"/>
        <v>4050</v>
      </c>
      <c r="AH851" s="5" t="e">
        <f>VLOOKUP(B851,[1]DL!$BK:$BP,6,0)</f>
        <v>#N/A</v>
      </c>
    </row>
    <row r="852" spans="1:34" ht="14.5" hidden="1">
      <c r="A852" s="5">
        <v>849</v>
      </c>
      <c r="B852" s="5" t="str">
        <f t="shared" si="26"/>
        <v>07AAMPB1295N1ZEBE/DW2627S0010</v>
      </c>
      <c r="C852" s="1" t="s">
        <v>1631</v>
      </c>
      <c r="D852" s="1" t="s">
        <v>1632</v>
      </c>
      <c r="E852" s="1" t="s">
        <v>1651</v>
      </c>
      <c r="F852" s="1" t="s">
        <v>24</v>
      </c>
      <c r="G852" s="1" t="s">
        <v>89</v>
      </c>
      <c r="H852" s="2">
        <v>7670</v>
      </c>
      <c r="I852" s="1" t="s">
        <v>44</v>
      </c>
      <c r="J852" s="3" t="s">
        <v>27</v>
      </c>
      <c r="K852" s="2">
        <v>6500</v>
      </c>
      <c r="L852" s="2">
        <v>0</v>
      </c>
      <c r="M852" s="2">
        <v>585</v>
      </c>
      <c r="N852" s="2">
        <v>585</v>
      </c>
      <c r="O852" s="2">
        <v>0</v>
      </c>
      <c r="P852" s="7" t="s">
        <v>28</v>
      </c>
      <c r="Q852" s="1" t="s">
        <v>484</v>
      </c>
      <c r="R852" s="3" t="s">
        <v>45</v>
      </c>
      <c r="S852" s="1" t="s">
        <v>46</v>
      </c>
      <c r="T852" s="4" t="s">
        <v>31</v>
      </c>
      <c r="U852" s="7" t="s">
        <v>32</v>
      </c>
      <c r="V852" s="7" t="s">
        <v>1652</v>
      </c>
      <c r="W852" s="7" t="s">
        <v>89</v>
      </c>
      <c r="X852" s="7" t="s">
        <v>1751</v>
      </c>
      <c r="Y852" s="10">
        <f t="shared" si="27"/>
        <v>1170</v>
      </c>
      <c r="AH852" s="5" t="e">
        <f>VLOOKUP(B852,[1]DL!$BK:$BP,6,0)</f>
        <v>#N/A</v>
      </c>
    </row>
    <row r="853" spans="1:34" ht="14.5" hidden="1">
      <c r="A853" s="5">
        <v>850</v>
      </c>
      <c r="B853" s="5" t="str">
        <f t="shared" si="26"/>
        <v>07AAMPB1295N1ZEBE/DW2627S0011</v>
      </c>
      <c r="C853" s="1" t="s">
        <v>1631</v>
      </c>
      <c r="D853" s="1" t="s">
        <v>1632</v>
      </c>
      <c r="E853" s="1" t="s">
        <v>1653</v>
      </c>
      <c r="F853" s="1" t="s">
        <v>24</v>
      </c>
      <c r="G853" s="1" t="s">
        <v>89</v>
      </c>
      <c r="H853" s="2">
        <v>2360</v>
      </c>
      <c r="I853" s="1" t="s">
        <v>44</v>
      </c>
      <c r="J853" s="3" t="s">
        <v>27</v>
      </c>
      <c r="K853" s="2">
        <v>2000</v>
      </c>
      <c r="L853" s="2">
        <v>0</v>
      </c>
      <c r="M853" s="2">
        <v>180</v>
      </c>
      <c r="N853" s="2">
        <v>180</v>
      </c>
      <c r="O853" s="2">
        <v>0</v>
      </c>
      <c r="P853" s="7" t="s">
        <v>28</v>
      </c>
      <c r="Q853" s="1" t="s">
        <v>484</v>
      </c>
      <c r="R853" s="3" t="s">
        <v>45</v>
      </c>
      <c r="S853" s="1" t="s">
        <v>46</v>
      </c>
      <c r="T853" s="4" t="s">
        <v>31</v>
      </c>
      <c r="U853" s="7" t="s">
        <v>32</v>
      </c>
      <c r="V853" s="7" t="s">
        <v>1654</v>
      </c>
      <c r="W853" s="7" t="s">
        <v>89</v>
      </c>
      <c r="X853" s="7" t="s">
        <v>1751</v>
      </c>
      <c r="Y853" s="10">
        <f t="shared" si="27"/>
        <v>360</v>
      </c>
      <c r="AH853" s="5" t="e">
        <f>VLOOKUP(B853,[1]DL!$BK:$BP,6,0)</f>
        <v>#N/A</v>
      </c>
    </row>
    <row r="854" spans="1:34" ht="14.5" hidden="1">
      <c r="A854" s="5">
        <v>851</v>
      </c>
      <c r="B854" s="5" t="str">
        <f t="shared" si="26"/>
        <v>07AAMPB1295N1ZEBE/DW2627S0012</v>
      </c>
      <c r="C854" s="1" t="s">
        <v>1631</v>
      </c>
      <c r="D854" s="1" t="s">
        <v>1632</v>
      </c>
      <c r="E854" s="1" t="s">
        <v>1655</v>
      </c>
      <c r="F854" s="1" t="s">
        <v>24</v>
      </c>
      <c r="G854" s="1" t="s">
        <v>89</v>
      </c>
      <c r="H854" s="2">
        <v>6490</v>
      </c>
      <c r="I854" s="1" t="s">
        <v>44</v>
      </c>
      <c r="J854" s="3" t="s">
        <v>27</v>
      </c>
      <c r="K854" s="2">
        <v>5500</v>
      </c>
      <c r="L854" s="2">
        <v>0</v>
      </c>
      <c r="M854" s="2">
        <v>495</v>
      </c>
      <c r="N854" s="2">
        <v>495</v>
      </c>
      <c r="O854" s="2">
        <v>0</v>
      </c>
      <c r="P854" s="7" t="s">
        <v>28</v>
      </c>
      <c r="Q854" s="1" t="s">
        <v>484</v>
      </c>
      <c r="R854" s="3" t="s">
        <v>45</v>
      </c>
      <c r="S854" s="1" t="s">
        <v>46</v>
      </c>
      <c r="T854" s="4" t="s">
        <v>31</v>
      </c>
      <c r="U854" s="7" t="s">
        <v>32</v>
      </c>
      <c r="V854" s="7" t="s">
        <v>1656</v>
      </c>
      <c r="W854" s="7" t="s">
        <v>89</v>
      </c>
      <c r="X854" s="7" t="s">
        <v>1751</v>
      </c>
      <c r="Y854" s="10">
        <f t="shared" si="27"/>
        <v>990</v>
      </c>
      <c r="AH854" s="5" t="e">
        <f>VLOOKUP(B854,[1]DL!$BK:$BP,6,0)</f>
        <v>#N/A</v>
      </c>
    </row>
    <row r="855" spans="1:34" ht="14.5" hidden="1">
      <c r="A855" s="5">
        <v>852</v>
      </c>
      <c r="B855" s="5" t="str">
        <f t="shared" si="26"/>
        <v>07AAMPB1295N1ZEBE/DW2627S0013</v>
      </c>
      <c r="C855" s="1" t="s">
        <v>1631</v>
      </c>
      <c r="D855" s="1" t="s">
        <v>1632</v>
      </c>
      <c r="E855" s="1" t="s">
        <v>1657</v>
      </c>
      <c r="F855" s="1" t="s">
        <v>24</v>
      </c>
      <c r="G855" s="1" t="s">
        <v>89</v>
      </c>
      <c r="H855" s="2">
        <v>26550</v>
      </c>
      <c r="I855" s="1" t="s">
        <v>44</v>
      </c>
      <c r="J855" s="3" t="s">
        <v>27</v>
      </c>
      <c r="K855" s="2">
        <v>22500</v>
      </c>
      <c r="L855" s="2">
        <v>0</v>
      </c>
      <c r="M855" s="2">
        <v>2025</v>
      </c>
      <c r="N855" s="2">
        <v>2025</v>
      </c>
      <c r="O855" s="2">
        <v>0</v>
      </c>
      <c r="P855" s="7" t="s">
        <v>28</v>
      </c>
      <c r="Q855" s="1" t="s">
        <v>484</v>
      </c>
      <c r="R855" s="3" t="s">
        <v>45</v>
      </c>
      <c r="S855" s="1" t="s">
        <v>46</v>
      </c>
      <c r="T855" s="4" t="s">
        <v>31</v>
      </c>
      <c r="U855" s="7" t="s">
        <v>32</v>
      </c>
      <c r="V855" s="7" t="s">
        <v>1658</v>
      </c>
      <c r="W855" s="7" t="s">
        <v>89</v>
      </c>
      <c r="X855" s="7" t="s">
        <v>1751</v>
      </c>
      <c r="Y855" s="10">
        <f t="shared" si="27"/>
        <v>4050</v>
      </c>
      <c r="AH855" s="5" t="e">
        <f>VLOOKUP(B855,[1]DL!$BK:$BP,6,0)</f>
        <v>#N/A</v>
      </c>
    </row>
    <row r="856" spans="1:34" ht="14.5" hidden="1">
      <c r="A856" s="5">
        <v>853</v>
      </c>
      <c r="B856" s="5" t="str">
        <f t="shared" si="26"/>
        <v>07AAMPB1295N1ZEBE/DW2627S0014</v>
      </c>
      <c r="C856" s="1" t="s">
        <v>1631</v>
      </c>
      <c r="D856" s="1" t="s">
        <v>1632</v>
      </c>
      <c r="E856" s="1" t="s">
        <v>1659</v>
      </c>
      <c r="F856" s="1" t="s">
        <v>24</v>
      </c>
      <c r="G856" s="1" t="s">
        <v>89</v>
      </c>
      <c r="H856" s="2">
        <v>2950</v>
      </c>
      <c r="I856" s="1" t="s">
        <v>44</v>
      </c>
      <c r="J856" s="3" t="s">
        <v>27</v>
      </c>
      <c r="K856" s="2">
        <v>2500</v>
      </c>
      <c r="L856" s="2">
        <v>0</v>
      </c>
      <c r="M856" s="2">
        <v>225</v>
      </c>
      <c r="N856" s="2">
        <v>225</v>
      </c>
      <c r="O856" s="2">
        <v>0</v>
      </c>
      <c r="P856" s="7" t="s">
        <v>28</v>
      </c>
      <c r="Q856" s="1" t="s">
        <v>484</v>
      </c>
      <c r="R856" s="3" t="s">
        <v>45</v>
      </c>
      <c r="S856" s="1" t="s">
        <v>46</v>
      </c>
      <c r="T856" s="4" t="s">
        <v>31</v>
      </c>
      <c r="U856" s="7" t="s">
        <v>32</v>
      </c>
      <c r="V856" s="7" t="s">
        <v>1660</v>
      </c>
      <c r="W856" s="7" t="s">
        <v>89</v>
      </c>
      <c r="X856" s="7" t="s">
        <v>1751</v>
      </c>
      <c r="Y856" s="10">
        <f t="shared" si="27"/>
        <v>450</v>
      </c>
      <c r="AH856" s="5" t="e">
        <f>VLOOKUP(B856,[1]DL!$BK:$BP,6,0)</f>
        <v>#N/A</v>
      </c>
    </row>
    <row r="857" spans="1:34" ht="14.5" hidden="1">
      <c r="A857" s="5">
        <v>854</v>
      </c>
      <c r="B857" s="5" t="str">
        <f t="shared" si="26"/>
        <v>07AAMPB1295N1ZEBE/DW2627S0015</v>
      </c>
      <c r="C857" s="1" t="s">
        <v>1631</v>
      </c>
      <c r="D857" s="1" t="s">
        <v>1632</v>
      </c>
      <c r="E857" s="1" t="s">
        <v>1661</v>
      </c>
      <c r="F857" s="1" t="s">
        <v>24</v>
      </c>
      <c r="G857" s="1" t="s">
        <v>89</v>
      </c>
      <c r="H857" s="2">
        <v>826</v>
      </c>
      <c r="I857" s="1" t="s">
        <v>44</v>
      </c>
      <c r="J857" s="3" t="s">
        <v>27</v>
      </c>
      <c r="K857" s="2">
        <v>700</v>
      </c>
      <c r="L857" s="2">
        <v>0</v>
      </c>
      <c r="M857" s="2">
        <v>63</v>
      </c>
      <c r="N857" s="2">
        <v>63</v>
      </c>
      <c r="O857" s="2">
        <v>0</v>
      </c>
      <c r="P857" s="7" t="s">
        <v>28</v>
      </c>
      <c r="Q857" s="1" t="s">
        <v>484</v>
      </c>
      <c r="R857" s="3" t="s">
        <v>45</v>
      </c>
      <c r="S857" s="1" t="s">
        <v>46</v>
      </c>
      <c r="T857" s="4" t="s">
        <v>31</v>
      </c>
      <c r="U857" s="7" t="s">
        <v>32</v>
      </c>
      <c r="V857" s="7" t="s">
        <v>1662</v>
      </c>
      <c r="W857" s="7" t="s">
        <v>89</v>
      </c>
      <c r="X857" s="7" t="s">
        <v>1751</v>
      </c>
      <c r="Y857" s="10">
        <f t="shared" si="27"/>
        <v>126</v>
      </c>
      <c r="AH857" s="5" t="e">
        <f>VLOOKUP(B857,[1]DL!$BK:$BP,6,0)</f>
        <v>#N/A</v>
      </c>
    </row>
    <row r="858" spans="1:34" ht="14.5" hidden="1">
      <c r="A858" s="5">
        <v>855</v>
      </c>
      <c r="B858" s="5" t="str">
        <f t="shared" si="26"/>
        <v>07AAMPB1295N1ZEBE/DW2627S0016</v>
      </c>
      <c r="C858" s="1" t="s">
        <v>1631</v>
      </c>
      <c r="D858" s="1" t="s">
        <v>1632</v>
      </c>
      <c r="E858" s="1" t="s">
        <v>1663</v>
      </c>
      <c r="F858" s="1" t="s">
        <v>24</v>
      </c>
      <c r="G858" s="1" t="s">
        <v>89</v>
      </c>
      <c r="H858" s="2">
        <v>1475</v>
      </c>
      <c r="I858" s="1" t="s">
        <v>44</v>
      </c>
      <c r="J858" s="3" t="s">
        <v>27</v>
      </c>
      <c r="K858" s="2">
        <v>1250</v>
      </c>
      <c r="L858" s="2">
        <v>0</v>
      </c>
      <c r="M858" s="2">
        <v>112.5</v>
      </c>
      <c r="N858" s="2">
        <v>112.5</v>
      </c>
      <c r="O858" s="2">
        <v>0</v>
      </c>
      <c r="P858" s="7" t="s">
        <v>28</v>
      </c>
      <c r="Q858" s="1" t="s">
        <v>484</v>
      </c>
      <c r="R858" s="3" t="s">
        <v>45</v>
      </c>
      <c r="S858" s="1" t="s">
        <v>46</v>
      </c>
      <c r="T858" s="4" t="s">
        <v>31</v>
      </c>
      <c r="U858" s="7" t="s">
        <v>32</v>
      </c>
      <c r="V858" s="7" t="s">
        <v>1664</v>
      </c>
      <c r="W858" s="7" t="s">
        <v>89</v>
      </c>
      <c r="X858" s="7" t="s">
        <v>1751</v>
      </c>
      <c r="Y858" s="10">
        <f t="shared" si="27"/>
        <v>225</v>
      </c>
      <c r="AH858" s="5" t="e">
        <f>VLOOKUP(B858,[1]DL!$BK:$BP,6,0)</f>
        <v>#N/A</v>
      </c>
    </row>
    <row r="859" spans="1:34" ht="14.5" hidden="1">
      <c r="A859" s="5">
        <v>856</v>
      </c>
      <c r="B859" s="5" t="str">
        <f t="shared" si="26"/>
        <v>07AAMPB1295N1ZEBE/DW2627S0017</v>
      </c>
      <c r="C859" s="1" t="s">
        <v>1631</v>
      </c>
      <c r="D859" s="1" t="s">
        <v>1632</v>
      </c>
      <c r="E859" s="1" t="s">
        <v>1665</v>
      </c>
      <c r="F859" s="1" t="s">
        <v>24</v>
      </c>
      <c r="G859" s="1" t="s">
        <v>89</v>
      </c>
      <c r="H859" s="2">
        <v>590</v>
      </c>
      <c r="I859" s="1" t="s">
        <v>44</v>
      </c>
      <c r="J859" s="3" t="s">
        <v>27</v>
      </c>
      <c r="K859" s="2">
        <v>500</v>
      </c>
      <c r="L859" s="2">
        <v>0</v>
      </c>
      <c r="M859" s="2">
        <v>45</v>
      </c>
      <c r="N859" s="2">
        <v>45</v>
      </c>
      <c r="O859" s="2">
        <v>0</v>
      </c>
      <c r="P859" s="7" t="s">
        <v>28</v>
      </c>
      <c r="Q859" s="1" t="s">
        <v>484</v>
      </c>
      <c r="R859" s="3" t="s">
        <v>45</v>
      </c>
      <c r="S859" s="1" t="s">
        <v>46</v>
      </c>
      <c r="T859" s="4" t="s">
        <v>31</v>
      </c>
      <c r="U859" s="7" t="s">
        <v>32</v>
      </c>
      <c r="V859" s="7" t="s">
        <v>1666</v>
      </c>
      <c r="W859" s="7" t="s">
        <v>89</v>
      </c>
      <c r="X859" s="7" t="s">
        <v>1751</v>
      </c>
      <c r="Y859" s="10">
        <f t="shared" si="27"/>
        <v>90</v>
      </c>
      <c r="AH859" s="5" t="e">
        <f>VLOOKUP(B859,[1]DL!$BK:$BP,6,0)</f>
        <v>#N/A</v>
      </c>
    </row>
    <row r="860" spans="1:34" ht="14.5" hidden="1">
      <c r="A860" s="5">
        <v>857</v>
      </c>
      <c r="B860" s="5" t="str">
        <f t="shared" si="26"/>
        <v>07AAMPB1295N1ZEBE/DW2627S0018</v>
      </c>
      <c r="C860" s="1" t="s">
        <v>1631</v>
      </c>
      <c r="D860" s="1" t="s">
        <v>1632</v>
      </c>
      <c r="E860" s="1" t="s">
        <v>1667</v>
      </c>
      <c r="F860" s="1" t="s">
        <v>24</v>
      </c>
      <c r="G860" s="1" t="s">
        <v>89</v>
      </c>
      <c r="H860" s="2">
        <v>3629</v>
      </c>
      <c r="I860" s="1" t="s">
        <v>44</v>
      </c>
      <c r="J860" s="3" t="s">
        <v>27</v>
      </c>
      <c r="K860" s="2">
        <v>3075</v>
      </c>
      <c r="L860" s="2">
        <v>0</v>
      </c>
      <c r="M860" s="2">
        <v>276.75</v>
      </c>
      <c r="N860" s="2">
        <v>276.75</v>
      </c>
      <c r="O860" s="2">
        <v>0</v>
      </c>
      <c r="P860" s="7" t="s">
        <v>28</v>
      </c>
      <c r="Q860" s="1" t="s">
        <v>484</v>
      </c>
      <c r="R860" s="3" t="s">
        <v>45</v>
      </c>
      <c r="S860" s="1" t="s">
        <v>46</v>
      </c>
      <c r="T860" s="4" t="s">
        <v>31</v>
      </c>
      <c r="U860" s="7" t="s">
        <v>32</v>
      </c>
      <c r="V860" s="7" t="s">
        <v>1668</v>
      </c>
      <c r="W860" s="7" t="s">
        <v>89</v>
      </c>
      <c r="X860" s="7" t="s">
        <v>1751</v>
      </c>
      <c r="Y860" s="10">
        <f t="shared" si="27"/>
        <v>553.5</v>
      </c>
      <c r="AH860" s="5" t="e">
        <f>VLOOKUP(B860,[1]DL!$BK:$BP,6,0)</f>
        <v>#N/A</v>
      </c>
    </row>
    <row r="861" spans="1:34" ht="14.5" hidden="1">
      <c r="A861" s="5">
        <v>858</v>
      </c>
      <c r="B861" s="5" t="str">
        <f t="shared" si="26"/>
        <v>07AAMPB1295N1ZEBE/DW2627S0019</v>
      </c>
      <c r="C861" s="1" t="s">
        <v>1631</v>
      </c>
      <c r="D861" s="1" t="s">
        <v>1632</v>
      </c>
      <c r="E861" s="1" t="s">
        <v>1669</v>
      </c>
      <c r="F861" s="1" t="s">
        <v>24</v>
      </c>
      <c r="G861" s="1" t="s">
        <v>89</v>
      </c>
      <c r="H861" s="2">
        <v>3835</v>
      </c>
      <c r="I861" s="1" t="s">
        <v>44</v>
      </c>
      <c r="J861" s="3" t="s">
        <v>27</v>
      </c>
      <c r="K861" s="2">
        <v>3250</v>
      </c>
      <c r="L861" s="2">
        <v>0</v>
      </c>
      <c r="M861" s="2">
        <v>292.5</v>
      </c>
      <c r="N861" s="2">
        <v>292.5</v>
      </c>
      <c r="O861" s="2">
        <v>0</v>
      </c>
      <c r="P861" s="7" t="s">
        <v>28</v>
      </c>
      <c r="Q861" s="1" t="s">
        <v>484</v>
      </c>
      <c r="R861" s="3" t="s">
        <v>45</v>
      </c>
      <c r="S861" s="1" t="s">
        <v>46</v>
      </c>
      <c r="T861" s="4" t="s">
        <v>31</v>
      </c>
      <c r="U861" s="7" t="s">
        <v>32</v>
      </c>
      <c r="V861" s="7" t="s">
        <v>1670</v>
      </c>
      <c r="W861" s="7" t="s">
        <v>89</v>
      </c>
      <c r="X861" s="7" t="s">
        <v>1751</v>
      </c>
      <c r="Y861" s="10">
        <f t="shared" si="27"/>
        <v>585</v>
      </c>
      <c r="AH861" s="5" t="e">
        <f>VLOOKUP(B861,[1]DL!$BK:$BP,6,0)</f>
        <v>#N/A</v>
      </c>
    </row>
    <row r="862" spans="1:34" ht="14.5" hidden="1">
      <c r="A862" s="5">
        <v>859</v>
      </c>
      <c r="B862" s="5" t="str">
        <f t="shared" si="26"/>
        <v>07AAMPB1295N1ZEBE/DW2627S0020</v>
      </c>
      <c r="C862" s="1" t="s">
        <v>1631</v>
      </c>
      <c r="D862" s="1" t="s">
        <v>1632</v>
      </c>
      <c r="E862" s="1" t="s">
        <v>1671</v>
      </c>
      <c r="F862" s="1" t="s">
        <v>24</v>
      </c>
      <c r="G862" s="1" t="s">
        <v>89</v>
      </c>
      <c r="H862" s="2">
        <v>3540</v>
      </c>
      <c r="I862" s="1" t="s">
        <v>44</v>
      </c>
      <c r="J862" s="3" t="s">
        <v>27</v>
      </c>
      <c r="K862" s="2">
        <v>3000</v>
      </c>
      <c r="L862" s="2">
        <v>0</v>
      </c>
      <c r="M862" s="2">
        <v>270</v>
      </c>
      <c r="N862" s="2">
        <v>270</v>
      </c>
      <c r="O862" s="2">
        <v>0</v>
      </c>
      <c r="P862" s="7" t="s">
        <v>28</v>
      </c>
      <c r="Q862" s="1" t="s">
        <v>484</v>
      </c>
      <c r="R862" s="3" t="s">
        <v>45</v>
      </c>
      <c r="S862" s="1" t="s">
        <v>46</v>
      </c>
      <c r="T862" s="4" t="s">
        <v>31</v>
      </c>
      <c r="U862" s="7" t="s">
        <v>32</v>
      </c>
      <c r="V862" s="7" t="s">
        <v>1672</v>
      </c>
      <c r="W862" s="7" t="s">
        <v>89</v>
      </c>
      <c r="X862" s="7" t="s">
        <v>1751</v>
      </c>
      <c r="Y862" s="10">
        <f t="shared" si="27"/>
        <v>540</v>
      </c>
      <c r="AH862" s="5" t="e">
        <f>VLOOKUP(B862,[1]DL!$BK:$BP,6,0)</f>
        <v>#N/A</v>
      </c>
    </row>
    <row r="863" spans="1:34" ht="14.5" hidden="1">
      <c r="A863" s="5">
        <v>860</v>
      </c>
      <c r="B863" s="5" t="str">
        <f t="shared" si="26"/>
        <v>07AAMPB1295N1ZEBE/DW2627S0021</v>
      </c>
      <c r="C863" s="1" t="s">
        <v>1631</v>
      </c>
      <c r="D863" s="1" t="s">
        <v>1632</v>
      </c>
      <c r="E863" s="1" t="s">
        <v>1673</v>
      </c>
      <c r="F863" s="1" t="s">
        <v>24</v>
      </c>
      <c r="G863" s="1" t="s">
        <v>89</v>
      </c>
      <c r="H863" s="2">
        <v>22998</v>
      </c>
      <c r="I863" s="1" t="s">
        <v>44</v>
      </c>
      <c r="J863" s="3" t="s">
        <v>27</v>
      </c>
      <c r="K863" s="2">
        <v>19490</v>
      </c>
      <c r="L863" s="2">
        <v>0</v>
      </c>
      <c r="M863" s="2">
        <v>1754.10</v>
      </c>
      <c r="N863" s="2">
        <v>1754.10</v>
      </c>
      <c r="O863" s="2">
        <v>0</v>
      </c>
      <c r="P863" s="7" t="s">
        <v>28</v>
      </c>
      <c r="Q863" s="1" t="s">
        <v>484</v>
      </c>
      <c r="R863" s="3" t="s">
        <v>45</v>
      </c>
      <c r="S863" s="1" t="s">
        <v>46</v>
      </c>
      <c r="T863" s="4" t="s">
        <v>31</v>
      </c>
      <c r="U863" s="7" t="s">
        <v>32</v>
      </c>
      <c r="V863" s="7" t="s">
        <v>1674</v>
      </c>
      <c r="W863" s="7" t="s">
        <v>89</v>
      </c>
      <c r="X863" s="7" t="s">
        <v>1751</v>
      </c>
      <c r="Y863" s="10">
        <f t="shared" si="27"/>
        <v>3508.1999999999998</v>
      </c>
      <c r="AH863" s="5" t="e">
        <f>VLOOKUP(B863,[1]DL!$BK:$BP,6,0)</f>
        <v>#N/A</v>
      </c>
    </row>
    <row r="864" spans="1:34" ht="14.5" hidden="1">
      <c r="A864" s="5">
        <v>861</v>
      </c>
      <c r="B864" s="5" t="str">
        <f t="shared" si="26"/>
        <v>07AAMPB1295N1ZEBE/NAJ2627S001</v>
      </c>
      <c r="C864" s="1" t="s">
        <v>1631</v>
      </c>
      <c r="D864" s="1" t="s">
        <v>1632</v>
      </c>
      <c r="E864" s="1" t="s">
        <v>1675</v>
      </c>
      <c r="F864" s="1" t="s">
        <v>24</v>
      </c>
      <c r="G864" s="1" t="s">
        <v>125</v>
      </c>
      <c r="H864" s="2">
        <v>31388</v>
      </c>
      <c r="I864" s="1" t="s">
        <v>44</v>
      </c>
      <c r="J864" s="3" t="s">
        <v>27</v>
      </c>
      <c r="K864" s="2">
        <v>26600</v>
      </c>
      <c r="L864" s="2">
        <v>0</v>
      </c>
      <c r="M864" s="2">
        <v>2394</v>
      </c>
      <c r="N864" s="2">
        <v>2394</v>
      </c>
      <c r="O864" s="2">
        <v>0</v>
      </c>
      <c r="P864" s="7" t="s">
        <v>28</v>
      </c>
      <c r="Q864" s="1" t="s">
        <v>484</v>
      </c>
      <c r="R864" s="3" t="s">
        <v>45</v>
      </c>
      <c r="S864" s="1" t="s">
        <v>46</v>
      </c>
      <c r="T864" s="4" t="s">
        <v>31</v>
      </c>
      <c r="U864" s="7" t="s">
        <v>32</v>
      </c>
      <c r="V864" s="7" t="s">
        <v>1676</v>
      </c>
      <c r="W864" s="7" t="s">
        <v>125</v>
      </c>
      <c r="X864" s="7" t="s">
        <v>1751</v>
      </c>
      <c r="Y864" s="10">
        <f t="shared" si="27"/>
        <v>4788</v>
      </c>
      <c r="AH864" s="5" t="e">
        <f>VLOOKUP(B864,[1]DL!$BK:$BP,6,0)</f>
        <v>#N/A</v>
      </c>
    </row>
    <row r="865" spans="1:34" ht="14.5" hidden="1">
      <c r="A865" s="5">
        <v>862</v>
      </c>
      <c r="B865" s="5" t="str">
        <f t="shared" si="26"/>
        <v>07AAMPB1295N1ZEBE/NAJ2627S002</v>
      </c>
      <c r="C865" s="1" t="s">
        <v>1631</v>
      </c>
      <c r="D865" s="1" t="s">
        <v>1632</v>
      </c>
      <c r="E865" s="1" t="s">
        <v>1677</v>
      </c>
      <c r="F865" s="1" t="s">
        <v>24</v>
      </c>
      <c r="G865" s="1" t="s">
        <v>125</v>
      </c>
      <c r="H865" s="2">
        <v>2655</v>
      </c>
      <c r="I865" s="1" t="s">
        <v>44</v>
      </c>
      <c r="J865" s="3" t="s">
        <v>27</v>
      </c>
      <c r="K865" s="2">
        <v>2250</v>
      </c>
      <c r="L865" s="2">
        <v>0</v>
      </c>
      <c r="M865" s="2">
        <v>202.5</v>
      </c>
      <c r="N865" s="2">
        <v>202.5</v>
      </c>
      <c r="O865" s="2">
        <v>0</v>
      </c>
      <c r="P865" s="7" t="s">
        <v>28</v>
      </c>
      <c r="Q865" s="1" t="s">
        <v>484</v>
      </c>
      <c r="R865" s="3" t="s">
        <v>45</v>
      </c>
      <c r="S865" s="1" t="s">
        <v>46</v>
      </c>
      <c r="T865" s="4" t="s">
        <v>31</v>
      </c>
      <c r="U865" s="7" t="s">
        <v>32</v>
      </c>
      <c r="V865" s="7" t="s">
        <v>1678</v>
      </c>
      <c r="W865" s="7" t="s">
        <v>125</v>
      </c>
      <c r="X865" s="7" t="s">
        <v>1751</v>
      </c>
      <c r="Y865" s="10">
        <f t="shared" si="27"/>
        <v>405</v>
      </c>
      <c r="AH865" s="5" t="e">
        <f>VLOOKUP(B865,[1]DL!$BK:$BP,6,0)</f>
        <v>#N/A</v>
      </c>
    </row>
    <row r="866" spans="1:34" ht="14.5" hidden="1">
      <c r="A866" s="5">
        <v>863</v>
      </c>
      <c r="B866" s="5" t="str">
        <f t="shared" si="26"/>
        <v>07AAMPB1295N1ZEBE/NAJ2627S003</v>
      </c>
      <c r="C866" s="1" t="s">
        <v>1631</v>
      </c>
      <c r="D866" s="1" t="s">
        <v>1632</v>
      </c>
      <c r="E866" s="1" t="s">
        <v>1679</v>
      </c>
      <c r="F866" s="1" t="s">
        <v>24</v>
      </c>
      <c r="G866" s="1" t="s">
        <v>89</v>
      </c>
      <c r="H866" s="2">
        <v>9322</v>
      </c>
      <c r="I866" s="1" t="s">
        <v>44</v>
      </c>
      <c r="J866" s="3" t="s">
        <v>27</v>
      </c>
      <c r="K866" s="2">
        <v>7900</v>
      </c>
      <c r="L866" s="2">
        <v>0</v>
      </c>
      <c r="M866" s="2">
        <v>711</v>
      </c>
      <c r="N866" s="2">
        <v>711</v>
      </c>
      <c r="O866" s="2">
        <v>0</v>
      </c>
      <c r="P866" s="7" t="s">
        <v>28</v>
      </c>
      <c r="Q866" s="1" t="s">
        <v>484</v>
      </c>
      <c r="R866" s="3" t="s">
        <v>45</v>
      </c>
      <c r="S866" s="1" t="s">
        <v>46</v>
      </c>
      <c r="T866" s="4" t="s">
        <v>31</v>
      </c>
      <c r="U866" s="7" t="s">
        <v>32</v>
      </c>
      <c r="V866" s="7" t="s">
        <v>1680</v>
      </c>
      <c r="W866" s="7" t="s">
        <v>89</v>
      </c>
      <c r="X866" s="7" t="s">
        <v>1751</v>
      </c>
      <c r="Y866" s="10">
        <f t="shared" si="27"/>
        <v>1422</v>
      </c>
      <c r="AH866" s="5" t="e">
        <f>VLOOKUP(B866,[1]DL!$BK:$BP,6,0)</f>
        <v>#N/A</v>
      </c>
    </row>
    <row r="867" spans="1:34" ht="14.5" hidden="1">
      <c r="A867" s="5">
        <v>864</v>
      </c>
      <c r="B867" s="5" t="str">
        <f t="shared" si="26"/>
        <v>07AAMPB1295N1ZEBE/NAJ2627S004</v>
      </c>
      <c r="C867" s="1" t="s">
        <v>1631</v>
      </c>
      <c r="D867" s="1" t="s">
        <v>1632</v>
      </c>
      <c r="E867" s="1" t="s">
        <v>1681</v>
      </c>
      <c r="F867" s="1" t="s">
        <v>24</v>
      </c>
      <c r="G867" s="1" t="s">
        <v>89</v>
      </c>
      <c r="H867" s="2">
        <v>3186</v>
      </c>
      <c r="I867" s="1" t="s">
        <v>44</v>
      </c>
      <c r="J867" s="3" t="s">
        <v>27</v>
      </c>
      <c r="K867" s="2">
        <v>2700</v>
      </c>
      <c r="L867" s="2">
        <v>0</v>
      </c>
      <c r="M867" s="2">
        <v>243</v>
      </c>
      <c r="N867" s="2">
        <v>243</v>
      </c>
      <c r="O867" s="2">
        <v>0</v>
      </c>
      <c r="P867" s="7" t="s">
        <v>28</v>
      </c>
      <c r="Q867" s="1" t="s">
        <v>484</v>
      </c>
      <c r="R867" s="3" t="s">
        <v>45</v>
      </c>
      <c r="S867" s="1" t="s">
        <v>46</v>
      </c>
      <c r="T867" s="4" t="s">
        <v>31</v>
      </c>
      <c r="U867" s="7" t="s">
        <v>32</v>
      </c>
      <c r="V867" s="7" t="s">
        <v>1682</v>
      </c>
      <c r="W867" s="7" t="s">
        <v>89</v>
      </c>
      <c r="X867" s="7" t="s">
        <v>1751</v>
      </c>
      <c r="Y867" s="10">
        <f t="shared" si="27"/>
        <v>486</v>
      </c>
      <c r="AH867" s="5" t="e">
        <f>VLOOKUP(B867,[1]DL!$BK:$BP,6,0)</f>
        <v>#N/A</v>
      </c>
    </row>
    <row r="868" spans="1:34" ht="14.5" hidden="1">
      <c r="A868" s="5">
        <v>865</v>
      </c>
      <c r="B868" s="5" t="str">
        <f t="shared" si="26"/>
        <v>07AAMPB1295N1ZEBE/NAJ2627S005</v>
      </c>
      <c r="C868" s="1" t="s">
        <v>1631</v>
      </c>
      <c r="D868" s="1" t="s">
        <v>1632</v>
      </c>
      <c r="E868" s="1" t="s">
        <v>1683</v>
      </c>
      <c r="F868" s="1" t="s">
        <v>24</v>
      </c>
      <c r="G868" s="1" t="s">
        <v>89</v>
      </c>
      <c r="H868" s="2">
        <v>590</v>
      </c>
      <c r="I868" s="1" t="s">
        <v>44</v>
      </c>
      <c r="J868" s="3" t="s">
        <v>27</v>
      </c>
      <c r="K868" s="2">
        <v>500</v>
      </c>
      <c r="L868" s="2">
        <v>0</v>
      </c>
      <c r="M868" s="2">
        <v>45</v>
      </c>
      <c r="N868" s="2">
        <v>45</v>
      </c>
      <c r="O868" s="2">
        <v>0</v>
      </c>
      <c r="P868" s="7" t="s">
        <v>28</v>
      </c>
      <c r="Q868" s="1" t="s">
        <v>484</v>
      </c>
      <c r="R868" s="3" t="s">
        <v>45</v>
      </c>
      <c r="S868" s="1" t="s">
        <v>46</v>
      </c>
      <c r="T868" s="4" t="s">
        <v>31</v>
      </c>
      <c r="U868" s="7" t="s">
        <v>32</v>
      </c>
      <c r="V868" s="7" t="s">
        <v>1684</v>
      </c>
      <c r="W868" s="7" t="s">
        <v>89</v>
      </c>
      <c r="X868" s="7" t="s">
        <v>1751</v>
      </c>
      <c r="Y868" s="10">
        <f t="shared" si="27"/>
        <v>90</v>
      </c>
      <c r="AH868" s="5" t="e">
        <f>VLOOKUP(B868,[1]DL!$BK:$BP,6,0)</f>
        <v>#N/A</v>
      </c>
    </row>
    <row r="869" spans="1:34" ht="14.5" hidden="1">
      <c r="A869" s="5">
        <v>866</v>
      </c>
      <c r="B869" s="5" t="str">
        <f t="shared" si="26"/>
        <v>07AAMPB1295N1ZEBE/NAJ2627S006</v>
      </c>
      <c r="C869" s="1" t="s">
        <v>1631</v>
      </c>
      <c r="D869" s="1" t="s">
        <v>1632</v>
      </c>
      <c r="E869" s="1" t="s">
        <v>1685</v>
      </c>
      <c r="F869" s="1" t="s">
        <v>24</v>
      </c>
      <c r="G869" s="1" t="s">
        <v>89</v>
      </c>
      <c r="H869" s="2">
        <v>1534</v>
      </c>
      <c r="I869" s="1" t="s">
        <v>44</v>
      </c>
      <c r="J869" s="3" t="s">
        <v>27</v>
      </c>
      <c r="K869" s="2">
        <v>1300</v>
      </c>
      <c r="L869" s="2">
        <v>0</v>
      </c>
      <c r="M869" s="2">
        <v>117</v>
      </c>
      <c r="N869" s="2">
        <v>117</v>
      </c>
      <c r="O869" s="2">
        <v>0</v>
      </c>
      <c r="P869" s="7" t="s">
        <v>28</v>
      </c>
      <c r="Q869" s="1" t="s">
        <v>484</v>
      </c>
      <c r="R869" s="3" t="s">
        <v>45</v>
      </c>
      <c r="S869" s="1" t="s">
        <v>46</v>
      </c>
      <c r="T869" s="4" t="s">
        <v>31</v>
      </c>
      <c r="U869" s="7" t="s">
        <v>32</v>
      </c>
      <c r="V869" s="7" t="s">
        <v>1686</v>
      </c>
      <c r="W869" s="7" t="s">
        <v>89</v>
      </c>
      <c r="X869" s="7" t="s">
        <v>1751</v>
      </c>
      <c r="Y869" s="10">
        <f t="shared" si="27"/>
        <v>234</v>
      </c>
      <c r="AH869" s="5" t="e">
        <f>VLOOKUP(B869,[1]DL!$BK:$BP,6,0)</f>
        <v>#N/A</v>
      </c>
    </row>
    <row r="870" spans="1:34" ht="14.5" hidden="1">
      <c r="A870" s="5">
        <v>867</v>
      </c>
      <c r="B870" s="5" t="str">
        <f t="shared" si="26"/>
        <v>07AAMPB1295N1ZEBE/NAJ2627S007</v>
      </c>
      <c r="C870" s="1" t="s">
        <v>1631</v>
      </c>
      <c r="D870" s="1" t="s">
        <v>1632</v>
      </c>
      <c r="E870" s="1" t="s">
        <v>1687</v>
      </c>
      <c r="F870" s="1" t="s">
        <v>24</v>
      </c>
      <c r="G870" s="1" t="s">
        <v>89</v>
      </c>
      <c r="H870" s="2">
        <v>4720</v>
      </c>
      <c r="I870" s="1" t="s">
        <v>44</v>
      </c>
      <c r="J870" s="3" t="s">
        <v>27</v>
      </c>
      <c r="K870" s="2">
        <v>4000</v>
      </c>
      <c r="L870" s="2">
        <v>0</v>
      </c>
      <c r="M870" s="2">
        <v>360</v>
      </c>
      <c r="N870" s="2">
        <v>360</v>
      </c>
      <c r="O870" s="2">
        <v>0</v>
      </c>
      <c r="P870" s="7" t="s">
        <v>28</v>
      </c>
      <c r="Q870" s="1" t="s">
        <v>484</v>
      </c>
      <c r="R870" s="3" t="s">
        <v>45</v>
      </c>
      <c r="S870" s="1" t="s">
        <v>46</v>
      </c>
      <c r="T870" s="4" t="s">
        <v>31</v>
      </c>
      <c r="U870" s="7" t="s">
        <v>32</v>
      </c>
      <c r="V870" s="7" t="s">
        <v>1688</v>
      </c>
      <c r="W870" s="7" t="s">
        <v>89</v>
      </c>
      <c r="X870" s="7" t="s">
        <v>1751</v>
      </c>
      <c r="Y870" s="10">
        <f t="shared" si="27"/>
        <v>720</v>
      </c>
      <c r="AH870" s="5" t="e">
        <f>VLOOKUP(B870,[1]DL!$BK:$BP,6,0)</f>
        <v>#N/A</v>
      </c>
    </row>
    <row r="871" spans="1:34" ht="14.5" hidden="1">
      <c r="A871" s="5">
        <v>868</v>
      </c>
      <c r="B871" s="5" t="str">
        <f t="shared" si="26"/>
        <v>07AAMPB1295N1ZEBE/NAJ2627S008</v>
      </c>
      <c r="C871" s="1" t="s">
        <v>1631</v>
      </c>
      <c r="D871" s="1" t="s">
        <v>1632</v>
      </c>
      <c r="E871" s="1" t="s">
        <v>1689</v>
      </c>
      <c r="F871" s="1" t="s">
        <v>24</v>
      </c>
      <c r="G871" s="1" t="s">
        <v>89</v>
      </c>
      <c r="H871" s="2">
        <v>3186</v>
      </c>
      <c r="I871" s="1" t="s">
        <v>44</v>
      </c>
      <c r="J871" s="3" t="s">
        <v>27</v>
      </c>
      <c r="K871" s="2">
        <v>2700</v>
      </c>
      <c r="L871" s="2">
        <v>0</v>
      </c>
      <c r="M871" s="2">
        <v>243</v>
      </c>
      <c r="N871" s="2">
        <v>243</v>
      </c>
      <c r="O871" s="2">
        <v>0</v>
      </c>
      <c r="P871" s="7" t="s">
        <v>28</v>
      </c>
      <c r="Q871" s="1" t="s">
        <v>484</v>
      </c>
      <c r="R871" s="3" t="s">
        <v>45</v>
      </c>
      <c r="S871" s="1" t="s">
        <v>46</v>
      </c>
      <c r="T871" s="4" t="s">
        <v>31</v>
      </c>
      <c r="U871" s="7" t="s">
        <v>32</v>
      </c>
      <c r="V871" s="7" t="s">
        <v>1690</v>
      </c>
      <c r="W871" s="7" t="s">
        <v>89</v>
      </c>
      <c r="X871" s="7" t="s">
        <v>1751</v>
      </c>
      <c r="Y871" s="10">
        <f t="shared" si="27"/>
        <v>486</v>
      </c>
      <c r="AH871" s="5" t="e">
        <f>VLOOKUP(B871,[1]DL!$BK:$BP,6,0)</f>
        <v>#N/A</v>
      </c>
    </row>
    <row r="872" spans="1:34" ht="14.5" hidden="1">
      <c r="A872" s="5">
        <v>869</v>
      </c>
      <c r="B872" s="5" t="str">
        <f t="shared" si="26"/>
        <v>07AAMPB1295N1ZEBE/NAJ2627S009</v>
      </c>
      <c r="C872" s="1" t="s">
        <v>1631</v>
      </c>
      <c r="D872" s="1" t="s">
        <v>1632</v>
      </c>
      <c r="E872" s="1" t="s">
        <v>1691</v>
      </c>
      <c r="F872" s="1" t="s">
        <v>24</v>
      </c>
      <c r="G872" s="1" t="s">
        <v>89</v>
      </c>
      <c r="H872" s="2">
        <v>590</v>
      </c>
      <c r="I872" s="1" t="s">
        <v>44</v>
      </c>
      <c r="J872" s="3" t="s">
        <v>27</v>
      </c>
      <c r="K872" s="2">
        <v>500</v>
      </c>
      <c r="L872" s="2">
        <v>0</v>
      </c>
      <c r="M872" s="2">
        <v>45</v>
      </c>
      <c r="N872" s="2">
        <v>45</v>
      </c>
      <c r="O872" s="2">
        <v>0</v>
      </c>
      <c r="P872" s="7" t="s">
        <v>28</v>
      </c>
      <c r="Q872" s="1" t="s">
        <v>484</v>
      </c>
      <c r="R872" s="3" t="s">
        <v>45</v>
      </c>
      <c r="S872" s="1" t="s">
        <v>46</v>
      </c>
      <c r="T872" s="4" t="s">
        <v>31</v>
      </c>
      <c r="U872" s="7" t="s">
        <v>32</v>
      </c>
      <c r="V872" s="7" t="s">
        <v>1692</v>
      </c>
      <c r="W872" s="7" t="s">
        <v>89</v>
      </c>
      <c r="X872" s="7" t="s">
        <v>1751</v>
      </c>
      <c r="Y872" s="10">
        <f t="shared" si="27"/>
        <v>90</v>
      </c>
      <c r="AH872" s="5" t="e">
        <f>VLOOKUP(B872,[1]DL!$BK:$BP,6,0)</f>
        <v>#N/A</v>
      </c>
    </row>
    <row r="873" spans="1:34" ht="14.5" hidden="1">
      <c r="A873" s="5">
        <v>870</v>
      </c>
      <c r="B873" s="5" t="str">
        <f t="shared" si="26"/>
        <v>07AAMPB1295N1ZEBE/NAJ2627S010</v>
      </c>
      <c r="C873" s="1" t="s">
        <v>1631</v>
      </c>
      <c r="D873" s="1" t="s">
        <v>1632</v>
      </c>
      <c r="E873" s="1" t="s">
        <v>1693</v>
      </c>
      <c r="F873" s="1" t="s">
        <v>24</v>
      </c>
      <c r="G873" s="1" t="s">
        <v>89</v>
      </c>
      <c r="H873" s="2">
        <v>1534</v>
      </c>
      <c r="I873" s="1" t="s">
        <v>44</v>
      </c>
      <c r="J873" s="3" t="s">
        <v>27</v>
      </c>
      <c r="K873" s="2">
        <v>1300</v>
      </c>
      <c r="L873" s="2">
        <v>0</v>
      </c>
      <c r="M873" s="2">
        <v>117</v>
      </c>
      <c r="N873" s="2">
        <v>117</v>
      </c>
      <c r="O873" s="2">
        <v>0</v>
      </c>
      <c r="P873" s="7" t="s">
        <v>28</v>
      </c>
      <c r="Q873" s="1" t="s">
        <v>484</v>
      </c>
      <c r="R873" s="3" t="s">
        <v>45</v>
      </c>
      <c r="S873" s="1" t="s">
        <v>46</v>
      </c>
      <c r="T873" s="4" t="s">
        <v>31</v>
      </c>
      <c r="U873" s="7" t="s">
        <v>32</v>
      </c>
      <c r="V873" s="7" t="s">
        <v>1694</v>
      </c>
      <c r="W873" s="7" t="s">
        <v>89</v>
      </c>
      <c r="X873" s="7" t="s">
        <v>1751</v>
      </c>
      <c r="Y873" s="10">
        <f t="shared" si="27"/>
        <v>234</v>
      </c>
      <c r="AH873" s="5" t="e">
        <f>VLOOKUP(B873,[1]DL!$BK:$BP,6,0)</f>
        <v>#N/A</v>
      </c>
    </row>
    <row r="874" spans="1:34" ht="14.5" hidden="1">
      <c r="A874" s="5">
        <v>871</v>
      </c>
      <c r="B874" s="5" t="str">
        <f t="shared" si="26"/>
        <v>07AAMPB1295N1ZEBE/NAJ2627S011</v>
      </c>
      <c r="C874" s="1" t="s">
        <v>1631</v>
      </c>
      <c r="D874" s="1" t="s">
        <v>1632</v>
      </c>
      <c r="E874" s="1" t="s">
        <v>1695</v>
      </c>
      <c r="F874" s="1" t="s">
        <v>24</v>
      </c>
      <c r="G874" s="1" t="s">
        <v>89</v>
      </c>
      <c r="H874" s="2">
        <v>4720</v>
      </c>
      <c r="I874" s="1" t="s">
        <v>44</v>
      </c>
      <c r="J874" s="3" t="s">
        <v>27</v>
      </c>
      <c r="K874" s="2">
        <v>4000</v>
      </c>
      <c r="L874" s="2">
        <v>0</v>
      </c>
      <c r="M874" s="2">
        <v>360</v>
      </c>
      <c r="N874" s="2">
        <v>360</v>
      </c>
      <c r="O874" s="2">
        <v>0</v>
      </c>
      <c r="P874" s="7" t="s">
        <v>28</v>
      </c>
      <c r="Q874" s="1" t="s">
        <v>484</v>
      </c>
      <c r="R874" s="3" t="s">
        <v>45</v>
      </c>
      <c r="S874" s="1" t="s">
        <v>46</v>
      </c>
      <c r="T874" s="4" t="s">
        <v>31</v>
      </c>
      <c r="U874" s="7" t="s">
        <v>32</v>
      </c>
      <c r="V874" s="7" t="s">
        <v>1696</v>
      </c>
      <c r="W874" s="7" t="s">
        <v>89</v>
      </c>
      <c r="X874" s="7" t="s">
        <v>1751</v>
      </c>
      <c r="Y874" s="10">
        <f t="shared" si="27"/>
        <v>720</v>
      </c>
      <c r="AH874" s="5" t="e">
        <f>VLOOKUP(B874,[1]DL!$BK:$BP,6,0)</f>
        <v>#N/A</v>
      </c>
    </row>
    <row r="875" spans="1:34" ht="14.5" hidden="1">
      <c r="A875" s="5">
        <v>872</v>
      </c>
      <c r="B875" s="5" t="str">
        <f t="shared" si="26"/>
        <v>07AAMPB1295N1ZEBE/NAJ2627S012</v>
      </c>
      <c r="C875" s="1" t="s">
        <v>1631</v>
      </c>
      <c r="D875" s="1" t="s">
        <v>1632</v>
      </c>
      <c r="E875" s="1" t="s">
        <v>1697</v>
      </c>
      <c r="F875" s="1" t="s">
        <v>24</v>
      </c>
      <c r="G875" s="1" t="s">
        <v>89</v>
      </c>
      <c r="H875" s="2">
        <v>3186</v>
      </c>
      <c r="I875" s="1" t="s">
        <v>44</v>
      </c>
      <c r="J875" s="3" t="s">
        <v>27</v>
      </c>
      <c r="K875" s="2">
        <v>2700</v>
      </c>
      <c r="L875" s="2">
        <v>0</v>
      </c>
      <c r="M875" s="2">
        <v>243</v>
      </c>
      <c r="N875" s="2">
        <v>243</v>
      </c>
      <c r="O875" s="2">
        <v>0</v>
      </c>
      <c r="P875" s="7" t="s">
        <v>28</v>
      </c>
      <c r="Q875" s="1" t="s">
        <v>484</v>
      </c>
      <c r="R875" s="3" t="s">
        <v>45</v>
      </c>
      <c r="S875" s="1" t="s">
        <v>46</v>
      </c>
      <c r="T875" s="4" t="s">
        <v>31</v>
      </c>
      <c r="U875" s="7" t="s">
        <v>32</v>
      </c>
      <c r="V875" s="7" t="s">
        <v>1698</v>
      </c>
      <c r="W875" s="7" t="s">
        <v>89</v>
      </c>
      <c r="X875" s="7" t="s">
        <v>1751</v>
      </c>
      <c r="Y875" s="10">
        <f t="shared" si="27"/>
        <v>486</v>
      </c>
      <c r="AH875" s="5" t="e">
        <f>VLOOKUP(B875,[1]DL!$BK:$BP,6,0)</f>
        <v>#N/A</v>
      </c>
    </row>
    <row r="876" spans="1:34" ht="14.5" hidden="1">
      <c r="A876" s="5">
        <v>873</v>
      </c>
      <c r="B876" s="5" t="str">
        <f t="shared" si="26"/>
        <v>07AAMPB1295N1ZEBE/NAJ2627S013</v>
      </c>
      <c r="C876" s="1" t="s">
        <v>1631</v>
      </c>
      <c r="D876" s="1" t="s">
        <v>1632</v>
      </c>
      <c r="E876" s="1" t="s">
        <v>1699</v>
      </c>
      <c r="F876" s="1" t="s">
        <v>24</v>
      </c>
      <c r="G876" s="1" t="s">
        <v>89</v>
      </c>
      <c r="H876" s="2">
        <v>590</v>
      </c>
      <c r="I876" s="1" t="s">
        <v>44</v>
      </c>
      <c r="J876" s="3" t="s">
        <v>27</v>
      </c>
      <c r="K876" s="2">
        <v>500</v>
      </c>
      <c r="L876" s="2">
        <v>0</v>
      </c>
      <c r="M876" s="2">
        <v>45</v>
      </c>
      <c r="N876" s="2">
        <v>45</v>
      </c>
      <c r="O876" s="2">
        <v>0</v>
      </c>
      <c r="P876" s="7" t="s">
        <v>28</v>
      </c>
      <c r="Q876" s="1" t="s">
        <v>484</v>
      </c>
      <c r="R876" s="3" t="s">
        <v>45</v>
      </c>
      <c r="S876" s="1" t="s">
        <v>46</v>
      </c>
      <c r="T876" s="4" t="s">
        <v>31</v>
      </c>
      <c r="U876" s="7" t="s">
        <v>32</v>
      </c>
      <c r="V876" s="7" t="s">
        <v>1700</v>
      </c>
      <c r="W876" s="7" t="s">
        <v>89</v>
      </c>
      <c r="X876" s="7" t="s">
        <v>1751</v>
      </c>
      <c r="Y876" s="10">
        <f t="shared" si="27"/>
        <v>90</v>
      </c>
      <c r="AH876" s="5" t="e">
        <f>VLOOKUP(B876,[1]DL!$BK:$BP,6,0)</f>
        <v>#N/A</v>
      </c>
    </row>
    <row r="877" spans="1:34" ht="14.5" hidden="1">
      <c r="A877" s="5">
        <v>874</v>
      </c>
      <c r="B877" s="5" t="str">
        <f t="shared" si="26"/>
        <v>07AAMPB1295N1ZEBE/NAJ2627S014</v>
      </c>
      <c r="C877" s="1" t="s">
        <v>1631</v>
      </c>
      <c r="D877" s="1" t="s">
        <v>1632</v>
      </c>
      <c r="E877" s="1" t="s">
        <v>1701</v>
      </c>
      <c r="F877" s="1" t="s">
        <v>24</v>
      </c>
      <c r="G877" s="1" t="s">
        <v>89</v>
      </c>
      <c r="H877" s="2">
        <v>1534</v>
      </c>
      <c r="I877" s="1" t="s">
        <v>44</v>
      </c>
      <c r="J877" s="3" t="s">
        <v>27</v>
      </c>
      <c r="K877" s="2">
        <v>1300</v>
      </c>
      <c r="L877" s="2">
        <v>0</v>
      </c>
      <c r="M877" s="2">
        <v>117</v>
      </c>
      <c r="N877" s="2">
        <v>117</v>
      </c>
      <c r="O877" s="2">
        <v>0</v>
      </c>
      <c r="P877" s="7" t="s">
        <v>28</v>
      </c>
      <c r="Q877" s="1" t="s">
        <v>484</v>
      </c>
      <c r="R877" s="3" t="s">
        <v>45</v>
      </c>
      <c r="S877" s="1" t="s">
        <v>46</v>
      </c>
      <c r="T877" s="4" t="s">
        <v>31</v>
      </c>
      <c r="U877" s="7" t="s">
        <v>32</v>
      </c>
      <c r="V877" s="7" t="s">
        <v>1702</v>
      </c>
      <c r="W877" s="7" t="s">
        <v>89</v>
      </c>
      <c r="X877" s="7" t="s">
        <v>1751</v>
      </c>
      <c r="Y877" s="10">
        <f t="shared" si="27"/>
        <v>234</v>
      </c>
      <c r="AH877" s="5" t="e">
        <f>VLOOKUP(B877,[1]DL!$BK:$BP,6,0)</f>
        <v>#N/A</v>
      </c>
    </row>
    <row r="878" spans="1:34" ht="14.5" hidden="1">
      <c r="A878" s="5">
        <v>875</v>
      </c>
      <c r="B878" s="5" t="str">
        <f t="shared" si="26"/>
        <v>07AAMPB1295N1ZEBE/NAJ2627S015</v>
      </c>
      <c r="C878" s="1" t="s">
        <v>1631</v>
      </c>
      <c r="D878" s="1" t="s">
        <v>1632</v>
      </c>
      <c r="E878" s="1" t="s">
        <v>1703</v>
      </c>
      <c r="F878" s="1" t="s">
        <v>24</v>
      </c>
      <c r="G878" s="1" t="s">
        <v>89</v>
      </c>
      <c r="H878" s="2">
        <v>5900</v>
      </c>
      <c r="I878" s="1" t="s">
        <v>44</v>
      </c>
      <c r="J878" s="3" t="s">
        <v>27</v>
      </c>
      <c r="K878" s="2">
        <v>5000</v>
      </c>
      <c r="L878" s="2">
        <v>0</v>
      </c>
      <c r="M878" s="2">
        <v>450</v>
      </c>
      <c r="N878" s="2">
        <v>450</v>
      </c>
      <c r="O878" s="2">
        <v>0</v>
      </c>
      <c r="P878" s="7" t="s">
        <v>28</v>
      </c>
      <c r="Q878" s="1" t="s">
        <v>484</v>
      </c>
      <c r="R878" s="3" t="s">
        <v>45</v>
      </c>
      <c r="S878" s="1" t="s">
        <v>46</v>
      </c>
      <c r="T878" s="4" t="s">
        <v>31</v>
      </c>
      <c r="U878" s="7" t="s">
        <v>32</v>
      </c>
      <c r="V878" s="7" t="s">
        <v>1704</v>
      </c>
      <c r="W878" s="7" t="s">
        <v>89</v>
      </c>
      <c r="X878" s="7" t="s">
        <v>1751</v>
      </c>
      <c r="Y878" s="10">
        <f t="shared" si="27"/>
        <v>900</v>
      </c>
      <c r="AH878" s="5" t="e">
        <f>VLOOKUP(B878,[1]DL!$BK:$BP,6,0)</f>
        <v>#N/A</v>
      </c>
    </row>
    <row r="879" spans="1:34" ht="14.5" hidden="1">
      <c r="A879" s="5">
        <v>876</v>
      </c>
      <c r="B879" s="5" t="str">
        <f t="shared" si="26"/>
        <v>07AAMPB1295N1ZEBE/NAJ2627S016</v>
      </c>
      <c r="C879" s="1" t="s">
        <v>1631</v>
      </c>
      <c r="D879" s="1" t="s">
        <v>1632</v>
      </c>
      <c r="E879" s="1" t="s">
        <v>1705</v>
      </c>
      <c r="F879" s="1" t="s">
        <v>24</v>
      </c>
      <c r="G879" s="1" t="s">
        <v>89</v>
      </c>
      <c r="H879" s="2">
        <v>2950</v>
      </c>
      <c r="I879" s="1" t="s">
        <v>44</v>
      </c>
      <c r="J879" s="3" t="s">
        <v>27</v>
      </c>
      <c r="K879" s="2">
        <v>2500</v>
      </c>
      <c r="L879" s="2">
        <v>0</v>
      </c>
      <c r="M879" s="2">
        <v>225</v>
      </c>
      <c r="N879" s="2">
        <v>225</v>
      </c>
      <c r="O879" s="2">
        <v>0</v>
      </c>
      <c r="P879" s="7" t="s">
        <v>28</v>
      </c>
      <c r="Q879" s="1" t="s">
        <v>484</v>
      </c>
      <c r="R879" s="3" t="s">
        <v>45</v>
      </c>
      <c r="S879" s="1" t="s">
        <v>46</v>
      </c>
      <c r="T879" s="4" t="s">
        <v>31</v>
      </c>
      <c r="U879" s="7" t="s">
        <v>32</v>
      </c>
      <c r="V879" s="7" t="s">
        <v>1706</v>
      </c>
      <c r="W879" s="7" t="s">
        <v>89</v>
      </c>
      <c r="X879" s="7" t="s">
        <v>1751</v>
      </c>
      <c r="Y879" s="10">
        <f t="shared" si="27"/>
        <v>450</v>
      </c>
      <c r="AH879" s="5" t="e">
        <f>VLOOKUP(B879,[1]DL!$BK:$BP,6,0)</f>
        <v>#N/A</v>
      </c>
    </row>
    <row r="880" spans="1:34" ht="14.5" hidden="1">
      <c r="A880" s="5">
        <v>877</v>
      </c>
      <c r="B880" s="5" t="str">
        <f t="shared" si="26"/>
        <v>07AAMPB1295N1ZEBE/NAJ2627S017</v>
      </c>
      <c r="C880" s="1" t="s">
        <v>1631</v>
      </c>
      <c r="D880" s="1" t="s">
        <v>1632</v>
      </c>
      <c r="E880" s="1" t="s">
        <v>1707</v>
      </c>
      <c r="F880" s="1" t="s">
        <v>24</v>
      </c>
      <c r="G880" s="1" t="s">
        <v>89</v>
      </c>
      <c r="H880" s="2">
        <v>2360</v>
      </c>
      <c r="I880" s="1" t="s">
        <v>44</v>
      </c>
      <c r="J880" s="3" t="s">
        <v>27</v>
      </c>
      <c r="K880" s="2">
        <v>2000</v>
      </c>
      <c r="L880" s="2">
        <v>0</v>
      </c>
      <c r="M880" s="2">
        <v>180</v>
      </c>
      <c r="N880" s="2">
        <v>180</v>
      </c>
      <c r="O880" s="2">
        <v>0</v>
      </c>
      <c r="P880" s="7" t="s">
        <v>28</v>
      </c>
      <c r="Q880" s="1" t="s">
        <v>484</v>
      </c>
      <c r="R880" s="3" t="s">
        <v>45</v>
      </c>
      <c r="S880" s="1" t="s">
        <v>46</v>
      </c>
      <c r="T880" s="4" t="s">
        <v>31</v>
      </c>
      <c r="U880" s="7" t="s">
        <v>32</v>
      </c>
      <c r="V880" s="7" t="s">
        <v>1708</v>
      </c>
      <c r="W880" s="7" t="s">
        <v>89</v>
      </c>
      <c r="X880" s="7" t="s">
        <v>1751</v>
      </c>
      <c r="Y880" s="10">
        <f t="shared" si="27"/>
        <v>360</v>
      </c>
      <c r="AH880" s="5" t="e">
        <f>VLOOKUP(B880,[1]DL!$BK:$BP,6,0)</f>
        <v>#N/A</v>
      </c>
    </row>
    <row r="881" spans="1:34" ht="14.5" hidden="1">
      <c r="A881" s="5">
        <v>878</v>
      </c>
      <c r="B881" s="5" t="str">
        <f t="shared" si="26"/>
        <v>07AAMPB1295N1ZEBE/NAJ2627S018</v>
      </c>
      <c r="C881" s="1" t="s">
        <v>1631</v>
      </c>
      <c r="D881" s="1" t="s">
        <v>1632</v>
      </c>
      <c r="E881" s="1" t="s">
        <v>1709</v>
      </c>
      <c r="F881" s="1" t="s">
        <v>24</v>
      </c>
      <c r="G881" s="1" t="s">
        <v>128</v>
      </c>
      <c r="H881" s="2">
        <v>2950</v>
      </c>
      <c r="I881" s="1" t="s">
        <v>44</v>
      </c>
      <c r="J881" s="3" t="s">
        <v>27</v>
      </c>
      <c r="K881" s="2">
        <v>2500</v>
      </c>
      <c r="L881" s="2">
        <v>0</v>
      </c>
      <c r="M881" s="2">
        <v>225</v>
      </c>
      <c r="N881" s="2">
        <v>225</v>
      </c>
      <c r="O881" s="2">
        <v>0</v>
      </c>
      <c r="P881" s="7" t="s">
        <v>28</v>
      </c>
      <c r="Q881" s="1" t="s">
        <v>484</v>
      </c>
      <c r="R881" s="3" t="s">
        <v>45</v>
      </c>
      <c r="S881" s="1" t="s">
        <v>46</v>
      </c>
      <c r="T881" s="4" t="s">
        <v>31</v>
      </c>
      <c r="U881" s="7" t="s">
        <v>32</v>
      </c>
      <c r="V881" s="7" t="s">
        <v>1710</v>
      </c>
      <c r="W881" s="7" t="s">
        <v>128</v>
      </c>
      <c r="X881" s="7" t="s">
        <v>1751</v>
      </c>
      <c r="Y881" s="10">
        <f t="shared" si="27"/>
        <v>450</v>
      </c>
      <c r="AH881" s="5" t="e">
        <f>VLOOKUP(B881,[1]DL!$BK:$BP,6,0)</f>
        <v>#N/A</v>
      </c>
    </row>
    <row r="882" spans="1:34" ht="14.5" hidden="1">
      <c r="A882" s="5">
        <v>879</v>
      </c>
      <c r="B882" s="5" t="str">
        <f t="shared" si="26"/>
        <v>07AAMPB1295N1ZEBE/NZ2627S001</v>
      </c>
      <c r="C882" s="1" t="s">
        <v>1631</v>
      </c>
      <c r="D882" s="1" t="s">
        <v>1632</v>
      </c>
      <c r="E882" s="1" t="s">
        <v>1711</v>
      </c>
      <c r="F882" s="1" t="s">
        <v>24</v>
      </c>
      <c r="G882" s="1" t="s">
        <v>420</v>
      </c>
      <c r="H882" s="2">
        <v>100436</v>
      </c>
      <c r="I882" s="1" t="s">
        <v>44</v>
      </c>
      <c r="J882" s="3" t="s">
        <v>27</v>
      </c>
      <c r="K882" s="2">
        <v>85115</v>
      </c>
      <c r="L882" s="2">
        <v>0</v>
      </c>
      <c r="M882" s="2">
        <v>7660.35</v>
      </c>
      <c r="N882" s="2">
        <v>7660.35</v>
      </c>
      <c r="O882" s="2">
        <v>0</v>
      </c>
      <c r="P882" s="7" t="s">
        <v>28</v>
      </c>
      <c r="Q882" s="1" t="s">
        <v>484</v>
      </c>
      <c r="R882" s="3" t="s">
        <v>45</v>
      </c>
      <c r="S882" s="1" t="s">
        <v>46</v>
      </c>
      <c r="T882" s="4" t="s">
        <v>31</v>
      </c>
      <c r="U882" s="7" t="s">
        <v>32</v>
      </c>
      <c r="V882" s="7" t="s">
        <v>1712</v>
      </c>
      <c r="W882" s="7" t="s">
        <v>420</v>
      </c>
      <c r="X882" s="7" t="s">
        <v>1751</v>
      </c>
      <c r="Y882" s="10">
        <f t="shared" si="27"/>
        <v>15320.700000000001</v>
      </c>
      <c r="AH882" s="5" t="e">
        <f>VLOOKUP(B882,[1]DL!$BK:$BP,6,0)</f>
        <v>#N/A</v>
      </c>
    </row>
    <row r="883" spans="1:34" ht="14.5" hidden="1">
      <c r="A883" s="5">
        <v>880</v>
      </c>
      <c r="B883" s="5" t="str">
        <f t="shared" si="26"/>
        <v>07AAMPB1295N1ZEBE/NZ2627S002</v>
      </c>
      <c r="C883" s="1" t="s">
        <v>1631</v>
      </c>
      <c r="D883" s="1" t="s">
        <v>1632</v>
      </c>
      <c r="E883" s="1" t="s">
        <v>1713</v>
      </c>
      <c r="F883" s="1" t="s">
        <v>24</v>
      </c>
      <c r="G883" s="1" t="s">
        <v>420</v>
      </c>
      <c r="H883" s="2">
        <v>10001</v>
      </c>
      <c r="I883" s="1" t="s">
        <v>44</v>
      </c>
      <c r="J883" s="3" t="s">
        <v>27</v>
      </c>
      <c r="K883" s="2">
        <v>8475</v>
      </c>
      <c r="L883" s="2">
        <v>0</v>
      </c>
      <c r="M883" s="2">
        <v>762.75</v>
      </c>
      <c r="N883" s="2">
        <v>762.75</v>
      </c>
      <c r="O883" s="2">
        <v>0</v>
      </c>
      <c r="P883" s="7" t="s">
        <v>28</v>
      </c>
      <c r="Q883" s="1" t="s">
        <v>484</v>
      </c>
      <c r="R883" s="3" t="s">
        <v>45</v>
      </c>
      <c r="S883" s="1" t="s">
        <v>46</v>
      </c>
      <c r="T883" s="4" t="s">
        <v>31</v>
      </c>
      <c r="U883" s="7" t="s">
        <v>32</v>
      </c>
      <c r="V883" s="7" t="s">
        <v>1714</v>
      </c>
      <c r="W883" s="7" t="s">
        <v>420</v>
      </c>
      <c r="X883" s="7" t="s">
        <v>1751</v>
      </c>
      <c r="Y883" s="10">
        <f t="shared" si="27"/>
        <v>1525.5</v>
      </c>
      <c r="AH883" s="5" t="e">
        <f>VLOOKUP(B883,[1]DL!$BK:$BP,6,0)</f>
        <v>#N/A</v>
      </c>
    </row>
    <row r="884" spans="1:34" ht="14.5">
      <c r="A884" s="5">
        <v>881</v>
      </c>
      <c r="B884" s="5" t="str">
        <f t="shared" si="26"/>
        <v>07CNVPS1539L1Z41791</v>
      </c>
      <c r="C884" s="1" t="s">
        <v>1715</v>
      </c>
      <c r="D884" s="1" t="s">
        <v>1716</v>
      </c>
      <c r="E884" s="1" t="s">
        <v>1717</v>
      </c>
      <c r="F884" s="1" t="s">
        <v>24</v>
      </c>
      <c r="G884" s="1" t="s">
        <v>1718</v>
      </c>
      <c r="H884" s="2">
        <v>46880</v>
      </c>
      <c r="I884" s="1" t="s">
        <v>44</v>
      </c>
      <c r="J884" s="3" t="s">
        <v>27</v>
      </c>
      <c r="K884" s="2">
        <v>39729</v>
      </c>
      <c r="L884" s="2">
        <v>0</v>
      </c>
      <c r="M884" s="2">
        <v>3575.61</v>
      </c>
      <c r="N884" s="2">
        <v>3575.61</v>
      </c>
      <c r="O884" s="2">
        <v>0</v>
      </c>
      <c r="P884" s="7" t="s">
        <v>203</v>
      </c>
      <c r="Q884" s="1" t="s">
        <v>128</v>
      </c>
      <c r="R884" s="3" t="s">
        <v>45</v>
      </c>
      <c r="S884" s="1" t="s">
        <v>46</v>
      </c>
      <c r="T884" s="4" t="s">
        <v>31</v>
      </c>
      <c r="U884" s="7" t="s">
        <v>46</v>
      </c>
      <c r="V884" s="7" t="s">
        <v>46</v>
      </c>
      <c r="W884" s="7" t="s">
        <v>46</v>
      </c>
      <c r="X884" s="7" t="s">
        <v>1751</v>
      </c>
      <c r="Y884" s="10">
        <f t="shared" si="27"/>
        <v>7151.2200000000003</v>
      </c>
      <c r="Z884" s="5">
        <v>8977074</v>
      </c>
      <c r="AA884" s="5" t="s">
        <v>1922</v>
      </c>
      <c r="AB884" s="5" t="s">
        <v>1751</v>
      </c>
      <c r="AC884" s="5" t="s">
        <v>1924</v>
      </c>
      <c r="AE884" s="5" t="s">
        <v>1923</v>
      </c>
      <c r="AH884" s="5">
        <f>VLOOKUP(B884,[1]DL!$BK:$BP,6,0)</f>
        <v>8977074</v>
      </c>
    </row>
    <row r="885" spans="1:34" ht="14.5" hidden="1">
      <c r="A885" s="5">
        <v>882</v>
      </c>
      <c r="B885" s="5" t="str">
        <f t="shared" si="26"/>
        <v>27AAFCA3559A1ZZBLMH2627000207</v>
      </c>
      <c r="C885" s="1" t="s">
        <v>1719</v>
      </c>
      <c r="D885" s="1" t="s">
        <v>1227</v>
      </c>
      <c r="E885" s="1" t="s">
        <v>1720</v>
      </c>
      <c r="F885" s="1" t="s">
        <v>24</v>
      </c>
      <c r="G885" s="1" t="s">
        <v>93</v>
      </c>
      <c r="H885" s="2">
        <v>30895.04</v>
      </c>
      <c r="I885" s="1" t="s">
        <v>44</v>
      </c>
      <c r="J885" s="3" t="s">
        <v>27</v>
      </c>
      <c r="K885" s="2">
        <v>26182.24</v>
      </c>
      <c r="L885" s="2">
        <v>4712.80</v>
      </c>
      <c r="M885" s="2">
        <v>0</v>
      </c>
      <c r="N885" s="2">
        <v>0</v>
      </c>
      <c r="O885" s="2">
        <v>0</v>
      </c>
      <c r="P885" s="7" t="s">
        <v>28</v>
      </c>
      <c r="Q885" s="1" t="s">
        <v>29</v>
      </c>
      <c r="R885" s="3" t="s">
        <v>45</v>
      </c>
      <c r="S885" s="1" t="s">
        <v>46</v>
      </c>
      <c r="T885" s="4" t="s">
        <v>31</v>
      </c>
      <c r="U885" s="7" t="s">
        <v>46</v>
      </c>
      <c r="V885" s="7" t="s">
        <v>46</v>
      </c>
      <c r="W885" s="7" t="s">
        <v>46</v>
      </c>
      <c r="X885" s="7" t="s">
        <v>1751</v>
      </c>
      <c r="Y885" s="10">
        <f t="shared" si="27"/>
        <v>4712.8000000000002</v>
      </c>
      <c r="AH885" s="5" t="e">
        <f>VLOOKUP(B885,[1]DL!$BK:$BP,6,0)</f>
        <v>#N/A</v>
      </c>
    </row>
    <row r="886" spans="1:34" ht="14.5" hidden="1">
      <c r="A886" s="5">
        <v>883</v>
      </c>
      <c r="B886" s="5" t="str">
        <f t="shared" si="26"/>
        <v>27AAFCA3559A1ZZBLMH2627000208</v>
      </c>
      <c r="C886" s="1" t="s">
        <v>1719</v>
      </c>
      <c r="D886" s="1" t="s">
        <v>1227</v>
      </c>
      <c r="E886" s="1" t="s">
        <v>1721</v>
      </c>
      <c r="F886" s="1" t="s">
        <v>24</v>
      </c>
      <c r="G886" s="1" t="s">
        <v>93</v>
      </c>
      <c r="H886" s="2">
        <v>49560</v>
      </c>
      <c r="I886" s="1" t="s">
        <v>44</v>
      </c>
      <c r="J886" s="3" t="s">
        <v>27</v>
      </c>
      <c r="K886" s="2">
        <v>42000</v>
      </c>
      <c r="L886" s="2">
        <v>7560</v>
      </c>
      <c r="M886" s="2">
        <v>0</v>
      </c>
      <c r="N886" s="2">
        <v>0</v>
      </c>
      <c r="O886" s="2">
        <v>0</v>
      </c>
      <c r="P886" s="7" t="s">
        <v>28</v>
      </c>
      <c r="Q886" s="1" t="s">
        <v>29</v>
      </c>
      <c r="R886" s="3" t="s">
        <v>45</v>
      </c>
      <c r="S886" s="1" t="s">
        <v>46</v>
      </c>
      <c r="T886" s="4" t="s">
        <v>31</v>
      </c>
      <c r="U886" s="7" t="s">
        <v>46</v>
      </c>
      <c r="V886" s="7" t="s">
        <v>46</v>
      </c>
      <c r="W886" s="7" t="s">
        <v>46</v>
      </c>
      <c r="X886" s="7" t="s">
        <v>1751</v>
      </c>
      <c r="Y886" s="10">
        <f t="shared" si="27"/>
        <v>7560</v>
      </c>
      <c r="AH886" s="5" t="e">
        <f>VLOOKUP(B886,[1]DL!$BK:$BP,6,0)</f>
        <v>#N/A</v>
      </c>
    </row>
    <row r="887" spans="1:34" ht="14.5" hidden="1">
      <c r="A887" s="5">
        <v>884</v>
      </c>
      <c r="B887" s="5" t="str">
        <f t="shared" si="26"/>
        <v>27AAFCA3559A1ZZBLMH2627000294</v>
      </c>
      <c r="C887" s="1" t="s">
        <v>1719</v>
      </c>
      <c r="D887" s="1" t="s">
        <v>1227</v>
      </c>
      <c r="E887" s="1" t="s">
        <v>1722</v>
      </c>
      <c r="F887" s="1" t="s">
        <v>24</v>
      </c>
      <c r="G887" s="1" t="s">
        <v>43</v>
      </c>
      <c r="H887" s="2">
        <v>49560</v>
      </c>
      <c r="I887" s="1" t="s">
        <v>44</v>
      </c>
      <c r="J887" s="3" t="s">
        <v>27</v>
      </c>
      <c r="K887" s="2">
        <v>42000</v>
      </c>
      <c r="L887" s="2">
        <v>7560</v>
      </c>
      <c r="M887" s="2">
        <v>0</v>
      </c>
      <c r="N887" s="2">
        <v>0</v>
      </c>
      <c r="O887" s="2">
        <v>0</v>
      </c>
      <c r="P887" s="7" t="s">
        <v>28</v>
      </c>
      <c r="Q887" s="1" t="s">
        <v>29</v>
      </c>
      <c r="R887" s="3" t="s">
        <v>45</v>
      </c>
      <c r="S887" s="1" t="s">
        <v>46</v>
      </c>
      <c r="T887" s="4" t="s">
        <v>31</v>
      </c>
      <c r="U887" s="7" t="s">
        <v>46</v>
      </c>
      <c r="V887" s="7" t="s">
        <v>46</v>
      </c>
      <c r="W887" s="7" t="s">
        <v>46</v>
      </c>
      <c r="X887" s="7" t="s">
        <v>1751</v>
      </c>
      <c r="Y887" s="10">
        <f t="shared" si="27"/>
        <v>7560</v>
      </c>
      <c r="AH887" s="5" t="e">
        <f>VLOOKUP(B887,[1]DL!$BK:$BP,6,0)</f>
        <v>#N/A</v>
      </c>
    </row>
    <row r="888" spans="1:34" ht="14.5" hidden="1">
      <c r="A888" s="5">
        <v>885</v>
      </c>
      <c r="B888" s="5" t="str">
        <f t="shared" si="26"/>
        <v>07AABCB5576G1ZNNDCDL2600367268</v>
      </c>
      <c r="C888" s="1" t="s">
        <v>1723</v>
      </c>
      <c r="D888" s="1" t="s">
        <v>1724</v>
      </c>
      <c r="E888" s="1" t="s">
        <v>1725</v>
      </c>
      <c r="F888" s="1" t="s">
        <v>24</v>
      </c>
      <c r="G888" s="1" t="s">
        <v>43</v>
      </c>
      <c r="H888" s="2">
        <v>501.5</v>
      </c>
      <c r="I888" s="1" t="s">
        <v>44</v>
      </c>
      <c r="J888" s="3" t="s">
        <v>27</v>
      </c>
      <c r="K888" s="2">
        <v>425</v>
      </c>
      <c r="L888" s="2">
        <v>0</v>
      </c>
      <c r="M888" s="2">
        <v>38.25</v>
      </c>
      <c r="N888" s="2">
        <v>38.25</v>
      </c>
      <c r="O888" s="2">
        <v>0</v>
      </c>
      <c r="P888" s="7" t="s">
        <v>28</v>
      </c>
      <c r="Q888" s="1" t="s">
        <v>29</v>
      </c>
      <c r="R888" s="3" t="s">
        <v>45</v>
      </c>
      <c r="S888" s="1" t="s">
        <v>46</v>
      </c>
      <c r="T888" s="4" t="s">
        <v>31</v>
      </c>
      <c r="U888" s="7" t="s">
        <v>46</v>
      </c>
      <c r="V888" s="7" t="s">
        <v>46</v>
      </c>
      <c r="W888" s="7" t="s">
        <v>46</v>
      </c>
      <c r="X888" s="7" t="s">
        <v>1751</v>
      </c>
      <c r="Y888" s="10">
        <f t="shared" si="27"/>
        <v>76.5</v>
      </c>
      <c r="AH888" s="5" t="e">
        <f>VLOOKUP(B888,[1]DL!$BK:$BP,6,0)</f>
        <v>#N/A</v>
      </c>
    </row>
    <row r="889" spans="1:34" ht="14.5" hidden="1">
      <c r="A889" s="5">
        <v>886</v>
      </c>
      <c r="B889" s="5" t="str">
        <f t="shared" si="26"/>
        <v>07AABCB5576G1ZNNDCDL2600367354</v>
      </c>
      <c r="C889" s="1" t="s">
        <v>1723</v>
      </c>
      <c r="D889" s="1" t="s">
        <v>1724</v>
      </c>
      <c r="E889" s="1" t="s">
        <v>1726</v>
      </c>
      <c r="F889" s="1" t="s">
        <v>24</v>
      </c>
      <c r="G889" s="1" t="s">
        <v>43</v>
      </c>
      <c r="H889" s="2">
        <v>501.5</v>
      </c>
      <c r="I889" s="1" t="s">
        <v>44</v>
      </c>
      <c r="J889" s="3" t="s">
        <v>27</v>
      </c>
      <c r="K889" s="2">
        <v>425</v>
      </c>
      <c r="L889" s="2">
        <v>0</v>
      </c>
      <c r="M889" s="2">
        <v>38.25</v>
      </c>
      <c r="N889" s="2">
        <v>38.25</v>
      </c>
      <c r="O889" s="2">
        <v>0</v>
      </c>
      <c r="P889" s="7" t="s">
        <v>28</v>
      </c>
      <c r="Q889" s="1" t="s">
        <v>29</v>
      </c>
      <c r="R889" s="3" t="s">
        <v>45</v>
      </c>
      <c r="S889" s="1" t="s">
        <v>46</v>
      </c>
      <c r="T889" s="4" t="s">
        <v>31</v>
      </c>
      <c r="U889" s="7" t="s">
        <v>46</v>
      </c>
      <c r="V889" s="7" t="s">
        <v>46</v>
      </c>
      <c r="W889" s="7" t="s">
        <v>46</v>
      </c>
      <c r="X889" s="7" t="s">
        <v>1751</v>
      </c>
      <c r="Y889" s="10">
        <f t="shared" si="27"/>
        <v>76.5</v>
      </c>
      <c r="AH889" s="5" t="e">
        <f>VLOOKUP(B889,[1]DL!$BK:$BP,6,0)</f>
        <v>#N/A</v>
      </c>
    </row>
    <row r="890" spans="1:34" ht="14.5" hidden="1">
      <c r="A890" s="5">
        <v>887</v>
      </c>
      <c r="B890" s="5" t="str">
        <f t="shared" si="26"/>
        <v>07AABCB5576G1ZNNDCDL2600367420</v>
      </c>
      <c r="C890" s="1" t="s">
        <v>1723</v>
      </c>
      <c r="D890" s="1" t="s">
        <v>1724</v>
      </c>
      <c r="E890" s="1" t="s">
        <v>1727</v>
      </c>
      <c r="F890" s="1" t="s">
        <v>24</v>
      </c>
      <c r="G890" s="1" t="s">
        <v>43</v>
      </c>
      <c r="H890" s="2">
        <v>501.5</v>
      </c>
      <c r="I890" s="1" t="s">
        <v>44</v>
      </c>
      <c r="J890" s="3" t="s">
        <v>27</v>
      </c>
      <c r="K890" s="2">
        <v>425</v>
      </c>
      <c r="L890" s="2">
        <v>0</v>
      </c>
      <c r="M890" s="2">
        <v>38.25</v>
      </c>
      <c r="N890" s="2">
        <v>38.25</v>
      </c>
      <c r="O890" s="2">
        <v>0</v>
      </c>
      <c r="P890" s="7" t="s">
        <v>28</v>
      </c>
      <c r="Q890" s="1" t="s">
        <v>29</v>
      </c>
      <c r="R890" s="3" t="s">
        <v>45</v>
      </c>
      <c r="S890" s="1" t="s">
        <v>46</v>
      </c>
      <c r="T890" s="4" t="s">
        <v>31</v>
      </c>
      <c r="U890" s="7" t="s">
        <v>46</v>
      </c>
      <c r="V890" s="7" t="s">
        <v>46</v>
      </c>
      <c r="W890" s="7" t="s">
        <v>46</v>
      </c>
      <c r="X890" s="7" t="s">
        <v>1751</v>
      </c>
      <c r="Y890" s="10">
        <f t="shared" si="27"/>
        <v>76.5</v>
      </c>
      <c r="AH890" s="5" t="e">
        <f>VLOOKUP(B890,[1]DL!$BK:$BP,6,0)</f>
        <v>#N/A</v>
      </c>
    </row>
    <row r="891" spans="1:34" ht="14.5" hidden="1">
      <c r="A891" s="5">
        <v>888</v>
      </c>
      <c r="B891" s="5" t="str">
        <f t="shared" si="26"/>
        <v>07AABCB5576G1ZNNDCDL2600367973</v>
      </c>
      <c r="C891" s="1" t="s">
        <v>1723</v>
      </c>
      <c r="D891" s="1" t="s">
        <v>1724</v>
      </c>
      <c r="E891" s="1" t="s">
        <v>1728</v>
      </c>
      <c r="F891" s="1" t="s">
        <v>24</v>
      </c>
      <c r="G891" s="1" t="s">
        <v>43</v>
      </c>
      <c r="H891" s="2">
        <v>501.5</v>
      </c>
      <c r="I891" s="1" t="s">
        <v>44</v>
      </c>
      <c r="J891" s="3" t="s">
        <v>27</v>
      </c>
      <c r="K891" s="2">
        <v>425</v>
      </c>
      <c r="L891" s="2">
        <v>0</v>
      </c>
      <c r="M891" s="2">
        <v>38.25</v>
      </c>
      <c r="N891" s="2">
        <v>38.25</v>
      </c>
      <c r="O891" s="2">
        <v>0</v>
      </c>
      <c r="P891" s="7" t="s">
        <v>28</v>
      </c>
      <c r="Q891" s="1" t="s">
        <v>29</v>
      </c>
      <c r="R891" s="3" t="s">
        <v>45</v>
      </c>
      <c r="S891" s="1" t="s">
        <v>46</v>
      </c>
      <c r="T891" s="4" t="s">
        <v>31</v>
      </c>
      <c r="U891" s="7" t="s">
        <v>46</v>
      </c>
      <c r="V891" s="7" t="s">
        <v>46</v>
      </c>
      <c r="W891" s="7" t="s">
        <v>46</v>
      </c>
      <c r="X891" s="7" t="s">
        <v>1751</v>
      </c>
      <c r="Y891" s="10">
        <f t="shared" si="27"/>
        <v>76.5</v>
      </c>
      <c r="AH891" s="5" t="e">
        <f>VLOOKUP(B891,[1]DL!$BK:$BP,6,0)</f>
        <v>#N/A</v>
      </c>
    </row>
    <row r="892" spans="1:34" ht="14.5" hidden="1">
      <c r="A892" s="5">
        <v>889</v>
      </c>
      <c r="B892" s="5" t="str">
        <f t="shared" si="26"/>
        <v>07AABCB5576G1ZNNDCDL2600368032</v>
      </c>
      <c r="C892" s="1" t="s">
        <v>1723</v>
      </c>
      <c r="D892" s="1" t="s">
        <v>1724</v>
      </c>
      <c r="E892" s="1" t="s">
        <v>1729</v>
      </c>
      <c r="F892" s="1" t="s">
        <v>24</v>
      </c>
      <c r="G892" s="1" t="s">
        <v>43</v>
      </c>
      <c r="H892" s="2">
        <v>501.5</v>
      </c>
      <c r="I892" s="1" t="s">
        <v>44</v>
      </c>
      <c r="J892" s="3" t="s">
        <v>27</v>
      </c>
      <c r="K892" s="2">
        <v>425</v>
      </c>
      <c r="L892" s="2">
        <v>0</v>
      </c>
      <c r="M892" s="2">
        <v>38.25</v>
      </c>
      <c r="N892" s="2">
        <v>38.25</v>
      </c>
      <c r="O892" s="2">
        <v>0</v>
      </c>
      <c r="P892" s="7" t="s">
        <v>28</v>
      </c>
      <c r="Q892" s="1" t="s">
        <v>29</v>
      </c>
      <c r="R892" s="3" t="s">
        <v>45</v>
      </c>
      <c r="S892" s="1" t="s">
        <v>46</v>
      </c>
      <c r="T892" s="4" t="s">
        <v>31</v>
      </c>
      <c r="U892" s="7" t="s">
        <v>46</v>
      </c>
      <c r="V892" s="7" t="s">
        <v>46</v>
      </c>
      <c r="W892" s="7" t="s">
        <v>46</v>
      </c>
      <c r="X892" s="7" t="s">
        <v>1751</v>
      </c>
      <c r="Y892" s="10">
        <f t="shared" si="27"/>
        <v>76.5</v>
      </c>
      <c r="AH892" s="5" t="e">
        <f>VLOOKUP(B892,[1]DL!$BK:$BP,6,0)</f>
        <v>#N/A</v>
      </c>
    </row>
    <row r="893" spans="1:34" ht="14.5" hidden="1">
      <c r="A893" s="5">
        <v>890</v>
      </c>
      <c r="B893" s="5" t="str">
        <f t="shared" si="26"/>
        <v>07AABCB5576G1ZNNDCDL2600368321</v>
      </c>
      <c r="C893" s="1" t="s">
        <v>1723</v>
      </c>
      <c r="D893" s="1" t="s">
        <v>1724</v>
      </c>
      <c r="E893" s="1" t="s">
        <v>1730</v>
      </c>
      <c r="F893" s="1" t="s">
        <v>24</v>
      </c>
      <c r="G893" s="1" t="s">
        <v>43</v>
      </c>
      <c r="H893" s="2">
        <v>2360</v>
      </c>
      <c r="I893" s="1" t="s">
        <v>44</v>
      </c>
      <c r="J893" s="3" t="s">
        <v>27</v>
      </c>
      <c r="K893" s="2">
        <v>2000</v>
      </c>
      <c r="L893" s="2">
        <v>0</v>
      </c>
      <c r="M893" s="2">
        <v>180</v>
      </c>
      <c r="N893" s="2">
        <v>180</v>
      </c>
      <c r="O893" s="2">
        <v>0</v>
      </c>
      <c r="P893" s="7" t="s">
        <v>28</v>
      </c>
      <c r="Q893" s="1" t="s">
        <v>29</v>
      </c>
      <c r="R893" s="3" t="s">
        <v>45</v>
      </c>
      <c r="S893" s="1" t="s">
        <v>46</v>
      </c>
      <c r="T893" s="4" t="s">
        <v>31</v>
      </c>
      <c r="U893" s="7" t="s">
        <v>46</v>
      </c>
      <c r="V893" s="7" t="s">
        <v>46</v>
      </c>
      <c r="W893" s="7" t="s">
        <v>46</v>
      </c>
      <c r="X893" s="7" t="s">
        <v>1751</v>
      </c>
      <c r="Y893" s="10">
        <f t="shared" si="27"/>
        <v>360</v>
      </c>
      <c r="AH893" s="5" t="e">
        <f>VLOOKUP(B893,[1]DL!$BK:$BP,6,0)</f>
        <v>#N/A</v>
      </c>
    </row>
    <row r="894" spans="1:34" ht="14.5" hidden="1">
      <c r="A894" s="5">
        <v>891</v>
      </c>
      <c r="B894" s="5" t="str">
        <f t="shared" si="26"/>
        <v>07AABCB5576G1ZNNDCDL2600368345</v>
      </c>
      <c r="C894" s="1" t="s">
        <v>1723</v>
      </c>
      <c r="D894" s="1" t="s">
        <v>1724</v>
      </c>
      <c r="E894" s="1" t="s">
        <v>1731</v>
      </c>
      <c r="F894" s="1" t="s">
        <v>24</v>
      </c>
      <c r="G894" s="1" t="s">
        <v>43</v>
      </c>
      <c r="H894" s="2">
        <v>501.5</v>
      </c>
      <c r="I894" s="1" t="s">
        <v>44</v>
      </c>
      <c r="J894" s="3" t="s">
        <v>27</v>
      </c>
      <c r="K894" s="2">
        <v>425</v>
      </c>
      <c r="L894" s="2">
        <v>0</v>
      </c>
      <c r="M894" s="2">
        <v>38.25</v>
      </c>
      <c r="N894" s="2">
        <v>38.25</v>
      </c>
      <c r="O894" s="2">
        <v>0</v>
      </c>
      <c r="P894" s="7" t="s">
        <v>28</v>
      </c>
      <c r="Q894" s="1" t="s">
        <v>29</v>
      </c>
      <c r="R894" s="3" t="s">
        <v>45</v>
      </c>
      <c r="S894" s="1" t="s">
        <v>46</v>
      </c>
      <c r="T894" s="4" t="s">
        <v>31</v>
      </c>
      <c r="U894" s="7" t="s">
        <v>46</v>
      </c>
      <c r="V894" s="7" t="s">
        <v>46</v>
      </c>
      <c r="W894" s="7" t="s">
        <v>46</v>
      </c>
      <c r="X894" s="7" t="s">
        <v>1751</v>
      </c>
      <c r="Y894" s="10">
        <f t="shared" si="27"/>
        <v>76.5</v>
      </c>
      <c r="AH894" s="5" t="e">
        <f>VLOOKUP(B894,[1]DL!$BK:$BP,6,0)</f>
        <v>#N/A</v>
      </c>
    </row>
    <row r="895" spans="1:34" ht="14.5" hidden="1">
      <c r="A895" s="5">
        <v>892</v>
      </c>
      <c r="B895" s="5" t="str">
        <f t="shared" si="26"/>
        <v>07AABCB5576G1ZNNDCDL2600368374</v>
      </c>
      <c r="C895" s="1" t="s">
        <v>1723</v>
      </c>
      <c r="D895" s="1" t="s">
        <v>1724</v>
      </c>
      <c r="E895" s="1" t="s">
        <v>1732</v>
      </c>
      <c r="F895" s="1" t="s">
        <v>24</v>
      </c>
      <c r="G895" s="1" t="s">
        <v>43</v>
      </c>
      <c r="H895" s="2">
        <v>1310.98</v>
      </c>
      <c r="I895" s="1" t="s">
        <v>44</v>
      </c>
      <c r="J895" s="3" t="s">
        <v>27</v>
      </c>
      <c r="K895" s="2">
        <v>1111</v>
      </c>
      <c r="L895" s="2">
        <v>0</v>
      </c>
      <c r="M895" s="2">
        <v>99.99</v>
      </c>
      <c r="N895" s="2">
        <v>99.99</v>
      </c>
      <c r="O895" s="2">
        <v>0</v>
      </c>
      <c r="P895" s="7" t="s">
        <v>28</v>
      </c>
      <c r="Q895" s="1" t="s">
        <v>29</v>
      </c>
      <c r="R895" s="3" t="s">
        <v>45</v>
      </c>
      <c r="S895" s="1" t="s">
        <v>46</v>
      </c>
      <c r="T895" s="4" t="s">
        <v>31</v>
      </c>
      <c r="U895" s="7" t="s">
        <v>46</v>
      </c>
      <c r="V895" s="7" t="s">
        <v>46</v>
      </c>
      <c r="W895" s="7" t="s">
        <v>46</v>
      </c>
      <c r="X895" s="7" t="s">
        <v>1751</v>
      </c>
      <c r="Y895" s="10">
        <f t="shared" si="27"/>
        <v>199.97999999999999</v>
      </c>
      <c r="AH895" s="5" t="e">
        <f>VLOOKUP(B895,[1]DL!$BK:$BP,6,0)</f>
        <v>#N/A</v>
      </c>
    </row>
    <row r="896" spans="1:34" ht="14.5" hidden="1">
      <c r="A896" s="5">
        <v>893</v>
      </c>
      <c r="B896" s="5" t="str">
        <f t="shared" si="26"/>
        <v>07AABCB5576G1ZNNDCDL2600368410</v>
      </c>
      <c r="C896" s="1" t="s">
        <v>1723</v>
      </c>
      <c r="D896" s="1" t="s">
        <v>1724</v>
      </c>
      <c r="E896" s="1" t="s">
        <v>1733</v>
      </c>
      <c r="F896" s="1" t="s">
        <v>24</v>
      </c>
      <c r="G896" s="1" t="s">
        <v>43</v>
      </c>
      <c r="H896" s="2">
        <v>501.5</v>
      </c>
      <c r="I896" s="1" t="s">
        <v>44</v>
      </c>
      <c r="J896" s="3" t="s">
        <v>27</v>
      </c>
      <c r="K896" s="2">
        <v>425</v>
      </c>
      <c r="L896" s="2">
        <v>0</v>
      </c>
      <c r="M896" s="2">
        <v>38.25</v>
      </c>
      <c r="N896" s="2">
        <v>38.25</v>
      </c>
      <c r="O896" s="2">
        <v>0</v>
      </c>
      <c r="P896" s="7" t="s">
        <v>28</v>
      </c>
      <c r="Q896" s="1" t="s">
        <v>29</v>
      </c>
      <c r="R896" s="3" t="s">
        <v>45</v>
      </c>
      <c r="S896" s="1" t="s">
        <v>46</v>
      </c>
      <c r="T896" s="4" t="s">
        <v>31</v>
      </c>
      <c r="U896" s="7" t="s">
        <v>46</v>
      </c>
      <c r="V896" s="7" t="s">
        <v>46</v>
      </c>
      <c r="W896" s="7" t="s">
        <v>46</v>
      </c>
      <c r="X896" s="7" t="s">
        <v>1751</v>
      </c>
      <c r="Y896" s="10">
        <f t="shared" si="27"/>
        <v>76.5</v>
      </c>
      <c r="AH896" s="5" t="e">
        <f>VLOOKUP(B896,[1]DL!$BK:$BP,6,0)</f>
        <v>#N/A</v>
      </c>
    </row>
    <row r="897" spans="1:34" ht="14.5" hidden="1">
      <c r="A897" s="5">
        <v>894</v>
      </c>
      <c r="B897" s="5" t="str">
        <f t="shared" si="26"/>
        <v>07AABCB5576G1ZNNDCDL2600368469</v>
      </c>
      <c r="C897" s="1" t="s">
        <v>1723</v>
      </c>
      <c r="D897" s="1" t="s">
        <v>1724</v>
      </c>
      <c r="E897" s="1" t="s">
        <v>1734</v>
      </c>
      <c r="F897" s="1" t="s">
        <v>24</v>
      </c>
      <c r="G897" s="1" t="s">
        <v>43</v>
      </c>
      <c r="H897" s="2">
        <v>501.5</v>
      </c>
      <c r="I897" s="1" t="s">
        <v>44</v>
      </c>
      <c r="J897" s="3" t="s">
        <v>27</v>
      </c>
      <c r="K897" s="2">
        <v>425</v>
      </c>
      <c r="L897" s="2">
        <v>0</v>
      </c>
      <c r="M897" s="2">
        <v>38.25</v>
      </c>
      <c r="N897" s="2">
        <v>38.25</v>
      </c>
      <c r="O897" s="2">
        <v>0</v>
      </c>
      <c r="P897" s="7" t="s">
        <v>28</v>
      </c>
      <c r="Q897" s="1" t="s">
        <v>29</v>
      </c>
      <c r="R897" s="3" t="s">
        <v>45</v>
      </c>
      <c r="S897" s="1" t="s">
        <v>46</v>
      </c>
      <c r="T897" s="4" t="s">
        <v>31</v>
      </c>
      <c r="U897" s="7" t="s">
        <v>46</v>
      </c>
      <c r="V897" s="7" t="s">
        <v>46</v>
      </c>
      <c r="W897" s="7" t="s">
        <v>46</v>
      </c>
      <c r="X897" s="7" t="s">
        <v>1751</v>
      </c>
      <c r="Y897" s="10">
        <f t="shared" si="27"/>
        <v>76.5</v>
      </c>
      <c r="AH897" s="5" t="e">
        <f>VLOOKUP(B897,[1]DL!$BK:$BP,6,0)</f>
        <v>#N/A</v>
      </c>
    </row>
    <row r="898" spans="1:34" ht="14.5" hidden="1">
      <c r="A898" s="5">
        <v>895</v>
      </c>
      <c r="B898" s="5" t="str">
        <f t="shared" si="26"/>
        <v>07AABCB5576G1ZNNDCDL2600368592</v>
      </c>
      <c r="C898" s="1" t="s">
        <v>1723</v>
      </c>
      <c r="D898" s="1" t="s">
        <v>1724</v>
      </c>
      <c r="E898" s="1" t="s">
        <v>1735</v>
      </c>
      <c r="F898" s="1" t="s">
        <v>24</v>
      </c>
      <c r="G898" s="1" t="s">
        <v>43</v>
      </c>
      <c r="H898" s="2">
        <v>501.5</v>
      </c>
      <c r="I898" s="1" t="s">
        <v>44</v>
      </c>
      <c r="J898" s="3" t="s">
        <v>27</v>
      </c>
      <c r="K898" s="2">
        <v>425</v>
      </c>
      <c r="L898" s="2">
        <v>0</v>
      </c>
      <c r="M898" s="2">
        <v>38.25</v>
      </c>
      <c r="N898" s="2">
        <v>38.25</v>
      </c>
      <c r="O898" s="2">
        <v>0</v>
      </c>
      <c r="P898" s="7" t="s">
        <v>28</v>
      </c>
      <c r="Q898" s="1" t="s">
        <v>29</v>
      </c>
      <c r="R898" s="3" t="s">
        <v>45</v>
      </c>
      <c r="S898" s="1" t="s">
        <v>46</v>
      </c>
      <c r="T898" s="4" t="s">
        <v>31</v>
      </c>
      <c r="U898" s="7" t="s">
        <v>46</v>
      </c>
      <c r="V898" s="7" t="s">
        <v>46</v>
      </c>
      <c r="W898" s="7" t="s">
        <v>46</v>
      </c>
      <c r="X898" s="7" t="s">
        <v>1751</v>
      </c>
      <c r="Y898" s="10">
        <f t="shared" si="27"/>
        <v>76.5</v>
      </c>
      <c r="AH898" s="5" t="e">
        <f>VLOOKUP(B898,[1]DL!$BK:$BP,6,0)</f>
        <v>#N/A</v>
      </c>
    </row>
    <row r="899" spans="1:34" ht="14.5" hidden="1">
      <c r="A899" s="5">
        <v>896</v>
      </c>
      <c r="B899" s="5" t="str">
        <f t="shared" si="26"/>
        <v>07AABCB5576G1ZNNDCDL2600370919</v>
      </c>
      <c r="C899" s="1" t="s">
        <v>1723</v>
      </c>
      <c r="D899" s="1" t="s">
        <v>1724</v>
      </c>
      <c r="E899" s="1" t="s">
        <v>1736</v>
      </c>
      <c r="F899" s="1" t="s">
        <v>24</v>
      </c>
      <c r="G899" s="1" t="s">
        <v>43</v>
      </c>
      <c r="H899" s="2">
        <v>501.5</v>
      </c>
      <c r="I899" s="1" t="s">
        <v>44</v>
      </c>
      <c r="J899" s="3" t="s">
        <v>27</v>
      </c>
      <c r="K899" s="2">
        <v>425</v>
      </c>
      <c r="L899" s="2">
        <v>0</v>
      </c>
      <c r="M899" s="2">
        <v>38.25</v>
      </c>
      <c r="N899" s="2">
        <v>38.25</v>
      </c>
      <c r="O899" s="2">
        <v>0</v>
      </c>
      <c r="P899" s="7" t="s">
        <v>28</v>
      </c>
      <c r="Q899" s="1" t="s">
        <v>29</v>
      </c>
      <c r="R899" s="3" t="s">
        <v>45</v>
      </c>
      <c r="S899" s="1" t="s">
        <v>46</v>
      </c>
      <c r="T899" s="4" t="s">
        <v>31</v>
      </c>
      <c r="U899" s="7" t="s">
        <v>46</v>
      </c>
      <c r="V899" s="7" t="s">
        <v>46</v>
      </c>
      <c r="W899" s="7" t="s">
        <v>46</v>
      </c>
      <c r="X899" s="7" t="s">
        <v>1751</v>
      </c>
      <c r="Y899" s="10">
        <f t="shared" si="27"/>
        <v>76.5</v>
      </c>
      <c r="AH899" s="5" t="e">
        <f>VLOOKUP(B899,[1]DL!$BK:$BP,6,0)</f>
        <v>#N/A</v>
      </c>
    </row>
    <row r="900" spans="1:34" ht="14.5" hidden="1">
      <c r="A900" s="5">
        <v>897</v>
      </c>
      <c r="B900" s="5" t="str">
        <f t="shared" si="26"/>
        <v>07AABCB5576G1ZNNDCDL2600376812</v>
      </c>
      <c r="C900" s="1" t="s">
        <v>1723</v>
      </c>
      <c r="D900" s="1" t="s">
        <v>1724</v>
      </c>
      <c r="E900" s="1" t="s">
        <v>1737</v>
      </c>
      <c r="F900" s="1" t="s">
        <v>24</v>
      </c>
      <c r="G900" s="1" t="s">
        <v>43</v>
      </c>
      <c r="H900" s="2">
        <v>501.5</v>
      </c>
      <c r="I900" s="1" t="s">
        <v>44</v>
      </c>
      <c r="J900" s="3" t="s">
        <v>27</v>
      </c>
      <c r="K900" s="2">
        <v>425</v>
      </c>
      <c r="L900" s="2">
        <v>0</v>
      </c>
      <c r="M900" s="2">
        <v>38.25</v>
      </c>
      <c r="N900" s="2">
        <v>38.25</v>
      </c>
      <c r="O900" s="2">
        <v>0</v>
      </c>
      <c r="P900" s="7" t="s">
        <v>28</v>
      </c>
      <c r="Q900" s="1" t="s">
        <v>29</v>
      </c>
      <c r="R900" s="3" t="s">
        <v>45</v>
      </c>
      <c r="S900" s="1" t="s">
        <v>46</v>
      </c>
      <c r="T900" s="4" t="s">
        <v>31</v>
      </c>
      <c r="U900" s="7" t="s">
        <v>46</v>
      </c>
      <c r="V900" s="7" t="s">
        <v>46</v>
      </c>
      <c r="W900" s="7" t="s">
        <v>46</v>
      </c>
      <c r="X900" s="7" t="s">
        <v>1751</v>
      </c>
      <c r="Y900" s="10">
        <f t="shared" si="27"/>
        <v>76.5</v>
      </c>
      <c r="AH900" s="5" t="e">
        <f>VLOOKUP(B900,[1]DL!$BK:$BP,6,0)</f>
        <v>#N/A</v>
      </c>
    </row>
    <row r="901" spans="1:34" ht="14.5" hidden="1">
      <c r="A901" s="5">
        <v>898</v>
      </c>
      <c r="B901" s="5" t="str">
        <f t="shared" si="28" ref="B901:B964">C901&amp;E901</f>
        <v>07AJIPT1632L1ZWME/25-26/29</v>
      </c>
      <c r="C901" s="1" t="s">
        <v>1166</v>
      </c>
      <c r="D901" s="1" t="s">
        <v>1167</v>
      </c>
      <c r="E901" s="1" t="s">
        <v>1752</v>
      </c>
      <c r="F901" s="1" t="s">
        <v>1763</v>
      </c>
      <c r="G901" s="1" t="s">
        <v>1753</v>
      </c>
      <c r="H901" s="2">
        <v>495600</v>
      </c>
      <c r="I901" s="1" t="s">
        <v>44</v>
      </c>
      <c r="J901" s="3" t="s">
        <v>27</v>
      </c>
      <c r="K901" s="2">
        <v>420000</v>
      </c>
      <c r="L901" s="2">
        <v>0</v>
      </c>
      <c r="M901" s="2">
        <v>37800</v>
      </c>
      <c r="N901" s="2">
        <v>37800</v>
      </c>
      <c r="O901" s="2">
        <v>0</v>
      </c>
      <c r="P901" s="1" t="s">
        <v>203</v>
      </c>
      <c r="Q901" s="1" t="s">
        <v>367</v>
      </c>
      <c r="R901" s="3" t="s">
        <v>45</v>
      </c>
      <c r="S901" s="4" t="s">
        <v>46</v>
      </c>
      <c r="T901" s="2" t="s">
        <v>31</v>
      </c>
      <c r="X901" s="7" t="s">
        <v>1751</v>
      </c>
      <c r="Y901" s="10">
        <f t="shared" si="29" ref="Y901:Y908">L901+M901+N901+O901</f>
        <v>75600</v>
      </c>
      <c r="AH901" s="5" t="e">
        <f>VLOOKUP(B901,[1]DL!$BK:$BP,6,0)</f>
        <v>#N/A</v>
      </c>
    </row>
    <row r="902" spans="1:34" ht="14.5" hidden="1">
      <c r="A902" s="5">
        <v>899</v>
      </c>
      <c r="B902" s="5" t="str">
        <f t="shared" si="28"/>
        <v>07AIZPD8973G2ZH01057/2025-26</v>
      </c>
      <c r="C902" s="1" t="s">
        <v>1754</v>
      </c>
      <c r="D902" s="1" t="s">
        <v>1755</v>
      </c>
      <c r="E902" s="1" t="s">
        <v>1756</v>
      </c>
      <c r="F902" s="1" t="s">
        <v>1763</v>
      </c>
      <c r="G902" s="1" t="s">
        <v>1757</v>
      </c>
      <c r="H902" s="2">
        <v>5900</v>
      </c>
      <c r="I902" s="1" t="s">
        <v>44</v>
      </c>
      <c r="J902" s="3" t="s">
        <v>45</v>
      </c>
      <c r="K902" s="2">
        <v>5000</v>
      </c>
      <c r="L902" s="2">
        <v>0</v>
      </c>
      <c r="M902" s="2">
        <v>450</v>
      </c>
      <c r="N902" s="2">
        <v>450</v>
      </c>
      <c r="O902" s="2">
        <v>0</v>
      </c>
      <c r="P902" s="1" t="s">
        <v>203</v>
      </c>
      <c r="Q902" s="1" t="s">
        <v>133</v>
      </c>
      <c r="R902" s="3" t="s">
        <v>45</v>
      </c>
      <c r="S902" s="4" t="s">
        <v>46</v>
      </c>
      <c r="T902" s="2" t="s">
        <v>31</v>
      </c>
      <c r="X902" s="7" t="s">
        <v>1751</v>
      </c>
      <c r="Y902" s="10">
        <f t="shared" si="29"/>
        <v>900</v>
      </c>
      <c r="AH902" s="5" t="e">
        <f>VLOOKUP(B902,[1]DL!$BK:$BP,6,0)</f>
        <v>#N/A</v>
      </c>
    </row>
    <row r="903" spans="1:34" ht="14.5" hidden="1">
      <c r="A903" s="5">
        <v>900</v>
      </c>
      <c r="B903" s="5" t="str">
        <f t="shared" si="28"/>
        <v>07AIZPD8973G2ZH01108/2025-26</v>
      </c>
      <c r="C903" s="1" t="s">
        <v>1754</v>
      </c>
      <c r="D903" s="1" t="s">
        <v>1755</v>
      </c>
      <c r="E903" s="1" t="s">
        <v>1758</v>
      </c>
      <c r="F903" s="1" t="s">
        <v>1763</v>
      </c>
      <c r="G903" s="1" t="s">
        <v>1759</v>
      </c>
      <c r="H903" s="2">
        <v>11800</v>
      </c>
      <c r="I903" s="1" t="s">
        <v>44</v>
      </c>
      <c r="J903" s="3" t="s">
        <v>45</v>
      </c>
      <c r="K903" s="2">
        <v>10000</v>
      </c>
      <c r="L903" s="2">
        <v>0</v>
      </c>
      <c r="M903" s="2">
        <v>900</v>
      </c>
      <c r="N903" s="2">
        <v>900</v>
      </c>
      <c r="O903" s="2">
        <v>0</v>
      </c>
      <c r="P903" s="1" t="s">
        <v>203</v>
      </c>
      <c r="Q903" s="1" t="s">
        <v>133</v>
      </c>
      <c r="R903" s="3" t="s">
        <v>45</v>
      </c>
      <c r="S903" s="4" t="s">
        <v>46</v>
      </c>
      <c r="T903" s="2" t="s">
        <v>31</v>
      </c>
      <c r="X903" s="7" t="s">
        <v>1751</v>
      </c>
      <c r="Y903" s="10">
        <f t="shared" si="29"/>
        <v>1800</v>
      </c>
      <c r="AH903" s="5" t="e">
        <f>VLOOKUP(B903,[1]DL!$BK:$BP,6,0)</f>
        <v>#N/A</v>
      </c>
    </row>
    <row r="904" spans="1:34" ht="14.5" hidden="1">
      <c r="A904" s="5">
        <v>901</v>
      </c>
      <c r="B904" s="5" t="str">
        <f t="shared" si="28"/>
        <v>07AIZPD8973G2ZH01202/2025-26</v>
      </c>
      <c r="C904" s="1" t="s">
        <v>1754</v>
      </c>
      <c r="D904" s="1" t="s">
        <v>1755</v>
      </c>
      <c r="E904" s="1" t="s">
        <v>1760</v>
      </c>
      <c r="F904" s="1" t="s">
        <v>1763</v>
      </c>
      <c r="G904" s="1" t="s">
        <v>1131</v>
      </c>
      <c r="H904" s="2">
        <v>8850</v>
      </c>
      <c r="I904" s="1" t="s">
        <v>44</v>
      </c>
      <c r="J904" s="3" t="s">
        <v>45</v>
      </c>
      <c r="K904" s="2">
        <v>7500</v>
      </c>
      <c r="L904" s="2">
        <v>0</v>
      </c>
      <c r="M904" s="2">
        <v>675</v>
      </c>
      <c r="N904" s="2">
        <v>675</v>
      </c>
      <c r="O904" s="2">
        <v>0</v>
      </c>
      <c r="P904" s="1" t="s">
        <v>203</v>
      </c>
      <c r="Q904" s="1" t="s">
        <v>133</v>
      </c>
      <c r="R904" s="3" t="s">
        <v>45</v>
      </c>
      <c r="S904" s="4" t="s">
        <v>46</v>
      </c>
      <c r="T904" s="2" t="s">
        <v>31</v>
      </c>
      <c r="X904" s="7" t="s">
        <v>1751</v>
      </c>
      <c r="Y904" s="10">
        <f t="shared" si="29"/>
        <v>1350</v>
      </c>
      <c r="AH904" s="5" t="e">
        <f>VLOOKUP(B904,[1]DL!$BK:$BP,6,0)</f>
        <v>#N/A</v>
      </c>
    </row>
    <row r="905" spans="1:34" ht="14.5" hidden="1">
      <c r="A905" s="5">
        <v>902</v>
      </c>
      <c r="B905" s="5" t="str">
        <f t="shared" si="28"/>
        <v>07AIZPD8973G2ZH0992/2025-26</v>
      </c>
      <c r="C905" s="1" t="s">
        <v>1754</v>
      </c>
      <c r="D905" s="1" t="s">
        <v>1755</v>
      </c>
      <c r="E905" s="1" t="s">
        <v>1761</v>
      </c>
      <c r="F905" s="1" t="s">
        <v>1763</v>
      </c>
      <c r="G905" s="1" t="s">
        <v>1762</v>
      </c>
      <c r="H905" s="2">
        <v>21240</v>
      </c>
      <c r="I905" s="1" t="s">
        <v>44</v>
      </c>
      <c r="J905" s="3" t="s">
        <v>45</v>
      </c>
      <c r="K905" s="2">
        <v>18000</v>
      </c>
      <c r="L905" s="2">
        <v>0</v>
      </c>
      <c r="M905" s="2">
        <v>1620</v>
      </c>
      <c r="N905" s="2">
        <v>1620</v>
      </c>
      <c r="O905" s="2">
        <v>0</v>
      </c>
      <c r="P905" s="1" t="s">
        <v>203</v>
      </c>
      <c r="Q905" s="1" t="s">
        <v>133</v>
      </c>
      <c r="R905" s="3" t="s">
        <v>45</v>
      </c>
      <c r="S905" s="4" t="s">
        <v>46</v>
      </c>
      <c r="T905" s="2" t="s">
        <v>31</v>
      </c>
      <c r="X905" s="7" t="s">
        <v>1751</v>
      </c>
      <c r="Y905" s="10">
        <f t="shared" si="29"/>
        <v>3240</v>
      </c>
      <c r="AH905" s="5" t="e">
        <f>VLOOKUP(B905,[1]DL!$BK:$BP,6,0)</f>
        <v>#N/A</v>
      </c>
    </row>
    <row r="906" spans="1:34" ht="14.5" hidden="1">
      <c r="A906" s="5">
        <v>903</v>
      </c>
      <c r="B906" s="5" t="str">
        <f t="shared" si="28"/>
        <v>27AABCT3518Q1ZWMH26C00000006706</v>
      </c>
      <c r="C906" s="1" t="s">
        <v>674</v>
      </c>
      <c r="D906" s="1" t="s">
        <v>675</v>
      </c>
      <c r="E906" s="1" t="s">
        <v>1764</v>
      </c>
      <c r="F906" s="1" t="s">
        <v>1765</v>
      </c>
      <c r="G906" s="1" t="s">
        <v>628</v>
      </c>
      <c r="H906" s="2">
        <v>-2528</v>
      </c>
      <c r="I906" s="1" t="s">
        <v>44</v>
      </c>
      <c r="J906" s="3" t="s">
        <v>27</v>
      </c>
      <c r="K906" s="2">
        <v>-2142</v>
      </c>
      <c r="L906" s="2">
        <v>-386</v>
      </c>
      <c r="M906" s="2">
        <v>0</v>
      </c>
      <c r="N906" s="2">
        <v>0</v>
      </c>
      <c r="O906" s="2">
        <v>0</v>
      </c>
      <c r="P906" s="1" t="s">
        <v>28</v>
      </c>
      <c r="Q906" s="1" t="s">
        <v>484</v>
      </c>
      <c r="R906" s="3" t="s">
        <v>45</v>
      </c>
      <c r="S906" s="3" t="s">
        <v>46</v>
      </c>
      <c r="T906" s="1" t="s">
        <v>31</v>
      </c>
      <c r="U906" s="2" t="s">
        <v>46</v>
      </c>
      <c r="V906" s="1" t="s">
        <v>46</v>
      </c>
      <c r="W906" s="1" t="s">
        <v>46</v>
      </c>
      <c r="X906" s="7" t="s">
        <v>1751</v>
      </c>
      <c r="Y906" s="10">
        <f t="shared" si="29"/>
        <v>-386</v>
      </c>
      <c r="AH906" s="5" t="e">
        <f>VLOOKUP(B906,[1]DL!$BK:$BP,6,0)</f>
        <v>#N/A</v>
      </c>
    </row>
    <row r="907" spans="1:34" ht="14.5" hidden="1">
      <c r="A907" s="5">
        <v>904</v>
      </c>
      <c r="B907" s="5" t="str">
        <f t="shared" si="28"/>
        <v>07AAJCS4628Q1ZMSQUA/27/C000002</v>
      </c>
      <c r="C907" s="1" t="s">
        <v>422</v>
      </c>
      <c r="D907" s="1" t="s">
        <v>423</v>
      </c>
      <c r="E907" s="1" t="s">
        <v>1766</v>
      </c>
      <c r="F907" s="1" t="s">
        <v>1765</v>
      </c>
      <c r="G907" s="1" t="s">
        <v>420</v>
      </c>
      <c r="H907" s="2">
        <v>-35400</v>
      </c>
      <c r="I907" s="1" t="s">
        <v>44</v>
      </c>
      <c r="J907" s="3" t="s">
        <v>27</v>
      </c>
      <c r="K907" s="2">
        <v>-30000</v>
      </c>
      <c r="L907" s="2">
        <v>0</v>
      </c>
      <c r="M907" s="2">
        <v>-2700</v>
      </c>
      <c r="N907" s="2">
        <v>-2700</v>
      </c>
      <c r="O907" s="2">
        <v>0</v>
      </c>
      <c r="P907" s="1" t="s">
        <v>28</v>
      </c>
      <c r="Q907" s="1" t="s">
        <v>120</v>
      </c>
      <c r="R907" s="3" t="s">
        <v>45</v>
      </c>
      <c r="S907" s="3" t="s">
        <v>46</v>
      </c>
      <c r="T907" s="1" t="s">
        <v>31</v>
      </c>
      <c r="U907" s="2" t="s">
        <v>32</v>
      </c>
      <c r="V907" s="1" t="s">
        <v>1850</v>
      </c>
      <c r="W907" s="1" t="s">
        <v>76</v>
      </c>
      <c r="X907" s="7" t="s">
        <v>1751</v>
      </c>
      <c r="Y907" s="10">
        <f t="shared" si="29"/>
        <v>-5400</v>
      </c>
      <c r="AH907" s="5" t="e">
        <f>VLOOKUP(B907,[1]DL!$BK:$BP,6,0)</f>
        <v>#N/A</v>
      </c>
    </row>
    <row r="908" spans="1:34" ht="14.5" hidden="1">
      <c r="A908" s="5">
        <v>905</v>
      </c>
      <c r="B908" s="5" t="str">
        <f t="shared" si="28"/>
        <v>07AADCC3694E1ZPBDLC000027/26-27</v>
      </c>
      <c r="C908" s="1" t="s">
        <v>858</v>
      </c>
      <c r="D908" s="1" t="s">
        <v>859</v>
      </c>
      <c r="E908" s="1" t="s">
        <v>1767</v>
      </c>
      <c r="F908" s="1" t="s">
        <v>1765</v>
      </c>
      <c r="G908" s="1" t="s">
        <v>125</v>
      </c>
      <c r="H908" s="2">
        <v>-28910</v>
      </c>
      <c r="I908" s="1" t="s">
        <v>44</v>
      </c>
      <c r="J908" s="3" t="s">
        <v>27</v>
      </c>
      <c r="K908" s="2">
        <v>-24500</v>
      </c>
      <c r="L908" s="2">
        <v>0</v>
      </c>
      <c r="M908" s="2">
        <v>-2205</v>
      </c>
      <c r="N908" s="2">
        <v>-2205</v>
      </c>
      <c r="O908" s="2">
        <v>0</v>
      </c>
      <c r="P908" s="1" t="s">
        <v>28</v>
      </c>
      <c r="Q908" s="1" t="s">
        <v>29</v>
      </c>
      <c r="R908" s="3" t="s">
        <v>45</v>
      </c>
      <c r="S908" s="3" t="s">
        <v>46</v>
      </c>
      <c r="T908" s="1" t="s">
        <v>31</v>
      </c>
      <c r="U908" s="2" t="s">
        <v>32</v>
      </c>
      <c r="V908" s="1" t="s">
        <v>1851</v>
      </c>
      <c r="W908" s="1" t="s">
        <v>125</v>
      </c>
      <c r="X908" s="7" t="s">
        <v>1751</v>
      </c>
      <c r="Y908" s="10">
        <f t="shared" si="29"/>
        <v>-4410</v>
      </c>
      <c r="AH908" s="5" t="e">
        <f>VLOOKUP(B908,[1]DL!$BK:$BP,6,0)</f>
        <v>#N/A</v>
      </c>
    </row>
    <row r="909" spans="1:34" ht="14.5" hidden="1">
      <c r="A909" s="5">
        <v>906</v>
      </c>
      <c r="B909" s="5" t="str">
        <f t="shared" si="28"/>
        <v>07AADCC3694E1ZPBDLC000028/26-27</v>
      </c>
      <c r="C909" s="1" t="s">
        <v>858</v>
      </c>
      <c r="D909" s="1" t="s">
        <v>859</v>
      </c>
      <c r="E909" s="1" t="s">
        <v>1768</v>
      </c>
      <c r="F909" s="1" t="s">
        <v>1765</v>
      </c>
      <c r="G909" s="1" t="s">
        <v>125</v>
      </c>
      <c r="H909" s="2">
        <v>-46610</v>
      </c>
      <c r="I909" s="1" t="s">
        <v>44</v>
      </c>
      <c r="J909" s="3" t="s">
        <v>27</v>
      </c>
      <c r="K909" s="2">
        <v>-39500</v>
      </c>
      <c r="L909" s="2">
        <v>0</v>
      </c>
      <c r="M909" s="2">
        <v>-3555</v>
      </c>
      <c r="N909" s="2">
        <v>-3555</v>
      </c>
      <c r="O909" s="2">
        <v>0</v>
      </c>
      <c r="P909" s="1" t="s">
        <v>28</v>
      </c>
      <c r="Q909" s="1" t="s">
        <v>29</v>
      </c>
      <c r="R909" s="3" t="s">
        <v>45</v>
      </c>
      <c r="S909" s="3" t="s">
        <v>46</v>
      </c>
      <c r="T909" s="1" t="s">
        <v>31</v>
      </c>
      <c r="U909" s="2" t="s">
        <v>32</v>
      </c>
      <c r="V909" s="1" t="s">
        <v>1852</v>
      </c>
      <c r="W909" s="1" t="s">
        <v>125</v>
      </c>
      <c r="X909" s="7" t="s">
        <v>1751</v>
      </c>
      <c r="Y909" s="10">
        <f t="shared" si="30" ref="Y909:Y945">L909+M909+N909+O909</f>
        <v>-7110</v>
      </c>
      <c r="AH909" s="5" t="e">
        <f>VLOOKUP(B909,[1]DL!$BK:$BP,6,0)</f>
        <v>#N/A</v>
      </c>
    </row>
    <row r="910" spans="1:34" ht="14.5" hidden="1">
      <c r="A910" s="5">
        <v>907</v>
      </c>
      <c r="B910" s="5" t="str">
        <f t="shared" si="28"/>
        <v>07AADCC3694E1ZPBDLC000030/26-27</v>
      </c>
      <c r="C910" s="1" t="s">
        <v>858</v>
      </c>
      <c r="D910" s="1" t="s">
        <v>859</v>
      </c>
      <c r="E910" s="1" t="s">
        <v>1769</v>
      </c>
      <c r="F910" s="1" t="s">
        <v>1765</v>
      </c>
      <c r="G910" s="1" t="s">
        <v>125</v>
      </c>
      <c r="H910" s="2">
        <v>-28910</v>
      </c>
      <c r="I910" s="1" t="s">
        <v>44</v>
      </c>
      <c r="J910" s="3" t="s">
        <v>27</v>
      </c>
      <c r="K910" s="2">
        <v>-24500</v>
      </c>
      <c r="L910" s="2">
        <v>0</v>
      </c>
      <c r="M910" s="2">
        <v>-2205</v>
      </c>
      <c r="N910" s="2">
        <v>-2205</v>
      </c>
      <c r="O910" s="2">
        <v>0</v>
      </c>
      <c r="P910" s="1" t="s">
        <v>28</v>
      </c>
      <c r="Q910" s="1" t="s">
        <v>29</v>
      </c>
      <c r="R910" s="3" t="s">
        <v>45</v>
      </c>
      <c r="S910" s="3" t="s">
        <v>46</v>
      </c>
      <c r="T910" s="1" t="s">
        <v>31</v>
      </c>
      <c r="U910" s="2" t="s">
        <v>32</v>
      </c>
      <c r="V910" s="1" t="s">
        <v>1853</v>
      </c>
      <c r="W910" s="1" t="s">
        <v>125</v>
      </c>
      <c r="X910" s="7" t="s">
        <v>1751</v>
      </c>
      <c r="Y910" s="10">
        <f t="shared" si="30"/>
        <v>-4410</v>
      </c>
      <c r="AH910" s="5" t="e">
        <f>VLOOKUP(B910,[1]DL!$BK:$BP,6,0)</f>
        <v>#N/A</v>
      </c>
    </row>
    <row r="911" spans="1:34" ht="14.5" hidden="1">
      <c r="A911" s="5">
        <v>908</v>
      </c>
      <c r="B911" s="5" t="str">
        <f t="shared" si="28"/>
        <v>09AABCW0017F1ZQ60665</v>
      </c>
      <c r="C911" s="1" t="s">
        <v>782</v>
      </c>
      <c r="D911" s="1" t="s">
        <v>783</v>
      </c>
      <c r="E911" s="1" t="s">
        <v>1770</v>
      </c>
      <c r="F911" s="1" t="s">
        <v>1765</v>
      </c>
      <c r="G911" s="1" t="s">
        <v>265</v>
      </c>
      <c r="H911" s="2">
        <v>-235587</v>
      </c>
      <c r="I911" s="1" t="s">
        <v>44</v>
      </c>
      <c r="J911" s="3" t="s">
        <v>27</v>
      </c>
      <c r="K911" s="2">
        <v>-199650</v>
      </c>
      <c r="L911" s="2">
        <v>-35937</v>
      </c>
      <c r="M911" s="2">
        <v>0</v>
      </c>
      <c r="N911" s="2">
        <v>0</v>
      </c>
      <c r="O911" s="2">
        <v>0</v>
      </c>
      <c r="P911" s="1" t="s">
        <v>203</v>
      </c>
      <c r="Q911" s="1" t="s">
        <v>128</v>
      </c>
      <c r="R911" s="3" t="s">
        <v>45</v>
      </c>
      <c r="S911" s="3" t="s">
        <v>46</v>
      </c>
      <c r="T911" s="1" t="s">
        <v>31</v>
      </c>
      <c r="U911" s="2" t="s">
        <v>32</v>
      </c>
      <c r="V911" s="1" t="s">
        <v>1854</v>
      </c>
      <c r="W911" s="1" t="s">
        <v>265</v>
      </c>
      <c r="X911" s="7" t="s">
        <v>1751</v>
      </c>
      <c r="Y911" s="10">
        <f t="shared" si="30"/>
        <v>-35937</v>
      </c>
      <c r="AH911" s="5" t="e">
        <f>VLOOKUP(B911,[1]DL!$BK:$BP,6,0)</f>
        <v>#N/A</v>
      </c>
    </row>
    <row r="912" spans="1:34" ht="14.5" hidden="1">
      <c r="A912" s="5">
        <v>909</v>
      </c>
      <c r="B912" s="5" t="str">
        <f t="shared" si="28"/>
        <v>09AAHFJ5917G1Z634</v>
      </c>
      <c r="C912" s="1" t="s">
        <v>1178</v>
      </c>
      <c r="D912" s="1" t="s">
        <v>1179</v>
      </c>
      <c r="E912" s="1" t="s">
        <v>1771</v>
      </c>
      <c r="F912" s="1" t="s">
        <v>1765</v>
      </c>
      <c r="G912" s="1" t="s">
        <v>267</v>
      </c>
      <c r="H912" s="2">
        <v>-10513.80</v>
      </c>
      <c r="I912" s="1" t="s">
        <v>44</v>
      </c>
      <c r="J912" s="3" t="s">
        <v>27</v>
      </c>
      <c r="K912" s="2">
        <v>-8910</v>
      </c>
      <c r="L912" s="2">
        <v>-1603.80</v>
      </c>
      <c r="M912" s="2">
        <v>0</v>
      </c>
      <c r="N912" s="2">
        <v>0</v>
      </c>
      <c r="O912" s="2">
        <v>0</v>
      </c>
      <c r="P912" s="1" t="s">
        <v>203</v>
      </c>
      <c r="Q912" s="1" t="s">
        <v>420</v>
      </c>
      <c r="R912" s="3" t="s">
        <v>45</v>
      </c>
      <c r="S912" s="3" t="s">
        <v>46</v>
      </c>
      <c r="T912" s="1" t="s">
        <v>31</v>
      </c>
      <c r="U912" s="2" t="s">
        <v>32</v>
      </c>
      <c r="V912" s="1" t="s">
        <v>1855</v>
      </c>
      <c r="W912" s="1" t="s">
        <v>70</v>
      </c>
      <c r="X912" s="7" t="s">
        <v>1751</v>
      </c>
      <c r="Y912" s="10">
        <f t="shared" si="30"/>
        <v>-1603.8</v>
      </c>
      <c r="AH912" s="5" t="e">
        <f>VLOOKUP(B912,[1]DL!$BK:$BP,6,0)</f>
        <v>#N/A</v>
      </c>
    </row>
    <row r="913" spans="1:34" ht="14.5" hidden="1">
      <c r="A913" s="5">
        <v>910</v>
      </c>
      <c r="B913" s="5" t="str">
        <f t="shared" si="28"/>
        <v>09AAHFJ5917G1Z635</v>
      </c>
      <c r="C913" s="1" t="s">
        <v>1178</v>
      </c>
      <c r="D913" s="1" t="s">
        <v>1179</v>
      </c>
      <c r="E913" s="1" t="s">
        <v>1772</v>
      </c>
      <c r="F913" s="1" t="s">
        <v>1765</v>
      </c>
      <c r="G913" s="1" t="s">
        <v>267</v>
      </c>
      <c r="H913" s="2">
        <v>-9111.9599999999991</v>
      </c>
      <c r="I913" s="1" t="s">
        <v>44</v>
      </c>
      <c r="J913" s="3" t="s">
        <v>27</v>
      </c>
      <c r="K913" s="2">
        <v>-7722</v>
      </c>
      <c r="L913" s="2">
        <v>-1389.96</v>
      </c>
      <c r="M913" s="2">
        <v>0</v>
      </c>
      <c r="N913" s="2">
        <v>0</v>
      </c>
      <c r="O913" s="2">
        <v>0</v>
      </c>
      <c r="P913" s="1" t="s">
        <v>203</v>
      </c>
      <c r="Q913" s="1" t="s">
        <v>420</v>
      </c>
      <c r="R913" s="3" t="s">
        <v>45</v>
      </c>
      <c r="S913" s="3" t="s">
        <v>46</v>
      </c>
      <c r="T913" s="1" t="s">
        <v>31</v>
      </c>
      <c r="U913" s="2" t="s">
        <v>32</v>
      </c>
      <c r="V913" s="1" t="s">
        <v>1856</v>
      </c>
      <c r="W913" s="1" t="s">
        <v>70</v>
      </c>
      <c r="X913" s="7" t="s">
        <v>1751</v>
      </c>
      <c r="Y913" s="10">
        <f t="shared" si="30"/>
        <v>-1389.96</v>
      </c>
      <c r="AH913" s="5" t="e">
        <f>VLOOKUP(B913,[1]DL!$BK:$BP,6,0)</f>
        <v>#N/A</v>
      </c>
    </row>
    <row r="914" spans="1:34" ht="14.5" hidden="1">
      <c r="A914" s="5">
        <v>911</v>
      </c>
      <c r="B914" s="5" t="str">
        <f t="shared" si="28"/>
        <v>09AAHFJ5917G1Z638</v>
      </c>
      <c r="C914" s="1" t="s">
        <v>1178</v>
      </c>
      <c r="D914" s="1" t="s">
        <v>1179</v>
      </c>
      <c r="E914" s="1" t="s">
        <v>1773</v>
      </c>
      <c r="F914" s="1" t="s">
        <v>1765</v>
      </c>
      <c r="G914" s="1" t="s">
        <v>267</v>
      </c>
      <c r="H914" s="2">
        <v>-6490</v>
      </c>
      <c r="I914" s="1" t="s">
        <v>44</v>
      </c>
      <c r="J914" s="3" t="s">
        <v>27</v>
      </c>
      <c r="K914" s="2">
        <v>-5500</v>
      </c>
      <c r="L914" s="2">
        <v>-990</v>
      </c>
      <c r="M914" s="2">
        <v>0</v>
      </c>
      <c r="N914" s="2">
        <v>0</v>
      </c>
      <c r="O914" s="2">
        <v>0</v>
      </c>
      <c r="P914" s="1" t="s">
        <v>203</v>
      </c>
      <c r="Q914" s="1" t="s">
        <v>420</v>
      </c>
      <c r="R914" s="3" t="s">
        <v>45</v>
      </c>
      <c r="S914" s="3" t="s">
        <v>46</v>
      </c>
      <c r="T914" s="1" t="s">
        <v>31</v>
      </c>
      <c r="U914" s="2" t="s">
        <v>32</v>
      </c>
      <c r="V914" s="1" t="s">
        <v>1857</v>
      </c>
      <c r="W914" s="1" t="s">
        <v>70</v>
      </c>
      <c r="X914" s="7" t="s">
        <v>1751</v>
      </c>
      <c r="Y914" s="10">
        <f t="shared" si="30"/>
        <v>-990</v>
      </c>
      <c r="AH914" s="5" t="e">
        <f>VLOOKUP(B914,[1]DL!$BK:$BP,6,0)</f>
        <v>#N/A</v>
      </c>
    </row>
    <row r="915" spans="1:34" ht="14.5" hidden="1">
      <c r="A915" s="5">
        <v>912</v>
      </c>
      <c r="B915" s="5" t="str">
        <f t="shared" si="28"/>
        <v>07COJPD7419B1Z7DE/25-26/77</v>
      </c>
      <c r="C915" s="1" t="s">
        <v>199</v>
      </c>
      <c r="D915" s="1" t="s">
        <v>200</v>
      </c>
      <c r="E915" s="1" t="s">
        <v>1774</v>
      </c>
      <c r="F915" s="1" t="s">
        <v>1765</v>
      </c>
      <c r="G915" s="1" t="s">
        <v>263</v>
      </c>
      <c r="H915" s="2">
        <v>-24780</v>
      </c>
      <c r="I915" s="1" t="s">
        <v>44</v>
      </c>
      <c r="J915" s="3" t="s">
        <v>27</v>
      </c>
      <c r="K915" s="2">
        <v>-21000</v>
      </c>
      <c r="L915" s="2">
        <v>0</v>
      </c>
      <c r="M915" s="2">
        <v>-1890</v>
      </c>
      <c r="N915" s="2">
        <v>-1890</v>
      </c>
      <c r="O915" s="2">
        <v>0</v>
      </c>
      <c r="P915" s="1" t="s">
        <v>203</v>
      </c>
      <c r="Q915" s="1" t="s">
        <v>204</v>
      </c>
      <c r="R915" s="3" t="s">
        <v>45</v>
      </c>
      <c r="S915" s="3" t="s">
        <v>46</v>
      </c>
      <c r="T915" s="1" t="s">
        <v>31</v>
      </c>
      <c r="U915" s="2" t="s">
        <v>32</v>
      </c>
      <c r="V915" s="1" t="s">
        <v>1858</v>
      </c>
      <c r="W915" s="1" t="s">
        <v>285</v>
      </c>
      <c r="X915" s="7" t="s">
        <v>1751</v>
      </c>
      <c r="Y915" s="10">
        <f t="shared" si="30"/>
        <v>-3780</v>
      </c>
      <c r="AH915" s="5" t="e">
        <f>VLOOKUP(B915,[1]DL!$BK:$BP,6,0)</f>
        <v>#N/A</v>
      </c>
    </row>
    <row r="916" spans="1:34" ht="14.5" hidden="1">
      <c r="A916" s="5">
        <v>913</v>
      </c>
      <c r="B916" s="5" t="str">
        <f t="shared" si="28"/>
        <v>07COJPD7419B1Z7DE/25-26/78</v>
      </c>
      <c r="C916" s="1" t="s">
        <v>199</v>
      </c>
      <c r="D916" s="1" t="s">
        <v>200</v>
      </c>
      <c r="E916" s="1" t="s">
        <v>1775</v>
      </c>
      <c r="F916" s="1" t="s">
        <v>1765</v>
      </c>
      <c r="G916" s="1" t="s">
        <v>263</v>
      </c>
      <c r="H916" s="2">
        <v>-590</v>
      </c>
      <c r="I916" s="1" t="s">
        <v>44</v>
      </c>
      <c r="J916" s="3" t="s">
        <v>27</v>
      </c>
      <c r="K916" s="2">
        <v>-500</v>
      </c>
      <c r="L916" s="2">
        <v>0</v>
      </c>
      <c r="M916" s="2">
        <v>-45</v>
      </c>
      <c r="N916" s="2">
        <v>-45</v>
      </c>
      <c r="O916" s="2">
        <v>0</v>
      </c>
      <c r="P916" s="1" t="s">
        <v>203</v>
      </c>
      <c r="Q916" s="1" t="s">
        <v>204</v>
      </c>
      <c r="R916" s="3" t="s">
        <v>45</v>
      </c>
      <c r="S916" s="3" t="s">
        <v>46</v>
      </c>
      <c r="T916" s="1" t="s">
        <v>31</v>
      </c>
      <c r="U916" s="2" t="s">
        <v>32</v>
      </c>
      <c r="V916" s="1" t="s">
        <v>1859</v>
      </c>
      <c r="W916" s="1" t="s">
        <v>285</v>
      </c>
      <c r="X916" s="7" t="s">
        <v>1751</v>
      </c>
      <c r="Y916" s="10">
        <f t="shared" si="30"/>
        <v>-90</v>
      </c>
      <c r="AH916" s="5" t="e">
        <f>VLOOKUP(B916,[1]DL!$BK:$BP,6,0)</f>
        <v>#N/A</v>
      </c>
    </row>
    <row r="917" spans="1:34" ht="14.5" hidden="1">
      <c r="A917" s="5">
        <v>914</v>
      </c>
      <c r="B917" s="5" t="str">
        <f t="shared" si="28"/>
        <v>07COJPD7419B1Z7DE/25-26/79</v>
      </c>
      <c r="C917" s="1" t="s">
        <v>199</v>
      </c>
      <c r="D917" s="1" t="s">
        <v>200</v>
      </c>
      <c r="E917" s="1" t="s">
        <v>1776</v>
      </c>
      <c r="F917" s="1" t="s">
        <v>1765</v>
      </c>
      <c r="G917" s="1" t="s">
        <v>263</v>
      </c>
      <c r="H917" s="2">
        <v>-13570</v>
      </c>
      <c r="I917" s="1" t="s">
        <v>44</v>
      </c>
      <c r="J917" s="3" t="s">
        <v>27</v>
      </c>
      <c r="K917" s="2">
        <v>-11500</v>
      </c>
      <c r="L917" s="2">
        <v>0</v>
      </c>
      <c r="M917" s="2">
        <v>-1035</v>
      </c>
      <c r="N917" s="2">
        <v>-1035</v>
      </c>
      <c r="O917" s="2">
        <v>0</v>
      </c>
      <c r="P917" s="1" t="s">
        <v>203</v>
      </c>
      <c r="Q917" s="1" t="s">
        <v>204</v>
      </c>
      <c r="R917" s="3" t="s">
        <v>45</v>
      </c>
      <c r="S917" s="3" t="s">
        <v>46</v>
      </c>
      <c r="T917" s="1" t="s">
        <v>31</v>
      </c>
      <c r="U917" s="2" t="s">
        <v>32</v>
      </c>
      <c r="V917" s="1" t="s">
        <v>1860</v>
      </c>
      <c r="W917" s="1" t="s">
        <v>285</v>
      </c>
      <c r="X917" s="7" t="s">
        <v>1751</v>
      </c>
      <c r="Y917" s="10">
        <f t="shared" si="30"/>
        <v>-2070</v>
      </c>
      <c r="AH917" s="5" t="e">
        <f>VLOOKUP(B917,[1]DL!$BK:$BP,6,0)</f>
        <v>#N/A</v>
      </c>
    </row>
    <row r="918" spans="1:34" ht="14.5" hidden="1">
      <c r="A918" s="5">
        <v>915</v>
      </c>
      <c r="B918" s="5" t="str">
        <f t="shared" si="28"/>
        <v>07COJPD7419B1Z7DE/25-26/80</v>
      </c>
      <c r="C918" s="1" t="s">
        <v>199</v>
      </c>
      <c r="D918" s="1" t="s">
        <v>200</v>
      </c>
      <c r="E918" s="1" t="s">
        <v>1777</v>
      </c>
      <c r="F918" s="1" t="s">
        <v>1765</v>
      </c>
      <c r="G918" s="1" t="s">
        <v>263</v>
      </c>
      <c r="H918" s="2">
        <v>-2950</v>
      </c>
      <c r="I918" s="1" t="s">
        <v>44</v>
      </c>
      <c r="J918" s="3" t="s">
        <v>27</v>
      </c>
      <c r="K918" s="2">
        <v>-2500</v>
      </c>
      <c r="L918" s="2">
        <v>0</v>
      </c>
      <c r="M918" s="2">
        <v>-225</v>
      </c>
      <c r="N918" s="2">
        <v>-225</v>
      </c>
      <c r="O918" s="2">
        <v>0</v>
      </c>
      <c r="P918" s="1" t="s">
        <v>203</v>
      </c>
      <c r="Q918" s="1" t="s">
        <v>204</v>
      </c>
      <c r="R918" s="3" t="s">
        <v>45</v>
      </c>
      <c r="S918" s="3" t="s">
        <v>46</v>
      </c>
      <c r="T918" s="1" t="s">
        <v>31</v>
      </c>
      <c r="U918" s="2" t="s">
        <v>32</v>
      </c>
      <c r="V918" s="1" t="s">
        <v>1861</v>
      </c>
      <c r="W918" s="1" t="s">
        <v>285</v>
      </c>
      <c r="X918" s="7" t="s">
        <v>1751</v>
      </c>
      <c r="Y918" s="10">
        <f t="shared" si="30"/>
        <v>-450</v>
      </c>
      <c r="AH918" s="5" t="e">
        <f>VLOOKUP(B918,[1]DL!$BK:$BP,6,0)</f>
        <v>#N/A</v>
      </c>
    </row>
    <row r="919" spans="1:34" ht="14.5" hidden="1">
      <c r="A919" s="5">
        <v>916</v>
      </c>
      <c r="B919" s="5" t="str">
        <f t="shared" si="28"/>
        <v>07COJPD7419B1Z7DE/25-26/81</v>
      </c>
      <c r="C919" s="1" t="s">
        <v>199</v>
      </c>
      <c r="D919" s="1" t="s">
        <v>200</v>
      </c>
      <c r="E919" s="1" t="s">
        <v>1778</v>
      </c>
      <c r="F919" s="1" t="s">
        <v>1765</v>
      </c>
      <c r="G919" s="1" t="s">
        <v>263</v>
      </c>
      <c r="H919" s="2">
        <v>-11800</v>
      </c>
      <c r="I919" s="1" t="s">
        <v>44</v>
      </c>
      <c r="J919" s="3" t="s">
        <v>27</v>
      </c>
      <c r="K919" s="2">
        <v>-10000</v>
      </c>
      <c r="L919" s="2">
        <v>0</v>
      </c>
      <c r="M919" s="2">
        <v>-900</v>
      </c>
      <c r="N919" s="2">
        <v>-900</v>
      </c>
      <c r="O919" s="2">
        <v>0</v>
      </c>
      <c r="P919" s="1" t="s">
        <v>203</v>
      </c>
      <c r="Q919" s="1" t="s">
        <v>204</v>
      </c>
      <c r="R919" s="3" t="s">
        <v>45</v>
      </c>
      <c r="S919" s="3" t="s">
        <v>46</v>
      </c>
      <c r="T919" s="1" t="s">
        <v>31</v>
      </c>
      <c r="U919" s="2" t="s">
        <v>32</v>
      </c>
      <c r="V919" s="1" t="s">
        <v>1862</v>
      </c>
      <c r="W919" s="1" t="s">
        <v>285</v>
      </c>
      <c r="X919" s="7" t="s">
        <v>1751</v>
      </c>
      <c r="Y919" s="10">
        <f t="shared" si="30"/>
        <v>-1800</v>
      </c>
      <c r="AH919" s="5" t="e">
        <f>VLOOKUP(B919,[1]DL!$BK:$BP,6,0)</f>
        <v>#N/A</v>
      </c>
    </row>
    <row r="920" spans="1:34" ht="14.5" hidden="1">
      <c r="A920" s="5">
        <v>917</v>
      </c>
      <c r="B920" s="5" t="str">
        <f t="shared" si="28"/>
        <v>07COJPD7419B1Z7DE/25-26/82</v>
      </c>
      <c r="C920" s="1" t="s">
        <v>199</v>
      </c>
      <c r="D920" s="1" t="s">
        <v>200</v>
      </c>
      <c r="E920" s="1" t="s">
        <v>1779</v>
      </c>
      <c r="F920" s="1" t="s">
        <v>1765</v>
      </c>
      <c r="G920" s="1" t="s">
        <v>263</v>
      </c>
      <c r="H920" s="2">
        <v>-1770</v>
      </c>
      <c r="I920" s="1" t="s">
        <v>44</v>
      </c>
      <c r="J920" s="3" t="s">
        <v>27</v>
      </c>
      <c r="K920" s="2">
        <v>-1500</v>
      </c>
      <c r="L920" s="2">
        <v>0</v>
      </c>
      <c r="M920" s="2">
        <v>-135</v>
      </c>
      <c r="N920" s="2">
        <v>-135</v>
      </c>
      <c r="O920" s="2">
        <v>0</v>
      </c>
      <c r="P920" s="1" t="s">
        <v>203</v>
      </c>
      <c r="Q920" s="1" t="s">
        <v>204</v>
      </c>
      <c r="R920" s="3" t="s">
        <v>45</v>
      </c>
      <c r="S920" s="3" t="s">
        <v>46</v>
      </c>
      <c r="T920" s="1" t="s">
        <v>31</v>
      </c>
      <c r="U920" s="2" t="s">
        <v>32</v>
      </c>
      <c r="V920" s="1" t="s">
        <v>1863</v>
      </c>
      <c r="W920" s="1" t="s">
        <v>285</v>
      </c>
      <c r="X920" s="7" t="s">
        <v>1751</v>
      </c>
      <c r="Y920" s="10">
        <f t="shared" si="30"/>
        <v>-270</v>
      </c>
      <c r="AH920" s="5" t="e">
        <f>VLOOKUP(B920,[1]DL!$BK:$BP,6,0)</f>
        <v>#N/A</v>
      </c>
    </row>
    <row r="921" spans="1:34" ht="14.5" hidden="1">
      <c r="A921" s="5">
        <v>918</v>
      </c>
      <c r="B921" s="5" t="str">
        <f t="shared" si="28"/>
        <v>07COJPD7419B1Z7DE/25-26/83</v>
      </c>
      <c r="C921" s="1" t="s">
        <v>199</v>
      </c>
      <c r="D921" s="1" t="s">
        <v>200</v>
      </c>
      <c r="E921" s="1" t="s">
        <v>1780</v>
      </c>
      <c r="F921" s="1" t="s">
        <v>1765</v>
      </c>
      <c r="G921" s="1" t="s">
        <v>263</v>
      </c>
      <c r="H921" s="2">
        <v>-17700</v>
      </c>
      <c r="I921" s="1" t="s">
        <v>44</v>
      </c>
      <c r="J921" s="3" t="s">
        <v>27</v>
      </c>
      <c r="K921" s="2">
        <v>-15000</v>
      </c>
      <c r="L921" s="2">
        <v>0</v>
      </c>
      <c r="M921" s="2">
        <v>-1350</v>
      </c>
      <c r="N921" s="2">
        <v>-1350</v>
      </c>
      <c r="O921" s="2">
        <v>0</v>
      </c>
      <c r="P921" s="1" t="s">
        <v>203</v>
      </c>
      <c r="Q921" s="1" t="s">
        <v>204</v>
      </c>
      <c r="R921" s="3" t="s">
        <v>45</v>
      </c>
      <c r="S921" s="3" t="s">
        <v>46</v>
      </c>
      <c r="T921" s="1" t="s">
        <v>31</v>
      </c>
      <c r="U921" s="2" t="s">
        <v>32</v>
      </c>
      <c r="V921" s="1" t="s">
        <v>1864</v>
      </c>
      <c r="W921" s="1" t="s">
        <v>285</v>
      </c>
      <c r="X921" s="7" t="s">
        <v>1751</v>
      </c>
      <c r="Y921" s="10">
        <f t="shared" si="30"/>
        <v>-2700</v>
      </c>
      <c r="AH921" s="5" t="e">
        <f>VLOOKUP(B921,[1]DL!$BK:$BP,6,0)</f>
        <v>#N/A</v>
      </c>
    </row>
    <row r="922" spans="1:34" ht="14.5" hidden="1">
      <c r="A922" s="5">
        <v>919</v>
      </c>
      <c r="B922" s="5" t="str">
        <f t="shared" si="28"/>
        <v>07COJPD7419B1Z7DE/25-26/84</v>
      </c>
      <c r="C922" s="1" t="s">
        <v>199</v>
      </c>
      <c r="D922" s="1" t="s">
        <v>200</v>
      </c>
      <c r="E922" s="1" t="s">
        <v>1781</v>
      </c>
      <c r="F922" s="1" t="s">
        <v>1765</v>
      </c>
      <c r="G922" s="1" t="s">
        <v>263</v>
      </c>
      <c r="H922" s="2">
        <v>-1180</v>
      </c>
      <c r="I922" s="1" t="s">
        <v>44</v>
      </c>
      <c r="J922" s="3" t="s">
        <v>27</v>
      </c>
      <c r="K922" s="2">
        <v>-1000</v>
      </c>
      <c r="L922" s="2">
        <v>0</v>
      </c>
      <c r="M922" s="2">
        <v>-90</v>
      </c>
      <c r="N922" s="2">
        <v>-90</v>
      </c>
      <c r="O922" s="2">
        <v>0</v>
      </c>
      <c r="P922" s="1" t="s">
        <v>203</v>
      </c>
      <c r="Q922" s="1" t="s">
        <v>204</v>
      </c>
      <c r="R922" s="3" t="s">
        <v>45</v>
      </c>
      <c r="S922" s="3" t="s">
        <v>46</v>
      </c>
      <c r="T922" s="1" t="s">
        <v>31</v>
      </c>
      <c r="U922" s="2" t="s">
        <v>32</v>
      </c>
      <c r="V922" s="1" t="s">
        <v>1865</v>
      </c>
      <c r="W922" s="1" t="s">
        <v>285</v>
      </c>
      <c r="X922" s="7" t="s">
        <v>1751</v>
      </c>
      <c r="Y922" s="10">
        <f t="shared" si="30"/>
        <v>-180</v>
      </c>
      <c r="AH922" s="5" t="e">
        <f>VLOOKUP(B922,[1]DL!$BK:$BP,6,0)</f>
        <v>#N/A</v>
      </c>
    </row>
    <row r="923" spans="1:34" ht="14.5" hidden="1">
      <c r="A923" s="5">
        <v>920</v>
      </c>
      <c r="B923" s="5" t="str">
        <f t="shared" si="28"/>
        <v>07COJPD7419B1Z7DE/25-26/85</v>
      </c>
      <c r="C923" s="1" t="s">
        <v>199</v>
      </c>
      <c r="D923" s="1" t="s">
        <v>200</v>
      </c>
      <c r="E923" s="1" t="s">
        <v>1782</v>
      </c>
      <c r="F923" s="1" t="s">
        <v>1765</v>
      </c>
      <c r="G923" s="1" t="s">
        <v>263</v>
      </c>
      <c r="H923" s="2">
        <v>-590</v>
      </c>
      <c r="I923" s="1" t="s">
        <v>44</v>
      </c>
      <c r="J923" s="3" t="s">
        <v>27</v>
      </c>
      <c r="K923" s="2">
        <v>-500</v>
      </c>
      <c r="L923" s="2">
        <v>0</v>
      </c>
      <c r="M923" s="2">
        <v>-45</v>
      </c>
      <c r="N923" s="2">
        <v>-45</v>
      </c>
      <c r="O923" s="2">
        <v>0</v>
      </c>
      <c r="P923" s="1" t="s">
        <v>203</v>
      </c>
      <c r="Q923" s="1" t="s">
        <v>204</v>
      </c>
      <c r="R923" s="3" t="s">
        <v>45</v>
      </c>
      <c r="S923" s="3" t="s">
        <v>46</v>
      </c>
      <c r="T923" s="1" t="s">
        <v>31</v>
      </c>
      <c r="U923" s="2" t="s">
        <v>32</v>
      </c>
      <c r="V923" s="1" t="s">
        <v>1866</v>
      </c>
      <c r="W923" s="1" t="s">
        <v>285</v>
      </c>
      <c r="X923" s="7" t="s">
        <v>1751</v>
      </c>
      <c r="Y923" s="10">
        <f t="shared" si="30"/>
        <v>-90</v>
      </c>
      <c r="AH923" s="5" t="e">
        <f>VLOOKUP(B923,[1]DL!$BK:$BP,6,0)</f>
        <v>#N/A</v>
      </c>
    </row>
    <row r="924" spans="1:34" ht="14.5" hidden="1">
      <c r="A924" s="5">
        <v>921</v>
      </c>
      <c r="B924" s="5" t="str">
        <f t="shared" si="28"/>
        <v>07COJPD7419B1Z7DE/25-26/86</v>
      </c>
      <c r="C924" s="1" t="s">
        <v>199</v>
      </c>
      <c r="D924" s="1" t="s">
        <v>200</v>
      </c>
      <c r="E924" s="1" t="s">
        <v>1783</v>
      </c>
      <c r="F924" s="1" t="s">
        <v>1765</v>
      </c>
      <c r="G924" s="1" t="s">
        <v>263</v>
      </c>
      <c r="H924" s="2">
        <v>-2950</v>
      </c>
      <c r="I924" s="1" t="s">
        <v>44</v>
      </c>
      <c r="J924" s="3" t="s">
        <v>27</v>
      </c>
      <c r="K924" s="2">
        <v>-2500</v>
      </c>
      <c r="L924" s="2">
        <v>0</v>
      </c>
      <c r="M924" s="2">
        <v>-225</v>
      </c>
      <c r="N924" s="2">
        <v>-225</v>
      </c>
      <c r="O924" s="2">
        <v>0</v>
      </c>
      <c r="P924" s="1" t="s">
        <v>203</v>
      </c>
      <c r="Q924" s="1" t="s">
        <v>204</v>
      </c>
      <c r="R924" s="3" t="s">
        <v>45</v>
      </c>
      <c r="S924" s="3" t="s">
        <v>46</v>
      </c>
      <c r="T924" s="1" t="s">
        <v>31</v>
      </c>
      <c r="U924" s="2" t="s">
        <v>32</v>
      </c>
      <c r="V924" s="1" t="s">
        <v>1867</v>
      </c>
      <c r="W924" s="1" t="s">
        <v>285</v>
      </c>
      <c r="X924" s="7" t="s">
        <v>1751</v>
      </c>
      <c r="Y924" s="10">
        <f t="shared" si="30"/>
        <v>-450</v>
      </c>
      <c r="AH924" s="5" t="e">
        <f>VLOOKUP(B924,[1]DL!$BK:$BP,6,0)</f>
        <v>#N/A</v>
      </c>
    </row>
    <row r="925" spans="1:34" ht="14.5" hidden="1">
      <c r="A925" s="5">
        <v>922</v>
      </c>
      <c r="B925" s="5" t="str">
        <f t="shared" si="28"/>
        <v>07COJPD7419B1Z7DE/25-26/87</v>
      </c>
      <c r="C925" s="1" t="s">
        <v>199</v>
      </c>
      <c r="D925" s="1" t="s">
        <v>200</v>
      </c>
      <c r="E925" s="1" t="s">
        <v>1784</v>
      </c>
      <c r="F925" s="1" t="s">
        <v>1765</v>
      </c>
      <c r="G925" s="1" t="s">
        <v>263</v>
      </c>
      <c r="H925" s="2">
        <v>-66.08</v>
      </c>
      <c r="I925" s="1" t="s">
        <v>44</v>
      </c>
      <c r="J925" s="3" t="s">
        <v>27</v>
      </c>
      <c r="K925" s="2">
        <v>-56</v>
      </c>
      <c r="L925" s="2">
        <v>0</v>
      </c>
      <c r="M925" s="2">
        <v>-5.04</v>
      </c>
      <c r="N925" s="2">
        <v>-5.04</v>
      </c>
      <c r="O925" s="2">
        <v>0</v>
      </c>
      <c r="P925" s="1" t="s">
        <v>203</v>
      </c>
      <c r="Q925" s="1" t="s">
        <v>204</v>
      </c>
      <c r="R925" s="3" t="s">
        <v>45</v>
      </c>
      <c r="S925" s="3" t="s">
        <v>46</v>
      </c>
      <c r="T925" s="1" t="s">
        <v>31</v>
      </c>
      <c r="U925" s="2" t="s">
        <v>32</v>
      </c>
      <c r="V925" s="1" t="s">
        <v>1868</v>
      </c>
      <c r="W925" s="1" t="s">
        <v>285</v>
      </c>
      <c r="X925" s="7" t="s">
        <v>1751</v>
      </c>
      <c r="Y925" s="10">
        <f t="shared" si="30"/>
        <v>-10.08</v>
      </c>
      <c r="AH925" s="5" t="e">
        <f>VLOOKUP(B925,[1]DL!$BK:$BP,6,0)</f>
        <v>#N/A</v>
      </c>
    </row>
    <row r="926" spans="1:34" ht="14.5" hidden="1">
      <c r="A926" s="5">
        <v>923</v>
      </c>
      <c r="B926" s="5" t="str">
        <f t="shared" si="28"/>
        <v>07COJPD7419B1Z7DE/25-26/88</v>
      </c>
      <c r="C926" s="1" t="s">
        <v>199</v>
      </c>
      <c r="D926" s="1" t="s">
        <v>200</v>
      </c>
      <c r="E926" s="1" t="s">
        <v>1785</v>
      </c>
      <c r="F926" s="1" t="s">
        <v>1765</v>
      </c>
      <c r="G926" s="1" t="s">
        <v>263</v>
      </c>
      <c r="H926" s="2">
        <v>-14160</v>
      </c>
      <c r="I926" s="1" t="s">
        <v>44</v>
      </c>
      <c r="J926" s="3" t="s">
        <v>27</v>
      </c>
      <c r="K926" s="2">
        <v>-12000</v>
      </c>
      <c r="L926" s="2">
        <v>0</v>
      </c>
      <c r="M926" s="2">
        <v>-1080</v>
      </c>
      <c r="N926" s="2">
        <v>-1080</v>
      </c>
      <c r="O926" s="2">
        <v>0</v>
      </c>
      <c r="P926" s="1" t="s">
        <v>203</v>
      </c>
      <c r="Q926" s="1" t="s">
        <v>204</v>
      </c>
      <c r="R926" s="3" t="s">
        <v>45</v>
      </c>
      <c r="S926" s="3" t="s">
        <v>46</v>
      </c>
      <c r="T926" s="1" t="s">
        <v>31</v>
      </c>
      <c r="U926" s="2" t="s">
        <v>32</v>
      </c>
      <c r="V926" s="1" t="s">
        <v>1869</v>
      </c>
      <c r="W926" s="1" t="s">
        <v>285</v>
      </c>
      <c r="X926" s="7" t="s">
        <v>1751</v>
      </c>
      <c r="Y926" s="10">
        <f t="shared" si="30"/>
        <v>-2160</v>
      </c>
      <c r="AH926" s="5" t="e">
        <f>VLOOKUP(B926,[1]DL!$BK:$BP,6,0)</f>
        <v>#N/A</v>
      </c>
    </row>
    <row r="927" spans="1:34" ht="14.5" hidden="1">
      <c r="A927" s="5">
        <v>924</v>
      </c>
      <c r="B927" s="5" t="str">
        <f t="shared" si="28"/>
        <v>07COJPD7419B1Z7DE/25-26/89</v>
      </c>
      <c r="C927" s="1" t="s">
        <v>199</v>
      </c>
      <c r="D927" s="1" t="s">
        <v>200</v>
      </c>
      <c r="E927" s="1" t="s">
        <v>1786</v>
      </c>
      <c r="F927" s="1" t="s">
        <v>1765</v>
      </c>
      <c r="G927" s="1" t="s">
        <v>263</v>
      </c>
      <c r="H927" s="2">
        <v>-68699.600000000006</v>
      </c>
      <c r="I927" s="1" t="s">
        <v>44</v>
      </c>
      <c r="J927" s="3" t="s">
        <v>27</v>
      </c>
      <c r="K927" s="2">
        <v>-58220</v>
      </c>
      <c r="L927" s="2">
        <v>0</v>
      </c>
      <c r="M927" s="2">
        <v>-5239.80</v>
      </c>
      <c r="N927" s="2">
        <v>-5239.80</v>
      </c>
      <c r="O927" s="2">
        <v>0</v>
      </c>
      <c r="P927" s="1" t="s">
        <v>203</v>
      </c>
      <c r="Q927" s="1" t="s">
        <v>204</v>
      </c>
      <c r="R927" s="3" t="s">
        <v>45</v>
      </c>
      <c r="S927" s="3" t="s">
        <v>46</v>
      </c>
      <c r="T927" s="1" t="s">
        <v>31</v>
      </c>
      <c r="U927" s="2" t="s">
        <v>32</v>
      </c>
      <c r="V927" s="1" t="s">
        <v>1870</v>
      </c>
      <c r="W927" s="1" t="s">
        <v>285</v>
      </c>
      <c r="X927" s="7" t="s">
        <v>1751</v>
      </c>
      <c r="Y927" s="10">
        <f t="shared" si="30"/>
        <v>-10479.6</v>
      </c>
      <c r="AH927" s="5" t="e">
        <f>VLOOKUP(B927,[1]DL!$BK:$BP,6,0)</f>
        <v>#N/A</v>
      </c>
    </row>
    <row r="928" spans="1:34" ht="14.5" hidden="1">
      <c r="A928" s="5">
        <v>925</v>
      </c>
      <c r="B928" s="5" t="str">
        <f t="shared" si="28"/>
        <v>07COJPD7419B1Z7DE/25-26/90</v>
      </c>
      <c r="C928" s="1" t="s">
        <v>199</v>
      </c>
      <c r="D928" s="1" t="s">
        <v>200</v>
      </c>
      <c r="E928" s="1" t="s">
        <v>1787</v>
      </c>
      <c r="F928" s="1" t="s">
        <v>1765</v>
      </c>
      <c r="G928" s="1" t="s">
        <v>263</v>
      </c>
      <c r="H928" s="2">
        <v>-12980</v>
      </c>
      <c r="I928" s="1" t="s">
        <v>44</v>
      </c>
      <c r="J928" s="3" t="s">
        <v>27</v>
      </c>
      <c r="K928" s="2">
        <v>-11000</v>
      </c>
      <c r="L928" s="2">
        <v>0</v>
      </c>
      <c r="M928" s="2">
        <v>-990</v>
      </c>
      <c r="N928" s="2">
        <v>-990</v>
      </c>
      <c r="O928" s="2">
        <v>0</v>
      </c>
      <c r="P928" s="1" t="s">
        <v>203</v>
      </c>
      <c r="Q928" s="1" t="s">
        <v>204</v>
      </c>
      <c r="R928" s="3" t="s">
        <v>45</v>
      </c>
      <c r="S928" s="3" t="s">
        <v>46</v>
      </c>
      <c r="T928" s="1" t="s">
        <v>31</v>
      </c>
      <c r="U928" s="2" t="s">
        <v>32</v>
      </c>
      <c r="V928" s="1" t="s">
        <v>1871</v>
      </c>
      <c r="W928" s="1" t="s">
        <v>285</v>
      </c>
      <c r="X928" s="7" t="s">
        <v>1751</v>
      </c>
      <c r="Y928" s="10">
        <f t="shared" si="30"/>
        <v>-1980</v>
      </c>
      <c r="AH928" s="5" t="e">
        <f>VLOOKUP(B928,[1]DL!$BK:$BP,6,0)</f>
        <v>#N/A</v>
      </c>
    </row>
    <row r="929" spans="1:34" ht="14.5" hidden="1">
      <c r="A929" s="5">
        <v>926</v>
      </c>
      <c r="B929" s="5" t="str">
        <f t="shared" si="28"/>
        <v>07COJPD7419B1Z7DE/25-26/91</v>
      </c>
      <c r="C929" s="1" t="s">
        <v>199</v>
      </c>
      <c r="D929" s="1" t="s">
        <v>200</v>
      </c>
      <c r="E929" s="1" t="s">
        <v>1788</v>
      </c>
      <c r="F929" s="1" t="s">
        <v>1765</v>
      </c>
      <c r="G929" s="1" t="s">
        <v>263</v>
      </c>
      <c r="H929" s="2">
        <v>-592.36</v>
      </c>
      <c r="I929" s="1" t="s">
        <v>44</v>
      </c>
      <c r="J929" s="3" t="s">
        <v>27</v>
      </c>
      <c r="K929" s="2">
        <v>-502</v>
      </c>
      <c r="L929" s="2">
        <v>0</v>
      </c>
      <c r="M929" s="2">
        <v>-45.18</v>
      </c>
      <c r="N929" s="2">
        <v>-45.18</v>
      </c>
      <c r="O929" s="2">
        <v>0</v>
      </c>
      <c r="P929" s="1" t="s">
        <v>203</v>
      </c>
      <c r="Q929" s="1" t="s">
        <v>204</v>
      </c>
      <c r="R929" s="3" t="s">
        <v>45</v>
      </c>
      <c r="S929" s="3" t="s">
        <v>46</v>
      </c>
      <c r="T929" s="1" t="s">
        <v>31</v>
      </c>
      <c r="U929" s="2" t="s">
        <v>32</v>
      </c>
      <c r="V929" s="1" t="s">
        <v>1872</v>
      </c>
      <c r="W929" s="1" t="s">
        <v>285</v>
      </c>
      <c r="X929" s="7" t="s">
        <v>1751</v>
      </c>
      <c r="Y929" s="10">
        <f t="shared" si="30"/>
        <v>-90.359999999999999</v>
      </c>
      <c r="AH929" s="5" t="e">
        <f>VLOOKUP(B929,[1]DL!$BK:$BP,6,0)</f>
        <v>#N/A</v>
      </c>
    </row>
    <row r="930" spans="1:34" ht="14.5" hidden="1">
      <c r="A930" s="5">
        <v>927</v>
      </c>
      <c r="B930" s="5" t="str">
        <f t="shared" si="28"/>
        <v>06AABCI3609K1ZN26060170</v>
      </c>
      <c r="C930" s="1" t="s">
        <v>1789</v>
      </c>
      <c r="D930" s="1" t="s">
        <v>1790</v>
      </c>
      <c r="E930" s="1" t="s">
        <v>1791</v>
      </c>
      <c r="F930" s="1" t="s">
        <v>1765</v>
      </c>
      <c r="G930" s="1" t="s">
        <v>25</v>
      </c>
      <c r="H930" s="2">
        <v>-271400</v>
      </c>
      <c r="I930" s="1" t="s">
        <v>44</v>
      </c>
      <c r="J930" s="3" t="s">
        <v>27</v>
      </c>
      <c r="K930" s="2">
        <v>-230000</v>
      </c>
      <c r="L930" s="2">
        <v>-41400</v>
      </c>
      <c r="M930" s="2">
        <v>0</v>
      </c>
      <c r="N930" s="2">
        <v>0</v>
      </c>
      <c r="O930" s="2">
        <v>0</v>
      </c>
      <c r="P930" s="1" t="s">
        <v>28</v>
      </c>
      <c r="Q930" s="1" t="s">
        <v>120</v>
      </c>
      <c r="R930" s="3" t="s">
        <v>45</v>
      </c>
      <c r="S930" s="3" t="s">
        <v>46</v>
      </c>
      <c r="T930" s="1" t="s">
        <v>31</v>
      </c>
      <c r="U930" s="2" t="s">
        <v>32</v>
      </c>
      <c r="V930" s="1" t="s">
        <v>1873</v>
      </c>
      <c r="W930" s="1" t="s">
        <v>25</v>
      </c>
      <c r="X930" s="7" t="s">
        <v>1751</v>
      </c>
      <c r="Y930" s="10">
        <f t="shared" si="30"/>
        <v>-41400</v>
      </c>
      <c r="AH930" s="5" t="e">
        <f>VLOOKUP(B930,[1]DL!$BK:$BP,6,0)</f>
        <v>#N/A</v>
      </c>
    </row>
    <row r="931" spans="1:34" ht="14.5" hidden="1">
      <c r="A931" s="5">
        <v>928</v>
      </c>
      <c r="B931" s="5" t="str">
        <f t="shared" si="28"/>
        <v>09AAKFA0281H1ZJCNAZBD26270073</v>
      </c>
      <c r="C931" s="1" t="s">
        <v>582</v>
      </c>
      <c r="D931" s="1" t="s">
        <v>583</v>
      </c>
      <c r="E931" s="1" t="s">
        <v>1792</v>
      </c>
      <c r="F931" s="1" t="s">
        <v>1765</v>
      </c>
      <c r="G931" s="1" t="s">
        <v>585</v>
      </c>
      <c r="H931" s="2">
        <v>-603570</v>
      </c>
      <c r="I931" s="1" t="s">
        <v>44</v>
      </c>
      <c r="J931" s="3" t="s">
        <v>45</v>
      </c>
      <c r="K931" s="2">
        <v>-511500</v>
      </c>
      <c r="L931" s="2">
        <v>-92070</v>
      </c>
      <c r="M931" s="2">
        <v>0</v>
      </c>
      <c r="N931" s="2">
        <v>0</v>
      </c>
      <c r="O931" s="2">
        <v>0</v>
      </c>
      <c r="P931" s="1" t="s">
        <v>28</v>
      </c>
      <c r="Q931" s="1" t="s">
        <v>120</v>
      </c>
      <c r="R931" s="3" t="s">
        <v>45</v>
      </c>
      <c r="S931" s="3" t="s">
        <v>46</v>
      </c>
      <c r="T931" s="1" t="s">
        <v>31</v>
      </c>
      <c r="U931" s="2" t="s">
        <v>46</v>
      </c>
      <c r="V931" s="1" t="s">
        <v>46</v>
      </c>
      <c r="W931" s="1" t="s">
        <v>46</v>
      </c>
      <c r="X931" s="7" t="s">
        <v>1751</v>
      </c>
      <c r="Y931" s="10">
        <f t="shared" si="30"/>
        <v>-92070</v>
      </c>
      <c r="AH931" s="5" t="e">
        <f>VLOOKUP(B931,[1]DL!$BK:$BP,6,0)</f>
        <v>#N/A</v>
      </c>
    </row>
    <row r="932" spans="1:34" ht="14.5" hidden="1">
      <c r="A932" s="5">
        <v>929</v>
      </c>
      <c r="B932" s="5" t="str">
        <f t="shared" si="28"/>
        <v>06AANCR0200R1Z7CN27-0001</v>
      </c>
      <c r="C932" s="1" t="s">
        <v>1793</v>
      </c>
      <c r="D932" s="1" t="s">
        <v>1794</v>
      </c>
      <c r="E932" s="1" t="s">
        <v>1795</v>
      </c>
      <c r="F932" s="1" t="s">
        <v>1765</v>
      </c>
      <c r="G932" s="1" t="s">
        <v>52</v>
      </c>
      <c r="H932" s="2">
        <v>-29500</v>
      </c>
      <c r="I932" s="1" t="s">
        <v>44</v>
      </c>
      <c r="J932" s="3" t="s">
        <v>27</v>
      </c>
      <c r="K932" s="2">
        <v>-25000</v>
      </c>
      <c r="L932" s="2">
        <v>-4500</v>
      </c>
      <c r="M932" s="2">
        <v>0</v>
      </c>
      <c r="N932" s="2">
        <v>0</v>
      </c>
      <c r="O932" s="2">
        <v>0</v>
      </c>
      <c r="P932" s="1" t="s">
        <v>28</v>
      </c>
      <c r="Q932" s="1" t="s">
        <v>29</v>
      </c>
      <c r="R932" s="3" t="s">
        <v>45</v>
      </c>
      <c r="S932" s="3" t="s">
        <v>46</v>
      </c>
      <c r="T932" s="1" t="s">
        <v>31</v>
      </c>
      <c r="U932" s="2" t="s">
        <v>46</v>
      </c>
      <c r="V932" s="1" t="s">
        <v>46</v>
      </c>
      <c r="W932" s="1" t="s">
        <v>46</v>
      </c>
      <c r="X932" s="7" t="s">
        <v>1751</v>
      </c>
      <c r="Y932" s="10">
        <f t="shared" si="30"/>
        <v>-4500</v>
      </c>
      <c r="AH932" s="5" t="e">
        <f>VLOOKUP(B932,[1]DL!$BK:$BP,6,0)</f>
        <v>#N/A</v>
      </c>
    </row>
    <row r="933" spans="1:34" ht="14.5" hidden="1">
      <c r="A933" s="5">
        <v>930</v>
      </c>
      <c r="B933" s="5" t="str">
        <f t="shared" si="28"/>
        <v>06AANCR0200R1Z7CN27-0002</v>
      </c>
      <c r="C933" s="1" t="s">
        <v>1793</v>
      </c>
      <c r="D933" s="1" t="s">
        <v>1794</v>
      </c>
      <c r="E933" s="1" t="s">
        <v>1796</v>
      </c>
      <c r="F933" s="1" t="s">
        <v>1765</v>
      </c>
      <c r="G933" s="1" t="s">
        <v>52</v>
      </c>
      <c r="H933" s="2">
        <v>-29500</v>
      </c>
      <c r="I933" s="1" t="s">
        <v>44</v>
      </c>
      <c r="J933" s="3" t="s">
        <v>27</v>
      </c>
      <c r="K933" s="2">
        <v>-25000</v>
      </c>
      <c r="L933" s="2">
        <v>-4500</v>
      </c>
      <c r="M933" s="2">
        <v>0</v>
      </c>
      <c r="N933" s="2">
        <v>0</v>
      </c>
      <c r="O933" s="2">
        <v>0</v>
      </c>
      <c r="P933" s="1" t="s">
        <v>28</v>
      </c>
      <c r="Q933" s="1" t="s">
        <v>29</v>
      </c>
      <c r="R933" s="3" t="s">
        <v>45</v>
      </c>
      <c r="S933" s="3" t="s">
        <v>46</v>
      </c>
      <c r="T933" s="1" t="s">
        <v>31</v>
      </c>
      <c r="U933" s="2" t="s">
        <v>46</v>
      </c>
      <c r="V933" s="1" t="s">
        <v>46</v>
      </c>
      <c r="W933" s="1" t="s">
        <v>46</v>
      </c>
      <c r="X933" s="7" t="s">
        <v>1751</v>
      </c>
      <c r="Y933" s="10">
        <f t="shared" si="30"/>
        <v>-4500</v>
      </c>
      <c r="AH933" s="5" t="e">
        <f>VLOOKUP(B933,[1]DL!$BK:$BP,6,0)</f>
        <v>#N/A</v>
      </c>
    </row>
    <row r="934" spans="1:34" ht="14.5" hidden="1">
      <c r="A934" s="5">
        <v>931</v>
      </c>
      <c r="B934" s="5" t="str">
        <f t="shared" si="28"/>
        <v>06AANCR0200R1Z7CN27-0003</v>
      </c>
      <c r="C934" s="1" t="s">
        <v>1793</v>
      </c>
      <c r="D934" s="1" t="s">
        <v>1794</v>
      </c>
      <c r="E934" s="1" t="s">
        <v>1797</v>
      </c>
      <c r="F934" s="1" t="s">
        <v>1765</v>
      </c>
      <c r="G934" s="1" t="s">
        <v>52</v>
      </c>
      <c r="H934" s="2">
        <v>-29500</v>
      </c>
      <c r="I934" s="1" t="s">
        <v>44</v>
      </c>
      <c r="J934" s="3" t="s">
        <v>27</v>
      </c>
      <c r="K934" s="2">
        <v>-25000</v>
      </c>
      <c r="L934" s="2">
        <v>-4500</v>
      </c>
      <c r="M934" s="2">
        <v>0</v>
      </c>
      <c r="N934" s="2">
        <v>0</v>
      </c>
      <c r="O934" s="2">
        <v>0</v>
      </c>
      <c r="P934" s="1" t="s">
        <v>28</v>
      </c>
      <c r="Q934" s="1" t="s">
        <v>29</v>
      </c>
      <c r="R934" s="3" t="s">
        <v>45</v>
      </c>
      <c r="S934" s="3" t="s">
        <v>46</v>
      </c>
      <c r="T934" s="1" t="s">
        <v>31</v>
      </c>
      <c r="U934" s="2" t="s">
        <v>46</v>
      </c>
      <c r="V934" s="1" t="s">
        <v>46</v>
      </c>
      <c r="W934" s="1" t="s">
        <v>46</v>
      </c>
      <c r="X934" s="7" t="s">
        <v>1751</v>
      </c>
      <c r="Y934" s="10">
        <f t="shared" si="30"/>
        <v>-4500</v>
      </c>
      <c r="AH934" s="5" t="e">
        <f>VLOOKUP(B934,[1]DL!$BK:$BP,6,0)</f>
        <v>#N/A</v>
      </c>
    </row>
    <row r="935" spans="1:34" ht="14.5" hidden="1">
      <c r="A935" s="5">
        <v>932</v>
      </c>
      <c r="B935" s="5" t="str">
        <f t="shared" si="28"/>
        <v>06AANCR0200R1Z7CN27-0004</v>
      </c>
      <c r="C935" s="1" t="s">
        <v>1793</v>
      </c>
      <c r="D935" s="1" t="s">
        <v>1794</v>
      </c>
      <c r="E935" s="1" t="s">
        <v>1798</v>
      </c>
      <c r="F935" s="1" t="s">
        <v>1765</v>
      </c>
      <c r="G935" s="1" t="s">
        <v>52</v>
      </c>
      <c r="H935" s="2">
        <v>-29500</v>
      </c>
      <c r="I935" s="1" t="s">
        <v>44</v>
      </c>
      <c r="J935" s="3" t="s">
        <v>27</v>
      </c>
      <c r="K935" s="2">
        <v>-25000</v>
      </c>
      <c r="L935" s="2">
        <v>-4500</v>
      </c>
      <c r="M935" s="2">
        <v>0</v>
      </c>
      <c r="N935" s="2">
        <v>0</v>
      </c>
      <c r="O935" s="2">
        <v>0</v>
      </c>
      <c r="P935" s="1" t="s">
        <v>28</v>
      </c>
      <c r="Q935" s="1" t="s">
        <v>29</v>
      </c>
      <c r="R935" s="3" t="s">
        <v>45</v>
      </c>
      <c r="S935" s="3" t="s">
        <v>46</v>
      </c>
      <c r="T935" s="1" t="s">
        <v>31</v>
      </c>
      <c r="U935" s="2" t="s">
        <v>46</v>
      </c>
      <c r="V935" s="1" t="s">
        <v>46</v>
      </c>
      <c r="W935" s="1" t="s">
        <v>46</v>
      </c>
      <c r="X935" s="7" t="s">
        <v>1751</v>
      </c>
      <c r="Y935" s="10">
        <f t="shared" si="30"/>
        <v>-4500</v>
      </c>
      <c r="AH935" s="5" t="e">
        <f>VLOOKUP(B935,[1]DL!$BK:$BP,6,0)</f>
        <v>#N/A</v>
      </c>
    </row>
    <row r="936" spans="1:34" ht="14.5" hidden="1">
      <c r="A936" s="5">
        <v>933</v>
      </c>
      <c r="B936" s="5" t="str">
        <f t="shared" si="28"/>
        <v>06AANCR0200R1Z7CN27-0005</v>
      </c>
      <c r="C936" s="1" t="s">
        <v>1793</v>
      </c>
      <c r="D936" s="1" t="s">
        <v>1794</v>
      </c>
      <c r="E936" s="1" t="s">
        <v>1799</v>
      </c>
      <c r="F936" s="1" t="s">
        <v>1765</v>
      </c>
      <c r="G936" s="1" t="s">
        <v>52</v>
      </c>
      <c r="H936" s="2">
        <v>-29500</v>
      </c>
      <c r="I936" s="1" t="s">
        <v>44</v>
      </c>
      <c r="J936" s="3" t="s">
        <v>27</v>
      </c>
      <c r="K936" s="2">
        <v>-25000</v>
      </c>
      <c r="L936" s="2">
        <v>-4500</v>
      </c>
      <c r="M936" s="2">
        <v>0</v>
      </c>
      <c r="N936" s="2">
        <v>0</v>
      </c>
      <c r="O936" s="2">
        <v>0</v>
      </c>
      <c r="P936" s="1" t="s">
        <v>28</v>
      </c>
      <c r="Q936" s="1" t="s">
        <v>29</v>
      </c>
      <c r="R936" s="3" t="s">
        <v>45</v>
      </c>
      <c r="S936" s="3" t="s">
        <v>46</v>
      </c>
      <c r="T936" s="1" t="s">
        <v>31</v>
      </c>
      <c r="U936" s="2" t="s">
        <v>46</v>
      </c>
      <c r="V936" s="1" t="s">
        <v>46</v>
      </c>
      <c r="W936" s="1" t="s">
        <v>46</v>
      </c>
      <c r="X936" s="7" t="s">
        <v>1751</v>
      </c>
      <c r="Y936" s="10">
        <f t="shared" si="30"/>
        <v>-4500</v>
      </c>
      <c r="AH936" s="5" t="e">
        <f>VLOOKUP(B936,[1]DL!$BK:$BP,6,0)</f>
        <v>#N/A</v>
      </c>
    </row>
    <row r="937" spans="1:34" ht="14.5" hidden="1">
      <c r="A937" s="5">
        <v>934</v>
      </c>
      <c r="B937" s="5" t="str">
        <f t="shared" si="28"/>
        <v>06AANCR0200R1Z7CN27-0006</v>
      </c>
      <c r="C937" s="1" t="s">
        <v>1793</v>
      </c>
      <c r="D937" s="1" t="s">
        <v>1794</v>
      </c>
      <c r="E937" s="1" t="s">
        <v>1800</v>
      </c>
      <c r="F937" s="1" t="s">
        <v>1765</v>
      </c>
      <c r="G937" s="1" t="s">
        <v>52</v>
      </c>
      <c r="H937" s="2">
        <v>-29500</v>
      </c>
      <c r="I937" s="1" t="s">
        <v>44</v>
      </c>
      <c r="J937" s="3" t="s">
        <v>27</v>
      </c>
      <c r="K937" s="2">
        <v>-25000</v>
      </c>
      <c r="L937" s="2">
        <v>-4500</v>
      </c>
      <c r="M937" s="2">
        <v>0</v>
      </c>
      <c r="N937" s="2">
        <v>0</v>
      </c>
      <c r="O937" s="2">
        <v>0</v>
      </c>
      <c r="P937" s="1" t="s">
        <v>28</v>
      </c>
      <c r="Q937" s="1" t="s">
        <v>29</v>
      </c>
      <c r="R937" s="3" t="s">
        <v>45</v>
      </c>
      <c r="S937" s="3" t="s">
        <v>46</v>
      </c>
      <c r="T937" s="1" t="s">
        <v>31</v>
      </c>
      <c r="U937" s="2" t="s">
        <v>46</v>
      </c>
      <c r="V937" s="1" t="s">
        <v>46</v>
      </c>
      <c r="W937" s="1" t="s">
        <v>46</v>
      </c>
      <c r="X937" s="7" t="s">
        <v>1751</v>
      </c>
      <c r="Y937" s="10">
        <f t="shared" si="30"/>
        <v>-4500</v>
      </c>
      <c r="AH937" s="5" t="e">
        <f>VLOOKUP(B937,[1]DL!$BK:$BP,6,0)</f>
        <v>#N/A</v>
      </c>
    </row>
    <row r="938" spans="1:34" ht="14.5" hidden="1">
      <c r="A938" s="5">
        <v>935</v>
      </c>
      <c r="B938" s="5" t="str">
        <f t="shared" si="28"/>
        <v>09AABCT0716G1ZLCN0900026726</v>
      </c>
      <c r="C938" s="1" t="s">
        <v>1801</v>
      </c>
      <c r="D938" s="1" t="s">
        <v>1802</v>
      </c>
      <c r="E938" s="1" t="s">
        <v>1803</v>
      </c>
      <c r="F938" s="1" t="s">
        <v>1765</v>
      </c>
      <c r="G938" s="1" t="s">
        <v>70</v>
      </c>
      <c r="H938" s="2">
        <v>-247790.56</v>
      </c>
      <c r="I938" s="1" t="s">
        <v>44</v>
      </c>
      <c r="J938" s="3" t="s">
        <v>27</v>
      </c>
      <c r="K938" s="2">
        <v>-209992</v>
      </c>
      <c r="L938" s="2">
        <v>-37798.56</v>
      </c>
      <c r="M938" s="2">
        <v>0</v>
      </c>
      <c r="N938" s="2">
        <v>0</v>
      </c>
      <c r="O938" s="2">
        <v>0</v>
      </c>
      <c r="P938" s="1" t="s">
        <v>28</v>
      </c>
      <c r="Q938" s="1" t="s">
        <v>29</v>
      </c>
      <c r="R938" s="3" t="s">
        <v>45</v>
      </c>
      <c r="S938" s="3" t="s">
        <v>46</v>
      </c>
      <c r="T938" s="1" t="s">
        <v>31</v>
      </c>
      <c r="U938" s="2" t="s">
        <v>46</v>
      </c>
      <c r="V938" s="1" t="s">
        <v>46</v>
      </c>
      <c r="W938" s="1" t="s">
        <v>46</v>
      </c>
      <c r="X938" s="7" t="s">
        <v>1751</v>
      </c>
      <c r="Y938" s="10">
        <f t="shared" si="30"/>
        <v>-37798.559999999998</v>
      </c>
      <c r="AH938" s="5" t="e">
        <f>VLOOKUP(B938,[1]DL!$BK:$BP,6,0)</f>
        <v>#N/A</v>
      </c>
    </row>
    <row r="939" spans="1:34" ht="14.5" hidden="1">
      <c r="A939" s="5">
        <v>936</v>
      </c>
      <c r="B939" s="5" t="str">
        <f t="shared" si="28"/>
        <v>07ABNFS1629M1ZN9</v>
      </c>
      <c r="C939" s="1" t="s">
        <v>1611</v>
      </c>
      <c r="D939" s="1" t="s">
        <v>1612</v>
      </c>
      <c r="E939" s="1" t="s">
        <v>1804</v>
      </c>
      <c r="F939" s="1" t="s">
        <v>1765</v>
      </c>
      <c r="G939" s="1" t="s">
        <v>133</v>
      </c>
      <c r="H939" s="2">
        <v>-88795</v>
      </c>
      <c r="I939" s="1" t="s">
        <v>44</v>
      </c>
      <c r="J939" s="3" t="s">
        <v>27</v>
      </c>
      <c r="K939" s="2">
        <v>-75250</v>
      </c>
      <c r="L939" s="2">
        <v>0</v>
      </c>
      <c r="M939" s="2">
        <v>-6772.5</v>
      </c>
      <c r="N939" s="2">
        <v>-6772.5</v>
      </c>
      <c r="O939" s="2">
        <v>0</v>
      </c>
      <c r="P939" s="1" t="s">
        <v>28</v>
      </c>
      <c r="Q939" s="1" t="s">
        <v>29</v>
      </c>
      <c r="R939" s="3" t="s">
        <v>45</v>
      </c>
      <c r="S939" s="3" t="s">
        <v>46</v>
      </c>
      <c r="T939" s="1" t="s">
        <v>31</v>
      </c>
      <c r="U939" s="2" t="s">
        <v>32</v>
      </c>
      <c r="V939" s="1" t="s">
        <v>1874</v>
      </c>
      <c r="W939" s="1" t="s">
        <v>133</v>
      </c>
      <c r="X939" s="7" t="s">
        <v>1751</v>
      </c>
      <c r="Y939" s="10">
        <f t="shared" si="30"/>
        <v>-13545</v>
      </c>
      <c r="AH939" s="5" t="e">
        <f>VLOOKUP(B939,[1]DL!$BK:$BP,6,0)</f>
        <v>#N/A</v>
      </c>
    </row>
    <row r="940" spans="1:34" ht="14.5" hidden="1">
      <c r="A940" s="5">
        <v>937</v>
      </c>
      <c r="B940" s="5" t="str">
        <f t="shared" si="28"/>
        <v>07AACCE9997K1ZT20260002</v>
      </c>
      <c r="C940" s="1" t="s">
        <v>1100</v>
      </c>
      <c r="D940" s="1" t="s">
        <v>1101</v>
      </c>
      <c r="E940" s="1" t="s">
        <v>1805</v>
      </c>
      <c r="F940" s="1" t="s">
        <v>1765</v>
      </c>
      <c r="G940" s="1" t="s">
        <v>154</v>
      </c>
      <c r="H940" s="2">
        <v>-672529.20</v>
      </c>
      <c r="I940" s="1" t="s">
        <v>44</v>
      </c>
      <c r="J940" s="3" t="s">
        <v>27</v>
      </c>
      <c r="K940" s="2">
        <v>-569940</v>
      </c>
      <c r="L940" s="2">
        <v>0</v>
      </c>
      <c r="M940" s="2">
        <v>-51294.60</v>
      </c>
      <c r="N940" s="2">
        <v>-51294.60</v>
      </c>
      <c r="O940" s="2">
        <v>0</v>
      </c>
      <c r="P940" s="1" t="s">
        <v>28</v>
      </c>
      <c r="Q940" s="1" t="s">
        <v>29</v>
      </c>
      <c r="R940" s="3" t="s">
        <v>45</v>
      </c>
      <c r="S940" s="3" t="s">
        <v>46</v>
      </c>
      <c r="T940" s="1" t="s">
        <v>31</v>
      </c>
      <c r="U940" s="2" t="s">
        <v>32</v>
      </c>
      <c r="V940" s="1" t="s">
        <v>1875</v>
      </c>
      <c r="W940" s="1" t="s">
        <v>154</v>
      </c>
      <c r="X940" s="7" t="s">
        <v>1751</v>
      </c>
      <c r="Y940" s="10">
        <f t="shared" si="30"/>
        <v>-102589.2</v>
      </c>
      <c r="AH940" s="5" t="e">
        <f>VLOOKUP(B940,[1]DL!$BK:$BP,6,0)</f>
        <v>#N/A</v>
      </c>
    </row>
    <row r="941" spans="1:34" ht="14.5" hidden="1">
      <c r="A941" s="5">
        <v>938</v>
      </c>
      <c r="B941" s="5" t="str">
        <f t="shared" si="28"/>
        <v>07AAACE6958L1Z6DGSR2627/60008</v>
      </c>
      <c r="C941" s="1" t="s">
        <v>1806</v>
      </c>
      <c r="D941" s="1" t="s">
        <v>1807</v>
      </c>
      <c r="E941" s="1" t="s">
        <v>1808</v>
      </c>
      <c r="F941" s="1" t="s">
        <v>1765</v>
      </c>
      <c r="G941" s="1" t="s">
        <v>171</v>
      </c>
      <c r="H941" s="2">
        <v>-234230</v>
      </c>
      <c r="I941" s="1" t="s">
        <v>44</v>
      </c>
      <c r="J941" s="3" t="s">
        <v>27</v>
      </c>
      <c r="K941" s="2">
        <v>-198500</v>
      </c>
      <c r="L941" s="2">
        <v>0</v>
      </c>
      <c r="M941" s="2">
        <v>-17865</v>
      </c>
      <c r="N941" s="2">
        <v>-17865</v>
      </c>
      <c r="O941" s="2">
        <v>0</v>
      </c>
      <c r="P941" s="1" t="s">
        <v>28</v>
      </c>
      <c r="Q941" s="1" t="s">
        <v>367</v>
      </c>
      <c r="R941" s="3" t="s">
        <v>45</v>
      </c>
      <c r="S941" s="3" t="s">
        <v>46</v>
      </c>
      <c r="T941" s="1" t="s">
        <v>31</v>
      </c>
      <c r="U941" s="2" t="s">
        <v>46</v>
      </c>
      <c r="V941" s="1" t="s">
        <v>46</v>
      </c>
      <c r="W941" s="1" t="s">
        <v>46</v>
      </c>
      <c r="X941" s="7" t="s">
        <v>1751</v>
      </c>
      <c r="Y941" s="10">
        <f t="shared" si="30"/>
        <v>-35730</v>
      </c>
      <c r="AH941" s="5" t="e">
        <f>VLOOKUP(B941,[1]DL!$BK:$BP,6,0)</f>
        <v>#N/A</v>
      </c>
    </row>
    <row r="942" spans="1:34" ht="14.5" hidden="1">
      <c r="A942" s="5">
        <v>939</v>
      </c>
      <c r="B942" s="5" t="str">
        <f t="shared" si="28"/>
        <v>09ACGFA1224N1ZD15</v>
      </c>
      <c r="C942" s="1" t="s">
        <v>660</v>
      </c>
      <c r="D942" s="1" t="s">
        <v>661</v>
      </c>
      <c r="E942" s="1" t="s">
        <v>591</v>
      </c>
      <c r="F942" s="1" t="s">
        <v>1765</v>
      </c>
      <c r="G942" s="1" t="s">
        <v>289</v>
      </c>
      <c r="H942" s="2">
        <v>-16270</v>
      </c>
      <c r="I942" s="1" t="s">
        <v>44</v>
      </c>
      <c r="J942" s="3" t="s">
        <v>27</v>
      </c>
      <c r="K942" s="2">
        <v>-14500</v>
      </c>
      <c r="L942" s="2">
        <v>-1770</v>
      </c>
      <c r="M942" s="2">
        <v>0</v>
      </c>
      <c r="N942" s="2">
        <v>0</v>
      </c>
      <c r="O942" s="2">
        <v>0</v>
      </c>
      <c r="P942" s="1" t="s">
        <v>28</v>
      </c>
      <c r="Q942" s="1" t="s">
        <v>94</v>
      </c>
      <c r="R942" s="3" t="s">
        <v>45</v>
      </c>
      <c r="S942" s="3" t="s">
        <v>46</v>
      </c>
      <c r="T942" s="1" t="s">
        <v>31</v>
      </c>
      <c r="U942" s="2" t="s">
        <v>46</v>
      </c>
      <c r="V942" s="1" t="s">
        <v>46</v>
      </c>
      <c r="W942" s="1" t="s">
        <v>46</v>
      </c>
      <c r="X942" s="7" t="s">
        <v>1751</v>
      </c>
      <c r="Y942" s="10">
        <f t="shared" si="30"/>
        <v>-1770</v>
      </c>
      <c r="AH942" s="5" t="e">
        <f>VLOOKUP(B942,[1]DL!$BK:$BP,6,0)</f>
        <v>#N/A</v>
      </c>
    </row>
    <row r="943" spans="1:34" ht="14.5" hidden="1">
      <c r="A943" s="5">
        <v>940</v>
      </c>
      <c r="B943" s="5" t="str">
        <f t="shared" si="28"/>
        <v>24AADCS0030Q1ZGCN/07/26-27</v>
      </c>
      <c r="C943" s="1" t="s">
        <v>1403</v>
      </c>
      <c r="D943" s="1" t="s">
        <v>1404</v>
      </c>
      <c r="E943" s="1" t="s">
        <v>1809</v>
      </c>
      <c r="F943" s="1" t="s">
        <v>1765</v>
      </c>
      <c r="G943" s="1" t="s">
        <v>204</v>
      </c>
      <c r="H943" s="2">
        <v>-11151</v>
      </c>
      <c r="I943" s="1" t="s">
        <v>44</v>
      </c>
      <c r="J943" s="3" t="s">
        <v>27</v>
      </c>
      <c r="K943" s="2">
        <v>-9450</v>
      </c>
      <c r="L943" s="2">
        <v>-1701</v>
      </c>
      <c r="M943" s="2">
        <v>0</v>
      </c>
      <c r="N943" s="2">
        <v>0</v>
      </c>
      <c r="O943" s="2">
        <v>0</v>
      </c>
      <c r="P943" s="1" t="s">
        <v>28</v>
      </c>
      <c r="Q943" s="1" t="s">
        <v>29</v>
      </c>
      <c r="R943" s="3" t="s">
        <v>45</v>
      </c>
      <c r="S943" s="3" t="s">
        <v>46</v>
      </c>
      <c r="T943" s="1" t="s">
        <v>31</v>
      </c>
      <c r="U943" s="2" t="s">
        <v>46</v>
      </c>
      <c r="V943" s="1" t="s">
        <v>46</v>
      </c>
      <c r="W943" s="1" t="s">
        <v>46</v>
      </c>
      <c r="X943" s="7" t="s">
        <v>1751</v>
      </c>
      <c r="Y943" s="10">
        <f t="shared" si="30"/>
        <v>-1701</v>
      </c>
      <c r="AH943" s="5" t="e">
        <f>VLOOKUP(B943,[1]DL!$BK:$BP,6,0)</f>
        <v>#N/A</v>
      </c>
    </row>
    <row r="944" spans="1:34" ht="14.5" hidden="1">
      <c r="A944" s="5">
        <v>941</v>
      </c>
      <c r="B944" s="5" t="str">
        <f t="shared" si="28"/>
        <v>03AAPFJ5933Q1ZP13037</v>
      </c>
      <c r="C944" s="1" t="s">
        <v>1810</v>
      </c>
      <c r="D944" s="1" t="s">
        <v>1811</v>
      </c>
      <c r="E944" s="1" t="s">
        <v>1812</v>
      </c>
      <c r="F944" s="1" t="s">
        <v>1765</v>
      </c>
      <c r="G944" s="1" t="s">
        <v>1849</v>
      </c>
      <c r="H944" s="2">
        <v>-4350</v>
      </c>
      <c r="I944" s="1" t="s">
        <v>44</v>
      </c>
      <c r="J944" s="3" t="s">
        <v>45</v>
      </c>
      <c r="K944" s="2">
        <v>-4350</v>
      </c>
      <c r="L944" s="2">
        <v>0</v>
      </c>
      <c r="M944" s="2">
        <v>0</v>
      </c>
      <c r="N944" s="2">
        <v>0</v>
      </c>
      <c r="O944" s="2">
        <v>0</v>
      </c>
      <c r="P944" s="1" t="s">
        <v>1876</v>
      </c>
      <c r="Q944" s="1" t="s">
        <v>171</v>
      </c>
      <c r="R944" s="3" t="s">
        <v>45</v>
      </c>
      <c r="S944" s="3" t="s">
        <v>46</v>
      </c>
      <c r="T944" s="1" t="s">
        <v>31</v>
      </c>
      <c r="U944" s="2" t="s">
        <v>46</v>
      </c>
      <c r="V944" s="1" t="s">
        <v>46</v>
      </c>
      <c r="W944" s="1" t="s">
        <v>46</v>
      </c>
      <c r="X944" s="7" t="s">
        <v>1751</v>
      </c>
      <c r="Y944" s="10">
        <f t="shared" si="30"/>
        <v>0</v>
      </c>
      <c r="AH944" s="5" t="e">
        <f>VLOOKUP(B944,[1]DL!$BK:$BP,6,0)</f>
        <v>#N/A</v>
      </c>
    </row>
    <row r="945" spans="1:34" ht="14.5" hidden="1">
      <c r="A945" s="5">
        <v>942</v>
      </c>
      <c r="B945" s="5" t="str">
        <f t="shared" si="28"/>
        <v>03AAPFJ5933Q1ZP13622</v>
      </c>
      <c r="C945" s="1" t="s">
        <v>1810</v>
      </c>
      <c r="D945" s="1" t="s">
        <v>1811</v>
      </c>
      <c r="E945" s="1" t="s">
        <v>1813</v>
      </c>
      <c r="F945" s="1" t="s">
        <v>1765</v>
      </c>
      <c r="G945" s="1" t="s">
        <v>1849</v>
      </c>
      <c r="H945" s="2">
        <v>-3176</v>
      </c>
      <c r="I945" s="1" t="s">
        <v>44</v>
      </c>
      <c r="J945" s="3" t="s">
        <v>45</v>
      </c>
      <c r="K945" s="2">
        <v>-3176</v>
      </c>
      <c r="L945" s="2">
        <v>0</v>
      </c>
      <c r="M945" s="2">
        <v>0</v>
      </c>
      <c r="N945" s="2">
        <v>0</v>
      </c>
      <c r="O945" s="2">
        <v>0</v>
      </c>
      <c r="P945" s="1" t="s">
        <v>1876</v>
      </c>
      <c r="Q945" s="1" t="s">
        <v>171</v>
      </c>
      <c r="R945" s="3" t="s">
        <v>45</v>
      </c>
      <c r="S945" s="3" t="s">
        <v>46</v>
      </c>
      <c r="T945" s="1" t="s">
        <v>31</v>
      </c>
      <c r="U945" s="2" t="s">
        <v>46</v>
      </c>
      <c r="V945" s="1" t="s">
        <v>46</v>
      </c>
      <c r="W945" s="1" t="s">
        <v>46</v>
      </c>
      <c r="X945" s="7" t="s">
        <v>1751</v>
      </c>
      <c r="Y945" s="10">
        <f t="shared" si="30"/>
        <v>0</v>
      </c>
      <c r="AH945" s="5" t="e">
        <f>VLOOKUP(B945,[1]DL!$BK:$BP,6,0)</f>
        <v>#N/A</v>
      </c>
    </row>
    <row r="946" spans="1:34" ht="14.5" hidden="1">
      <c r="A946" s="5">
        <v>943</v>
      </c>
      <c r="B946" s="5" t="str">
        <f t="shared" si="28"/>
        <v>03AAPFJ5933Q1ZP13623</v>
      </c>
      <c r="C946" s="1" t="s">
        <v>1810</v>
      </c>
      <c r="D946" s="1" t="s">
        <v>1811</v>
      </c>
      <c r="E946" s="1" t="s">
        <v>1814</v>
      </c>
      <c r="F946" s="1" t="s">
        <v>1765</v>
      </c>
      <c r="G946" s="1" t="s">
        <v>1849</v>
      </c>
      <c r="H946" s="2">
        <v>-8102</v>
      </c>
      <c r="I946" s="1" t="s">
        <v>44</v>
      </c>
      <c r="J946" s="3" t="s">
        <v>45</v>
      </c>
      <c r="K946" s="2">
        <v>-8102</v>
      </c>
      <c r="L946" s="2">
        <v>0</v>
      </c>
      <c r="M946" s="2">
        <v>0</v>
      </c>
      <c r="N946" s="2">
        <v>0</v>
      </c>
      <c r="O946" s="2">
        <v>0</v>
      </c>
      <c r="P946" s="1" t="s">
        <v>1876</v>
      </c>
      <c r="Q946" s="1" t="s">
        <v>171</v>
      </c>
      <c r="R946" s="3" t="s">
        <v>45</v>
      </c>
      <c r="S946" s="3" t="s">
        <v>46</v>
      </c>
      <c r="T946" s="1" t="s">
        <v>31</v>
      </c>
      <c r="U946" s="2" t="s">
        <v>46</v>
      </c>
      <c r="V946" s="1" t="s">
        <v>46</v>
      </c>
      <c r="W946" s="1" t="s">
        <v>46</v>
      </c>
      <c r="X946" s="7" t="s">
        <v>1751</v>
      </c>
      <c r="Y946" s="10">
        <f t="shared" si="31" ref="Y946:Y979">L946+M946+N946+O946</f>
        <v>0</v>
      </c>
      <c r="AH946" s="5" t="e">
        <f>VLOOKUP(B946,[1]DL!$BK:$BP,6,0)</f>
        <v>#N/A</v>
      </c>
    </row>
    <row r="947" spans="1:34" ht="14.5" hidden="1">
      <c r="A947" s="5">
        <v>944</v>
      </c>
      <c r="B947" s="5" t="str">
        <f t="shared" si="28"/>
        <v>07ABEFR5484L1ZMGST/DB/001</v>
      </c>
      <c r="C947" s="1" t="s">
        <v>758</v>
      </c>
      <c r="D947" s="1" t="s">
        <v>759</v>
      </c>
      <c r="E947" s="1" t="s">
        <v>1815</v>
      </c>
      <c r="F947" s="1" t="s">
        <v>1816</v>
      </c>
      <c r="G947" s="1" t="s">
        <v>76</v>
      </c>
      <c r="H947" s="2">
        <v>128454</v>
      </c>
      <c r="I947" s="1" t="s">
        <v>44</v>
      </c>
      <c r="J947" s="3" t="s">
        <v>27</v>
      </c>
      <c r="K947" s="2">
        <v>108859</v>
      </c>
      <c r="L947" s="2">
        <v>0</v>
      </c>
      <c r="M947" s="2">
        <v>9797.31</v>
      </c>
      <c r="N947" s="2">
        <v>9797.31</v>
      </c>
      <c r="O947" s="2">
        <v>0</v>
      </c>
      <c r="P947" s="1" t="s">
        <v>28</v>
      </c>
      <c r="Q947" s="1" t="s">
        <v>94</v>
      </c>
      <c r="R947" s="3" t="s">
        <v>45</v>
      </c>
      <c r="S947" s="3" t="s">
        <v>46</v>
      </c>
      <c r="T947" s="1" t="s">
        <v>31</v>
      </c>
      <c r="U947" s="2" t="s">
        <v>32</v>
      </c>
      <c r="V947" s="1" t="s">
        <v>1877</v>
      </c>
      <c r="W947" s="1" t="s">
        <v>395</v>
      </c>
      <c r="X947" s="7" t="s">
        <v>1751</v>
      </c>
      <c r="Y947" s="10">
        <f t="shared" si="31"/>
        <v>19594.619999999999</v>
      </c>
      <c r="AH947" s="5" t="e">
        <f>VLOOKUP(B947,[1]DL!$BK:$BP,6,0)</f>
        <v>#N/A</v>
      </c>
    </row>
    <row r="948" spans="1:34" ht="14.5" hidden="1">
      <c r="A948" s="5">
        <v>945</v>
      </c>
      <c r="B948" s="5" t="str">
        <f t="shared" si="28"/>
        <v>06AATPS8100Q1ZWGSE-3613</v>
      </c>
      <c r="C948" s="1" t="s">
        <v>1494</v>
      </c>
      <c r="D948" s="1" t="s">
        <v>1495</v>
      </c>
      <c r="E948" s="1" t="s">
        <v>1817</v>
      </c>
      <c r="F948" s="1" t="s">
        <v>1816</v>
      </c>
      <c r="G948" s="1" t="s">
        <v>54</v>
      </c>
      <c r="H948" s="2">
        <v>8260</v>
      </c>
      <c r="I948" s="1" t="s">
        <v>44</v>
      </c>
      <c r="J948" s="3" t="s">
        <v>27</v>
      </c>
      <c r="K948" s="2">
        <v>7000</v>
      </c>
      <c r="L948" s="2">
        <v>1260</v>
      </c>
      <c r="M948" s="2">
        <v>0</v>
      </c>
      <c r="N948" s="2">
        <v>0</v>
      </c>
      <c r="O948" s="2">
        <v>0</v>
      </c>
      <c r="P948" s="1" t="s">
        <v>28</v>
      </c>
      <c r="Q948" s="1" t="s">
        <v>29</v>
      </c>
      <c r="R948" s="3" t="s">
        <v>45</v>
      </c>
      <c r="S948" s="3" t="s">
        <v>46</v>
      </c>
      <c r="T948" s="1" t="s">
        <v>31</v>
      </c>
      <c r="U948" s="2" t="s">
        <v>32</v>
      </c>
      <c r="V948" s="1" t="s">
        <v>1878</v>
      </c>
      <c r="W948" s="1" t="s">
        <v>54</v>
      </c>
      <c r="X948" s="7" t="s">
        <v>1751</v>
      </c>
      <c r="Y948" s="10">
        <f t="shared" si="31"/>
        <v>1260</v>
      </c>
      <c r="AH948" s="5" t="e">
        <f>VLOOKUP(B948,[1]DL!$BK:$BP,6,0)</f>
        <v>#N/A</v>
      </c>
    </row>
    <row r="949" spans="1:34" ht="14.5" hidden="1">
      <c r="A949" s="5">
        <v>946</v>
      </c>
      <c r="B949" s="5" t="str">
        <f t="shared" si="28"/>
        <v>06AATPS8100Q1ZWGSE-3614</v>
      </c>
      <c r="C949" s="1" t="s">
        <v>1494</v>
      </c>
      <c r="D949" s="1" t="s">
        <v>1495</v>
      </c>
      <c r="E949" s="1" t="s">
        <v>1818</v>
      </c>
      <c r="F949" s="1" t="s">
        <v>1816</v>
      </c>
      <c r="G949" s="1" t="s">
        <v>54</v>
      </c>
      <c r="H949" s="2">
        <v>4130</v>
      </c>
      <c r="I949" s="1" t="s">
        <v>44</v>
      </c>
      <c r="J949" s="3" t="s">
        <v>27</v>
      </c>
      <c r="K949" s="2">
        <v>3500</v>
      </c>
      <c r="L949" s="2">
        <v>630</v>
      </c>
      <c r="M949" s="2">
        <v>0</v>
      </c>
      <c r="N949" s="2">
        <v>0</v>
      </c>
      <c r="O949" s="2">
        <v>0</v>
      </c>
      <c r="P949" s="1" t="s">
        <v>28</v>
      </c>
      <c r="Q949" s="1" t="s">
        <v>29</v>
      </c>
      <c r="R949" s="3" t="s">
        <v>45</v>
      </c>
      <c r="S949" s="3" t="s">
        <v>46</v>
      </c>
      <c r="T949" s="1" t="s">
        <v>31</v>
      </c>
      <c r="U949" s="2" t="s">
        <v>32</v>
      </c>
      <c r="V949" s="1" t="s">
        <v>1879</v>
      </c>
      <c r="W949" s="1" t="s">
        <v>54</v>
      </c>
      <c r="X949" s="7" t="s">
        <v>1751</v>
      </c>
      <c r="Y949" s="10">
        <f t="shared" si="31"/>
        <v>630</v>
      </c>
      <c r="AH949" s="5" t="e">
        <f>VLOOKUP(B949,[1]DL!$BK:$BP,6,0)</f>
        <v>#N/A</v>
      </c>
    </row>
    <row r="950" spans="1:34" ht="14.5" hidden="1">
      <c r="A950" s="5">
        <v>947</v>
      </c>
      <c r="B950" s="5" t="str">
        <f t="shared" si="28"/>
        <v>06AATPS8100Q1ZWGSE-3616</v>
      </c>
      <c r="C950" s="1" t="s">
        <v>1494</v>
      </c>
      <c r="D950" s="1" t="s">
        <v>1495</v>
      </c>
      <c r="E950" s="1" t="s">
        <v>1819</v>
      </c>
      <c r="F950" s="1" t="s">
        <v>1816</v>
      </c>
      <c r="G950" s="1" t="s">
        <v>54</v>
      </c>
      <c r="H950" s="2">
        <v>896.80</v>
      </c>
      <c r="I950" s="1" t="s">
        <v>44</v>
      </c>
      <c r="J950" s="3" t="s">
        <v>27</v>
      </c>
      <c r="K950" s="2">
        <v>760</v>
      </c>
      <c r="L950" s="2">
        <v>136.80000000000001</v>
      </c>
      <c r="M950" s="2">
        <v>0</v>
      </c>
      <c r="N950" s="2">
        <v>0</v>
      </c>
      <c r="O950" s="2">
        <v>0</v>
      </c>
      <c r="P950" s="1" t="s">
        <v>28</v>
      </c>
      <c r="Q950" s="1" t="s">
        <v>29</v>
      </c>
      <c r="R950" s="3" t="s">
        <v>45</v>
      </c>
      <c r="S950" s="3" t="s">
        <v>46</v>
      </c>
      <c r="T950" s="1" t="s">
        <v>31</v>
      </c>
      <c r="U950" s="2" t="s">
        <v>32</v>
      </c>
      <c r="V950" s="1" t="s">
        <v>1880</v>
      </c>
      <c r="W950" s="1" t="s">
        <v>54</v>
      </c>
      <c r="X950" s="7" t="s">
        <v>1751</v>
      </c>
      <c r="Y950" s="10">
        <f t="shared" si="31"/>
        <v>136.80000000000001</v>
      </c>
      <c r="AH950" s="5" t="e">
        <f>VLOOKUP(B950,[1]DL!$BK:$BP,6,0)</f>
        <v>#N/A</v>
      </c>
    </row>
    <row r="951" spans="1:34" ht="14.5" hidden="1">
      <c r="A951" s="5">
        <v>948</v>
      </c>
      <c r="B951" s="5" t="str">
        <f t="shared" si="28"/>
        <v>06AATPS8100Q1ZWGSE-3618</v>
      </c>
      <c r="C951" s="1" t="s">
        <v>1494</v>
      </c>
      <c r="D951" s="1" t="s">
        <v>1495</v>
      </c>
      <c r="E951" s="1" t="s">
        <v>1820</v>
      </c>
      <c r="F951" s="1" t="s">
        <v>1816</v>
      </c>
      <c r="G951" s="1" t="s">
        <v>54</v>
      </c>
      <c r="H951" s="2">
        <v>236</v>
      </c>
      <c r="I951" s="1" t="s">
        <v>44</v>
      </c>
      <c r="J951" s="3" t="s">
        <v>27</v>
      </c>
      <c r="K951" s="2">
        <v>200</v>
      </c>
      <c r="L951" s="2">
        <v>36</v>
      </c>
      <c r="M951" s="2">
        <v>0</v>
      </c>
      <c r="N951" s="2">
        <v>0</v>
      </c>
      <c r="O951" s="2">
        <v>0</v>
      </c>
      <c r="P951" s="1" t="s">
        <v>28</v>
      </c>
      <c r="Q951" s="1" t="s">
        <v>29</v>
      </c>
      <c r="R951" s="3" t="s">
        <v>45</v>
      </c>
      <c r="S951" s="3" t="s">
        <v>46</v>
      </c>
      <c r="T951" s="1" t="s">
        <v>31</v>
      </c>
      <c r="U951" s="2" t="s">
        <v>32</v>
      </c>
      <c r="V951" s="1" t="s">
        <v>1881</v>
      </c>
      <c r="W951" s="1" t="s">
        <v>54</v>
      </c>
      <c r="X951" s="7" t="s">
        <v>1751</v>
      </c>
      <c r="Y951" s="10">
        <f t="shared" si="31"/>
        <v>36</v>
      </c>
      <c r="AH951" s="5" t="e">
        <f>VLOOKUP(B951,[1]DL!$BK:$BP,6,0)</f>
        <v>#N/A</v>
      </c>
    </row>
    <row r="952" spans="1:34" ht="14.5" hidden="1">
      <c r="A952" s="5">
        <v>949</v>
      </c>
      <c r="B952" s="5" t="str">
        <f t="shared" si="28"/>
        <v>06AATPS8100Q1ZWGSE-3619</v>
      </c>
      <c r="C952" s="1" t="s">
        <v>1494</v>
      </c>
      <c r="D952" s="1" t="s">
        <v>1495</v>
      </c>
      <c r="E952" s="1" t="s">
        <v>1821</v>
      </c>
      <c r="F952" s="1" t="s">
        <v>1816</v>
      </c>
      <c r="G952" s="1" t="s">
        <v>54</v>
      </c>
      <c r="H952" s="2">
        <v>141.60</v>
      </c>
      <c r="I952" s="1" t="s">
        <v>44</v>
      </c>
      <c r="J952" s="3" t="s">
        <v>27</v>
      </c>
      <c r="K952" s="2">
        <v>120</v>
      </c>
      <c r="L952" s="2">
        <v>21.60</v>
      </c>
      <c r="M952" s="2">
        <v>0</v>
      </c>
      <c r="N952" s="2">
        <v>0</v>
      </c>
      <c r="O952" s="2">
        <v>0</v>
      </c>
      <c r="P952" s="1" t="s">
        <v>28</v>
      </c>
      <c r="Q952" s="1" t="s">
        <v>29</v>
      </c>
      <c r="R952" s="3" t="s">
        <v>45</v>
      </c>
      <c r="S952" s="3" t="s">
        <v>46</v>
      </c>
      <c r="T952" s="1" t="s">
        <v>31</v>
      </c>
      <c r="U952" s="2" t="s">
        <v>32</v>
      </c>
      <c r="V952" s="1" t="s">
        <v>1882</v>
      </c>
      <c r="W952" s="1" t="s">
        <v>54</v>
      </c>
      <c r="X952" s="7" t="s">
        <v>1751</v>
      </c>
      <c r="Y952" s="10">
        <f t="shared" si="31"/>
        <v>21.600000000000001</v>
      </c>
      <c r="AH952" s="5" t="e">
        <f>VLOOKUP(B952,[1]DL!$BK:$BP,6,0)</f>
        <v>#N/A</v>
      </c>
    </row>
    <row r="953" spans="1:34" ht="14.5" hidden="1">
      <c r="A953" s="5">
        <v>950</v>
      </c>
      <c r="B953" s="5" t="str">
        <f t="shared" si="28"/>
        <v>06AATPS8100Q1ZWGSE-3620</v>
      </c>
      <c r="C953" s="1" t="s">
        <v>1494</v>
      </c>
      <c r="D953" s="1" t="s">
        <v>1495</v>
      </c>
      <c r="E953" s="1" t="s">
        <v>1822</v>
      </c>
      <c r="F953" s="1" t="s">
        <v>1816</v>
      </c>
      <c r="G953" s="1" t="s">
        <v>54</v>
      </c>
      <c r="H953" s="2">
        <v>202.96</v>
      </c>
      <c r="I953" s="1" t="s">
        <v>44</v>
      </c>
      <c r="J953" s="3" t="s">
        <v>27</v>
      </c>
      <c r="K953" s="2">
        <v>172</v>
      </c>
      <c r="L953" s="2">
        <v>30.96</v>
      </c>
      <c r="M953" s="2">
        <v>0</v>
      </c>
      <c r="N953" s="2">
        <v>0</v>
      </c>
      <c r="O953" s="2">
        <v>0</v>
      </c>
      <c r="P953" s="1" t="s">
        <v>28</v>
      </c>
      <c r="Q953" s="1" t="s">
        <v>29</v>
      </c>
      <c r="R953" s="3" t="s">
        <v>45</v>
      </c>
      <c r="S953" s="3" t="s">
        <v>46</v>
      </c>
      <c r="T953" s="1" t="s">
        <v>31</v>
      </c>
      <c r="U953" s="2" t="s">
        <v>32</v>
      </c>
      <c r="V953" s="1" t="s">
        <v>1883</v>
      </c>
      <c r="W953" s="1" t="s">
        <v>54</v>
      </c>
      <c r="X953" s="7" t="s">
        <v>1751</v>
      </c>
      <c r="Y953" s="10">
        <f t="shared" si="31"/>
        <v>30.960000000000001</v>
      </c>
      <c r="AH953" s="5" t="e">
        <f>VLOOKUP(B953,[1]DL!$BK:$BP,6,0)</f>
        <v>#N/A</v>
      </c>
    </row>
    <row r="954" spans="1:34" ht="14.5" hidden="1">
      <c r="A954" s="5">
        <v>951</v>
      </c>
      <c r="B954" s="5" t="str">
        <f t="shared" si="28"/>
        <v>06AATPS8100Q1ZWGSE-3621</v>
      </c>
      <c r="C954" s="1" t="s">
        <v>1494</v>
      </c>
      <c r="D954" s="1" t="s">
        <v>1495</v>
      </c>
      <c r="E954" s="1" t="s">
        <v>1823</v>
      </c>
      <c r="F954" s="1" t="s">
        <v>1816</v>
      </c>
      <c r="G954" s="1" t="s">
        <v>302</v>
      </c>
      <c r="H954" s="2">
        <v>512.12</v>
      </c>
      <c r="I954" s="1" t="s">
        <v>44</v>
      </c>
      <c r="J954" s="3" t="s">
        <v>27</v>
      </c>
      <c r="K954" s="2">
        <v>434</v>
      </c>
      <c r="L954" s="2">
        <v>78.12</v>
      </c>
      <c r="M954" s="2">
        <v>0</v>
      </c>
      <c r="N954" s="2">
        <v>0</v>
      </c>
      <c r="O954" s="2">
        <v>0</v>
      </c>
      <c r="P954" s="1" t="s">
        <v>28</v>
      </c>
      <c r="Q954" s="1" t="s">
        <v>29</v>
      </c>
      <c r="R954" s="3" t="s">
        <v>45</v>
      </c>
      <c r="S954" s="3" t="s">
        <v>46</v>
      </c>
      <c r="T954" s="1" t="s">
        <v>31</v>
      </c>
      <c r="U954" s="2" t="s">
        <v>32</v>
      </c>
      <c r="V954" s="1" t="s">
        <v>1884</v>
      </c>
      <c r="W954" s="1" t="s">
        <v>302</v>
      </c>
      <c r="X954" s="7" t="s">
        <v>1751</v>
      </c>
      <c r="Y954" s="10">
        <f t="shared" si="31"/>
        <v>78.120000000000005</v>
      </c>
      <c r="AH954" s="5" t="e">
        <f>VLOOKUP(B954,[1]DL!$BK:$BP,6,0)</f>
        <v>#N/A</v>
      </c>
    </row>
    <row r="955" spans="1:34" ht="14.5" hidden="1">
      <c r="A955" s="5">
        <v>952</v>
      </c>
      <c r="B955" s="5" t="str">
        <f t="shared" si="28"/>
        <v>06AATPS8100Q1ZWGSE-3622</v>
      </c>
      <c r="C955" s="1" t="s">
        <v>1494</v>
      </c>
      <c r="D955" s="1" t="s">
        <v>1495</v>
      </c>
      <c r="E955" s="1" t="s">
        <v>1824</v>
      </c>
      <c r="F955" s="1" t="s">
        <v>1816</v>
      </c>
      <c r="G955" s="1" t="s">
        <v>302</v>
      </c>
      <c r="H955" s="2">
        <v>3282.76</v>
      </c>
      <c r="I955" s="1" t="s">
        <v>44</v>
      </c>
      <c r="J955" s="3" t="s">
        <v>27</v>
      </c>
      <c r="K955" s="2">
        <v>2782</v>
      </c>
      <c r="L955" s="2">
        <v>500.76</v>
      </c>
      <c r="M955" s="2">
        <v>0</v>
      </c>
      <c r="N955" s="2">
        <v>0</v>
      </c>
      <c r="O955" s="2">
        <v>0</v>
      </c>
      <c r="P955" s="1" t="s">
        <v>28</v>
      </c>
      <c r="Q955" s="1" t="s">
        <v>29</v>
      </c>
      <c r="R955" s="3" t="s">
        <v>45</v>
      </c>
      <c r="S955" s="3" t="s">
        <v>46</v>
      </c>
      <c r="T955" s="1" t="s">
        <v>31</v>
      </c>
      <c r="U955" s="2" t="s">
        <v>32</v>
      </c>
      <c r="V955" s="1" t="s">
        <v>1885</v>
      </c>
      <c r="W955" s="1" t="s">
        <v>302</v>
      </c>
      <c r="X955" s="7" t="s">
        <v>1751</v>
      </c>
      <c r="Y955" s="10">
        <f t="shared" si="31"/>
        <v>500.75999999999999</v>
      </c>
      <c r="AH955" s="5" t="e">
        <f>VLOOKUP(B955,[1]DL!$BK:$BP,6,0)</f>
        <v>#N/A</v>
      </c>
    </row>
    <row r="956" spans="1:34" ht="14.5" hidden="1">
      <c r="A956" s="5">
        <v>953</v>
      </c>
      <c r="B956" s="5" t="str">
        <f t="shared" si="28"/>
        <v>06AATPS8100Q1ZWGSE-3623</v>
      </c>
      <c r="C956" s="1" t="s">
        <v>1494</v>
      </c>
      <c r="D956" s="1" t="s">
        <v>1495</v>
      </c>
      <c r="E956" s="1" t="s">
        <v>1825</v>
      </c>
      <c r="F956" s="1" t="s">
        <v>1816</v>
      </c>
      <c r="G956" s="1" t="s">
        <v>302</v>
      </c>
      <c r="H956" s="2">
        <v>269.04000000000002</v>
      </c>
      <c r="I956" s="1" t="s">
        <v>44</v>
      </c>
      <c r="J956" s="3" t="s">
        <v>27</v>
      </c>
      <c r="K956" s="2">
        <v>228</v>
      </c>
      <c r="L956" s="2">
        <v>41.04</v>
      </c>
      <c r="M956" s="2">
        <v>0</v>
      </c>
      <c r="N956" s="2">
        <v>0</v>
      </c>
      <c r="O956" s="2">
        <v>0</v>
      </c>
      <c r="P956" s="1" t="s">
        <v>28</v>
      </c>
      <c r="Q956" s="1" t="s">
        <v>29</v>
      </c>
      <c r="R956" s="3" t="s">
        <v>45</v>
      </c>
      <c r="S956" s="3" t="s">
        <v>46</v>
      </c>
      <c r="T956" s="1" t="s">
        <v>31</v>
      </c>
      <c r="U956" s="2" t="s">
        <v>32</v>
      </c>
      <c r="V956" s="1" t="s">
        <v>1886</v>
      </c>
      <c r="W956" s="1" t="s">
        <v>302</v>
      </c>
      <c r="X956" s="7" t="s">
        <v>1751</v>
      </c>
      <c r="Y956" s="10">
        <f t="shared" si="31"/>
        <v>41.039999999999999</v>
      </c>
      <c r="AH956" s="5" t="e">
        <f>VLOOKUP(B956,[1]DL!$BK:$BP,6,0)</f>
        <v>#N/A</v>
      </c>
    </row>
    <row r="957" spans="1:34" ht="14.5" hidden="1">
      <c r="A957" s="5">
        <v>954</v>
      </c>
      <c r="B957" s="5" t="str">
        <f t="shared" si="28"/>
        <v>06AATPS8100Q1ZWGSE-3624</v>
      </c>
      <c r="C957" s="1" t="s">
        <v>1494</v>
      </c>
      <c r="D957" s="1" t="s">
        <v>1495</v>
      </c>
      <c r="E957" s="1" t="s">
        <v>1826</v>
      </c>
      <c r="F957" s="1" t="s">
        <v>1816</v>
      </c>
      <c r="G957" s="1" t="s">
        <v>302</v>
      </c>
      <c r="H957" s="2">
        <v>400.02</v>
      </c>
      <c r="I957" s="1" t="s">
        <v>44</v>
      </c>
      <c r="J957" s="3" t="s">
        <v>27</v>
      </c>
      <c r="K957" s="2">
        <v>339</v>
      </c>
      <c r="L957" s="2">
        <v>61.02</v>
      </c>
      <c r="M957" s="2">
        <v>0</v>
      </c>
      <c r="N957" s="2">
        <v>0</v>
      </c>
      <c r="O957" s="2">
        <v>0</v>
      </c>
      <c r="P957" s="1" t="s">
        <v>28</v>
      </c>
      <c r="Q957" s="1" t="s">
        <v>29</v>
      </c>
      <c r="R957" s="3" t="s">
        <v>45</v>
      </c>
      <c r="S957" s="3" t="s">
        <v>46</v>
      </c>
      <c r="T957" s="1" t="s">
        <v>31</v>
      </c>
      <c r="U957" s="2" t="s">
        <v>32</v>
      </c>
      <c r="V957" s="1" t="s">
        <v>1887</v>
      </c>
      <c r="W957" s="1" t="s">
        <v>302</v>
      </c>
      <c r="X957" s="7" t="s">
        <v>1751</v>
      </c>
      <c r="Y957" s="10">
        <f t="shared" si="31"/>
        <v>61.020000000000003</v>
      </c>
      <c r="AH957" s="5" t="e">
        <f>VLOOKUP(B957,[1]DL!$BK:$BP,6,0)</f>
        <v>#N/A</v>
      </c>
    </row>
    <row r="958" spans="1:34" ht="14.5" hidden="1">
      <c r="A958" s="5">
        <v>955</v>
      </c>
      <c r="B958" s="5" t="str">
        <f t="shared" si="28"/>
        <v>06AATPS8100Q1ZWGSE-3625</v>
      </c>
      <c r="C958" s="1" t="s">
        <v>1494</v>
      </c>
      <c r="D958" s="1" t="s">
        <v>1495</v>
      </c>
      <c r="E958" s="1" t="s">
        <v>1827</v>
      </c>
      <c r="F958" s="1" t="s">
        <v>1816</v>
      </c>
      <c r="G958" s="1" t="s">
        <v>302</v>
      </c>
      <c r="H958" s="2">
        <v>23.60</v>
      </c>
      <c r="I958" s="1" t="s">
        <v>44</v>
      </c>
      <c r="J958" s="3" t="s">
        <v>27</v>
      </c>
      <c r="K958" s="2">
        <v>20</v>
      </c>
      <c r="L958" s="2">
        <v>3.60</v>
      </c>
      <c r="M958" s="2">
        <v>0</v>
      </c>
      <c r="N958" s="2">
        <v>0</v>
      </c>
      <c r="O958" s="2">
        <v>0</v>
      </c>
      <c r="P958" s="1" t="s">
        <v>28</v>
      </c>
      <c r="Q958" s="1" t="s">
        <v>29</v>
      </c>
      <c r="R958" s="3" t="s">
        <v>45</v>
      </c>
      <c r="S958" s="3" t="s">
        <v>46</v>
      </c>
      <c r="T958" s="1" t="s">
        <v>31</v>
      </c>
      <c r="U958" s="2" t="s">
        <v>32</v>
      </c>
      <c r="V958" s="1" t="s">
        <v>1888</v>
      </c>
      <c r="W958" s="1" t="s">
        <v>302</v>
      </c>
      <c r="X958" s="7" t="s">
        <v>1751</v>
      </c>
      <c r="Y958" s="10">
        <f t="shared" si="31"/>
        <v>3.6000000000000001</v>
      </c>
      <c r="AH958" s="5" t="e">
        <f>VLOOKUP(B958,[1]DL!$BK:$BP,6,0)</f>
        <v>#N/A</v>
      </c>
    </row>
    <row r="959" spans="1:34" ht="14.5" hidden="1">
      <c r="A959" s="5">
        <v>956</v>
      </c>
      <c r="B959" s="5" t="str">
        <f t="shared" si="28"/>
        <v>06AATPS8100Q1ZWGSE-3626</v>
      </c>
      <c r="C959" s="1" t="s">
        <v>1494</v>
      </c>
      <c r="D959" s="1" t="s">
        <v>1495</v>
      </c>
      <c r="E959" s="1" t="s">
        <v>1828</v>
      </c>
      <c r="F959" s="1" t="s">
        <v>1816</v>
      </c>
      <c r="G959" s="1" t="s">
        <v>43</v>
      </c>
      <c r="H959" s="2">
        <v>10021.74</v>
      </c>
      <c r="I959" s="1" t="s">
        <v>44</v>
      </c>
      <c r="J959" s="3" t="s">
        <v>27</v>
      </c>
      <c r="K959" s="2">
        <v>8493</v>
      </c>
      <c r="L959" s="2">
        <v>1528.74</v>
      </c>
      <c r="M959" s="2">
        <v>0</v>
      </c>
      <c r="N959" s="2">
        <v>0</v>
      </c>
      <c r="O959" s="2">
        <v>0</v>
      </c>
      <c r="P959" s="1" t="s">
        <v>28</v>
      </c>
      <c r="Q959" s="1" t="s">
        <v>29</v>
      </c>
      <c r="R959" s="3" t="s">
        <v>45</v>
      </c>
      <c r="S959" s="3" t="s">
        <v>46</v>
      </c>
      <c r="T959" s="1" t="s">
        <v>31</v>
      </c>
      <c r="U959" s="2" t="s">
        <v>32</v>
      </c>
      <c r="V959" s="1" t="s">
        <v>1889</v>
      </c>
      <c r="W959" s="1" t="s">
        <v>43</v>
      </c>
      <c r="X959" s="7" t="s">
        <v>1751</v>
      </c>
      <c r="Y959" s="10">
        <f t="shared" si="31"/>
        <v>1528.74</v>
      </c>
      <c r="AH959" s="5" t="e">
        <f>VLOOKUP(B959,[1]DL!$BK:$BP,6,0)</f>
        <v>#N/A</v>
      </c>
    </row>
    <row r="960" spans="1:34" ht="14.5" hidden="1">
      <c r="A960" s="5">
        <v>957</v>
      </c>
      <c r="B960" s="5" t="str">
        <f t="shared" si="28"/>
        <v>06AATPS8100Q1ZWGSE-3627</v>
      </c>
      <c r="C960" s="1" t="s">
        <v>1494</v>
      </c>
      <c r="D960" s="1" t="s">
        <v>1495</v>
      </c>
      <c r="E960" s="1" t="s">
        <v>1829</v>
      </c>
      <c r="F960" s="1" t="s">
        <v>1816</v>
      </c>
      <c r="G960" s="1" t="s">
        <v>43</v>
      </c>
      <c r="H960" s="2">
        <v>31476.5</v>
      </c>
      <c r="I960" s="1" t="s">
        <v>44</v>
      </c>
      <c r="J960" s="3" t="s">
        <v>27</v>
      </c>
      <c r="K960" s="2">
        <v>26675</v>
      </c>
      <c r="L960" s="2">
        <v>4801.5</v>
      </c>
      <c r="M960" s="2">
        <v>0</v>
      </c>
      <c r="N960" s="2">
        <v>0</v>
      </c>
      <c r="O960" s="2">
        <v>0</v>
      </c>
      <c r="P960" s="1" t="s">
        <v>28</v>
      </c>
      <c r="Q960" s="1" t="s">
        <v>29</v>
      </c>
      <c r="R960" s="3" t="s">
        <v>45</v>
      </c>
      <c r="S960" s="3" t="s">
        <v>46</v>
      </c>
      <c r="T960" s="1" t="s">
        <v>31</v>
      </c>
      <c r="U960" s="2" t="s">
        <v>32</v>
      </c>
      <c r="V960" s="1" t="s">
        <v>1890</v>
      </c>
      <c r="W960" s="1" t="s">
        <v>43</v>
      </c>
      <c r="X960" s="7" t="s">
        <v>1751</v>
      </c>
      <c r="Y960" s="10">
        <f t="shared" si="31"/>
        <v>4801.5</v>
      </c>
      <c r="AH960" s="5" t="e">
        <f>VLOOKUP(B960,[1]DL!$BK:$BP,6,0)</f>
        <v>#N/A</v>
      </c>
    </row>
    <row r="961" spans="1:34" ht="14.5" hidden="1">
      <c r="A961" s="5">
        <v>958</v>
      </c>
      <c r="B961" s="5" t="str">
        <f t="shared" si="28"/>
        <v>06AATPS8100Q1ZWGSE-3628</v>
      </c>
      <c r="C961" s="1" t="s">
        <v>1494</v>
      </c>
      <c r="D961" s="1" t="s">
        <v>1495</v>
      </c>
      <c r="E961" s="1" t="s">
        <v>1830</v>
      </c>
      <c r="F961" s="1" t="s">
        <v>1816</v>
      </c>
      <c r="G961" s="1" t="s">
        <v>43</v>
      </c>
      <c r="H961" s="2">
        <v>24780</v>
      </c>
      <c r="I961" s="1" t="s">
        <v>44</v>
      </c>
      <c r="J961" s="3" t="s">
        <v>27</v>
      </c>
      <c r="K961" s="2">
        <v>21000</v>
      </c>
      <c r="L961" s="2">
        <v>3780</v>
      </c>
      <c r="M961" s="2">
        <v>0</v>
      </c>
      <c r="N961" s="2">
        <v>0</v>
      </c>
      <c r="O961" s="2">
        <v>0</v>
      </c>
      <c r="P961" s="1" t="s">
        <v>28</v>
      </c>
      <c r="Q961" s="1" t="s">
        <v>29</v>
      </c>
      <c r="R961" s="3" t="s">
        <v>45</v>
      </c>
      <c r="S961" s="3" t="s">
        <v>46</v>
      </c>
      <c r="T961" s="1" t="s">
        <v>31</v>
      </c>
      <c r="U961" s="2" t="s">
        <v>32</v>
      </c>
      <c r="V961" s="1" t="s">
        <v>1891</v>
      </c>
      <c r="W961" s="1" t="s">
        <v>43</v>
      </c>
      <c r="X961" s="7" t="s">
        <v>1751</v>
      </c>
      <c r="Y961" s="10">
        <f t="shared" si="31"/>
        <v>3780</v>
      </c>
      <c r="AH961" s="5" t="e">
        <f>VLOOKUP(B961,[1]DL!$BK:$BP,6,0)</f>
        <v>#N/A</v>
      </c>
    </row>
    <row r="962" spans="1:34" ht="14.5" hidden="1">
      <c r="A962" s="5">
        <v>959</v>
      </c>
      <c r="B962" s="5" t="str">
        <f t="shared" si="28"/>
        <v>06AATPS8100Q1ZWGSE-3629</v>
      </c>
      <c r="C962" s="1" t="s">
        <v>1494</v>
      </c>
      <c r="D962" s="1" t="s">
        <v>1495</v>
      </c>
      <c r="E962" s="1" t="s">
        <v>1831</v>
      </c>
      <c r="F962" s="1" t="s">
        <v>1816</v>
      </c>
      <c r="G962" s="1" t="s">
        <v>43</v>
      </c>
      <c r="H962" s="2">
        <v>12026.09</v>
      </c>
      <c r="I962" s="1" t="s">
        <v>44</v>
      </c>
      <c r="J962" s="3" t="s">
        <v>27</v>
      </c>
      <c r="K962" s="2">
        <v>10191.60</v>
      </c>
      <c r="L962" s="2">
        <v>1834.49</v>
      </c>
      <c r="M962" s="2">
        <v>0</v>
      </c>
      <c r="N962" s="2">
        <v>0</v>
      </c>
      <c r="O962" s="2">
        <v>0</v>
      </c>
      <c r="P962" s="1" t="s">
        <v>28</v>
      </c>
      <c r="Q962" s="1" t="s">
        <v>29</v>
      </c>
      <c r="R962" s="3" t="s">
        <v>45</v>
      </c>
      <c r="S962" s="3" t="s">
        <v>46</v>
      </c>
      <c r="T962" s="1" t="s">
        <v>31</v>
      </c>
      <c r="U962" s="2" t="s">
        <v>32</v>
      </c>
      <c r="V962" s="1" t="s">
        <v>1892</v>
      </c>
      <c r="W962" s="1" t="s">
        <v>43</v>
      </c>
      <c r="X962" s="7" t="s">
        <v>1751</v>
      </c>
      <c r="Y962" s="10">
        <f t="shared" si="31"/>
        <v>1834.49</v>
      </c>
      <c r="AH962" s="5" t="e">
        <f>VLOOKUP(B962,[1]DL!$BK:$BP,6,0)</f>
        <v>#N/A</v>
      </c>
    </row>
    <row r="963" spans="1:34" ht="14.5" hidden="1">
      <c r="A963" s="5">
        <v>960</v>
      </c>
      <c r="B963" s="5" t="str">
        <f t="shared" si="28"/>
        <v>06AATPS8100Q1ZWGSE-3630</v>
      </c>
      <c r="C963" s="1" t="s">
        <v>1494</v>
      </c>
      <c r="D963" s="1" t="s">
        <v>1495</v>
      </c>
      <c r="E963" s="1" t="s">
        <v>1832</v>
      </c>
      <c r="F963" s="1" t="s">
        <v>1816</v>
      </c>
      <c r="G963" s="1" t="s">
        <v>43</v>
      </c>
      <c r="H963" s="2">
        <v>35960.5</v>
      </c>
      <c r="I963" s="1" t="s">
        <v>44</v>
      </c>
      <c r="J963" s="3" t="s">
        <v>27</v>
      </c>
      <c r="K963" s="2">
        <v>30475</v>
      </c>
      <c r="L963" s="2">
        <v>5485.5</v>
      </c>
      <c r="M963" s="2">
        <v>0</v>
      </c>
      <c r="N963" s="2">
        <v>0</v>
      </c>
      <c r="O963" s="2">
        <v>0</v>
      </c>
      <c r="P963" s="1" t="s">
        <v>28</v>
      </c>
      <c r="Q963" s="1" t="s">
        <v>29</v>
      </c>
      <c r="R963" s="3" t="s">
        <v>45</v>
      </c>
      <c r="S963" s="3" t="s">
        <v>46</v>
      </c>
      <c r="T963" s="1" t="s">
        <v>31</v>
      </c>
      <c r="U963" s="2" t="s">
        <v>32</v>
      </c>
      <c r="V963" s="1" t="s">
        <v>1893</v>
      </c>
      <c r="W963" s="1" t="s">
        <v>43</v>
      </c>
      <c r="X963" s="7" t="s">
        <v>1751</v>
      </c>
      <c r="Y963" s="10">
        <f t="shared" si="31"/>
        <v>5485.5</v>
      </c>
      <c r="AH963" s="5" t="e">
        <f>VLOOKUP(B963,[1]DL!$BK:$BP,6,0)</f>
        <v>#N/A</v>
      </c>
    </row>
    <row r="964" spans="1:34" ht="14.5" hidden="1">
      <c r="A964" s="5">
        <v>961</v>
      </c>
      <c r="B964" s="5" t="str">
        <f t="shared" si="28"/>
        <v>06AATPS8100Q1ZWGSE-3631</v>
      </c>
      <c r="C964" s="1" t="s">
        <v>1494</v>
      </c>
      <c r="D964" s="1" t="s">
        <v>1495</v>
      </c>
      <c r="E964" s="1" t="s">
        <v>1833</v>
      </c>
      <c r="F964" s="1" t="s">
        <v>1816</v>
      </c>
      <c r="G964" s="1" t="s">
        <v>43</v>
      </c>
      <c r="H964" s="2">
        <v>20414</v>
      </c>
      <c r="I964" s="1" t="s">
        <v>44</v>
      </c>
      <c r="J964" s="3" t="s">
        <v>27</v>
      </c>
      <c r="K964" s="2">
        <v>17300</v>
      </c>
      <c r="L964" s="2">
        <v>3114</v>
      </c>
      <c r="M964" s="2">
        <v>0</v>
      </c>
      <c r="N964" s="2">
        <v>0</v>
      </c>
      <c r="O964" s="2">
        <v>0</v>
      </c>
      <c r="P964" s="1" t="s">
        <v>28</v>
      </c>
      <c r="Q964" s="1" t="s">
        <v>29</v>
      </c>
      <c r="R964" s="3" t="s">
        <v>45</v>
      </c>
      <c r="S964" s="3" t="s">
        <v>46</v>
      </c>
      <c r="T964" s="1" t="s">
        <v>31</v>
      </c>
      <c r="U964" s="2" t="s">
        <v>32</v>
      </c>
      <c r="V964" s="1" t="s">
        <v>1894</v>
      </c>
      <c r="W964" s="1" t="s">
        <v>43</v>
      </c>
      <c r="X964" s="7" t="s">
        <v>1751</v>
      </c>
      <c r="Y964" s="10">
        <f t="shared" si="31"/>
        <v>3114</v>
      </c>
      <c r="AH964" s="5" t="e">
        <f>VLOOKUP(B964,[1]DL!$BK:$BP,6,0)</f>
        <v>#N/A</v>
      </c>
    </row>
    <row r="965" spans="1:34" ht="14.5" hidden="1">
      <c r="A965" s="5">
        <v>962</v>
      </c>
      <c r="B965" s="5" t="str">
        <f t="shared" si="32" ref="B965:B979">C965&amp;E965</f>
        <v>06AATPS8100Q1ZWGSE-3632</v>
      </c>
      <c r="C965" s="1" t="s">
        <v>1494</v>
      </c>
      <c r="D965" s="1" t="s">
        <v>1495</v>
      </c>
      <c r="E965" s="1" t="s">
        <v>1834</v>
      </c>
      <c r="F965" s="1" t="s">
        <v>1816</v>
      </c>
      <c r="G965" s="1" t="s">
        <v>50</v>
      </c>
      <c r="H965" s="2">
        <v>5900</v>
      </c>
      <c r="I965" s="1" t="s">
        <v>44</v>
      </c>
      <c r="J965" s="3" t="s">
        <v>27</v>
      </c>
      <c r="K965" s="2">
        <v>5000</v>
      </c>
      <c r="L965" s="2">
        <v>900</v>
      </c>
      <c r="M965" s="2">
        <v>0</v>
      </c>
      <c r="N965" s="2">
        <v>0</v>
      </c>
      <c r="O965" s="2">
        <v>0</v>
      </c>
      <c r="P965" s="1" t="s">
        <v>28</v>
      </c>
      <c r="Q965" s="1" t="s">
        <v>29</v>
      </c>
      <c r="R965" s="3" t="s">
        <v>45</v>
      </c>
      <c r="S965" s="3" t="s">
        <v>46</v>
      </c>
      <c r="T965" s="1" t="s">
        <v>31</v>
      </c>
      <c r="U965" s="2" t="s">
        <v>32</v>
      </c>
      <c r="V965" s="1" t="s">
        <v>1895</v>
      </c>
      <c r="W965" s="1" t="s">
        <v>50</v>
      </c>
      <c r="X965" s="7" t="s">
        <v>1751</v>
      </c>
      <c r="Y965" s="10">
        <f t="shared" si="31"/>
        <v>900</v>
      </c>
      <c r="AH965" s="5" t="e">
        <f>VLOOKUP(B965,[1]DL!$BK:$BP,6,0)</f>
        <v>#N/A</v>
      </c>
    </row>
    <row r="966" spans="1:34" ht="14.5" hidden="1">
      <c r="A966" s="5">
        <v>963</v>
      </c>
      <c r="B966" s="5" t="str">
        <f t="shared" si="32"/>
        <v>06AATPS8100Q1ZWGSE-3633</v>
      </c>
      <c r="C966" s="1" t="s">
        <v>1494</v>
      </c>
      <c r="D966" s="1" t="s">
        <v>1495</v>
      </c>
      <c r="E966" s="1" t="s">
        <v>1835</v>
      </c>
      <c r="F966" s="1" t="s">
        <v>1816</v>
      </c>
      <c r="G966" s="1" t="s">
        <v>50</v>
      </c>
      <c r="H966" s="2">
        <v>1888</v>
      </c>
      <c r="I966" s="1" t="s">
        <v>44</v>
      </c>
      <c r="J966" s="3" t="s">
        <v>27</v>
      </c>
      <c r="K966" s="2">
        <v>1600</v>
      </c>
      <c r="L966" s="2">
        <v>288</v>
      </c>
      <c r="M966" s="2">
        <v>0</v>
      </c>
      <c r="N966" s="2">
        <v>0</v>
      </c>
      <c r="O966" s="2">
        <v>0</v>
      </c>
      <c r="P966" s="1" t="s">
        <v>28</v>
      </c>
      <c r="Q966" s="1" t="s">
        <v>29</v>
      </c>
      <c r="R966" s="3" t="s">
        <v>45</v>
      </c>
      <c r="S966" s="3" t="s">
        <v>46</v>
      </c>
      <c r="T966" s="1" t="s">
        <v>31</v>
      </c>
      <c r="U966" s="2" t="s">
        <v>32</v>
      </c>
      <c r="V966" s="1" t="s">
        <v>1896</v>
      </c>
      <c r="W966" s="1" t="s">
        <v>50</v>
      </c>
      <c r="X966" s="7" t="s">
        <v>1751</v>
      </c>
      <c r="Y966" s="10">
        <f t="shared" si="31"/>
        <v>288</v>
      </c>
      <c r="AH966" s="5" t="e">
        <f>VLOOKUP(B966,[1]DL!$BK:$BP,6,0)</f>
        <v>#N/A</v>
      </c>
    </row>
    <row r="967" spans="1:34" ht="14.5" hidden="1">
      <c r="A967" s="5">
        <v>964</v>
      </c>
      <c r="B967" s="5" t="str">
        <f t="shared" si="32"/>
        <v>06AATPS8100Q1ZWGSE-3634</v>
      </c>
      <c r="C967" s="1" t="s">
        <v>1494</v>
      </c>
      <c r="D967" s="1" t="s">
        <v>1495</v>
      </c>
      <c r="E967" s="1" t="s">
        <v>1836</v>
      </c>
      <c r="F967" s="1" t="s">
        <v>1816</v>
      </c>
      <c r="G967" s="1" t="s">
        <v>50</v>
      </c>
      <c r="H967" s="2">
        <v>3186</v>
      </c>
      <c r="I967" s="1" t="s">
        <v>44</v>
      </c>
      <c r="J967" s="3" t="s">
        <v>27</v>
      </c>
      <c r="K967" s="2">
        <v>2700</v>
      </c>
      <c r="L967" s="2">
        <v>486</v>
      </c>
      <c r="M967" s="2">
        <v>0</v>
      </c>
      <c r="N967" s="2">
        <v>0</v>
      </c>
      <c r="O967" s="2">
        <v>0</v>
      </c>
      <c r="P967" s="1" t="s">
        <v>28</v>
      </c>
      <c r="Q967" s="1" t="s">
        <v>29</v>
      </c>
      <c r="R967" s="3" t="s">
        <v>45</v>
      </c>
      <c r="S967" s="3" t="s">
        <v>46</v>
      </c>
      <c r="T967" s="1" t="s">
        <v>31</v>
      </c>
      <c r="U967" s="2" t="s">
        <v>32</v>
      </c>
      <c r="V967" s="1" t="s">
        <v>1897</v>
      </c>
      <c r="W967" s="1" t="s">
        <v>50</v>
      </c>
      <c r="X967" s="7" t="s">
        <v>1751</v>
      </c>
      <c r="Y967" s="10">
        <f t="shared" si="31"/>
        <v>486</v>
      </c>
      <c r="AH967" s="5" t="e">
        <f>VLOOKUP(B967,[1]DL!$BK:$BP,6,0)</f>
        <v>#N/A</v>
      </c>
    </row>
    <row r="968" spans="1:34" ht="14.5" hidden="1">
      <c r="A968" s="5">
        <v>965</v>
      </c>
      <c r="B968" s="5" t="str">
        <f t="shared" si="32"/>
        <v>06AATPS8100Q1ZWGSE-3635</v>
      </c>
      <c r="C968" s="1" t="s">
        <v>1494</v>
      </c>
      <c r="D968" s="1" t="s">
        <v>1495</v>
      </c>
      <c r="E968" s="1" t="s">
        <v>1837</v>
      </c>
      <c r="F968" s="1" t="s">
        <v>1816</v>
      </c>
      <c r="G968" s="1" t="s">
        <v>50</v>
      </c>
      <c r="H968" s="2">
        <v>17110</v>
      </c>
      <c r="I968" s="1" t="s">
        <v>44</v>
      </c>
      <c r="J968" s="3" t="s">
        <v>27</v>
      </c>
      <c r="K968" s="2">
        <v>14500</v>
      </c>
      <c r="L968" s="2">
        <v>2610</v>
      </c>
      <c r="M968" s="2">
        <v>0</v>
      </c>
      <c r="N968" s="2">
        <v>0</v>
      </c>
      <c r="O968" s="2">
        <v>0</v>
      </c>
      <c r="P968" s="1" t="s">
        <v>28</v>
      </c>
      <c r="Q968" s="1" t="s">
        <v>29</v>
      </c>
      <c r="R968" s="3" t="s">
        <v>45</v>
      </c>
      <c r="S968" s="3" t="s">
        <v>46</v>
      </c>
      <c r="T968" s="1" t="s">
        <v>31</v>
      </c>
      <c r="U968" s="2" t="s">
        <v>32</v>
      </c>
      <c r="V968" s="1" t="s">
        <v>1898</v>
      </c>
      <c r="W968" s="1" t="s">
        <v>50</v>
      </c>
      <c r="X968" s="7" t="s">
        <v>1751</v>
      </c>
      <c r="Y968" s="10">
        <f t="shared" si="31"/>
        <v>2610</v>
      </c>
      <c r="AH968" s="5" t="e">
        <f>VLOOKUP(B968,[1]DL!$BK:$BP,6,0)</f>
        <v>#N/A</v>
      </c>
    </row>
    <row r="969" spans="1:34" ht="14.5" hidden="1">
      <c r="A969" s="5">
        <v>966</v>
      </c>
      <c r="B969" s="5" t="str">
        <f t="shared" si="32"/>
        <v>06AATPS8100Q1ZWGSE-3636</v>
      </c>
      <c r="C969" s="1" t="s">
        <v>1494</v>
      </c>
      <c r="D969" s="1" t="s">
        <v>1495</v>
      </c>
      <c r="E969" s="1" t="s">
        <v>1838</v>
      </c>
      <c r="F969" s="1" t="s">
        <v>1816</v>
      </c>
      <c r="G969" s="1" t="s">
        <v>204</v>
      </c>
      <c r="H969" s="2">
        <v>590</v>
      </c>
      <c r="I969" s="1" t="s">
        <v>44</v>
      </c>
      <c r="J969" s="3" t="s">
        <v>27</v>
      </c>
      <c r="K969" s="2">
        <v>500</v>
      </c>
      <c r="L969" s="2">
        <v>90</v>
      </c>
      <c r="M969" s="2">
        <v>0</v>
      </c>
      <c r="N969" s="2">
        <v>0</v>
      </c>
      <c r="O969" s="2">
        <v>0</v>
      </c>
      <c r="P969" s="1" t="s">
        <v>28</v>
      </c>
      <c r="Q969" s="1" t="s">
        <v>29</v>
      </c>
      <c r="R969" s="3" t="s">
        <v>45</v>
      </c>
      <c r="S969" s="3" t="s">
        <v>46</v>
      </c>
      <c r="T969" s="1" t="s">
        <v>31</v>
      </c>
      <c r="U969" s="2" t="s">
        <v>32</v>
      </c>
      <c r="V969" s="1" t="s">
        <v>1899</v>
      </c>
      <c r="W969" s="1" t="s">
        <v>204</v>
      </c>
      <c r="X969" s="7" t="s">
        <v>1751</v>
      </c>
      <c r="Y969" s="10">
        <f t="shared" si="31"/>
        <v>90</v>
      </c>
      <c r="AH969" s="5" t="e">
        <f>VLOOKUP(B969,[1]DL!$BK:$BP,6,0)</f>
        <v>#N/A</v>
      </c>
    </row>
    <row r="970" spans="1:34" ht="14.5" hidden="1">
      <c r="A970" s="5">
        <v>967</v>
      </c>
      <c r="B970" s="5" t="str">
        <f t="shared" si="32"/>
        <v>06AATPS8100Q1ZWGSE-3637</v>
      </c>
      <c r="C970" s="1" t="s">
        <v>1494</v>
      </c>
      <c r="D970" s="1" t="s">
        <v>1495</v>
      </c>
      <c r="E970" s="1" t="s">
        <v>1839</v>
      </c>
      <c r="F970" s="1" t="s">
        <v>1816</v>
      </c>
      <c r="G970" s="1" t="s">
        <v>204</v>
      </c>
      <c r="H970" s="2">
        <v>1770</v>
      </c>
      <c r="I970" s="1" t="s">
        <v>44</v>
      </c>
      <c r="J970" s="3" t="s">
        <v>27</v>
      </c>
      <c r="K970" s="2">
        <v>1500</v>
      </c>
      <c r="L970" s="2">
        <v>270</v>
      </c>
      <c r="M970" s="2">
        <v>0</v>
      </c>
      <c r="N970" s="2">
        <v>0</v>
      </c>
      <c r="O970" s="2">
        <v>0</v>
      </c>
      <c r="P970" s="1" t="s">
        <v>28</v>
      </c>
      <c r="Q970" s="1" t="s">
        <v>29</v>
      </c>
      <c r="R970" s="3" t="s">
        <v>45</v>
      </c>
      <c r="S970" s="3" t="s">
        <v>46</v>
      </c>
      <c r="T970" s="1" t="s">
        <v>31</v>
      </c>
      <c r="U970" s="2" t="s">
        <v>32</v>
      </c>
      <c r="V970" s="1" t="s">
        <v>1900</v>
      </c>
      <c r="W970" s="1" t="s">
        <v>204</v>
      </c>
      <c r="X970" s="7" t="s">
        <v>1751</v>
      </c>
      <c r="Y970" s="10">
        <f t="shared" si="31"/>
        <v>270</v>
      </c>
      <c r="AH970" s="5" t="e">
        <f>VLOOKUP(B970,[1]DL!$BK:$BP,6,0)</f>
        <v>#N/A</v>
      </c>
    </row>
    <row r="971" spans="1:34" ht="14.5" hidden="1">
      <c r="A971" s="5">
        <v>968</v>
      </c>
      <c r="B971" s="5" t="str">
        <f t="shared" si="32"/>
        <v>06AATPS8100Q1ZWGSE-3638</v>
      </c>
      <c r="C971" s="1" t="s">
        <v>1494</v>
      </c>
      <c r="D971" s="1" t="s">
        <v>1495</v>
      </c>
      <c r="E971" s="1" t="s">
        <v>1840</v>
      </c>
      <c r="F971" s="1" t="s">
        <v>1816</v>
      </c>
      <c r="G971" s="1" t="s">
        <v>204</v>
      </c>
      <c r="H971" s="2">
        <v>8496</v>
      </c>
      <c r="I971" s="1" t="s">
        <v>44</v>
      </c>
      <c r="J971" s="3" t="s">
        <v>27</v>
      </c>
      <c r="K971" s="2">
        <v>7200</v>
      </c>
      <c r="L971" s="2">
        <v>1296</v>
      </c>
      <c r="M971" s="2">
        <v>0</v>
      </c>
      <c r="N971" s="2">
        <v>0</v>
      </c>
      <c r="O971" s="2">
        <v>0</v>
      </c>
      <c r="P971" s="1" t="s">
        <v>28</v>
      </c>
      <c r="Q971" s="1" t="s">
        <v>29</v>
      </c>
      <c r="R971" s="3" t="s">
        <v>45</v>
      </c>
      <c r="S971" s="3" t="s">
        <v>46</v>
      </c>
      <c r="T971" s="1" t="s">
        <v>31</v>
      </c>
      <c r="U971" s="2" t="s">
        <v>32</v>
      </c>
      <c r="V971" s="1" t="s">
        <v>1901</v>
      </c>
      <c r="W971" s="1" t="s">
        <v>204</v>
      </c>
      <c r="X971" s="7" t="s">
        <v>1751</v>
      </c>
      <c r="Y971" s="10">
        <f t="shared" si="31"/>
        <v>1296</v>
      </c>
      <c r="AH971" s="5" t="e">
        <f>VLOOKUP(B971,[1]DL!$BK:$BP,6,0)</f>
        <v>#N/A</v>
      </c>
    </row>
    <row r="972" spans="1:34" ht="14.5" hidden="1">
      <c r="A972" s="5">
        <v>969</v>
      </c>
      <c r="B972" s="5" t="str">
        <f t="shared" si="32"/>
        <v>06AATPS8100Q1ZWGSE-3639</v>
      </c>
      <c r="C972" s="1" t="s">
        <v>1494</v>
      </c>
      <c r="D972" s="1" t="s">
        <v>1495</v>
      </c>
      <c r="E972" s="1" t="s">
        <v>1841</v>
      </c>
      <c r="F972" s="1" t="s">
        <v>1816</v>
      </c>
      <c r="G972" s="1" t="s">
        <v>52</v>
      </c>
      <c r="H972" s="2">
        <v>590</v>
      </c>
      <c r="I972" s="1" t="s">
        <v>44</v>
      </c>
      <c r="J972" s="3" t="s">
        <v>27</v>
      </c>
      <c r="K972" s="2">
        <v>500</v>
      </c>
      <c r="L972" s="2">
        <v>90</v>
      </c>
      <c r="M972" s="2">
        <v>0</v>
      </c>
      <c r="N972" s="2">
        <v>0</v>
      </c>
      <c r="O972" s="2">
        <v>0</v>
      </c>
      <c r="P972" s="1" t="s">
        <v>28</v>
      </c>
      <c r="Q972" s="1" t="s">
        <v>29</v>
      </c>
      <c r="R972" s="3" t="s">
        <v>45</v>
      </c>
      <c r="S972" s="3" t="s">
        <v>46</v>
      </c>
      <c r="T972" s="1" t="s">
        <v>31</v>
      </c>
      <c r="U972" s="2" t="s">
        <v>32</v>
      </c>
      <c r="V972" s="1" t="s">
        <v>1902</v>
      </c>
      <c r="W972" s="1" t="s">
        <v>52</v>
      </c>
      <c r="X972" s="7" t="s">
        <v>1751</v>
      </c>
      <c r="Y972" s="10">
        <f t="shared" si="31"/>
        <v>90</v>
      </c>
      <c r="AH972" s="5" t="e">
        <f>VLOOKUP(B972,[1]DL!$BK:$BP,6,0)</f>
        <v>#N/A</v>
      </c>
    </row>
    <row r="973" spans="1:34" ht="14.5" hidden="1">
      <c r="A973" s="5">
        <v>970</v>
      </c>
      <c r="B973" s="5" t="str">
        <f t="shared" si="32"/>
        <v>06AATPS8100Q1ZWGSE-3640</v>
      </c>
      <c r="C973" s="1" t="s">
        <v>1494</v>
      </c>
      <c r="D973" s="1" t="s">
        <v>1495</v>
      </c>
      <c r="E973" s="1" t="s">
        <v>1842</v>
      </c>
      <c r="F973" s="1" t="s">
        <v>1816</v>
      </c>
      <c r="G973" s="1" t="s">
        <v>52</v>
      </c>
      <c r="H973" s="2">
        <v>8496</v>
      </c>
      <c r="I973" s="1" t="s">
        <v>44</v>
      </c>
      <c r="J973" s="3" t="s">
        <v>27</v>
      </c>
      <c r="K973" s="2">
        <v>7200</v>
      </c>
      <c r="L973" s="2">
        <v>1296</v>
      </c>
      <c r="M973" s="2">
        <v>0</v>
      </c>
      <c r="N973" s="2">
        <v>0</v>
      </c>
      <c r="O973" s="2">
        <v>0</v>
      </c>
      <c r="P973" s="1" t="s">
        <v>28</v>
      </c>
      <c r="Q973" s="1" t="s">
        <v>29</v>
      </c>
      <c r="R973" s="3" t="s">
        <v>45</v>
      </c>
      <c r="S973" s="3" t="s">
        <v>46</v>
      </c>
      <c r="T973" s="1" t="s">
        <v>31</v>
      </c>
      <c r="U973" s="2" t="s">
        <v>32</v>
      </c>
      <c r="V973" s="1" t="s">
        <v>1903</v>
      </c>
      <c r="W973" s="1" t="s">
        <v>52</v>
      </c>
      <c r="X973" s="7" t="s">
        <v>1751</v>
      </c>
      <c r="Y973" s="10">
        <f t="shared" si="31"/>
        <v>1296</v>
      </c>
      <c r="AH973" s="5" t="e">
        <f>VLOOKUP(B973,[1]DL!$BK:$BP,6,0)</f>
        <v>#N/A</v>
      </c>
    </row>
    <row r="974" spans="1:34" ht="14.5" hidden="1">
      <c r="A974" s="5">
        <v>971</v>
      </c>
      <c r="B974" s="5" t="str">
        <f t="shared" si="32"/>
        <v>06AATPS8100Q1ZWGSE-3641</v>
      </c>
      <c r="C974" s="1" t="s">
        <v>1494</v>
      </c>
      <c r="D974" s="1" t="s">
        <v>1495</v>
      </c>
      <c r="E974" s="1" t="s">
        <v>1843</v>
      </c>
      <c r="F974" s="1" t="s">
        <v>1816</v>
      </c>
      <c r="G974" s="1" t="s">
        <v>52</v>
      </c>
      <c r="H974" s="2">
        <v>1770</v>
      </c>
      <c r="I974" s="1" t="s">
        <v>44</v>
      </c>
      <c r="J974" s="3" t="s">
        <v>27</v>
      </c>
      <c r="K974" s="2">
        <v>1500</v>
      </c>
      <c r="L974" s="2">
        <v>270</v>
      </c>
      <c r="M974" s="2">
        <v>0</v>
      </c>
      <c r="N974" s="2">
        <v>0</v>
      </c>
      <c r="O974" s="2">
        <v>0</v>
      </c>
      <c r="P974" s="1" t="s">
        <v>28</v>
      </c>
      <c r="Q974" s="1" t="s">
        <v>29</v>
      </c>
      <c r="R974" s="3" t="s">
        <v>45</v>
      </c>
      <c r="S974" s="3" t="s">
        <v>46</v>
      </c>
      <c r="T974" s="1" t="s">
        <v>31</v>
      </c>
      <c r="U974" s="2" t="s">
        <v>32</v>
      </c>
      <c r="V974" s="1" t="s">
        <v>1904</v>
      </c>
      <c r="W974" s="1" t="s">
        <v>52</v>
      </c>
      <c r="X974" s="7" t="s">
        <v>1751</v>
      </c>
      <c r="Y974" s="10">
        <f t="shared" si="31"/>
        <v>270</v>
      </c>
      <c r="AH974" s="5" t="e">
        <f>VLOOKUP(B974,[1]DL!$BK:$BP,6,0)</f>
        <v>#N/A</v>
      </c>
    </row>
    <row r="975" spans="1:34" ht="14.5" hidden="1">
      <c r="A975" s="5">
        <v>972</v>
      </c>
      <c r="B975" s="5" t="str">
        <f t="shared" si="32"/>
        <v>06AATPS8100Q1ZWGSE-3642</v>
      </c>
      <c r="C975" s="1" t="s">
        <v>1494</v>
      </c>
      <c r="D975" s="1" t="s">
        <v>1495</v>
      </c>
      <c r="E975" s="1" t="s">
        <v>1844</v>
      </c>
      <c r="F975" s="1" t="s">
        <v>1816</v>
      </c>
      <c r="G975" s="1" t="s">
        <v>52</v>
      </c>
      <c r="H975" s="2">
        <v>3186</v>
      </c>
      <c r="I975" s="1" t="s">
        <v>44</v>
      </c>
      <c r="J975" s="3" t="s">
        <v>27</v>
      </c>
      <c r="K975" s="2">
        <v>2700</v>
      </c>
      <c r="L975" s="2">
        <v>486</v>
      </c>
      <c r="M975" s="2">
        <v>0</v>
      </c>
      <c r="N975" s="2">
        <v>0</v>
      </c>
      <c r="O975" s="2">
        <v>0</v>
      </c>
      <c r="P975" s="1" t="s">
        <v>28</v>
      </c>
      <c r="Q975" s="1" t="s">
        <v>29</v>
      </c>
      <c r="R975" s="3" t="s">
        <v>45</v>
      </c>
      <c r="S975" s="3" t="s">
        <v>46</v>
      </c>
      <c r="T975" s="1" t="s">
        <v>31</v>
      </c>
      <c r="U975" s="2" t="s">
        <v>32</v>
      </c>
      <c r="V975" s="1" t="s">
        <v>1905</v>
      </c>
      <c r="W975" s="1" t="s">
        <v>52</v>
      </c>
      <c r="X975" s="7" t="s">
        <v>1751</v>
      </c>
      <c r="Y975" s="10">
        <f t="shared" si="31"/>
        <v>486</v>
      </c>
      <c r="AH975" s="5" t="e">
        <f>VLOOKUP(B975,[1]DL!$BK:$BP,6,0)</f>
        <v>#N/A</v>
      </c>
    </row>
    <row r="976" spans="1:34" ht="14.5" hidden="1">
      <c r="A976" s="5">
        <v>973</v>
      </c>
      <c r="B976" s="5" t="str">
        <f t="shared" si="32"/>
        <v>06AATPS8100Q1ZWGSE-3643</v>
      </c>
      <c r="C976" s="1" t="s">
        <v>1494</v>
      </c>
      <c r="D976" s="1" t="s">
        <v>1495</v>
      </c>
      <c r="E976" s="1" t="s">
        <v>1845</v>
      </c>
      <c r="F976" s="1" t="s">
        <v>1816</v>
      </c>
      <c r="G976" s="1" t="s">
        <v>52</v>
      </c>
      <c r="H976" s="2">
        <v>5310</v>
      </c>
      <c r="I976" s="1" t="s">
        <v>44</v>
      </c>
      <c r="J976" s="3" t="s">
        <v>27</v>
      </c>
      <c r="K976" s="2">
        <v>4500</v>
      </c>
      <c r="L976" s="2">
        <v>810</v>
      </c>
      <c r="M976" s="2">
        <v>0</v>
      </c>
      <c r="N976" s="2">
        <v>0</v>
      </c>
      <c r="O976" s="2">
        <v>0</v>
      </c>
      <c r="P976" s="1" t="s">
        <v>28</v>
      </c>
      <c r="Q976" s="1" t="s">
        <v>29</v>
      </c>
      <c r="R976" s="3" t="s">
        <v>45</v>
      </c>
      <c r="S976" s="3" t="s">
        <v>46</v>
      </c>
      <c r="T976" s="1" t="s">
        <v>31</v>
      </c>
      <c r="U976" s="2" t="s">
        <v>32</v>
      </c>
      <c r="V976" s="1" t="s">
        <v>1906</v>
      </c>
      <c r="W976" s="1" t="s">
        <v>52</v>
      </c>
      <c r="X976" s="7" t="s">
        <v>1751</v>
      </c>
      <c r="Y976" s="10">
        <f t="shared" si="31"/>
        <v>810</v>
      </c>
      <c r="AH976" s="5" t="e">
        <f>VLOOKUP(B976,[1]DL!$BK:$BP,6,0)</f>
        <v>#N/A</v>
      </c>
    </row>
    <row r="977" spans="1:34" ht="14.5" hidden="1">
      <c r="A977" s="5">
        <v>974</v>
      </c>
      <c r="B977" s="5" t="str">
        <f t="shared" si="32"/>
        <v>06AATPS8100Q1ZWGSE-3644</v>
      </c>
      <c r="C977" s="1" t="s">
        <v>1494</v>
      </c>
      <c r="D977" s="1" t="s">
        <v>1495</v>
      </c>
      <c r="E977" s="1" t="s">
        <v>1846</v>
      </c>
      <c r="F977" s="1" t="s">
        <v>1816</v>
      </c>
      <c r="G977" s="1" t="s">
        <v>52</v>
      </c>
      <c r="H977" s="2">
        <v>1888</v>
      </c>
      <c r="I977" s="1" t="s">
        <v>44</v>
      </c>
      <c r="J977" s="3" t="s">
        <v>27</v>
      </c>
      <c r="K977" s="2">
        <v>1600</v>
      </c>
      <c r="L977" s="2">
        <v>288</v>
      </c>
      <c r="M977" s="2">
        <v>0</v>
      </c>
      <c r="N977" s="2">
        <v>0</v>
      </c>
      <c r="O977" s="2">
        <v>0</v>
      </c>
      <c r="P977" s="1" t="s">
        <v>28</v>
      </c>
      <c r="Q977" s="1" t="s">
        <v>29</v>
      </c>
      <c r="R977" s="3" t="s">
        <v>45</v>
      </c>
      <c r="S977" s="3" t="s">
        <v>46</v>
      </c>
      <c r="T977" s="1" t="s">
        <v>31</v>
      </c>
      <c r="U977" s="2" t="s">
        <v>32</v>
      </c>
      <c r="V977" s="1" t="s">
        <v>1907</v>
      </c>
      <c r="W977" s="1" t="s">
        <v>52</v>
      </c>
      <c r="X977" s="7" t="s">
        <v>1751</v>
      </c>
      <c r="Y977" s="10">
        <f t="shared" si="31"/>
        <v>288</v>
      </c>
      <c r="AH977" s="5" t="e">
        <f>VLOOKUP(B977,[1]DL!$BK:$BP,6,0)</f>
        <v>#N/A</v>
      </c>
    </row>
    <row r="978" spans="1:34" ht="14.5" hidden="1">
      <c r="A978" s="5">
        <v>975</v>
      </c>
      <c r="B978" s="5" t="str">
        <f t="shared" si="32"/>
        <v>06AATPS8100Q1ZWGSE-3645</v>
      </c>
      <c r="C978" s="1" t="s">
        <v>1494</v>
      </c>
      <c r="D978" s="1" t="s">
        <v>1495</v>
      </c>
      <c r="E978" s="1" t="s">
        <v>1847</v>
      </c>
      <c r="F978" s="1" t="s">
        <v>1816</v>
      </c>
      <c r="G978" s="1" t="s">
        <v>52</v>
      </c>
      <c r="H978" s="2">
        <v>16520</v>
      </c>
      <c r="I978" s="1" t="s">
        <v>44</v>
      </c>
      <c r="J978" s="3" t="s">
        <v>27</v>
      </c>
      <c r="K978" s="2">
        <v>14000</v>
      </c>
      <c r="L978" s="2">
        <v>2520</v>
      </c>
      <c r="M978" s="2">
        <v>0</v>
      </c>
      <c r="N978" s="2">
        <v>0</v>
      </c>
      <c r="O978" s="2">
        <v>0</v>
      </c>
      <c r="P978" s="1" t="s">
        <v>28</v>
      </c>
      <c r="Q978" s="1" t="s">
        <v>29</v>
      </c>
      <c r="R978" s="3" t="s">
        <v>45</v>
      </c>
      <c r="S978" s="3" t="s">
        <v>46</v>
      </c>
      <c r="T978" s="1" t="s">
        <v>31</v>
      </c>
      <c r="U978" s="2" t="s">
        <v>32</v>
      </c>
      <c r="V978" s="1" t="s">
        <v>1908</v>
      </c>
      <c r="W978" s="1" t="s">
        <v>52</v>
      </c>
      <c r="X978" s="7" t="s">
        <v>1751</v>
      </c>
      <c r="Y978" s="10">
        <f t="shared" si="31"/>
        <v>2520</v>
      </c>
      <c r="AH978" s="5" t="e">
        <f>VLOOKUP(B978,[1]DL!$BK:$BP,6,0)</f>
        <v>#N/A</v>
      </c>
    </row>
    <row r="979" spans="1:34" ht="14.5" hidden="1">
      <c r="A979" s="5">
        <v>976</v>
      </c>
      <c r="B979" s="5" t="str">
        <f t="shared" si="32"/>
        <v>24AADCS0030Q1ZGDN/009/26-27</v>
      </c>
      <c r="C979" s="1" t="s">
        <v>1403</v>
      </c>
      <c r="D979" s="1" t="s">
        <v>1404</v>
      </c>
      <c r="E979" s="1" t="s">
        <v>1848</v>
      </c>
      <c r="F979" s="1" t="s">
        <v>1816</v>
      </c>
      <c r="G979" s="1" t="s">
        <v>204</v>
      </c>
      <c r="H979" s="2">
        <v>11151</v>
      </c>
      <c r="I979" s="1" t="s">
        <v>44</v>
      </c>
      <c r="J979" s="3" t="s">
        <v>27</v>
      </c>
      <c r="K979" s="2">
        <v>9450</v>
      </c>
      <c r="L979" s="2">
        <v>1701</v>
      </c>
      <c r="M979" s="2">
        <v>0</v>
      </c>
      <c r="N979" s="2">
        <v>0</v>
      </c>
      <c r="O979" s="2">
        <v>0</v>
      </c>
      <c r="P979" s="1" t="s">
        <v>28</v>
      </c>
      <c r="Q979" s="1" t="s">
        <v>29</v>
      </c>
      <c r="R979" s="3" t="s">
        <v>45</v>
      </c>
      <c r="S979" s="3" t="s">
        <v>46</v>
      </c>
      <c r="T979" s="1" t="s">
        <v>31</v>
      </c>
      <c r="U979" s="2" t="s">
        <v>32</v>
      </c>
      <c r="V979" s="1" t="s">
        <v>1909</v>
      </c>
      <c r="W979" s="1" t="s">
        <v>204</v>
      </c>
      <c r="X979" s="7" t="s">
        <v>1751</v>
      </c>
      <c r="Y979" s="10">
        <f t="shared" si="31"/>
        <v>1701</v>
      </c>
      <c r="AH979" s="5" t="e">
        <f>VLOOKUP(B979,[1]DL!$BK:$BP,6,0)</f>
        <v>#N/A</v>
      </c>
    </row>
  </sheetData>
  <sheetProtection/>
  <autoFilter ref="A3:AH979">
    <filterColumn colId="33">
      <filters calendarType="none">
        <filter val="8854263"/>
        <filter val="8977074"/>
        <filter val="9122840"/>
        <filter val="9122848"/>
        <filter val="9140710"/>
        <filter val="9150866"/>
        <filter val="9151133"/>
        <filter val="9151136"/>
        <filter val="9151137"/>
        <filter val="9151139"/>
        <filter val="9151235"/>
        <filter val="9155607"/>
        <filter val="9155608"/>
        <filter val="9155609"/>
        <filter val="9155610"/>
        <filter val="9155611"/>
        <filter val="9155612"/>
        <filter val="9155613"/>
        <filter val="9155614"/>
        <filter val="9155615"/>
        <filter val="9155616"/>
        <filter val="9155617"/>
        <filter val="9155618"/>
        <filter val="9155619"/>
        <filter val="9156749"/>
        <filter val="9156751"/>
        <filter val="9156752"/>
        <filter val="9156758"/>
        <filter val="9156859"/>
        <filter val="9156860"/>
        <filter val="9156862"/>
        <filter val="9156863"/>
        <filter val="9156865"/>
        <filter val="9156866"/>
        <filter val="9156867"/>
        <filter val="9156868"/>
        <filter val="9156869"/>
        <filter val="9156870"/>
        <filter val="9156871"/>
        <filter val="9157982"/>
        <filter val="9157985"/>
        <filter val="9158398"/>
        <filter val="9164380"/>
        <filter val="9164381"/>
        <filter val="9164382"/>
        <filter val="9164383"/>
        <filter val="9164384"/>
        <filter val="9164385"/>
        <filter val="9164386"/>
        <filter val="9164387"/>
        <filter val="9164389"/>
        <filter val="9164390"/>
        <filter val="9164391"/>
        <filter val="9164393"/>
        <filter val="9164653"/>
        <filter val="9164654"/>
        <filter val="9164740"/>
        <filter val="9166965"/>
        <filter val="9166991"/>
        <filter val="9167995"/>
        <filter val="9167997"/>
        <filter val="9168297"/>
        <filter val="9168298"/>
        <filter val="9168299"/>
        <filter val="9171115"/>
        <filter val="9173788"/>
        <filter val="9173789"/>
        <filter val="9173874"/>
        <filter val="9174963"/>
        <filter val="9175014"/>
        <filter val="9175031"/>
        <filter val="9175766"/>
        <filter val="9177498"/>
        <filter val="9177547"/>
        <filter val="9178114"/>
        <filter val="9178273"/>
      </filters>
    </filterColumn>
  </autoFilter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E23264E-3F0A-40B3-BC57-B93C45D3FC3D}">
  <sheetPr codeName=""/>
  <dimension ref="A2:Y3"/>
  <sheetViews>
    <sheetView workbookViewId="0" topLeftCell="A1">
      <pane ySplit="2" topLeftCell="A3" activePane="bottomLeft" state="frozen"/>
      <selection pane="topLeft" activeCell="A1" sqref="A1"/>
      <selection pane="bottomLeft" activeCell="O7" sqref="O7"/>
    </sheetView>
  </sheetViews>
  <sheetFormatPr defaultColWidth="9.14285714285714" defaultRowHeight="14.5"/>
  <cols>
    <col min="1" max="1" width="17.5714285714286" customWidth="1"/>
    <col min="2" max="2" width="30.7142857142857" customWidth="1"/>
    <col min="3" max="3" width="16.4285714285714" customWidth="1"/>
    <col min="4" max="4" width="19.4285714285714" customWidth="1"/>
    <col min="5" max="5" width="16.5714285714286" customWidth="1"/>
    <col min="6" max="6" width="20.5714285714286" customWidth="1"/>
    <col min="7" max="7" width="17.7142857142857" customWidth="1"/>
    <col min="8" max="8" width="23.4285714285714" customWidth="1"/>
    <col min="9" max="9" width="12.4285714285714" customWidth="1"/>
    <col min="10" max="10" width="13.5714285714286" customWidth="1"/>
    <col min="11" max="11" width="7.28571428571429" customWidth="1"/>
    <col min="12" max="12" width="16" customWidth="1"/>
    <col min="13" max="13" width="19.1428571428571" customWidth="1"/>
    <col min="14" max="14" width="13.1428571428571" customWidth="1"/>
    <col min="15" max="15" width="17.5714285714286" customWidth="1"/>
    <col min="16" max="16" width="10.5714285714286" customWidth="1"/>
  </cols>
  <sheetData>
    <row r="2" spans="1:25" ht="14.5">
      <c r="A2" s="8" t="s">
        <v>1910</v>
      </c>
      <c r="B2" s="8" t="s">
        <v>1</v>
      </c>
      <c r="C2" s="8" t="s">
        <v>1911</v>
      </c>
      <c r="D2" s="8" t="s">
        <v>1912</v>
      </c>
      <c r="E2" s="8" t="s">
        <v>1913</v>
      </c>
      <c r="F2" s="8" t="s">
        <v>1914</v>
      </c>
      <c r="G2" s="8" t="s">
        <v>1915</v>
      </c>
      <c r="H2" s="6" t="s">
        <v>17</v>
      </c>
      <c r="I2" s="6" t="s">
        <v>18</v>
      </c>
      <c r="J2" s="6" t="s">
        <v>19</v>
      </c>
      <c r="K2" s="6" t="s">
        <v>20</v>
      </c>
      <c r="L2" s="8" t="s">
        <v>1916</v>
      </c>
      <c r="M2" s="8" t="s">
        <v>1917</v>
      </c>
      <c r="N2" s="8" t="s">
        <v>1918</v>
      </c>
      <c r="O2" s="9" t="s">
        <v>1738</v>
      </c>
      <c r="P2" s="9" t="s">
        <v>1739</v>
      </c>
      <c r="Q2" s="9" t="s">
        <v>1740</v>
      </c>
      <c r="R2" s="9" t="s">
        <v>1741</v>
      </c>
      <c r="S2" s="9" t="s">
        <v>1742</v>
      </c>
      <c r="T2" s="9" t="s">
        <v>1743</v>
      </c>
      <c r="U2" s="9" t="s">
        <v>1744</v>
      </c>
      <c r="V2" s="9" t="s">
        <v>1745</v>
      </c>
      <c r="W2" s="9" t="s">
        <v>1746</v>
      </c>
      <c r="X2" s="9" t="s">
        <v>1747</v>
      </c>
      <c r="Y2" s="9" t="s">
        <v>1748</v>
      </c>
    </row>
    <row r="3" spans="1:16" ht="14.5">
      <c r="A3" s="1" t="s">
        <v>1919</v>
      </c>
      <c r="B3" s="1" t="s">
        <v>430</v>
      </c>
      <c r="C3" s="1" t="s">
        <v>1920</v>
      </c>
      <c r="D3" s="1" t="s">
        <v>1921</v>
      </c>
      <c r="E3" s="1" t="s">
        <v>76</v>
      </c>
      <c r="F3" s="1" t="s">
        <v>46</v>
      </c>
      <c r="G3" s="1" t="s">
        <v>46</v>
      </c>
      <c r="H3" s="2">
        <v>1241527.69</v>
      </c>
      <c r="I3" s="2">
        <v>408654.34</v>
      </c>
      <c r="J3" s="2">
        <v>408654.34</v>
      </c>
      <c r="K3" s="2">
        <v>0</v>
      </c>
      <c r="L3" s="1" t="s">
        <v>28</v>
      </c>
      <c r="M3" s="1" t="s">
        <v>29</v>
      </c>
      <c r="N3" s="3" t="s">
        <v>45</v>
      </c>
      <c r="O3" t="s">
        <v>1751</v>
      </c>
      <c r="P3" s="11">
        <f>H3+I3+J3+K3</f>
        <v>2058836.3700000001</v>
      </c>
    </row>
  </sheetData>
  <sheetProtection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5d851-e80d-4c05-a1d6-4b2eb5864812}" enabled="0" method="Privileged" siteId="{5495d851-e80d-4c05-a1d6-4b2eb5864812}" contentBits="0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B2B+CN+DN</vt:lpstr>
      <vt:lpstr>ISD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CHAKRAVARTI</dc:creator>
  <cp:keywords/>
  <dc:description/>
  <cp:lastModifiedBy>Himanshu Chauhan</cp:lastModifiedBy>
  <dcterms:created xsi:type="dcterms:W3CDTF">2026-05-14T07:03:54Z</dcterms:created>
  <dcterms:modified xsi:type="dcterms:W3CDTF">2026-05-19T06:07:56Z</dcterms:modified>
  <cp:category/>
</cp:coreProperties>
</file>