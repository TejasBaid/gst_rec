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Tables/pivotTable1.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mc:AlternateContent xmlns:mc="http://schemas.openxmlformats.org/markup-compatibility/2006">
    <mc:Choice Requires="x15">
      <x15ac:absPath xmlns:x15ac="http://schemas.microsoft.com/office/spreadsheetml/2010/11/ac" url="D:\Working\Taxation\GST\FY-2026-27\Working\Format to Branch - GSTR-3B\Apr-26\"/>
    </mc:Choice>
  </mc:AlternateContent>
  <bookViews>
    <workbookView xWindow="-110" yWindow="-110" windowWidth="19420" windowHeight="11500" tabRatio="930" activeTab="0"/>
  </bookViews>
  <sheets>
    <sheet name="DELHI 3B" sheetId="1" r:id="rId4"/>
    <sheet name="ITC REVERSAL" sheetId="4" r:id="rId5"/>
    <sheet name="ITC Revers - 180 Days" sheetId="16" state="hidden" r:id="rId6"/>
    <sheet name="ITC Revers &amp; Reclaim - 180 Days" sheetId="15" state="hidden" r:id="rId7"/>
    <sheet name="Outward" sheetId="9" r:id="rId8"/>
    <sheet name="Pivat" sheetId="11" r:id="rId9"/>
    <sheet name="Inward" sheetId="10" r:id="rId10"/>
    <sheet name="NOT CONSIDER" sheetId="14" r:id="rId11"/>
  </sheets>
  <externalReferences>
    <externalReference r:id="rId13"/>
  </externalReferences>
  <definedNames>
    <definedName name="_xlnm._FilterDatabase" localSheetId="6" hidden="1">Inward!$A$2:$BU$312</definedName>
    <definedName name="_xlnm._FilterDatabase" localSheetId="4" hidden="1">Outward!$A$2:$BK$2</definedName>
    <definedName name="_xleta.SUM" hidden="1">#NAME?</definedName>
    <definedName name="_xlfn._ONEDARRAY" hidden="1">#NAME?</definedName>
    <definedName name="_xlfn._SORT" hidden="1">#NAME?</definedName>
    <definedName name="_xlfn.SUMIFS" hidden="1">#NAME?</definedName>
    <definedName name="INVTYPE">[1]master!$H$2:$H$5</definedName>
    <definedName name="POS">[1]master!$G$2:$G$38</definedName>
    <definedName name="_xlnm.Print_Area" localSheetId="0">'DELHI 3B'!$A$1:$F$68</definedName>
    <definedName name="RATE">[1]master!$F$2:$F$8</definedName>
    <definedName name="RCHARGE">[1]master!$C$2:$C$3</definedName>
  </definedNames>
  <calcPr calcId="191029"/>
  <pivotCaches>
    <pivotCache cacheId="38"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 i="10" l="1"/>
</calcChain>
</file>

<file path=xl/sharedStrings.xml><?xml version="1.0" encoding="utf-8"?>
<sst xmlns="http://schemas.openxmlformats.org/spreadsheetml/2006/main" count="12019" uniqueCount="1123">
  <si>
    <t>GSTIN</t>
  </si>
  <si>
    <t>Year</t>
  </si>
  <si>
    <t>Month</t>
  </si>
  <si>
    <t>3.1 Details of Outward Supplies and inward supplies liable to reverse charge</t>
  </si>
  <si>
    <t>Nature of Supplies</t>
  </si>
  <si>
    <t>Total Taxable value</t>
  </si>
  <si>
    <t>Integrated Tax</t>
  </si>
  <si>
    <t>Central Tax</t>
  </si>
  <si>
    <t>State/UT Tax</t>
  </si>
  <si>
    <t>Cess</t>
  </si>
  <si>
    <t>(a) Outward Taxable  supplies  (other than zero rated, nil rated and exempted)</t>
  </si>
  <si>
    <t>(b) Outward Taxable  supplies  (zero rated )</t>
  </si>
  <si>
    <t>(c) Other Outward Taxable  supplies (Nil rated, exempted)</t>
  </si>
  <si>
    <t xml:space="preserve">(d) Inward supplies (liable to reverse charge) </t>
  </si>
  <si>
    <t>(e) Non-GST Outward supplies</t>
  </si>
  <si>
    <t>Total</t>
  </si>
  <si>
    <t>4. Eligible ITC</t>
  </si>
  <si>
    <t>Details</t>
  </si>
  <si>
    <t>(A) ITC Available (Whether in full or part)</t>
  </si>
  <si>
    <t xml:space="preserve">(1)   Import of goods </t>
  </si>
  <si>
    <t>(2)   Import of services</t>
  </si>
  <si>
    <t>(3)   Inward supplies liable to reverse charge
        (other than 1 &amp;2 above)</t>
  </si>
  <si>
    <t>(4)   Inward supplies from ISD</t>
  </si>
  <si>
    <t>(5)   All other ITC</t>
  </si>
  <si>
    <t>TOTAL ITC A</t>
  </si>
  <si>
    <t xml:space="preserve">(1)   As per Rule 42 &amp; 43 of SGST/CGST rules </t>
  </si>
  <si>
    <t>(2)   Others</t>
  </si>
  <si>
    <t>TOTAL ITC B</t>
  </si>
  <si>
    <t>(1)   As per section 17(5) of CGST//SGST Act</t>
  </si>
  <si>
    <t>5. Values of exempt, Nil-rated and non-GST inward supplies</t>
  </si>
  <si>
    <t>Nature of supplies</t>
  </si>
  <si>
    <t>Inter-State supplies</t>
  </si>
  <si>
    <t>Intra-state supplies</t>
  </si>
  <si>
    <t>From a supplier under composition scheme, Exempt  and Nil rated supply</t>
  </si>
  <si>
    <t>Non GST supply</t>
  </si>
  <si>
    <t>Description</t>
  </si>
  <si>
    <t>5.1 Interest &amp; late fee payable</t>
  </si>
  <si>
    <t>Interest</t>
  </si>
  <si>
    <t>Late fee</t>
  </si>
  <si>
    <t>3.2  Of the supplies shown in 3.1 (a), details of inter-state supplies made to unregistered persons, composition taxable person and UIN holders</t>
  </si>
  <si>
    <t>Place of Supply(State/UT)</t>
  </si>
  <si>
    <t>Supplies made to Unregistered Persons</t>
  </si>
  <si>
    <t>Supplies made to Composition Taxable Persons</t>
  </si>
  <si>
    <t>Supplies made to UIN holders</t>
  </si>
  <si>
    <t>Amount of Integrated Tax</t>
  </si>
  <si>
    <r>
      <t xml:space="preserve">GSTR-3B
</t>
    </r>
    <r>
      <rPr>
        <b/>
        <sz val="14"/>
        <rFont val="Calibri"/>
        <family val="2"/>
        <scheme val="minor"/>
      </rPr>
      <t>[See rule 61(5)]</t>
    </r>
  </si>
  <si>
    <t>Legal name of the registered person</t>
  </si>
  <si>
    <t>Godfrey Phillips India Limited</t>
  </si>
  <si>
    <t>07AABCG4768K1Z9</t>
  </si>
  <si>
    <r>
      <t xml:space="preserve"> (</t>
    </r>
    <r>
      <rPr>
        <b/>
        <sz val="10"/>
        <color theme="1"/>
        <rFont val="Calibri"/>
        <family val="2"/>
        <scheme val="minor"/>
      </rPr>
      <t>B) ITC Reversed</t>
    </r>
  </si>
  <si>
    <r>
      <t xml:space="preserve"> </t>
    </r>
    <r>
      <rPr>
        <b/>
        <sz val="10"/>
        <color theme="1"/>
        <rFont val="Calibri"/>
        <family val="2"/>
        <scheme val="minor"/>
      </rPr>
      <t>(C) Net ITC Available (A)-(B)</t>
    </r>
  </si>
  <si>
    <r>
      <t xml:space="preserve"> </t>
    </r>
    <r>
      <rPr>
        <b/>
        <sz val="10"/>
        <color theme="1"/>
        <rFont val="Calibri"/>
        <family val="2"/>
        <scheme val="minor"/>
      </rPr>
      <t>(D) Ineligible ITC</t>
    </r>
  </si>
  <si>
    <t>Document Type</t>
  </si>
  <si>
    <t>Trx Category</t>
  </si>
  <si>
    <t>Org Id</t>
  </si>
  <si>
    <t>Rec OU</t>
  </si>
  <si>
    <t>IO Name</t>
  </si>
  <si>
    <t>GST Inv No</t>
  </si>
  <si>
    <t>IO Location</t>
  </si>
  <si>
    <t>FP REGN</t>
  </si>
  <si>
    <t>ENTITY CODE</t>
  </si>
  <si>
    <t>EVENT TYPE CODE</t>
  </si>
  <si>
    <t>SOURCE</t>
  </si>
  <si>
    <t>TRX TYPE</t>
  </si>
  <si>
    <t>ACCOUNTING DATE</t>
  </si>
  <si>
    <t>TRX NUMBER</t>
  </si>
  <si>
    <t>TRX ID</t>
  </si>
  <si>
    <t>TRX DATE</t>
  </si>
  <si>
    <t>PARTY TYPE</t>
  </si>
  <si>
    <t>PARTY NUMBER</t>
  </si>
  <si>
    <t>PARTY NAME</t>
  </si>
  <si>
    <t>PARTY SITE NAME</t>
  </si>
  <si>
    <t>TP REGNNO</t>
  </si>
  <si>
    <t>TRX UOM</t>
  </si>
  <si>
    <t>UNIT PRICE</t>
  </si>
  <si>
    <t>TRX QTY</t>
  </si>
  <si>
    <t>LINE AMT</t>
  </si>
  <si>
    <t>REGIME</t>
  </si>
  <si>
    <t>ITEM CODE</t>
  </si>
  <si>
    <t>HSN/SACCODE</t>
  </si>
  <si>
    <t>GST TAXABLE AMT</t>
  </si>
  <si>
    <t>GST TAX RATE</t>
  </si>
  <si>
    <t>SGST</t>
  </si>
  <si>
    <t>CGST</t>
  </si>
  <si>
    <t>IGST</t>
  </si>
  <si>
    <t>UTGST</t>
  </si>
  <si>
    <t>CESS1 RATE</t>
  </si>
  <si>
    <t>CESS1</t>
  </si>
  <si>
    <t>CESS2 RATE</t>
  </si>
  <si>
    <t>CESS2</t>
  </si>
  <si>
    <t>TCS RATE/ADHOC</t>
  </si>
  <si>
    <t>TCS AMOUNT</t>
  </si>
  <si>
    <t>OTHER TAX</t>
  </si>
  <si>
    <t>TRX REC</t>
  </si>
  <si>
    <t>TRX SELF</t>
  </si>
  <si>
    <t>TAX CATEGORY</t>
  </si>
  <si>
    <t>ITC CATEGORY</t>
  </si>
  <si>
    <t>Godfrey_Phillips_India_Limited_HO</t>
  </si>
  <si>
    <t>GPIL_HO_New_Delhi(Services)</t>
  </si>
  <si>
    <t>GST_India</t>
  </si>
  <si>
    <t>Y</t>
  </si>
  <si>
    <t>N</t>
  </si>
  <si>
    <t>HO_INTER-STATE_OTH_REC_18%</t>
  </si>
  <si>
    <t>INPUT_SERVICE</t>
  </si>
  <si>
    <t>INPUT</t>
  </si>
  <si>
    <t>HO_INTRA-STATE_OTH_REC_18%</t>
  </si>
  <si>
    <t>HO New Friends Colony</t>
  </si>
  <si>
    <t>07AAACB0272G1Z5</t>
  </si>
  <si>
    <t>07AABCB5582A1Z1</t>
  </si>
  <si>
    <t>EXC Inv No</t>
  </si>
  <si>
    <t>APPLICATION NAME</t>
  </si>
  <si>
    <t>TP REGNNAME</t>
  </si>
  <si>
    <t>ITEM DESCRIPTION</t>
  </si>
  <si>
    <t>CIGARETTE LENGTH</t>
  </si>
  <si>
    <t>REVENUE</t>
  </si>
  <si>
    <t>CREDITNOTE INV NUM</t>
  </si>
  <si>
    <t>EWAY BILL NUM</t>
  </si>
  <si>
    <t>EWAY BILL DATE</t>
  </si>
  <si>
    <t>IRN NUMBER</t>
  </si>
  <si>
    <t>IRN DATE</t>
  </si>
  <si>
    <t>TRANSACTIONS</t>
  </si>
  <si>
    <t>Receivables</t>
  </si>
  <si>
    <t>Customer</t>
  </si>
  <si>
    <t>Bina Fashion N Food (P) Ltd</t>
  </si>
  <si>
    <t>Ho45</t>
  </si>
  <si>
    <t>11.7100.111.321110.2900.000000.0000.000000.000000.00000000</t>
  </si>
  <si>
    <t>RAJPUTANA DEVELOPERS LIMITED</t>
  </si>
  <si>
    <t>53 CC</t>
  </si>
  <si>
    <t>07AAECR2482G1ZD</t>
  </si>
  <si>
    <t>INTERNATIONAL RESEARCH PARK LABORATORIES LTD</t>
  </si>
  <si>
    <t>INT4CC</t>
  </si>
  <si>
    <t>MODI STRATFORD ENTERPRISE MANAGEMENT PRIVATE LIMITED</t>
  </si>
  <si>
    <t>DELHI-24</t>
  </si>
  <si>
    <t>07AAGCM2799F1Z6</t>
  </si>
  <si>
    <t>Beacon Travels Pvt. Ltd.</t>
  </si>
  <si>
    <t>H044</t>
  </si>
  <si>
    <t>SUPPLIER INVOICE NUM</t>
  </si>
  <si>
    <t>SUPPLIER INVOICE DATE</t>
  </si>
  <si>
    <t>ITEM DES</t>
  </si>
  <si>
    <t>IGST IMPORT</t>
  </si>
  <si>
    <t>TOTAL AMT</t>
  </si>
  <si>
    <t>EXPENSE</t>
  </si>
  <si>
    <t>VOUCHARNO</t>
  </si>
  <si>
    <t>Custom BOE No</t>
  </si>
  <si>
    <t>Custom BOE Date</t>
  </si>
  <si>
    <t>Port Code</t>
  </si>
  <si>
    <t>State Code</t>
  </si>
  <si>
    <t>State Name</t>
  </si>
  <si>
    <t>GSTIN &amp; INV</t>
  </si>
  <si>
    <t>Total Tax</t>
  </si>
  <si>
    <t>V-Lookuop</t>
  </si>
  <si>
    <t>Diff</t>
  </si>
  <si>
    <t>Remark</t>
  </si>
  <si>
    <t>DELHI</t>
  </si>
  <si>
    <t>Matched</t>
  </si>
  <si>
    <t>07</t>
  </si>
  <si>
    <t>Delhi</t>
  </si>
  <si>
    <t>Payable Invoice</t>
  </si>
  <si>
    <t>AP_INVOICES</t>
  </si>
  <si>
    <t>STANDARD VALIDATED TAX</t>
  </si>
  <si>
    <t>STANDARD</t>
  </si>
  <si>
    <t>Supplier</t>
  </si>
  <si>
    <t>NOS</t>
  </si>
  <si>
    <t>IA</t>
  </si>
  <si>
    <t>BUDMINTIND</t>
  </si>
  <si>
    <t>STANDARD CREATED</t>
  </si>
  <si>
    <t>Manual Invoice Entry</t>
  </si>
  <si>
    <t>11.7100.111.412401.1010.000000.0007.000000.000000.00000000</t>
  </si>
  <si>
    <t>HO_INTER-STATE_OTH_NON_REC_18%</t>
  </si>
  <si>
    <t>NEW DELHI</t>
  </si>
  <si>
    <t>NEW DELHI-OFF</t>
  </si>
  <si>
    <t>MISCELLENS</t>
  </si>
  <si>
    <t>HO_INTRA-STATE_OTH_NON_REC_18%</t>
  </si>
  <si>
    <t>BUDITMINTIND</t>
  </si>
  <si>
    <t>OKHLA</t>
  </si>
  <si>
    <t>07AAACC4175D1Z0</t>
  </si>
  <si>
    <t>GURGAON-1A</t>
  </si>
  <si>
    <t>06AAACC4175D1Z2</t>
  </si>
  <si>
    <t>11.7100.111.420301.1010.000000.0007.000000.000000.00000000</t>
  </si>
  <si>
    <t>RELIANCE JIO INFOCOMM LIMITED</t>
  </si>
  <si>
    <t>07AABCI6363G1ZL</t>
  </si>
  <si>
    <t>DELHI-OFF</t>
  </si>
  <si>
    <t>HO</t>
  </si>
  <si>
    <t>BHARTI AIRTEL LIMITED</t>
  </si>
  <si>
    <t>07AAACB2894G1ZP</t>
  </si>
  <si>
    <t>New Delhi</t>
  </si>
  <si>
    <t>IMPORT_SERVICE</t>
  </si>
  <si>
    <t>11.7100.111.414801.1010.000000.0007.000000.000000.00000000</t>
  </si>
  <si>
    <t>HO_REV_CHARGE_REC_18%</t>
  </si>
  <si>
    <t>HO_REV_CHARGE_NON_REC_18%</t>
  </si>
  <si>
    <t>HIMANGINI SINGH</t>
  </si>
  <si>
    <t>07AFTPC4142H1ZH</t>
  </si>
  <si>
    <t>Row Labels</t>
  </si>
  <si>
    <t>Grand Total</t>
  </si>
  <si>
    <t>Sum of CESS1</t>
  </si>
  <si>
    <t>Sum of IGST</t>
  </si>
  <si>
    <t>Sum of CGST</t>
  </si>
  <si>
    <t>Sum of SGST</t>
  </si>
  <si>
    <t>As per 2B</t>
  </si>
  <si>
    <t>RCM</t>
  </si>
  <si>
    <t>11.7100.111.416001.1009.000000.0007.000000.000000.00000000</t>
  </si>
  <si>
    <t>SHASHI ANAND</t>
  </si>
  <si>
    <t>BHILAI-OFF</t>
  </si>
  <si>
    <t>11.7100.111.414801.1032.000000.0007.000000.000000.00000000</t>
  </si>
  <si>
    <t>Diffrence</t>
  </si>
  <si>
    <t>ITC TYPE</t>
  </si>
  <si>
    <t>2B MONTH</t>
  </si>
  <si>
    <t>a</t>
  </si>
  <si>
    <t>As per Books</t>
  </si>
  <si>
    <t>RCM Non Rec</t>
  </si>
  <si>
    <t>RCM Rec</t>
  </si>
  <si>
    <t>HO_INTER-STATE_REV_REC_18%</t>
  </si>
  <si>
    <t>INV_COMPLETE</t>
  </si>
  <si>
    <t>ITC Type</t>
  </si>
  <si>
    <t>Godfrey Phillips India Limited, Guldhar</t>
  </si>
  <si>
    <t>I111301</t>
  </si>
  <si>
    <t>09AABCG4768K1Z5</t>
  </si>
  <si>
    <t>Godfrey Phillips India Limited, Ahmedabad</t>
  </si>
  <si>
    <t>I111901</t>
  </si>
  <si>
    <t>24AABCG4768K1ZD</t>
  </si>
  <si>
    <t>11.7100.111.512110.0000.000000.0000.000000.000000.00000000</t>
  </si>
  <si>
    <t>GODFREY PHILLIPS INDIA LIMITED</t>
  </si>
  <si>
    <t>GPI MOHALI</t>
  </si>
  <si>
    <t>03AABCG4768K1ZH</t>
  </si>
  <si>
    <t>GPI GOA</t>
  </si>
  <si>
    <t>30AABCG4768K1ZK</t>
  </si>
  <si>
    <t>GODFREY PHILLIPS INDIA LIMITED, GUNTUR</t>
  </si>
  <si>
    <t>I111401</t>
  </si>
  <si>
    <t>37AABCG4768K1Z6</t>
  </si>
  <si>
    <t>Godfrey Phillips India Limited, Rabale</t>
  </si>
  <si>
    <t>I112501</t>
  </si>
  <si>
    <t>27AABCG4768K1Z7</t>
  </si>
  <si>
    <t>Godfrey Phillips India Limited, Chhattisgarh</t>
  </si>
  <si>
    <t>Chhattisgarh_HO</t>
  </si>
  <si>
    <t>22AABCG4768K1ZH</t>
  </si>
  <si>
    <t>GPI JAIPUR</t>
  </si>
  <si>
    <t>08AABCG4768K1Z7</t>
  </si>
  <si>
    <t>GODFREY-LADAKH</t>
  </si>
  <si>
    <t>38AABCG4768K1Z4</t>
  </si>
  <si>
    <t>Godfrey Phillips India Limited, Hyderabad</t>
  </si>
  <si>
    <t>I112001</t>
  </si>
  <si>
    <t>36AABCG4768K1Z8</t>
  </si>
  <si>
    <t>GODFREY PHILLIPS INDIA LIMITED (HR)</t>
  </si>
  <si>
    <t>08EB_ALL_DELHI_0004</t>
  </si>
  <si>
    <t>06AABCG4768K1ZB</t>
  </si>
  <si>
    <t>GPI -CUTTAK</t>
  </si>
  <si>
    <t>21AABCG4768K1ZJ</t>
  </si>
  <si>
    <t>GPI BANGLORE</t>
  </si>
  <si>
    <t>29AABCG4768K2Z2</t>
  </si>
  <si>
    <t>GPI UTTARKHAND</t>
  </si>
  <si>
    <t>05AABCG4768K1ZD</t>
  </si>
  <si>
    <t>jammu</t>
  </si>
  <si>
    <t>01AABCG4768K1ZL</t>
  </si>
  <si>
    <t>GPI INDORE</t>
  </si>
  <si>
    <t>23AABCG4768K1ZF</t>
  </si>
  <si>
    <t>GPI PATNA</t>
  </si>
  <si>
    <t>10AABCG4768K1ZM</t>
  </si>
  <si>
    <t>Godfrey Phillips India Limited, Kolkata</t>
  </si>
  <si>
    <t>I111601</t>
  </si>
  <si>
    <t>19AABCG4768K1Z4</t>
  </si>
  <si>
    <t>GPI -ASSAM</t>
  </si>
  <si>
    <t>18AABCG4768K1Z6</t>
  </si>
  <si>
    <t>Godfrey Phillips India Limited, Chandigarh</t>
  </si>
  <si>
    <t>I112101</t>
  </si>
  <si>
    <t>04AABCG4768K1ZF</t>
  </si>
  <si>
    <t>GPI TAMIL NADU</t>
  </si>
  <si>
    <t>33AABCG4768K1ZE</t>
  </si>
  <si>
    <t>GPI-JHARKHAND</t>
  </si>
  <si>
    <t>20AABCG4768K1ZL</t>
  </si>
  <si>
    <t>IRN Status</t>
  </si>
  <si>
    <t>Fwd Rec</t>
  </si>
  <si>
    <t>Fwd Non Rec</t>
  </si>
  <si>
    <t>INPUT_TDS_194C</t>
  </si>
  <si>
    <t>HO_INTRA-STATE_OTH_NON_REC_5%</t>
  </si>
  <si>
    <t>11.7100.111.413701.1010.000000.0007.000000.000000.00000000</t>
  </si>
  <si>
    <t>11.7100.111.112050.0000.000000.0007.000000.000000.00000000</t>
  </si>
  <si>
    <t>11.7100.111.414401.1010.000000.0007.000000.000000.00000000</t>
  </si>
  <si>
    <t>GDX SECURITY SOLUTIONS INDIA PRIVATE LIMITED.</t>
  </si>
  <si>
    <t>07AACCG5199H1ZC</t>
  </si>
  <si>
    <t>YEAR</t>
  </si>
  <si>
    <t>RCM-Not Matched</t>
  </si>
  <si>
    <t>Fwd - Matched</t>
  </si>
  <si>
    <t>SHRI AMRIT LAL CHOPRA</t>
  </si>
  <si>
    <t>11.7100.111.423705.1010.000000.0007.000000.000000.00000000</t>
  </si>
  <si>
    <t>Amount</t>
  </si>
  <si>
    <t>B2B</t>
  </si>
  <si>
    <t>B2C</t>
  </si>
  <si>
    <t>NAF COMPUTERS</t>
  </si>
  <si>
    <t>07AATPA1288M1Z9</t>
  </si>
  <si>
    <t>No</t>
  </si>
  <si>
    <t>Yes</t>
  </si>
  <si>
    <t>11.7100.111.321912.2900.000000.0000.000000.000000.00000000</t>
  </si>
  <si>
    <t>HO_INTER-STATE_REV_NON_REC_18%</t>
  </si>
  <si>
    <t>Inv Year</t>
  </si>
  <si>
    <t>2B Year</t>
  </si>
  <si>
    <t>JAGDAMBA SINGH</t>
  </si>
  <si>
    <t>07ANXPS5012J2ZF</t>
  </si>
  <si>
    <t>Interest on ITC Reversal for non payment of 180days</t>
  </si>
  <si>
    <t>11.7100.111.424156.1000.100007.0007.000000.000000.00000000</t>
  </si>
  <si>
    <t>CANON INDIA PVT. LTD.</t>
  </si>
  <si>
    <t>BUDCAPTIND</t>
  </si>
  <si>
    <t>11.7100.111.423701.1010.000000.0007.000000.000000.00000000</t>
  </si>
  <si>
    <t>CHARU MODI</t>
  </si>
  <si>
    <t>11.7100.111.414703.1000.000000.0007.000000.000000.00000000</t>
  </si>
  <si>
    <t>KINGS COURT CONDOMINIUM ASSOCIATION</t>
  </si>
  <si>
    <t>07AAHAK7428G1ZH</t>
  </si>
  <si>
    <t>11.7100.111.424051.1000.000000.0007.000000.000000.00000000</t>
  </si>
  <si>
    <t>FY 2025-26</t>
  </si>
  <si>
    <t>BLUE DART EXPRESS LTD</t>
  </si>
  <si>
    <t>07AAACB0446L1ZU</t>
  </si>
  <si>
    <t>EXPENSEIND</t>
  </si>
  <si>
    <t>11.7100.111.420803.1000.000000.0007.000000.000000.00000000</t>
  </si>
  <si>
    <t>JOB</t>
  </si>
  <si>
    <t>SHANVI ESTATE MANAGEMENT SERVICES PRIVATE LIMITED</t>
  </si>
  <si>
    <t>07AAJCS4628Q1ZM</t>
  </si>
  <si>
    <t>11.7100.111.413703.1010.000000.0007.000000.000000.00000000</t>
  </si>
  <si>
    <t>Manual Regime Entry</t>
  </si>
  <si>
    <t>MANUAL_ENTRY</t>
  </si>
  <si>
    <t>MANUAL_ENTRY_CREATE</t>
  </si>
  <si>
    <t>Form Entry</t>
  </si>
  <si>
    <t>11.7100.111.414703.1010.000000.0007.000000.000000.00000000</t>
  </si>
  <si>
    <t>11.7100.111.414703.1006.000000.0007.000000.000000.00000000</t>
  </si>
  <si>
    <t>Rental Charges For iR-ADV DX C</t>
  </si>
  <si>
    <t>11.7100.111.414703.1013.000000.0007.000000.000000.00000000</t>
  </si>
  <si>
    <t>Tax Invoice</t>
  </si>
  <si>
    <t>CUSTOMER</t>
  </si>
  <si>
    <t>Godfrey Phillips India Limited, Ho</t>
  </si>
  <si>
    <t>HOC_ISD</t>
  </si>
  <si>
    <t>07AABCG4768K3Z7</t>
  </si>
  <si>
    <t>Services_ISD</t>
  </si>
  <si>
    <t>11.7100.111.512120.0000.000000.0000.000000.000000.00000000</t>
  </si>
  <si>
    <r>
      <t>MANUAL_ENTRY</t>
    </r>
    <r>
      <rPr>
        <b/>
        <sz val="11"/>
        <color rgb="FF000000"/>
        <rFont val="Calibri"/>
        <family val="2"/>
      </rPr>
      <t xml:space="preserve"> </t>
    </r>
  </si>
  <si>
    <r>
      <t>AR_INVOICE</t>
    </r>
    <r>
      <rPr>
        <b/>
        <sz val="11"/>
        <color rgb="FF000000"/>
        <rFont val="Calibri"/>
        <family val="2"/>
      </rPr>
      <t xml:space="preserve"> </t>
    </r>
  </si>
  <si>
    <t>Asia/Pacific Localizations</t>
  </si>
  <si>
    <t>LIABILITY</t>
  </si>
  <si>
    <t>06AACCI0642K2ZQ</t>
  </si>
  <si>
    <t>Total - Difference</t>
  </si>
  <si>
    <t xml:space="preserve">ITC Reversal on Security Transaction </t>
  </si>
  <si>
    <t>ITC Reversal  - Non Recov Trx claimed in 3b as Recov now Reversed</t>
  </si>
  <si>
    <t>STT Reversal &amp; Other</t>
  </si>
  <si>
    <t>PHILIP MORRIS INDIA TRADING PRIVATE LIMITED (FORMERLY IPM INDIA WHOLESALE TRADING PVT. LTD.)</t>
  </si>
  <si>
    <t>08EB_CIG_GURUG_0001</t>
  </si>
  <si>
    <t>RAHUL CHAUDHARY AND PARTNERS</t>
  </si>
  <si>
    <t>TATA AIG GENERAL INSURANCE COMPANY LIMITED</t>
  </si>
  <si>
    <t>11.7100.111.415802.1008.000000.0007.000000.000000.00000000</t>
  </si>
  <si>
    <t>TATA AIA LIFE INSURANCE COMPANY LIMITED</t>
  </si>
  <si>
    <t>Thane</t>
  </si>
  <si>
    <t>27AABCT3784C1ZD</t>
  </si>
  <si>
    <t>DEBIT</t>
  </si>
  <si>
    <t>MUMBAI</t>
  </si>
  <si>
    <t>27AABCT3518Q1ZW</t>
  </si>
  <si>
    <t>Freight  VAS</t>
  </si>
  <si>
    <t>STELLAR ENTERPRISES</t>
  </si>
  <si>
    <t>07AFGFS5626D1Z0</t>
  </si>
  <si>
    <t>UJJAWAL TRADEX PRIVATE LIMITED</t>
  </si>
  <si>
    <t>07AABCU0270A1ZZ</t>
  </si>
  <si>
    <t>11.7100.111.414701.1013.000000.0007.000000.000000.00000000</t>
  </si>
  <si>
    <t>11.7100.111.421415.1013.000000.0007.000000.000000.00000000</t>
  </si>
  <si>
    <t>ANS COMPUTERS AND PERIPHERALS</t>
  </si>
  <si>
    <t>07ACBPV7574P1ZN</t>
  </si>
  <si>
    <t>11.7100.111.420302.1000.000000.0007.000000.000000.00000000</t>
  </si>
  <si>
    <t>11.7100.111.424155.1000.000000.0007.000000.000000.00000000</t>
  </si>
  <si>
    <t>MRP</t>
  </si>
  <si>
    <t>NCCD</t>
  </si>
  <si>
    <t>BED</t>
  </si>
  <si>
    <t>Deemed Taxable Value Per "M"</t>
  </si>
  <si>
    <t>Tax Type</t>
  </si>
  <si>
    <t>TOTAL INVOICE AMOUNT</t>
  </si>
  <si>
    <t>Normal</t>
  </si>
  <si>
    <t>SPIRITED AUTO CARS (I) LTD.</t>
  </si>
  <si>
    <t>07AANCS0651B1ZM</t>
  </si>
  <si>
    <t>GASKET</t>
  </si>
  <si>
    <t>delhi-OFF</t>
  </si>
  <si>
    <t>TATA Coffee Grand</t>
  </si>
  <si>
    <t>LP WHEEL WEIGHT</t>
  </si>
  <si>
    <t>ARSHAD KHAN ENTERPRISES</t>
  </si>
  <si>
    <t>07AVQPK8011N2Z1</t>
  </si>
  <si>
    <t>GOEL ENTERPRISES BHANGEL</t>
  </si>
  <si>
    <t>09ACTPG0935H1ZE</t>
  </si>
  <si>
    <t>HO_INTER-STATE_OTH_NON_REC_5%</t>
  </si>
  <si>
    <t>WINDSHIELD WASHER FLUID</t>
  </si>
  <si>
    <t>11.7100.111.420603.1010.000000.0007.000000.000000.00000000</t>
  </si>
  <si>
    <t>WHEEL ALIGNMENT INSP</t>
  </si>
  <si>
    <t>TGLOSS MECH CARE</t>
  </si>
  <si>
    <t>GURGAON-OFF</t>
  </si>
  <si>
    <t>CLEANER INJECTOR</t>
  </si>
  <si>
    <t>NOIDA</t>
  </si>
  <si>
    <t>CAPITAL_GOODS</t>
  </si>
  <si>
    <t>11.7100.112.420702.2601.000000.0007.000000.000000.00000000</t>
  </si>
  <si>
    <t>LTR</t>
  </si>
  <si>
    <t>OM COMPUTER WORLD</t>
  </si>
  <si>
    <t>07ALWPT1567E1ZJ</t>
  </si>
  <si>
    <t>11.7100.111.424154.1000.100007.0007.000000.000000.00000000</t>
  </si>
  <si>
    <t>Printing  photocopying and other miscellaneous out of pocket expenses</t>
  </si>
  <si>
    <t>LOT</t>
  </si>
  <si>
    <t>PR</t>
  </si>
  <si>
    <t>2B</t>
  </si>
  <si>
    <t>DIFF</t>
  </si>
  <si>
    <t>Refer O12</t>
  </si>
  <si>
    <t>Godfrey Phillips India Limited, Jammu</t>
  </si>
  <si>
    <t>HOJBG</t>
  </si>
  <si>
    <t>11.7100.111.511250.0000.000000.0000.000000.000000.00000000</t>
  </si>
  <si>
    <t>EMPLOYEE</t>
  </si>
  <si>
    <t>EMPLOYEE- DELHI</t>
  </si>
  <si>
    <t>11.7100.111.511500.0000.000000.0000.000000.000000.00000000</t>
  </si>
  <si>
    <t>A AND V ZIPPERS PVT. LIMITED</t>
  </si>
  <si>
    <t>08EB_ALL_DELHI_0007</t>
  </si>
  <si>
    <t>07AADCA3655R1Z7</t>
  </si>
  <si>
    <t>Credit Memo</t>
  </si>
  <si>
    <t>CM_COMPLETE</t>
  </si>
  <si>
    <t>B2B-CN</t>
  </si>
  <si>
    <t>BED/CVD</t>
  </si>
  <si>
    <t>TAX TYPE</t>
  </si>
  <si>
    <t>Supply of TonerInk and Spares along with Support Services</t>
  </si>
  <si>
    <t>LAKSHMI KUMARAN AND SRIDHARAN</t>
  </si>
  <si>
    <t>07AAAFL1585H1ZD</t>
  </si>
  <si>
    <t>A AND V ZIPPERS PVT.LTD.</t>
  </si>
  <si>
    <t>PAYROLL STAFFING SERVICE</t>
  </si>
  <si>
    <t>SAGA LEGAL</t>
  </si>
  <si>
    <t>HEAD OFFICE</t>
  </si>
  <si>
    <t>10 Clerkage</t>
  </si>
  <si>
    <t>CONVERSION</t>
  </si>
  <si>
    <t>11.7100.111.420801.1010.000000.0007.000000.000000.00000000</t>
  </si>
  <si>
    <t>11.7100.111.420801.1000.000000.0007.000000.000000.00000000</t>
  </si>
  <si>
    <t>DEUTSCHE CARS PRIVATE LIMITED</t>
  </si>
  <si>
    <t>Faridabad-OFF</t>
  </si>
  <si>
    <t>06AAGCD4246E1ZX</t>
  </si>
  <si>
    <t>11.7100.111.420803.1009.110908.0007.000000.000000.00000000</t>
  </si>
  <si>
    <t>BEACON TRAVELS PVT LTD</t>
  </si>
  <si>
    <t>07AABCT3518Q1ZY</t>
  </si>
  <si>
    <t>11.7100.111.414703.2700.000000.0007.000000.000000.00000000</t>
  </si>
  <si>
    <t>A-4 Paper JK</t>
  </si>
  <si>
    <t>AIR CONDITIONING</t>
  </si>
  <si>
    <t>11.7100.111.414703.0001.000000.0007.000000.000000.00000000</t>
  </si>
  <si>
    <t>TATA TELESERVICES  LIMITED</t>
  </si>
  <si>
    <t>07AAACT2438A1ZV</t>
  </si>
  <si>
    <t>SHATANSHU PANDA</t>
  </si>
  <si>
    <t>KOLKATA-OFF</t>
  </si>
  <si>
    <t>RECOVERY</t>
  </si>
  <si>
    <t>SUPPLIER</t>
  </si>
  <si>
    <t>AIR INDIA LIMITED</t>
  </si>
  <si>
    <t>07AACCN6194P2ZQ</t>
  </si>
  <si>
    <t>AIRGST996425</t>
  </si>
  <si>
    <t>FUNDA NATURALZ IMLI POUCH 126GM</t>
  </si>
  <si>
    <t>Supply TonerInk Spares along Support Services</t>
  </si>
  <si>
    <t>RNT ENTERPRISES</t>
  </si>
  <si>
    <t>BADARPUR</t>
  </si>
  <si>
    <t>07AELPT6048J2ZV</t>
  </si>
  <si>
    <t>11.7100.111.423704.1010.000000.0007.000000.000000.00000000</t>
  </si>
  <si>
    <t>11.7100.111.420803.1013.000000.0007.000000.000000.00000000</t>
  </si>
  <si>
    <t>ENGINE FLUSH</t>
  </si>
  <si>
    <t>CREDIT</t>
  </si>
  <si>
    <t>Supply of TonerInk Spares along Support Services</t>
  </si>
  <si>
    <t>Supply of TonerInk Spares along with Support Services</t>
  </si>
  <si>
    <t>JOB TIME WITHOUT ALLOWANCE FOR / ELECTRICAL SYSTEM</t>
  </si>
  <si>
    <t>MTR</t>
  </si>
  <si>
    <t>Conveyance expense.</t>
  </si>
  <si>
    <t>Supply of Tonerink and Spares along with Support Services</t>
  </si>
  <si>
    <t>11.7100.111.418801.0003.111207.0000.000000.000000.00000000</t>
  </si>
  <si>
    <t>MAHARASHTRA_1</t>
  </si>
  <si>
    <t>27AACCN6194P1ZP</t>
  </si>
  <si>
    <t>Professional fees towards appearance on 12.03.2026.</t>
  </si>
  <si>
    <t>2026-27</t>
  </si>
  <si>
    <t>Apr-26</t>
  </si>
  <si>
    <t>GPI-HOC260300032</t>
  </si>
  <si>
    <t> 11263000032</t>
  </si>
  <si>
    <t>BUSINESS SUPPORT SERVICES CROSS CHARGED FOR THE PERIOD MAR-26</t>
  </si>
  <si>
    <t>90ee7e29ba933c98780c9a9fe543aa5ba4b47efcc0666108cb4a627bc9f84b99</t>
  </si>
  <si>
    <t>GPI-HOC260300042</t>
  </si>
  <si>
    <t> 11263000042</t>
  </si>
  <si>
    <t>fa1944df608de037db4e0ebe405f00213244878d26b739a443e1d58dbf941b14</t>
  </si>
  <si>
    <t>GPI-HOC260300038</t>
  </si>
  <si>
    <t> 11263000038</t>
  </si>
  <si>
    <t>0269c8365b7deac9cfdcf8c5611795bf1b73cf88592f09a278f8d0e30ec3f843</t>
  </si>
  <si>
    <t>GPI-HOC260300020</t>
  </si>
  <si>
    <t> 11263000020</t>
  </si>
  <si>
    <t>RENT PREMISES FOR 49,2 ND Floor, COMMUNITY CENTRE,FRIENDS COLONY, NEW DELHI FOR THE M/O APR-'26</t>
  </si>
  <si>
    <t>412b6dbe20b3dd9dd49460f857a82465e70a1c73695ec895a389b4180eb680d3</t>
  </si>
  <si>
    <t>GPI-HOC260300009</t>
  </si>
  <si>
    <t> 11263000009</t>
  </si>
  <si>
    <t>Being amount of AVF styudy 17 additional cities q1</t>
  </si>
  <si>
    <t>11.7100.111.416101.2500.000000.0000.000000.000000.00000000</t>
  </si>
  <si>
    <t>a0b2e6bd10d57b94df969e33db9198e583cd8804785eecc23e3811e4bcf2a0a7</t>
  </si>
  <si>
    <t>GPI-HOC260300024</t>
  </si>
  <si>
    <t> 11263000024</t>
  </si>
  <si>
    <t>c860f615853261f188f1c404191373b9e3ef5bb45cc2c0e0683b8e3ed3e7d889</t>
  </si>
  <si>
    <t>GPI-HOC260300033</t>
  </si>
  <si>
    <t> 11263000033</t>
  </si>
  <si>
    <t>b11c81bfd051685118061537a33378085dd099874934b2e26748da9c2ac1e20a</t>
  </si>
  <si>
    <t>GPI-HOC260300039</t>
  </si>
  <si>
    <t> 11263000039</t>
  </si>
  <si>
    <t>cf63d7b74bb26569ab0910c6e6b4c7e48020d1c35e7f801e71cc4b87d97de310</t>
  </si>
  <si>
    <t>GPI-HOC260300043</t>
  </si>
  <si>
    <t> 11263000043</t>
  </si>
  <si>
    <t>683241a1e4737ca483c28547f9b7401d539cb1ef305c31be28b2e77e6c008af4</t>
  </si>
  <si>
    <t>GPI-HOC260300017</t>
  </si>
  <si>
    <t> 11263000017</t>
  </si>
  <si>
    <t>RENT PREMISES FOR GROUND FLOOR,4,COMMUNITY CENTRE,FRIENDS COLONY,NEW DELHI-110025 2465 SQ.FT FOR THE M/O APR-'26</t>
  </si>
  <si>
    <t>8483eb2ee008d604d62eb296a596609f01c6f41996cd78330bf9c3231458be73</t>
  </si>
  <si>
    <t>GPI-HOC260300008</t>
  </si>
  <si>
    <t> 11263000008</t>
  </si>
  <si>
    <t>Being amount of AVF Study 5FC Q1JFM</t>
  </si>
  <si>
    <t>b4bfe34d16f4e5b2e17d203831a50dce31440e36f90d67945e9c9da29e0e8d8b</t>
  </si>
  <si>
    <t>GPI-HOC260300066</t>
  </si>
  <si>
    <t> 108621355</t>
  </si>
  <si>
    <t>a541de5602a0b6a8e2003437be64d0e2e63b3ff9065d1760969b1bab75b9f4d0</t>
  </si>
  <si>
    <t>GPI-HOC260300031</t>
  </si>
  <si>
    <t> 11263000031</t>
  </si>
  <si>
    <t>ebd7cf4d39f52b49f38c34188d5cf8ce4452b6144ded985de6b759edda3a3af7</t>
  </si>
  <si>
    <t>GPI-HOC260300001</t>
  </si>
  <si>
    <t> 11263000001</t>
  </si>
  <si>
    <t>Godfrey Phillips India Limited, Jaipur</t>
  </si>
  <si>
    <t>HOJGM</t>
  </si>
  <si>
    <t>Dell laptop vide asset no.227618 (S.NO.17W3TB4)</t>
  </si>
  <si>
    <t>11.7100.111.511050.0000.000000.0000.000000.000000.00000000</t>
  </si>
  <si>
    <t>6bad53248db99ce5a76d4107c44cb79180273639c0af18f5c9955f81584a64ae</t>
  </si>
  <si>
    <t>GPI-HOC260300005</t>
  </si>
  <si>
    <t> 11263000005</t>
  </si>
  <si>
    <t>Dell Latitude Asset no.111591 Mr.Ashutosh (gst assessable value Rs.13500</t>
  </si>
  <si>
    <t>B2CS</t>
  </si>
  <si>
    <t>GPI-HOC260300018</t>
  </si>
  <si>
    <t> 11263000018</t>
  </si>
  <si>
    <t>RENT PREMISES FOR GROUND FLOOR,49, COMMUNITY CENTRE, NEW FRIENDS COLONY, NEW DELHI-110025 AREA 1900 SQFT FOR THE M/O APR-'26</t>
  </si>
  <si>
    <t>addb2878081b8fa351cfce675717d9baa8278c22fb874fa2c45162140cd74ac6</t>
  </si>
  <si>
    <t>GPI-HOC260300030</t>
  </si>
  <si>
    <t> 11263000030</t>
  </si>
  <si>
    <t>4db2621fcb42dab14cb2b6f13655acda3666344b3c592e41099df98540e0f855</t>
  </si>
  <si>
    <t>GPI-HOC260300040</t>
  </si>
  <si>
    <t> 11263000040</t>
  </si>
  <si>
    <t>fdd6fdeba31ee4f01676945f84c3b967d0cc6975723786eb7e4c036ccad2f75d</t>
  </si>
  <si>
    <t>GPI-HOC260300029</t>
  </si>
  <si>
    <t> 11263000029</t>
  </si>
  <si>
    <t>27bbf7a0070406f35b823b2d097dcd71978d6d8027de59ab1bfc311e621b80c5</t>
  </si>
  <si>
    <t>GPI-HOC260300011</t>
  </si>
  <si>
    <t> 11263000011</t>
  </si>
  <si>
    <t>RENT PREMISES FOR IST FLOOR, 4,COMMMUNITY CENTRE,NFC,N.DELHI FOR THE M/O APR-'26</t>
  </si>
  <si>
    <t>GPI-HOC260300004</t>
  </si>
  <si>
    <t> 11263000004</t>
  </si>
  <si>
    <t>HP LAPTOP S.NO.5CD6106BJ0 (ASSET NO.278586)</t>
  </si>
  <si>
    <t>11.7100.111.511100.0000.000000.0000.000000.000000.00000000</t>
  </si>
  <si>
    <t>f3e10e29f82bb3b9a53b56bb22a49de1eba23d8154b2d1289272b5848803356d</t>
  </si>
  <si>
    <t>GPI-HOC260300001-01-APR-26</t>
  </si>
  <si>
    <t> 11261000001</t>
  </si>
  <si>
    <t>CANCELLATION OF INVOICE NO.GPI/HOC260300001 (ASSET NO.227618)</t>
  </si>
  <si>
    <t>GPI-HOC260200001</t>
  </si>
  <si>
    <t>8060ffbe52f2cc7c64cd919d7d678517a205864fd9793b127d837e0fc9c1b456</t>
  </si>
  <si>
    <t>GPI-HOC260300021</t>
  </si>
  <si>
    <t> 11263000021</t>
  </si>
  <si>
    <t>RENT PREMISES FOR 2ND FLOOR,49, COMMUNITY CENTRE,NFC,N.DELHI 40 SQFT@125/- FOR THE M/O APR-'26</t>
  </si>
  <si>
    <t>e8e37ff586f2aab0e14f38d9b3bd4f473d3024f751fb6ae5783d79a5998c5fba</t>
  </si>
  <si>
    <t>GPI-HOC260300019</t>
  </si>
  <si>
    <t> 11263000019</t>
  </si>
  <si>
    <t>RENT PREMISES FOR 2ND &amp; 3RD FLOOR, 49, COMMUNITY CENTRE,FRIENDS COLONY , NEW DELHI-110025 AREA 4000 SQFT FOR THE M/O APR-'26</t>
  </si>
  <si>
    <t>bbf022a3da0bdd7fb98cfea252dce2c9fee214d3a6169a56eb4b9c0d4765bda1</t>
  </si>
  <si>
    <t>GPI-HOC260300002</t>
  </si>
  <si>
    <t> 11263000002</t>
  </si>
  <si>
    <t>Being amount of dell laptop vide asset no.201615 (Nitin Gupta)</t>
  </si>
  <si>
    <t>1d0f50957afc2bbf15981ceefdf6919df62eb1aa189ff407681f554b1fdaea8c</t>
  </si>
  <si>
    <t>GPI-HOC260300035</t>
  </si>
  <si>
    <t> 11263000035</t>
  </si>
  <si>
    <t>ab165f6a9243ab3283f5013b6586a65b4d06b7fe408b230d392ebd7250e08445</t>
  </si>
  <si>
    <t>GPI-HOC260300012</t>
  </si>
  <si>
    <t> 11263000012</t>
  </si>
  <si>
    <t>RENT PREMISES FOR 14,OMAXE SQAURE, JASOLA, NEW DELHI FOR THE M/O APR-'26</t>
  </si>
  <si>
    <t>5158c19577192d526170ffe5a5f51a18273f61bbe5cf3d68b4522f8d9185b506</t>
  </si>
  <si>
    <t>GPI-HOC260300041</t>
  </si>
  <si>
    <t> 11263000041</t>
  </si>
  <si>
    <t>672bd21e04b274039757f9ef2196cba8edad1f325101a1fdd8748915be5bd8f0</t>
  </si>
  <si>
    <t>GPI-HOC260300006</t>
  </si>
  <si>
    <t> 11263000006</t>
  </si>
  <si>
    <t>FERRERO INDIA PVT LTD-PUNE</t>
  </si>
  <si>
    <t>08EB_ALL_PUNE_0001</t>
  </si>
  <si>
    <t>27AAACF8110B1Z8</t>
  </si>
  <si>
    <t>Being amount of other support services for ferrero fusion Q4 FY26</t>
  </si>
  <si>
    <t>11.7100.371.416101.2500.000000.0000.000000.000000.00000000</t>
  </si>
  <si>
    <t>eb694a307d43ef7c9ad79cd32033351d2c065acd2740bf9b9b2352c292a8d475</t>
  </si>
  <si>
    <t>GPI-HOC260300025</t>
  </si>
  <si>
    <t> 11263000025</t>
  </si>
  <si>
    <t>6d4f37769b8339f491f3b3d120057f66cdf1131907f50cc3e5652c35d04ab850</t>
  </si>
  <si>
    <t>GPI-HOC260300034</t>
  </si>
  <si>
    <t> 11263000034</t>
  </si>
  <si>
    <t>3287af05dc718a3825d3212fb712505177eabc9b6b6e4bd8f2ebbf0f4c626a52</t>
  </si>
  <si>
    <t>GPI-HOC260300022</t>
  </si>
  <si>
    <t> 11263000022</t>
  </si>
  <si>
    <t>354f0f0e296b7f1b3388a52b8a97e1998d0a082eabf1a913480fabcef6664bfa</t>
  </si>
  <si>
    <t>GPI-HOC260300016</t>
  </si>
  <si>
    <t> 11263000016</t>
  </si>
  <si>
    <t>RENT PREMISES FOR GROUND FLOOR, 14,OMAXE SQAURE, JASOLA, NEW DELHI 1500 SQ.FT FOR THE M/O APR-'26</t>
  </si>
  <si>
    <t>ef4dac0144838d00579b5830ae90da0c791a21a1484f6ca1e489583b65af79ac</t>
  </si>
  <si>
    <t>GPI-HOC260300036</t>
  </si>
  <si>
    <t> 11263000036</t>
  </si>
  <si>
    <t>d277bc226fe77b0aeff55601d5138752bdd1ab9bd55b7fe2b93be33ed0289db4</t>
  </si>
  <si>
    <t>GPI-HOC260300028</t>
  </si>
  <si>
    <t> 11263000028</t>
  </si>
  <si>
    <t>0576b9a3b764ed7072a308dfa8ac8b294559155243605b93716d49de347d28b1</t>
  </si>
  <si>
    <t>GPI-HOC260300003</t>
  </si>
  <si>
    <t> 11263000003</t>
  </si>
  <si>
    <t>1da0d8816f8825604c84b997009537c2b660b95b02b7708e287462fb040c3737</t>
  </si>
  <si>
    <t>GPI-HOC260300013</t>
  </si>
  <si>
    <t> 11263000013</t>
  </si>
  <si>
    <t>RENT PREMISES FOR 1ST FLOOR,49, COMMUNITY CENTRE,NFC,N.DELHI FOR THE M/O APR-'26</t>
  </si>
  <si>
    <t>1f2feef12c38e752817ee25109569663e0c632135d6b72e072fdbd4c6dbcbe93</t>
  </si>
  <si>
    <t>GPI-HOC260300027</t>
  </si>
  <si>
    <t> 11263000027</t>
  </si>
  <si>
    <t>44e8508256fdb4605cc4d9e3c2802f1c4f9b9009db1e4e889a30d27d08d368e1</t>
  </si>
  <si>
    <t>GPI-HOC260300023</t>
  </si>
  <si>
    <t> 11263000023</t>
  </si>
  <si>
    <t>753a435e541c04fac29f51fc211127f1e8448773e9b2971650aea831823b00e5</t>
  </si>
  <si>
    <t>GPI-HOC260300070</t>
  </si>
  <si>
    <t> 108636040</t>
  </si>
  <si>
    <t>8a08358c4e559433d403614a5c015a88e36c840b1de36ce67db84028b2f70e7e</t>
  </si>
  <si>
    <t>GPI-HOC260300007</t>
  </si>
  <si>
    <t> 11263000007</t>
  </si>
  <si>
    <t>Being amount of cost of credit m/o feb-26</t>
  </si>
  <si>
    <t>9397213257517241871f6c5dca7c4b2c5974c24da4e19df228f454630610056c</t>
  </si>
  <si>
    <t>GPI-HOC260300010</t>
  </si>
  <si>
    <t> 11263000010</t>
  </si>
  <si>
    <t>Being amount of reimbursement of cost of credit M/O April-26</t>
  </si>
  <si>
    <t>f1f23a362dc5166de5a5c5399e4ec3f84f728480c1066368fe7558bfbc42582e</t>
  </si>
  <si>
    <t>GPI-HOC260300026</t>
  </si>
  <si>
    <t> 11263000026</t>
  </si>
  <si>
    <t>9676d458cd4b6a7741a07c71e3761152179b1f6802ebe1f89f030f7f22947400</t>
  </si>
  <si>
    <t>GPI-HOC260300037</t>
  </si>
  <si>
    <t> 11263000037</t>
  </si>
  <si>
    <t>0c4a8c9290d108b1b25069c56bb6cdb6c971115061bb4c9a0dd797e8b4c84aed</t>
  </si>
  <si>
    <t xml:space="preserve">AP_INVOICE </t>
  </si>
  <si>
    <t>DFSI2600000412</t>
  </si>
  <si>
    <t>INTERIOR BEAUTIFICATION AND ENRICHMENT</t>
  </si>
  <si>
    <t>11.7100.111.414301.1011.111636.0007.000000.000000.00000000</t>
  </si>
  <si>
    <t>06AAGCD4246E1ZXDFSI2600000412</t>
  </si>
  <si>
    <t>FY 2026-27</t>
  </si>
  <si>
    <t>OZONIZER</t>
  </si>
  <si>
    <t>DFSI2600000751</t>
  </si>
  <si>
    <t>MECH CARE</t>
  </si>
  <si>
    <t>11.7100.111.414301.1000.100007.0007.000000.000000.00000000</t>
  </si>
  <si>
    <t>06AAGCD4246E1ZXDFSI2600000751</t>
  </si>
  <si>
    <t>MF2707I00063444</t>
  </si>
  <si>
    <t>MF2707I000063444</t>
  </si>
  <si>
    <t>AIRTEL MOBILE BILLS FOR THE MONTH OF MAR 2026</t>
  </si>
  <si>
    <t>07AAACB2894G1ZPMF2707I000063444</t>
  </si>
  <si>
    <t>DLS2627000000593</t>
  </si>
  <si>
    <t>Supply of Tonernnk Spares along with Support Services</t>
  </si>
  <si>
    <t>11.7100.111.234010.0000.000000.0007.000000.000000.00000000</t>
  </si>
  <si>
    <t>07AAACC4175D1Z0DLS2627000000593</t>
  </si>
  <si>
    <t>LKS01-2627-00147</t>
  </si>
  <si>
    <t>Towards professional fee for legal advice on the applicability of BIS- and EPR-related compliances to imports of primary AA and AAA alkaline batteries.</t>
  </si>
  <si>
    <t>07AAAFL1585H1ZDLKS01-2627-001470</t>
  </si>
  <si>
    <t>SME/26-27/98</t>
  </si>
  <si>
    <t>SREE MAHAVIR ENTERPRISES</t>
  </si>
  <si>
    <t>07AAOFS6787Q1ZV</t>
  </si>
  <si>
    <t>Annual Maintainance Contract No. NEC SL2100 (38) EPABX System 2 Nos. Key Phone Period 01.04.2026 to 31.03.2027</t>
  </si>
  <si>
    <t>07AAOFS6787Q1ZVSME/26-27/98</t>
  </si>
  <si>
    <t>GLMS0000059723</t>
  </si>
  <si>
    <t>GLMS000000059723</t>
  </si>
  <si>
    <t>GTIL Policy Deletion of Members for the m/o Feb 2026</t>
  </si>
  <si>
    <t>27AABCT3784C1ZDGLMS000000059723</t>
  </si>
  <si>
    <t>DLS2627000000653</t>
  </si>
  <si>
    <t>Supply of Toner ink and Spares along with Support Services</t>
  </si>
  <si>
    <t>07AAACC4175D1Z0DLS2627000000653</t>
  </si>
  <si>
    <t>SURFACE REFINEMENT</t>
  </si>
  <si>
    <t>TXA26-00607</t>
  </si>
  <si>
    <t>FILTER ASSY OIL</t>
  </si>
  <si>
    <t>11.7100.111.414301.1009.110908.0007.000000.000000.00000000</t>
  </si>
  <si>
    <t>07AANCS0651B1ZMTXA26-00607</t>
  </si>
  <si>
    <t>SQUA/27/T000001</t>
  </si>
  <si>
    <t>MAINTENANCE CHARGES</t>
  </si>
  <si>
    <t>07AAJCS4628Q1ZMSQUA/27/T000001</t>
  </si>
  <si>
    <t>COMBO 2</t>
  </si>
  <si>
    <t>DLS2627000000590</t>
  </si>
  <si>
    <t>07AAACC4175D1Z0DLS2627000000590</t>
  </si>
  <si>
    <t>DLS2627000000660</t>
  </si>
  <si>
    <t>07AAACC4175D1Z0DLS2627000000660</t>
  </si>
  <si>
    <t>HRF2627000000683</t>
  </si>
  <si>
    <t>Rental Charges For iR-ADV</t>
  </si>
  <si>
    <t>06AAACC4175D1Z2HRF2627000000683</t>
  </si>
  <si>
    <t>COMBO 1</t>
  </si>
  <si>
    <t>RADIATOR ANT</t>
  </si>
  <si>
    <t>VEHICLE CHECK FOR EXTENDED CAR</t>
  </si>
  <si>
    <t>1/GPI/2026-27</t>
  </si>
  <si>
    <t>GPI-HOC260400005</t>
  </si>
  <si>
    <t>Conference held with Ms. Jaishree Tolani and Mr. Anshuman Vikram Singh 08.04.2026 to discuss</t>
  </si>
  <si>
    <t>GST/DL/2627/021</t>
  </si>
  <si>
    <t>LGA TECHNOLOGY PRIVATE LIMITED</t>
  </si>
  <si>
    <t>07AADCL9190Q1ZO</t>
  </si>
  <si>
    <t>HP KB CL KM260 KM260251243052</t>
  </si>
  <si>
    <t>07AADCL9190Q1ZOGST/DL/2627/021</t>
  </si>
  <si>
    <t>Gazebo Ceiling Cane Light</t>
  </si>
  <si>
    <t>07AVQPK8011N2Z1612</t>
  </si>
  <si>
    <t>SET OF WIPER</t>
  </si>
  <si>
    <t>SET MICROFI</t>
  </si>
  <si>
    <t>C07E262700010044</t>
  </si>
  <si>
    <t>RELIANCE JIO MOBILE BILL FOR THE MONTH OF MAR 2026</t>
  </si>
  <si>
    <t>07AABCI6363G1ZLC07E262700010044</t>
  </si>
  <si>
    <t>TATA PRI bill for the period of 13-03-2026  to 12.04.2026– Jasola Office</t>
  </si>
  <si>
    <t>07AAACT2438A1ZV3473457367</t>
  </si>
  <si>
    <t>BMW GROUP GL</t>
  </si>
  <si>
    <t>SPARK PLUG</t>
  </si>
  <si>
    <t>RJ-45 CONNECTORS DLINK</t>
  </si>
  <si>
    <t>07ACBPV7574P1ZN3</t>
  </si>
  <si>
    <t>738/2025-2026</t>
  </si>
  <si>
    <t>AIR FILTER E</t>
  </si>
  <si>
    <t>HF2707I000137674</t>
  </si>
  <si>
    <t>GPI JASOLA OFFICE AIRTEL - LANDLINE TELEPHONE EXPENSES FOR THE MONTH OF March-2026 -  - ADMN</t>
  </si>
  <si>
    <t>07AAACB2894G1ZPHF2707I000137674</t>
  </si>
  <si>
    <t>130/26-27</t>
  </si>
  <si>
    <t>NIYOGI OFFSET PVT.LTD.</t>
  </si>
  <si>
    <t>07AAACN0474C1ZX</t>
  </si>
  <si>
    <t>Envelope (HSN 49090010 Womens Dday Appreciation Card</t>
  </si>
  <si>
    <t>11.7100.111.420602.1011.000000.0007.000000.000000.00000000</t>
  </si>
  <si>
    <t>07AAACN0474C1ZX130/26-27</t>
  </si>
  <si>
    <t>Machine Service  Rental Charges Month of April OODG trtin 1500 CST per month Machine 4 Machines the</t>
  </si>
  <si>
    <t>07AFGFS5626D1Z076</t>
  </si>
  <si>
    <t>CI1001100320</t>
  </si>
  <si>
    <t>THE OBEROI</t>
  </si>
  <si>
    <t>07AAACE6898B4ZH</t>
  </si>
  <si>
    <t>BELVEDERE MEM RENEWAL FEES APRIL 2026 TO MARCH 2027 DR BINA MODI</t>
  </si>
  <si>
    <t>11.7100.111.420501.1000.100005.0007.000000.000000.00000000</t>
  </si>
  <si>
    <t>07AAACE6898B4ZHCI1001100320</t>
  </si>
  <si>
    <t>MF2707I000130888</t>
  </si>
  <si>
    <t>AIRTEL MOBILE BILLS FOR THE MONTH OF MAR 2026-SHABAD KALRA</t>
  </si>
  <si>
    <t>07AAACB2894G1ZPMF2707I000130888</t>
  </si>
  <si>
    <t>HF2707I000101334</t>
  </si>
  <si>
    <t>PRESIDENT OFF.( A-1) AIRTEL - LANDLINE TELEPHONE EXPENSES FOR THE MONTH OF March-2026 -  - CM</t>
  </si>
  <si>
    <t>07AAACB2894G1ZPHF2707I000101334</t>
  </si>
  <si>
    <t>DLS2627000000643</t>
  </si>
  <si>
    <t>Supply of Tonerilnk Spares along With Support Services</t>
  </si>
  <si>
    <t>07AAACC4175D1Z0DLS2627000000643</t>
  </si>
  <si>
    <t>HDD-1 TB WD EXTERNAL USB</t>
  </si>
  <si>
    <t>07ACBPV7574P1ZN4</t>
  </si>
  <si>
    <t>AVZ/274/2025-26</t>
  </si>
  <si>
    <t>11.7100.111.420301.1010.100007.0007.000000.000000.00000000</t>
  </si>
  <si>
    <t>07AADCA3655R1Z7AVZ/274/2025-26</t>
  </si>
  <si>
    <t>MH25I00004429548</t>
  </si>
  <si>
    <t>Motor Car Renewal DL7CW4741 Maruti xl-6  User ED Office</t>
  </si>
  <si>
    <t>27AABCT3518Q1ZWMH25I00004429548</t>
  </si>
  <si>
    <t>VEHICLE CARE SET 1 VEHICLE</t>
  </si>
  <si>
    <t>CERAMIC COAT</t>
  </si>
  <si>
    <t>ENGINE OIL SERVICE</t>
  </si>
  <si>
    <t>MF2707I000063997</t>
  </si>
  <si>
    <t>AIRTEL MOBILE BILLS FOR THE MONTH OF MAR 2026-CHANDRA SHEKHAR SHARMA</t>
  </si>
  <si>
    <t>07AAACB2894G1ZPMF2707I000063997</t>
  </si>
  <si>
    <t>KINEMATICS DIAGNOSIS SYSTEM WHEEL ALIGNMENT WITH RIDE HEIGHT MEASUREMENT WITHOUT LOADING THE VEHICLE</t>
  </si>
  <si>
    <t>DLS2627000000355</t>
  </si>
  <si>
    <t>07AAACC4175D1Z0DLS2627000000355</t>
  </si>
  <si>
    <t>DLS2627000000642</t>
  </si>
  <si>
    <t>07AAACC4175D1Z0DLS2627000000642</t>
  </si>
  <si>
    <t>DLS2627000000644</t>
  </si>
  <si>
    <t>07AAACC4175D1Z0DLS2627000000644</t>
  </si>
  <si>
    <t>HRF2627000000686</t>
  </si>
  <si>
    <t>06AAACC4175D1Z2HRF2627000000686</t>
  </si>
  <si>
    <t>07AAACT2438A1ZV3473455437</t>
  </si>
  <si>
    <t>AIR CONDITIO</t>
  </si>
  <si>
    <t>JOB TIME WITHOUT ALLOWANCE FOR WHEELS</t>
  </si>
  <si>
    <t>REMOVING AND INSTALLING INTAKE MANIFOLD</t>
  </si>
  <si>
    <t>104577/LIT</t>
  </si>
  <si>
    <t>GPI-HOC250400365</t>
  </si>
  <si>
    <t>741/2025-2026</t>
  </si>
  <si>
    <t>Printing  Photocopying  Scanning Expense.</t>
  </si>
  <si>
    <t>DLS2627000000354</t>
  </si>
  <si>
    <t>07AAACC4175D1Z0DLS2627000000354</t>
  </si>
  <si>
    <t>Supply at-Tonerink and Spares along with Support Services</t>
  </si>
  <si>
    <t>Supply ofTonerAnk and Spares along with Support Services</t>
  </si>
  <si>
    <t>BDLI000511/26-27</t>
  </si>
  <si>
    <t>SHYAM SPECTRA PVT. LTD.</t>
  </si>
  <si>
    <t>9018866A</t>
  </si>
  <si>
    <t>07AADCC3694E1ZP</t>
  </si>
  <si>
    <t>ARC charges for NFC 15 Mb Internet link Circuit Id 9018866 from 01-Apr-26 to 30-Jun-26</t>
  </si>
  <si>
    <t>07AADCC3694E1ZPBDLI000511/26-27</t>
  </si>
  <si>
    <t>SET OIL FILT</t>
  </si>
  <si>
    <t>BRAKE FLUID</t>
  </si>
  <si>
    <t>Misc Civil Work at Jasola Office (3rd Floor, 4th Floor, 5th Floor &amp; Basement 2)</t>
  </si>
  <si>
    <t>07AELPT6048J2ZV446</t>
  </si>
  <si>
    <t>107/2026-27</t>
  </si>
  <si>
    <t>FUNDA PAAN(675GM)</t>
  </si>
  <si>
    <t>09ACTPG0935H1ZE107/2026-27</t>
  </si>
  <si>
    <t>HEADLIGHT RESTORATION</t>
  </si>
  <si>
    <t>SERVICE AIR FILTER ELEMENT</t>
  </si>
  <si>
    <t>BMW CAR CARE</t>
  </si>
  <si>
    <t>TGLOSS PLASTIC CARE</t>
  </si>
  <si>
    <t>for providing a short opinion on the Order passed in Pelican Tobacco case vide our email dated November 28  2025</t>
  </si>
  <si>
    <t>HRF2627000000687</t>
  </si>
  <si>
    <t>Rental Charges For iR-ADV C</t>
  </si>
  <si>
    <t>06AAACC4175D1Z2HRF2627000000687</t>
  </si>
  <si>
    <t>DE25C00000031991</t>
  </si>
  <si>
    <t>GPA Policy Deletion of members M/O Mar 2026</t>
  </si>
  <si>
    <t>07AABCT3518Q1ZYDE25C00000031991</t>
  </si>
  <si>
    <t>CI1001100173</t>
  </si>
  <si>
    <t>BUSINESS MEAL CHARU MODI</t>
  </si>
  <si>
    <t>11.7100.111.420201.1000.100007.0007.000000.000000.00000000</t>
  </si>
  <si>
    <t>07AAACE6898B4ZHCI1001100173</t>
  </si>
  <si>
    <t>RENT-APR26</t>
  </si>
  <si>
    <t>GPI-HOC260400001</t>
  </si>
  <si>
    <t>NFC, DELHI GUEST HOUSE RENT FOR APRIL 2026</t>
  </si>
  <si>
    <t>DESTILLED WA</t>
  </si>
  <si>
    <t>HF2707I000134626</t>
  </si>
  <si>
    <t>07AAACB2894G1ZPHF2707I000134626</t>
  </si>
  <si>
    <t>HEADPHONE HP USB H120</t>
  </si>
  <si>
    <t>737/2025-2026</t>
  </si>
  <si>
    <t>Girish Sharma Vs. GPIL -CS DJ No. 11912-2016- Saket District Courts  New Delhi - Professional fee towards drafting and filing of restoration application for Counter Claim  drafting and filing of restoration application for condonation of de</t>
  </si>
  <si>
    <t>AVZ/272/2025-26</t>
  </si>
  <si>
    <t>07AADCA3655R1Z7AVZ/272/2025-26</t>
  </si>
  <si>
    <t>DLS2627000000120</t>
  </si>
  <si>
    <t>Supply of TonerInK and Spares along with Support Services</t>
  </si>
  <si>
    <t>07AAACC4175D1Z0DLS2627000000120</t>
  </si>
  <si>
    <t>LCARE CHILLMATE LAPTOP STAND ( LOSPCM6130 ) LB38862135 LB3886234 LB690842500</t>
  </si>
  <si>
    <t>HRF2627000000684</t>
  </si>
  <si>
    <t>06AAACC4175D1Z2HRF2627000000684</t>
  </si>
  <si>
    <t>GPI-HOC260400003</t>
  </si>
  <si>
    <t>K3, SATBARI FARM HOUSE RENT APRIL 2026</t>
  </si>
  <si>
    <t>ADJUSTING REAR AXLE</t>
  </si>
  <si>
    <t>HF2707I000137673</t>
  </si>
  <si>
    <t>07AAACB2894G1ZPHF2707I000137673</t>
  </si>
  <si>
    <t>HRF2627000000691</t>
  </si>
  <si>
    <t>06AAACC4175D1Z2HRF2627000000691</t>
  </si>
  <si>
    <t>NC/26-27/0140</t>
  </si>
  <si>
    <t>07AATPA1288M1Z9NC/26-27/0140</t>
  </si>
  <si>
    <t>DE25I00001476977</t>
  </si>
  <si>
    <t>GPA Policy Addition of Membars for the m/o Feb 2026</t>
  </si>
  <si>
    <t>07AABCT3518Q1ZYDE25I00001476977</t>
  </si>
  <si>
    <t>CLEANING ENGINE AND ENGINE</t>
  </si>
  <si>
    <t>TGLOSS AC DUCT CLEANING AND DISINFECTANT</t>
  </si>
  <si>
    <t>Supply of TonernnK Spares along Support Services</t>
  </si>
  <si>
    <t>CARRIER AIRCONDITIONING AND REFRIGERATION LTD</t>
  </si>
  <si>
    <t>07AAACC8414B1Z6</t>
  </si>
  <si>
    <t>VRF SPMS-Carrier SPMS-Other</t>
  </si>
  <si>
    <t>07AAACC8414B1Z67026000049</t>
  </si>
  <si>
    <t>HRF2627000001499</t>
  </si>
  <si>
    <t>06AAACC4175D1Z2HRF2627000001499</t>
  </si>
  <si>
    <t>RE/25-26/70</t>
  </si>
  <si>
    <t>ROBUST EQUIPMENT</t>
  </si>
  <si>
    <t>07IQYPS6937J1ZH</t>
  </si>
  <si>
    <t>Semi automatic single group coffee machine (Make- Astoria) Model No. Tanya 01</t>
  </si>
  <si>
    <t>07IQYPS6937J1ZH70</t>
  </si>
  <si>
    <t>Envelope (HSN 49090010 18) Womens Dday Appreciation Envelope</t>
  </si>
  <si>
    <t>CI1001100092</t>
  </si>
  <si>
    <t>BELVEDRE MEETING</t>
  </si>
  <si>
    <t>11.7100.111.422201.1000.100005.0007.000000.000000.00000000</t>
  </si>
  <si>
    <t>07AAACE6898B4ZHCI1001100092</t>
  </si>
  <si>
    <t>Cartage</t>
  </si>
  <si>
    <t>BRAKE FLUID SERVICE</t>
  </si>
  <si>
    <t>ENGINE OIL TWINPOWER LL01 0W30</t>
  </si>
  <si>
    <t>FILTER S/ASSY</t>
  </si>
  <si>
    <t>REPAIR KIT</t>
  </si>
  <si>
    <t>TGLOSS SUNROOF MAINTENANCE</t>
  </si>
  <si>
    <t>HF2707I000130293</t>
  </si>
  <si>
    <t>07AAACB2894G1ZPHF2707I000130293</t>
  </si>
  <si>
    <t>HF2707I000137672</t>
  </si>
  <si>
    <t>07AAACB2894G1ZPHF2707I000137672</t>
  </si>
  <si>
    <t>for briefing to Mr. Rajiv Nayar  Sr. Advocate November 20  2025</t>
  </si>
  <si>
    <t>105971/Opp</t>
  </si>
  <si>
    <t>GPI-HOC250400366</t>
  </si>
  <si>
    <t>Towards our rebated charges for attending hearing dated March 17  2026 scheduled by the Trade Marks Registry  Delhi  reporting the outcome and drafting and submitting our written submissions at the Registry in support proceeding</t>
  </si>
  <si>
    <t>TWIN POWER T</t>
  </si>
  <si>
    <t>BALANCING FRONT AND REAR WHEELS STATIONARY</t>
  </si>
  <si>
    <t>20000 KM SERVICE INSP</t>
  </si>
  <si>
    <t>HIGH POWER BRAKE CLEANER 75G</t>
  </si>
  <si>
    <t>Supply arrow. and Spares along with Support Services</t>
  </si>
  <si>
    <t>DLS2627000000641</t>
  </si>
  <si>
    <t>Supply of ToneninK Spares along Support Services</t>
  </si>
  <si>
    <t>07AAACC4175D1Z0DLS2627000000641</t>
  </si>
  <si>
    <t>CI1001100350</t>
  </si>
  <si>
    <t>BELVEDERE MEM RENEWAL FEES APRIL 2026 TO MARCH 2027 FOR CHARU MODI</t>
  </si>
  <si>
    <t>11.7100.111.420501.1000.000000.0007.000000.000000.00000000</t>
  </si>
  <si>
    <t>07AAACE6898B4ZHCI1001100350</t>
  </si>
  <si>
    <t>HDMI SWITCH 3X1 STECKER</t>
  </si>
  <si>
    <t>HEXA2026-27/3289</t>
  </si>
  <si>
    <t>HEXADECIMAL SYSTEMS AND SERVICES</t>
  </si>
  <si>
    <t>07AFCPB1962P1ZC</t>
  </si>
  <si>
    <t>SERVICE MAINTENANCE  REPAIRS OF OFFICE MACHINERY COMB BINDING MACHINE MODEL FELLOWES GALAXY 500 SERIAL No.</t>
  </si>
  <si>
    <t>07AFCPB1962P1ZCHEXA2026-27/3289</t>
  </si>
  <si>
    <t>MH25I00004400331</t>
  </si>
  <si>
    <t>Motor Car Renewal DL11CB4111 BMW User ED office</t>
  </si>
  <si>
    <t>27AABCT3518Q1ZWMH25I00004400331</t>
  </si>
  <si>
    <t>Internet charges or the period 01.03.2026 to 30.03.2026 installed at the res of ED-Charu Modi</t>
  </si>
  <si>
    <t>07ALWPT1567E1ZJ252601606</t>
  </si>
  <si>
    <t>Professional fees towards drafting and filing of restoration application for GPILs Counter Claim.</t>
  </si>
  <si>
    <t>HRF2627000000685</t>
  </si>
  <si>
    <t>Rental Charges For IR-ADV DX C</t>
  </si>
  <si>
    <t>06AAACC4175D1Z2HRF2627000000685</t>
  </si>
  <si>
    <t>HRF2627000000692</t>
  </si>
  <si>
    <t>Rental Charges For iRC3326</t>
  </si>
  <si>
    <t>06AAACC4175D1Z2HRF2627000000692</t>
  </si>
  <si>
    <t>supply of Toneninic Spares along Support Services</t>
  </si>
  <si>
    <t>BDLI000510/26-27</t>
  </si>
  <si>
    <t>9077415A</t>
  </si>
  <si>
    <t>ARC charges for Jasola 35 Mb Internet link  Circuit Id 9077415 from 01-Apr-26 to 30-Jun-26</t>
  </si>
  <si>
    <t>07AADCC3694E1ZPBDLI000510/26-27</t>
  </si>
  <si>
    <t>RIM PREPARATION</t>
  </si>
  <si>
    <t>SPARK PLUG SERVIE</t>
  </si>
  <si>
    <t>JOB TIME WITHOUT ALLOWANCE FOR ELECTRICAL SYSTEM</t>
  </si>
  <si>
    <t>Card With Envelope (HSN 49090010 18) Card Envelope A2    .</t>
  </si>
  <si>
    <t>HDD-2 TB WD EXTERNAL USB</t>
  </si>
  <si>
    <t>SERVICE MAINTENANCE  REPAIRS OF OFFICE MACHINERY ELECTRIC SPIRAL BINDING MACHINE MODEL ANT1VA KOILMASTER E SERIAL No.</t>
  </si>
  <si>
    <t>KC/B2B/26-27/010</t>
  </si>
  <si>
    <t>KC/B2B26-27/010</t>
  </si>
  <si>
    <t>B) Maintenance  Upkeep Charges for Parking  450 per slotper month</t>
  </si>
  <si>
    <t>07AAHAK7428G1ZHKC/B2B26-27/010</t>
  </si>
  <si>
    <t>AIRTEL MOBILE BILLS FOR THE MONTH OF MAR 2026-IT DATA CARD</t>
  </si>
  <si>
    <t>HF2707I000129884</t>
  </si>
  <si>
    <t>07AAACB2894G1ZPHF2707I000129884</t>
  </si>
  <si>
    <t>Conference held with Ms. Jaishree Tolani  Ms. Mansi Mantoo and another official of the CSR team of GPI in respect of an accidental death of a child of labourer at a site where a CSR project was been implemented</t>
  </si>
  <si>
    <t>DP TO HDMI CABLE 1.8 M NEXTECH</t>
  </si>
  <si>
    <t>Supply ononertinK and Spares along with Support Services</t>
  </si>
  <si>
    <t>DELHI TENT AND DECORATORS</t>
  </si>
  <si>
    <t>07AAAFD3228M1ZI</t>
  </si>
  <si>
    <t>for the Erection and Dismentaling of the Center Canopy Bhalla Stalls Round Tables with Overley and Underley stalls Bill</t>
  </si>
  <si>
    <t>07AAAFD3228M1ZI78</t>
  </si>
  <si>
    <t>CC/GN/0001/26-27</t>
  </si>
  <si>
    <t>CONTRANS CARGO PRIVATE LIMITE</t>
  </si>
  <si>
    <t>07AAECC1851C1Z5</t>
  </si>
  <si>
    <t>Rental Income</t>
  </si>
  <si>
    <t>07AAECC1851C1Z5CC/GN/0001/26-27</t>
  </si>
  <si>
    <t>DLS2627000000119</t>
  </si>
  <si>
    <t>07AAACC4175D1Z0DLS2627000000119</t>
  </si>
  <si>
    <t>MH25I00004428853</t>
  </si>
  <si>
    <t>Motor Car Renewal DL7CW4734 Maruti xl-6  User Admin pool car</t>
  </si>
  <si>
    <t>27AABCT3518Q1ZWMH25I00004428853</t>
  </si>
  <si>
    <t>Supply of ToneoinK and Spares along with Support Services</t>
  </si>
  <si>
    <t>SERVICE MAINTENANCE  REPAIRS OF OFFICE MACHINERY PAPER SHREDDER MACHINE MODEL AVANTI PS 300 HD</t>
  </si>
  <si>
    <t>HF2707I000097242</t>
  </si>
  <si>
    <t>GPI JASOLA OFFICE (FAX NO) AIRTEL - LANDLINE TELEPHONE EXPENSES FOR THE MONTH OF March-2026 -  - ADMN</t>
  </si>
  <si>
    <t>07AAACB2894G1ZPHF2707I000097242</t>
  </si>
  <si>
    <t>Card (HSN 49090010 18) Appreciation Envelope</t>
  </si>
  <si>
    <t>Card (HSN 49090010 18) Womens Dday Appreciation Card</t>
  </si>
  <si>
    <t>18A</t>
  </si>
  <si>
    <t>Car Parking Charges April 2026</t>
  </si>
  <si>
    <t>07ANXPS5012J2ZF18A</t>
  </si>
  <si>
    <t>Tetley - Assam Tea (100 Bags)</t>
  </si>
  <si>
    <t>07AFGFS5626D1Z03</t>
  </si>
  <si>
    <t>Inverter -Carrier SPMS-Other</t>
  </si>
  <si>
    <t>Gazebo Full Electrical Wiring</t>
  </si>
  <si>
    <t>GASKET (14X20X1.5)</t>
  </si>
  <si>
    <t>Conference held with Mr. Anshuman Vikram Singh on 07.04.2026</t>
  </si>
  <si>
    <t>GPIL/26-27/01</t>
  </si>
  <si>
    <t>RENT FOR THE MONTH APRIL -2026</t>
  </si>
  <si>
    <t>07AFTPC4142H1ZHGPIL/26-27/01</t>
  </si>
  <si>
    <t>Supply of Toneriink and Spares along with Support Services</t>
  </si>
  <si>
    <t>Supply of TonerilnK- and Spares along with Support Services</t>
  </si>
  <si>
    <t>A) Common Area Maintenance  Upkeep Charges 15.56 per Sq.ftper month</t>
  </si>
  <si>
    <t>ENG OIL PETROL LL01 5W40 MOBI</t>
  </si>
  <si>
    <t>ADJUSTING TOE IN ON FRONT AXLE</t>
  </si>
  <si>
    <t>REPLACE LEFT AND RIGHT WIPER BLADE</t>
  </si>
  <si>
    <t>JOB TIME WITHOUT ALLOWANCE FOR BODY EQUIPMENT</t>
  </si>
  <si>
    <t>HF2707I000136786</t>
  </si>
  <si>
    <t>07AAACB2894G1ZPHF2707I000136786</t>
  </si>
  <si>
    <t>Tetley - Green Tea ( 100 Sachets)</t>
  </si>
  <si>
    <t>Supply of lonerInk Spares along Support Services</t>
  </si>
  <si>
    <t>NASIR</t>
  </si>
  <si>
    <t>GPI-HOC250400361</t>
  </si>
  <si>
    <t>LEGAL EXPENSES LAND ACQUISITION - DDA MATTER</t>
  </si>
  <si>
    <t>BALANCE WEIGHT 35GM (BALANCE WEIGHT 35GM)</t>
  </si>
  <si>
    <t>WB (OFF VEHICLE TWO WHEELS) ADJUST</t>
  </si>
  <si>
    <t>SERVICE STANDARD SCOPE</t>
  </si>
  <si>
    <t>TGLOSS LOGO CLEANING</t>
  </si>
  <si>
    <t>FUNDA BURST KACCHA MM 615 GM</t>
  </si>
  <si>
    <t>ADJUSTING TOE-IN ON FRONT AXLE</t>
  </si>
  <si>
    <t>TMO (0W-16) 3.3 LTR</t>
  </si>
  <si>
    <t>HF2707I000022064</t>
  </si>
  <si>
    <t>GPI 49;CC; NFC AIRTEL - LANDLINE TELEPHONE EXPENSES FOR THE MONTH OF March-2026 -  - ADMN</t>
  </si>
  <si>
    <t>07AAACB2894G1ZPHF2707I000022064</t>
  </si>
  <si>
    <t>for ineffective appearances of Mr. Sumit Wadhwa  Ms. Mugdha Palsule and Mr. Ayush Samaddar on your behalf before the Honble High Court of Delhi on November 06 November 21  2025</t>
  </si>
  <si>
    <t>DLS2627000000348</t>
  </si>
  <si>
    <t>Supply or TonerInk and Spares along with Support Services</t>
  </si>
  <si>
    <t>07AAACC4175D1Z0DLS2627000000348</t>
  </si>
  <si>
    <t>GPI-HOC260400002</t>
  </si>
  <si>
    <t>BHILAI GUEAST HOUSE RENT APRIL 2026</t>
  </si>
  <si>
    <t>BDLI000509/26-27</t>
  </si>
  <si>
    <t>ARC charges for President house (A1) 15 Mb Internet link Circuit Id 9053500 from 01-Apr-26 to 30-Jun-26</t>
  </si>
  <si>
    <t>07AADCC3694E1ZPBDLI000509/26-27</t>
  </si>
  <si>
    <t>Supply of TonerInK Spares along Support Services</t>
  </si>
  <si>
    <t>KLIMA FRESH</t>
  </si>
  <si>
    <t>MICROFILTER SERVICE</t>
  </si>
  <si>
    <t>HF2707I000131905</t>
  </si>
  <si>
    <t>07AAACB2894G1ZPHF2707I000131905</t>
  </si>
  <si>
    <t>Photo (HSN 49090010 18) Photo Print A5</t>
  </si>
  <si>
    <t>Sale service SOLUTION 997329 From  01.04.2026 to 30.04.2026 Maint.  Repair Charges for Machine QTY - 2 Amt  900TAX 2</t>
  </si>
  <si>
    <t>07AABCU0270A1ZZ47</t>
  </si>
  <si>
    <t>Professional fees towards drafting and filing of application condonation of delay in filing the restoration application.</t>
  </si>
  <si>
    <t>Supply at TonerFmk Spares along Support Services</t>
  </si>
  <si>
    <t>JOB TIME WITHOUT ALLOWANCE FOR MAINTENANCE</t>
  </si>
  <si>
    <t>ALLOY WHEEL PROTECTION</t>
  </si>
  <si>
    <t>Supply of TonerMK Spares along Support Services</t>
  </si>
  <si>
    <t>SERVICE MAINTENANCE MAINTENANCE  REPAIRS OF OFFICE MACHINERY PAPER SHREDDER MACHINE MODEL GBC 2240S</t>
  </si>
  <si>
    <t>HRF2627000000690</t>
  </si>
  <si>
    <t>06AAACC4175D1Z2HRF2627000000690</t>
  </si>
  <si>
    <t>NC/26-27/0105</t>
  </si>
  <si>
    <t>HDMI Switcher U Green Sin lout SNo-SN2400400758970</t>
  </si>
  <si>
    <t>07AATPA1288M1Z9NC/26-27/0105</t>
  </si>
  <si>
    <t>B04/2026</t>
  </si>
  <si>
    <t>BHASIN AND CO.</t>
  </si>
  <si>
    <t>GPI-HOC260400004</t>
  </si>
  <si>
    <t>RETAINER FEES APRIL 2026</t>
  </si>
  <si>
    <t>447/2025-26</t>
  </si>
  <si>
    <t>ELITE ENGINEERING COMPANY</t>
  </si>
  <si>
    <t>07ANHPK8321J2ZT</t>
  </si>
  <si>
    <t>Supply, Installation, Testing &amp; Commissioning of Fire Fighting and Alarm System as per attached BOQ</t>
  </si>
  <si>
    <t>07ANHPK8321J2ZT447/2025-26</t>
  </si>
  <si>
    <t>CARRY OUT KINEMATICS DIAGNOSIS SYSTEM WHEEL ALIGNMENT WITH VEHICLE LOAD UP TO DESIGN POSITION</t>
  </si>
  <si>
    <t>for appearing on your behalf before the Honble High Court of Delhi for the mentioning November 07  2025</t>
  </si>
  <si>
    <t>HRF2627000000688</t>
  </si>
  <si>
    <t>06AAACC4175D1Z2HRF2627000000688</t>
  </si>
  <si>
    <t>SEAL FOR INT</t>
  </si>
  <si>
    <t>HF2707I000130245</t>
  </si>
  <si>
    <t>A-101 NFC ( GPI GUEST HOUSE) AIRTEL - LANDLINE TELEPHONE EXPENSES FOR THE MONTH OF March-2026 -  - ADMN</t>
  </si>
  <si>
    <t>07AAACB2894G1ZPHF2707I000130245</t>
  </si>
  <si>
    <t>for having a conference with Mr. Rajiv Nayar  Sr. Advocate on November 05  2025</t>
  </si>
  <si>
    <t>Professional fee towards non -effective appearance on 20.03.2026.</t>
  </si>
  <si>
    <t>Girish Sharma Vs. GPIL -CS DJ No. 6651-2016- Saket District Courts  New Delhi - Professional fee towards appearance on 12.03.2026</t>
  </si>
  <si>
    <t>SHARMA ELECTRICAL COMPANY</t>
  </si>
  <si>
    <t>07BGQPS0312G1ZF</t>
  </si>
  <si>
    <t>50W LED SHEET</t>
  </si>
  <si>
    <t>07BGQPS0312G1ZF5500</t>
  </si>
  <si>
    <t>6M CPL BOX</t>
  </si>
  <si>
    <t>W/SR/2526/233837</t>
  </si>
  <si>
    <t>WAE LIMITED</t>
  </si>
  <si>
    <t>09AABCW0017F1ZQ</t>
  </si>
  <si>
    <t>AMC CHARGES FOR RO NOS RO MACHINES FROM JAN26 TO DEC26</t>
  </si>
  <si>
    <t>09AABCW0017F1ZQW/SR/2526/233837</t>
  </si>
  <si>
    <t>4M PVC BOX</t>
  </si>
  <si>
    <t>07BGQPS0312G1ZF5501</t>
  </si>
  <si>
    <t>63AMP MCB TP</t>
  </si>
  <si>
    <t>12 WAY MCB BOX</t>
  </si>
  <si>
    <t>5*3 REO SHEET</t>
  </si>
  <si>
    <t>20 MM PVC PIPE</t>
  </si>
  <si>
    <t>SP 10 AMP MCB</t>
  </si>
  <si>
    <t>12W LED GARDEN LIGHT</t>
  </si>
  <si>
    <t>5W GARDEN LIGHT</t>
  </si>
  <si>
    <t xml:space="preserve">MANUAL_ENTRY </t>
  </si>
  <si>
    <t>DELI/25-26/03624</t>
  </si>
  <si>
    <t>AIRGST9964</t>
  </si>
  <si>
    <t>Salary of PSO for the month of February 2026</t>
  </si>
  <si>
    <t>07AACCG5199H1ZCDELI/25-26/03624</t>
  </si>
  <si>
    <t>20W LED BULKET</t>
  </si>
  <si>
    <t>2.5 SQ MM WIRE</t>
  </si>
  <si>
    <t>4W FILAMENT BULB</t>
  </si>
  <si>
    <t>20 MM BEND</t>
  </si>
  <si>
    <t>6W SHEET RED</t>
  </si>
  <si>
    <t>16 AMP COMBIAND BOX</t>
  </si>
  <si>
    <t>6 M PVC BOX</t>
  </si>
  <si>
    <t>3W LED BULB</t>
  </si>
  <si>
    <t>16A SWITCH</t>
  </si>
  <si>
    <t>3 M PVC BOX</t>
  </si>
  <si>
    <t>AVZ/248/2025-26</t>
  </si>
  <si>
    <t>Salary of  Cook  Pantry boy deployed at A-101  NFC Guest House-February 2026</t>
  </si>
  <si>
    <t>07AADCA3655R1Z7AVZ/248/2025-26</t>
  </si>
  <si>
    <t>20 MM FLEXIBLE PIPE</t>
  </si>
  <si>
    <t>16 A SWTICH</t>
  </si>
  <si>
    <t>HRF2528000074941</t>
  </si>
  <si>
    <t>HRF2526000074941</t>
  </si>
  <si>
    <t>Photocopying rental charges - for the month of March  2026-Finance - 3rd Floor</t>
  </si>
  <si>
    <t>06AAACC4175D1Z2HRF2526000074941</t>
  </si>
  <si>
    <t>16 A SOCKET</t>
  </si>
  <si>
    <t>2*2.5 MM MULTI STAND WIRE</t>
  </si>
  <si>
    <t>HIGH COOL HVAC AIR CONDITIONING SYSTEMS</t>
  </si>
  <si>
    <t>GODFREY PHILLIP</t>
  </si>
  <si>
    <t>07CNVPS1539L1Z4</t>
  </si>
  <si>
    <t xml:space="preserve">4th Floor Duct Band Dismantling &amp; Fixing </t>
  </si>
  <si>
    <t>11.7100.111.413901.1010.000000.0007.000000.000000.00000000</t>
  </si>
  <si>
    <t>07CNVPS1539L1Z41791</t>
  </si>
  <si>
    <t xml:space="preserve">10 mm Nut Bolt (SS Type). </t>
  </si>
  <si>
    <t xml:space="preserve">Ball Valve (3/8 size). </t>
  </si>
  <si>
    <t xml:space="preserve">Pressure Guage (3/8 size). </t>
  </si>
  <si>
    <t>Tempratur Meter (1/2 size)</t>
  </si>
  <si>
    <t xml:space="preserve">125 mm Butterfly Valve (Zoloto or Adco Make). </t>
  </si>
  <si>
    <t>Ball Valve (1/2 size)..</t>
  </si>
  <si>
    <t xml:space="preserve">Syfone Pipe (3/8 size). </t>
  </si>
  <si>
    <t>LNC/25-26/5110</t>
  </si>
  <si>
    <t>LIFE N COLORS PRIVATE LIMITED</t>
  </si>
  <si>
    <t>06AACCL4494J1Z8</t>
  </si>
  <si>
    <t>SQF</t>
  </si>
  <si>
    <t>Customised Wallpaper Canvas Paper</t>
  </si>
  <si>
    <t>11.7100.111.413701.1000.000000.0007.000000.000000.00000000</t>
  </si>
  <si>
    <t>06AACCL4494J1Z8LNC/25-26/5110</t>
  </si>
  <si>
    <t>272612BP05AFT995</t>
  </si>
  <si>
    <t>69K54A;MATTU NIKHAR MR;BOMDELAI;D2500612</t>
  </si>
  <si>
    <t>11.7100.111.418801.2700.111372.0000.000000.000000.00000000</t>
  </si>
  <si>
    <t>27AACCN6194P1ZP272612BP05AFT995</t>
  </si>
  <si>
    <t>072612BP04AGO519</t>
  </si>
  <si>
    <t>JXEIPJ;SAHNI ROHIT MR;DELPNQAI;D2500371</t>
  </si>
  <si>
    <t>11.7100.111.418801.2600.200011.0000.000000.000000.00000000</t>
  </si>
  <si>
    <t>07AACCN6194P2ZQ072612BP04AGO519</t>
  </si>
  <si>
    <t>VIKAS KRISHI STORE</t>
  </si>
  <si>
    <t>07ASGPB8163K1ZK</t>
  </si>
  <si>
    <t>LIVING PLANTS, SEEDS, COMPOST &amp; ETC</t>
  </si>
  <si>
    <t>07ASGPB8163K1ZK1131</t>
  </si>
  <si>
    <t>WEST BENGAL</t>
  </si>
  <si>
    <t>19AACCN6194P1ZM</t>
  </si>
  <si>
    <t>192622BP05AAI362</t>
  </si>
  <si>
    <t>7AU6H5;BHASIN LALIT MR;CCUDELAI;D2500630</t>
  </si>
  <si>
    <t>11.7100.111.416001.1009.000000.0000.000000.000000.00000000</t>
  </si>
  <si>
    <t>19AACCN6194P1ZM192622BP05AAI362</t>
  </si>
  <si>
    <t>072622BP06AAI495</t>
  </si>
  <si>
    <t>8RKKTT;SHARMA SACHIN MR;DELBLRAI;D2500681</t>
  </si>
  <si>
    <t>07AACCN6194P2ZQ072622BP06AAI495</t>
  </si>
  <si>
    <t>072612BP04ACB413</t>
  </si>
  <si>
    <t>LTY9JT;KUMAR SAMEER MR;DELRPRAI;D2500059</t>
  </si>
  <si>
    <t>11.7100.111.418801.1015.150153.0000.000000.000000.00000000</t>
  </si>
  <si>
    <t>07AACCN6194P2ZQ072612BP04ACB413</t>
  </si>
  <si>
    <t>TAMIL NADU</t>
  </si>
  <si>
    <t>33AACCN6194P2ZV</t>
  </si>
  <si>
    <t>332612BP04AAO103</t>
  </si>
  <si>
    <t>KDTMPB;SINGH SUNIL KUMAR MR;MAADELAI;D2500123</t>
  </si>
  <si>
    <t>11.7100.111.418801.1013.150104.0000.000000.000000.00000000</t>
  </si>
  <si>
    <t>33AACCN6194P2ZV332612BP04AAO103</t>
  </si>
  <si>
    <t>26307S000096</t>
  </si>
  <si>
    <t>Ground - Credit ODA NOT BILLED EARLIER 519164972861M0 FEB26</t>
  </si>
  <si>
    <t>07AAACB0446L1ZU26307S000096</t>
  </si>
  <si>
    <t>D2403378</t>
  </si>
  <si>
    <t>CD250107/A</t>
  </si>
  <si>
    <t>DOMESTIC</t>
  </si>
  <si>
    <t>CD250107</t>
  </si>
  <si>
    <t>Credit note against D2403378-LALIT BHASIN-BOM/DEL</t>
  </si>
  <si>
    <t>07AAACB0272G1Z5CD250107</t>
  </si>
  <si>
    <t>2026307R00005230</t>
  </si>
  <si>
    <t>INTERNATIONAL</t>
  </si>
  <si>
    <t>07AAACB0446L1ZU2026307R00005230</t>
  </si>
  <si>
    <t>26307S000132</t>
  </si>
  <si>
    <t>International WPX Credit</t>
  </si>
  <si>
    <t>07AAACB0446L1ZU26307S000132</t>
  </si>
  <si>
    <t>2026327R00021506</t>
  </si>
  <si>
    <t>27AAACB0446L1ZS</t>
  </si>
  <si>
    <t>27AAACB0446L1ZS2026327R00021506</t>
  </si>
  <si>
    <t>Mar</t>
  </si>
</sst>
</file>

<file path=xl/styles.xml><?xml version="1.0" encoding="utf-8"?>
<styleSheet xmlns="http://schemas.openxmlformats.org/spreadsheetml/2006/main">
  <numFmts count="4">
    <numFmt numFmtId="43" formatCode="_ * #,##0.00_ ;_ * \-#,##0.00_ ;_ * &quot;-&quot;??_ ;_ @_ "/>
    <numFmt numFmtId="164" formatCode="_(* #,##0.00_);_(* \(#,##0.00\);_(* &quot;-&quot;??_);_(@_)"/>
    <numFmt numFmtId="165" formatCode="[$₹-4009]\ #,##0.00"/>
    <numFmt numFmtId="166" formatCode="_(* #,##0_);_(* \(#,##0\);_(* &quot;-&quot;??_);_(@_)"/>
  </numFmts>
  <fonts count="26">
    <font>
      <sz val="11"/>
      <color theme="1"/>
      <name val="Calibri"/>
      <family val="2"/>
      <scheme val="minor"/>
    </font>
    <font>
      <sz val="10"/>
      <color theme="1"/>
      <name val="Arial"/>
      <family val="2"/>
    </font>
    <font>
      <sz val="10"/>
      <color theme="1"/>
      <name val="Calibri"/>
      <family val="2"/>
      <scheme val="minor"/>
    </font>
    <font>
      <b/>
      <sz val="24"/>
      <name val="Calibri"/>
      <family val="2"/>
      <scheme val="minor"/>
    </font>
    <font>
      <b/>
      <sz val="14"/>
      <name val="Calibri"/>
      <family val="2"/>
      <scheme val="minor"/>
    </font>
    <font>
      <b/>
      <sz val="12"/>
      <name val="Calibri"/>
      <family val="2"/>
      <scheme val="minor"/>
    </font>
    <font>
      <sz val="10"/>
      <color rgb="FF000000"/>
      <name val="Calibri"/>
      <family val="2"/>
      <scheme val="minor"/>
    </font>
    <font>
      <b/>
      <sz val="10"/>
      <color theme="1"/>
      <name val="Calibri"/>
      <family val="2"/>
      <scheme val="minor"/>
    </font>
    <font>
      <b/>
      <sz val="10"/>
      <name val="Calibri"/>
      <family val="2"/>
      <scheme val="minor"/>
    </font>
    <font>
      <sz val="10"/>
      <name val="Calibri"/>
      <family val="2"/>
      <scheme val="minor"/>
    </font>
    <font>
      <sz val="10"/>
      <color rgb="FFFFFFFF"/>
      <name val="Calibri"/>
      <family val="2"/>
      <scheme val="minor"/>
    </font>
    <font>
      <b/>
      <sz val="10"/>
      <color rgb="FF2B0749"/>
      <name val="Calibri"/>
      <family val="2"/>
      <scheme val="minor"/>
    </font>
    <font>
      <sz val="10"/>
      <color theme="0"/>
      <name val="Calibri"/>
      <family val="2"/>
      <scheme val="minor"/>
    </font>
    <font>
      <b/>
      <sz val="10"/>
      <color theme="0"/>
      <name val="Calibri"/>
      <family val="2"/>
      <scheme val="minor"/>
    </font>
    <font>
      <sz val="9"/>
      <color theme="1"/>
      <name val="Calibri"/>
      <family val="2"/>
      <scheme val="minor"/>
    </font>
    <font>
      <i/>
      <sz val="10"/>
      <name val="Calibri"/>
      <family val="2"/>
      <scheme val="minor"/>
    </font>
    <font>
      <b/>
      <sz val="11"/>
      <color rgb="FF000000"/>
      <name val="Calibri"/>
      <family val="2"/>
      <scheme val="minor"/>
    </font>
    <font>
      <b/>
      <sz val="11"/>
      <color theme="1"/>
      <name val="Calibri"/>
      <family val="2"/>
      <scheme val="minor"/>
    </font>
    <font>
      <sz val="11"/>
      <color rgb="FF000000"/>
      <name val="Calibri"/>
      <family val="2"/>
      <scheme val="minor"/>
    </font>
    <font>
      <b/>
      <u val="single"/>
      <sz val="11"/>
      <color theme="1"/>
      <name val="Calibri"/>
      <family val="2"/>
      <scheme val="minor"/>
    </font>
    <font>
      <sz val="10"/>
      <color rgb="FF000000"/>
      <name val="Arial"/>
      <family val="2"/>
    </font>
    <font>
      <b/>
      <sz val="9"/>
      <color rgb="FF000000"/>
      <name val="Calibri"/>
      <family val="2"/>
    </font>
    <font>
      <b/>
      <sz val="9"/>
      <color theme="1"/>
      <name val="Calibri"/>
      <family val="2"/>
    </font>
    <font>
      <sz val="9"/>
      <color rgb="FF000000"/>
      <name val="Calibri"/>
      <family val="2"/>
    </font>
    <font>
      <b/>
      <sz val="11"/>
      <color rgb="FF000000"/>
      <name val="Calibri"/>
      <family val="2"/>
    </font>
    <font>
      <sz val="11"/>
      <color rgb="FF000000"/>
      <name val="Calibri"/>
      <family val="2"/>
    </font>
  </fonts>
  <fills count="22">
    <fill>
      <patternFill patternType="none"/>
    </fill>
    <fill>
      <patternFill patternType="gray125"/>
    </fill>
    <fill>
      <patternFill patternType="solid">
        <fgColor theme="4" tint="0.599990010261536"/>
        <bgColor indexed="64"/>
      </patternFill>
    </fill>
    <fill>
      <patternFill patternType="solid">
        <fgColor theme="0" tint="-0.149990007281303"/>
        <bgColor indexed="64"/>
      </patternFill>
    </fill>
    <fill>
      <patternFill patternType="solid">
        <fgColor theme="0" tint="-0.049979999661445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7" tint="-0.249970003962517"/>
        <bgColor indexed="64"/>
      </patternFill>
    </fill>
    <fill>
      <patternFill patternType="solid">
        <fgColor rgb="FFB3A3E1"/>
        <bgColor indexed="64"/>
      </patternFill>
    </fill>
    <fill>
      <patternFill patternType="solid">
        <fgColor rgb="FF7030A0"/>
        <bgColor indexed="64"/>
      </patternFill>
    </fill>
    <fill>
      <patternFill patternType="solid">
        <fgColor theme="0"/>
        <bgColor indexed="64"/>
      </patternFill>
    </fill>
    <fill>
      <patternFill patternType="solid">
        <fgColor theme="9" tint="0.399980008602142"/>
        <bgColor indexed="64"/>
      </patternFill>
    </fill>
    <fill>
      <patternFill patternType="solid">
        <fgColor theme="9" tint="-0.249970003962517"/>
        <bgColor indexed="64"/>
      </patternFill>
    </fill>
    <fill>
      <patternFill patternType="solid">
        <fgColor theme="9" tint="0.799979984760284"/>
        <bgColor indexed="64"/>
      </patternFill>
    </fill>
    <fill>
      <patternFill patternType="solid">
        <fgColor rgb="FFFFFFFF"/>
        <bgColor indexed="64"/>
      </patternFill>
    </fill>
    <fill>
      <patternFill patternType="solid">
        <fgColor theme="8" tint="0.599990010261536"/>
        <bgColor indexed="64"/>
      </patternFill>
    </fill>
    <fill>
      <patternFill patternType="solid">
        <fgColor theme="4" tint="0.799979984760284"/>
        <bgColor indexed="64"/>
      </patternFill>
    </fill>
    <fill>
      <patternFill patternType="solid">
        <fgColor rgb="FF92D050"/>
        <bgColor indexed="64"/>
      </patternFill>
    </fill>
    <fill>
      <patternFill patternType="solid">
        <fgColor rgb="FFFFFF00"/>
        <bgColor indexed="64"/>
      </patternFill>
    </fill>
    <fill>
      <patternFill patternType="solid">
        <fgColor theme="4" tint="0.399980008602142"/>
        <bgColor indexed="64"/>
      </patternFill>
    </fill>
    <fill>
      <patternFill patternType="solid">
        <fgColor rgb="FFFFC000"/>
        <bgColor indexed="64"/>
      </patternFill>
    </fill>
    <fill>
      <patternFill patternType="solid">
        <fgColor theme="8" tint="0.799979984760284"/>
        <bgColor indexed="64"/>
      </patternFill>
    </fill>
  </fills>
  <borders count="69">
    <border>
      <left/>
      <right/>
      <top/>
      <bottom/>
      <diagonal/>
    </border>
    <border>
      <left style="medium">
        <color auto="1"/>
      </left>
      <right style="medium">
        <color auto="1"/>
      </right>
      <top/>
      <bottom/>
    </border>
    <border>
      <left/>
      <right style="medium">
        <color auto="1"/>
      </right>
      <top/>
      <bottom/>
    </border>
    <border>
      <left style="medium">
        <color theme="3" tint="-0.499969989061356"/>
      </left>
      <right style="medium">
        <color auto="1"/>
      </right>
      <top style="medium">
        <color theme="3" tint="-0.499969989061356"/>
      </top>
      <bottom style="medium">
        <color theme="3" tint="-0.499969989061356"/>
      </bottom>
    </border>
    <border>
      <left style="medium">
        <color auto="1"/>
      </left>
      <right style="medium">
        <color auto="1"/>
      </right>
      <top style="medium">
        <color auto="1"/>
      </top>
      <bottom style="medium">
        <color auto="1"/>
      </bottom>
    </border>
    <border>
      <left/>
      <right style="medium">
        <color auto="1"/>
      </right>
      <top style="medium">
        <color auto="1"/>
      </top>
      <bottom style="medium">
        <color auto="1"/>
      </bottom>
    </border>
    <border>
      <left style="medium">
        <color theme="3" tint="-0.499969989061356"/>
      </left>
      <right/>
      <top/>
      <bottom style="thin">
        <color theme="8" tint="-0.499969989061356"/>
      </bottom>
    </border>
    <border>
      <left style="thin">
        <color auto="1"/>
      </left>
      <right style="thin">
        <color auto="1"/>
      </right>
      <top/>
      <bottom style="thin">
        <color auto="1"/>
      </bottom>
    </border>
    <border>
      <left style="medium">
        <color theme="3" tint="-0.499969989061356"/>
      </left>
      <right/>
      <top style="thin">
        <color theme="8" tint="-0.499969989061356"/>
      </top>
      <bottom style="thin">
        <color theme="8" tint="-0.499969989061356"/>
      </bottom>
    </border>
    <border>
      <left style="thin">
        <color auto="1"/>
      </left>
      <right style="thin">
        <color auto="1"/>
      </right>
      <top style="thin">
        <color auto="1"/>
      </top>
      <bottom style="thin">
        <color auto="1"/>
      </bottom>
    </border>
    <border>
      <left style="medium">
        <color theme="3" tint="-0.499969989061356"/>
      </left>
      <right/>
      <top style="thin">
        <color theme="8" tint="-0.499969989061356"/>
      </top>
      <bottom/>
    </border>
    <border>
      <left style="thin">
        <color auto="1"/>
      </left>
      <right style="thin">
        <color auto="1"/>
      </right>
      <top style="thin">
        <color auto="1"/>
      </top>
      <bottom/>
    </border>
    <border>
      <left style="medium">
        <color auto="1"/>
      </left>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style="medium">
        <color auto="1"/>
      </left>
      <right style="medium">
        <color theme="8" tint="-0.499969989061356"/>
      </right>
      <top/>
      <bottom style="thin">
        <color theme="8" tint="-0.499969989061356"/>
      </bottom>
    </border>
    <border>
      <left style="medium">
        <color auto="1"/>
      </left>
      <right style="medium">
        <color theme="8" tint="-0.499969989061356"/>
      </right>
      <top style="thin">
        <color theme="8" tint="-0.499969989061356"/>
      </top>
      <bottom style="thin">
        <color theme="8" tint="-0.499969989061356"/>
      </bottom>
    </border>
    <border>
      <left style="medium">
        <color auto="1"/>
      </left>
      <right style="medium">
        <color theme="8" tint="-0.499969989061356"/>
      </right>
      <top style="thin">
        <color theme="8" tint="-0.499969989061356"/>
      </top>
      <bottom style="medium">
        <color auto="1"/>
      </bottom>
    </border>
    <border>
      <left style="medium">
        <color auto="1"/>
      </left>
      <right style="medium">
        <color theme="8" tint="-0.499969989061356"/>
      </right>
      <top/>
      <bottom/>
    </border>
    <border>
      <left style="medium">
        <color auto="1"/>
      </left>
      <right style="medium">
        <color theme="8" tint="-0.499969989061356"/>
      </right>
      <top style="medium">
        <color auto="1"/>
      </top>
      <bottom style="thin">
        <color theme="8" tint="-0.499969989061356"/>
      </bottom>
    </border>
    <border>
      <left/>
      <right style="thin">
        <color theme="8" tint="-0.499969989061356"/>
      </right>
      <top style="medium">
        <color auto="1"/>
      </top>
      <bottom style="thin">
        <color theme="8" tint="-0.499969989061356"/>
      </bottom>
    </border>
    <border>
      <left style="thin">
        <color theme="8" tint="-0.499969989061356"/>
      </left>
      <right style="thin">
        <color theme="8" tint="-0.499969989061356"/>
      </right>
      <top style="medium">
        <color auto="1"/>
      </top>
      <bottom style="thin">
        <color theme="8" tint="-0.499969989061356"/>
      </bottom>
    </border>
    <border>
      <left style="thin">
        <color theme="8" tint="-0.499969989061356"/>
      </left>
      <right style="medium">
        <color auto="1"/>
      </right>
      <top style="medium">
        <color auto="1"/>
      </top>
      <bottom style="thin">
        <color theme="8" tint="-0.499969989061356"/>
      </bottom>
    </border>
    <border>
      <left style="medium">
        <color auto="1"/>
      </left>
      <right style="medium">
        <color theme="8" tint="-0.499969989061356"/>
      </right>
      <top style="thin">
        <color theme="8" tint="-0.499969989061356"/>
      </top>
      <bottom style="medium">
        <color theme="8" tint="-0.499969989061356"/>
      </bottom>
    </border>
    <border>
      <left style="medium">
        <color auto="1"/>
      </left>
      <right style="medium">
        <color theme="8" tint="-0.499969989061356"/>
      </right>
      <top style="medium">
        <color theme="8" tint="-0.499969989061356"/>
      </top>
      <bottom style="medium">
        <color theme="8" tint="-0.499969989061356"/>
      </bottom>
    </border>
    <border>
      <left/>
      <right style="thin">
        <color theme="8" tint="-0.499969989061356"/>
      </right>
      <top/>
      <bottom style="thin">
        <color theme="8" tint="-0.499969989061356"/>
      </bottom>
    </border>
    <border>
      <left style="thin">
        <color theme="8" tint="-0.499969989061356"/>
      </left>
      <right style="thin">
        <color theme="8" tint="-0.499969989061356"/>
      </right>
      <top/>
      <bottom style="thin">
        <color theme="8" tint="-0.499969989061356"/>
      </bottom>
    </border>
    <border>
      <left style="thin">
        <color theme="8" tint="-0.499969989061356"/>
      </left>
      <right style="medium">
        <color auto="1"/>
      </right>
      <top/>
      <bottom style="thin">
        <color theme="8" tint="-0.499969989061356"/>
      </bottom>
    </border>
    <border>
      <left/>
      <right style="medium">
        <color auto="1"/>
      </right>
      <top/>
      <bottom style="medium">
        <color auto="1"/>
      </bottom>
    </border>
    <border>
      <left/>
      <right style="thin">
        <color auto="1"/>
      </right>
      <top/>
      <bottom style="thin">
        <color auto="1"/>
      </bottom>
    </border>
    <border>
      <left style="thin">
        <color auto="1"/>
      </left>
      <right style="medium">
        <color auto="1"/>
      </right>
      <top/>
      <bottom style="thin">
        <color auto="1"/>
      </bottom>
    </border>
    <border>
      <left style="medium">
        <color auto="1"/>
      </left>
      <right style="medium">
        <color auto="1"/>
      </right>
      <top style="thin">
        <color auto="1"/>
      </top>
      <bottom style="medium">
        <color auto="1"/>
      </bottom>
    </border>
    <border>
      <left style="medium">
        <color auto="1"/>
      </left>
      <right style="medium">
        <color auto="1"/>
      </right>
      <top/>
      <bottom style="medium">
        <color auto="1"/>
      </bottom>
    </border>
    <border>
      <left/>
      <right style="thin">
        <color auto="1"/>
      </right>
      <top/>
      <bottom style="medium">
        <color auto="1"/>
      </bottom>
    </border>
    <border>
      <left style="thin">
        <color auto="1"/>
      </left>
      <right style="thin">
        <color auto="1"/>
      </right>
      <top/>
      <bottom style="medium">
        <color auto="1"/>
      </bottom>
    </border>
    <border>
      <left style="thin">
        <color auto="1"/>
      </left>
      <right style="medium">
        <color auto="1"/>
      </right>
      <top/>
      <bottom style="medium">
        <color auto="1"/>
      </bottom>
    </border>
    <border>
      <left style="medium">
        <color auto="1"/>
      </left>
      <right style="thin">
        <color auto="1"/>
      </right>
      <top style="medium">
        <color auto="1"/>
      </top>
      <bottom style="medium">
        <color auto="1"/>
      </bottom>
    </border>
    <border>
      <left style="medium">
        <color theme="8" tint="-0.499969989061356"/>
      </left>
      <right style="thin">
        <color theme="8" tint="-0.499969989061356"/>
      </right>
      <top/>
      <bottom style="thin">
        <color theme="8" tint="-0.499969989061356"/>
      </bottom>
    </border>
    <border>
      <left style="medium">
        <color auto="1"/>
      </left>
      <right style="thin">
        <color auto="1"/>
      </right>
      <top style="medium">
        <color auto="1"/>
      </top>
      <bottom style="double">
        <color theme="8" tint="-0.499969989061356"/>
      </bottom>
    </border>
    <border>
      <left style="thin">
        <color auto="1"/>
      </left>
      <right style="medium">
        <color auto="1"/>
      </right>
      <top style="medium">
        <color auto="1"/>
      </top>
      <bottom style="thin">
        <color auto="1"/>
      </bottom>
    </border>
    <border>
      <left style="medium">
        <color auto="1"/>
      </left>
      <right style="thin">
        <color auto="1"/>
      </right>
      <top style="double">
        <color theme="8" tint="-0.499969989061356"/>
      </top>
      <bottom style="medium">
        <color auto="1"/>
      </bottom>
    </border>
    <border>
      <left style="thin">
        <color auto="1"/>
      </left>
      <right style="medium">
        <color auto="1"/>
      </right>
      <top style="thin">
        <color auto="1"/>
      </top>
      <bottom style="medium">
        <color auto="1"/>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right/>
      <top style="thin">
        <color theme="4" tint="0.399980008602142"/>
      </top>
      <bottom/>
    </border>
    <border>
      <left/>
      <right/>
      <top/>
      <bottom style="thin">
        <color theme="4" tint="0.399980008602142"/>
      </bottom>
    </border>
    <border>
      <left style="thin">
        <color auto="1"/>
      </left>
      <right/>
      <top/>
      <bottom/>
    </border>
    <border>
      <left style="medium">
        <color auto="1"/>
      </left>
      <right style="thin">
        <color theme="8" tint="-0.499969989061356"/>
      </right>
      <top style="medium">
        <color auto="1"/>
      </top>
      <bottom style="medium">
        <color auto="1"/>
      </bottom>
    </border>
    <border>
      <left style="thin">
        <color theme="8" tint="-0.499969989061356"/>
      </left>
      <right style="thin">
        <color theme="8" tint="-0.499969989061356"/>
      </right>
      <top style="medium">
        <color auto="1"/>
      </top>
      <bottom style="medium">
        <color auto="1"/>
      </bottom>
    </border>
    <border>
      <left/>
      <right/>
      <top style="medium">
        <color auto="1"/>
      </top>
      <bottom style="medium">
        <color auto="1"/>
      </bottom>
    </border>
    <border>
      <left style="medium">
        <color auto="1"/>
      </left>
      <right/>
      <top style="medium">
        <color auto="1"/>
      </top>
      <bottom/>
    </border>
    <border>
      <left/>
      <right/>
      <top style="medium">
        <color auto="1"/>
      </top>
      <bottom/>
    </border>
    <border>
      <left style="medium">
        <color auto="1"/>
      </left>
      <right style="medium">
        <color auto="1"/>
      </right>
      <top style="medium">
        <color auto="1"/>
      </top>
      <bottom/>
    </border>
    <border>
      <left style="medium">
        <color auto="1"/>
      </left>
      <right style="thin">
        <color theme="8" tint="-0.499969989061356"/>
      </right>
      <top style="thin">
        <color theme="8" tint="-0.499969989061356"/>
      </top>
      <bottom/>
    </border>
    <border>
      <left style="thin">
        <color theme="8" tint="-0.499969989061356"/>
      </left>
      <right style="thin">
        <color theme="8" tint="-0.499969989061356"/>
      </right>
      <top style="thin">
        <color theme="8" tint="-0.499969989061356"/>
      </top>
      <bottom/>
    </border>
    <border>
      <left style="medium">
        <color auto="1"/>
      </left>
      <right/>
      <top/>
      <bottom style="medium">
        <color auto="1"/>
      </bottom>
    </border>
    <border>
      <left/>
      <right/>
      <top/>
      <bottom style="medium">
        <color auto="1"/>
      </bottom>
    </border>
    <border>
      <left/>
      <right/>
      <top style="medium">
        <color auto="1"/>
      </top>
      <bottom style="double">
        <color theme="8" tint="-0.499969989061356"/>
      </bottom>
    </border>
    <border>
      <left style="thin">
        <color auto="1"/>
      </left>
      <right/>
      <top style="medium">
        <color auto="1"/>
      </top>
      <bottom style="double">
        <color theme="8" tint="-0.499969989061356"/>
      </bottom>
    </border>
    <border>
      <left/>
      <right style="thin">
        <color auto="1"/>
      </right>
      <top style="medium">
        <color auto="1"/>
      </top>
      <bottom style="double">
        <color theme="8" tint="-0.499969989061356"/>
      </bottom>
    </border>
    <border>
      <left style="thin">
        <color auto="1"/>
      </left>
      <right/>
      <top style="double">
        <color theme="8" tint="-0.499969989061356"/>
      </top>
      <bottom style="medium">
        <color auto="1"/>
      </bottom>
    </border>
    <border>
      <left/>
      <right style="thin">
        <color auto="1"/>
      </right>
      <top style="double">
        <color theme="8" tint="-0.499969989061356"/>
      </top>
      <bottom style="medium">
        <color auto="1"/>
      </bottom>
    </border>
    <border>
      <left style="medium">
        <color auto="1"/>
      </left>
      <right/>
      <top style="medium">
        <color auto="1"/>
      </top>
      <bottom style="medium">
        <color theme="8" tint="-0.499969989061356"/>
      </bottom>
    </border>
    <border>
      <left/>
      <right/>
      <top style="medium">
        <color auto="1"/>
      </top>
      <bottom style="medium">
        <color theme="8" tint="-0.499969989061356"/>
      </bottom>
    </border>
    <border>
      <left/>
      <right style="medium">
        <color auto="1"/>
      </right>
      <top style="medium">
        <color auto="1"/>
      </top>
      <bottom style="medium">
        <color theme="8" tint="-0.499969989061356"/>
      </bottom>
    </border>
    <border>
      <left/>
      <right style="medium">
        <color auto="1"/>
      </right>
      <top style="medium">
        <color auto="1"/>
      </top>
      <bottom/>
    </border>
    <border>
      <left style="medium">
        <color auto="1"/>
      </left>
      <right style="thin">
        <color theme="8" tint="-0.499969989061356"/>
      </right>
      <top style="medium">
        <color theme="8" tint="-0.499969989061356"/>
      </top>
      <bottom style="thin">
        <color theme="8" tint="-0.499969989061356"/>
      </bottom>
    </border>
    <border>
      <left style="thin">
        <color theme="8" tint="-0.499969989061356"/>
      </left>
      <right style="thin">
        <color theme="8" tint="-0.499969989061356"/>
      </right>
      <top style="medium">
        <color theme="8" tint="-0.499969989061356"/>
      </top>
      <bottom style="thin">
        <color theme="8" tint="-0.499969989061356"/>
      </bottom>
    </border>
    <border>
      <left/>
      <right/>
      <top/>
      <bottom style="thin">
        <color auto="1"/>
      </bottom>
    </border>
  </borders>
  <cellStyleXfs count="7">
    <xf numFmtId="0" fontId="0" fillId="0" borderId="0">
      <alignment/>
      <protection/>
    </xf>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164" fontId="0" fillId="0" borderId="0" applyFont="0" applyFill="0" applyBorder="0" applyAlignment="0" applyProtection="0"/>
    <xf numFmtId="41" fontId="1" fillId="0" borderId="0" applyFont="0" applyFill="0" applyBorder="0" applyAlignment="0" applyProtection="0"/>
    <xf numFmtId="43" fontId="0" fillId="0" borderId="0" applyFont="0" applyFill="0" applyBorder="0" applyAlignment="0" applyProtection="0"/>
  </cellStyleXfs>
  <cellXfs count="206">
    <xf numFmtId="0" fontId="0" fillId="0" borderId="0" xfId="0"/>
    <xf numFmtId="0" fontId="2" fillId="0" borderId="0" xfId="0" applyFont="1">
      <alignment/>
    </xf>
    <xf numFmtId="3" fontId="0" fillId="0" borderId="0" xfId="0" applyNumberFormat="1">
      <alignment/>
    </xf>
    <xf numFmtId="166" fontId="0" fillId="0" borderId="0" xfId="0" applyNumberFormat="1">
      <alignment/>
    </xf>
    <xf numFmtId="0" fontId="5" fillId="0" borderId="0" xfId="0" applyFont="1" applyAlignment="1">
      <alignment horizontal="center" vertical="center"/>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0" borderId="6" xfId="0" applyFont="1" applyBorder="1" applyAlignment="1">
      <alignment vertical="center" wrapText="1"/>
    </xf>
    <xf numFmtId="3" fontId="2" fillId="0" borderId="7" xfId="6" applyNumberFormat="1" applyFont="1" applyBorder="1" applyAlignment="1">
      <alignment vertical="center"/>
    </xf>
    <xf numFmtId="0" fontId="9" fillId="0" borderId="8" xfId="0" applyFont="1" applyBorder="1" applyAlignment="1">
      <alignment vertical="center" wrapText="1"/>
    </xf>
    <xf numFmtId="3" fontId="2" fillId="0" borderId="9" xfId="6" applyNumberFormat="1" applyFont="1" applyBorder="1">
      <alignment/>
    </xf>
    <xf numFmtId="3" fontId="2" fillId="3" borderId="9" xfId="6" applyNumberFormat="1" applyFont="1" applyFill="1" applyBorder="1">
      <alignment/>
    </xf>
    <xf numFmtId="0" fontId="9" fillId="0" borderId="10" xfId="0" applyFont="1" applyBorder="1" applyAlignment="1">
      <alignment vertical="center" wrapText="1"/>
    </xf>
    <xf numFmtId="3" fontId="2" fillId="0" borderId="11" xfId="6" applyNumberFormat="1" applyFont="1" applyBorder="1">
      <alignment/>
    </xf>
    <xf numFmtId="3" fontId="2" fillId="3" borderId="11" xfId="6" applyNumberFormat="1" applyFont="1" applyFill="1" applyBorder="1">
      <alignment/>
    </xf>
    <xf numFmtId="0" fontId="8" fillId="4" borderId="12" xfId="0" applyFont="1" applyFill="1" applyBorder="1" applyAlignment="1">
      <alignment horizontal="center" vertical="center" wrapText="1"/>
    </xf>
    <xf numFmtId="3" fontId="2" fillId="0" borderId="13" xfId="6" applyNumberFormat="1" applyFont="1" applyBorder="1">
      <alignment/>
    </xf>
    <xf numFmtId="3" fontId="2" fillId="0" borderId="14" xfId="6" applyNumberFormat="1" applyFont="1" applyBorder="1">
      <alignment/>
    </xf>
    <xf numFmtId="0" fontId="9" fillId="0" borderId="0" xfId="0" applyFont="1">
      <alignment/>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0" borderId="15" xfId="0" applyFont="1" applyBorder="1" applyAlignment="1">
      <alignment vertical="center" wrapText="1"/>
    </xf>
    <xf numFmtId="0" fontId="9" fillId="0" borderId="16" xfId="0" applyFont="1" applyBorder="1" applyAlignment="1">
      <alignment horizontal="left" vertical="center" wrapText="1" indent="3"/>
    </xf>
    <xf numFmtId="3" fontId="2" fillId="0" borderId="9" xfId="6" applyNumberFormat="1" applyFont="1" applyBorder="1" applyAlignment="1">
      <alignment vertical="center"/>
    </xf>
    <xf numFmtId="3" fontId="2" fillId="0" borderId="0" xfId="0" applyNumberFormat="1" applyFont="1">
      <alignment/>
    </xf>
    <xf numFmtId="0" fontId="9" fillId="0" borderId="17" xfId="0" applyFont="1" applyBorder="1" applyAlignment="1">
      <alignment horizontal="left" vertical="center" wrapText="1" indent="3"/>
    </xf>
    <xf numFmtId="0" fontId="2" fillId="5" borderId="18" xfId="0" applyFont="1" applyFill="1" applyBorder="1" applyAlignment="1">
      <alignment horizontal="left" vertical="center" wrapText="1" indent="3"/>
    </xf>
    <xf numFmtId="3" fontId="2" fillId="5" borderId="13" xfId="6" applyNumberFormat="1" applyFont="1" applyFill="1" applyBorder="1">
      <alignment/>
    </xf>
    <xf numFmtId="0" fontId="2" fillId="0" borderId="19" xfId="0" applyFont="1" applyBorder="1" applyAlignment="1">
      <alignmen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9" fillId="0" borderId="23" xfId="0" applyFont="1" applyBorder="1" applyAlignment="1">
      <alignment horizontal="left" vertical="center" wrapText="1" indent="3"/>
    </xf>
    <xf numFmtId="0" fontId="2" fillId="0" borderId="24" xfId="0" applyFont="1" applyBorder="1" applyAlignment="1">
      <alignment vertical="center" wrapText="1"/>
    </xf>
    <xf numFmtId="3" fontId="2" fillId="0" borderId="13" xfId="6" applyNumberFormat="1" applyFont="1" applyFill="1" applyBorder="1">
      <alignment/>
    </xf>
    <xf numFmtId="0" fontId="2" fillId="0" borderId="15" xfId="0" applyFont="1" applyBorder="1" applyAlignment="1">
      <alignment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0" xfId="0" applyFont="1" applyAlignment="1">
      <alignment horizontal="left" vertical="center" wrapText="1" indent="3"/>
    </xf>
    <xf numFmtId="165" fontId="6" fillId="0" borderId="0" xfId="0" applyNumberFormat="1" applyFont="1" applyAlignment="1" applyProtection="1">
      <alignment horizontal="right" vertical="center" shrinkToFit="1"/>
      <protection locked="0"/>
    </xf>
    <xf numFmtId="166" fontId="2" fillId="0" borderId="0" xfId="4" applyNumberFormat="1" applyFont="1">
      <alignment/>
    </xf>
    <xf numFmtId="166" fontId="2" fillId="0" borderId="0" xfId="0" applyNumberFormat="1" applyFont="1">
      <alignment/>
    </xf>
    <xf numFmtId="0" fontId="8" fillId="6" borderId="28"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8" borderId="4" xfId="0" applyFont="1" applyFill="1" applyBorder="1" applyAlignment="1">
      <alignment horizontal="center" vertical="center"/>
    </xf>
    <xf numFmtId="0" fontId="11" fillId="8" borderId="5" xfId="0" applyFont="1" applyFill="1" applyBorder="1" applyAlignment="1">
      <alignment horizontal="center" vertical="center"/>
    </xf>
    <xf numFmtId="0" fontId="11" fillId="8" borderId="4" xfId="0" applyFont="1" applyFill="1" applyBorder="1" applyAlignment="1">
      <alignment horizontal="center"/>
    </xf>
    <xf numFmtId="0" fontId="11" fillId="8" borderId="5" xfId="0" applyFont="1" applyFill="1" applyBorder="1" applyAlignment="1">
      <alignment horizontal="center"/>
    </xf>
    <xf numFmtId="0" fontId="12" fillId="9" borderId="1" xfId="0" applyFont="1" applyFill="1" applyBorder="1" applyAlignment="1">
      <alignment horizontal="center"/>
    </xf>
    <xf numFmtId="0" fontId="12" fillId="9" borderId="29" xfId="0" applyFont="1" applyFill="1" applyBorder="1" applyAlignment="1">
      <alignment horizontal="center"/>
    </xf>
    <xf numFmtId="0" fontId="12" fillId="9" borderId="7" xfId="0" applyFont="1" applyFill="1" applyBorder="1" applyAlignment="1">
      <alignment horizontal="center"/>
    </xf>
    <xf numFmtId="0" fontId="12" fillId="9" borderId="30" xfId="0" applyFont="1" applyFill="1" applyBorder="1" applyAlignment="1">
      <alignment horizontal="center"/>
    </xf>
    <xf numFmtId="0" fontId="9" fillId="0" borderId="31" xfId="0" applyFont="1" applyBorder="1" applyAlignment="1">
      <alignment horizontal="center"/>
    </xf>
    <xf numFmtId="3" fontId="2" fillId="0" borderId="9" xfId="6" applyNumberFormat="1" applyFont="1" applyBorder="1" applyAlignment="1">
      <alignment horizontal="center"/>
    </xf>
    <xf numFmtId="0" fontId="9" fillId="0" borderId="32" xfId="0" applyFont="1" applyBorder="1" applyAlignment="1">
      <alignment horizontal="center"/>
    </xf>
    <xf numFmtId="0" fontId="2" fillId="0" borderId="33" xfId="0" applyFont="1" applyBorder="1" applyProtection="1">
      <alignment/>
      <protection locked="0"/>
    </xf>
    <xf numFmtId="0" fontId="6" fillId="0" borderId="34" xfId="0" applyFont="1" applyBorder="1" applyProtection="1">
      <alignment/>
      <protection locked="0"/>
    </xf>
    <xf numFmtId="0" fontId="2" fillId="0" borderId="35" xfId="0" applyFont="1" applyBorder="1" applyProtection="1">
      <alignment/>
      <protection locked="0"/>
    </xf>
    <xf numFmtId="0" fontId="2" fillId="10" borderId="0" xfId="0" applyFont="1" applyFill="1" applyAlignment="1" applyProtection="1">
      <alignment horizontal="center"/>
      <protection locked="0"/>
    </xf>
    <xf numFmtId="0" fontId="2" fillId="10" borderId="0" xfId="0" applyFont="1" applyFill="1" applyProtection="1">
      <alignment/>
      <protection locked="0"/>
    </xf>
    <xf numFmtId="0" fontId="2" fillId="10" borderId="0" xfId="0" applyFont="1" applyFill="1" applyAlignment="1">
      <alignment horizontal="center"/>
    </xf>
    <xf numFmtId="0" fontId="2" fillId="10" borderId="0" xfId="0" applyFont="1" applyFill="1">
      <alignment/>
    </xf>
    <xf numFmtId="0" fontId="8" fillId="11" borderId="36" xfId="0" applyFont="1" applyFill="1" applyBorder="1" applyAlignment="1">
      <alignment horizontal="center" vertical="center" wrapText="1"/>
    </xf>
    <xf numFmtId="0" fontId="2" fillId="0" borderId="0" xfId="0" applyFont="1" applyAlignment="1">
      <alignment wrapText="1"/>
    </xf>
    <xf numFmtId="0" fontId="13" fillId="12" borderId="4" xfId="0" applyFont="1" applyFill="1" applyBorder="1" applyAlignment="1">
      <alignment horizontal="center" vertical="center" wrapText="1"/>
    </xf>
    <xf numFmtId="0" fontId="9" fillId="11" borderId="32" xfId="0" applyFont="1" applyFill="1" applyBorder="1" applyAlignment="1">
      <alignment horizontal="center" vertical="center"/>
    </xf>
    <xf numFmtId="0" fontId="6" fillId="13" borderId="9" xfId="0" applyFont="1" applyFill="1" applyBorder="1" applyAlignment="1" applyProtection="1">
      <alignment horizontal="left" vertical="top" wrapText="1"/>
      <protection locked="0"/>
    </xf>
    <xf numFmtId="165" fontId="6" fillId="0" borderId="37" xfId="0" applyNumberFormat="1" applyFont="1" applyBorder="1" applyAlignment="1" applyProtection="1">
      <alignment shrinkToFit="1"/>
      <protection locked="0"/>
    </xf>
    <xf numFmtId="0" fontId="7" fillId="0" borderId="12" xfId="0" applyFont="1" applyBorder="1" applyAlignment="1">
      <alignment horizontal="center" vertical="center"/>
    </xf>
    <xf numFmtId="165" fontId="7" fillId="0" borderId="4" xfId="0" applyNumberFormat="1" applyFont="1" applyBorder="1" applyAlignment="1">
      <alignment horizontal="right" vertical="center" shrinkToFit="1"/>
    </xf>
    <xf numFmtId="0" fontId="14" fillId="0" borderId="0" xfId="0" applyFont="1">
      <alignment/>
    </xf>
    <xf numFmtId="0" fontId="8" fillId="6" borderId="38" xfId="0" applyFont="1" applyFill="1" applyBorder="1" applyAlignment="1">
      <alignment horizontal="center" vertical="center"/>
    </xf>
    <xf numFmtId="0" fontId="9" fillId="10" borderId="39" xfId="0" applyFont="1" applyFill="1" applyBorder="1" applyAlignment="1" applyProtection="1">
      <alignment horizontal="center" vertical="center"/>
      <protection locked="0"/>
    </xf>
    <xf numFmtId="0" fontId="8" fillId="6" borderId="40" xfId="0" applyFont="1" applyFill="1" applyBorder="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xf>
    <xf numFmtId="49" fontId="9" fillId="10" borderId="41" xfId="0" applyNumberFormat="1" applyFont="1" applyFill="1" applyBorder="1" applyAlignment="1" applyProtection="1" quotePrefix="1">
      <alignment horizontal="center" vertical="center"/>
      <protection locked="0"/>
    </xf>
    <xf numFmtId="3" fontId="7" fillId="0" borderId="0" xfId="0" applyNumberFormat="1" applyFont="1">
      <alignment/>
    </xf>
    <xf numFmtId="0" fontId="16" fillId="14" borderId="42" xfId="0" applyFont="1" applyFill="1" applyBorder="1" applyAlignment="1">
      <alignment vertical="top"/>
    </xf>
    <xf numFmtId="0" fontId="18" fillId="14" borderId="42" xfId="0" applyFont="1" applyFill="1" applyBorder="1" applyAlignment="1">
      <alignment vertical="top"/>
    </xf>
    <xf numFmtId="0" fontId="0" fillId="14" borderId="42" xfId="0" applyFill="1" applyBorder="1" applyAlignment="1">
      <alignment vertical="top"/>
    </xf>
    <xf numFmtId="15" fontId="18" fillId="14" borderId="42" xfId="0" applyNumberFormat="1" applyFont="1" applyFill="1" applyBorder="1" applyAlignment="1">
      <alignment vertical="top"/>
    </xf>
    <xf numFmtId="43" fontId="17" fillId="15" borderId="9" xfId="6" applyFont="1" applyFill="1" applyBorder="1">
      <alignment/>
    </xf>
    <xf numFmtId="43" fontId="0" fillId="15" borderId="9" xfId="6" applyFont="1" applyFill="1" applyBorder="1">
      <alignment/>
    </xf>
    <xf numFmtId="0" fontId="16" fillId="14" borderId="43" xfId="0" applyFont="1" applyFill="1" applyBorder="1" applyAlignment="1">
      <alignment vertical="top"/>
    </xf>
    <xf numFmtId="0" fontId="16" fillId="14" borderId="0" xfId="0" applyFont="1" applyFill="1" applyAlignment="1">
      <alignment vertical="top"/>
    </xf>
    <xf numFmtId="0" fontId="0" fillId="0" borderId="0" xfId="0">
      <alignment/>
    </xf>
    <xf numFmtId="0" fontId="0" fillId="0" borderId="0" xfId="0" applyAlignment="1">
      <alignment horizontal="left"/>
    </xf>
    <xf numFmtId="166" fontId="0" fillId="0" borderId="0" xfId="4" applyNumberFormat="1" applyFont="1">
      <alignment/>
    </xf>
    <xf numFmtId="166" fontId="17" fillId="16" borderId="44" xfId="4" applyNumberFormat="1" applyFont="1" applyFill="1" applyBorder="1">
      <alignment/>
    </xf>
    <xf numFmtId="166" fontId="17" fillId="16" borderId="45" xfId="4" applyNumberFormat="1" applyFont="1" applyFill="1" applyBorder="1">
      <alignment/>
    </xf>
    <xf numFmtId="0" fontId="16" fillId="14" borderId="0" xfId="0" applyFont="1" applyFill="1" applyBorder="1" applyAlignment="1">
      <alignment vertical="top"/>
    </xf>
    <xf numFmtId="0" fontId="0" fillId="0" borderId="0" xfId="0" applyAlignment="1">
      <alignment horizontal="left" indent="1"/>
    </xf>
    <xf numFmtId="166" fontId="17" fillId="0" borderId="0" xfId="4" applyNumberFormat="1" applyFont="1">
      <alignment/>
    </xf>
    <xf numFmtId="166" fontId="17" fillId="16" borderId="44" xfId="0" applyNumberFormat="1" applyFont="1" applyFill="1" applyBorder="1">
      <alignment/>
    </xf>
    <xf numFmtId="43" fontId="0" fillId="0" borderId="0" xfId="6" applyFont="1">
      <alignment/>
    </xf>
    <xf numFmtId="43" fontId="0" fillId="0" borderId="0" xfId="6" applyFont="1" applyBorder="1">
      <alignment/>
    </xf>
    <xf numFmtId="0" fontId="0" fillId="0" borderId="0" xfId="0" applyAlignment="1">
      <alignment horizontal="center"/>
    </xf>
    <xf numFmtId="0" fontId="17" fillId="0" borderId="9" xfId="0" applyFont="1" applyBorder="1" applyAlignment="1">
      <alignment horizontal="center"/>
    </xf>
    <xf numFmtId="0" fontId="17" fillId="0" borderId="9" xfId="0" applyFont="1" applyBorder="1">
      <alignment/>
    </xf>
    <xf numFmtId="43" fontId="17" fillId="0" borderId="9" xfId="6" applyFont="1" applyBorder="1">
      <alignment/>
    </xf>
    <xf numFmtId="0" fontId="17" fillId="17" borderId="9" xfId="0" applyFont="1" applyFill="1" applyBorder="1">
      <alignment/>
    </xf>
    <xf numFmtId="0" fontId="17" fillId="17" borderId="46" xfId="0" applyFont="1" applyFill="1" applyBorder="1">
      <alignment/>
    </xf>
    <xf numFmtId="9" fontId="17" fillId="0" borderId="9" xfId="1" applyFont="1" applyBorder="1">
      <alignment/>
    </xf>
    <xf numFmtId="0" fontId="17" fillId="18" borderId="9" xfId="0" applyFont="1" applyFill="1" applyBorder="1">
      <alignment/>
    </xf>
    <xf numFmtId="0" fontId="17" fillId="0" borderId="0" xfId="0" applyFont="1">
      <alignment/>
    </xf>
    <xf numFmtId="0" fontId="0" fillId="0" borderId="9" xfId="0" applyBorder="1" applyAlignment="1">
      <alignment horizontal="center"/>
    </xf>
    <xf numFmtId="14" fontId="20" fillId="0" borderId="9" xfId="0" applyNumberFormat="1" applyFont="1" applyBorder="1">
      <alignment/>
    </xf>
    <xf numFmtId="0" fontId="20" fillId="0" borderId="9" xfId="0" applyFont="1" applyBorder="1">
      <alignment/>
    </xf>
    <xf numFmtId="0" fontId="20" fillId="0" borderId="9" xfId="0" applyFont="1" applyBorder="1" applyAlignment="1">
      <alignment wrapText="1"/>
    </xf>
    <xf numFmtId="0" fontId="0" fillId="0" borderId="9" xfId="0" applyBorder="1">
      <alignment/>
    </xf>
    <xf numFmtId="9" fontId="0" fillId="0" borderId="9" xfId="0" applyNumberFormat="1" applyBorder="1">
      <alignment/>
    </xf>
    <xf numFmtId="43" fontId="0" fillId="0" borderId="9" xfId="6" applyFont="1" applyBorder="1">
      <alignment/>
    </xf>
    <xf numFmtId="43" fontId="0" fillId="0" borderId="9" xfId="0" applyNumberFormat="1" applyBorder="1">
      <alignment/>
    </xf>
    <xf numFmtId="14" fontId="0" fillId="0" borderId="9" xfId="0" applyNumberFormat="1" applyBorder="1">
      <alignment/>
    </xf>
    <xf numFmtId="43" fontId="17" fillId="0" borderId="9" xfId="0" applyNumberFormat="1" applyFont="1" applyBorder="1">
      <alignment/>
    </xf>
    <xf numFmtId="164" fontId="0" fillId="0" borderId="0" xfId="4" applyFont="1">
      <alignment/>
    </xf>
    <xf numFmtId="164" fontId="21" fillId="18" borderId="9" xfId="4" applyFont="1" applyFill="1" applyBorder="1" applyAlignment="1">
      <alignment vertical="top"/>
    </xf>
    <xf numFmtId="0" fontId="22" fillId="19" borderId="9" xfId="0" applyFont="1" applyFill="1" applyBorder="1" applyAlignment="1">
      <alignment horizontal="center"/>
    </xf>
    <xf numFmtId="0" fontId="21" fillId="19" borderId="9" xfId="0" applyFont="1" applyFill="1" applyBorder="1" applyAlignment="1">
      <alignment horizontal="left" vertical="top"/>
    </xf>
    <xf numFmtId="0" fontId="22" fillId="19" borderId="9" xfId="0" applyFont="1" applyFill="1" applyBorder="1">
      <alignment/>
    </xf>
    <xf numFmtId="164" fontId="22" fillId="19" borderId="9" xfId="4" applyFont="1" applyFill="1" applyBorder="1" applyAlignment="1">
      <alignment horizontal="right"/>
    </xf>
    <xf numFmtId="164" fontId="21" fillId="19" borderId="9" xfId="4" applyFont="1" applyFill="1" applyBorder="1" applyAlignment="1">
      <alignment horizontal="right" vertical="top"/>
    </xf>
    <xf numFmtId="0" fontId="21" fillId="19" borderId="9" xfId="0" applyFont="1" applyFill="1" applyBorder="1" applyAlignment="1">
      <alignment horizontal="center" vertical="top"/>
    </xf>
    <xf numFmtId="0" fontId="21" fillId="18" borderId="9" xfId="0" applyFont="1" applyFill="1" applyBorder="1" applyAlignment="1">
      <alignment horizontal="center" vertical="top"/>
    </xf>
    <xf numFmtId="164" fontId="21" fillId="18" borderId="9" xfId="4" applyFont="1" applyFill="1" applyBorder="1" applyAlignment="1">
      <alignment horizontal="right" vertical="top"/>
    </xf>
    <xf numFmtId="164" fontId="22" fillId="18" borderId="9" xfId="4" applyFont="1" applyFill="1" applyBorder="1" applyAlignment="1">
      <alignment horizontal="right"/>
    </xf>
    <xf numFmtId="0" fontId="22" fillId="0" borderId="9" xfId="0" applyFont="1" applyBorder="1" applyAlignment="1">
      <alignment vertical="center"/>
    </xf>
    <xf numFmtId="0" fontId="0" fillId="0" borderId="9" xfId="0" applyBorder="1" applyAlignment="1">
      <alignment vertical="center"/>
    </xf>
    <xf numFmtId="0" fontId="23" fillId="0" borderId="9" xfId="0" applyFont="1" applyBorder="1" applyAlignment="1">
      <alignment horizontal="center" vertical="top"/>
    </xf>
    <xf numFmtId="15" fontId="23" fillId="0" borderId="9" xfId="0" applyNumberFormat="1" applyFont="1" applyBorder="1" applyAlignment="1">
      <alignment horizontal="center" vertical="top"/>
    </xf>
    <xf numFmtId="0" fontId="23" fillId="0" borderId="9" xfId="0" applyFont="1" applyBorder="1" applyAlignment="1">
      <alignment horizontal="left" vertical="top"/>
    </xf>
    <xf numFmtId="164" fontId="23" fillId="0" borderId="9" xfId="4" applyFont="1" applyBorder="1" applyAlignment="1">
      <alignment horizontal="right" vertical="top"/>
    </xf>
    <xf numFmtId="164" fontId="0" fillId="0" borderId="9" xfId="4" applyFont="1" applyBorder="1">
      <alignment/>
    </xf>
    <xf numFmtId="0" fontId="23" fillId="0" borderId="9" xfId="0" applyFont="1" applyBorder="1" applyAlignment="1">
      <alignment vertical="top"/>
    </xf>
    <xf numFmtId="0" fontId="0" fillId="0" borderId="9" xfId="0" applyBorder="1" applyAlignment="1">
      <alignment horizontal="center" vertical="center"/>
    </xf>
    <xf numFmtId="0" fontId="22" fillId="0" borderId="9" xfId="0" applyFont="1" applyBorder="1">
      <alignment/>
    </xf>
    <xf numFmtId="0" fontId="22" fillId="0" borderId="9" xfId="0" applyFont="1" applyBorder="1" applyAlignment="1">
      <alignment horizontal="center"/>
    </xf>
    <xf numFmtId="164" fontId="22" fillId="0" borderId="9" xfId="4" applyFont="1" applyBorder="1">
      <alignment/>
    </xf>
    <xf numFmtId="0" fontId="22" fillId="0" borderId="0" xfId="0" applyFont="1">
      <alignment/>
    </xf>
    <xf numFmtId="0" fontId="0" fillId="0" borderId="0" xfId="0" applyFill="1">
      <alignment/>
    </xf>
    <xf numFmtId="165" fontId="2" fillId="0" borderId="0" xfId="0" applyNumberFormat="1" applyFont="1">
      <alignment/>
    </xf>
    <xf numFmtId="0" fontId="24" fillId="14" borderId="42" xfId="0" applyFont="1" applyFill="1" applyBorder="1" applyAlignment="1">
      <alignment vertical="top"/>
    </xf>
    <xf numFmtId="0" fontId="24" fillId="14" borderId="42" xfId="0" applyFont="1" applyFill="1" applyBorder="1" applyAlignment="1">
      <alignment horizontal="left" vertical="top"/>
    </xf>
    <xf numFmtId="0" fontId="25" fillId="14" borderId="42" xfId="0" applyFont="1" applyFill="1" applyBorder="1" applyAlignment="1">
      <alignment vertical="top"/>
    </xf>
    <xf numFmtId="0" fontId="25" fillId="14" borderId="42" xfId="0" applyFont="1" applyFill="1" applyBorder="1" applyAlignment="1">
      <alignment horizontal="left" vertical="top"/>
    </xf>
    <xf numFmtId="15" fontId="25" fillId="14" borderId="42" xfId="0" applyNumberFormat="1" applyFont="1" applyFill="1" applyBorder="1" applyAlignment="1">
      <alignment horizontal="left" vertical="top"/>
    </xf>
    <xf numFmtId="15" fontId="25" fillId="14" borderId="42" xfId="0" applyNumberFormat="1" applyFont="1" applyFill="1" applyBorder="1" applyAlignment="1">
      <alignment vertical="top"/>
    </xf>
    <xf numFmtId="22" fontId="25" fillId="14" borderId="42" xfId="0" applyNumberFormat="1" applyFont="1" applyFill="1" applyBorder="1" applyAlignment="1">
      <alignment horizontal="left" vertical="top"/>
    </xf>
    <xf numFmtId="0" fontId="25" fillId="17" borderId="42" xfId="0" applyFont="1" applyFill="1" applyBorder="1" applyAlignment="1">
      <alignment vertical="top"/>
    </xf>
    <xf numFmtId="0" fontId="25" fillId="17" borderId="42" xfId="0" applyFont="1" applyFill="1" applyBorder="1" applyAlignment="1">
      <alignment horizontal="left" vertical="top"/>
    </xf>
    <xf numFmtId="0" fontId="0" fillId="17" borderId="42" xfId="0" applyFill="1" applyBorder="1" applyAlignment="1">
      <alignment vertical="top"/>
    </xf>
    <xf numFmtId="15" fontId="25" fillId="17" borderId="42" xfId="0" applyNumberFormat="1" applyFont="1" applyFill="1" applyBorder="1" applyAlignment="1">
      <alignment horizontal="left" vertical="top"/>
    </xf>
    <xf numFmtId="17" fontId="25" fillId="14" borderId="42" xfId="0" applyNumberFormat="1" applyFont="1" applyFill="1" applyBorder="1" applyAlignment="1">
      <alignment horizontal="left" vertical="top"/>
    </xf>
    <xf numFmtId="11" fontId="25" fillId="14" borderId="42" xfId="0" applyNumberFormat="1" applyFont="1" applyFill="1" applyBorder="1" applyAlignment="1">
      <alignment horizontal="left" vertical="top"/>
    </xf>
    <xf numFmtId="0" fontId="25" fillId="20" borderId="42" xfId="0" applyFont="1" applyFill="1" applyBorder="1" applyAlignment="1">
      <alignment vertical="top"/>
    </xf>
    <xf numFmtId="0" fontId="25" fillId="20" borderId="42" xfId="0" applyFont="1" applyFill="1" applyBorder="1" applyAlignment="1">
      <alignment horizontal="left" vertical="top"/>
    </xf>
    <xf numFmtId="0" fontId="0" fillId="20" borderId="42" xfId="0" applyFill="1" applyBorder="1" applyAlignment="1">
      <alignment vertical="top"/>
    </xf>
    <xf numFmtId="15" fontId="25" fillId="20" borderId="42" xfId="0" applyNumberFormat="1" applyFont="1" applyFill="1" applyBorder="1" applyAlignment="1">
      <alignment horizontal="left" vertical="top"/>
    </xf>
    <xf numFmtId="0" fontId="7" fillId="4" borderId="47" xfId="0" applyFont="1" applyFill="1" applyBorder="1" applyAlignment="1">
      <alignment horizontal="center" vertical="center" wrapText="1"/>
    </xf>
    <xf numFmtId="0" fontId="7" fillId="4" borderId="48" xfId="0" applyFont="1" applyFill="1" applyBorder="1" applyAlignment="1">
      <alignment horizontal="center" vertical="center" wrapText="1"/>
    </xf>
    <xf numFmtId="0" fontId="7" fillId="0" borderId="12" xfId="0" applyFont="1" applyBorder="1" applyAlignment="1">
      <alignment horizontal="center" vertical="center"/>
    </xf>
    <xf numFmtId="0" fontId="7" fillId="0" borderId="49" xfId="0" applyFont="1" applyBorder="1" applyAlignment="1">
      <alignment horizontal="center" vertical="center"/>
    </xf>
    <xf numFmtId="0" fontId="7" fillId="0" borderId="5" xfId="0" applyFont="1" applyBorder="1" applyAlignment="1">
      <alignment horizontal="center" vertical="center"/>
    </xf>
    <xf numFmtId="0" fontId="7" fillId="0" borderId="50" xfId="0" applyFont="1" applyBorder="1" applyAlignment="1">
      <alignment horizontal="left" vertical="center" wrapText="1"/>
    </xf>
    <xf numFmtId="0" fontId="7" fillId="0" borderId="51" xfId="0" applyFont="1" applyBorder="1" applyAlignment="1">
      <alignment horizontal="left" vertical="center" wrapText="1"/>
    </xf>
    <xf numFmtId="0" fontId="8" fillId="11" borderId="52" xfId="0" applyFont="1" applyFill="1" applyBorder="1" applyAlignment="1">
      <alignment horizontal="center" vertical="center"/>
    </xf>
    <xf numFmtId="0" fontId="8" fillId="11" borderId="32" xfId="0" applyFont="1" applyFill="1" applyBorder="1" applyAlignment="1">
      <alignment horizontal="center" vertical="center"/>
    </xf>
    <xf numFmtId="0" fontId="8" fillId="11" borderId="36" xfId="0" applyFont="1" applyFill="1" applyBorder="1" applyAlignment="1">
      <alignment horizontal="center" vertical="center" wrapText="1"/>
    </xf>
    <xf numFmtId="0" fontId="8" fillId="11" borderId="14" xfId="0" applyFont="1" applyFill="1" applyBorder="1" applyAlignment="1">
      <alignment horizontal="center" vertical="center" wrapText="1"/>
    </xf>
    <xf numFmtId="0" fontId="9" fillId="0" borderId="53" xfId="0" applyFont="1" applyBorder="1" applyAlignment="1">
      <alignment horizontal="left" vertical="center" wrapText="1"/>
    </xf>
    <xf numFmtId="0" fontId="9" fillId="0" borderId="54" xfId="0" applyFont="1" applyBorder="1" applyAlignment="1">
      <alignment horizontal="left" vertical="center" wrapText="1"/>
    </xf>
    <xf numFmtId="0" fontId="3" fillId="21" borderId="50" xfId="0" applyFont="1" applyFill="1" applyBorder="1" applyAlignment="1">
      <alignment horizontal="center" vertical="center" wrapText="1"/>
    </xf>
    <xf numFmtId="0" fontId="3" fillId="21" borderId="51" xfId="0" applyFont="1" applyFill="1" applyBorder="1" applyAlignment="1">
      <alignment horizontal="center" vertical="center"/>
    </xf>
    <xf numFmtId="0" fontId="3" fillId="21" borderId="55" xfId="0" applyFont="1" applyFill="1" applyBorder="1" applyAlignment="1">
      <alignment horizontal="center" vertical="center"/>
    </xf>
    <xf numFmtId="0" fontId="3" fillId="21" borderId="56" xfId="0" applyFont="1" applyFill="1" applyBorder="1" applyAlignment="1">
      <alignment horizontal="center" vertical="center"/>
    </xf>
    <xf numFmtId="0" fontId="9" fillId="10" borderId="57" xfId="0" applyFont="1" applyFill="1" applyBorder="1" applyAlignment="1" applyProtection="1">
      <alignment horizontal="center" vertical="center"/>
      <protection locked="0"/>
    </xf>
    <xf numFmtId="0" fontId="8" fillId="15" borderId="58" xfId="0" applyFont="1" applyFill="1" applyBorder="1" applyAlignment="1">
      <alignment horizontal="center" vertical="center"/>
    </xf>
    <xf numFmtId="0" fontId="8" fillId="15" borderId="59" xfId="0" applyFont="1" applyFill="1" applyBorder="1" applyAlignment="1">
      <alignment horizontal="center" vertical="center"/>
    </xf>
    <xf numFmtId="0" fontId="8" fillId="11" borderId="56" xfId="0" applyFont="1" applyFill="1" applyBorder="1" applyAlignment="1" applyProtection="1">
      <alignment horizontal="center" vertical="center"/>
      <protection locked="0"/>
    </xf>
    <xf numFmtId="0" fontId="8" fillId="15" borderId="60" xfId="0" applyFont="1" applyFill="1" applyBorder="1" applyAlignment="1">
      <alignment horizontal="center" vertical="center"/>
    </xf>
    <xf numFmtId="0" fontId="8" fillId="15" borderId="61" xfId="0" applyFont="1" applyFill="1" applyBorder="1" applyAlignment="1">
      <alignment horizontal="center"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64" xfId="0" applyFont="1" applyBorder="1" applyAlignment="1">
      <alignment horizontal="center" vertical="center"/>
    </xf>
    <xf numFmtId="0" fontId="8" fillId="0" borderId="50" xfId="0" applyFont="1" applyBorder="1" applyAlignment="1">
      <alignment horizontal="center" vertical="center"/>
    </xf>
    <xf numFmtId="0" fontId="8" fillId="0" borderId="51" xfId="0" applyFont="1" applyBorder="1" applyAlignment="1">
      <alignment horizontal="center" vertical="center"/>
    </xf>
    <xf numFmtId="0" fontId="8" fillId="0" borderId="65" xfId="0" applyFont="1" applyBorder="1" applyAlignment="1">
      <alignment horizontal="center" vertical="center"/>
    </xf>
    <xf numFmtId="0" fontId="7" fillId="0" borderId="62" xfId="0" applyFont="1" applyBorder="1" applyAlignment="1">
      <alignment horizontal="center" vertical="center"/>
    </xf>
    <xf numFmtId="0" fontId="7" fillId="0" borderId="63" xfId="0" applyFont="1" applyBorder="1" applyAlignment="1">
      <alignment horizontal="center" vertical="center"/>
    </xf>
    <xf numFmtId="0" fontId="7" fillId="0" borderId="64" xfId="0" applyFont="1" applyBorder="1" applyAlignment="1">
      <alignment horizontal="center" vertical="center"/>
    </xf>
    <xf numFmtId="0" fontId="8" fillId="6" borderId="55"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10" fillId="7" borderId="50" xfId="0" applyFont="1" applyFill="1" applyBorder="1" applyAlignment="1">
      <alignment horizontal="center" vertical="center" wrapText="1"/>
    </xf>
    <xf numFmtId="0" fontId="10" fillId="7" borderId="65" xfId="0" applyFont="1" applyFill="1" applyBorder="1" applyAlignment="1">
      <alignment horizontal="center" vertical="center" wrapText="1"/>
    </xf>
    <xf numFmtId="0" fontId="9" fillId="0" borderId="66" xfId="0" applyFont="1" applyBorder="1" applyAlignment="1">
      <alignment horizontal="left" vertical="center" wrapText="1"/>
    </xf>
    <xf numFmtId="0" fontId="9" fillId="0" borderId="67" xfId="0" applyFont="1" applyBorder="1" applyAlignment="1">
      <alignment horizontal="left" vertical="center" wrapText="1"/>
    </xf>
    <xf numFmtId="0" fontId="17" fillId="18" borderId="68" xfId="0" applyFont="1" applyFill="1" applyBorder="1" applyAlignment="1">
      <alignment horizontal="center"/>
    </xf>
    <xf numFmtId="0" fontId="19" fillId="0" borderId="0" xfId="0" applyFont="1" applyAlignment="1">
      <alignment horizontal="left"/>
    </xf>
    <xf numFmtId="43" fontId="19" fillId="0" borderId="0" xfId="6" applyFont="1" applyAlignment="1">
      <alignment horizontal="left" wrapText="1"/>
    </xf>
    <xf numFmtId="0" fontId="17" fillId="17" borderId="11" xfId="0" applyFont="1" applyFill="1" applyBorder="1" applyAlignment="1">
      <alignment horizontal="center"/>
    </xf>
    <xf numFmtId="0" fontId="17" fillId="18" borderId="9" xfId="0" applyFont="1" applyFill="1" applyBorder="1" applyAlignment="1">
      <alignment horizontal="center"/>
    </xf>
  </cellXfs>
  <cellStyles count="7">
    <cellStyle name="Normal" xfId="0" builtinId="0"/>
    <cellStyle name="Percent" xfId="1" builtinId="5"/>
    <cellStyle name="Currency" xfId="2" builtinId="4"/>
    <cellStyle name="Currency [0]" xfId="3" builtinId="7"/>
    <cellStyle name="Comma" xfId="4" builtinId="3"/>
    <cellStyle name="Comma [0]" xfId="5" builtinId="6"/>
    <cellStyle name="Comma 2" xfId="6"/>
  </cellStyles>
  <dxfs count="2">
    <dxf>
      <numFmt numFmtId="177" formatCode="_(* #,##0_);_(* \(#,##0\);_(* &quot;-&quot;??_);_(@_)"/>
    </dxf>
    <dxf>
      <numFmt numFmtId="177" formatCode="_(* #,##0_);_(* \(#,##0\);_(* &quot;-&quot;??_);_(@_)"/>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6" Type="http://schemas.openxmlformats.org/officeDocument/2006/relationships/worksheet" Target="worksheets/sheet3.xml" /><Relationship Id="rId2" Type="http://schemas.openxmlformats.org/officeDocument/2006/relationships/pivotCacheDefinition" Target="pivotCache/pivotCacheDefinition1.xml" /><Relationship Id="rId13" Type="http://schemas.openxmlformats.org/officeDocument/2006/relationships/externalLink" Target="externalLinks/externalLink1.xml" /><Relationship Id="rId9" Type="http://schemas.openxmlformats.org/officeDocument/2006/relationships/worksheet" Target="worksheets/sheet6.xml" /><Relationship Id="rId4" Type="http://schemas.openxmlformats.org/officeDocument/2006/relationships/worksheet" Target="worksheets/sheet1.xml" /><Relationship Id="rId11" Type="http://schemas.openxmlformats.org/officeDocument/2006/relationships/worksheet" Target="worksheets/sheet8.xml" /><Relationship Id="rId14" Type="http://schemas.openxmlformats.org/officeDocument/2006/relationships/calcChain" Target="calcChain.xml" /><Relationship Id="rId8" Type="http://schemas.openxmlformats.org/officeDocument/2006/relationships/worksheet" Target="worksheets/sheet5.xml" /><Relationship Id="rId5" Type="http://schemas.openxmlformats.org/officeDocument/2006/relationships/worksheet" Target="worksheets/sheet2.xml" /><Relationship Id="rId3" Type="http://schemas.openxmlformats.org/officeDocument/2006/relationships/styles" Target="styles.xml" /><Relationship Id="rId12" Type="http://schemas.openxmlformats.org/officeDocument/2006/relationships/sharedStrings" Target="sharedStrings.xml" /><Relationship Id="rId10" Type="http://schemas.openxmlformats.org/officeDocument/2006/relationships/worksheet" Target="worksheets/sheet7.xml" /><Relationship Id="rId1" Type="http://schemas.openxmlformats.org/officeDocument/2006/relationships/theme" Target="theme/theme1.xml" /><Relationship Id="rId7" Type="http://schemas.openxmlformats.org/officeDocument/2006/relationships/worksheet" Target="worksheets/sheet4.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file:///C:\Users\kc\AppData\Local\Microsoft\Windows\Temporary%20Internet%20Files\Content.Outlook\0NQ9EC19\GSTR1%20DEC'17%20DELHI%20FINAL%20(2).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Help Instruction"/>
      <sheetName val="b2b (STN &amp; SERVICE-D)"/>
      <sheetName val="b2cl"/>
      <sheetName val="b2cs DONE FINAL"/>
      <sheetName val="cdnr"/>
      <sheetName val="cdnur"/>
      <sheetName val="exp"/>
      <sheetName val="at"/>
      <sheetName val="atadj"/>
      <sheetName val="exemp LOCAL-D STN-D"/>
      <sheetName val="hsn-D"/>
      <sheetName val="docs-SALE &amp; SERVICE -D"/>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C2" t="str">
            <v>N</v>
          </cell>
          <cell r="F2">
            <v>0</v>
          </cell>
          <cell r="G2" t="str">
            <v>01-Jammu &amp; Kashmir</v>
          </cell>
          <cell r="H2" t="str">
            <v>Regular</v>
          </cell>
        </row>
        <row r="3">
          <cell r="C3" t="str">
            <v>Y</v>
          </cell>
          <cell r="F3">
            <v>0.25</v>
          </cell>
          <cell r="G3" t="str">
            <v>02-Himachal Pradesh</v>
          </cell>
          <cell r="H3" t="str">
            <v>SEZ supplies with payment</v>
          </cell>
        </row>
        <row r="4">
          <cell r="F4">
            <v>3</v>
          </cell>
          <cell r="G4" t="str">
            <v>03-Punjab</v>
          </cell>
          <cell r="H4" t="str">
            <v>SEZ supplies without payment</v>
          </cell>
        </row>
        <row r="5">
          <cell r="F5">
            <v>5</v>
          </cell>
          <cell r="G5" t="str">
            <v>04-Chandigarh</v>
          </cell>
          <cell r="H5" t="str">
            <v>Deemed Exp</v>
          </cell>
        </row>
        <row r="6">
          <cell r="F6">
            <v>12</v>
          </cell>
          <cell r="G6" t="str">
            <v>05-Uttarakhand</v>
          </cell>
        </row>
        <row r="7">
          <cell r="F7">
            <v>18</v>
          </cell>
          <cell r="G7" t="str">
            <v>06-Haryana</v>
          </cell>
        </row>
        <row r="8">
          <cell r="F8">
            <v>28</v>
          </cell>
          <cell r="G8" t="str">
            <v>07-Delhi</v>
          </cell>
        </row>
        <row r="9">
          <cell r="G9" t="str">
            <v>08-Rajasthan</v>
          </cell>
        </row>
        <row r="10">
          <cell r="G10" t="str">
            <v>09-Uttar Pradesh</v>
          </cell>
        </row>
        <row r="11">
          <cell r="G11" t="str">
            <v>10-Bihar</v>
          </cell>
        </row>
        <row r="12">
          <cell r="G12" t="str">
            <v>11-Sikkim</v>
          </cell>
        </row>
        <row r="13">
          <cell r="G13" t="str">
            <v>12-Arunachal Pradesh</v>
          </cell>
        </row>
        <row r="14">
          <cell r="G14" t="str">
            <v>13-Nagaland</v>
          </cell>
        </row>
        <row r="15">
          <cell r="G15" t="str">
            <v>14-Manipur</v>
          </cell>
        </row>
        <row r="16">
          <cell r="G16" t="str">
            <v>15-Mizoram</v>
          </cell>
        </row>
        <row r="17">
          <cell r="G17" t="str">
            <v>16-Tripura</v>
          </cell>
        </row>
        <row r="18">
          <cell r="G18" t="str">
            <v>17-Meghalaya</v>
          </cell>
        </row>
        <row r="19">
          <cell r="G19" t="str">
            <v>18-Assam</v>
          </cell>
        </row>
        <row r="20">
          <cell r="G20" t="str">
            <v>19-West Bengal</v>
          </cell>
        </row>
        <row r="21">
          <cell r="G21" t="str">
            <v>20-Jharkhand</v>
          </cell>
        </row>
        <row r="22">
          <cell r="G22" t="str">
            <v>21-Odisha</v>
          </cell>
        </row>
        <row r="23">
          <cell r="G23" t="str">
            <v>22-Chhattisgarh</v>
          </cell>
        </row>
        <row r="24">
          <cell r="G24" t="str">
            <v>23-Madhya Pradesh</v>
          </cell>
        </row>
        <row r="25">
          <cell r="G25" t="str">
            <v>24-Gujarat</v>
          </cell>
        </row>
        <row r="26">
          <cell r="G26" t="str">
            <v>25-Daman &amp; Diu</v>
          </cell>
        </row>
        <row r="27">
          <cell r="G27" t="str">
            <v>26-Dadra &amp; Nagar Haveli</v>
          </cell>
        </row>
        <row r="28">
          <cell r="G28" t="str">
            <v>27-Maharashtra</v>
          </cell>
        </row>
        <row r="29">
          <cell r="G29" t="str">
            <v>29-Karnataka</v>
          </cell>
        </row>
        <row r="30">
          <cell r="G30" t="str">
            <v>30-Goa</v>
          </cell>
        </row>
        <row r="31">
          <cell r="G31" t="str">
            <v>31-Lakshdweep</v>
          </cell>
        </row>
        <row r="32">
          <cell r="G32" t="str">
            <v>32-Kerala</v>
          </cell>
        </row>
        <row r="33">
          <cell r="G33" t="str">
            <v>33-Tamil Nadu</v>
          </cell>
        </row>
        <row r="34">
          <cell r="G34" t="str">
            <v>34-Pondicherry</v>
          </cell>
        </row>
        <row r="35">
          <cell r="G35" t="str">
            <v>35-Andaman &amp; Nicobar Islands</v>
          </cell>
        </row>
        <row r="36">
          <cell r="G36" t="str">
            <v>36-Telengana</v>
          </cell>
        </row>
        <row r="37">
          <cell r="G37" t="str">
            <v>37-Andhra Pradesh</v>
          </cell>
        </row>
        <row r="38">
          <cell r="G38" t="str">
            <v>97-Other Territory</v>
          </cell>
        </row>
      </sheetData>
    </sheetDataSet>
  </externalBook>
</externalLink>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Chauhan" refreshedDate="46161.48461666667" createdVersion="8" refreshedVersion="8" minRefreshableVersion="3" recordCount="310" xr:uid="{EEDB9617-B1BB-4F2B-8838-501108B5E43D}">
  <cacheSource type="worksheet">
    <worksheetSource ref="A2:BQ312" sheet="Inward"/>
  </cacheSource>
  <cacheFields count="69">
    <cacheField name="Document Type" numFmtId="0">
      <sharedItems/>
    </cacheField>
    <cacheField name="Trx Category" numFmtId="0">
      <sharedItems/>
    </cacheField>
    <cacheField name="Org Id" numFmtId="0">
      <sharedItems containsSemiMixedTypes="0" containsString="0" containsNumber="1" containsInteger="1" minValue="107" maxValue="107"/>
    </cacheField>
    <cacheField name="Rec OU" numFmtId="0">
      <sharedItems/>
    </cacheField>
    <cacheField name="IO Name" numFmtId="0">
      <sharedItems/>
    </cacheField>
    <cacheField name="GST Inv No" numFmtId="0">
      <sharedItems containsBlank="1"/>
    </cacheField>
    <cacheField name="IO Location" numFmtId="0">
      <sharedItems containsBlank="1"/>
    </cacheField>
    <cacheField name="FP REGN" numFmtId="0">
      <sharedItems/>
    </cacheField>
    <cacheField name="ENTITY CODE" numFmtId="0">
      <sharedItems/>
    </cacheField>
    <cacheField name="EVENT TYPE CODE" numFmtId="0">
      <sharedItems/>
    </cacheField>
    <cacheField name="SOURCE" numFmtId="0">
      <sharedItems/>
    </cacheField>
    <cacheField name="TRX TYPE" numFmtId="0">
      <sharedItems/>
    </cacheField>
    <cacheField name="ACCOUNTING DATE" numFmtId="15">
      <sharedItems containsSemiMixedTypes="0" containsNonDate="0" containsDate="1" containsString="0" minDate="2025-10-14T00:00:00" maxDate="2026-05-01T00:00:00"/>
    </cacheField>
    <cacheField name="TRX NUMBER" numFmtId="0">
      <sharedItems containsDate="1" containsMixedTypes="1" minDate="1900-01-01T00:09:04" maxDate="1900-01-03T00:11:05"/>
    </cacheField>
    <cacheField name="TRX ID" numFmtId="0">
      <sharedItems containsSemiMixedTypes="0" containsString="0" containsNumber="1" containsInteger="1" minValue="8854263" maxValue="106636724"/>
    </cacheField>
    <cacheField name="TRX DATE" numFmtId="15">
      <sharedItems containsSemiMixedTypes="0" containsNonDate="0" containsDate="1" containsString="0" minDate="2025-04-02T00:00:00" maxDate="2026-04-18T00:00:00"/>
    </cacheField>
    <cacheField name="PARTY TYPE" numFmtId="0">
      <sharedItems/>
    </cacheField>
    <cacheField name="PARTY NUMBER" numFmtId="0">
      <sharedItems containsSemiMixedTypes="0" containsString="0" containsNumber="1" containsInteger="1" minValue="1224" maxValue="45510"/>
    </cacheField>
    <cacheField name="PARTY NAME" numFmtId="0">
      <sharedItems/>
    </cacheField>
    <cacheField name="PARTY SITE NAME" numFmtId="0">
      <sharedItems/>
    </cacheField>
    <cacheField name="TP REGNNO" numFmtId="0">
      <sharedItems containsBlank="1"/>
    </cacheField>
    <cacheField name="TRX UOM" numFmtId="0">
      <sharedItems containsBlank="1"/>
    </cacheField>
    <cacheField name="MRP" numFmtId="0">
      <sharedItems containsNonDate="0" containsString="0" containsBlank="1"/>
    </cacheField>
    <cacheField name="UNIT PRICE" numFmtId="0">
      <sharedItems containsSemiMixedTypes="0" containsString="0" containsNumber="1" minValue="0" maxValue="8123625"/>
    </cacheField>
    <cacheField name="TRX QTY" numFmtId="0">
      <sharedItems containsSemiMixedTypes="0" containsString="0" containsNumber="1" minValue="0" maxValue="697701"/>
    </cacheField>
    <cacheField name="LINE AMT" numFmtId="0">
      <sharedItems containsSemiMixedTypes="0" containsString="0" containsNumber="1" minValue="-262.9" maxValue="8123625"/>
    </cacheField>
    <cacheField name="REGIME" numFmtId="0">
      <sharedItems/>
    </cacheField>
    <cacheField name="SUPPLIER INVOICE NUM" numFmtId="0">
      <sharedItems containsMixedTypes="1" containsNumber="1" containsInteger="1" minValue="3" maxValue="7026000049"/>
    </cacheField>
    <cacheField name="SUPPLIER INVOICE DATE" numFmtId="15">
      <sharedItems containsSemiMixedTypes="0" containsNonDate="0" containsDate="1" containsString="0" minDate="2025-04-02T00:00:00" maxDate="2026-04-18T00:00:00"/>
    </cacheField>
    <cacheField name="ITEM CODE" numFmtId="0">
      <sharedItems containsBlank="1"/>
    </cacheField>
    <cacheField name="HSN/SACCODE" numFmtId="0">
      <sharedItems containsSemiMixedTypes="0" containsString="0" containsNumber="1" containsInteger="1" minValue="3808" maxValue="87089900"/>
    </cacheField>
    <cacheField name="ITEM DES" numFmtId="0">
      <sharedItems/>
    </cacheField>
    <cacheField name="NCCD" numFmtId="0">
      <sharedItems containsNonDate="0" containsString="0" containsBlank="1"/>
    </cacheField>
    <cacheField name="BED/CVD" numFmtId="0">
      <sharedItems containsNonDate="0" containsString="0" containsBlank="1"/>
    </cacheField>
    <cacheField name="GST TAXABLE AMT" numFmtId="0">
      <sharedItems containsSemiMixedTypes="0" containsString="0" containsNumber="1" minValue="-262.9" maxValue="8123625"/>
    </cacheField>
    <cacheField name="TAX TYPE" numFmtId="0">
      <sharedItems containsBlank="1"/>
    </cacheField>
    <cacheField name="GST TAX RATE" numFmtId="0">
      <sharedItems containsSemiMixedTypes="0" containsString="0" containsNumber="1" containsInteger="1" minValue="5" maxValue="18"/>
    </cacheField>
    <cacheField name="SGST" numFmtId="0">
      <sharedItems containsSemiMixedTypes="0" containsString="0" containsNumber="1" minValue="-188.9" maxValue="731126.25"/>
    </cacheField>
    <cacheField name="CGST" numFmtId="0">
      <sharedItems containsSemiMixedTypes="0" containsString="0" containsNumber="1" minValue="-188.9" maxValue="731126.25"/>
    </cacheField>
    <cacheField name="IGST" numFmtId="0">
      <sharedItems containsSemiMixedTypes="0" containsString="0" containsNumber="1" minValue="0" maxValue="40249.44"/>
    </cacheField>
    <cacheField name="IGST IMPORT" numFmtId="0">
      <sharedItems containsSemiMixedTypes="0" containsString="0" containsNumber="1" containsInteger="1" minValue="0" maxValue="0"/>
    </cacheField>
    <cacheField name="UTGST" numFmtId="0">
      <sharedItems containsSemiMixedTypes="0" containsString="0" containsNumber="1" containsInteger="1" minValue="0" maxValue="0"/>
    </cacheField>
    <cacheField name="CESS1 RATE" numFmtId="0">
      <sharedItems containsSemiMixedTypes="0" containsString="0" containsNumber="1" containsInteger="1" minValue="0" maxValue="0"/>
    </cacheField>
    <cacheField name="CESS1" numFmtId="0">
      <sharedItems containsSemiMixedTypes="0" containsString="0" containsNumber="1" containsInteger="1" minValue="0" maxValue="0"/>
    </cacheField>
    <cacheField name="CESS2 RATE" numFmtId="0">
      <sharedItems containsSemiMixedTypes="0" containsString="0" containsNumber="1" containsInteger="1" minValue="0" maxValue="0"/>
    </cacheField>
    <cacheField name="CESS2" numFmtId="0">
      <sharedItems containsSemiMixedTypes="0" containsString="0" containsNumber="1" containsInteger="1" minValue="0" maxValue="0"/>
    </cacheField>
    <cacheField name="TCS RATE/ADHOC" numFmtId="0">
      <sharedItems containsNonDate="0" containsString="0" containsBlank="1"/>
    </cacheField>
    <cacheField name="TCS AMOUNT" numFmtId="0">
      <sharedItems containsNonDate="0" containsString="0" containsBlank="1"/>
    </cacheField>
    <cacheField name="OTHER TAX" numFmtId="0">
      <sharedItems containsSemiMixedTypes="0" containsString="0" containsNumber="1" containsInteger="1" minValue="0" maxValue="0"/>
    </cacheField>
    <cacheField name="TOTAL INVOICE AMOUNT" numFmtId="0">
      <sharedItems containsSemiMixedTypes="0" containsString="0" containsNumber="1" minValue="-377.8" maxValue="9585877.5"/>
    </cacheField>
    <cacheField name="TRX REC" numFmtId="0">
      <sharedItems/>
    </cacheField>
    <cacheField name="TRX SELF" numFmtId="0">
      <sharedItems/>
    </cacheField>
    <cacheField name="EXPENSE" numFmtId="0">
      <sharedItems/>
    </cacheField>
    <cacheField name="VOUCHARNO" numFmtId="0">
      <sharedItems containsString="0" containsBlank="1" containsNumber="1" containsInteger="1" minValue="1125108407" maxValue="1126100570"/>
    </cacheField>
    <cacheField name="TAX CATEGORY" numFmtId="0">
      <sharedItems containsBlank="1"/>
    </cacheField>
    <cacheField name="ITC CATEGORY" numFmtId="0">
      <sharedItems containsBlank="1"/>
    </cacheField>
    <cacheField name="Custom BOE No" numFmtId="0">
      <sharedItems containsNonDate="0" containsString="0" containsBlank="1"/>
    </cacheField>
    <cacheField name="Custom BOE Date" numFmtId="0">
      <sharedItems count="4">
        <s v="Fwd Non Rec"/>
        <s v="Fwd Rec"/>
        <s v="RCM Rec"/>
        <s v="RCM Non Rec"/>
      </sharedItems>
    </cacheField>
    <cacheField name="Port Code" numFmtId="0">
      <sharedItems count="3">
        <s v="Fwd - Matched"/>
        <s v="RCM-Not Matched"/>
        <s v="RCM-Matched" u="1"/>
      </sharedItems>
    </cacheField>
    <cacheField name="IRN Status" numFmtId="0">
      <sharedItems/>
    </cacheField>
    <cacheField name="State Code" numFmtId="0">
      <sharedItems/>
    </cacheField>
    <cacheField name="State Name" numFmtId="0">
      <sharedItems/>
    </cacheField>
    <cacheField name="GSTIN &amp; INV" numFmtId="0">
      <sharedItems/>
    </cacheField>
    <cacheField name="Total Tax" numFmtId="0">
      <sharedItems containsSemiMixedTypes="0" containsString="0" containsNumber="1" minValue="-377.8" maxValue="1462252.5"/>
    </cacheField>
    <cacheField name="V-Lookuop" numFmtId="0">
      <sharedItems containsMixedTypes="1" containsNumber="1" minValue="-378" maxValue="1462252"/>
    </cacheField>
    <cacheField name="Diff" numFmtId="0">
      <sharedItems containsMixedTypes="1" containsNumber="1" containsInteger="1" minValue="-38133" maxValue="174"/>
    </cacheField>
    <cacheField name="Remark" numFmtId="0">
      <sharedItems/>
    </cacheField>
    <cacheField name="TRX ID2" numFmtId="0">
      <sharedItems containsSemiMixedTypes="0" containsString="0" containsNumber="1" containsInteger="1" minValue="8854263" maxValue="106636724"/>
    </cacheField>
    <cacheField name="ITC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0">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44"/>
    <n v="12100"/>
    <s v="GST_India"/>
    <s v="DFSI2600000412"/>
    <d v="2026-04-09T00:00:00.000"/>
    <s v="BUDMINTIND"/>
    <n v="996200"/>
    <s v="INTERIOR BEAUTIFICATION AND ENRICHMENT"/>
    <m/>
    <m/>
    <n v="12100"/>
    <s v="Normal"/>
    <n v="18"/>
    <n v="0"/>
    <n v="0"/>
    <n v="2178"/>
    <n v="0"/>
    <n v="0"/>
    <n v="0"/>
    <n v="0"/>
    <n v="0"/>
    <n v="0"/>
    <m/>
    <m/>
    <n v="0"/>
    <n v="14278"/>
    <s v="N"/>
    <s v="N"/>
    <s v="11.7100.111.414301.1011.111636.0007.000000.000000.00000000"/>
    <n v="1126100105"/>
    <s v="HO_INTER-STATE_OTH_NON_REC_18%"/>
    <s v="INPUT_TDS_194C"/>
    <m/>
    <x v="0"/>
    <x v="0"/>
    <s v="Yes"/>
    <s v="07"/>
    <s v="Delhi"/>
    <s v="06AAGCD4246E1ZXDFSI2600000412"/>
    <n v="2178"/>
    <n v="38182.88"/>
    <n v="-36005"/>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1031.36"/>
    <n v="8"/>
    <n v="8250.88"/>
    <s v="GST_India"/>
    <s v="DFSI2600000412"/>
    <d v="2026-04-09T00:00:00.000"/>
    <s v="BUDMINTIND"/>
    <n v="34029099"/>
    <s v="OZONIZER"/>
    <m/>
    <m/>
    <n v="8250.88"/>
    <s v="Normal"/>
    <n v="18"/>
    <n v="0"/>
    <n v="0"/>
    <n v="1485.16"/>
    <n v="0"/>
    <n v="0"/>
    <n v="0"/>
    <n v="0"/>
    <n v="0"/>
    <n v="0"/>
    <m/>
    <m/>
    <n v="0"/>
    <n v="9736.04"/>
    <s v="N"/>
    <s v="N"/>
    <s v="11.7100.111.414301.1011.111636.0007.000000.000000.00000000"/>
    <n v="1126100105"/>
    <s v="HO_INTER-STATE_OTH_NON_REC_18%"/>
    <s v="INPUT_TDS_194C"/>
    <m/>
    <x v="0"/>
    <x v="0"/>
    <s v="Yes"/>
    <s v="07"/>
    <s v="Delhi"/>
    <s v="06AAGCD4246E1ZXDFSI2600000412"/>
    <n v="1485.16"/>
    <n v="38182.88"/>
    <n v="-36698"/>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64"/>
    <n v="17600"/>
    <s v="GST_India"/>
    <s v="DFSI2600000751"/>
    <d v="2026-04-17T00:00:00.000"/>
    <s v="BUDMINTIND"/>
    <n v="998729"/>
    <s v="MECH CARE"/>
    <m/>
    <m/>
    <n v="17600"/>
    <s v="Normal"/>
    <n v="18"/>
    <n v="0"/>
    <n v="0"/>
    <n v="3168"/>
    <n v="0"/>
    <n v="0"/>
    <n v="0"/>
    <n v="0"/>
    <n v="0"/>
    <n v="0"/>
    <m/>
    <m/>
    <n v="0"/>
    <n v="20768"/>
    <s v="N"/>
    <s v="N"/>
    <s v="11.7100.111.414301.1000.100007.0007.000000.000000.00000000"/>
    <n v="1126100446"/>
    <s v="HO_INTER-STATE_OTH_NON_REC_18%"/>
    <s v="INPUT_TDS_194C"/>
    <m/>
    <x v="0"/>
    <x v="0"/>
    <s v="Yes"/>
    <s v="07"/>
    <s v="Delhi"/>
    <s v="06AAGCD4246E1ZXDFSI2600000751"/>
    <n v="3168"/>
    <n v="36494.74"/>
    <n v="-33327"/>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3199"/>
    <n v="3199"/>
    <s v="GST_India"/>
    <s v="MF2707I000063444"/>
    <d v="2026-04-03T00:00:00.000"/>
    <s v="MISCELLENS"/>
    <n v="998413"/>
    <s v="AIRTEL MOBILE BILLS FOR THE MONTH OF MAR 2026"/>
    <m/>
    <m/>
    <n v="3199"/>
    <s v="Normal"/>
    <n v="18"/>
    <n v="287.91"/>
    <n v="287.91"/>
    <n v="0"/>
    <n v="0"/>
    <n v="0"/>
    <n v="0"/>
    <n v="0"/>
    <n v="0"/>
    <n v="0"/>
    <m/>
    <m/>
    <n v="0"/>
    <n v="3774.82"/>
    <s v="Y"/>
    <s v="N"/>
    <s v="11.7100.111.420803.1000.000000.0007.000000.000000.00000000"/>
    <n v="1126100078"/>
    <s v="HO_INTRA-STATE_OTH_REC_18%"/>
    <s v="INPUT_SERVICE"/>
    <m/>
    <x v="1"/>
    <x v="0"/>
    <s v="Yes"/>
    <s v="07"/>
    <s v="Delhi"/>
    <s v="07AAACB2894G1ZPMF2707I000063444"/>
    <n v="575.82"/>
    <n v="8534.42"/>
    <n v="-7959"/>
    <s v="Matched"/>
    <n v="9156749"/>
    <s v="Fwd Rec"/>
  </r>
  <r>
    <s v="Payable Invoice"/>
    <s v="AP_INVOICE "/>
    <n v="107"/>
    <s v="Godfrey_Phillips_India_Limited_HO"/>
    <s v="GPIL_HO_New_Delhi(Services)"/>
    <m/>
    <m/>
    <s v="07AABCG4768K1Z9"/>
    <s v="AP_INVOICES"/>
    <s v="STANDARD VALIDATED TAX"/>
    <s v="IA"/>
    <s v="STANDARD"/>
    <d v="2026-04-14T00:00:00.000"/>
    <s v="DLS2627000000593"/>
    <n v="9155613"/>
    <d v="2026-04-02T00:00:00.000"/>
    <s v="Supplier"/>
    <n v="2770"/>
    <s v="CANON INDIA PVT. LTD."/>
    <s v="OKHLA"/>
    <s v="07AAACC4175D1Z0"/>
    <s v="NOS"/>
    <m/>
    <n v="1"/>
    <n v="2.8"/>
    <n v="2.8"/>
    <s v="GST_India"/>
    <s v="DLS2627000000593"/>
    <d v="2026-04-02T00:00:00.000"/>
    <s v="MISCELLENS"/>
    <n v="84439952"/>
    <s v="Supply of Tonernnk Spares along with Support Services"/>
    <m/>
    <m/>
    <n v="2.8"/>
    <s v="Normal"/>
    <n v="18"/>
    <n v="0.25"/>
    <n v="0.25"/>
    <n v="0"/>
    <n v="0"/>
    <n v="0"/>
    <n v="0"/>
    <n v="0"/>
    <n v="0"/>
    <n v="0"/>
    <m/>
    <m/>
    <n v="0"/>
    <n v="3.3"/>
    <s v="Y"/>
    <s v="N"/>
    <s v="11.7100.111.234010.0000.000000.0007.000000.000000.00000000"/>
    <n v="1126100063"/>
    <s v="HO_INTRA-STATE_OTH_REC_18%"/>
    <s v="INPUT_SERVICE"/>
    <m/>
    <x v="1"/>
    <x v="0"/>
    <s v="Yes"/>
    <s v="07"/>
    <s v="Delhi"/>
    <s v="07AAACC4175D1Z0DLS2627000000593"/>
    <n v="0.5"/>
    <n v="5381.62"/>
    <n v="-5381"/>
    <s v="Matched"/>
    <n v="9155613"/>
    <s v="Fwd Rec"/>
  </r>
  <r>
    <s v="Payable Invoice"/>
    <s v="AP_INVOICE "/>
    <n v="107"/>
    <s v="Godfrey_Phillips_India_Limited_HO"/>
    <s v="GPIL_HO_New_Delhi(Services)"/>
    <m/>
    <m/>
    <s v="07AABCG4768K1Z9"/>
    <s v="AP_INVOICES"/>
    <s v="STANDARD VALIDATED TAX"/>
    <s v="IA"/>
    <s v="STANDARD"/>
    <d v="2026-04-21T00:00:00.000"/>
    <s v="LKS01-2627-00147"/>
    <n v="9164641"/>
    <d v="2026-04-10T00:00:00.000"/>
    <s v="Supplier"/>
    <n v="3539"/>
    <s v="LAKSHMI KUMARAN AND SRIDHARAN"/>
    <s v="NEW DELHI"/>
    <s v="07AAAFL1585H1ZD"/>
    <s v="NOS"/>
    <m/>
    <n v="40000"/>
    <n v="1"/>
    <n v="40000"/>
    <s v="GST_India"/>
    <s v="LKS01-2627-00147"/>
    <d v="2026-04-10T00:00:00.000"/>
    <m/>
    <n v="998212"/>
    <s v="Towards professional fee for legal advice on the applicability of BIS- and EPR-related compliances to imports of primary AA and AAA alkaline batteries."/>
    <m/>
    <m/>
    <n v="40000"/>
    <s v="Normal"/>
    <n v="18"/>
    <n v="3600"/>
    <n v="3600"/>
    <n v="0"/>
    <n v="0"/>
    <n v="0"/>
    <n v="0"/>
    <n v="0"/>
    <n v="0"/>
    <n v="0"/>
    <m/>
    <m/>
    <n v="0"/>
    <n v="47200"/>
    <s v="Y"/>
    <s v="Y"/>
    <s v="11.7100.111.416001.1009.000000.0007.000000.000000.00000000"/>
    <n v="1126100302"/>
    <s v="HO_REV_CHARGE_REC_18%"/>
    <s v="INPUT_SERVICE"/>
    <m/>
    <x v="2"/>
    <x v="1"/>
    <s v="Yes"/>
    <s v="07"/>
    <s v="Delhi"/>
    <s v="07AAAFL1585H1ZDLKS01-2627-001470"/>
    <n v="7200"/>
    <e v="#N/A"/>
    <e v="#N/A"/>
    <s v="RCM"/>
    <n v="9164641"/>
    <s v="RCM Rec"/>
  </r>
  <r>
    <s v="Payable Invoice"/>
    <s v="AP_INVOICE "/>
    <n v="107"/>
    <s v="Godfrey_Phillips_India_Limited_HO"/>
    <s v="GPIL_HO_New_Delhi(Services)"/>
    <m/>
    <m/>
    <s v="07AABCG4768K1Z9"/>
    <s v="AP_INVOICES"/>
    <s v="STANDARD VALIDATED TAX"/>
    <s v="IA"/>
    <s v="STANDARD"/>
    <d v="2026-04-24T00:00:00.000"/>
    <s v="SME/26-27/98"/>
    <n v="9168298"/>
    <d v="2026-04-15T00:00:00.000"/>
    <s v="Supplier"/>
    <n v="3484"/>
    <s v="SREE MAHAVIR ENTERPRISES"/>
    <s v="NEW DELHI"/>
    <s v="07AAOFS6787Q1ZV"/>
    <s v="NOS"/>
    <m/>
    <n v="5000"/>
    <n v="1"/>
    <n v="5000"/>
    <s v="GST_India"/>
    <s v="SME/26-27/98"/>
    <d v="2026-04-15T00:00:00.000"/>
    <s v="BUDMINTIND"/>
    <n v="998716"/>
    <s v="Annual Maintainance Contract No. NEC SL2100 (38) EPABX System 2 Nos. Key Phone Period 01.04.2026 to 31.03.2027"/>
    <m/>
    <m/>
    <n v="5000"/>
    <s v="Normal"/>
    <n v="18"/>
    <n v="450"/>
    <n v="450"/>
    <n v="0"/>
    <n v="0"/>
    <n v="0"/>
    <n v="0"/>
    <n v="0"/>
    <n v="0"/>
    <n v="0"/>
    <m/>
    <m/>
    <n v="0"/>
    <n v="5900"/>
    <s v="Y"/>
    <s v="N"/>
    <s v="11.7100.111.414401.1010.000000.0007.000000.000000.00000000"/>
    <n v="1126100391"/>
    <s v="HO_INTRA-STATE_OTH_REC_18%"/>
    <s v="INPUT_SERVICE"/>
    <m/>
    <x v="1"/>
    <x v="0"/>
    <s v="Yes"/>
    <s v="07"/>
    <s v="Delhi"/>
    <s v="07AAOFS6787Q1ZVSME/26-27/98"/>
    <n v="900"/>
    <n v="900"/>
    <n v="0"/>
    <s v="Matched"/>
    <n v="9168298"/>
    <s v="Fwd Rec"/>
  </r>
  <r>
    <s v="Payable Invoice"/>
    <s v="AP_INVOICE "/>
    <n v="107"/>
    <s v="Godfrey_Phillips_India_Limited_HO"/>
    <s v="GPIL_HO_New_Delhi(Services)"/>
    <m/>
    <m/>
    <s v="07AABCG4768K1Z9"/>
    <s v="AP_INVOICES"/>
    <s v="STANDARD VALIDATED TAX"/>
    <s v="Manual Invoice Entry"/>
    <s v="STANDARD"/>
    <d v="2026-04-30T00:00:00.000"/>
    <s v="GLMS0000059723"/>
    <n v="9178440"/>
    <d v="2026-03-08T00:00:00.000"/>
    <s v="Supplier"/>
    <n v="40270"/>
    <s v="TATA AIA LIFE INSURANCE COMPANY LIMITED"/>
    <s v="Thane"/>
    <s v="27AABCT3784C1ZD"/>
    <m/>
    <m/>
    <n v="0"/>
    <n v="0"/>
    <n v="1964.52"/>
    <s v="GST_India"/>
    <s v="GLMS000000059723"/>
    <d v="2026-03-08T00:00:00.000"/>
    <m/>
    <n v="9971"/>
    <s v="GTIL Policy Deletion of Members for the m/o Feb 2026"/>
    <m/>
    <m/>
    <n v="1964.52"/>
    <s v="Normal"/>
    <n v="18"/>
    <n v="0"/>
    <n v="0"/>
    <n v="353.61"/>
    <n v="0"/>
    <n v="0"/>
    <n v="0"/>
    <n v="0"/>
    <n v="0"/>
    <n v="0"/>
    <m/>
    <m/>
    <n v="0"/>
    <n v="2318.13"/>
    <s v="N"/>
    <s v="N"/>
    <s v="11.7100.111.234010.0000.000000.0007.000000.000000.00000000"/>
    <n v="1126100570"/>
    <s v="HO_INTER-STATE_OTH_NON_REC_18%"/>
    <s v="INPUT_SERVICE"/>
    <m/>
    <x v="0"/>
    <x v="0"/>
    <s v="No"/>
    <s v="07"/>
    <s v="Delhi"/>
    <s v="27AABCT3784C1ZDGLMS000000059723"/>
    <n v="353.61"/>
    <n v="353.61"/>
    <n v="0"/>
    <s v="Matched"/>
    <n v="9178440"/>
    <s v="Fwd Non Rec"/>
  </r>
  <r>
    <s v="Payable Invoice"/>
    <s v="AP_INVOICE "/>
    <n v="107"/>
    <s v="Godfrey_Phillips_India_Limited_HO"/>
    <s v="GPIL_HO_New_Delhi(Services)"/>
    <m/>
    <m/>
    <s v="07AABCG4768K1Z9"/>
    <s v="AP_INVOICES"/>
    <s v="STANDARD VALIDATED TAX"/>
    <s v="IA"/>
    <s v="STANDARD"/>
    <d v="2026-04-14T00:00:00.000"/>
    <s v="DLS2627000000653"/>
    <n v="9155610"/>
    <d v="2026-04-02T00:00:00.000"/>
    <s v="Supplier"/>
    <n v="2770"/>
    <s v="CANON INDIA PVT. LTD."/>
    <s v="OKHLA"/>
    <s v="07AAACC4175D1Z0"/>
    <s v="NOS"/>
    <m/>
    <n v="1"/>
    <n v="275"/>
    <n v="275"/>
    <s v="GST_India"/>
    <s v="DLS2627000000653"/>
    <d v="2026-04-02T00:00:00.000"/>
    <s v="MISCELLENS"/>
    <n v="84439952"/>
    <s v="Supply of Toner ink and Spares along with Support Services"/>
    <m/>
    <m/>
    <n v="275"/>
    <s v="Normal"/>
    <n v="18"/>
    <n v="24.75"/>
    <n v="24.75"/>
    <n v="0"/>
    <n v="0"/>
    <n v="0"/>
    <n v="0"/>
    <n v="0"/>
    <n v="0"/>
    <n v="0"/>
    <m/>
    <m/>
    <n v="0"/>
    <n v="324.5"/>
    <s v="Y"/>
    <s v="N"/>
    <s v="11.7100.111.234010.0000.000000.0007.000000.000000.00000000"/>
    <n v="1126100060"/>
    <s v="HO_INTRA-STATE_OTH_REC_18%"/>
    <s v="INPUT_SERVICE"/>
    <m/>
    <x v="1"/>
    <x v="0"/>
    <s v="Yes"/>
    <s v="07"/>
    <s v="Delhi"/>
    <s v="07AAACC4175D1Z0DLS2627000000653"/>
    <n v="49.5"/>
    <n v="489.18"/>
    <n v="-440"/>
    <s v="Matched"/>
    <n v="9155610"/>
    <s v="Fwd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24"/>
    <n v="6600"/>
    <s v="GST_India"/>
    <s v="DFSI2600000751"/>
    <d v="2026-04-17T00:00:00.000"/>
    <s v="BUDMINTIND"/>
    <n v="996200"/>
    <s v="SURFACE REFINEMENT"/>
    <m/>
    <m/>
    <n v="6600"/>
    <s v="Normal"/>
    <n v="18"/>
    <n v="0"/>
    <n v="0"/>
    <n v="1188"/>
    <n v="0"/>
    <n v="0"/>
    <n v="0"/>
    <n v="0"/>
    <n v="0"/>
    <n v="0"/>
    <m/>
    <m/>
    <n v="0"/>
    <n v="7788"/>
    <s v="N"/>
    <s v="N"/>
    <s v="11.7100.111.414301.1000.100007.0007.000000.000000.00000000"/>
    <n v="1126100446"/>
    <s v="HO_INTER-STATE_OTH_NON_REC_18%"/>
    <s v="INPUT_TDS_194C"/>
    <m/>
    <x v="0"/>
    <x v="0"/>
    <s v="Yes"/>
    <s v="07"/>
    <s v="Delhi"/>
    <s v="06AAGCD4246E1ZXDFSI2600000751"/>
    <n v="1188"/>
    <n v="36494.74"/>
    <n v="-35307"/>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297"/>
    <n v="1297"/>
    <s v="GST_India"/>
    <s v="MF2707I000063444"/>
    <d v="2026-04-03T00:00:00.000"/>
    <s v="MISCELLENS"/>
    <n v="998413"/>
    <s v="AIRTEL MOBILE BILLS FOR THE MONTH OF MAR 2026"/>
    <m/>
    <m/>
    <n v="1297"/>
    <s v="Normal"/>
    <n v="18"/>
    <n v="116.73"/>
    <n v="116.73"/>
    <n v="0"/>
    <n v="0"/>
    <n v="0"/>
    <n v="0"/>
    <n v="0"/>
    <n v="0"/>
    <n v="0"/>
    <m/>
    <m/>
    <n v="0"/>
    <n v="1530.46"/>
    <s v="Y"/>
    <s v="N"/>
    <s v="11.7100.111.420803.1000.000000.0007.000000.000000.00000000"/>
    <n v="1126100078"/>
    <s v="HO_INTRA-STATE_OTH_REC_18%"/>
    <s v="INPUT_SERVICE"/>
    <m/>
    <x v="1"/>
    <x v="0"/>
    <s v="Yes"/>
    <s v="07"/>
    <s v="Delhi"/>
    <s v="07AAACB2894G1ZPMF2707I000063444"/>
    <n v="233.46"/>
    <n v="8534.42"/>
    <n v="-8301"/>
    <s v="Matched"/>
    <n v="9156749"/>
    <s v="Fwd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399"/>
    <n v="399"/>
    <s v="GST_India"/>
    <s v="MF2707I000063444"/>
    <d v="2026-04-03T00:00:00.000"/>
    <s v="MISCELLENS"/>
    <n v="998413"/>
    <s v="AIRTEL MOBILE BILLS FOR THE MONTH OF MAR 2026"/>
    <m/>
    <m/>
    <n v="399"/>
    <s v="Normal"/>
    <n v="18"/>
    <n v="35.91"/>
    <n v="35.91"/>
    <n v="0"/>
    <n v="0"/>
    <n v="0"/>
    <n v="0"/>
    <n v="0"/>
    <n v="0"/>
    <n v="0"/>
    <m/>
    <m/>
    <n v="0"/>
    <n v="470.82"/>
    <s v="Y"/>
    <s v="N"/>
    <s v="11.7100.111.420803.1000.000000.0007.000000.000000.00000000"/>
    <n v="1126100078"/>
    <s v="HO_INTRA-STATE_OTH_REC_18%"/>
    <s v="INPUT_SERVICE"/>
    <m/>
    <x v="1"/>
    <x v="0"/>
    <s v="Yes"/>
    <s v="07"/>
    <s v="Delhi"/>
    <s v="07AAACB2894G1ZPMF2707I000063444"/>
    <n v="71.82"/>
    <n v="8534.42"/>
    <n v="-8463"/>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100"/>
    <n v="1"/>
    <n v="100"/>
    <s v="GST_India"/>
    <s v="TXA26-00607"/>
    <d v="2026-04-17T00:00:00.000"/>
    <s v="BUDMINTIND"/>
    <n v="84212300"/>
    <s v="FILTER ASSY OIL"/>
    <m/>
    <m/>
    <n v="100"/>
    <s v="Normal"/>
    <n v="18"/>
    <n v="9"/>
    <n v="9"/>
    <n v="0"/>
    <n v="0"/>
    <n v="0"/>
    <n v="0"/>
    <n v="0"/>
    <n v="0"/>
    <n v="0"/>
    <m/>
    <m/>
    <n v="0"/>
    <n v="118"/>
    <s v="N"/>
    <s v="N"/>
    <s v="11.7100.111.414301.1009.110908.0007.000000.000000.00000000"/>
    <n v="1126100447"/>
    <s v="HO_INTRA-STATE_OTH_NON_REC_18%"/>
    <s v="INPUT_TDS_194C"/>
    <m/>
    <x v="0"/>
    <x v="0"/>
    <s v="Yes"/>
    <s v="07"/>
    <s v="Delhi"/>
    <s v="07AANCS0651B1ZMTXA26-00607"/>
    <n v="18"/>
    <n v="2435.38"/>
    <n v="-2417"/>
    <s v="Matched"/>
    <n v="9175014"/>
    <s v="Fwd Non Rec"/>
  </r>
  <r>
    <s v="Payable Invoice"/>
    <s v="AP_INVOICE "/>
    <n v="107"/>
    <s v="Godfrey_Phillips_India_Limited_HO"/>
    <s v="GPIL_HO_New_Delhi(Services)"/>
    <m/>
    <m/>
    <s v="07AABCG4768K1Z9"/>
    <s v="AP_INVOICES"/>
    <s v="STANDARD VALIDATED TAX"/>
    <s v="IA"/>
    <s v="STANDARD"/>
    <d v="2026-04-13T00:00:00.000"/>
    <s v="SQUA/27/T000001"/>
    <n v="9151136"/>
    <d v="2026-04-01T00:00:00.000"/>
    <s v="Supplier"/>
    <n v="25119"/>
    <s v="SHANVI ESTATE MANAGEMENT SERVICES PRIVATE LIMITED"/>
    <s v="NEW DELHI"/>
    <s v="07AAJCS4628Q1ZM"/>
    <s v="NOS"/>
    <m/>
    <n v="792000"/>
    <n v="1"/>
    <n v="792000"/>
    <s v="GST_India"/>
    <s v="SQUA/27/T000001"/>
    <d v="2026-04-01T00:00:00.000"/>
    <s v="BUDMINTIND"/>
    <n v="997221"/>
    <s v="MAINTENANCE CHARGES"/>
    <m/>
    <m/>
    <n v="792000"/>
    <s v="Normal"/>
    <n v="18"/>
    <n v="71280"/>
    <n v="71280"/>
    <n v="0"/>
    <n v="0"/>
    <n v="0"/>
    <n v="0"/>
    <n v="0"/>
    <n v="0"/>
    <n v="0"/>
    <m/>
    <m/>
    <n v="0"/>
    <n v="934560"/>
    <s v="Y"/>
    <s v="N"/>
    <s v="11.7100.111.413703.1010.000000.0007.000000.000000.00000000"/>
    <n v="1126100026"/>
    <s v="HO_INTRA-STATE_OTH_REC_18%"/>
    <s v="INPUT_SERVICE"/>
    <m/>
    <x v="1"/>
    <x v="0"/>
    <s v="Yes"/>
    <s v="07"/>
    <s v="Delhi"/>
    <s v="07AAJCS4628Q1ZMSQUA/27/T000001"/>
    <n v="142560"/>
    <n v="142560"/>
    <n v="0"/>
    <s v="Matched"/>
    <n v="9151136"/>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8"/>
    <n v="10450"/>
    <s v="GST_India"/>
    <s v="DFSI2600000412"/>
    <d v="2026-04-09T00:00:00.000"/>
    <s v="BUDMINTIND"/>
    <n v="998700"/>
    <s v="COMBO 2"/>
    <m/>
    <m/>
    <n v="10450"/>
    <s v="Normal"/>
    <n v="18"/>
    <n v="0"/>
    <n v="0"/>
    <n v="1881"/>
    <n v="0"/>
    <n v="0"/>
    <n v="0"/>
    <n v="0"/>
    <n v="0"/>
    <n v="0"/>
    <m/>
    <m/>
    <n v="0"/>
    <n v="12331"/>
    <s v="N"/>
    <s v="N"/>
    <s v="11.7100.111.414301.1011.111636.0007.000000.000000.00000000"/>
    <n v="1126100105"/>
    <s v="HO_INTER-STATE_OTH_NON_REC_18%"/>
    <s v="INPUT_TDS_194C"/>
    <m/>
    <x v="0"/>
    <x v="0"/>
    <s v="Yes"/>
    <s v="07"/>
    <s v="Delhi"/>
    <s v="06AAGCD4246E1ZXDFSI2600000412"/>
    <n v="1881"/>
    <n v="38182.88"/>
    <n v="-36302"/>
    <s v="Matched"/>
    <n v="9158398"/>
    <s v="Fwd Non Rec"/>
  </r>
  <r>
    <s v="Payable Invoice"/>
    <s v="AP_INVOICE "/>
    <n v="107"/>
    <s v="Godfrey_Phillips_India_Limited_HO"/>
    <s v="GPIL_HO_New_Delhi(Services)"/>
    <m/>
    <m/>
    <s v="07AABCG4768K1Z9"/>
    <s v="AP_INVOICES"/>
    <s v="STANDARD VALIDATED TAX"/>
    <s v="IA"/>
    <s v="STANDARD"/>
    <d v="2026-04-14T00:00:00.000"/>
    <s v="DLS2627000000590"/>
    <n v="9155609"/>
    <d v="2026-04-02T00:00:00.000"/>
    <s v="Supplier"/>
    <n v="2770"/>
    <s v="CANON INDIA PVT. LTD."/>
    <s v="OKHLA"/>
    <s v="07AAACC4175D1Z0"/>
    <s v="NOS"/>
    <m/>
    <n v="1"/>
    <n v="1.6"/>
    <n v="1.6"/>
    <s v="GST_India"/>
    <s v="DLS2627000000590"/>
    <d v="2026-04-02T00:00:00.000"/>
    <s v="MISCELLENS"/>
    <n v="84439952"/>
    <s v="Supply of Tonerink and Spares along with Support Services"/>
    <m/>
    <m/>
    <n v="1.6"/>
    <s v="Normal"/>
    <n v="18"/>
    <n v="0.14"/>
    <n v="0.14"/>
    <n v="0"/>
    <n v="0"/>
    <n v="0"/>
    <n v="0"/>
    <n v="0"/>
    <n v="0"/>
    <n v="0"/>
    <m/>
    <m/>
    <n v="0"/>
    <n v="1.88"/>
    <s v="Y"/>
    <s v="N"/>
    <s v="11.7100.111.234010.0000.000000.0007.000000.000000.00000000"/>
    <n v="1126100059"/>
    <s v="HO_INTRA-STATE_OTH_REC_18%"/>
    <s v="INPUT_SERVICE"/>
    <m/>
    <x v="1"/>
    <x v="0"/>
    <s v="Yes"/>
    <s v="07"/>
    <s v="Delhi"/>
    <s v="07AAACC4175D1Z0DLS2627000000590"/>
    <n v="0.28"/>
    <n v="1420.5"/>
    <n v="-1420"/>
    <s v="Matched"/>
    <n v="9155609"/>
    <s v="Fwd Rec"/>
  </r>
  <r>
    <s v="Payable Invoice"/>
    <s v="AP_INVOICE "/>
    <n v="107"/>
    <s v="Godfrey_Phillips_India_Limited_HO"/>
    <s v="GPIL_HO_New_Delhi(Services)"/>
    <m/>
    <m/>
    <s v="07AABCG4768K1Z9"/>
    <s v="AP_INVOICES"/>
    <s v="STANDARD VALIDATED TAX"/>
    <s v="IA"/>
    <s v="STANDARD"/>
    <d v="2026-04-14T00:00:00.000"/>
    <s v="DLS2627000000593"/>
    <n v="9155613"/>
    <d v="2026-04-02T00:00:00.000"/>
    <s v="Supplier"/>
    <n v="2770"/>
    <s v="CANON INDIA PVT. LTD."/>
    <s v="OKHLA"/>
    <s v="07AAACC4175D1Z0"/>
    <s v="NOS"/>
    <m/>
    <n v="1"/>
    <n v="10"/>
    <n v="10"/>
    <s v="GST_India"/>
    <s v="DLS2627000000593"/>
    <d v="2026-04-02T00:00:00.000"/>
    <s v="MISCELLENS"/>
    <n v="84439952"/>
    <s v="Supply of TonerInk Spares along Support Services"/>
    <m/>
    <m/>
    <n v="10"/>
    <s v="Normal"/>
    <n v="18"/>
    <n v="0.9"/>
    <n v="0.9"/>
    <n v="0"/>
    <n v="0"/>
    <n v="0"/>
    <n v="0"/>
    <n v="0"/>
    <n v="0"/>
    <n v="0"/>
    <m/>
    <m/>
    <n v="0"/>
    <n v="11.8"/>
    <s v="Y"/>
    <s v="N"/>
    <s v="11.7100.111.234010.0000.000000.0007.000000.000000.00000000"/>
    <n v="1126100063"/>
    <s v="HO_INTRA-STATE_OTH_REC_18%"/>
    <s v="INPUT_SERVICE"/>
    <m/>
    <x v="1"/>
    <x v="0"/>
    <s v="Yes"/>
    <s v="07"/>
    <s v="Delhi"/>
    <s v="07AAACC4175D1Z0DLS2627000000593"/>
    <n v="1.8"/>
    <n v="5381.62"/>
    <n v="-5380"/>
    <s v="Matched"/>
    <n v="9155613"/>
    <s v="Fwd Rec"/>
  </r>
  <r>
    <s v="Payable Invoice"/>
    <s v="AP_INVOICE "/>
    <n v="107"/>
    <s v="Godfrey_Phillips_India_Limited_HO"/>
    <s v="GPIL_HO_New_Delhi(Services)"/>
    <m/>
    <m/>
    <s v="07AABCG4768K1Z9"/>
    <s v="AP_INVOICES"/>
    <s v="STANDARD VALIDATED TAX"/>
    <s v="IA"/>
    <s v="STANDARD"/>
    <d v="2026-04-14T00:00:00.000"/>
    <s v="DLS2627000000653"/>
    <n v="9155610"/>
    <d v="2026-04-02T00:00:00.000"/>
    <s v="Supplier"/>
    <n v="2770"/>
    <s v="CANON INDIA PVT. LTD."/>
    <s v="OKHLA"/>
    <s v="07AAACC4175D1Z0"/>
    <s v="NOS"/>
    <m/>
    <n v="1"/>
    <n v="6"/>
    <n v="6"/>
    <s v="GST_India"/>
    <s v="DLS2627000000653"/>
    <d v="2026-04-02T00:00:00.000"/>
    <s v="MISCELLENS"/>
    <n v="84439952"/>
    <s v="Supply of Tonerink and Spares along with Support Services"/>
    <m/>
    <m/>
    <n v="6"/>
    <s v="Normal"/>
    <n v="18"/>
    <n v="0.54"/>
    <n v="0.54"/>
    <n v="0"/>
    <n v="0"/>
    <n v="0"/>
    <n v="0"/>
    <n v="0"/>
    <n v="0"/>
    <n v="0"/>
    <m/>
    <m/>
    <n v="0"/>
    <n v="7.08"/>
    <s v="Y"/>
    <s v="N"/>
    <s v="11.7100.111.234010.0000.000000.0007.000000.000000.00000000"/>
    <n v="1126100060"/>
    <s v="HO_INTRA-STATE_OTH_REC_18%"/>
    <s v="INPUT_SERVICE"/>
    <m/>
    <x v="1"/>
    <x v="0"/>
    <s v="Yes"/>
    <s v="07"/>
    <s v="Delhi"/>
    <s v="07AAACC4175D1Z0DLS2627000000653"/>
    <n v="1.08"/>
    <n v="489.18"/>
    <n v="-488"/>
    <s v="Matched"/>
    <n v="9155610"/>
    <s v="Fwd Rec"/>
  </r>
  <r>
    <s v="Payable Invoice"/>
    <s v="AP_INVOICE "/>
    <n v="107"/>
    <s v="Godfrey_Phillips_India_Limited_HO"/>
    <s v="GPIL_HO_New_Delhi(Services)"/>
    <m/>
    <m/>
    <s v="07AABCG4768K1Z9"/>
    <s v="AP_INVOICES"/>
    <s v="STANDARD VALIDATED TAX"/>
    <s v="IA"/>
    <s v="STANDARD"/>
    <d v="2026-04-14T00:00:00.000"/>
    <s v="DLS2627000000660"/>
    <n v="9155615"/>
    <d v="2026-04-02T00:00:00.000"/>
    <s v="Supplier"/>
    <n v="2770"/>
    <s v="CANON INDIA PVT. LTD."/>
    <s v="OKHLA"/>
    <s v="07AAACC4175D1Z0"/>
    <s v="NOS"/>
    <m/>
    <n v="1"/>
    <n v="4063.95"/>
    <n v="4063.95"/>
    <s v="GST_India"/>
    <s v="DLS2627000000660"/>
    <d v="2026-04-02T00:00:00.000"/>
    <s v="MISCELLENS"/>
    <n v="84439952"/>
    <s v="Supply of TonerInk Spares along Support Services"/>
    <m/>
    <m/>
    <n v="4063.95"/>
    <s v="Normal"/>
    <n v="18"/>
    <n v="365.76"/>
    <n v="365.76"/>
    <n v="0"/>
    <n v="0"/>
    <n v="0"/>
    <n v="0"/>
    <n v="0"/>
    <n v="0"/>
    <n v="0"/>
    <m/>
    <m/>
    <n v="0"/>
    <n v="4795.47"/>
    <s v="Y"/>
    <s v="N"/>
    <s v="11.7100.111.234010.0000.000000.0007.000000.000000.00000000"/>
    <n v="1126100065"/>
    <s v="HO_INTRA-STATE_OTH_REC_18%"/>
    <s v="INPUT_SERVICE"/>
    <m/>
    <x v="1"/>
    <x v="0"/>
    <s v="Yes"/>
    <s v="07"/>
    <s v="Delhi"/>
    <s v="07AAACC4175D1Z0DLS2627000000660"/>
    <n v="731.52"/>
    <n v="1123.84"/>
    <n v="-392"/>
    <s v="Matched"/>
    <n v="9155615"/>
    <s v="Fwd Rec"/>
  </r>
  <r>
    <s v="Payable Invoice"/>
    <s v="AP_INVOICE "/>
    <n v="107"/>
    <s v="Godfrey_Phillips_India_Limited_HO"/>
    <s v="GPIL_HO_New_Delhi(Services)"/>
    <m/>
    <m/>
    <s v="07AABCG4768K1Z9"/>
    <s v="AP_INVOICES"/>
    <s v="STANDARD VALIDATED TAX"/>
    <s v="IA"/>
    <s v="STANDARD"/>
    <d v="2026-04-15T00:00:00.000"/>
    <s v="HRF2627000000683"/>
    <n v="9156867"/>
    <d v="2026-04-01T00:00:00.000"/>
    <s v="Supplier"/>
    <n v="2770"/>
    <s v="CANON INDIA PVT. LTD."/>
    <s v="GURGAON-1A"/>
    <s v="06AAACC4175D1Z2"/>
    <s v="NOS"/>
    <m/>
    <n v="1"/>
    <n v="3956"/>
    <n v="3956"/>
    <s v="GST_India"/>
    <s v="HRF2627000000683"/>
    <d v="2026-04-01T00:00:00.000"/>
    <s v="BUDMINTIND"/>
    <n v="997314"/>
    <s v="Rental Charges For iR-ADV"/>
    <m/>
    <m/>
    <n v="3956"/>
    <s v="Normal"/>
    <n v="18"/>
    <n v="0"/>
    <n v="0"/>
    <n v="712.08"/>
    <n v="0"/>
    <n v="0"/>
    <n v="0"/>
    <n v="0"/>
    <n v="0"/>
    <n v="0"/>
    <m/>
    <m/>
    <n v="0"/>
    <n v="4668.08"/>
    <s v="Y"/>
    <s v="N"/>
    <s v="11.7100.111.414703.1000.000000.0007.000000.000000.00000000"/>
    <n v="1126100096"/>
    <s v="HO_INTER-STATE_OTH_REC_18%"/>
    <s v="INPUT_SERVICE"/>
    <m/>
    <x v="1"/>
    <x v="0"/>
    <s v="Yes"/>
    <s v="07"/>
    <s v="Delhi"/>
    <s v="06AAACC4175D1Z2HRF2627000000683"/>
    <n v="712.08"/>
    <n v="712.08"/>
    <n v="0"/>
    <s v="Matched"/>
    <n v="9156867"/>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8"/>
    <n v="10450"/>
    <s v="GST_India"/>
    <s v="DFSI2600000412"/>
    <d v="2026-04-09T00:00:00.000"/>
    <s v="BUDMINTIND"/>
    <n v="998700"/>
    <s v="COMBO 1"/>
    <m/>
    <m/>
    <n v="10450"/>
    <s v="Normal"/>
    <n v="18"/>
    <n v="0"/>
    <n v="0"/>
    <n v="1881"/>
    <n v="0"/>
    <n v="0"/>
    <n v="0"/>
    <n v="0"/>
    <n v="0"/>
    <n v="0"/>
    <m/>
    <m/>
    <n v="0"/>
    <n v="12331"/>
    <s v="N"/>
    <s v="N"/>
    <s v="11.7100.111.414301.1011.111636.0007.000000.000000.00000000"/>
    <n v="1126100105"/>
    <s v="HO_INTER-STATE_OTH_NON_REC_18%"/>
    <s v="INPUT_TDS_194C"/>
    <m/>
    <x v="0"/>
    <x v="0"/>
    <s v="Yes"/>
    <s v="07"/>
    <s v="Delhi"/>
    <s v="06AAGCD4246E1ZXDFSI2600000412"/>
    <n v="1881"/>
    <n v="38182.88"/>
    <n v="-36302"/>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1188.14"/>
    <n v="1"/>
    <n v="1188.14"/>
    <s v="GST_India"/>
    <s v="DFSI2600000751"/>
    <d v="2026-04-17T00:00:00.000"/>
    <s v="BUDMINTIND"/>
    <n v="3820000"/>
    <s v="RADIATOR ANT"/>
    <m/>
    <m/>
    <n v="1188.14"/>
    <s v="Normal"/>
    <n v="18"/>
    <n v="0"/>
    <n v="0"/>
    <n v="213.87"/>
    <n v="0"/>
    <n v="0"/>
    <n v="0"/>
    <n v="0"/>
    <n v="0"/>
    <n v="0"/>
    <m/>
    <m/>
    <n v="0"/>
    <n v="1402.01"/>
    <s v="N"/>
    <s v="N"/>
    <s v="11.7100.111.414301.1000.100007.0007.000000.000000.00000000"/>
    <n v="1126100446"/>
    <s v="HO_INTER-STATE_OTH_NON_REC_18%"/>
    <s v="INPUT_TDS_194C"/>
    <m/>
    <x v="0"/>
    <x v="0"/>
    <s v="Yes"/>
    <s v="07"/>
    <s v="Delhi"/>
    <s v="06AAGCD4246E1ZXDFSI2600000751"/>
    <n v="213.87"/>
    <n v="36494.74"/>
    <n v="-36281"/>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14"/>
    <n v="3850"/>
    <s v="GST_India"/>
    <s v="DFSI2600000751"/>
    <d v="2026-04-17T00:00:00.000"/>
    <s v="BUDMINTIND"/>
    <n v="998729"/>
    <s v="VEHICLE CHECK FOR EXTENDED CAR"/>
    <m/>
    <m/>
    <n v="3850"/>
    <s v="Normal"/>
    <n v="18"/>
    <n v="0"/>
    <n v="0"/>
    <n v="693"/>
    <n v="0"/>
    <n v="0"/>
    <n v="0"/>
    <n v="0"/>
    <n v="0"/>
    <n v="0"/>
    <m/>
    <m/>
    <n v="0"/>
    <n v="4543"/>
    <s v="N"/>
    <s v="N"/>
    <s v="11.7100.111.414301.1000.100007.0007.000000.000000.00000000"/>
    <n v="1126100446"/>
    <s v="HO_INTER-STATE_OTH_NON_REC_18%"/>
    <s v="INPUT_TDS_194C"/>
    <m/>
    <x v="0"/>
    <x v="0"/>
    <s v="Yes"/>
    <s v="07"/>
    <s v="Delhi"/>
    <s v="06AAGCD4246E1ZXDFSI2600000751"/>
    <n v="693"/>
    <n v="36494.74"/>
    <n v="-35802"/>
    <s v="Matched"/>
    <n v="9174963"/>
    <s v="Fwd Non Rec"/>
  </r>
  <r>
    <s v="Payable Invoice"/>
    <s v="AP_INVOICE "/>
    <n v="107"/>
    <s v="Godfrey_Phillips_India_Limited_HO"/>
    <s v="GPIL_HO_New_Delhi(Services)"/>
    <m/>
    <m/>
    <s v="07AABCG4768K1Z9"/>
    <s v="AP_INVOICES"/>
    <s v="STANDARD VALIDATED TAX"/>
    <s v="IA"/>
    <s v="STANDARD"/>
    <d v="2026-04-21T00:00:00.000"/>
    <s v="1/GPI/2026-27"/>
    <n v="9167056"/>
    <d v="2026-04-11T00:00:00.000"/>
    <s v="Supplier"/>
    <n v="42255"/>
    <s v="SHATANSHU PANDA"/>
    <s v="KOLKATA-OFF"/>
    <m/>
    <s v="NOS"/>
    <m/>
    <n v="15000"/>
    <n v="1"/>
    <n v="15000"/>
    <s v="GST_India"/>
    <s v="GPI-HOC260400005"/>
    <d v="2026-04-11T00:00:00.000"/>
    <m/>
    <n v="998216"/>
    <s v="Conference held with Ms. Jaishree Tolani and Mr. Anshuman Vikram Singh 08.04.2026 to discuss"/>
    <m/>
    <m/>
    <n v="15000"/>
    <s v="Normal"/>
    <n v="18"/>
    <n v="0"/>
    <n v="0"/>
    <n v="2700"/>
    <n v="0"/>
    <n v="0"/>
    <n v="0"/>
    <n v="0"/>
    <n v="0"/>
    <n v="0"/>
    <m/>
    <m/>
    <n v="0"/>
    <n v="17700"/>
    <s v="Y"/>
    <s v="Y"/>
    <s v="11.7100.111.416001.1009.000000.0007.000000.000000.00000000"/>
    <n v="1126100300"/>
    <s v="HO_INTER-STATE_REV_REC_18%"/>
    <s v="INPUT_SERVICE"/>
    <m/>
    <x v="2"/>
    <x v="1"/>
    <s v="No"/>
    <s v="07"/>
    <s v="Delhi"/>
    <s v="GPI-HOC260400005"/>
    <n v="2700"/>
    <e v="#N/A"/>
    <e v="#N/A"/>
    <s v="RCM"/>
    <n v="9167056"/>
    <s v="RCM Rec"/>
  </r>
  <r>
    <s v="Payable Invoice"/>
    <s v="AP_INVOICE "/>
    <n v="107"/>
    <s v="Godfrey_Phillips_India_Limited_HO"/>
    <s v="GPIL_HO_New_Delhi(Services)"/>
    <m/>
    <m/>
    <s v="07AABCG4768K1Z9"/>
    <s v="AP_INVOICES"/>
    <s v="STANDARD VALIDATED TAX"/>
    <s v="IA"/>
    <s v="STANDARD"/>
    <d v="2026-04-30T00:00:00.000"/>
    <s v="GST/DL/2627/021"/>
    <n v="9178273"/>
    <d v="2026-04-17T00:00:00.000"/>
    <s v="Supplier"/>
    <n v="38296"/>
    <s v="LGA TECHNOLOGY PRIVATE LIMITED"/>
    <s v="NEW DELHI"/>
    <s v="07AADCL9190Q1ZO"/>
    <s v="NOS"/>
    <m/>
    <n v="1"/>
    <n v="2237.28"/>
    <n v="2237.28"/>
    <s v="GST_India"/>
    <s v="GST/DL/2627/021"/>
    <d v="2026-04-17T00:00:00.000"/>
    <s v="BUDITMINTIND"/>
    <n v="84733099"/>
    <s v="HP KB CL KM260 KM260251243052"/>
    <m/>
    <m/>
    <n v="2237.28"/>
    <s v="Normal"/>
    <n v="18"/>
    <n v="201.36"/>
    <n v="201.36"/>
    <n v="0"/>
    <n v="0"/>
    <n v="0"/>
    <n v="0"/>
    <n v="0"/>
    <n v="0"/>
    <n v="0"/>
    <m/>
    <m/>
    <n v="0"/>
    <n v="2640"/>
    <s v="Y"/>
    <s v="N"/>
    <s v="11.7100.111.414701.1013.000000.0007.000000.000000.00000000"/>
    <n v="1126100490"/>
    <s v="HO_INTRA-STATE_OTH_REC_18%"/>
    <s v="INPUT"/>
    <m/>
    <x v="1"/>
    <x v="0"/>
    <s v="No"/>
    <s v="07"/>
    <s v="Delhi"/>
    <s v="07AADCL9190Q1ZOGST/DL/2627/021"/>
    <n v="402.72"/>
    <n v="665.86"/>
    <n v="-263"/>
    <s v="Matched"/>
    <n v="9178273"/>
    <s v="Fwd Rec"/>
  </r>
  <r>
    <s v="Payable Invoice"/>
    <s v="AP_INVOICE "/>
    <n v="107"/>
    <s v="Godfrey_Phillips_India_Limited_HO"/>
    <s v="GPIL_HO_New_Delhi(Services)"/>
    <m/>
    <s v="HO New Friends Colony"/>
    <s v="07AABCG4768K1Z9"/>
    <s v="AP_INVOICES"/>
    <s v="STANDARD CREATED"/>
    <s v="Manual Invoice Entry"/>
    <s v="STANDARD"/>
    <d v="2026-04-14T00:00:00.000"/>
    <n v="612"/>
    <n v="9151235"/>
    <d v="2026-04-04T00:00:00.000"/>
    <s v="Supplier"/>
    <n v="40631"/>
    <s v="ARSHAD KHAN ENTERPRISES"/>
    <s v="NEW DELHI"/>
    <s v="07AVQPK8011N2Z1"/>
    <s v="NOS"/>
    <m/>
    <n v="1200"/>
    <n v="9"/>
    <n v="10800"/>
    <s v="GST_India"/>
    <n v="612"/>
    <d v="2026-04-04T00:00:00.000"/>
    <s v="BUDMINTIND"/>
    <n v="995400"/>
    <s v="Gazebo Ceiling Cane Light"/>
    <m/>
    <m/>
    <n v="10800"/>
    <s v="Normal"/>
    <n v="18"/>
    <n v="972"/>
    <n v="972"/>
    <n v="0"/>
    <n v="0"/>
    <n v="0"/>
    <n v="0"/>
    <n v="0"/>
    <n v="0"/>
    <n v="0"/>
    <m/>
    <m/>
    <n v="0"/>
    <n v="12744"/>
    <s v="N"/>
    <s v="N"/>
    <s v="11.7100.111.424156.1000.100007.0007.000000.000000.00000000"/>
    <n v="1126100056"/>
    <s v="HO_INTRA-STATE_OTH_NON_REC_18%"/>
    <s v="INPUT_SERVICE"/>
    <m/>
    <x v="0"/>
    <x v="0"/>
    <s v="No"/>
    <s v="07"/>
    <s v="Delhi"/>
    <s v="07AVQPK8011N2Z1612"/>
    <n v="1944"/>
    <n v="4734"/>
    <n v="-2790"/>
    <s v="Matched"/>
    <n v="9151235"/>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7755.51"/>
    <n v="1"/>
    <n v="7755.51"/>
    <s v="GST_India"/>
    <s v="DFSI2600000412"/>
    <d v="2026-04-09T00:00:00.000"/>
    <s v="BUDMINTIND"/>
    <n v="85129000"/>
    <s v="SET OF WIPER"/>
    <m/>
    <m/>
    <n v="7755.51"/>
    <s v="Normal"/>
    <n v="18"/>
    <n v="0"/>
    <n v="0"/>
    <n v="1395.99"/>
    <n v="0"/>
    <n v="0"/>
    <n v="0"/>
    <n v="0"/>
    <n v="0"/>
    <n v="0"/>
    <m/>
    <m/>
    <n v="0"/>
    <n v="9151.5"/>
    <s v="N"/>
    <s v="N"/>
    <s v="11.7100.111.414301.1011.111636.0007.000000.000000.00000000"/>
    <n v="1126100105"/>
    <s v="HO_INTER-STATE_OTH_NON_REC_18%"/>
    <s v="INPUT_TDS_194C"/>
    <m/>
    <x v="0"/>
    <x v="0"/>
    <s v="Yes"/>
    <s v="07"/>
    <s v="Delhi"/>
    <s v="06AAGCD4246E1ZXDFSI2600000412"/>
    <n v="1395.99"/>
    <n v="38182.88"/>
    <n v="-36787"/>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9315.94"/>
    <n v="1"/>
    <n v="9315.94"/>
    <s v="GST_India"/>
    <s v="DFSI2600000751"/>
    <d v="2026-04-17T00:00:00.000"/>
    <s v="BUDMINTIND"/>
    <n v="84219900"/>
    <s v="SET MICROFI"/>
    <m/>
    <m/>
    <n v="9315.94"/>
    <s v="Normal"/>
    <n v="18"/>
    <n v="0"/>
    <n v="0"/>
    <n v="1676.87"/>
    <n v="0"/>
    <n v="0"/>
    <n v="0"/>
    <n v="0"/>
    <n v="0"/>
    <n v="0"/>
    <m/>
    <m/>
    <n v="0"/>
    <n v="10992.81"/>
    <s v="N"/>
    <s v="N"/>
    <s v="11.7100.111.414301.1000.100007.0007.000000.000000.00000000"/>
    <n v="1126100446"/>
    <s v="HO_INTER-STATE_OTH_NON_REC_18%"/>
    <s v="INPUT_TDS_194C"/>
    <m/>
    <x v="0"/>
    <x v="0"/>
    <s v="Yes"/>
    <s v="07"/>
    <s v="Delhi"/>
    <s v="06AAGCD4246E1ZXDFSI2600000751"/>
    <n v="1676.87"/>
    <n v="36494.74"/>
    <n v="-34818"/>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C07E262700010044"/>
    <n v="9156758"/>
    <d v="2026-04-01T00:00:00.000"/>
    <s v="Supplier"/>
    <n v="33841"/>
    <s v="RELIANCE JIO INFOCOMM LIMITED"/>
    <s v="NEW DELHI"/>
    <s v="07AABCI6363G1ZL"/>
    <s v="NOS"/>
    <m/>
    <n v="1"/>
    <n v="509"/>
    <n v="509"/>
    <s v="GST_India"/>
    <s v="C07E262700010044"/>
    <d v="2026-04-01T00:00:00.000"/>
    <s v="MISCELLENS"/>
    <n v="998400"/>
    <s v="RELIANCE JIO MOBILE BILL FOR THE MONTH OF MAR 2026"/>
    <m/>
    <m/>
    <n v="509"/>
    <s v="Normal"/>
    <n v="18"/>
    <n v="45.81"/>
    <n v="45.81"/>
    <n v="0"/>
    <n v="0"/>
    <n v="0"/>
    <n v="0"/>
    <n v="0"/>
    <n v="0"/>
    <n v="0"/>
    <m/>
    <m/>
    <n v="0"/>
    <n v="600.62"/>
    <s v="Y"/>
    <s v="N"/>
    <s v="11.7100.111.420803.1000.000000.0007.000000.000000.00000000"/>
    <n v="1126100082"/>
    <s v="HO_INTRA-STATE_OTH_REC_18%"/>
    <s v="INPUT_SERVICE"/>
    <m/>
    <x v="1"/>
    <x v="0"/>
    <s v="Yes"/>
    <s v="07"/>
    <s v="Delhi"/>
    <s v="07AABCI6363G1ZLC07E262700010044"/>
    <n v="91.62"/>
    <n v="369.72"/>
    <n v="-278"/>
    <s v="Matched"/>
    <n v="9156758"/>
    <s v="Fwd Rec"/>
  </r>
  <r>
    <s v="Payable Invoice"/>
    <s v="AP_INVOICE "/>
    <n v="107"/>
    <s v="Godfrey_Phillips_India_Limited_HO"/>
    <s v="GPIL_HO_New_Delhi(Services)"/>
    <m/>
    <s v="HO New Friends Colony"/>
    <s v="07AABCG4768K1Z9"/>
    <s v="AP_INVOICES"/>
    <s v="STANDARD CREATED"/>
    <s v="Manual Invoice Entry"/>
    <s v="STANDARD"/>
    <d v="2026-04-23T00:00:00.000"/>
    <n v="3473457367"/>
    <n v="9167995"/>
    <d v="2026-04-15T00:00:00.000"/>
    <s v="Supplier"/>
    <n v="39705"/>
    <s v="TATA TELESERVICES  LIMITED"/>
    <s v="NEW DELHI"/>
    <s v="07AAACT2438A1ZV"/>
    <s v="NOS"/>
    <m/>
    <n v="1"/>
    <n v="7500"/>
    <n v="7500"/>
    <s v="GST_India"/>
    <n v="3473457367"/>
    <d v="2026-04-15T00:00:00.000"/>
    <s v="BUDMINTIND"/>
    <n v="998412"/>
    <s v="TATA PRI bill for the period of 13-03-2026  to 12.04.2026– Jasola Office"/>
    <m/>
    <m/>
    <n v="7500"/>
    <s v="Normal"/>
    <n v="18"/>
    <n v="675"/>
    <n v="675"/>
    <n v="0"/>
    <n v="0"/>
    <n v="0"/>
    <n v="0"/>
    <n v="0"/>
    <n v="0"/>
    <n v="0"/>
    <m/>
    <m/>
    <n v="0"/>
    <n v="8850"/>
    <s v="Y"/>
    <s v="N"/>
    <s v="11.7100.111.420801.1010.000000.0007.000000.000000.00000000"/>
    <n v="1126100348"/>
    <s v="HO_INTRA-STATE_OTH_REC_18%"/>
    <s v="INPUT_SERVICE"/>
    <m/>
    <x v="1"/>
    <x v="0"/>
    <s v="Yes"/>
    <s v="07"/>
    <s v="Delhi"/>
    <s v="07AAACT2438A1ZV3473457367"/>
    <n v="1350"/>
    <n v="1350"/>
    <n v="0"/>
    <s v="Matched"/>
    <n v="9167995"/>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163.14"/>
    <n v="2"/>
    <n v="326.28"/>
    <s v="GST_India"/>
    <s v="DFSI2600000412"/>
    <d v="2026-04-09T00:00:00.000"/>
    <s v="BUDMINTIND"/>
    <n v="34029099"/>
    <s v="BMW GROUP GL"/>
    <m/>
    <m/>
    <n v="326.28"/>
    <s v="Normal"/>
    <n v="18"/>
    <n v="0"/>
    <n v="0"/>
    <n v="58.73"/>
    <n v="0"/>
    <n v="0"/>
    <n v="0"/>
    <n v="0"/>
    <n v="0"/>
    <n v="0"/>
    <m/>
    <m/>
    <n v="0"/>
    <n v="385.01"/>
    <s v="N"/>
    <s v="N"/>
    <s v="11.7100.111.414301.1011.111636.0007.000000.000000.00000000"/>
    <n v="1126100105"/>
    <s v="HO_INTER-STATE_OTH_NON_REC_18%"/>
    <s v="INPUT_TDS_194C"/>
    <m/>
    <x v="0"/>
    <x v="0"/>
    <s v="Yes"/>
    <s v="07"/>
    <s v="Delhi"/>
    <s v="06AAGCD4246E1ZXDFSI2600000412"/>
    <n v="58.73"/>
    <n v="38182.88"/>
    <n v="-38124"/>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155.51"/>
    <n v="4"/>
    <n v="8622.04"/>
    <s v="GST_India"/>
    <s v="DFSI2600000412"/>
    <d v="2026-04-09T00:00:00.000"/>
    <s v="BUDMINTIND"/>
    <n v="85111000"/>
    <s v="SPARK PLUG"/>
    <m/>
    <m/>
    <n v="8622.04"/>
    <s v="Normal"/>
    <n v="18"/>
    <n v="0"/>
    <n v="0"/>
    <n v="1551.97"/>
    <n v="0"/>
    <n v="0"/>
    <n v="0"/>
    <n v="0"/>
    <n v="0"/>
    <n v="0"/>
    <m/>
    <m/>
    <n v="0"/>
    <n v="10174.01"/>
    <s v="N"/>
    <s v="N"/>
    <s v="11.7100.111.414301.1011.111636.0007.000000.000000.00000000"/>
    <n v="1126100105"/>
    <s v="HO_INTER-STATE_OTH_NON_REC_18%"/>
    <s v="INPUT_TDS_194C"/>
    <m/>
    <x v="0"/>
    <x v="0"/>
    <s v="Yes"/>
    <s v="07"/>
    <s v="Delhi"/>
    <s v="06AAGCD4246E1ZXDFSI2600000412"/>
    <n v="1551.97"/>
    <n v="38182.88"/>
    <n v="-36631"/>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0.001"/>
    <n v="0.28"/>
    <s v="GST_India"/>
    <s v="DFSI2600000751"/>
    <d v="2026-04-17T00:00:00.000"/>
    <s v="BUDMINTIND"/>
    <n v="998729"/>
    <s v="JOB TIME WITHOUT ALLOWANCE FOR / ELECTRICAL SYSTEM"/>
    <m/>
    <m/>
    <n v="0.28"/>
    <s v="Normal"/>
    <n v="18"/>
    <n v="0"/>
    <n v="0"/>
    <n v="0.05"/>
    <n v="0"/>
    <n v="0"/>
    <n v="0"/>
    <n v="0"/>
    <n v="0"/>
    <n v="0"/>
    <m/>
    <m/>
    <n v="0"/>
    <n v="0.33"/>
    <s v="N"/>
    <s v="N"/>
    <s v="11.7100.111.414301.1000.100007.0007.000000.000000.00000000"/>
    <n v="1126100446"/>
    <s v="HO_INTER-STATE_OTH_NON_REC_18%"/>
    <s v="INPUT_TDS_194C"/>
    <m/>
    <x v="0"/>
    <x v="0"/>
    <s v="Yes"/>
    <s v="07"/>
    <s v="Delhi"/>
    <s v="06AAGCD4246E1ZXDFSI2600000751"/>
    <n v="0.05"/>
    <n v="36494.74"/>
    <n v="-36495"/>
    <s v="Matched"/>
    <n v="9174963"/>
    <s v="Fwd Non Rec"/>
  </r>
  <r>
    <s v="Payable Invoice"/>
    <s v="AP_INVOICE "/>
    <n v="107"/>
    <s v="Godfrey_Phillips_India_Limited_HO"/>
    <s v="GPIL_HO_New_Delhi(Services)"/>
    <m/>
    <m/>
    <s v="07AABCG4768K1Z9"/>
    <s v="AP_INVOICES"/>
    <s v="STANDARD VALIDATED TAX"/>
    <s v="IA"/>
    <s v="STANDARD"/>
    <d v="2026-04-29T00:00:00.000"/>
    <d v="2026-03-01T00:00:00.000"/>
    <n v="9178114"/>
    <d v="2026-04-15T00:00:00.000"/>
    <s v="Supplier"/>
    <n v="5093"/>
    <s v="ANS COMPUTERS AND PERIPHERALS"/>
    <s v="DELHI"/>
    <s v="07ACBPV7574P1ZN"/>
    <s v="NOS"/>
    <m/>
    <n v="1"/>
    <n v="450"/>
    <n v="450"/>
    <s v="GST_India"/>
    <n v="3"/>
    <d v="2026-04-15T00:00:00.000"/>
    <s v="BUDITMINTIND"/>
    <n v="8536"/>
    <s v="RJ-45 CONNECTORS DLINK"/>
    <m/>
    <m/>
    <n v="450"/>
    <s v="Normal"/>
    <n v="18"/>
    <n v="40.5"/>
    <n v="40.5"/>
    <n v="0"/>
    <n v="0"/>
    <n v="0"/>
    <n v="0"/>
    <n v="0"/>
    <n v="0"/>
    <n v="0"/>
    <m/>
    <m/>
    <n v="0"/>
    <n v="531"/>
    <s v="Y"/>
    <s v="N"/>
    <s v="11.7100.111.414701.1013.000000.0007.000000.000000.00000000"/>
    <n v="1126100466"/>
    <s v="HO_INTRA-STATE_OTH_REC_18%"/>
    <s v="INPUT"/>
    <m/>
    <x v="1"/>
    <x v="0"/>
    <s v="No"/>
    <s v="07"/>
    <s v="Delhi"/>
    <s v="07ACBPV7574P1ZN3"/>
    <n v="81"/>
    <n v="1584"/>
    <n v="-1503"/>
    <s v="Matched"/>
    <n v="9178114"/>
    <s v="Fwd Rec"/>
  </r>
  <r>
    <s v="Payable Invoice"/>
    <s v="AP_INVOICE "/>
    <n v="107"/>
    <s v="Godfrey_Phillips_India_Limited_HO"/>
    <s v="GPIL_HO_New_Delhi(Services)"/>
    <m/>
    <m/>
    <s v="07AABCG4768K1Z9"/>
    <s v="AP_INVOICES"/>
    <s v="STANDARD VALIDATED TAX"/>
    <s v="IA"/>
    <s v="STANDARD"/>
    <d v="2026-04-21T00:00:00.000"/>
    <s v="738/2025-2026"/>
    <n v="9164022"/>
    <d v="2026-03-27T00:00:00.000"/>
    <s v="Supplier"/>
    <n v="45456"/>
    <s v="SAGA LEGAL"/>
    <s v="HEAD OFFICE"/>
    <m/>
    <m/>
    <m/>
    <n v="15000"/>
    <n v="1"/>
    <n v="15000"/>
    <s v="GST_India"/>
    <s v="738/2025-2026"/>
    <d v="2026-03-27T00:00:00.000"/>
    <m/>
    <n v="998216"/>
    <s v="Professional fees towards appearance on 12.03.2026."/>
    <m/>
    <m/>
    <n v="15000"/>
    <s v="Normal"/>
    <n v="18"/>
    <n v="1350"/>
    <n v="1350"/>
    <n v="0"/>
    <n v="0"/>
    <n v="0"/>
    <n v="0"/>
    <n v="0"/>
    <n v="0"/>
    <n v="0"/>
    <m/>
    <m/>
    <n v="0"/>
    <n v="17700"/>
    <s v="Y"/>
    <s v="Y"/>
    <s v="11.7100.111.234010.0000.000000.0007.000000.000000.00000000"/>
    <n v="1125113945"/>
    <s v="HO_REV_CHARGE_REC_18%"/>
    <s v="INPUT_SERVICE"/>
    <m/>
    <x v="2"/>
    <x v="1"/>
    <s v="No"/>
    <s v="07"/>
    <s v="Delhi"/>
    <s v="738/2025-2026"/>
    <n v="2700"/>
    <e v="#N/A"/>
    <e v="#N/A"/>
    <s v="RCM"/>
    <n v="9164022"/>
    <s v="RCM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3507.2"/>
    <n v="1"/>
    <n v="3507.2"/>
    <s v="GST_India"/>
    <s v="DFSI2600000412"/>
    <d v="2026-04-09T00:00:00.000"/>
    <s v="BUDMINTIND"/>
    <n v="84213100"/>
    <s v="AIR FILTER E"/>
    <m/>
    <m/>
    <n v="3507.2"/>
    <s v="Normal"/>
    <n v="18"/>
    <n v="0"/>
    <n v="0"/>
    <n v="631.3"/>
    <n v="0"/>
    <n v="0"/>
    <n v="0"/>
    <n v="0"/>
    <n v="0"/>
    <n v="0"/>
    <m/>
    <m/>
    <n v="0"/>
    <n v="4138.5"/>
    <s v="N"/>
    <s v="N"/>
    <s v="11.7100.111.414301.1011.111636.0007.000000.000000.00000000"/>
    <n v="1126100105"/>
    <s v="HO_INTER-STATE_OTH_NON_REC_18%"/>
    <s v="INPUT_TDS_194C"/>
    <m/>
    <x v="0"/>
    <x v="0"/>
    <s v="Yes"/>
    <s v="07"/>
    <s v="Delhi"/>
    <s v="06AAGCD4246E1ZXDFSI2600000412"/>
    <n v="631.3"/>
    <n v="38182.88"/>
    <n v="-37552"/>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570"/>
    <n v="1570"/>
    <s v="GST_India"/>
    <s v="MF2707I000063444"/>
    <d v="2026-04-03T00:00:00.000"/>
    <s v="MISCELLENS"/>
    <n v="998413"/>
    <s v="AIRTEL MOBILE BILLS FOR THE MONTH OF MAR 2026"/>
    <m/>
    <m/>
    <n v="1570"/>
    <s v="Normal"/>
    <n v="18"/>
    <n v="141.3"/>
    <n v="141.3"/>
    <n v="0"/>
    <n v="0"/>
    <n v="0"/>
    <n v="0"/>
    <n v="0"/>
    <n v="0"/>
    <n v="0"/>
    <m/>
    <m/>
    <n v="0"/>
    <n v="1852.6"/>
    <s v="Y"/>
    <s v="N"/>
    <s v="11.7100.111.420803.1000.000000.0007.000000.000000.00000000"/>
    <n v="1126100078"/>
    <s v="HO_INTRA-STATE_OTH_REC_18%"/>
    <s v="INPUT_SERVICE"/>
    <m/>
    <x v="1"/>
    <x v="0"/>
    <s v="Yes"/>
    <s v="07"/>
    <s v="Delhi"/>
    <s v="07AAACB2894G1ZPMF2707I000063444"/>
    <n v="282.6"/>
    <n v="8534.42"/>
    <n v="-8252"/>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42"/>
    <n v="3"/>
    <n v="126"/>
    <s v="GST_India"/>
    <s v="TXA26-00607"/>
    <d v="2026-04-17T00:00:00.000"/>
    <s v="BUDMINTIND"/>
    <n v="34029099"/>
    <s v="WINDSHIELD WASHER FLUID"/>
    <m/>
    <m/>
    <n v="126"/>
    <s v="Normal"/>
    <n v="18"/>
    <n v="11.34"/>
    <n v="11.34"/>
    <n v="0"/>
    <n v="0"/>
    <n v="0"/>
    <n v="0"/>
    <n v="0"/>
    <n v="0"/>
    <n v="0"/>
    <m/>
    <m/>
    <n v="0"/>
    <n v="148.68"/>
    <s v="N"/>
    <s v="N"/>
    <s v="11.7100.111.414301.1009.110908.0007.000000.000000.00000000"/>
    <n v="1126100447"/>
    <s v="HO_INTRA-STATE_OTH_NON_REC_18%"/>
    <s v="INPUT_TDS_194C"/>
    <m/>
    <x v="0"/>
    <x v="0"/>
    <s v="Yes"/>
    <s v="07"/>
    <s v="Delhi"/>
    <s v="07AANCS0651B1ZMTXA26-00607"/>
    <n v="22.68"/>
    <n v="2435.38"/>
    <n v="-2413"/>
    <s v="Matched"/>
    <n v="9175014"/>
    <s v="Fwd Non Rec"/>
  </r>
  <r>
    <s v="Payable Invoice"/>
    <s v="AP_INVOICE "/>
    <n v="107"/>
    <s v="Godfrey_Phillips_India_Limited_HO"/>
    <s v="GPIL_HO_New_Delhi(Services)"/>
    <m/>
    <m/>
    <s v="07AABCG4768K1Z9"/>
    <s v="AP_INVOICES"/>
    <s v="STANDARD VALIDATED TAX"/>
    <s v="CONVERSION"/>
    <s v="STANDARD"/>
    <d v="2026-04-21T00:00:00.000"/>
    <s v="HF2707I000137674"/>
    <n v="9164386"/>
    <d v="2026-04-03T00:00:00.000"/>
    <s v="Supplier"/>
    <n v="6262"/>
    <s v="BHARTI AIRTEL LIMITED"/>
    <s v="HO"/>
    <s v="07AAACB2894G1ZP"/>
    <s v="NOS"/>
    <m/>
    <n v="1"/>
    <n v="399"/>
    <n v="399"/>
    <s v="GST_India"/>
    <s v="HF2707I000137674"/>
    <d v="2026-04-03T00:00:00.000"/>
    <s v="MISCELLENS"/>
    <n v="998412"/>
    <s v="GPI JASOLA OFFICE AIRTEL - LANDLINE TELEPHONE EXPENSES FOR THE MONTH OF March-2026 -  - ADMN"/>
    <m/>
    <m/>
    <n v="399"/>
    <s v="Normal"/>
    <n v="18"/>
    <n v="35.91"/>
    <n v="35.91"/>
    <n v="0"/>
    <n v="0"/>
    <n v="0"/>
    <n v="0"/>
    <n v="0"/>
    <n v="0"/>
    <n v="0"/>
    <m/>
    <m/>
    <n v="0"/>
    <n v="470.82"/>
    <s v="Y"/>
    <s v="N"/>
    <s v="11.7100.111.420801.1010.000000.0007.000000.000000.00000000"/>
    <n v="1126100282"/>
    <s v="HO_INTRA-STATE_OTH_REC_18%"/>
    <s v="INPUT_SERVICE"/>
    <m/>
    <x v="1"/>
    <x v="0"/>
    <s v="Yes"/>
    <s v="07"/>
    <s v="Delhi"/>
    <s v="07AAACB2894G1ZPHF2707I000137674"/>
    <n v="71.82"/>
    <n v="71.82"/>
    <n v="0"/>
    <s v="Matched"/>
    <n v="9164386"/>
    <s v="Fwd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30"/>
    <n v="400"/>
    <n v="12000"/>
    <s v="GST_India"/>
    <s v="130/26-27"/>
    <d v="2026-04-09T00:00:00.000"/>
    <s v="MISCELLENS"/>
    <n v="998900"/>
    <s v="Envelope (HSN 49090010 Womens Dday Appreciation Card"/>
    <m/>
    <m/>
    <n v="12000"/>
    <s v="Normal"/>
    <n v="18"/>
    <n v="1080"/>
    <n v="1080"/>
    <n v="0"/>
    <n v="0"/>
    <n v="0"/>
    <n v="0"/>
    <n v="0"/>
    <n v="0"/>
    <n v="0"/>
    <m/>
    <m/>
    <n v="0"/>
    <n v="14160"/>
    <s v="N"/>
    <s v="N"/>
    <s v="11.7100.111.420602.1011.000000.0007.000000.000000.00000000"/>
    <n v="1126100334"/>
    <s v="HO_INTRA-STATE_OTH_NON_REC_18%"/>
    <s v="INPUT_SERVICE"/>
    <m/>
    <x v="0"/>
    <x v="0"/>
    <s v="Yes"/>
    <s v="07"/>
    <s v="Delhi"/>
    <s v="07AAACN0474C1ZX130/26-27"/>
    <n v="2160"/>
    <n v="6014.7"/>
    <n v="-3855"/>
    <s v="Matched"/>
    <n v="9164740"/>
    <s v="Fwd Non Rec"/>
  </r>
  <r>
    <s v="Payable Invoice"/>
    <s v="AP_INVOICE "/>
    <n v="107"/>
    <s v="Godfrey_Phillips_India_Limited_HO"/>
    <s v="GPIL_HO_New_Delhi(Services)"/>
    <m/>
    <m/>
    <s v="07AABCG4768K1Z9"/>
    <s v="AP_INVOICES"/>
    <s v="STANDARD VALIDATED TAX"/>
    <s v="IA"/>
    <s v="STANDARD"/>
    <d v="2026-04-21T00:00:00.000"/>
    <n v="76"/>
    <n v="9164654"/>
    <d v="2026-04-08T00:00:00.000"/>
    <s v="Supplier"/>
    <n v="43295"/>
    <s v="STELLAR ENTERPRISES"/>
    <s v="DELHI-OFF"/>
    <s v="07AFGFS5626D1Z0"/>
    <s v="NOS"/>
    <m/>
    <n v="1"/>
    <n v="6000"/>
    <n v="6000"/>
    <s v="GST_India"/>
    <n v="76"/>
    <d v="2026-04-08T00:00:00.000"/>
    <s v="MISCELLENS"/>
    <n v="998719"/>
    <s v="Machine Service  Rental Charges Month of April OODG trtin 1500 CST per month Machine 4 Machines the"/>
    <m/>
    <m/>
    <n v="6000"/>
    <s v="Normal"/>
    <n v="18"/>
    <n v="540"/>
    <n v="540"/>
    <n v="0"/>
    <n v="0"/>
    <n v="0"/>
    <n v="0"/>
    <n v="0"/>
    <n v="0"/>
    <n v="0"/>
    <m/>
    <m/>
    <n v="0"/>
    <n v="7080"/>
    <s v="N"/>
    <s v="N"/>
    <s v="11.7100.111.412401.1010.000000.0007.000000.000000.00000000"/>
    <n v="1126100309"/>
    <s v="HO_INTRA-STATE_OTH_NON_REC_18%"/>
    <s v="INPUT_SERVICE"/>
    <m/>
    <x v="0"/>
    <x v="0"/>
    <s v="No"/>
    <s v="07"/>
    <s v="Delhi"/>
    <s v="07AFGFS5626D1Z076"/>
    <n v="1080"/>
    <n v="1080"/>
    <n v="0"/>
    <s v="Matched"/>
    <n v="9164654"/>
    <s v="Fwd Non Rec"/>
  </r>
  <r>
    <s v="Payable Invoice"/>
    <s v="AP_INVOICE "/>
    <n v="107"/>
    <s v="Godfrey_Phillips_India_Limited_HO"/>
    <s v="GPIL_HO_New_Delhi(Services)"/>
    <m/>
    <m/>
    <s v="07AABCG4768K1Z9"/>
    <s v="AP_INVOICES"/>
    <s v="STANDARD VALIDATED TAX"/>
    <s v="Manual Invoice Entry"/>
    <s v="STANDARD"/>
    <d v="2026-04-24T00:00:00.000"/>
    <s v="CI1001100320"/>
    <n v="9171115"/>
    <d v="2026-04-01T00:00:00.000"/>
    <s v="Supplier"/>
    <n v="3734"/>
    <s v="THE OBEROI"/>
    <s v="NEW DELHI"/>
    <s v="07AAACE6898B4ZH"/>
    <m/>
    <m/>
    <n v="0"/>
    <n v="0"/>
    <n v="125000"/>
    <s v="GST_India"/>
    <s v="CI1001100320"/>
    <d v="2026-04-01T00:00:00.000"/>
    <m/>
    <n v="998599"/>
    <s v="BELVEDERE MEM RENEWAL FEES APRIL 2026 TO MARCH 2027 DR BINA MODI"/>
    <m/>
    <m/>
    <n v="125000"/>
    <s v="Normal"/>
    <n v="18"/>
    <n v="11250"/>
    <n v="11250"/>
    <n v="0"/>
    <n v="0"/>
    <n v="0"/>
    <n v="0"/>
    <n v="0"/>
    <n v="0"/>
    <n v="0"/>
    <m/>
    <m/>
    <n v="0"/>
    <n v="147500"/>
    <s v="N"/>
    <s v="N"/>
    <s v="11.7100.111.420501.1000.100005.0007.000000.000000.00000000"/>
    <n v="1126100388"/>
    <s v="HO_INTRA-STATE_OTH_NON_REC_18%"/>
    <s v="INPUT_SERVICE"/>
    <m/>
    <x v="0"/>
    <x v="0"/>
    <s v="Yes"/>
    <s v="07"/>
    <s v="Delhi"/>
    <s v="07AAACE6898B4ZHCI1001100320"/>
    <n v="22500"/>
    <n v="22500"/>
    <n v="0"/>
    <s v="Matched"/>
    <n v="9171115"/>
    <s v="Fwd Non Rec"/>
  </r>
  <r>
    <s v="Payable Invoice"/>
    <s v="AP_INVOICE "/>
    <n v="107"/>
    <s v="Godfrey_Phillips_India_Limited_HO"/>
    <s v="GPIL_HO_New_Delhi(Services)"/>
    <m/>
    <s v="HO New Friends Colony"/>
    <s v="07AABCG4768K1Z9"/>
    <s v="AP_INVOICES"/>
    <s v="STANDARD CREATED"/>
    <s v="Manual Invoice Entry"/>
    <s v="STANDARD"/>
    <d v="2026-04-15T00:00:00.000"/>
    <s v="MF2707I000130888"/>
    <n v="9156752"/>
    <d v="2026-04-03T00:00:00.000"/>
    <s v="Supplier"/>
    <n v="6262"/>
    <s v="BHARTI AIRTEL LIMITED"/>
    <s v="HO"/>
    <s v="07AAACB2894G1ZP"/>
    <s v="NOS"/>
    <m/>
    <n v="1"/>
    <n v="399"/>
    <n v="399"/>
    <s v="GST_India"/>
    <s v="MF2707I000130888"/>
    <d v="2026-04-03T00:00:00.000"/>
    <s v="MISCELLENS"/>
    <n v="998413"/>
    <s v="AIRTEL MOBILE BILLS FOR THE MONTH OF MAR 2026-SHABAD KALRA"/>
    <m/>
    <m/>
    <n v="399"/>
    <s v="Normal"/>
    <n v="18"/>
    <n v="35.91"/>
    <n v="35.91"/>
    <n v="0"/>
    <n v="0"/>
    <n v="0"/>
    <n v="0"/>
    <n v="0"/>
    <n v="0"/>
    <n v="0"/>
    <m/>
    <m/>
    <n v="0"/>
    <n v="470.82"/>
    <s v="Y"/>
    <s v="N"/>
    <s v="11.7100.111.420803.1013.000000.0007.000000.000000.00000000"/>
    <n v="1126100080"/>
    <s v="HO_INTRA-STATE_OTH_REC_18%"/>
    <s v="INPUT_SERVICE"/>
    <m/>
    <x v="1"/>
    <x v="0"/>
    <s v="Yes"/>
    <s v="07"/>
    <s v="Delhi"/>
    <s v="07AAACB2894G1ZPMF2707I000130888"/>
    <n v="71.82"/>
    <n v="385.92"/>
    <n v="-314"/>
    <s v="Matched"/>
    <n v="9156752"/>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1249"/>
    <n v="1"/>
    <n v="1249"/>
    <s v="GST_India"/>
    <s v="TXA26-00607"/>
    <d v="2026-04-17T00:00:00.000"/>
    <s v="BUDMINTIND"/>
    <n v="38119000"/>
    <s v="CLEANER INJECTOR"/>
    <m/>
    <m/>
    <n v="1249"/>
    <s v="Normal"/>
    <n v="18"/>
    <n v="112.41"/>
    <n v="112.41"/>
    <n v="0"/>
    <n v="0"/>
    <n v="0"/>
    <n v="0"/>
    <n v="0"/>
    <n v="0"/>
    <n v="0"/>
    <m/>
    <m/>
    <n v="0"/>
    <n v="1473.82"/>
    <s v="N"/>
    <s v="N"/>
    <s v="11.7100.111.414301.1009.110908.0007.000000.000000.00000000"/>
    <n v="1126100447"/>
    <s v="HO_INTRA-STATE_OTH_NON_REC_18%"/>
    <s v="INPUT_TDS_194C"/>
    <m/>
    <x v="0"/>
    <x v="0"/>
    <s v="Yes"/>
    <s v="07"/>
    <s v="Delhi"/>
    <s v="07AANCS0651B1ZMTXA26-00607"/>
    <n v="224.82"/>
    <n v="2435.38"/>
    <n v="-2211"/>
    <s v="Matched"/>
    <n v="9175014"/>
    <s v="Fwd Non Rec"/>
  </r>
  <r>
    <s v="Payable Invoice"/>
    <s v="AP_INVOICE "/>
    <n v="107"/>
    <s v="Godfrey_Phillips_India_Limited_HO"/>
    <s v="GPIL_HO_New_Delhi(Services)"/>
    <m/>
    <m/>
    <s v="07AABCG4768K1Z9"/>
    <s v="AP_INVOICES"/>
    <s v="STANDARD VALIDATED TAX"/>
    <s v="CONVERSION"/>
    <s v="STANDARD"/>
    <d v="2026-04-21T00:00:00.000"/>
    <s v="HF2707I000101334"/>
    <n v="9164393"/>
    <d v="2026-04-03T00:00:00.000"/>
    <s v="Supplier"/>
    <n v="6262"/>
    <s v="BHARTI AIRTEL LIMITED"/>
    <s v="HO"/>
    <s v="07AAACB2894G1ZP"/>
    <s v="NOS"/>
    <m/>
    <n v="1"/>
    <n v="999"/>
    <n v="999"/>
    <s v="GST_India"/>
    <s v="HF2707I000101334"/>
    <d v="2026-04-03T00:00:00.000"/>
    <s v="MISCELLENS"/>
    <n v="998412"/>
    <s v="PRESIDENT OFF.( A-1) AIRTEL - LANDLINE TELEPHONE EXPENSES FOR THE MONTH OF March-2026 -  - CM"/>
    <m/>
    <m/>
    <n v="999"/>
    <s v="Normal"/>
    <n v="18"/>
    <n v="89.91"/>
    <n v="89.91"/>
    <n v="0"/>
    <n v="0"/>
    <n v="0"/>
    <n v="0"/>
    <n v="0"/>
    <n v="0"/>
    <n v="0"/>
    <m/>
    <m/>
    <n v="0"/>
    <n v="1178.82"/>
    <s v="N"/>
    <s v="N"/>
    <s v="11.7100.111.420801.1000.000000.0007.000000.000000.00000000"/>
    <n v="1126100289"/>
    <s v="HO_INTRA-STATE_OTH_NON_REC_18%"/>
    <s v="INPUT_SERVICE"/>
    <m/>
    <x v="0"/>
    <x v="0"/>
    <s v="Yes"/>
    <s v="07"/>
    <s v="Delhi"/>
    <s v="07AAACB2894G1ZPHF2707I000101334"/>
    <n v="179.82"/>
    <n v="179.82"/>
    <n v="0"/>
    <s v="Matched"/>
    <n v="9164393"/>
    <s v="Fwd Non Rec"/>
  </r>
  <r>
    <s v="Payable Invoice"/>
    <s v="AP_INVOICE "/>
    <n v="107"/>
    <s v="Godfrey_Phillips_India_Limited_HO"/>
    <s v="GPIL_HO_New_Delhi(Services)"/>
    <m/>
    <m/>
    <s v="07AABCG4768K1Z9"/>
    <s v="AP_INVOICES"/>
    <s v="STANDARD VALIDATED TAX"/>
    <s v="IA"/>
    <s v="STANDARD"/>
    <d v="2026-04-14T00:00:00.000"/>
    <s v="DLS2627000000643"/>
    <n v="9155607"/>
    <d v="2026-04-02T00:00:00.000"/>
    <s v="Supplier"/>
    <n v="2770"/>
    <s v="CANON INDIA PVT. LTD."/>
    <s v="OKHLA"/>
    <s v="07AAACC4175D1Z0"/>
    <s v="NOS"/>
    <m/>
    <n v="1"/>
    <n v="1.6"/>
    <n v="1.6"/>
    <s v="GST_India"/>
    <s v="DLS2627000000643"/>
    <d v="2026-04-02T00:00:00.000"/>
    <s v="MISCELLENS"/>
    <n v="84439952"/>
    <s v="Supply of Tonerilnk Spares along With Support Services"/>
    <m/>
    <m/>
    <n v="1.6"/>
    <s v="Normal"/>
    <n v="18"/>
    <n v="0.14"/>
    <n v="0.14"/>
    <n v="0"/>
    <n v="0"/>
    <n v="0"/>
    <n v="0"/>
    <n v="0"/>
    <n v="0"/>
    <n v="0"/>
    <m/>
    <m/>
    <n v="0"/>
    <n v="1.88"/>
    <s v="Y"/>
    <s v="N"/>
    <s v="11.7100.111.234010.0000.000000.0007.000000.000000.00000000"/>
    <n v="1126100057"/>
    <s v="HO_INTRA-STATE_OTH_REC_18%"/>
    <s v="INPUT_SERVICE"/>
    <m/>
    <x v="1"/>
    <x v="0"/>
    <s v="Yes"/>
    <s v="07"/>
    <s v="Delhi"/>
    <s v="07AAACC4175D1Z0DLS2627000000643"/>
    <n v="0.28"/>
    <n v="2568.6"/>
    <n v="-2568"/>
    <s v="Matched"/>
    <n v="9155607"/>
    <s v="Fwd Rec"/>
  </r>
  <r>
    <s v="Payable Invoice"/>
    <s v="AP_INVOICE "/>
    <n v="107"/>
    <s v="Godfrey_Phillips_India_Limited_HO"/>
    <s v="GPIL_HO_New_Delhi(Services)"/>
    <m/>
    <m/>
    <s v="07AABCG4768K1Z9"/>
    <s v="AP_INVOICES"/>
    <s v="STANDARD VALIDATED TAX"/>
    <s v="IA"/>
    <s v="STANDARD"/>
    <d v="2026-04-29T00:00:00.000"/>
    <n v="4"/>
    <n v="9177498"/>
    <d v="2026-04-17T00:00:00.000"/>
    <s v="Supplier"/>
    <n v="5093"/>
    <s v="ANS COMPUTERS AND PERIPHERALS"/>
    <s v="DELHI"/>
    <s v="07ACBPV7574P1ZN"/>
    <s v="NOS"/>
    <m/>
    <n v="1"/>
    <n v="14740"/>
    <n v="14740"/>
    <s v="GST_India"/>
    <n v="4"/>
    <d v="2026-04-17T00:00:00.000"/>
    <s v="BUDITMINTIND"/>
    <n v="8544"/>
    <s v="HDD-1 TB WD EXTERNAL USB"/>
    <m/>
    <m/>
    <n v="14740"/>
    <s v="Normal"/>
    <n v="18"/>
    <n v="1326.6"/>
    <n v="1326.6"/>
    <n v="0"/>
    <n v="0"/>
    <n v="0"/>
    <n v="0"/>
    <n v="0"/>
    <n v="0"/>
    <n v="0"/>
    <m/>
    <m/>
    <n v="0"/>
    <n v="17393.2"/>
    <s v="Y"/>
    <s v="N"/>
    <s v="11.7100.111.414701.1013.000000.0007.000000.000000.00000000"/>
    <n v="1126100464"/>
    <s v="HO_INTRA-STATE_OTH_REC_18%"/>
    <s v="INPUT"/>
    <m/>
    <x v="1"/>
    <x v="0"/>
    <s v="No"/>
    <s v="07"/>
    <s v="Delhi"/>
    <s v="07ACBPV7574P1ZN4"/>
    <n v="2653.2"/>
    <n v="6033.6"/>
    <n v="-3380"/>
    <s v="Matched"/>
    <n v="9177498"/>
    <s v="Fwd Rec"/>
  </r>
  <r>
    <s v="Payable Invoice"/>
    <s v="AP_INVOICE "/>
    <n v="107"/>
    <s v="Godfrey_Phillips_India_Limited_HO"/>
    <s v="GPIL_HO_New_Delhi(Services)"/>
    <m/>
    <m/>
    <s v="07AABCG4768K1Z9"/>
    <s v="AP_INVOICES"/>
    <s v="STANDARD VALIDATED TAX"/>
    <s v="IA"/>
    <s v="STANDARD"/>
    <d v="2026-04-13T00:00:00.000"/>
    <s v="AVZ/274/2025-26"/>
    <n v="9151134"/>
    <d v="2026-03-31T00:00:00.000"/>
    <s v="Supplier"/>
    <n v="7826"/>
    <s v="A AND V ZIPPERS PVT.LTD."/>
    <s v="NEW DELHI"/>
    <s v="07AADCA3655R1Z7"/>
    <s v="NOS"/>
    <m/>
    <n v="1"/>
    <n v="697701"/>
    <n v="697701"/>
    <s v="GST_India"/>
    <s v="AVZ/274/2025-26"/>
    <d v="2026-03-31T00:00:00.000"/>
    <s v="MISCELLENS"/>
    <n v="998515"/>
    <s v="PAYROLL STAFFING SERVICE"/>
    <m/>
    <m/>
    <n v="697701"/>
    <s v="Normal"/>
    <n v="18"/>
    <n v="62793.09"/>
    <n v="62793.09"/>
    <n v="0"/>
    <n v="0"/>
    <n v="0"/>
    <n v="0"/>
    <n v="0"/>
    <n v="0"/>
    <n v="0"/>
    <m/>
    <m/>
    <n v="0"/>
    <n v="823287.18"/>
    <s v="Y"/>
    <s v="N"/>
    <s v="11.7100.111.420301.1010.100007.0007.000000.000000.00000000"/>
    <n v="1126100024"/>
    <s v="HO_INTRA-STATE_OTH_REC_18%"/>
    <s v="INPUT_SERVICE"/>
    <m/>
    <x v="1"/>
    <x v="0"/>
    <s v="Yes"/>
    <s v="07"/>
    <s v="Delhi"/>
    <s v="07AADCA3655R1Z7AVZ/274/2025-26"/>
    <n v="125586.18"/>
    <n v="125586.18"/>
    <n v="0"/>
    <s v="Matched"/>
    <n v="9151134"/>
    <s v="Fwd Rec"/>
  </r>
  <r>
    <s v="Payable Invoice"/>
    <s v="AP_INVOICE "/>
    <n v="107"/>
    <s v="Godfrey_Phillips_India_Limited_HO"/>
    <s v="GPIL_HO_New_Delhi(Services)"/>
    <m/>
    <m/>
    <s v="07AABCG4768K1Z9"/>
    <s v="AP_INVOICES"/>
    <s v="STANDARD VALIDATED TAX"/>
    <s v="IA"/>
    <s v="STANDARD"/>
    <d v="2026-04-14T00:00:00.000"/>
    <s v="DLS2627000000660"/>
    <n v="9155615"/>
    <d v="2026-04-02T00:00:00.000"/>
    <s v="Supplier"/>
    <n v="2770"/>
    <s v="CANON INDIA PVT. LTD."/>
    <s v="OKHLA"/>
    <s v="07AAACC4175D1Z0"/>
    <s v="NOS"/>
    <m/>
    <n v="1"/>
    <n v="2137.98"/>
    <n v="2137.98"/>
    <s v="GST_India"/>
    <s v="DLS2627000000660"/>
    <d v="2026-04-02T00:00:00.000"/>
    <s v="MISCELLENS"/>
    <n v="84439952"/>
    <s v="Supply of TonerInk Spares along with Support Services"/>
    <m/>
    <m/>
    <n v="2137.98"/>
    <s v="Normal"/>
    <n v="18"/>
    <n v="192.42"/>
    <n v="192.42"/>
    <n v="0"/>
    <n v="0"/>
    <n v="0"/>
    <n v="0"/>
    <n v="0"/>
    <n v="0"/>
    <n v="0"/>
    <m/>
    <m/>
    <n v="0"/>
    <n v="2522.82"/>
    <s v="Y"/>
    <s v="N"/>
    <s v="11.7100.111.234010.0000.000000.0007.000000.000000.00000000"/>
    <n v="1126100065"/>
    <s v="HO_INTRA-STATE_OTH_REC_18%"/>
    <s v="INPUT_SERVICE"/>
    <m/>
    <x v="1"/>
    <x v="0"/>
    <s v="Yes"/>
    <s v="07"/>
    <s v="Delhi"/>
    <s v="07AAACC4175D1Z0DLS2627000000660"/>
    <n v="384.84"/>
    <n v="1123.84"/>
    <n v="-739"/>
    <s v="Matched"/>
    <n v="9155615"/>
    <s v="Fwd Rec"/>
  </r>
  <r>
    <s v="Payable Invoice"/>
    <s v="AP_INVOICE "/>
    <n v="107"/>
    <s v="Godfrey_Phillips_India_Limited_HO"/>
    <s v="GPIL_HO_New_Delhi(Services)"/>
    <m/>
    <m/>
    <s v="07AABCG4768K1Z9"/>
    <s v="AP_INVOICES"/>
    <s v="STANDARD VALIDATED TAX"/>
    <s v="Manual Invoice Entry"/>
    <s v="STANDARD"/>
    <d v="2026-04-30T00:00:00.000"/>
    <s v="MH25I00004429548"/>
    <n v="9178796"/>
    <d v="2026-03-09T00:00:00.000"/>
    <s v="Supplier"/>
    <n v="11570"/>
    <s v="TATA AIG GENERAL INSURANCE COMPANY LIMITED"/>
    <s v="MUMBAI"/>
    <s v="27AABCT3518Q1ZW"/>
    <m/>
    <m/>
    <n v="0"/>
    <n v="0"/>
    <n v="9270"/>
    <s v="GST_India"/>
    <s v="MH25I00004429548"/>
    <d v="2026-03-09T00:00:00.000"/>
    <m/>
    <n v="9971"/>
    <s v="Motor Car Renewal DL7CW4741 Maruti xl-6  User ED Office"/>
    <m/>
    <m/>
    <n v="9270"/>
    <s v="Normal"/>
    <n v="18"/>
    <n v="0"/>
    <n v="0"/>
    <n v="1668.6"/>
    <n v="0"/>
    <n v="0"/>
    <n v="0"/>
    <n v="0"/>
    <n v="0"/>
    <n v="0"/>
    <m/>
    <m/>
    <n v="0"/>
    <n v="10938.6"/>
    <s v="N"/>
    <s v="N"/>
    <s v="11.7100.111.234010.0000.000000.0007.000000.000000.00000000"/>
    <n v="1126100478"/>
    <s v="HO_INTER-STATE_OTH_NON_REC_18%"/>
    <s v="INPUT_SERVICE"/>
    <m/>
    <x v="0"/>
    <x v="0"/>
    <s v="Yes"/>
    <s v="07"/>
    <s v="Delhi"/>
    <s v="27AABCT3518Q1ZWMH25I00004429548"/>
    <n v="1668.6"/>
    <n v="1669"/>
    <n v="0"/>
    <s v="Matched"/>
    <n v="9178796"/>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24"/>
    <n v="6600"/>
    <s v="GST_India"/>
    <s v="DFSI2600000412"/>
    <d v="2026-04-09T00:00:00.000"/>
    <s v="BUDMINTIND"/>
    <n v="998729"/>
    <s v="VEHICLE CARE SET 1 VEHICLE"/>
    <m/>
    <m/>
    <n v="6600"/>
    <s v="Normal"/>
    <n v="18"/>
    <n v="0"/>
    <n v="0"/>
    <n v="1188"/>
    <n v="0"/>
    <n v="0"/>
    <n v="0"/>
    <n v="0"/>
    <n v="0"/>
    <n v="0"/>
    <m/>
    <m/>
    <n v="0"/>
    <n v="7788"/>
    <s v="N"/>
    <s v="N"/>
    <s v="11.7100.111.414301.1011.111636.0007.000000.000000.00000000"/>
    <n v="1126100105"/>
    <s v="HO_INTER-STATE_OTH_NON_REC_18%"/>
    <s v="INPUT_TDS_194C"/>
    <m/>
    <x v="0"/>
    <x v="0"/>
    <s v="Yes"/>
    <s v="07"/>
    <s v="Delhi"/>
    <s v="06AAGCD4246E1ZXDFSI2600000412"/>
    <n v="1188"/>
    <n v="38182.88"/>
    <n v="-36995"/>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7839.83"/>
    <n v="2"/>
    <n v="15679.66"/>
    <s v="GST_India"/>
    <s v="DFSI2600000751"/>
    <d v="2026-04-17T00:00:00.000"/>
    <s v="BUDMINTIND"/>
    <n v="34053000"/>
    <s v="CERAMIC COAT"/>
    <m/>
    <m/>
    <n v="15679.66"/>
    <s v="Normal"/>
    <n v="18"/>
    <n v="0"/>
    <n v="0"/>
    <n v="2822.34"/>
    <n v="0"/>
    <n v="0"/>
    <n v="0"/>
    <n v="0"/>
    <n v="0"/>
    <n v="0"/>
    <m/>
    <m/>
    <n v="0"/>
    <n v="18502"/>
    <s v="N"/>
    <s v="N"/>
    <s v="11.7100.111.414301.1000.100007.0007.000000.000000.00000000"/>
    <n v="1126100446"/>
    <s v="HO_INTER-STATE_OTH_NON_REC_18%"/>
    <s v="INPUT_TDS_194C"/>
    <m/>
    <x v="0"/>
    <x v="0"/>
    <s v="Yes"/>
    <s v="07"/>
    <s v="Delhi"/>
    <s v="06AAGCD4246E1ZXDFSI2600000751"/>
    <n v="2822.34"/>
    <n v="36494.74"/>
    <n v="-33672"/>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20"/>
    <n v="3"/>
    <n v="660"/>
    <s v="GST_India"/>
    <s v="DFSI2600000751"/>
    <d v="2026-04-17T00:00:00.000"/>
    <s v="BUDMINTIND"/>
    <n v="998729"/>
    <s v="ENGINE OIL SERVICE"/>
    <m/>
    <m/>
    <n v="660"/>
    <s v="Normal"/>
    <n v="18"/>
    <n v="0"/>
    <n v="0"/>
    <n v="118.8"/>
    <n v="0"/>
    <n v="0"/>
    <n v="0"/>
    <n v="0"/>
    <n v="0"/>
    <n v="0"/>
    <m/>
    <m/>
    <n v="0"/>
    <n v="778.8"/>
    <s v="N"/>
    <s v="N"/>
    <s v="11.7100.111.414301.1000.100007.0007.000000.000000.00000000"/>
    <n v="1126100446"/>
    <s v="HO_INTER-STATE_OTH_NON_REC_18%"/>
    <s v="INPUT_TDS_194C"/>
    <m/>
    <x v="0"/>
    <x v="0"/>
    <s v="Yes"/>
    <s v="07"/>
    <s v="Delhi"/>
    <s v="06AAGCD4246E1ZXDFSI2600000751"/>
    <n v="118.8"/>
    <n v="36494.74"/>
    <n v="-36376"/>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063997"/>
    <n v="9156751"/>
    <d v="2026-04-03T00:00:00.000"/>
    <s v="Supplier"/>
    <n v="6262"/>
    <s v="BHARTI AIRTEL LIMITED"/>
    <s v="HO"/>
    <s v="07AAACB2894G1ZP"/>
    <s v="NOS"/>
    <m/>
    <n v="1"/>
    <n v="565"/>
    <n v="565"/>
    <s v="GST_India"/>
    <s v="MF2707I000063997"/>
    <d v="2026-04-03T00:00:00.000"/>
    <s v="MISCELLENS"/>
    <n v="998413"/>
    <s v="AIRTEL MOBILE BILLS FOR THE MONTH OF MAR 2026-CHANDRA SHEKHAR SHARMA"/>
    <m/>
    <m/>
    <n v="565"/>
    <s v="Normal"/>
    <n v="18"/>
    <n v="50.85"/>
    <n v="50.85"/>
    <n v="0"/>
    <n v="0"/>
    <n v="0"/>
    <n v="0"/>
    <n v="0"/>
    <n v="0"/>
    <n v="0"/>
    <m/>
    <m/>
    <n v="0"/>
    <n v="666.7"/>
    <s v="Y"/>
    <s v="N"/>
    <s v="11.7100.111.420803.1009.110908.0007.000000.000000.00000000"/>
    <n v="1126100079"/>
    <s v="HO_INTRA-STATE_OTH_REC_18%"/>
    <s v="INPUT_SERVICE"/>
    <m/>
    <x v="1"/>
    <x v="0"/>
    <s v="Yes"/>
    <s v="07"/>
    <s v="Delhi"/>
    <s v="07AAACB2894G1ZPMF2707I000063997"/>
    <n v="101.7"/>
    <n v="101.7"/>
    <n v="0"/>
    <s v="Matched"/>
    <n v="9156751"/>
    <s v="Fwd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2431"/>
    <n v="2431"/>
    <s v="GST_India"/>
    <s v="MF2707I000063444"/>
    <d v="2026-04-03T00:00:00.000"/>
    <s v="MISCELLENS"/>
    <n v="998413"/>
    <s v="AIRTEL MOBILE BILLS FOR THE MONTH OF MAR 2026"/>
    <m/>
    <m/>
    <n v="2431"/>
    <s v="Normal"/>
    <n v="18"/>
    <n v="218.79"/>
    <n v="218.79"/>
    <n v="0"/>
    <n v="0"/>
    <n v="0"/>
    <n v="0"/>
    <n v="0"/>
    <n v="0"/>
    <n v="0"/>
    <m/>
    <m/>
    <n v="0"/>
    <n v="2868.58"/>
    <s v="Y"/>
    <s v="N"/>
    <s v="11.7100.111.420803.1000.000000.0007.000000.000000.00000000"/>
    <n v="1126100078"/>
    <s v="HO_INTRA-STATE_OTH_REC_18%"/>
    <s v="INPUT_SERVICE"/>
    <m/>
    <x v="1"/>
    <x v="0"/>
    <s v="Yes"/>
    <s v="07"/>
    <s v="Delhi"/>
    <s v="07AAACB2894G1ZPMF2707I000063444"/>
    <n v="437.58"/>
    <n v="8534.42"/>
    <n v="-8097"/>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1074.6"/>
    <n v="1"/>
    <n v="1074.6"/>
    <s v="GST_India"/>
    <s v="TXA26-00607"/>
    <d v="2026-04-17T00:00:00.000"/>
    <s v="BUDMINTIND"/>
    <n v="998729"/>
    <s v="WHEEL ALIGNMENT INSP"/>
    <m/>
    <m/>
    <n v="1074.6"/>
    <s v="Normal"/>
    <n v="18"/>
    <n v="96.71"/>
    <n v="96.71"/>
    <n v="0"/>
    <n v="0"/>
    <n v="0"/>
    <n v="0"/>
    <n v="0"/>
    <n v="0"/>
    <n v="0"/>
    <m/>
    <m/>
    <n v="0"/>
    <n v="1268.02"/>
    <s v="N"/>
    <s v="N"/>
    <s v="11.7100.111.414301.1009.110908.0007.000000.000000.00000000"/>
    <n v="1126100447"/>
    <s v="HO_INTRA-STATE_OTH_NON_REC_18%"/>
    <s v="INPUT_TDS_194C"/>
    <m/>
    <x v="0"/>
    <x v="0"/>
    <s v="Yes"/>
    <s v="07"/>
    <s v="Delhi"/>
    <s v="07AANCS0651B1ZMTXA26-00607"/>
    <n v="193.42"/>
    <n v="2435.38"/>
    <n v="-2242"/>
    <s v="Matched"/>
    <n v="9175014"/>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10"/>
    <n v="2750"/>
    <s v="GST_India"/>
    <s v="DFSI2600000751"/>
    <d v="2026-04-17T00:00:00.000"/>
    <s v="BUDMINTIND"/>
    <n v="998729"/>
    <s v="KINEMATICS DIAGNOSIS SYSTEM WHEEL ALIGNMENT WITH RIDE HEIGHT MEASUREMENT WITHOUT LOADING THE VEHICLE"/>
    <m/>
    <m/>
    <n v="2750"/>
    <s v="Normal"/>
    <n v="18"/>
    <n v="0"/>
    <n v="0"/>
    <n v="495"/>
    <n v="0"/>
    <n v="0"/>
    <n v="0"/>
    <n v="0"/>
    <n v="0"/>
    <n v="0"/>
    <m/>
    <m/>
    <n v="0"/>
    <n v="3245"/>
    <s v="N"/>
    <s v="N"/>
    <s v="11.7100.111.414301.1000.100007.0007.000000.000000.00000000"/>
    <n v="1126100446"/>
    <s v="HO_INTER-STATE_OTH_NON_REC_18%"/>
    <s v="INPUT_TDS_194C"/>
    <m/>
    <x v="0"/>
    <x v="0"/>
    <s v="Yes"/>
    <s v="07"/>
    <s v="Delhi"/>
    <s v="06AAGCD4246E1ZXDFSI2600000751"/>
    <n v="495"/>
    <n v="36494.74"/>
    <n v="-36000"/>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400"/>
    <n v="400"/>
    <s v="GST_India"/>
    <s v="MF2707I000063444"/>
    <d v="2026-04-03T00:00:00.000"/>
    <s v="MISCELLENS"/>
    <n v="998413"/>
    <s v="AIRTEL MOBILE BILLS FOR THE MONTH OF MAR 2026"/>
    <m/>
    <m/>
    <n v="400"/>
    <s v="Normal"/>
    <n v="18"/>
    <n v="36"/>
    <n v="36"/>
    <n v="0"/>
    <n v="0"/>
    <n v="0"/>
    <n v="0"/>
    <n v="0"/>
    <n v="0"/>
    <n v="0"/>
    <m/>
    <m/>
    <n v="0"/>
    <n v="472"/>
    <s v="Y"/>
    <s v="N"/>
    <s v="11.7100.111.420803.1000.000000.0007.000000.000000.00000000"/>
    <n v="1126100078"/>
    <s v="HO_INTRA-STATE_OTH_REC_18%"/>
    <s v="INPUT_SERVICE"/>
    <m/>
    <x v="1"/>
    <x v="0"/>
    <s v="Yes"/>
    <s v="07"/>
    <s v="Delhi"/>
    <s v="07AAACB2894G1ZPMF2707I000063444"/>
    <n v="72"/>
    <n v="8534.42"/>
    <n v="-8462"/>
    <s v="Matched"/>
    <n v="9156749"/>
    <s v="Fwd Rec"/>
  </r>
  <r>
    <s v="Payable Invoice"/>
    <s v="AP_INVOICE "/>
    <n v="107"/>
    <s v="Godfrey_Phillips_India_Limited_HO"/>
    <s v="GPIL_HO_New_Delhi(Services)"/>
    <m/>
    <m/>
    <s v="07AABCG4768K1Z9"/>
    <s v="AP_INVOICES"/>
    <s v="STANDARD VALIDATED TAX"/>
    <s v="IA"/>
    <s v="STANDARD"/>
    <d v="2026-04-14T00:00:00.000"/>
    <s v="DLS2627000000355"/>
    <n v="9155612"/>
    <d v="2025-04-02T00:00:00.000"/>
    <s v="Supplier"/>
    <n v="2770"/>
    <s v="CANON INDIA PVT. LTD."/>
    <s v="OKHLA"/>
    <s v="07AAACC4175D1Z0"/>
    <s v="NOS"/>
    <m/>
    <n v="1"/>
    <n v="1937.42"/>
    <n v="1937.42"/>
    <s v="GST_India"/>
    <s v="DLS2627000000355"/>
    <d v="2025-04-02T00:00:00.000"/>
    <s v="MISCELLENS"/>
    <n v="84439952"/>
    <s v="Supply of TonerInk and Spares along with Support Services"/>
    <m/>
    <m/>
    <n v="1937.42"/>
    <s v="Normal"/>
    <n v="18"/>
    <n v="174.37"/>
    <n v="174.37"/>
    <n v="0"/>
    <n v="0"/>
    <n v="0"/>
    <n v="0"/>
    <n v="0"/>
    <n v="0"/>
    <n v="0"/>
    <m/>
    <m/>
    <n v="0"/>
    <n v="2286.16"/>
    <s v="Y"/>
    <s v="N"/>
    <s v="11.7100.111.234010.0000.000000.0007.000000.000000.00000000"/>
    <n v="1126100062"/>
    <s v="HO_INTRA-STATE_OTH_REC_18%"/>
    <s v="INPUT_SERVICE"/>
    <m/>
    <x v="1"/>
    <x v="0"/>
    <s v="Yes"/>
    <s v="07"/>
    <s v="Delhi"/>
    <s v="07AAACC4175D1Z0DLS2627000000355"/>
    <n v="348.74"/>
    <n v="348.74"/>
    <n v="0"/>
    <s v="Matched"/>
    <n v="9155612"/>
    <s v="Fwd Rec"/>
  </r>
  <r>
    <s v="Payable Invoice"/>
    <s v="AP_INVOICE "/>
    <n v="107"/>
    <s v="Godfrey_Phillips_India_Limited_HO"/>
    <s v="GPIL_HO_New_Delhi(Services)"/>
    <m/>
    <m/>
    <s v="07AABCG4768K1Z9"/>
    <s v="AP_INVOICES"/>
    <s v="STANDARD VALIDATED TAX"/>
    <s v="IA"/>
    <s v="STANDARD"/>
    <d v="2026-04-14T00:00:00.000"/>
    <s v="DLS2627000000642"/>
    <n v="9155618"/>
    <d v="2026-04-02T00:00:00.000"/>
    <s v="Supplier"/>
    <n v="2770"/>
    <s v="CANON INDIA PVT. LTD."/>
    <s v="OKHLA"/>
    <s v="07AAACC4175D1Z0"/>
    <s v="NOS"/>
    <m/>
    <n v="1"/>
    <n v="40"/>
    <n v="40"/>
    <s v="GST_India"/>
    <s v="DLS2627000000642"/>
    <d v="2026-04-02T00:00:00.000"/>
    <s v="MISCELLENS"/>
    <n v="84439952"/>
    <s v="Supply of TonerInk and Spares along with Support Services"/>
    <m/>
    <m/>
    <n v="40"/>
    <s v="Normal"/>
    <n v="18"/>
    <n v="3.6"/>
    <n v="3.6"/>
    <n v="0"/>
    <n v="0"/>
    <n v="0"/>
    <n v="0"/>
    <n v="0"/>
    <n v="0"/>
    <n v="0"/>
    <m/>
    <m/>
    <n v="0"/>
    <n v="47.2"/>
    <s v="Y"/>
    <s v="N"/>
    <s v="11.7100.111.234010.0000.000000.0007.000000.000000.00000000"/>
    <n v="1126100068"/>
    <s v="HO_INTRA-STATE_OTH_REC_18%"/>
    <s v="INPUT_SERVICE"/>
    <m/>
    <x v="1"/>
    <x v="0"/>
    <s v="Yes"/>
    <s v="07"/>
    <s v="Delhi"/>
    <s v="07AAACC4175D1Z0DLS2627000000642"/>
    <n v="7.2"/>
    <n v="840.1"/>
    <n v="-833"/>
    <s v="Matched"/>
    <n v="9155618"/>
    <s v="Fwd Rec"/>
  </r>
  <r>
    <s v="Payable Invoice"/>
    <s v="AP_INVOICE "/>
    <n v="107"/>
    <s v="Godfrey_Phillips_India_Limited_HO"/>
    <s v="GPIL_HO_New_Delhi(Services)"/>
    <m/>
    <m/>
    <s v="07AABCG4768K1Z9"/>
    <s v="AP_INVOICES"/>
    <s v="STANDARD VALIDATED TAX"/>
    <s v="IA"/>
    <s v="STANDARD"/>
    <d v="2026-04-14T00:00:00.000"/>
    <s v="DLS2627000000644"/>
    <n v="9155608"/>
    <d v="2026-04-02T00:00:00.000"/>
    <s v="Supplier"/>
    <n v="2770"/>
    <s v="CANON INDIA PVT. LTD."/>
    <s v="OKHLA"/>
    <s v="07AAACC4175D1Z0"/>
    <s v="NOS"/>
    <m/>
    <n v="1"/>
    <n v="10"/>
    <n v="10"/>
    <s v="GST_India"/>
    <s v="DLS2627000000644"/>
    <d v="2026-04-02T00:00:00.000"/>
    <s v="MISCELLENS"/>
    <n v="84439952"/>
    <s v="Supply of TonerInk Spares along Support Services"/>
    <m/>
    <m/>
    <n v="10"/>
    <s v="Normal"/>
    <n v="18"/>
    <n v="0.9"/>
    <n v="0.9"/>
    <n v="0"/>
    <n v="0"/>
    <n v="0"/>
    <n v="0"/>
    <n v="0"/>
    <n v="0"/>
    <n v="0"/>
    <m/>
    <m/>
    <n v="0"/>
    <n v="11.8"/>
    <s v="Y"/>
    <s v="N"/>
    <s v="11.7100.111.234010.0000.000000.0007.000000.000000.00000000"/>
    <n v="1126100058"/>
    <s v="HO_INTRA-STATE_OTH_REC_18%"/>
    <s v="INPUT_SERVICE"/>
    <m/>
    <x v="1"/>
    <x v="0"/>
    <s v="Yes"/>
    <s v="07"/>
    <s v="Delhi"/>
    <s v="07AAACC4175D1Z0DLS2627000000644"/>
    <n v="1.8"/>
    <n v="1873.72"/>
    <n v="-1872"/>
    <s v="Matched"/>
    <n v="9155608"/>
    <s v="Fwd Rec"/>
  </r>
  <r>
    <s v="Payable Invoice"/>
    <s v="AP_INVOICE "/>
    <n v="107"/>
    <s v="Godfrey_Phillips_India_Limited_HO"/>
    <s v="GPIL_HO_New_Delhi(Services)"/>
    <m/>
    <m/>
    <s v="07AABCG4768K1Z9"/>
    <s v="AP_INVOICES"/>
    <s v="STANDARD VALIDATED TAX"/>
    <s v="IA"/>
    <s v="STANDARD"/>
    <d v="2026-04-15T00:00:00.000"/>
    <s v="HRF2627000000686"/>
    <n v="9156860"/>
    <d v="2026-04-01T00:00:00.000"/>
    <s v="Supplier"/>
    <n v="2770"/>
    <s v="CANON INDIA PVT. LTD."/>
    <s v="GURGAON-1A"/>
    <s v="06AAACC4175D1Z2"/>
    <s v="NOS"/>
    <m/>
    <n v="1"/>
    <n v="4365"/>
    <n v="4365"/>
    <s v="GST_India"/>
    <s v="HRF2627000000686"/>
    <d v="2026-04-01T00:00:00.000"/>
    <s v="BUDMINTIND"/>
    <n v="997314"/>
    <s v="Rental Charges For iR-ADV DX C"/>
    <m/>
    <m/>
    <n v="4365"/>
    <s v="Normal"/>
    <n v="18"/>
    <n v="0"/>
    <n v="0"/>
    <n v="785.7"/>
    <n v="0"/>
    <n v="0"/>
    <n v="0"/>
    <n v="0"/>
    <n v="0"/>
    <n v="0"/>
    <m/>
    <m/>
    <n v="0"/>
    <n v="5150.7"/>
    <s v="Y"/>
    <s v="N"/>
    <s v="11.7100.111.414703.2700.000000.0007.000000.000000.00000000"/>
    <n v="1126100089"/>
    <s v="HO_INTER-STATE_OTH_REC_18%"/>
    <s v="INPUT_SERVICE"/>
    <m/>
    <x v="1"/>
    <x v="0"/>
    <s v="Yes"/>
    <s v="07"/>
    <s v="Delhi"/>
    <s v="06AAACC4175D1Z2HRF2627000000686"/>
    <n v="785.7"/>
    <n v="785.7"/>
    <n v="0"/>
    <s v="Matched"/>
    <n v="9156860"/>
    <s v="Fwd Rec"/>
  </r>
  <r>
    <s v="Payable Invoice"/>
    <s v="AP_INVOICE "/>
    <n v="107"/>
    <s v="Godfrey_Phillips_India_Limited_HO"/>
    <s v="GPIL_HO_New_Delhi(Services)"/>
    <m/>
    <s v="HO New Friends Colony"/>
    <s v="07AABCG4768K1Z9"/>
    <s v="AP_INVOICES"/>
    <s v="STANDARD CREATED"/>
    <s v="Manual Invoice Entry"/>
    <s v="STANDARD"/>
    <d v="2026-04-23T00:00:00.000"/>
    <n v="3473455437"/>
    <n v="9167997"/>
    <d v="2026-04-15T00:00:00.000"/>
    <s v="Supplier"/>
    <n v="39705"/>
    <s v="TATA TELESERVICES  LIMITED"/>
    <s v="NEW DELHI"/>
    <s v="07AAACT2438A1ZV"/>
    <s v="NOS"/>
    <m/>
    <n v="1"/>
    <n v="31750"/>
    <n v="31750"/>
    <s v="GST_India"/>
    <n v="3473455437"/>
    <d v="2026-04-15T00:00:00.000"/>
    <s v="BUDMINTIND"/>
    <n v="998412"/>
    <s v="TATA PRI bill for the period of 13-03-2026  to 12.04.2026– Jasola Office"/>
    <m/>
    <m/>
    <n v="31750"/>
    <s v="Normal"/>
    <n v="18"/>
    <n v="2857.5"/>
    <n v="2857.5"/>
    <n v="0"/>
    <n v="0"/>
    <n v="0"/>
    <n v="0"/>
    <n v="0"/>
    <n v="0"/>
    <n v="0"/>
    <m/>
    <m/>
    <n v="0"/>
    <n v="37465"/>
    <s v="Y"/>
    <s v="N"/>
    <s v="11.7100.111.420801.1010.000000.0007.000000.000000.00000000"/>
    <n v="1126100350"/>
    <s v="HO_INTRA-STATE_OTH_REC_18%"/>
    <s v="INPUT_SERVICE"/>
    <m/>
    <x v="1"/>
    <x v="0"/>
    <s v="Yes"/>
    <s v="07"/>
    <s v="Delhi"/>
    <s v="07AAACT2438A1ZV3473455437"/>
    <n v="5715"/>
    <n v="5715"/>
    <n v="0"/>
    <s v="Matched"/>
    <n v="9167997"/>
    <s v="Fwd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17.37"/>
    <n v="1"/>
    <n v="2717.37"/>
    <s v="GST_India"/>
    <s v="DFSI2600000751"/>
    <d v="2026-04-17T00:00:00.000"/>
    <s v="BUDMINTIND"/>
    <n v="34029099"/>
    <s v="AIR CONDITIO"/>
    <m/>
    <m/>
    <n v="2717.37"/>
    <s v="Normal"/>
    <n v="18"/>
    <n v="0"/>
    <n v="0"/>
    <n v="489.13"/>
    <n v="0"/>
    <n v="0"/>
    <n v="0"/>
    <n v="0"/>
    <n v="0"/>
    <n v="0"/>
    <m/>
    <m/>
    <n v="0"/>
    <n v="3206.5"/>
    <s v="N"/>
    <s v="N"/>
    <s v="11.7100.111.414301.1000.100007.0007.000000.000000.00000000"/>
    <n v="1126100446"/>
    <s v="HO_INTER-STATE_OTH_NON_REC_18%"/>
    <s v="INPUT_TDS_194C"/>
    <m/>
    <x v="0"/>
    <x v="0"/>
    <s v="Yes"/>
    <s v="07"/>
    <s v="Delhi"/>
    <s v="06AAGCD4246E1ZXDFSI2600000751"/>
    <n v="489.13"/>
    <n v="36494.74"/>
    <n v="-36006"/>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0.001"/>
    <n v="0.28"/>
    <s v="GST_India"/>
    <s v="DFSI2600000751"/>
    <d v="2026-04-17T00:00:00.000"/>
    <s v="BUDMINTIND"/>
    <n v="998729"/>
    <s v="JOB TIME WITHOUT ALLOWANCE FOR WHEELS"/>
    <m/>
    <m/>
    <n v="0.28"/>
    <s v="Normal"/>
    <n v="18"/>
    <n v="0"/>
    <n v="0"/>
    <n v="0.05"/>
    <n v="0"/>
    <n v="0"/>
    <n v="0"/>
    <n v="0"/>
    <n v="0"/>
    <n v="0"/>
    <m/>
    <m/>
    <n v="0"/>
    <n v="0.33"/>
    <s v="N"/>
    <s v="N"/>
    <s v="11.7100.111.414301.1000.100007.0007.000000.000000.00000000"/>
    <n v="1126100446"/>
    <s v="HO_INTER-STATE_OTH_NON_REC_18%"/>
    <s v="INPUT_TDS_194C"/>
    <m/>
    <x v="0"/>
    <x v="0"/>
    <s v="Yes"/>
    <s v="07"/>
    <s v="Delhi"/>
    <s v="06AAGCD4246E1ZXDFSI2600000751"/>
    <n v="0.05"/>
    <n v="36494.74"/>
    <n v="-36495"/>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35"/>
    <n v="9625"/>
    <s v="GST_India"/>
    <s v="DFSI2600000751"/>
    <d v="2026-04-17T00:00:00.000"/>
    <s v="BUDMINTIND"/>
    <n v="998729"/>
    <s v="REMOVING AND INSTALLING INTAKE MANIFOLD"/>
    <m/>
    <m/>
    <n v="9625"/>
    <s v="Normal"/>
    <n v="18"/>
    <n v="0"/>
    <n v="0"/>
    <n v="1732.5"/>
    <n v="0"/>
    <n v="0"/>
    <n v="0"/>
    <n v="0"/>
    <n v="0"/>
    <n v="0"/>
    <m/>
    <m/>
    <n v="0"/>
    <n v="11357.5"/>
    <s v="N"/>
    <s v="N"/>
    <s v="11.7100.111.414301.1000.100007.0007.000000.000000.00000000"/>
    <n v="1126100446"/>
    <s v="HO_INTER-STATE_OTH_NON_REC_18%"/>
    <s v="INPUT_TDS_194C"/>
    <m/>
    <x v="0"/>
    <x v="0"/>
    <s v="Yes"/>
    <s v="07"/>
    <s v="Delhi"/>
    <s v="06AAGCD4246E1ZXDFSI2600000751"/>
    <n v="1732.5"/>
    <n v="36494.74"/>
    <n v="-34762"/>
    <s v="Matched"/>
    <n v="9174963"/>
    <s v="Fwd Non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3280"/>
    <n v="1"/>
    <n v="3280"/>
    <s v="GST_India"/>
    <s v="GPI-HOC250400365"/>
    <d v="2025-11-29T00:00:00.000"/>
    <m/>
    <n v="998213"/>
    <s v="Printing  photocopying and other miscellaneous out of pocket expenses"/>
    <m/>
    <m/>
    <n v="3280"/>
    <s v="Normal"/>
    <n v="18"/>
    <n v="295.2"/>
    <n v="295.2"/>
    <n v="0"/>
    <n v="0"/>
    <n v="0"/>
    <n v="0"/>
    <n v="0"/>
    <n v="0"/>
    <n v="0"/>
    <m/>
    <m/>
    <n v="0"/>
    <n v="3870.4"/>
    <s v="Y"/>
    <s v="Y"/>
    <s v="11.7100.111.234010.0000.000000.0007.000000.000000.00000000"/>
    <n v="1126100459"/>
    <s v="HO_REV_CHARGE_REC_18%"/>
    <s v="INPUT_SERVICE"/>
    <m/>
    <x v="2"/>
    <x v="1"/>
    <s v="No"/>
    <s v="07"/>
    <s v="Delhi"/>
    <s v="GPI-HOC250400365"/>
    <n v="590.4"/>
    <e v="#N/A"/>
    <e v="#N/A"/>
    <s v="RCM"/>
    <n v="9177454"/>
    <s v="RCM Rec"/>
  </r>
  <r>
    <s v="Payable Invoice"/>
    <s v="AP_INVOICE "/>
    <n v="107"/>
    <s v="Godfrey_Phillips_India_Limited_HO"/>
    <s v="GPIL_HO_New_Delhi(Services)"/>
    <m/>
    <m/>
    <s v="07AABCG4768K1Z9"/>
    <s v="AP_INVOICES"/>
    <s v="STANDARD VALIDATED TAX"/>
    <s v="IA"/>
    <s v="STANDARD"/>
    <d v="2026-04-21T00:00:00.000"/>
    <s v="741/2025-2026"/>
    <n v="9164023"/>
    <d v="2026-03-27T00:00:00.000"/>
    <s v="Supplier"/>
    <n v="45456"/>
    <s v="SAGA LEGAL"/>
    <s v="HEAD OFFICE"/>
    <m/>
    <m/>
    <m/>
    <n v="650"/>
    <n v="1"/>
    <n v="650"/>
    <s v="GST_India"/>
    <s v="741/2025-2026"/>
    <d v="2026-03-27T00:00:00.000"/>
    <m/>
    <n v="998216"/>
    <s v="Printing  Photocopying  Scanning Expense."/>
    <m/>
    <m/>
    <n v="650"/>
    <s v="Normal"/>
    <n v="18"/>
    <n v="58.5"/>
    <n v="58.5"/>
    <n v="0"/>
    <n v="0"/>
    <n v="0"/>
    <n v="0"/>
    <n v="0"/>
    <n v="0"/>
    <n v="0"/>
    <m/>
    <m/>
    <n v="0"/>
    <n v="767"/>
    <s v="Y"/>
    <s v="Y"/>
    <s v="11.7100.111.234010.0000.000000.0007.000000.000000.00000000"/>
    <n v="1125113946"/>
    <s v="HO_REV_CHARGE_REC_18%"/>
    <s v="INPUT_SERVICE"/>
    <m/>
    <x v="2"/>
    <x v="1"/>
    <s v="No"/>
    <s v="07"/>
    <s v="Delhi"/>
    <s v="741/2025-2026"/>
    <n v="117"/>
    <e v="#N/A"/>
    <e v="#N/A"/>
    <s v="RCM"/>
    <n v="9164023"/>
    <s v="RCM Rec"/>
  </r>
  <r>
    <s v="Payable Invoice"/>
    <s v="AP_INVOICE "/>
    <n v="107"/>
    <s v="Godfrey_Phillips_India_Limited_HO"/>
    <s v="GPIL_HO_New_Delhi(Services)"/>
    <m/>
    <m/>
    <s v="07AABCG4768K1Z9"/>
    <s v="AP_INVOICES"/>
    <s v="STANDARD VALIDATED TAX"/>
    <s v="IA"/>
    <s v="STANDARD"/>
    <d v="2026-04-14T00:00:00.000"/>
    <s v="DLS2627000000354"/>
    <n v="9155614"/>
    <d v="2026-04-02T00:00:00.000"/>
    <s v="Supplier"/>
    <n v="2770"/>
    <s v="CANON INDIA PVT. LTD."/>
    <s v="OKHLA"/>
    <s v="07AAACC4175D1Z0"/>
    <s v="NOS"/>
    <m/>
    <n v="1"/>
    <n v="1476.96"/>
    <n v="1476.96"/>
    <s v="GST_India"/>
    <s v="DLS2627000000354"/>
    <d v="2026-04-02T00:00:00.000"/>
    <s v="MISCELLENS"/>
    <n v="84439952"/>
    <s v="Supply of TonerInk and Spares along with Support Services"/>
    <m/>
    <m/>
    <n v="1476.96"/>
    <s v="Normal"/>
    <n v="18"/>
    <n v="132.93"/>
    <n v="132.93"/>
    <n v="0"/>
    <n v="0"/>
    <n v="0"/>
    <n v="0"/>
    <n v="0"/>
    <n v="0"/>
    <n v="0"/>
    <m/>
    <m/>
    <n v="0"/>
    <n v="1742.82"/>
    <s v="Y"/>
    <s v="N"/>
    <s v="11.7100.111.234010.0000.000000.0007.000000.000000.00000000"/>
    <n v="1126100064"/>
    <s v="HO_INTRA-STATE_OTH_REC_18%"/>
    <s v="INPUT_SERVICE"/>
    <m/>
    <x v="1"/>
    <x v="0"/>
    <s v="Yes"/>
    <s v="07"/>
    <s v="Delhi"/>
    <s v="07AAACC4175D1Z0DLS2627000000354"/>
    <n v="265.86"/>
    <n v="265.86"/>
    <n v="0"/>
    <s v="Matched"/>
    <n v="9155614"/>
    <s v="Fwd Rec"/>
  </r>
  <r>
    <s v="Payable Invoice"/>
    <s v="AP_INVOICE "/>
    <n v="107"/>
    <s v="Godfrey_Phillips_India_Limited_HO"/>
    <s v="GPIL_HO_New_Delhi(Services)"/>
    <m/>
    <m/>
    <s v="07AABCG4768K1Z9"/>
    <s v="AP_INVOICES"/>
    <s v="STANDARD VALIDATED TAX"/>
    <s v="IA"/>
    <s v="STANDARD"/>
    <d v="2026-04-14T00:00:00.000"/>
    <s v="DLS2627000000593"/>
    <n v="9155613"/>
    <d v="2026-04-02T00:00:00.000"/>
    <s v="Supplier"/>
    <n v="2770"/>
    <s v="CANON INDIA PVT. LTD."/>
    <s v="OKHLA"/>
    <s v="07AAACC4175D1Z0"/>
    <s v="NOS"/>
    <m/>
    <n v="1"/>
    <n v="27437.85"/>
    <n v="27437.85"/>
    <s v="GST_India"/>
    <s v="DLS2627000000593"/>
    <d v="2026-04-02T00:00:00.000"/>
    <s v="MISCELLENS"/>
    <n v="84439952"/>
    <s v="Supply at-Tonerink and Spares along with Support Services"/>
    <m/>
    <m/>
    <n v="27437.85"/>
    <s v="Normal"/>
    <n v="18"/>
    <n v="2469.41"/>
    <n v="2469.41"/>
    <n v="0"/>
    <n v="0"/>
    <n v="0"/>
    <n v="0"/>
    <n v="0"/>
    <n v="0"/>
    <n v="0"/>
    <m/>
    <m/>
    <n v="0"/>
    <n v="32376.67"/>
    <s v="Y"/>
    <s v="N"/>
    <s v="11.7100.111.234010.0000.000000.0007.000000.000000.00000000"/>
    <n v="1126100063"/>
    <s v="HO_INTRA-STATE_OTH_REC_18%"/>
    <s v="INPUT_SERVICE"/>
    <m/>
    <x v="1"/>
    <x v="0"/>
    <s v="Yes"/>
    <s v="07"/>
    <s v="Delhi"/>
    <s v="07AAACC4175D1Z0DLS2627000000593"/>
    <n v="4938.82"/>
    <n v="5381.62"/>
    <n v="-443"/>
    <s v="Matched"/>
    <n v="9155613"/>
    <s v="Fwd Rec"/>
  </r>
  <r>
    <s v="Payable Invoice"/>
    <s v="AP_INVOICE "/>
    <n v="107"/>
    <s v="Godfrey_Phillips_India_Limited_HO"/>
    <s v="GPIL_HO_New_Delhi(Services)"/>
    <m/>
    <m/>
    <s v="07AABCG4768K1Z9"/>
    <s v="AP_INVOICES"/>
    <s v="STANDARD VALIDATED TAX"/>
    <s v="IA"/>
    <s v="STANDARD"/>
    <d v="2026-04-14T00:00:00.000"/>
    <s v="DLS2627000000644"/>
    <n v="9155608"/>
    <d v="2026-04-02T00:00:00.000"/>
    <s v="Supplier"/>
    <n v="2770"/>
    <s v="CANON INDIA PVT. LTD."/>
    <s v="OKHLA"/>
    <s v="07AAACC4175D1Z0"/>
    <s v="NOS"/>
    <m/>
    <n v="1"/>
    <n v="6910.2"/>
    <n v="6910.2"/>
    <s v="GST_India"/>
    <s v="DLS2627000000644"/>
    <d v="2026-04-02T00:00:00.000"/>
    <s v="MISCELLENS"/>
    <n v="84439952"/>
    <s v="Supply ofTonerAnk and Spares along with Support Services"/>
    <m/>
    <m/>
    <n v="6910.2"/>
    <s v="Normal"/>
    <n v="18"/>
    <n v="621.92"/>
    <n v="621.92"/>
    <n v="0"/>
    <n v="0"/>
    <n v="0"/>
    <n v="0"/>
    <n v="0"/>
    <n v="0"/>
    <n v="0"/>
    <m/>
    <m/>
    <n v="0"/>
    <n v="8154.04"/>
    <s v="Y"/>
    <s v="N"/>
    <s v="11.7100.111.234010.0000.000000.0007.000000.000000.00000000"/>
    <n v="1126100058"/>
    <s v="HO_INTRA-STATE_OTH_REC_18%"/>
    <s v="INPUT_SERVICE"/>
    <m/>
    <x v="1"/>
    <x v="0"/>
    <s v="Yes"/>
    <s v="07"/>
    <s v="Delhi"/>
    <s v="07AAACC4175D1Z0DLS2627000000644"/>
    <n v="1243.84"/>
    <n v="1873.72"/>
    <n v="-630"/>
    <s v="Matched"/>
    <n v="9155608"/>
    <s v="Fwd Rec"/>
  </r>
  <r>
    <s v="Payable Invoice"/>
    <s v="AP_INVOICE "/>
    <n v="107"/>
    <s v="Godfrey_Phillips_India_Limited_HO"/>
    <s v="GPIL_HO_New_Delhi(Services)"/>
    <m/>
    <s v="HO New Friends Colony"/>
    <s v="07AABCG4768K1Z9"/>
    <s v="AP_INVOICES"/>
    <s v="STANDARD CREATED"/>
    <s v="IA"/>
    <s v="STANDARD"/>
    <d v="2026-04-27T00:00:00.000"/>
    <s v="BDLI000511/26-27"/>
    <n v="9173789"/>
    <d v="2026-04-13T00:00:00.000"/>
    <s v="Supplier"/>
    <n v="35005"/>
    <s v="SHYAM SPECTRA PVT. LTD."/>
    <s v="9018866A"/>
    <s v="07AADCC3694E1ZP"/>
    <s v="NOS"/>
    <m/>
    <n v="4"/>
    <n v="5625"/>
    <n v="22500"/>
    <s v="GST_India"/>
    <s v="BDLI000511/26-27"/>
    <d v="2026-04-13T00:00:00.000"/>
    <s v="BUDITMINTIND"/>
    <n v="998422"/>
    <s v="ARC charges for NFC 15 Mb Internet link Circuit Id 9018866 from 01-Apr-26 to 30-Jun-26"/>
    <m/>
    <m/>
    <n v="22500"/>
    <s v="Normal"/>
    <n v="18"/>
    <n v="2025"/>
    <n v="2025"/>
    <n v="0"/>
    <n v="0"/>
    <n v="0"/>
    <n v="0"/>
    <n v="0"/>
    <n v="0"/>
    <n v="0"/>
    <m/>
    <m/>
    <n v="0"/>
    <n v="26550"/>
    <s v="Y"/>
    <s v="N"/>
    <s v="11.7100.111.421415.1013.000000.0007.000000.000000.00000000"/>
    <n v="1126100440"/>
    <s v="HO_INTRA-STATE_OTH_REC_18%"/>
    <s v="INPUT_SERVICE"/>
    <m/>
    <x v="1"/>
    <x v="0"/>
    <s v="Yes"/>
    <s v="07"/>
    <s v="Delhi"/>
    <s v="07AADCC3694E1ZPBDLI000511/26-27"/>
    <n v="4050"/>
    <n v="4050"/>
    <n v="0"/>
    <s v="Matched"/>
    <n v="9173789"/>
    <s v="Fwd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21.7"/>
    <n v="1"/>
    <n v="2721.7"/>
    <s v="GST_India"/>
    <s v="DFSI2600000751"/>
    <d v="2026-04-17T00:00:00.000"/>
    <s v="BUDMINTIND"/>
    <n v="84213100"/>
    <s v="AIR FILTER E"/>
    <m/>
    <m/>
    <n v="2721.7"/>
    <s v="Normal"/>
    <n v="18"/>
    <n v="0"/>
    <n v="0"/>
    <n v="489.91"/>
    <n v="0"/>
    <n v="0"/>
    <n v="0"/>
    <n v="0"/>
    <n v="0"/>
    <n v="0"/>
    <m/>
    <m/>
    <n v="0"/>
    <n v="3211.61"/>
    <s v="N"/>
    <s v="N"/>
    <s v="11.7100.111.414301.1000.100007.0007.000000.000000.00000000"/>
    <n v="1126100446"/>
    <s v="HO_INTER-STATE_OTH_NON_REC_18%"/>
    <s v="INPUT_TDS_194C"/>
    <m/>
    <x v="0"/>
    <x v="0"/>
    <s v="Yes"/>
    <s v="07"/>
    <s v="Delhi"/>
    <s v="06AAGCD4246E1ZXDFSI2600000751"/>
    <n v="489.91"/>
    <n v="36494.74"/>
    <n v="-36005"/>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1409.49"/>
    <n v="1"/>
    <n v="1409.49"/>
    <s v="GST_India"/>
    <s v="DFSI2600000751"/>
    <d v="2026-04-17T00:00:00.000"/>
    <s v="BUDMINTIND"/>
    <n v="84212300"/>
    <s v="SET OIL FILT"/>
    <m/>
    <m/>
    <n v="1409.49"/>
    <s v="Normal"/>
    <n v="18"/>
    <n v="0"/>
    <n v="0"/>
    <n v="253.71"/>
    <n v="0"/>
    <n v="0"/>
    <n v="0"/>
    <n v="0"/>
    <n v="0"/>
    <n v="0"/>
    <m/>
    <m/>
    <n v="0"/>
    <n v="1663.2"/>
    <s v="N"/>
    <s v="N"/>
    <s v="11.7100.111.414301.1000.100007.0007.000000.000000.00000000"/>
    <n v="1126100446"/>
    <s v="HO_INTER-STATE_OTH_NON_REC_18%"/>
    <s v="INPUT_TDS_194C"/>
    <m/>
    <x v="0"/>
    <x v="0"/>
    <s v="Yes"/>
    <s v="07"/>
    <s v="Delhi"/>
    <s v="06AAGCD4246E1ZXDFSI2600000751"/>
    <n v="253.71"/>
    <n v="36494.74"/>
    <n v="-36241"/>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30.6"/>
    <n v="15"/>
    <n v="459"/>
    <s v="GST_India"/>
    <s v="TXA26-00607"/>
    <d v="2026-04-17T00:00:00.000"/>
    <s v="BUDMINTIND"/>
    <n v="38190010"/>
    <s v="BRAKE FLUID"/>
    <m/>
    <m/>
    <n v="459"/>
    <s v="Normal"/>
    <n v="18"/>
    <n v="41.31"/>
    <n v="41.31"/>
    <n v="0"/>
    <n v="0"/>
    <n v="0"/>
    <n v="0"/>
    <n v="0"/>
    <n v="0"/>
    <n v="0"/>
    <m/>
    <m/>
    <n v="0"/>
    <n v="541.62"/>
    <s v="N"/>
    <s v="N"/>
    <s v="11.7100.111.414301.1009.110908.0007.000000.000000.00000000"/>
    <n v="1126100447"/>
    <s v="HO_INTRA-STATE_OTH_NON_REC_18%"/>
    <s v="INPUT_TDS_194C"/>
    <m/>
    <x v="0"/>
    <x v="0"/>
    <s v="Yes"/>
    <s v="07"/>
    <s v="Delhi"/>
    <s v="07AANCS0651B1ZMTXA26-00607"/>
    <n v="82.62"/>
    <n v="2435.38"/>
    <n v="-2353"/>
    <s v="Matched"/>
    <n v="9175014"/>
    <s v="Fwd Non Rec"/>
  </r>
  <r>
    <s v="Payable Invoice"/>
    <s v="AP_INVOICE "/>
    <n v="107"/>
    <s v="Godfrey_Phillips_India_Limited_HO"/>
    <s v="GPIL_HO_New_Delhi(Services)"/>
    <m/>
    <s v="HO New Friends Colony"/>
    <s v="07AABCG4768K1Z9"/>
    <s v="AP_INVOICES"/>
    <s v="STANDARD VALIDATED TAX"/>
    <s v="Manual Invoice Entry"/>
    <s v="STANDARD"/>
    <d v="2026-04-28T00:00:00.000"/>
    <n v="446"/>
    <n v="9175031"/>
    <d v="2026-04-17T00:00:00.000"/>
    <s v="Supplier"/>
    <n v="18837"/>
    <s v="RNT ENTERPRISES"/>
    <s v="BADARPUR"/>
    <s v="07AELPT6048J2ZV"/>
    <s v="JOB"/>
    <m/>
    <n v="11000"/>
    <n v="1"/>
    <n v="11000"/>
    <s v="GST_India"/>
    <n v="446"/>
    <d v="2026-04-17T00:00:00.000"/>
    <s v="BUDMINTIND"/>
    <n v="995400"/>
    <s v="Misc Civil Work at Jasola Office (3rd Floor, 4th Floor, 5th Floor &amp; Basement 2)"/>
    <m/>
    <m/>
    <n v="11000"/>
    <s v="Normal"/>
    <n v="18"/>
    <n v="990"/>
    <n v="990"/>
    <n v="0"/>
    <n v="0"/>
    <n v="0"/>
    <n v="0"/>
    <n v="0"/>
    <n v="0"/>
    <n v="0"/>
    <m/>
    <m/>
    <n v="0"/>
    <n v="12980"/>
    <s v="Y"/>
    <s v="N"/>
    <s v="11.7100.111.413701.1010.000000.0007.000000.000000.00000000"/>
    <n v="1126100448"/>
    <s v="HO_INTRA-STATE_OTH_REC_18%"/>
    <s v="INPUT_SERVICE"/>
    <m/>
    <x v="1"/>
    <x v="0"/>
    <s v="No"/>
    <s v="07"/>
    <s v="Delhi"/>
    <s v="07AELPT6048J2ZV446"/>
    <n v="1980"/>
    <n v="1980"/>
    <n v="0"/>
    <s v="Matched"/>
    <n v="9175031"/>
    <s v="Fwd Rec"/>
  </r>
  <r>
    <s v="Payable Invoice"/>
    <s v="AP_INVOICE "/>
    <n v="107"/>
    <s v="Godfrey_Phillips_India_Limited_HO"/>
    <s v="GPIL_HO_New_Delhi(Services)"/>
    <m/>
    <m/>
    <s v="07AABCG4768K1Z9"/>
    <s v="AP_INVOICES"/>
    <s v="STANDARD VALIDATED TAX"/>
    <s v="IA"/>
    <s v="STANDARD"/>
    <d v="2026-04-21T00:00:00.000"/>
    <s v="107/2026-27"/>
    <n v="9164653"/>
    <d v="2026-04-15T00:00:00.000"/>
    <s v="Supplier"/>
    <n v="39845"/>
    <s v="GOEL ENTERPRISES BHANGEL"/>
    <s v="NEW DELHI-OFF"/>
    <s v="09ACTPG0935H1ZE"/>
    <s v="NOS"/>
    <m/>
    <n v="1"/>
    <n v="4457.16"/>
    <n v="4457.16"/>
    <s v="GST_India"/>
    <s v="107/2026-27"/>
    <d v="2026-04-15T00:00:00.000"/>
    <s v="BUDMINTIND"/>
    <n v="17049090"/>
    <s v="FUNDA PAAN(675GM)"/>
    <m/>
    <m/>
    <n v="4457.16"/>
    <s v="Normal"/>
    <n v="5"/>
    <n v="0"/>
    <n v="0"/>
    <n v="222.86"/>
    <n v="0"/>
    <n v="0"/>
    <n v="0"/>
    <n v="0"/>
    <n v="0"/>
    <n v="0"/>
    <m/>
    <m/>
    <n v="0"/>
    <n v="4680.02"/>
    <s v="N"/>
    <s v="N"/>
    <s v="11.7100.111.412401.1010.000000.0007.000000.000000.00000000"/>
    <n v="1126100308"/>
    <s v="HO_INTER-STATE_OTH_NON_REC_5%"/>
    <s v="INPUT"/>
    <m/>
    <x v="0"/>
    <x v="0"/>
    <s v="Yes"/>
    <s v="07"/>
    <s v="Delhi"/>
    <s v="09ACTPG0935H1ZE107/2026-27"/>
    <n v="222.86"/>
    <n v="1632.71"/>
    <n v="-1410"/>
    <s v="Matched"/>
    <n v="9164653"/>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4"/>
    <n v="3850"/>
    <s v="GST_India"/>
    <s v="DFSI2600000412"/>
    <d v="2026-04-09T00:00:00.000"/>
    <s v="BUDMINTIND"/>
    <n v="998729"/>
    <s v="HEADLIGHT RESTORATION"/>
    <m/>
    <m/>
    <n v="3850"/>
    <s v="Normal"/>
    <n v="18"/>
    <n v="0"/>
    <n v="0"/>
    <n v="693"/>
    <n v="0"/>
    <n v="0"/>
    <n v="0"/>
    <n v="0"/>
    <n v="0"/>
    <n v="0"/>
    <m/>
    <m/>
    <n v="0"/>
    <n v="4543"/>
    <s v="N"/>
    <s v="N"/>
    <s v="11.7100.111.414301.1011.111636.0007.000000.000000.00000000"/>
    <n v="1126100105"/>
    <s v="HO_INTER-STATE_OTH_NON_REC_18%"/>
    <s v="INPUT_TDS_194C"/>
    <m/>
    <x v="0"/>
    <x v="0"/>
    <s v="Yes"/>
    <s v="07"/>
    <s v="Delhi"/>
    <s v="06AAGCD4246E1ZXDFSI2600000412"/>
    <n v="693"/>
    <n v="38182.88"/>
    <n v="-37490"/>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2"/>
    <n v="550"/>
    <s v="GST_India"/>
    <s v="DFSI2600000412"/>
    <d v="2026-04-09T00:00:00.000"/>
    <s v="BUDMINTIND"/>
    <n v="998729"/>
    <s v="SERVICE AIR FILTER ELEMENT"/>
    <m/>
    <m/>
    <n v="550"/>
    <s v="Normal"/>
    <n v="18"/>
    <n v="0"/>
    <n v="0"/>
    <n v="99"/>
    <n v="0"/>
    <n v="0"/>
    <n v="0"/>
    <n v="0"/>
    <n v="0"/>
    <n v="0"/>
    <m/>
    <m/>
    <n v="0"/>
    <n v="649"/>
    <s v="N"/>
    <s v="N"/>
    <s v="11.7100.111.414301.1011.111636.0007.000000.000000.00000000"/>
    <n v="1126100105"/>
    <s v="HO_INTER-STATE_OTH_NON_REC_18%"/>
    <s v="INPUT_TDS_194C"/>
    <m/>
    <x v="0"/>
    <x v="0"/>
    <s v="Yes"/>
    <s v="07"/>
    <s v="Delhi"/>
    <s v="06AAGCD4246E1ZXDFSI2600000412"/>
    <n v="99"/>
    <n v="38182.88"/>
    <n v="-38084"/>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24"/>
    <n v="6600"/>
    <s v="GST_India"/>
    <s v="DFSI2600000751"/>
    <d v="2026-04-17T00:00:00.000"/>
    <s v="BUDMINTIND"/>
    <n v="998729"/>
    <s v="AIR CONDITIONING"/>
    <m/>
    <m/>
    <n v="6600"/>
    <s v="Normal"/>
    <n v="18"/>
    <n v="0"/>
    <n v="0"/>
    <n v="1188"/>
    <n v="0"/>
    <n v="0"/>
    <n v="0"/>
    <n v="0"/>
    <n v="0"/>
    <n v="0"/>
    <m/>
    <m/>
    <n v="0"/>
    <n v="7788"/>
    <s v="N"/>
    <s v="N"/>
    <s v="11.7100.111.414301.1000.100007.0007.000000.000000.00000000"/>
    <n v="1126100446"/>
    <s v="HO_INTER-STATE_OTH_NON_REC_18%"/>
    <s v="INPUT_TDS_194C"/>
    <m/>
    <x v="0"/>
    <x v="0"/>
    <s v="Yes"/>
    <s v="07"/>
    <s v="Delhi"/>
    <s v="06AAGCD4246E1ZXDFSI2600000751"/>
    <n v="1188"/>
    <n v="36494.74"/>
    <n v="-35307"/>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7231.78"/>
    <n v="2"/>
    <n v="14463.56"/>
    <s v="GST_India"/>
    <s v="DFSI2600000751"/>
    <d v="2026-04-17T00:00:00.000"/>
    <s v="BUDMINTIND"/>
    <n v="34053000"/>
    <s v="BMW CAR CARE"/>
    <m/>
    <m/>
    <n v="14463.56"/>
    <s v="Normal"/>
    <n v="18"/>
    <n v="0"/>
    <n v="0"/>
    <n v="2603.44"/>
    <n v="0"/>
    <n v="0"/>
    <n v="0"/>
    <n v="0"/>
    <n v="0"/>
    <n v="0"/>
    <m/>
    <m/>
    <n v="0"/>
    <n v="17067"/>
    <s v="N"/>
    <s v="N"/>
    <s v="11.7100.111.414301.1000.100007.0007.000000.000000.00000000"/>
    <n v="1126100446"/>
    <s v="HO_INTER-STATE_OTH_NON_REC_18%"/>
    <s v="INPUT_TDS_194C"/>
    <m/>
    <x v="0"/>
    <x v="0"/>
    <s v="Yes"/>
    <s v="07"/>
    <s v="Delhi"/>
    <s v="06AAGCD4246E1ZXDFSI2600000751"/>
    <n v="2603.44"/>
    <n v="36494.74"/>
    <n v="-33891"/>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561.6"/>
    <n v="1"/>
    <n v="561.6"/>
    <s v="GST_India"/>
    <s v="TXA26-00607"/>
    <d v="2026-04-17T00:00:00.000"/>
    <s v="BUDMINTIND"/>
    <n v="998729"/>
    <s v="TGLOSS PLASTIC CARE"/>
    <m/>
    <m/>
    <n v="561.6"/>
    <s v="Normal"/>
    <n v="18"/>
    <n v="50.54"/>
    <n v="50.54"/>
    <n v="0"/>
    <n v="0"/>
    <n v="0"/>
    <n v="0"/>
    <n v="0"/>
    <n v="0"/>
    <n v="0"/>
    <m/>
    <m/>
    <n v="0"/>
    <n v="662.68"/>
    <s v="N"/>
    <s v="N"/>
    <s v="11.7100.111.414301.1009.110908.0007.000000.000000.00000000"/>
    <n v="1126100447"/>
    <s v="HO_INTRA-STATE_OTH_NON_REC_18%"/>
    <s v="INPUT_TDS_194C"/>
    <m/>
    <x v="0"/>
    <x v="0"/>
    <s v="Yes"/>
    <s v="07"/>
    <s v="Delhi"/>
    <s v="07AANCS0651B1ZMTXA26-00607"/>
    <n v="101.08"/>
    <n v="2435.38"/>
    <n v="-2334"/>
    <s v="Matched"/>
    <n v="9175014"/>
    <s v="Fwd Non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12500"/>
    <n v="1"/>
    <n v="12500"/>
    <s v="GST_India"/>
    <s v="GPI-HOC250400365"/>
    <d v="2025-11-29T00:00:00.000"/>
    <m/>
    <n v="998213"/>
    <s v="for providing a short opinion on the Order passed in Pelican Tobacco case vide our email dated November 28  2025"/>
    <m/>
    <m/>
    <n v="12500"/>
    <s v="Normal"/>
    <n v="18"/>
    <n v="1125"/>
    <n v="1125"/>
    <n v="0"/>
    <n v="0"/>
    <n v="0"/>
    <n v="0"/>
    <n v="0"/>
    <n v="0"/>
    <n v="0"/>
    <m/>
    <m/>
    <n v="0"/>
    <n v="14750"/>
    <s v="Y"/>
    <s v="Y"/>
    <s v="11.7100.111.234010.0000.000000.0007.000000.000000.00000000"/>
    <n v="1126100459"/>
    <s v="HO_REV_CHARGE_REC_18%"/>
    <s v="INPUT_SERVICE"/>
    <m/>
    <x v="2"/>
    <x v="1"/>
    <s v="No"/>
    <s v="07"/>
    <s v="Delhi"/>
    <s v="GPI-HOC250400365"/>
    <n v="2250"/>
    <e v="#N/A"/>
    <e v="#N/A"/>
    <s v="RCM"/>
    <n v="9177454"/>
    <s v="RCM Rec"/>
  </r>
  <r>
    <s v="Payable Invoice"/>
    <s v="AP_INVOICE "/>
    <n v="107"/>
    <s v="Godfrey_Phillips_India_Limited_HO"/>
    <s v="GPIL_HO_New_Delhi(Services)"/>
    <m/>
    <m/>
    <s v="07AABCG4768K1Z9"/>
    <s v="AP_INVOICES"/>
    <s v="STANDARD VALIDATED TAX"/>
    <s v="IA"/>
    <s v="STANDARD"/>
    <d v="2026-04-15T00:00:00.000"/>
    <s v="HRF2627000000687"/>
    <n v="9156862"/>
    <d v="2026-04-01T00:00:00.000"/>
    <s v="Supplier"/>
    <n v="2770"/>
    <s v="CANON INDIA PVT. LTD."/>
    <s v="GURGAON-1A"/>
    <s v="06AAACC4175D1Z2"/>
    <s v="NOS"/>
    <m/>
    <n v="1"/>
    <n v="4365"/>
    <n v="4365"/>
    <s v="GST_India"/>
    <s v="HRF2627000000687"/>
    <d v="2026-04-01T00:00:00.000"/>
    <s v="BUDMINTIND"/>
    <n v="997314"/>
    <s v="Rental Charges For iR-ADV C"/>
    <m/>
    <m/>
    <n v="4365"/>
    <s v="Normal"/>
    <n v="18"/>
    <n v="0"/>
    <n v="0"/>
    <n v="785.7"/>
    <n v="0"/>
    <n v="0"/>
    <n v="0"/>
    <n v="0"/>
    <n v="0"/>
    <n v="0"/>
    <m/>
    <m/>
    <n v="0"/>
    <n v="5150.7"/>
    <s v="Y"/>
    <s v="N"/>
    <s v="11.7100.111.414703.1006.000000.0007.000000.000000.00000000"/>
    <n v="1126100091"/>
    <s v="HO_INTER-STATE_OTH_REC_18%"/>
    <s v="INPUT_SERVICE"/>
    <m/>
    <x v="1"/>
    <x v="0"/>
    <s v="Yes"/>
    <s v="07"/>
    <s v="Delhi"/>
    <s v="06AAACC4175D1Z2HRF2627000000687"/>
    <n v="785.7"/>
    <n v="785.7"/>
    <n v="0"/>
    <s v="Matched"/>
    <n v="9156862"/>
    <s v="Fwd Rec"/>
  </r>
  <r>
    <s v="Payable Invoice"/>
    <s v="AP_INVOICE "/>
    <n v="107"/>
    <s v="Godfrey_Phillips_India_Limited_HO"/>
    <s v="GPIL_HO_New_Delhi(Services)"/>
    <m/>
    <m/>
    <s v="07AABCG4768K1Z9"/>
    <s v="AP_INVOICES"/>
    <s v="STANDARD VALIDATED TAX"/>
    <s v="Manual Invoice Entry"/>
    <s v="DEBIT"/>
    <d v="2026-04-30T00:00:00.000"/>
    <s v="DE25C00000031991"/>
    <n v="9178799"/>
    <d v="2026-03-14T00:00:00.000"/>
    <s v="Supplier"/>
    <n v="11570"/>
    <s v="TATA AIG GENERAL INSURANCE COMPANY LIMITED"/>
    <s v="DELHI"/>
    <s v="07AABCT3518Q1ZY"/>
    <m/>
    <m/>
    <n v="0"/>
    <n v="0"/>
    <n v="-262.9"/>
    <s v="GST_India"/>
    <s v="DE25C00000031991"/>
    <d v="2026-03-14T00:00:00.000"/>
    <m/>
    <n v="9971"/>
    <s v="GPA Policy Deletion of members M/O Mar 2026"/>
    <m/>
    <m/>
    <n v="-262.9"/>
    <s v="Normal"/>
    <n v="18"/>
    <n v="-23.66"/>
    <n v="-23.66"/>
    <n v="0"/>
    <n v="0"/>
    <n v="0"/>
    <n v="0"/>
    <n v="0"/>
    <n v="0"/>
    <n v="0"/>
    <m/>
    <m/>
    <n v="0"/>
    <n v="-310.22"/>
    <s v="N"/>
    <s v="N"/>
    <s v="11.7100.111.415802.1008.000000.0007.000000.000000.00000000"/>
    <n v="1126100480"/>
    <s v="HO_INTRA-STATE_OTH_NON_REC_18%"/>
    <s v="INPUT_SERVICE"/>
    <m/>
    <x v="0"/>
    <x v="0"/>
    <s v="No"/>
    <s v="07"/>
    <s v="Delhi"/>
    <s v="07AABCT3518Q1ZYDE25C00000031991"/>
    <n v="-47.32"/>
    <n v="-47.32"/>
    <n v="0"/>
    <s v="Matched"/>
    <n v="9178799"/>
    <s v="Fwd Non Rec"/>
  </r>
  <r>
    <s v="Payable Invoice"/>
    <s v="AP_INVOICE "/>
    <n v="107"/>
    <s v="Godfrey_Phillips_India_Limited_HO"/>
    <s v="GPIL_HO_New_Delhi(Services)"/>
    <m/>
    <m/>
    <s v="07AABCG4768K1Z9"/>
    <s v="AP_INVOICES"/>
    <s v="STANDARD VALIDATED TAX"/>
    <s v="Manual Invoice Entry"/>
    <s v="STANDARD"/>
    <d v="2026-04-29T00:00:00.000"/>
    <s v="CI1001100173"/>
    <n v="9177547"/>
    <d v="2026-04-09T00:00:00.000"/>
    <s v="Supplier"/>
    <n v="3734"/>
    <s v="THE OBEROI"/>
    <s v="NEW DELHI"/>
    <s v="07AAACE6898B4ZH"/>
    <m/>
    <m/>
    <n v="0"/>
    <n v="0"/>
    <n v="0"/>
    <s v="GST_India"/>
    <s v="CI1001100173"/>
    <d v="2026-04-09T00:00:00.000"/>
    <m/>
    <n v="998599"/>
    <s v="BUSINESS MEAL CHARU MODI"/>
    <m/>
    <m/>
    <n v="0"/>
    <s v="Normal"/>
    <n v="18"/>
    <n v="1540.8"/>
    <n v="1540.8"/>
    <n v="0"/>
    <n v="0"/>
    <n v="0"/>
    <n v="0"/>
    <n v="0"/>
    <n v="0"/>
    <n v="0"/>
    <m/>
    <m/>
    <n v="0"/>
    <n v="3081.6"/>
    <s v="N"/>
    <s v="N"/>
    <s v="11.7100.111.420201.1000.100007.0007.000000.000000.00000000"/>
    <n v="1126100467"/>
    <s v="HO_INTRA-STATE_OTH_NON_REC_18%"/>
    <s v="INPUT_SERVICE"/>
    <m/>
    <x v="0"/>
    <x v="0"/>
    <s v="Yes"/>
    <s v="07"/>
    <s v="Delhi"/>
    <s v="07AAACE6898B4ZHCI1001100173"/>
    <n v="3081.6"/>
    <n v="3081.6"/>
    <n v="0"/>
    <s v="Matched"/>
    <n v="9177547"/>
    <s v="Fwd Non Rec"/>
  </r>
  <r>
    <s v="Payable Invoice"/>
    <s v="AP_INVOICE "/>
    <n v="107"/>
    <s v="Godfrey_Phillips_India_Limited_HO"/>
    <s v="GPIL_HO_New_Delhi(Services)"/>
    <m/>
    <m/>
    <s v="07AABCG4768K1Z9"/>
    <s v="AP_INVOICES"/>
    <s v="STANDARD VALIDATED TAX"/>
    <s v="Manual Invoice Entry"/>
    <s v="STANDARD"/>
    <d v="2026-04-14T00:00:00.000"/>
    <s v="RENT-APR26"/>
    <n v="9151216"/>
    <d v="2026-04-01T00:00:00.000"/>
    <s v="Supplier"/>
    <n v="29291"/>
    <s v="SHRI AMRIT LAL CHOPRA"/>
    <s v="DELHI"/>
    <m/>
    <m/>
    <m/>
    <n v="0"/>
    <n v="0"/>
    <n v="169312"/>
    <s v="GST_India"/>
    <s v="GPI-HOC260400001"/>
    <d v="2026-04-01T00:00:00.000"/>
    <m/>
    <n v="997211"/>
    <s v="NFC, DELHI GUEST HOUSE RENT FOR APRIL 2026"/>
    <m/>
    <m/>
    <n v="169312"/>
    <s v="Normal"/>
    <n v="18"/>
    <n v="15238.08"/>
    <n v="15238.08"/>
    <n v="0"/>
    <n v="0"/>
    <n v="0"/>
    <n v="0"/>
    <n v="0"/>
    <n v="0"/>
    <n v="0"/>
    <m/>
    <m/>
    <n v="0"/>
    <n v="199788.16"/>
    <s v="Y"/>
    <s v="Y"/>
    <s v="11.7100.111.423705.1010.000000.0007.000000.000000.00000000"/>
    <n v="1126100053"/>
    <s v="HO_REV_CHARGE_REC_18%"/>
    <s v="INPUT_SERVICE"/>
    <m/>
    <x v="2"/>
    <x v="1"/>
    <s v="No"/>
    <s v="07"/>
    <s v="Delhi"/>
    <s v="GPI-HOC260400001"/>
    <n v="30476.16"/>
    <e v="#N/A"/>
    <e v="#N/A"/>
    <s v="RCM"/>
    <n v="9151216"/>
    <s v="RCM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53.81"/>
    <n v="2"/>
    <n v="507.62"/>
    <s v="GST_India"/>
    <s v="DFSI2600000412"/>
    <d v="2026-04-09T00:00:00.000"/>
    <s v="BUDMINTIND"/>
    <n v="28539010"/>
    <s v="DESTILLED WA"/>
    <m/>
    <m/>
    <n v="507.62"/>
    <s v="Normal"/>
    <n v="18"/>
    <n v="0"/>
    <n v="0"/>
    <n v="91.37"/>
    <n v="0"/>
    <n v="0"/>
    <n v="0"/>
    <n v="0"/>
    <n v="0"/>
    <n v="0"/>
    <m/>
    <m/>
    <n v="0"/>
    <n v="598.99"/>
    <s v="N"/>
    <s v="N"/>
    <s v="11.7100.111.414301.1011.111636.0007.000000.000000.00000000"/>
    <n v="1126100105"/>
    <s v="HO_INTER-STATE_OTH_NON_REC_18%"/>
    <s v="INPUT_TDS_194C"/>
    <m/>
    <x v="0"/>
    <x v="0"/>
    <s v="Yes"/>
    <s v="07"/>
    <s v="Delhi"/>
    <s v="06AAGCD4246E1ZXDFSI2600000412"/>
    <n v="91.37"/>
    <n v="38182.88"/>
    <n v="-38092"/>
    <s v="Matched"/>
    <n v="9158398"/>
    <s v="Fwd Non Rec"/>
  </r>
  <r>
    <s v="Payable Invoice"/>
    <s v="AP_INVOICE "/>
    <n v="107"/>
    <s v="Godfrey_Phillips_India_Limited_HO"/>
    <s v="GPIL_HO_New_Delhi(Services)"/>
    <m/>
    <m/>
    <s v="07AABCG4768K1Z9"/>
    <s v="AP_INVOICES"/>
    <s v="STANDARD VALIDATED TAX"/>
    <s v="CONVERSION"/>
    <s v="STANDARD"/>
    <d v="2026-04-21T00:00:00.000"/>
    <s v="HF2707I000134626"/>
    <n v="9164380"/>
    <d v="2026-04-03T00:00:00.000"/>
    <s v="Supplier"/>
    <n v="6262"/>
    <s v="BHARTI AIRTEL LIMITED"/>
    <s v="HO"/>
    <s v="07AAACB2894G1ZP"/>
    <s v="NOS"/>
    <m/>
    <n v="1"/>
    <n v="399"/>
    <n v="399"/>
    <s v="GST_India"/>
    <s v="HF2707I000134626"/>
    <d v="2026-04-03T00:00:00.000"/>
    <s v="MISCELLENS"/>
    <n v="998412"/>
    <s v="GPI JASOLA OFFICE AIRTEL - LANDLINE TELEPHONE EXPENSES FOR THE MONTH OF March-2026 -  - ADMN"/>
    <m/>
    <m/>
    <n v="399"/>
    <s v="Normal"/>
    <n v="18"/>
    <n v="35.91"/>
    <n v="35.91"/>
    <n v="0"/>
    <n v="0"/>
    <n v="0"/>
    <n v="0"/>
    <n v="0"/>
    <n v="0"/>
    <n v="0"/>
    <m/>
    <m/>
    <n v="0"/>
    <n v="470.82"/>
    <s v="Y"/>
    <s v="N"/>
    <s v="11.7100.111.420801.1010.000000.0007.000000.000000.00000000"/>
    <n v="1126100276"/>
    <s v="HO_INTRA-STATE_OTH_REC_18%"/>
    <s v="INPUT_SERVICE"/>
    <m/>
    <x v="1"/>
    <x v="0"/>
    <s v="Yes"/>
    <s v="07"/>
    <s v="Delhi"/>
    <s v="07AAACB2894G1ZPHF2707I000134626"/>
    <n v="71.82"/>
    <n v="71.82"/>
    <n v="0"/>
    <s v="Matched"/>
    <n v="9164380"/>
    <s v="Fwd Rec"/>
  </r>
  <r>
    <s v="Payable Invoice"/>
    <s v="AP_INVOICE "/>
    <n v="107"/>
    <s v="Godfrey_Phillips_India_Limited_HO"/>
    <s v="GPIL_HO_New_Delhi(Services)"/>
    <m/>
    <m/>
    <s v="07AABCG4768K1Z9"/>
    <s v="AP_INVOICES"/>
    <s v="STANDARD VALIDATED TAX"/>
    <s v="IA"/>
    <s v="STANDARD"/>
    <d v="2026-04-29T00:00:00.000"/>
    <d v="2026-03-01T00:00:00.000"/>
    <n v="9178114"/>
    <d v="2026-04-15T00:00:00.000"/>
    <s v="Supplier"/>
    <n v="5093"/>
    <s v="ANS COMPUTERS AND PERIPHERALS"/>
    <s v="DELHI"/>
    <s v="07ACBPV7574P1ZN"/>
    <s v="NOS"/>
    <m/>
    <n v="1"/>
    <n v="4750"/>
    <n v="4750"/>
    <s v="GST_India"/>
    <n v="3"/>
    <d v="2026-04-15T00:00:00.000"/>
    <s v="BUDITMINTIND"/>
    <n v="8536"/>
    <s v="HEADPHONE HP USB H120"/>
    <m/>
    <m/>
    <n v="4750"/>
    <s v="Normal"/>
    <n v="18"/>
    <n v="427.5"/>
    <n v="427.5"/>
    <n v="0"/>
    <n v="0"/>
    <n v="0"/>
    <n v="0"/>
    <n v="0"/>
    <n v="0"/>
    <n v="0"/>
    <m/>
    <m/>
    <n v="0"/>
    <n v="5605"/>
    <s v="Y"/>
    <s v="N"/>
    <s v="11.7100.111.414701.1013.000000.0007.000000.000000.00000000"/>
    <n v="1126100466"/>
    <s v="HO_INTRA-STATE_OTH_REC_18%"/>
    <s v="INPUT"/>
    <m/>
    <x v="1"/>
    <x v="0"/>
    <s v="No"/>
    <s v="07"/>
    <s v="Delhi"/>
    <s v="07ACBPV7574P1ZN3"/>
    <n v="855"/>
    <n v="1584"/>
    <n v="-729"/>
    <s v="Matched"/>
    <n v="9178114"/>
    <s v="Fwd Rec"/>
  </r>
  <r>
    <s v="Payable Invoice"/>
    <s v="AP_INVOICE "/>
    <n v="107"/>
    <s v="Godfrey_Phillips_India_Limited_HO"/>
    <s v="GPIL_HO_New_Delhi(Services)"/>
    <m/>
    <m/>
    <s v="07AABCG4768K1Z9"/>
    <s v="AP_INVOICES"/>
    <s v="STANDARD VALIDATED TAX"/>
    <s v="IA"/>
    <s v="STANDARD"/>
    <d v="2026-04-21T00:00:00.000"/>
    <s v="737/2025-2026"/>
    <n v="9164021"/>
    <d v="2026-03-27T00:00:00.000"/>
    <s v="Supplier"/>
    <n v="45456"/>
    <s v="SAGA LEGAL"/>
    <s v="HEAD OFFICE"/>
    <m/>
    <m/>
    <m/>
    <n v="0"/>
    <n v="0"/>
    <n v="180"/>
    <s v="GST_India"/>
    <s v="737/2025-2026"/>
    <d v="2026-03-27T00:00:00.000"/>
    <m/>
    <n v="998216"/>
    <s v="Girish Sharma Vs. GPIL -CS DJ No. 11912-2016- Saket District Courts  New Delhi - Professional fee towards drafting and filing of restoration application for Counter Claim  drafting and filing of restoration application for condonation of de"/>
    <m/>
    <m/>
    <n v="180"/>
    <s v="Normal"/>
    <n v="18"/>
    <n v="16.2"/>
    <n v="16.2"/>
    <n v="0"/>
    <n v="0"/>
    <n v="0"/>
    <n v="0"/>
    <n v="0"/>
    <n v="0"/>
    <n v="0"/>
    <m/>
    <m/>
    <n v="0"/>
    <n v="212.4"/>
    <s v="Y"/>
    <s v="Y"/>
    <s v="11.7100.111.234010.0000.000000.0007.000000.000000.00000000"/>
    <n v="1125113944"/>
    <s v="HO_REV_CHARGE_REC_18%"/>
    <s v="INPUT_SERVICE"/>
    <m/>
    <x v="2"/>
    <x v="1"/>
    <s v="No"/>
    <s v="07"/>
    <s v="Delhi"/>
    <s v="737/2025-2026"/>
    <n v="32.4"/>
    <e v="#N/A"/>
    <e v="#N/A"/>
    <s v="RCM"/>
    <n v="9164021"/>
    <s v="RCM Rec"/>
  </r>
  <r>
    <s v="Payable Invoice"/>
    <s v="AP_INVOICE "/>
    <n v="107"/>
    <s v="Godfrey_Phillips_India_Limited_HO"/>
    <s v="GPIL_HO_New_Delhi(Services)"/>
    <m/>
    <m/>
    <s v="07AABCG4768K1Z9"/>
    <s v="AP_INVOICES"/>
    <s v="STANDARD VALIDATED TAX"/>
    <s v="IA"/>
    <s v="STANDARD"/>
    <d v="2026-04-21T00:00:00.000"/>
    <s v="738/2025-2026"/>
    <n v="9164022"/>
    <d v="2026-03-27T00:00:00.000"/>
    <s v="Supplier"/>
    <n v="45456"/>
    <s v="SAGA LEGAL"/>
    <s v="HEAD OFFICE"/>
    <m/>
    <m/>
    <m/>
    <n v="1500"/>
    <n v="1"/>
    <n v="1500"/>
    <s v="GST_India"/>
    <s v="738/2025-2026"/>
    <d v="2026-03-27T00:00:00.000"/>
    <m/>
    <n v="998216"/>
    <s v="10 Clerkage"/>
    <m/>
    <m/>
    <n v="1500"/>
    <s v="Normal"/>
    <n v="18"/>
    <n v="135"/>
    <n v="135"/>
    <n v="0"/>
    <n v="0"/>
    <n v="0"/>
    <n v="0"/>
    <n v="0"/>
    <n v="0"/>
    <n v="0"/>
    <m/>
    <m/>
    <n v="0"/>
    <n v="1770"/>
    <s v="Y"/>
    <s v="Y"/>
    <s v="11.7100.111.234010.0000.000000.0007.000000.000000.00000000"/>
    <n v="1125113945"/>
    <s v="HO_REV_CHARGE_REC_18%"/>
    <s v="INPUT_SERVICE"/>
    <m/>
    <x v="2"/>
    <x v="1"/>
    <s v="No"/>
    <s v="07"/>
    <s v="Delhi"/>
    <s v="738/2025-2026"/>
    <n v="270"/>
    <e v="#N/A"/>
    <e v="#N/A"/>
    <s v="RCM"/>
    <n v="9164022"/>
    <s v="RCM Rec"/>
  </r>
  <r>
    <s v="Payable Invoice"/>
    <s v="AP_INVOICE "/>
    <n v="107"/>
    <s v="Godfrey_Phillips_India_Limited_HO"/>
    <s v="GPIL_HO_New_Delhi(Services)"/>
    <m/>
    <m/>
    <s v="07AABCG4768K1Z9"/>
    <s v="AP_INVOICES"/>
    <s v="STANDARD VALIDATED TAX"/>
    <s v="IA"/>
    <s v="STANDARD"/>
    <d v="2026-04-13T00:00:00.000"/>
    <s v="AVZ/272/2025-26"/>
    <n v="9151135"/>
    <d v="2026-03-31T00:00:00.000"/>
    <s v="Supplier"/>
    <n v="7826"/>
    <s v="A AND V ZIPPERS PVT.LTD."/>
    <s v="NEW DELHI"/>
    <s v="07AADCA3655R1Z7"/>
    <s v="NOS"/>
    <m/>
    <n v="1"/>
    <n v="328728"/>
    <n v="328728"/>
    <s v="GST_India"/>
    <s v="AVZ/272/2025-26"/>
    <d v="2026-03-31T00:00:00.000"/>
    <s v="MISCELLENS"/>
    <n v="998515"/>
    <s v="PAYROLL STAFFING SERVICE"/>
    <m/>
    <m/>
    <n v="328728"/>
    <s v="Normal"/>
    <n v="18"/>
    <n v="29585.52"/>
    <n v="29585.52"/>
    <n v="0"/>
    <n v="0"/>
    <n v="0"/>
    <n v="0"/>
    <n v="0"/>
    <n v="0"/>
    <n v="0"/>
    <m/>
    <m/>
    <n v="0"/>
    <n v="387899.04"/>
    <s v="Y"/>
    <s v="N"/>
    <s v="11.7100.111.420301.1010.100007.0007.000000.000000.00000000"/>
    <n v="1126100025"/>
    <s v="HO_INTRA-STATE_OTH_REC_18%"/>
    <s v="INPUT_SERVICE"/>
    <m/>
    <x v="1"/>
    <x v="0"/>
    <s v="Yes"/>
    <s v="07"/>
    <s v="Delhi"/>
    <s v="07AADCA3655R1Z7AVZ/272/2025-26"/>
    <n v="59171.04"/>
    <n v="59171.04"/>
    <n v="0"/>
    <s v="Matched"/>
    <n v="9151135"/>
    <s v="Fwd Rec"/>
  </r>
  <r>
    <s v="Payable Invoice"/>
    <s v="AP_INVOICE "/>
    <n v="107"/>
    <s v="Godfrey_Phillips_India_Limited_HO"/>
    <s v="GPIL_HO_New_Delhi(Services)"/>
    <m/>
    <m/>
    <s v="07AABCG4768K1Z9"/>
    <s v="AP_INVOICES"/>
    <s v="STANDARD VALIDATED TAX"/>
    <s v="IA"/>
    <s v="STANDARD"/>
    <d v="2026-04-14T00:00:00.000"/>
    <s v="DLS2627000000120"/>
    <n v="9155611"/>
    <d v="2026-04-02T00:00:00.000"/>
    <s v="Supplier"/>
    <n v="2770"/>
    <s v="CANON INDIA PVT. LTD."/>
    <s v="OKHLA"/>
    <s v="07AAACC4175D1Z0"/>
    <s v="NOS"/>
    <m/>
    <n v="1"/>
    <n v="1817"/>
    <n v="1817"/>
    <s v="GST_India"/>
    <s v="DLS2627000000120"/>
    <d v="2026-04-02T00:00:00.000"/>
    <s v="MISCELLENS"/>
    <n v="84439952"/>
    <s v="Supply of TonerInK and Spares along with Support Services"/>
    <m/>
    <m/>
    <n v="1817"/>
    <s v="Normal"/>
    <n v="18"/>
    <n v="163.53"/>
    <n v="163.53"/>
    <n v="0"/>
    <n v="0"/>
    <n v="0"/>
    <n v="0"/>
    <n v="0"/>
    <n v="0"/>
    <n v="0"/>
    <m/>
    <m/>
    <n v="0"/>
    <n v="2144.06"/>
    <s v="Y"/>
    <s v="N"/>
    <s v="11.7100.111.234010.0000.000000.0007.000000.000000.00000000"/>
    <n v="1126100061"/>
    <s v="HO_INTRA-STATE_OTH_REC_18%"/>
    <s v="INPUT_SERVICE"/>
    <m/>
    <x v="1"/>
    <x v="0"/>
    <s v="Yes"/>
    <s v="07"/>
    <s v="Delhi"/>
    <s v="07AAACC4175D1Z0DLS2627000000120"/>
    <n v="327.06"/>
    <n v="327.06"/>
    <n v="0"/>
    <s v="Matched"/>
    <n v="9155611"/>
    <s v="Fwd Rec"/>
  </r>
  <r>
    <s v="Payable Invoice"/>
    <s v="AP_INVOICE "/>
    <n v="107"/>
    <s v="Godfrey_Phillips_India_Limited_HO"/>
    <s v="GPIL_HO_New_Delhi(Services)"/>
    <m/>
    <m/>
    <s v="07AABCG4768K1Z9"/>
    <s v="AP_INVOICES"/>
    <s v="STANDARD VALIDATED TAX"/>
    <s v="IA"/>
    <s v="STANDARD"/>
    <d v="2026-04-30T00:00:00.000"/>
    <s v="GST/DL/2627/021"/>
    <n v="9178273"/>
    <d v="2026-04-17T00:00:00.000"/>
    <s v="Supplier"/>
    <n v="38296"/>
    <s v="LGA TECHNOLOGY PRIVATE LIMITED"/>
    <s v="NEW DELHI"/>
    <s v="07AADCL9190Q1ZO"/>
    <s v="NOS"/>
    <m/>
    <n v="1"/>
    <n v="1461.87"/>
    <n v="1461.87"/>
    <s v="GST_India"/>
    <s v="GST/DL/2627/021"/>
    <d v="2026-04-17T00:00:00.000"/>
    <s v="BUDITMINTIND"/>
    <n v="84733099"/>
    <s v="LCARE CHILLMATE LAPTOP STAND ( LOSPCM6130 ) LB38862135 LB3886234 LB690842500"/>
    <m/>
    <m/>
    <n v="1461.87"/>
    <s v="Normal"/>
    <n v="18"/>
    <n v="131.57"/>
    <n v="131.57"/>
    <n v="0"/>
    <n v="0"/>
    <n v="0"/>
    <n v="0"/>
    <n v="0"/>
    <n v="0"/>
    <n v="0"/>
    <m/>
    <m/>
    <n v="0"/>
    <n v="1725.01"/>
    <s v="Y"/>
    <s v="N"/>
    <s v="11.7100.111.414701.1013.000000.0007.000000.000000.00000000"/>
    <n v="1126100490"/>
    <s v="HO_INTRA-STATE_OTH_REC_18%"/>
    <s v="INPUT"/>
    <m/>
    <x v="1"/>
    <x v="0"/>
    <s v="No"/>
    <s v="07"/>
    <s v="Delhi"/>
    <s v="07AADCL9190Q1ZOGST/DL/2627/021"/>
    <n v="263.14"/>
    <n v="665.86"/>
    <n v="-403"/>
    <s v="Matched"/>
    <n v="9178273"/>
    <s v="Fwd Rec"/>
  </r>
  <r>
    <s v="Payable Invoice"/>
    <s v="AP_INVOICE "/>
    <n v="107"/>
    <s v="Godfrey_Phillips_India_Limited_HO"/>
    <s v="GPIL_HO_New_Delhi(Services)"/>
    <m/>
    <m/>
    <s v="07AABCG4768K1Z9"/>
    <s v="AP_INVOICES"/>
    <s v="STANDARD VALIDATED TAX"/>
    <s v="IA"/>
    <s v="STANDARD"/>
    <d v="2026-04-15T00:00:00.000"/>
    <s v="HRF2627000000684"/>
    <n v="9156863"/>
    <d v="2026-04-01T00:00:00.000"/>
    <s v="Supplier"/>
    <n v="2770"/>
    <s v="CANON INDIA PVT. LTD."/>
    <s v="GURGAON-1A"/>
    <s v="06AAACC4175D1Z2"/>
    <s v="NOS"/>
    <m/>
    <n v="1"/>
    <n v="3956"/>
    <n v="3956"/>
    <s v="GST_India"/>
    <s v="HRF2627000000684"/>
    <d v="2026-04-01T00:00:00.000"/>
    <s v="BUDMINTIND"/>
    <n v="997314"/>
    <s v="Rental Charges For iR-ADV C"/>
    <m/>
    <m/>
    <n v="3956"/>
    <s v="Normal"/>
    <n v="18"/>
    <n v="0"/>
    <n v="0"/>
    <n v="712.08"/>
    <n v="0"/>
    <n v="0"/>
    <n v="0"/>
    <n v="0"/>
    <n v="0"/>
    <n v="0"/>
    <m/>
    <m/>
    <n v="0"/>
    <n v="4668.08"/>
    <s v="Y"/>
    <s v="N"/>
    <s v="11.7100.111.414703.1000.000000.0007.000000.000000.00000000"/>
    <n v="1126100092"/>
    <s v="HO_INTER-STATE_OTH_REC_18%"/>
    <s v="INPUT_SERVICE"/>
    <m/>
    <x v="1"/>
    <x v="0"/>
    <s v="Yes"/>
    <s v="07"/>
    <s v="Delhi"/>
    <s v="06AAACC4175D1Z2HRF2627000000684"/>
    <n v="712.08"/>
    <n v="712.08"/>
    <n v="0"/>
    <s v="Matched"/>
    <n v="9156863"/>
    <s v="Fwd Rec"/>
  </r>
  <r>
    <s v="Payable Invoice"/>
    <s v="AP_INVOICE "/>
    <n v="107"/>
    <s v="Godfrey_Phillips_India_Limited_HO"/>
    <s v="GPIL_HO_New_Delhi(Services)"/>
    <m/>
    <m/>
    <s v="07AABCG4768K1Z9"/>
    <s v="AP_INVOICES"/>
    <s v="STANDARD VALIDATED TAX"/>
    <s v="Manual Invoice Entry"/>
    <s v="STANDARD"/>
    <d v="2026-04-14T00:00:00.000"/>
    <s v="RENT-APR26"/>
    <n v="9151217"/>
    <d v="2026-04-01T00:00:00.000"/>
    <s v="Supplier"/>
    <n v="43247"/>
    <s v="CHARU MODI"/>
    <s v="DELHI-OFF"/>
    <m/>
    <m/>
    <m/>
    <n v="0"/>
    <n v="0"/>
    <n v="200000"/>
    <s v="GST_India"/>
    <s v="GPI-HOC260400003"/>
    <d v="2026-04-01T00:00:00.000"/>
    <m/>
    <n v="997212"/>
    <s v="K3, SATBARI FARM HOUSE RENT APRIL 2026"/>
    <m/>
    <m/>
    <n v="200000"/>
    <s v="Normal"/>
    <n v="18"/>
    <n v="18000"/>
    <n v="18000"/>
    <n v="0"/>
    <n v="0"/>
    <n v="0"/>
    <n v="0"/>
    <n v="0"/>
    <n v="0"/>
    <n v="0"/>
    <m/>
    <m/>
    <n v="0"/>
    <n v="236000"/>
    <s v="N"/>
    <s v="Y"/>
    <s v="11.7100.111.424155.1000.000000.0007.000000.000000.00000000"/>
    <n v="1126100054"/>
    <s v="HO_REV_CHARGE_NON_REC_18%"/>
    <s v="INPUT_SERVICE"/>
    <m/>
    <x v="3"/>
    <x v="1"/>
    <s v="No"/>
    <s v="07"/>
    <s v="Delhi"/>
    <s v="GPI-HOC260400003"/>
    <n v="36000"/>
    <e v="#N/A"/>
    <e v="#N/A"/>
    <s v="RCM"/>
    <n v="9151217"/>
    <s v="RCM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7"/>
    <n v="1925"/>
    <s v="GST_India"/>
    <s v="DFSI2600000751"/>
    <d v="2026-04-17T00:00:00.000"/>
    <s v="BUDMINTIND"/>
    <n v="998729"/>
    <s v="ADJUSTING REAR AXLE"/>
    <m/>
    <m/>
    <n v="1925"/>
    <s v="Normal"/>
    <n v="18"/>
    <n v="0"/>
    <n v="0"/>
    <n v="346.5"/>
    <n v="0"/>
    <n v="0"/>
    <n v="0"/>
    <n v="0"/>
    <n v="0"/>
    <n v="0"/>
    <m/>
    <m/>
    <n v="0"/>
    <n v="2271.5"/>
    <s v="N"/>
    <s v="N"/>
    <s v="11.7100.111.414301.1000.100007.0007.000000.000000.00000000"/>
    <n v="1126100446"/>
    <s v="HO_INTER-STATE_OTH_NON_REC_18%"/>
    <s v="INPUT_TDS_194C"/>
    <m/>
    <x v="0"/>
    <x v="0"/>
    <s v="Yes"/>
    <s v="07"/>
    <s v="Delhi"/>
    <s v="06AAGCD4246E1ZXDFSI2600000751"/>
    <n v="346.5"/>
    <n v="36494.74"/>
    <n v="-36148"/>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30"/>
    <n v="8250"/>
    <s v="GST_India"/>
    <s v="DFSI2600000751"/>
    <d v="2026-04-17T00:00:00.000"/>
    <s v="BUDMINTIND"/>
    <n v="998729"/>
    <s v="COMBO 2"/>
    <m/>
    <m/>
    <n v="8250"/>
    <s v="Normal"/>
    <n v="18"/>
    <n v="0"/>
    <n v="0"/>
    <n v="1485"/>
    <n v="0"/>
    <n v="0"/>
    <n v="0"/>
    <n v="0"/>
    <n v="0"/>
    <n v="0"/>
    <m/>
    <m/>
    <n v="0"/>
    <n v="9735"/>
    <s v="N"/>
    <s v="N"/>
    <s v="11.7100.111.414301.1000.100007.0007.000000.000000.00000000"/>
    <n v="1126100446"/>
    <s v="HO_INTER-STATE_OTH_NON_REC_18%"/>
    <s v="INPUT_TDS_194C"/>
    <m/>
    <x v="0"/>
    <x v="0"/>
    <s v="Yes"/>
    <s v="07"/>
    <s v="Delhi"/>
    <s v="06AAGCD4246E1ZXDFSI2600000751"/>
    <n v="1485"/>
    <n v="36494.74"/>
    <n v="-35010"/>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546.3"/>
    <n v="1"/>
    <n v="546.3"/>
    <s v="GST_India"/>
    <s v="TXA26-00607"/>
    <d v="2026-04-17T00:00:00.000"/>
    <s v="BUDMINTIND"/>
    <n v="998729"/>
    <s v="TGLOSS MECH CARE"/>
    <m/>
    <m/>
    <n v="546.3"/>
    <s v="Normal"/>
    <n v="18"/>
    <n v="49.17"/>
    <n v="49.17"/>
    <n v="0"/>
    <n v="0"/>
    <n v="0"/>
    <n v="0"/>
    <n v="0"/>
    <n v="0"/>
    <n v="0"/>
    <m/>
    <m/>
    <n v="0"/>
    <n v="644.64"/>
    <s v="N"/>
    <s v="N"/>
    <s v="11.7100.111.414301.1009.110908.0007.000000.000000.00000000"/>
    <n v="1126100447"/>
    <s v="HO_INTRA-STATE_OTH_NON_REC_18%"/>
    <s v="INPUT_TDS_194C"/>
    <m/>
    <x v="0"/>
    <x v="0"/>
    <s v="Yes"/>
    <s v="07"/>
    <s v="Delhi"/>
    <s v="07AANCS0651B1ZMTXA26-00607"/>
    <n v="98.34"/>
    <n v="2435.38"/>
    <n v="-2337"/>
    <s v="Matched"/>
    <n v="9175014"/>
    <s v="Fwd Non Rec"/>
  </r>
  <r>
    <s v="Payable Invoice"/>
    <s v="AP_INVOICE "/>
    <n v="107"/>
    <s v="Godfrey_Phillips_India_Limited_HO"/>
    <s v="GPIL_HO_New_Delhi(Services)"/>
    <m/>
    <m/>
    <s v="07AABCG4768K1Z9"/>
    <s v="AP_INVOICES"/>
    <s v="STANDARD VALIDATED TAX"/>
    <s v="CONVERSION"/>
    <s v="STANDARD"/>
    <d v="2026-04-21T00:00:00.000"/>
    <s v="HF2707I000137673"/>
    <n v="9164387"/>
    <d v="2026-04-03T00:00:00.000"/>
    <s v="Supplier"/>
    <n v="6262"/>
    <s v="BHARTI AIRTEL LIMITED"/>
    <s v="HO"/>
    <s v="07AAACB2894G1ZP"/>
    <s v="NOS"/>
    <m/>
    <n v="1"/>
    <n v="399"/>
    <n v="399"/>
    <s v="GST_India"/>
    <s v="HF2707I000137673"/>
    <d v="2026-04-03T00:00:00.000"/>
    <s v="MISCELLENS"/>
    <n v="998412"/>
    <s v="GPI JASOLA OFFICE AIRTEL - LANDLINE TELEPHONE EXPENSES FOR THE MONTH OF March-2026 -  - ADMN"/>
    <m/>
    <m/>
    <n v="399"/>
    <s v="Normal"/>
    <n v="18"/>
    <n v="35.91"/>
    <n v="35.91"/>
    <n v="0"/>
    <n v="0"/>
    <n v="0"/>
    <n v="0"/>
    <n v="0"/>
    <n v="0"/>
    <n v="0"/>
    <m/>
    <m/>
    <n v="0"/>
    <n v="470.82"/>
    <s v="Y"/>
    <s v="N"/>
    <s v="11.7100.111.420801.1010.000000.0007.000000.000000.00000000"/>
    <n v="1126100283"/>
    <s v="HO_INTRA-STATE_OTH_REC_18%"/>
    <s v="INPUT_SERVICE"/>
    <m/>
    <x v="1"/>
    <x v="0"/>
    <s v="Yes"/>
    <s v="07"/>
    <s v="Delhi"/>
    <s v="07AAACB2894G1ZPHF2707I000137673"/>
    <n v="71.82"/>
    <n v="71.82"/>
    <n v="0"/>
    <s v="Matched"/>
    <n v="9164387"/>
    <s v="Fwd Rec"/>
  </r>
  <r>
    <s v="Payable Invoice"/>
    <s v="AP_INVOICE "/>
    <n v="107"/>
    <s v="Godfrey_Phillips_India_Limited_HO"/>
    <s v="GPIL_HO_New_Delhi(Services)"/>
    <m/>
    <m/>
    <s v="07AABCG4768K1Z9"/>
    <s v="AP_INVOICES"/>
    <s v="STANDARD VALIDATED TAX"/>
    <s v="IA"/>
    <s v="STANDARD"/>
    <d v="2026-04-15T00:00:00.000"/>
    <s v="HRF2627000000691"/>
    <n v="9156866"/>
    <d v="2026-04-01T00:00:00.000"/>
    <s v="Supplier"/>
    <n v="2770"/>
    <s v="CANON INDIA PVT. LTD."/>
    <s v="GURGAON-1A"/>
    <s v="06AAACC4175D1Z2"/>
    <s v="NOS"/>
    <m/>
    <n v="1"/>
    <n v="4365"/>
    <n v="4365"/>
    <s v="GST_India"/>
    <s v="HRF2627000000691"/>
    <d v="2026-04-01T00:00:00.000"/>
    <s v="BUDMINTIND"/>
    <n v="997314"/>
    <s v="Rental Charges For iR-ADV DX C"/>
    <m/>
    <m/>
    <n v="4365"/>
    <s v="Normal"/>
    <n v="18"/>
    <n v="0"/>
    <n v="0"/>
    <n v="785.7"/>
    <n v="0"/>
    <n v="0"/>
    <n v="0"/>
    <n v="0"/>
    <n v="0"/>
    <n v="0"/>
    <m/>
    <m/>
    <n v="0"/>
    <n v="5150.7"/>
    <s v="Y"/>
    <s v="N"/>
    <s v="11.7100.111.414703.1000.000000.0007.000000.000000.00000000"/>
    <n v="1126100095"/>
    <s v="HO_INTER-STATE_OTH_REC_18%"/>
    <s v="INPUT_SERVICE"/>
    <m/>
    <x v="1"/>
    <x v="0"/>
    <s v="Yes"/>
    <s v="07"/>
    <s v="Delhi"/>
    <s v="06AAACC4175D1Z2HRF2627000000691"/>
    <n v="785.7"/>
    <n v="785.7"/>
    <n v="0"/>
    <s v="Matched"/>
    <n v="9156866"/>
    <s v="Fwd Rec"/>
  </r>
  <r>
    <s v="Payable Invoice"/>
    <s v="AP_INVOICE "/>
    <n v="107"/>
    <s v="Godfrey_Phillips_India_Limited_HO"/>
    <s v="GPIL_HO_New_Delhi(Services)"/>
    <m/>
    <m/>
    <s v="07AABCG4768K1Z9"/>
    <s v="AP_INVOICES"/>
    <s v="STANDARD VALIDATED TAX"/>
    <s v="IA"/>
    <s v="STANDARD"/>
    <d v="2026-04-28T00:00:00.000"/>
    <s v="NC/26-27/0140"/>
    <n v="9175766"/>
    <d v="2026-04-15T00:00:00.000"/>
    <s v="Supplier"/>
    <n v="3545"/>
    <s v="NAF COMPUTERS"/>
    <s v="NEW DELHI"/>
    <s v="07AATPA1288M1Z9"/>
    <s v="NOS"/>
    <m/>
    <n v="1"/>
    <n v="42840"/>
    <n v="42840"/>
    <s v="GST_India"/>
    <s v="NC/26-27/0140"/>
    <d v="2026-04-15T00:00:00.000"/>
    <s v="EXPENSEIND"/>
    <n v="48025610"/>
    <s v="A-4 Paper JK"/>
    <m/>
    <m/>
    <n v="42840"/>
    <s v="Normal"/>
    <n v="18"/>
    <n v="3855.6"/>
    <n v="3855.6"/>
    <n v="0"/>
    <n v="0"/>
    <n v="0"/>
    <n v="0"/>
    <n v="0"/>
    <n v="0"/>
    <n v="0"/>
    <m/>
    <m/>
    <n v="0"/>
    <n v="50551.2"/>
    <s v="Y"/>
    <s v="N"/>
    <s v="11.7100.111.420603.1010.000000.0007.000000.000000.00000000"/>
    <n v="1126100451"/>
    <s v="HO_INTRA-STATE_OTH_REC_18%"/>
    <s v="INPUT"/>
    <m/>
    <x v="1"/>
    <x v="0"/>
    <s v="No"/>
    <s v="07"/>
    <s v="Delhi"/>
    <s v="07AATPA1288M1Z9NC/26-27/0140"/>
    <n v="7711.2"/>
    <n v="7711.2"/>
    <n v="0"/>
    <s v="Matched"/>
    <n v="9175766"/>
    <s v="Fwd Rec"/>
  </r>
  <r>
    <s v="Payable Invoice"/>
    <s v="AP_INVOICE "/>
    <n v="107"/>
    <s v="Godfrey_Phillips_India_Limited_HO"/>
    <s v="GPIL_HO_New_Delhi(Services)"/>
    <m/>
    <m/>
    <s v="07AABCG4768K1Z9"/>
    <s v="AP_INVOICES"/>
    <s v="STANDARD VALIDATED TAX"/>
    <s v="Manual Invoice Entry"/>
    <s v="STANDARD"/>
    <d v="2026-04-30T00:00:00.000"/>
    <s v="DE25I00001476977"/>
    <n v="9177648"/>
    <d v="2026-03-05T00:00:00.000"/>
    <s v="Supplier"/>
    <n v="11570"/>
    <s v="TATA AIG GENERAL INSURANCE COMPANY LIMITED"/>
    <s v="DELHI"/>
    <s v="07AABCT3518Q1ZY"/>
    <m/>
    <m/>
    <n v="0"/>
    <n v="0"/>
    <n v="3437.7"/>
    <s v="GST_India"/>
    <s v="DE25I00001476977"/>
    <d v="2026-03-05T00:00:00.000"/>
    <m/>
    <n v="9971"/>
    <s v="GPA Policy Addition of Membars for the m/o Feb 2026"/>
    <m/>
    <m/>
    <n v="3437.7"/>
    <s v="Normal"/>
    <n v="18"/>
    <n v="309.39"/>
    <n v="309.39"/>
    <n v="0"/>
    <n v="0"/>
    <n v="0"/>
    <n v="0"/>
    <n v="0"/>
    <n v="0"/>
    <n v="0"/>
    <m/>
    <m/>
    <n v="0"/>
    <n v="4056.48"/>
    <s v="N"/>
    <s v="N"/>
    <s v="11.7100.111.234010.0000.000000.0007.000000.000000.00000000"/>
    <n v="1126100472"/>
    <s v="HO_INTRA-STATE_OTH_NON_REC_18%"/>
    <s v="INPUT_SERVICE"/>
    <m/>
    <x v="0"/>
    <x v="0"/>
    <s v="No"/>
    <s v="07"/>
    <s v="Delhi"/>
    <s v="07AABCT3518Q1ZYDE25I00001476977"/>
    <n v="618.78"/>
    <n v="618.78"/>
    <n v="0"/>
    <s v="Matched"/>
    <n v="917764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1811.02"/>
    <n v="1"/>
    <n v="1811.02"/>
    <s v="GST_India"/>
    <s v="DFSI2600000412"/>
    <d v="2026-04-09T00:00:00.000"/>
    <s v="BUDMINTIND"/>
    <n v="84212300"/>
    <s v="SET OIL FILT"/>
    <m/>
    <m/>
    <n v="1811.02"/>
    <s v="Normal"/>
    <n v="18"/>
    <n v="0"/>
    <n v="0"/>
    <n v="325.98"/>
    <n v="0"/>
    <n v="0"/>
    <n v="0"/>
    <n v="0"/>
    <n v="0"/>
    <n v="0"/>
    <m/>
    <m/>
    <n v="0"/>
    <n v="2137"/>
    <s v="N"/>
    <s v="N"/>
    <s v="11.7100.111.414301.1011.111636.0007.000000.000000.00000000"/>
    <n v="1126100105"/>
    <s v="HO_INTER-STATE_OTH_NON_REC_18%"/>
    <s v="INPUT_TDS_194C"/>
    <m/>
    <x v="0"/>
    <x v="0"/>
    <s v="Yes"/>
    <s v="07"/>
    <s v="Delhi"/>
    <s v="06AAGCD4246E1ZXDFSI2600000412"/>
    <n v="325.98"/>
    <n v="38182.88"/>
    <n v="-37857"/>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28"/>
    <n v="7700"/>
    <s v="GST_India"/>
    <s v="DFSI2600000751"/>
    <d v="2026-04-17T00:00:00.000"/>
    <s v="BUDMINTIND"/>
    <n v="996200"/>
    <s v="CLEANING ENGINE AND ENGINE"/>
    <m/>
    <m/>
    <n v="7700"/>
    <s v="Normal"/>
    <n v="18"/>
    <n v="0"/>
    <n v="0"/>
    <n v="1386"/>
    <n v="0"/>
    <n v="0"/>
    <n v="0"/>
    <n v="0"/>
    <n v="0"/>
    <n v="0"/>
    <m/>
    <m/>
    <n v="0"/>
    <n v="9086"/>
    <s v="N"/>
    <s v="N"/>
    <s v="11.7100.111.414301.1000.100007.0007.000000.000000.00000000"/>
    <n v="1126100446"/>
    <s v="HO_INTER-STATE_OTH_NON_REC_18%"/>
    <s v="INPUT_TDS_194C"/>
    <m/>
    <x v="0"/>
    <x v="0"/>
    <s v="Yes"/>
    <s v="07"/>
    <s v="Delhi"/>
    <s v="06AAGCD4246E1ZXDFSI2600000751"/>
    <n v="1386"/>
    <n v="36494.74"/>
    <n v="-35109"/>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1110.6"/>
    <n v="1"/>
    <n v="1110.6"/>
    <s v="GST_India"/>
    <s v="TXA26-00607"/>
    <d v="2026-04-17T00:00:00.000"/>
    <s v="BUDMINTIND"/>
    <n v="998729"/>
    <s v="TGLOSS AC DUCT CLEANING AND DISINFECTANT"/>
    <m/>
    <m/>
    <n v="1110.6"/>
    <s v="Normal"/>
    <n v="18"/>
    <n v="99.95"/>
    <n v="99.95"/>
    <n v="0"/>
    <n v="0"/>
    <n v="0"/>
    <n v="0"/>
    <n v="0"/>
    <n v="0"/>
    <n v="0"/>
    <m/>
    <m/>
    <n v="0"/>
    <n v="1310.5"/>
    <s v="N"/>
    <s v="N"/>
    <s v="11.7100.111.414301.1009.110908.0007.000000.000000.00000000"/>
    <n v="1126100447"/>
    <s v="HO_INTRA-STATE_OTH_NON_REC_18%"/>
    <s v="INPUT_TDS_194C"/>
    <m/>
    <x v="0"/>
    <x v="0"/>
    <s v="Yes"/>
    <s v="07"/>
    <s v="Delhi"/>
    <s v="07AANCS0651B1ZMTXA26-00607"/>
    <n v="199.9"/>
    <n v="2435.38"/>
    <n v="-2235"/>
    <s v="Matched"/>
    <n v="9175014"/>
    <s v="Fwd Non Rec"/>
  </r>
  <r>
    <s v="Payable Invoice"/>
    <s v="AP_INVOICE "/>
    <n v="107"/>
    <s v="Godfrey_Phillips_India_Limited_HO"/>
    <s v="GPIL_HO_New_Delhi(Services)"/>
    <m/>
    <m/>
    <s v="07AABCG4768K1Z9"/>
    <s v="AP_INVOICES"/>
    <s v="STANDARD VALIDATED TAX"/>
    <s v="IA"/>
    <s v="STANDARD"/>
    <d v="2026-04-14T00:00:00.000"/>
    <s v="DLS2627000000590"/>
    <n v="9155609"/>
    <d v="2026-04-02T00:00:00.000"/>
    <s v="Supplier"/>
    <n v="2770"/>
    <s v="CANON INDIA PVT. LTD."/>
    <s v="OKHLA"/>
    <s v="07AAACC4175D1Z0"/>
    <s v="NOS"/>
    <m/>
    <n v="1"/>
    <n v="7009.2"/>
    <n v="7009.2"/>
    <s v="GST_India"/>
    <s v="DLS2627000000590"/>
    <d v="2026-04-02T00:00:00.000"/>
    <s v="MISCELLENS"/>
    <n v="84439952"/>
    <s v="Supply of TonernnK Spares along Support Services"/>
    <m/>
    <m/>
    <n v="7009.2"/>
    <s v="Normal"/>
    <n v="18"/>
    <n v="630.83"/>
    <n v="630.83"/>
    <n v="0"/>
    <n v="0"/>
    <n v="0"/>
    <n v="0"/>
    <n v="0"/>
    <n v="0"/>
    <n v="0"/>
    <m/>
    <m/>
    <n v="0"/>
    <n v="8270.86"/>
    <s v="Y"/>
    <s v="N"/>
    <s v="11.7100.111.234010.0000.000000.0007.000000.000000.00000000"/>
    <n v="1126100059"/>
    <s v="HO_INTRA-STATE_OTH_REC_18%"/>
    <s v="INPUT_SERVICE"/>
    <m/>
    <x v="1"/>
    <x v="0"/>
    <s v="Yes"/>
    <s v="07"/>
    <s v="Delhi"/>
    <s v="07AAACC4175D1Z0DLS2627000000590"/>
    <n v="1261.66"/>
    <n v="1420.5"/>
    <n v="-159"/>
    <s v="Matched"/>
    <n v="9155609"/>
    <s v="Fwd Rec"/>
  </r>
  <r>
    <s v="Payable Invoice"/>
    <s v="AP_INVOICE "/>
    <n v="107"/>
    <s v="Godfrey_Phillips_India_Limited_HO"/>
    <s v="GPIL_HO_New_Delhi(Services)"/>
    <m/>
    <m/>
    <s v="07AABCG4768K1Z9"/>
    <s v="AP_INVOICES"/>
    <s v="STANDARD VALIDATED TAX"/>
    <s v="IA"/>
    <s v="STANDARD"/>
    <d v="2026-04-24T00:00:00.000"/>
    <n v="7026000049"/>
    <n v="9168297"/>
    <d v="2026-04-16T00:00:00.000"/>
    <s v="Supplier"/>
    <n v="14809"/>
    <s v="CARRIER AIRCONDITIONING AND REFRIGERATION LTD"/>
    <s v="NEW DELHI"/>
    <s v="07AAACC8414B1Z6"/>
    <s v="NOS"/>
    <m/>
    <n v="3650"/>
    <n v="40"/>
    <n v="146000"/>
    <s v="GST_India"/>
    <n v="7026000049"/>
    <d v="2026-04-16T00:00:00.000"/>
    <s v="BUDMINTIND"/>
    <n v="998717"/>
    <s v="VRF SPMS-Carrier SPMS-Other"/>
    <m/>
    <m/>
    <n v="146000"/>
    <s v="Normal"/>
    <n v="18"/>
    <n v="13140"/>
    <n v="13140"/>
    <n v="0"/>
    <n v="0"/>
    <n v="0"/>
    <n v="0"/>
    <n v="0"/>
    <n v="0"/>
    <n v="0"/>
    <m/>
    <m/>
    <n v="0"/>
    <n v="172280"/>
    <s v="Y"/>
    <s v="N"/>
    <s v="11.7100.111.414401.1010.000000.0007.000000.000000.00000000"/>
    <n v="1126100390"/>
    <s v="HO_INTRA-STATE_OTH_REC_18%"/>
    <s v="INPUT_SERVICE"/>
    <m/>
    <x v="1"/>
    <x v="0"/>
    <s v="Yes"/>
    <s v="07"/>
    <s v="Delhi"/>
    <s v="07AAACC8414B1Z67026000049"/>
    <n v="26280"/>
    <n v="28440"/>
    <n v="-2160"/>
    <s v="Matched"/>
    <n v="9168297"/>
    <s v="Fwd Rec"/>
  </r>
  <r>
    <s v="Payable Invoice"/>
    <s v="AP_INVOICE "/>
    <n v="107"/>
    <s v="Godfrey_Phillips_India_Limited_HO"/>
    <s v="GPIL_HO_New_Delhi(Services)"/>
    <m/>
    <m/>
    <s v="07AABCG4768K1Z9"/>
    <s v="AP_INVOICES"/>
    <s v="STANDARD VALIDATED TAX"/>
    <s v="IA"/>
    <s v="STANDARD"/>
    <d v="2026-04-15T00:00:00.000"/>
    <s v="HRF2627000001499"/>
    <n v="9156868"/>
    <d v="2026-04-01T00:00:00.000"/>
    <s v="Supplier"/>
    <n v="2770"/>
    <s v="CANON INDIA PVT. LTD."/>
    <s v="GURGAON-1A"/>
    <s v="06AAACC4175D1Z2"/>
    <s v="NOS"/>
    <m/>
    <n v="1"/>
    <n v="4365"/>
    <n v="4365"/>
    <s v="GST_India"/>
    <s v="HRF2627000001499"/>
    <d v="2026-04-01T00:00:00.000"/>
    <s v="BUDMINTIND"/>
    <n v="997314"/>
    <s v="Rental Charges For iR-ADV C"/>
    <m/>
    <m/>
    <n v="4365"/>
    <s v="Normal"/>
    <n v="18"/>
    <n v="0"/>
    <n v="0"/>
    <n v="785.7"/>
    <n v="0"/>
    <n v="0"/>
    <n v="0"/>
    <n v="0"/>
    <n v="0"/>
    <n v="0"/>
    <m/>
    <m/>
    <n v="0"/>
    <n v="5150.7"/>
    <s v="Y"/>
    <s v="N"/>
    <s v="11.7100.111.414703.1006.000000.0007.000000.000000.00000000"/>
    <n v="1126100097"/>
    <s v="HO_INTER-STATE_OTH_REC_18%"/>
    <s v="INPUT_SERVICE"/>
    <m/>
    <x v="1"/>
    <x v="0"/>
    <s v="Yes"/>
    <s v="07"/>
    <s v="Delhi"/>
    <s v="06AAACC4175D1Z2HRF2627000001499"/>
    <n v="785.7"/>
    <n v="785.7"/>
    <n v="0"/>
    <s v="Matched"/>
    <n v="9156868"/>
    <s v="Fwd Rec"/>
  </r>
  <r>
    <s v="Payable Invoice"/>
    <s v="AP_INVOICE "/>
    <n v="107"/>
    <s v="Godfrey_Phillips_India_Limited_HO"/>
    <s v="GPIL_HO_New_Delhi(Services)"/>
    <m/>
    <m/>
    <s v="07AABCG4768K1Z9"/>
    <s v="AP_INVOICES"/>
    <s v="STANDARD VALIDATED TAX"/>
    <s v="IA"/>
    <s v="STANDARD"/>
    <d v="2026-04-30T00:00:00.000"/>
    <s v="RE/25-26/70"/>
    <n v="9178276"/>
    <d v="2025-11-14T00:00:00.000"/>
    <s v="Supplier"/>
    <n v="43607"/>
    <s v="ROBUST EQUIPMENT"/>
    <s v="NEW DELHI-OFF"/>
    <s v="07IQYPS6937J1ZH"/>
    <s v="NOS"/>
    <m/>
    <n v="382600"/>
    <n v="0.4391"/>
    <n v="167999.66"/>
    <s v="GST_India"/>
    <n v="70"/>
    <d v="2025-11-14T00:00:00.000"/>
    <s v="BUDCAPTIND"/>
    <n v="8419"/>
    <s v="Semi automatic single group coffee machine (Make- Astoria) Model No. Tanya 01"/>
    <m/>
    <m/>
    <n v="167999.66"/>
    <s v="Normal"/>
    <n v="18"/>
    <n v="15119.97"/>
    <n v="15119.97"/>
    <n v="0"/>
    <n v="0"/>
    <n v="0"/>
    <n v="0"/>
    <n v="0"/>
    <n v="0"/>
    <n v="0"/>
    <m/>
    <m/>
    <n v="0"/>
    <n v="198239.6"/>
    <s v="Y"/>
    <s v="N"/>
    <s v="11.7100.111.112050.0000.000000.0007.000000.000000.00000000"/>
    <n v="1126100502"/>
    <s v="HO_INTRA-STATE_OTH_REC_18%"/>
    <s v="INPUT"/>
    <m/>
    <x v="1"/>
    <x v="0"/>
    <s v="No"/>
    <s v="07"/>
    <s v="Delhi"/>
    <s v="07IQYPS6937J1ZH70"/>
    <n v="30239.94"/>
    <n v="30240"/>
    <n v="0"/>
    <s v="Matched"/>
    <n v="9178276"/>
    <s v="Fwd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435"/>
    <n v="435"/>
    <s v="GST_India"/>
    <s v="MF2707I000063444"/>
    <d v="2026-04-03T00:00:00.000"/>
    <s v="MISCELLENS"/>
    <n v="998413"/>
    <s v="AIRTEL MOBILE BILLS FOR THE MONTH OF MAR 2026"/>
    <m/>
    <m/>
    <n v="435"/>
    <s v="Normal"/>
    <n v="18"/>
    <n v="39.15"/>
    <n v="39.15"/>
    <n v="0"/>
    <n v="0"/>
    <n v="0"/>
    <n v="0"/>
    <n v="0"/>
    <n v="0"/>
    <n v="0"/>
    <m/>
    <m/>
    <n v="0"/>
    <n v="513.3"/>
    <s v="Y"/>
    <s v="N"/>
    <s v="11.7100.111.420803.1000.000000.0007.000000.000000.00000000"/>
    <n v="1126100078"/>
    <s v="HO_INTRA-STATE_OTH_REC_18%"/>
    <s v="INPUT_SERVICE"/>
    <m/>
    <x v="1"/>
    <x v="0"/>
    <s v="Yes"/>
    <s v="07"/>
    <s v="Delhi"/>
    <s v="07AAACB2894G1ZPMF2707I000063444"/>
    <n v="78.3"/>
    <n v="8534.42"/>
    <n v="-8456"/>
    <s v="Matched"/>
    <n v="9156749"/>
    <s v="Fwd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25"/>
    <n v="81"/>
    <n v="2025"/>
    <s v="GST_India"/>
    <s v="130/26-27"/>
    <d v="2026-04-09T00:00:00.000"/>
    <s v="MISCELLENS"/>
    <n v="998900"/>
    <s v="Envelope (HSN 49090010 18) Womens Dday Appreciation Envelope"/>
    <m/>
    <m/>
    <n v="2025"/>
    <s v="Normal"/>
    <n v="18"/>
    <n v="182.25"/>
    <n v="182.25"/>
    <n v="0"/>
    <n v="0"/>
    <n v="0"/>
    <n v="0"/>
    <n v="0"/>
    <n v="0"/>
    <n v="0"/>
    <m/>
    <m/>
    <n v="0"/>
    <n v="2389.5"/>
    <s v="N"/>
    <s v="N"/>
    <s v="11.7100.111.420602.1011.000000.0007.000000.000000.00000000"/>
    <n v="1126100334"/>
    <s v="HO_INTRA-STATE_OTH_NON_REC_18%"/>
    <s v="INPUT_SERVICE"/>
    <m/>
    <x v="0"/>
    <x v="0"/>
    <s v="Yes"/>
    <s v="07"/>
    <s v="Delhi"/>
    <s v="07AAACN0474C1ZX130/26-27"/>
    <n v="364.5"/>
    <n v="6014.7"/>
    <n v="-5650"/>
    <s v="Matched"/>
    <n v="9164740"/>
    <s v="Fwd Non Rec"/>
  </r>
  <r>
    <s v="Payable Invoice"/>
    <s v="AP_INVOICE "/>
    <n v="107"/>
    <s v="Godfrey_Phillips_India_Limited_HO"/>
    <s v="GPIL_HO_New_Delhi(Services)"/>
    <m/>
    <m/>
    <s v="07AABCG4768K1Z9"/>
    <s v="AP_INVOICES"/>
    <s v="STANDARD VALIDATED TAX"/>
    <s v="Manual Invoice Entry"/>
    <s v="STANDARD"/>
    <d v="2026-04-13T00:00:00.000"/>
    <s v="CI1001100092"/>
    <n v="9150866"/>
    <d v="2026-04-06T00:00:00.000"/>
    <s v="Supplier"/>
    <n v="3734"/>
    <s v="THE OBEROI"/>
    <s v="NEW DELHI"/>
    <s v="07AAACE6898B4ZH"/>
    <m/>
    <m/>
    <n v="0"/>
    <n v="0"/>
    <n v="10000"/>
    <s v="GST_India"/>
    <s v="CI1001100092"/>
    <d v="2026-04-06T00:00:00.000"/>
    <m/>
    <n v="997212"/>
    <s v="BELVEDRE MEETING"/>
    <m/>
    <m/>
    <n v="10000"/>
    <s v="Normal"/>
    <n v="18"/>
    <n v="900"/>
    <n v="900"/>
    <n v="0"/>
    <n v="0"/>
    <n v="0"/>
    <n v="0"/>
    <n v="0"/>
    <n v="0"/>
    <n v="0"/>
    <m/>
    <m/>
    <n v="0"/>
    <n v="11800"/>
    <s v="Y"/>
    <s v="N"/>
    <s v="11.7100.111.422201.1000.100005.0007.000000.000000.00000000"/>
    <n v="1126100022"/>
    <s v="HO_INTRA-STATE_OTH_REC_18%"/>
    <s v="INPUT_SERVICE"/>
    <m/>
    <x v="1"/>
    <x v="0"/>
    <s v="Yes"/>
    <s v="07"/>
    <s v="Delhi"/>
    <s v="07AAACE6898B4ZHCI1001100092"/>
    <n v="1800"/>
    <n v="1800"/>
    <n v="0"/>
    <s v="Matched"/>
    <n v="9150866"/>
    <s v="Fwd Rec"/>
  </r>
  <r>
    <s v="Payable Invoice"/>
    <s v="AP_INVOICE "/>
    <n v="107"/>
    <s v="Godfrey_Phillips_India_Limited_HO"/>
    <s v="GPIL_HO_New_Delhi(Services)"/>
    <m/>
    <s v="HO New Friends Colony"/>
    <s v="07AABCG4768K1Z9"/>
    <s v="AP_INVOICES"/>
    <s v="STANDARD CREATED"/>
    <s v="Manual Invoice Entry"/>
    <s v="STANDARD"/>
    <d v="2026-04-14T00:00:00.000"/>
    <n v="612"/>
    <n v="9151235"/>
    <d v="2026-04-04T00:00:00.000"/>
    <s v="Supplier"/>
    <n v="40631"/>
    <s v="ARSHAD KHAN ENTERPRISES"/>
    <s v="NEW DELHI"/>
    <s v="07AVQPK8011N2Z1"/>
    <s v="NOS"/>
    <m/>
    <n v="500"/>
    <n v="1"/>
    <n v="500"/>
    <s v="GST_India"/>
    <n v="612"/>
    <d v="2026-04-04T00:00:00.000"/>
    <s v="BUDMINTIND"/>
    <n v="995400"/>
    <s v="Cartage"/>
    <m/>
    <m/>
    <n v="500"/>
    <s v="Normal"/>
    <n v="18"/>
    <n v="45"/>
    <n v="45"/>
    <n v="0"/>
    <n v="0"/>
    <n v="0"/>
    <n v="0"/>
    <n v="0"/>
    <n v="0"/>
    <n v="0"/>
    <m/>
    <m/>
    <n v="0"/>
    <n v="590"/>
    <s v="N"/>
    <s v="N"/>
    <s v="11.7100.111.424156.1000.100007.0007.000000.000000.00000000"/>
    <n v="1126100056"/>
    <s v="HO_INTRA-STATE_OTH_NON_REC_18%"/>
    <s v="INPUT"/>
    <m/>
    <x v="0"/>
    <x v="0"/>
    <s v="No"/>
    <s v="07"/>
    <s v="Delhi"/>
    <s v="07AVQPK8011N2Z1612"/>
    <n v="90"/>
    <n v="4734"/>
    <n v="-4644"/>
    <s v="Matched"/>
    <n v="9151235"/>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4"/>
    <n v="1100"/>
    <s v="GST_India"/>
    <s v="DFSI2600000412"/>
    <d v="2026-04-09T00:00:00.000"/>
    <s v="BUDMINTIND"/>
    <n v="998729"/>
    <s v="BRAKE FLUID SERVICE"/>
    <m/>
    <m/>
    <n v="1100"/>
    <s v="Normal"/>
    <n v="18"/>
    <n v="0"/>
    <n v="0"/>
    <n v="198"/>
    <n v="0"/>
    <n v="0"/>
    <n v="0"/>
    <n v="0"/>
    <n v="0"/>
    <n v="0"/>
    <m/>
    <m/>
    <n v="0"/>
    <n v="1298"/>
    <s v="N"/>
    <s v="N"/>
    <s v="11.7100.111.414301.1011.111636.0007.000000.000000.00000000"/>
    <n v="1126100105"/>
    <s v="HO_INTER-STATE_OTH_NON_REC_18%"/>
    <s v="INPUT_TDS_194C"/>
    <m/>
    <x v="0"/>
    <x v="0"/>
    <s v="Yes"/>
    <s v="07"/>
    <s v="Delhi"/>
    <s v="06AAGCD4246E1ZXDFSI2600000412"/>
    <n v="198"/>
    <n v="38182.88"/>
    <n v="-37985"/>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LTR"/>
    <m/>
    <n v="1335.592"/>
    <n v="6.5"/>
    <n v="8681.35"/>
    <s v="GST_India"/>
    <s v="DFSI2600000751"/>
    <d v="2026-04-17T00:00:00.000"/>
    <s v="BUDMINTIND"/>
    <n v="27101972"/>
    <s v="ENGINE OIL TWINPOWER LL01 0W30"/>
    <m/>
    <m/>
    <n v="8681.35"/>
    <s v="Normal"/>
    <n v="18"/>
    <n v="0"/>
    <n v="0"/>
    <n v="1562.64"/>
    <n v="0"/>
    <n v="0"/>
    <n v="0"/>
    <n v="0"/>
    <n v="0"/>
    <n v="0"/>
    <m/>
    <m/>
    <n v="0"/>
    <n v="10243.99"/>
    <s v="N"/>
    <s v="N"/>
    <s v="11.7100.111.414301.1000.100007.0007.000000.000000.00000000"/>
    <n v="1126100446"/>
    <s v="HO_INTER-STATE_OTH_NON_REC_18%"/>
    <s v="INPUT_TDS_194C"/>
    <m/>
    <x v="0"/>
    <x v="0"/>
    <s v="Yes"/>
    <s v="07"/>
    <s v="Delhi"/>
    <s v="06AAGCD4246E1ZXDFSI2600000751"/>
    <n v="1562.64"/>
    <n v="36494.74"/>
    <n v="-34932"/>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762.71"/>
    <n v="2"/>
    <n v="1525.42"/>
    <s v="GST_India"/>
    <s v="DFSI2600000751"/>
    <d v="2026-04-17T00:00:00.000"/>
    <s v="BUDMINTIND"/>
    <n v="40169340"/>
    <s v="GASKET"/>
    <m/>
    <m/>
    <n v="1525.42"/>
    <s v="Normal"/>
    <n v="18"/>
    <n v="0"/>
    <n v="0"/>
    <n v="274.58"/>
    <n v="0"/>
    <n v="0"/>
    <n v="0"/>
    <n v="0"/>
    <n v="0"/>
    <n v="0"/>
    <m/>
    <m/>
    <n v="0"/>
    <n v="1800"/>
    <s v="N"/>
    <s v="N"/>
    <s v="11.7100.111.414301.1000.100007.0007.000000.000000.00000000"/>
    <n v="1126100446"/>
    <s v="HO_INTER-STATE_OTH_NON_REC_18%"/>
    <s v="INPUT_TDS_194C"/>
    <m/>
    <x v="0"/>
    <x v="0"/>
    <s v="Yes"/>
    <s v="07"/>
    <s v="Delhi"/>
    <s v="06AAGCD4246E1ZXDFSI2600000751"/>
    <n v="274.58"/>
    <n v="36494.74"/>
    <n v="-36220"/>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591"/>
    <n v="1"/>
    <n v="591"/>
    <s v="GST_India"/>
    <s v="TXA26-00607"/>
    <d v="2026-04-17T00:00:00.000"/>
    <s v="BUDMINTIND"/>
    <n v="84213990"/>
    <s v="FILTER S/ASSY"/>
    <m/>
    <m/>
    <n v="591"/>
    <s v="Normal"/>
    <n v="18"/>
    <n v="53.19"/>
    <n v="53.19"/>
    <n v="0"/>
    <n v="0"/>
    <n v="0"/>
    <n v="0"/>
    <n v="0"/>
    <n v="0"/>
    <n v="0"/>
    <m/>
    <m/>
    <n v="0"/>
    <n v="697.38"/>
    <s v="N"/>
    <s v="N"/>
    <s v="11.7100.111.414301.1009.110908.0007.000000.000000.00000000"/>
    <n v="1126100447"/>
    <s v="HO_INTRA-STATE_OTH_NON_REC_18%"/>
    <s v="INPUT_TDS_194C"/>
    <m/>
    <x v="0"/>
    <x v="0"/>
    <s v="Yes"/>
    <s v="07"/>
    <s v="Delhi"/>
    <s v="07AANCS0651B1ZMTXA26-00607"/>
    <n v="106.38"/>
    <n v="2435.38"/>
    <n v="-2329"/>
    <s v="Matched"/>
    <n v="9175014"/>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17219.92"/>
    <n v="1"/>
    <n v="17219.92"/>
    <s v="GST_India"/>
    <s v="DFSI2600000751"/>
    <d v="2026-04-17T00:00:00.000"/>
    <s v="BUDMINTIND"/>
    <n v="87083000"/>
    <s v="REPAIR KIT"/>
    <m/>
    <m/>
    <n v="17219.92"/>
    <s v="Normal"/>
    <n v="18"/>
    <n v="0"/>
    <n v="0"/>
    <n v="3099.59"/>
    <n v="0"/>
    <n v="0"/>
    <n v="0"/>
    <n v="0"/>
    <n v="0"/>
    <n v="0"/>
    <m/>
    <m/>
    <n v="0"/>
    <n v="20319.51"/>
    <s v="N"/>
    <s v="N"/>
    <s v="11.7100.111.414301.1000.100007.0007.000000.000000.00000000"/>
    <n v="1126100446"/>
    <s v="HO_INTER-STATE_OTH_NON_REC_18%"/>
    <s v="INPUT_TDS_194C"/>
    <m/>
    <x v="0"/>
    <x v="0"/>
    <s v="Yes"/>
    <s v="07"/>
    <s v="Delhi"/>
    <s v="06AAGCD4246E1ZXDFSI2600000751"/>
    <n v="3099.59"/>
    <n v="36494.74"/>
    <n v="-33395"/>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406.8"/>
    <n v="1"/>
    <n v="406.8"/>
    <s v="GST_India"/>
    <s v="TXA26-00607"/>
    <d v="2026-04-17T00:00:00.000"/>
    <s v="BUDMINTIND"/>
    <n v="998729"/>
    <s v="TGLOSS SUNROOF MAINTENANCE"/>
    <m/>
    <m/>
    <n v="406.8"/>
    <s v="Normal"/>
    <n v="18"/>
    <n v="36.61"/>
    <n v="36.61"/>
    <n v="0"/>
    <n v="0"/>
    <n v="0"/>
    <n v="0"/>
    <n v="0"/>
    <n v="0"/>
    <n v="0"/>
    <m/>
    <m/>
    <n v="0"/>
    <n v="480.02"/>
    <s v="N"/>
    <s v="N"/>
    <s v="11.7100.111.414301.1009.110908.0007.000000.000000.00000000"/>
    <n v="1126100447"/>
    <s v="HO_INTRA-STATE_OTH_NON_REC_18%"/>
    <s v="INPUT_TDS_194C"/>
    <m/>
    <x v="0"/>
    <x v="0"/>
    <s v="Yes"/>
    <s v="07"/>
    <s v="Delhi"/>
    <s v="07AANCS0651B1ZMTXA26-00607"/>
    <n v="73.22"/>
    <n v="2435.38"/>
    <n v="-2362"/>
    <s v="Matched"/>
    <n v="9175014"/>
    <s v="Fwd Non Rec"/>
  </r>
  <r>
    <s v="Payable Invoice"/>
    <s v="AP_INVOICE "/>
    <n v="107"/>
    <s v="Godfrey_Phillips_India_Limited_HO"/>
    <s v="GPIL_HO_New_Delhi(Services)"/>
    <m/>
    <m/>
    <s v="07AABCG4768K1Z9"/>
    <s v="AP_INVOICES"/>
    <s v="STANDARD VALIDATED TAX"/>
    <s v="CONVERSION"/>
    <s v="STANDARD"/>
    <d v="2026-04-21T00:00:00.000"/>
    <s v="HF2707I000130293"/>
    <n v="9164383"/>
    <d v="2026-04-03T00:00:00.000"/>
    <s v="Supplier"/>
    <n v="6262"/>
    <s v="BHARTI AIRTEL LIMITED"/>
    <s v="HO"/>
    <s v="07AAACB2894G1ZP"/>
    <s v="NOS"/>
    <m/>
    <n v="1"/>
    <n v="1183"/>
    <n v="1183"/>
    <s v="GST_India"/>
    <s v="HF2707I000130293"/>
    <d v="2026-04-03T00:00:00.000"/>
    <s v="MISCELLENS"/>
    <n v="998412"/>
    <s v="PRESIDENT OFF.( A-1) AIRTEL - LANDLINE TELEPHONE EXPENSES FOR THE MONTH OF March-2026 -  - CM"/>
    <m/>
    <m/>
    <n v="1183"/>
    <s v="Normal"/>
    <n v="18"/>
    <n v="106.47"/>
    <n v="106.47"/>
    <n v="0"/>
    <n v="0"/>
    <n v="0"/>
    <n v="0"/>
    <n v="0"/>
    <n v="0"/>
    <n v="0"/>
    <m/>
    <m/>
    <n v="0"/>
    <n v="1395.94"/>
    <s v="N"/>
    <s v="N"/>
    <s v="11.7100.111.420801.1000.000000.0007.000000.000000.00000000"/>
    <n v="1126100279"/>
    <s v="HO_INTRA-STATE_OTH_NON_REC_18%"/>
    <s v="INPUT_SERVICE"/>
    <m/>
    <x v="0"/>
    <x v="0"/>
    <s v="Yes"/>
    <s v="07"/>
    <s v="Delhi"/>
    <s v="07AAACB2894G1ZPHF2707I000130293"/>
    <n v="212.94"/>
    <n v="212.94"/>
    <n v="0"/>
    <s v="Matched"/>
    <n v="9164383"/>
    <s v="Fwd Non Rec"/>
  </r>
  <r>
    <s v="Payable Invoice"/>
    <s v="AP_INVOICE "/>
    <n v="107"/>
    <s v="Godfrey_Phillips_India_Limited_HO"/>
    <s v="GPIL_HO_New_Delhi(Services)"/>
    <m/>
    <m/>
    <s v="07AABCG4768K1Z9"/>
    <s v="AP_INVOICES"/>
    <s v="STANDARD VALIDATED TAX"/>
    <s v="CONVERSION"/>
    <s v="STANDARD"/>
    <d v="2026-04-21T00:00:00.000"/>
    <s v="HF2707I000137672"/>
    <n v="9164391"/>
    <d v="2026-04-03T00:00:00.000"/>
    <s v="Supplier"/>
    <n v="6262"/>
    <s v="BHARTI AIRTEL LIMITED"/>
    <s v="HO"/>
    <s v="07AAACB2894G1ZP"/>
    <s v="NOS"/>
    <m/>
    <n v="1"/>
    <n v="399"/>
    <n v="399"/>
    <s v="GST_India"/>
    <s v="HF2707I000137672"/>
    <d v="2026-04-03T00:00:00.000"/>
    <s v="MISCELLENS"/>
    <n v="998412"/>
    <s v="GPI JASOLA OFFICE AIRTEL - LANDLINE TELEPHONE EXPENSES FOR THE MONTH OF March-2026 -  - ADMN"/>
    <m/>
    <m/>
    <n v="399"/>
    <s v="Normal"/>
    <n v="18"/>
    <n v="35.91"/>
    <n v="35.91"/>
    <n v="0"/>
    <n v="0"/>
    <n v="0"/>
    <n v="0"/>
    <n v="0"/>
    <n v="0"/>
    <n v="0"/>
    <m/>
    <m/>
    <n v="0"/>
    <n v="470.82"/>
    <s v="Y"/>
    <s v="N"/>
    <s v="11.7100.111.420801.1010.000000.0007.000000.000000.00000000"/>
    <n v="1126100287"/>
    <s v="HO_INTRA-STATE_OTH_REC_18%"/>
    <s v="INPUT_SERVICE"/>
    <m/>
    <x v="1"/>
    <x v="0"/>
    <s v="Yes"/>
    <s v="07"/>
    <s v="Delhi"/>
    <s v="07AAACB2894G1ZPHF2707I000137672"/>
    <n v="71.82"/>
    <n v="71.82"/>
    <n v="0"/>
    <s v="Matched"/>
    <n v="9164391"/>
    <s v="Fwd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25000"/>
    <n v="1"/>
    <n v="25000"/>
    <s v="GST_India"/>
    <s v="GPI-HOC250400365"/>
    <d v="2025-11-29T00:00:00.000"/>
    <m/>
    <n v="998213"/>
    <s v="for briefing to Mr. Rajiv Nayar  Sr. Advocate November 20  2025"/>
    <m/>
    <m/>
    <n v="25000"/>
    <s v="Normal"/>
    <n v="18"/>
    <n v="2250"/>
    <n v="2250"/>
    <n v="0"/>
    <n v="0"/>
    <n v="0"/>
    <n v="0"/>
    <n v="0"/>
    <n v="0"/>
    <n v="0"/>
    <m/>
    <m/>
    <n v="0"/>
    <n v="29500"/>
    <s v="Y"/>
    <s v="Y"/>
    <s v="11.7100.111.234010.0000.000000.0007.000000.000000.00000000"/>
    <n v="1126100459"/>
    <s v="HO_REV_CHARGE_REC_18%"/>
    <s v="INPUT_SERVICE"/>
    <m/>
    <x v="2"/>
    <x v="1"/>
    <s v="No"/>
    <s v="07"/>
    <s v="Delhi"/>
    <s v="GPI-HOC250400365"/>
    <n v="4500"/>
    <e v="#N/A"/>
    <e v="#N/A"/>
    <s v="RCM"/>
    <n v="9177454"/>
    <s v="RCM Rec"/>
  </r>
  <r>
    <s v="Payable Invoice"/>
    <s v="AP_INVOICE "/>
    <n v="107"/>
    <s v="Godfrey_Phillips_India_Limited_HO"/>
    <s v="GPIL_HO_New_Delhi(Services)"/>
    <m/>
    <m/>
    <s v="07AABCG4768K1Z9"/>
    <s v="AP_INVOICES"/>
    <s v="STANDARD VALIDATED TAX"/>
    <s v="IA"/>
    <s v="STANDARD"/>
    <d v="2026-04-29T00:00:00.000"/>
    <s v="105971/Opp"/>
    <n v="9177451"/>
    <d v="2026-03-31T00:00:00.000"/>
    <s v="Supplier"/>
    <n v="36105"/>
    <s v="RAHUL CHAUDHARY AND PARTNERS"/>
    <s v="NEW DELHI"/>
    <m/>
    <s v="NOS"/>
    <m/>
    <n v="27500"/>
    <n v="1"/>
    <n v="27500"/>
    <s v="GST_India"/>
    <s v="GPI-HOC250400366"/>
    <d v="2026-03-31T00:00:00.000"/>
    <m/>
    <n v="998213"/>
    <s v="Towards our rebated charges for attending hearing dated March 17  2026 scheduled by the Trade Marks Registry  Delhi  reporting the outcome and drafting and submitting our written submissions at the Registry in support proceeding"/>
    <m/>
    <m/>
    <n v="27500"/>
    <s v="Normal"/>
    <n v="18"/>
    <n v="2475"/>
    <n v="2475"/>
    <n v="0"/>
    <n v="0"/>
    <n v="0"/>
    <n v="0"/>
    <n v="0"/>
    <n v="0"/>
    <n v="0"/>
    <m/>
    <m/>
    <n v="0"/>
    <n v="32450"/>
    <s v="Y"/>
    <s v="Y"/>
    <s v="11.7100.111.234010.0000.000000.0007.000000.000000.00000000"/>
    <n v="1126100458"/>
    <s v="HO_REV_CHARGE_REC_18%"/>
    <s v="INPUT_SERVICE"/>
    <m/>
    <x v="2"/>
    <x v="1"/>
    <s v="No"/>
    <s v="07"/>
    <s v="Delhi"/>
    <s v="GPI-HOC250400366"/>
    <n v="4950"/>
    <e v="#N/A"/>
    <e v="#N/A"/>
    <s v="RCM"/>
    <n v="9177451"/>
    <s v="RCM Rec"/>
  </r>
  <r>
    <s v="Payable Invoice"/>
    <s v="AP_INVOICE "/>
    <n v="107"/>
    <s v="Godfrey_Phillips_India_Limited_HO"/>
    <s v="GPIL_HO_New_Delhi(Services)"/>
    <m/>
    <s v="HO New Friends Colony"/>
    <s v="07AABCG4768K1Z9"/>
    <s v="AP_INVOICES"/>
    <s v="STANDARD CREATED"/>
    <s v="Manual Invoice Entry"/>
    <s v="STANDARD"/>
    <d v="2026-04-15T00:00:00.000"/>
    <s v="C07E262700010044"/>
    <n v="9156758"/>
    <d v="2026-04-01T00:00:00.000"/>
    <s v="Supplier"/>
    <n v="33841"/>
    <s v="RELIANCE JIO INFOCOMM LIMITED"/>
    <s v="NEW DELHI"/>
    <s v="07AABCI6363G1ZL"/>
    <s v="NOS"/>
    <m/>
    <n v="1"/>
    <n v="1545"/>
    <n v="1545"/>
    <s v="GST_India"/>
    <s v="C07E262700010044"/>
    <d v="2026-04-01T00:00:00.000"/>
    <s v="MISCELLENS"/>
    <n v="998400"/>
    <s v="RELIANCE JIO MOBILE BILL FOR THE MONTH OF MAR 2026"/>
    <m/>
    <m/>
    <n v="1545"/>
    <s v="Normal"/>
    <n v="18"/>
    <n v="139.05"/>
    <n v="139.05"/>
    <n v="0"/>
    <n v="0"/>
    <n v="0"/>
    <n v="0"/>
    <n v="0"/>
    <n v="0"/>
    <n v="0"/>
    <m/>
    <m/>
    <n v="0"/>
    <n v="1823.1"/>
    <s v="Y"/>
    <s v="N"/>
    <s v="11.7100.111.420803.1000.000000.0007.000000.000000.00000000"/>
    <n v="1126100082"/>
    <s v="HO_INTRA-STATE_OTH_REC_18%"/>
    <s v="INPUT_SERVICE"/>
    <m/>
    <x v="1"/>
    <x v="0"/>
    <s v="Yes"/>
    <s v="07"/>
    <s v="Delhi"/>
    <s v="07AABCI6363G1ZLC07E262700010044"/>
    <n v="278.1"/>
    <n v="369.72"/>
    <n v="-92"/>
    <s v="Matched"/>
    <n v="9156758"/>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910.17"/>
    <n v="12"/>
    <n v="10922.04"/>
    <s v="GST_India"/>
    <s v="DFSI2600000412"/>
    <d v="2026-04-09T00:00:00.000"/>
    <s v="BUDMINTIND"/>
    <n v="38119000"/>
    <s v="TWIN POWER T"/>
    <m/>
    <m/>
    <n v="10922.04"/>
    <s v="Normal"/>
    <n v="18"/>
    <n v="0"/>
    <n v="0"/>
    <n v="1965.97"/>
    <n v="0"/>
    <n v="0"/>
    <n v="0"/>
    <n v="0"/>
    <n v="0"/>
    <n v="0"/>
    <m/>
    <m/>
    <n v="0"/>
    <n v="12888.01"/>
    <s v="N"/>
    <s v="N"/>
    <s v="11.7100.111.414301.1011.111636.0007.000000.000000.00000000"/>
    <n v="1126100105"/>
    <s v="HO_INTER-STATE_OTH_NON_REC_18%"/>
    <s v="INPUT_TDS_194C"/>
    <m/>
    <x v="0"/>
    <x v="0"/>
    <s v="Yes"/>
    <s v="07"/>
    <s v="Delhi"/>
    <s v="06AAGCD4246E1ZXDFSI2600000412"/>
    <n v="1965.97"/>
    <n v="38182.88"/>
    <n v="-36217"/>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34"/>
    <n v="9350"/>
    <s v="GST_India"/>
    <s v="DFSI2600000751"/>
    <d v="2026-04-17T00:00:00.000"/>
    <s v="BUDMINTIND"/>
    <n v="996200"/>
    <s v="COMBO 1"/>
    <m/>
    <m/>
    <n v="9350"/>
    <s v="Normal"/>
    <n v="18"/>
    <n v="0"/>
    <n v="0"/>
    <n v="1683"/>
    <n v="0"/>
    <n v="0"/>
    <n v="0"/>
    <n v="0"/>
    <n v="0"/>
    <n v="0"/>
    <m/>
    <m/>
    <n v="0"/>
    <n v="11033"/>
    <s v="N"/>
    <s v="N"/>
    <s v="11.7100.111.414301.1000.100007.0007.000000.000000.00000000"/>
    <n v="1126100446"/>
    <s v="HO_INTER-STATE_OTH_NON_REC_18%"/>
    <s v="INPUT_TDS_194C"/>
    <m/>
    <x v="0"/>
    <x v="0"/>
    <s v="Yes"/>
    <s v="07"/>
    <s v="Delhi"/>
    <s v="06AAGCD4246E1ZXDFSI2600000751"/>
    <n v="1683"/>
    <n v="36494.74"/>
    <n v="-34812"/>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11"/>
    <n v="3025"/>
    <s v="GST_India"/>
    <s v="DFSI2600000751"/>
    <d v="2026-04-17T00:00:00.000"/>
    <s v="BUDMINTIND"/>
    <n v="998729"/>
    <s v="BALANCING FRONT AND REAR WHEELS STATIONARY"/>
    <m/>
    <m/>
    <n v="3025"/>
    <s v="Normal"/>
    <n v="18"/>
    <n v="0"/>
    <n v="0"/>
    <n v="544.5"/>
    <n v="0"/>
    <n v="0"/>
    <n v="0"/>
    <n v="0"/>
    <n v="0"/>
    <n v="0"/>
    <m/>
    <m/>
    <n v="0"/>
    <n v="3569.5"/>
    <s v="N"/>
    <s v="N"/>
    <s v="11.7100.111.414301.1000.100007.0007.000000.000000.00000000"/>
    <n v="1126100446"/>
    <s v="HO_INTER-STATE_OTH_NON_REC_18%"/>
    <s v="INPUT_TDS_194C"/>
    <m/>
    <x v="0"/>
    <x v="0"/>
    <s v="Yes"/>
    <s v="07"/>
    <s v="Delhi"/>
    <s v="06AAGCD4246E1ZXDFSI2600000751"/>
    <n v="544.5"/>
    <n v="36494.74"/>
    <n v="-35950"/>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397"/>
    <n v="1397"/>
    <s v="GST_India"/>
    <s v="MF2707I000063444"/>
    <d v="2026-04-03T00:00:00.000"/>
    <s v="MISCELLENS"/>
    <n v="998413"/>
    <s v="AIRTEL MOBILE BILLS FOR THE MONTH OF MAR 2026"/>
    <m/>
    <m/>
    <n v="1397"/>
    <s v="Normal"/>
    <n v="18"/>
    <n v="125.73"/>
    <n v="125.73"/>
    <n v="0"/>
    <n v="0"/>
    <n v="0"/>
    <n v="0"/>
    <n v="0"/>
    <n v="0"/>
    <n v="0"/>
    <m/>
    <m/>
    <n v="0"/>
    <n v="1648.46"/>
    <s v="Y"/>
    <s v="N"/>
    <s v="11.7100.111.420803.1000.000000.0007.000000.000000.00000000"/>
    <n v="1126100078"/>
    <s v="HO_INTRA-STATE_OTH_REC_18%"/>
    <s v="INPUT_SERVICE"/>
    <m/>
    <x v="1"/>
    <x v="0"/>
    <s v="Yes"/>
    <s v="07"/>
    <s v="Delhi"/>
    <s v="07AAACB2894G1ZPMF2707I000063444"/>
    <n v="251.46"/>
    <n v="8534.42"/>
    <n v="-8283"/>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2713.5"/>
    <n v="1"/>
    <n v="2713.5"/>
    <s v="GST_India"/>
    <s v="TXA26-00607"/>
    <d v="2026-04-17T00:00:00.000"/>
    <s v="BUDMINTIND"/>
    <n v="998729"/>
    <s v="20000 KM SERVICE INSP"/>
    <m/>
    <m/>
    <n v="2713.5"/>
    <s v="Normal"/>
    <n v="18"/>
    <n v="244.22"/>
    <n v="244.22"/>
    <n v="0"/>
    <n v="0"/>
    <n v="0"/>
    <n v="0"/>
    <n v="0"/>
    <n v="0"/>
    <n v="0"/>
    <m/>
    <m/>
    <n v="0"/>
    <n v="3201.94"/>
    <s v="N"/>
    <s v="N"/>
    <s v="11.7100.111.414301.1009.110908.0007.000000.000000.00000000"/>
    <n v="1126100447"/>
    <s v="HO_INTRA-STATE_OTH_NON_REC_18%"/>
    <s v="INPUT_TDS_194C"/>
    <m/>
    <x v="0"/>
    <x v="0"/>
    <s v="Yes"/>
    <s v="07"/>
    <s v="Delhi"/>
    <s v="07AANCS0651B1ZMTXA26-00607"/>
    <n v="488.44"/>
    <n v="2435.38"/>
    <n v="-1947"/>
    <s v="Matched"/>
    <n v="9175014"/>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410"/>
    <n v="1"/>
    <n v="410"/>
    <s v="GST_India"/>
    <s v="TXA26-00607"/>
    <d v="2026-04-17T00:00:00.000"/>
    <s v="BUDMINTIND"/>
    <n v="38140010"/>
    <s v="HIGH POWER BRAKE CLEANER 75G"/>
    <m/>
    <m/>
    <n v="410"/>
    <s v="Normal"/>
    <n v="18"/>
    <n v="36.9"/>
    <n v="36.9"/>
    <n v="0"/>
    <n v="0"/>
    <n v="0"/>
    <n v="0"/>
    <n v="0"/>
    <n v="0"/>
    <n v="0"/>
    <m/>
    <m/>
    <n v="0"/>
    <n v="483.8"/>
    <s v="N"/>
    <s v="N"/>
    <s v="11.7100.111.414301.1009.110908.0007.000000.000000.00000000"/>
    <n v="1126100447"/>
    <s v="HO_INTRA-STATE_OTH_NON_REC_18%"/>
    <s v="INPUT_TDS_194C"/>
    <m/>
    <x v="0"/>
    <x v="0"/>
    <s v="Yes"/>
    <s v="07"/>
    <s v="Delhi"/>
    <s v="07AANCS0651B1ZMTXA26-00607"/>
    <n v="73.8"/>
    <n v="2435.38"/>
    <n v="-2362"/>
    <s v="Matched"/>
    <n v="9175014"/>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20"/>
    <n v="2"/>
    <n v="440"/>
    <s v="GST_India"/>
    <s v="DFSI2600000751"/>
    <d v="2026-04-17T00:00:00.000"/>
    <s v="BUDMINTIND"/>
    <n v="998729"/>
    <s v="SERVICE AIR FILTER ELEMENT"/>
    <m/>
    <m/>
    <n v="440"/>
    <s v="Normal"/>
    <n v="18"/>
    <n v="0"/>
    <n v="0"/>
    <n v="79.2"/>
    <n v="0"/>
    <n v="0"/>
    <n v="0"/>
    <n v="0"/>
    <n v="0"/>
    <n v="0"/>
    <m/>
    <m/>
    <n v="0"/>
    <n v="519.2"/>
    <s v="N"/>
    <s v="N"/>
    <s v="11.7100.111.414301.1000.100007.0007.000000.000000.00000000"/>
    <n v="1126100446"/>
    <s v="HO_INTER-STATE_OTH_NON_REC_18%"/>
    <s v="INPUT_TDS_194C"/>
    <m/>
    <x v="0"/>
    <x v="0"/>
    <s v="Yes"/>
    <s v="07"/>
    <s v="Delhi"/>
    <s v="06AAGCD4246E1ZXDFSI2600000751"/>
    <n v="79.2"/>
    <n v="36494.74"/>
    <n v="-36416"/>
    <s v="Matched"/>
    <n v="9174963"/>
    <s v="Fwd Non Rec"/>
  </r>
  <r>
    <s v="Payable Invoice"/>
    <s v="AP_INVOICE "/>
    <n v="107"/>
    <s v="Godfrey_Phillips_India_Limited_HO"/>
    <s v="GPIL_HO_New_Delhi(Services)"/>
    <m/>
    <m/>
    <s v="07AABCG4768K1Z9"/>
    <s v="AP_INVOICES"/>
    <s v="STANDARD VALIDATED TAX"/>
    <s v="IA"/>
    <s v="STANDARD"/>
    <d v="2026-04-14T00:00:00.000"/>
    <s v="DLS2627000000590"/>
    <n v="9155609"/>
    <d v="2026-04-02T00:00:00.000"/>
    <s v="Supplier"/>
    <n v="2770"/>
    <s v="CANON INDIA PVT. LTD."/>
    <s v="OKHLA"/>
    <s v="07AAACC4175D1Z0"/>
    <s v="NOS"/>
    <m/>
    <n v="1"/>
    <n v="790.92"/>
    <n v="790.92"/>
    <s v="GST_India"/>
    <s v="DLS2627000000590"/>
    <d v="2026-04-02T00:00:00.000"/>
    <s v="MISCELLENS"/>
    <n v="84439952"/>
    <s v="Supply arrow. and Spares along with Support Services"/>
    <m/>
    <m/>
    <n v="790.92"/>
    <s v="Normal"/>
    <n v="18"/>
    <n v="71.18"/>
    <n v="71.18"/>
    <n v="0"/>
    <n v="0"/>
    <n v="0"/>
    <n v="0"/>
    <n v="0"/>
    <n v="0"/>
    <n v="0"/>
    <m/>
    <m/>
    <n v="0"/>
    <n v="933.28"/>
    <s v="Y"/>
    <s v="N"/>
    <s v="11.7100.111.234010.0000.000000.0007.000000.000000.00000000"/>
    <n v="1126100059"/>
    <s v="HO_INTRA-STATE_OTH_REC_18%"/>
    <s v="INPUT_SERVICE"/>
    <m/>
    <x v="1"/>
    <x v="0"/>
    <s v="Yes"/>
    <s v="07"/>
    <s v="Delhi"/>
    <s v="07AAACC4175D1Z0DLS2627000000590"/>
    <n v="142.36"/>
    <n v="1420.5"/>
    <n v="-1278"/>
    <s v="Matched"/>
    <n v="9155609"/>
    <s v="Fwd Rec"/>
  </r>
  <r>
    <s v="Payable Invoice"/>
    <s v="AP_INVOICE "/>
    <n v="107"/>
    <s v="Godfrey_Phillips_India_Limited_HO"/>
    <s v="GPIL_HO_New_Delhi(Services)"/>
    <m/>
    <m/>
    <s v="07AABCG4768K1Z9"/>
    <s v="AP_INVOICES"/>
    <s v="STANDARD VALIDATED TAX"/>
    <s v="IA"/>
    <s v="STANDARD"/>
    <d v="2026-04-14T00:00:00.000"/>
    <s v="DLS2627000000590"/>
    <n v="9155609"/>
    <d v="2026-04-02T00:00:00.000"/>
    <s v="Supplier"/>
    <n v="2770"/>
    <s v="CANON INDIA PVT. LTD."/>
    <s v="OKHLA"/>
    <s v="07AAACC4175D1Z0"/>
    <s v="NOS"/>
    <m/>
    <n v="1"/>
    <n v="90"/>
    <n v="90"/>
    <s v="GST_India"/>
    <s v="DLS2627000000590"/>
    <d v="2026-04-02T00:00:00.000"/>
    <s v="MISCELLENS"/>
    <n v="84439952"/>
    <s v="Supply of TonerInk Spares along Support Services"/>
    <m/>
    <m/>
    <n v="90"/>
    <s v="Normal"/>
    <n v="18"/>
    <n v="8.1"/>
    <n v="8.1"/>
    <n v="0"/>
    <n v="0"/>
    <n v="0"/>
    <n v="0"/>
    <n v="0"/>
    <n v="0"/>
    <n v="0"/>
    <m/>
    <m/>
    <n v="0"/>
    <n v="106.2"/>
    <s v="Y"/>
    <s v="N"/>
    <s v="11.7100.111.234010.0000.000000.0007.000000.000000.00000000"/>
    <n v="1126100059"/>
    <s v="HO_INTRA-STATE_OTH_REC_18%"/>
    <s v="INPUT_SERVICE"/>
    <m/>
    <x v="1"/>
    <x v="0"/>
    <s v="Yes"/>
    <s v="07"/>
    <s v="Delhi"/>
    <s v="07AAACC4175D1Z0DLS2627000000590"/>
    <n v="16.2"/>
    <n v="1420.5"/>
    <n v="-1404"/>
    <s v="Matched"/>
    <n v="9155609"/>
    <s v="Fwd Rec"/>
  </r>
  <r>
    <s v="Payable Invoice"/>
    <s v="AP_INVOICE "/>
    <n v="107"/>
    <s v="Godfrey_Phillips_India_Limited_HO"/>
    <s v="GPIL_HO_New_Delhi(Services)"/>
    <m/>
    <m/>
    <s v="07AABCG4768K1Z9"/>
    <s v="AP_INVOICES"/>
    <s v="STANDARD VALIDATED TAX"/>
    <s v="IA"/>
    <s v="STANDARD"/>
    <d v="2026-04-14T00:00:00.000"/>
    <s v="DLS2627000000641"/>
    <n v="9155619"/>
    <d v="2026-04-02T00:00:00.000"/>
    <s v="Supplier"/>
    <n v="2770"/>
    <s v="CANON INDIA PVT. LTD."/>
    <s v="OKHLA"/>
    <s v="07AAACC4175D1Z0"/>
    <s v="NOS"/>
    <m/>
    <n v="1"/>
    <n v="10"/>
    <n v="10"/>
    <s v="GST_India"/>
    <s v="DLS2627000000641"/>
    <d v="2026-04-02T00:00:00.000"/>
    <s v="MISCELLENS"/>
    <n v="998712"/>
    <s v="Supply of ToneninK Spares along Support Services"/>
    <m/>
    <m/>
    <n v="10"/>
    <s v="Normal"/>
    <n v="18"/>
    <n v="0.9"/>
    <n v="0.9"/>
    <n v="0"/>
    <n v="0"/>
    <n v="0"/>
    <n v="0"/>
    <n v="0"/>
    <n v="0"/>
    <n v="0"/>
    <m/>
    <m/>
    <n v="0"/>
    <n v="11.8"/>
    <s v="Y"/>
    <s v="N"/>
    <s v="11.7100.111.234010.0000.000000.0007.000000.000000.00000000"/>
    <n v="1126100069"/>
    <s v="HO_INTRA-STATE_OTH_REC_18%"/>
    <s v="INPUT_SERVICE"/>
    <m/>
    <x v="1"/>
    <x v="0"/>
    <s v="Yes"/>
    <s v="07"/>
    <s v="Delhi"/>
    <s v="07AAACC4175D1Z0DLS2627000000641"/>
    <n v="1.8"/>
    <n v="5341.12"/>
    <n v="-5339"/>
    <s v="Matched"/>
    <n v="9155619"/>
    <s v="Fwd Rec"/>
  </r>
  <r>
    <s v="Payable Invoice"/>
    <s v="AP_INVOICE "/>
    <n v="107"/>
    <s v="Godfrey_Phillips_India_Limited_HO"/>
    <s v="GPIL_HO_New_Delhi(Services)"/>
    <m/>
    <m/>
    <s v="07AABCG4768K1Z9"/>
    <s v="AP_INVOICES"/>
    <s v="STANDARD VALIDATED TAX"/>
    <s v="Manual Invoice Entry"/>
    <s v="STANDARD"/>
    <d v="2026-04-27T00:00:00.000"/>
    <s v="CI1001100350"/>
    <n v="9173874"/>
    <d v="2026-04-01T00:00:00.000"/>
    <s v="Supplier"/>
    <n v="3734"/>
    <s v="THE OBEROI"/>
    <s v="NEW DELHI"/>
    <s v="07AAACE6898B4ZH"/>
    <m/>
    <m/>
    <n v="0"/>
    <n v="0"/>
    <n v="125000"/>
    <s v="GST_India"/>
    <s v="CI1001100350"/>
    <d v="2026-04-01T00:00:00.000"/>
    <m/>
    <n v="999599"/>
    <s v="BELVEDERE MEM RENEWAL FEES APRIL 2026 TO MARCH 2027 FOR CHARU MODI"/>
    <m/>
    <m/>
    <n v="125000"/>
    <s v="Normal"/>
    <n v="18"/>
    <n v="11250"/>
    <n v="11250"/>
    <n v="0"/>
    <n v="0"/>
    <n v="0"/>
    <n v="0"/>
    <n v="0"/>
    <n v="0"/>
    <n v="0"/>
    <m/>
    <m/>
    <n v="0"/>
    <n v="147500"/>
    <s v="N"/>
    <s v="N"/>
    <s v="11.7100.111.420501.1000.000000.0007.000000.000000.00000000"/>
    <n v="1126100442"/>
    <s v="HO_INTRA-STATE_OTH_NON_REC_18%"/>
    <s v="INPUT_SERVICE"/>
    <m/>
    <x v="0"/>
    <x v="0"/>
    <s v="Yes"/>
    <s v="07"/>
    <s v="Delhi"/>
    <s v="07AAACE6898B4ZHCI1001100350"/>
    <n v="22500"/>
    <n v="22500"/>
    <n v="0"/>
    <s v="Matched"/>
    <n v="9173874"/>
    <s v="Fwd Non Rec"/>
  </r>
  <r>
    <s v="Payable Invoice"/>
    <s v="AP_INVOICE "/>
    <n v="107"/>
    <s v="Godfrey_Phillips_India_Limited_HO"/>
    <s v="GPIL_HO_New_Delhi(Services)"/>
    <m/>
    <m/>
    <s v="07AABCG4768K1Z9"/>
    <s v="AP_INVOICES"/>
    <s v="STANDARD VALIDATED TAX"/>
    <s v="IA"/>
    <s v="STANDARD"/>
    <d v="2026-04-29T00:00:00.000"/>
    <d v="2026-03-01T00:00:00.000"/>
    <n v="9178114"/>
    <d v="2026-04-15T00:00:00.000"/>
    <s v="Supplier"/>
    <n v="5093"/>
    <s v="ANS COMPUTERS AND PERIPHERALS"/>
    <s v="DELHI"/>
    <s v="07ACBPV7574P1ZN"/>
    <s v="NOS"/>
    <m/>
    <n v="1"/>
    <n v="3600"/>
    <n v="3600"/>
    <s v="GST_India"/>
    <n v="3"/>
    <d v="2026-04-15T00:00:00.000"/>
    <s v="BUDITMINTIND"/>
    <n v="8543"/>
    <s v="HDMI SWITCH 3X1 STECKER"/>
    <m/>
    <m/>
    <n v="3600"/>
    <s v="Normal"/>
    <n v="18"/>
    <n v="324"/>
    <n v="324"/>
    <n v="0"/>
    <n v="0"/>
    <n v="0"/>
    <n v="0"/>
    <n v="0"/>
    <n v="0"/>
    <n v="0"/>
    <m/>
    <m/>
    <n v="0"/>
    <n v="4248"/>
    <s v="Y"/>
    <s v="N"/>
    <s v="11.7100.111.414701.1013.000000.0007.000000.000000.00000000"/>
    <n v="1126100466"/>
    <s v="HO_INTRA-STATE_OTH_REC_18%"/>
    <s v="INPUT"/>
    <m/>
    <x v="1"/>
    <x v="0"/>
    <s v="No"/>
    <s v="07"/>
    <s v="Delhi"/>
    <s v="07ACBPV7574P1ZN3"/>
    <n v="648"/>
    <n v="1584"/>
    <n v="-936"/>
    <s v="Matched"/>
    <n v="9178114"/>
    <s v="Fwd Rec"/>
  </r>
  <r>
    <s v="Payable Invoice"/>
    <s v="AP_INVOICE "/>
    <n v="107"/>
    <s v="Godfrey_Phillips_India_Limited_HO"/>
    <s v="GPIL_HO_New_Delhi(Services)"/>
    <m/>
    <m/>
    <s v="07AABCG4768K1Z9"/>
    <s v="AP_INVOICES"/>
    <s v="STANDARD VALIDATED TAX"/>
    <s v="IA"/>
    <s v="STANDARD"/>
    <d v="2026-04-14T00:00:00.000"/>
    <s v="DLS2627000000642"/>
    <n v="9155618"/>
    <d v="2026-04-02T00:00:00.000"/>
    <s v="Supplier"/>
    <n v="2770"/>
    <s v="CANON INDIA PVT. LTD."/>
    <s v="OKHLA"/>
    <s v="07AAACC4175D1Z0"/>
    <s v="NOS"/>
    <m/>
    <n v="1"/>
    <n v="4138.2"/>
    <n v="4138.2"/>
    <s v="GST_India"/>
    <s v="DLS2627000000642"/>
    <d v="2026-04-02T00:00:00.000"/>
    <s v="MISCELLENS"/>
    <n v="84439952"/>
    <s v="Supply TonerInk Spares along Support Services"/>
    <m/>
    <m/>
    <n v="4138.2"/>
    <s v="Normal"/>
    <n v="18"/>
    <n v="372.44"/>
    <n v="372.44"/>
    <n v="0"/>
    <n v="0"/>
    <n v="0"/>
    <n v="0"/>
    <n v="0"/>
    <n v="0"/>
    <n v="0"/>
    <m/>
    <m/>
    <n v="0"/>
    <n v="4883.08"/>
    <s v="Y"/>
    <s v="N"/>
    <s v="11.7100.111.234010.0000.000000.0007.000000.000000.00000000"/>
    <n v="1126100068"/>
    <s v="HO_INTRA-STATE_OTH_REC_18%"/>
    <s v="INPUT_SERVICE"/>
    <m/>
    <x v="1"/>
    <x v="0"/>
    <s v="Yes"/>
    <s v="07"/>
    <s v="Delhi"/>
    <s v="07AAACC4175D1Z0DLS2627000000642"/>
    <n v="744.88"/>
    <n v="840.1"/>
    <n v="-95"/>
    <s v="Matched"/>
    <n v="9155618"/>
    <s v="Fwd Rec"/>
  </r>
  <r>
    <s v="Payable Invoice"/>
    <s v="AP_INVOICE "/>
    <n v="107"/>
    <s v="Godfrey_Phillips_India_Limited_HO"/>
    <s v="GPIL_HO_New_Delhi(Services)"/>
    <m/>
    <m/>
    <s v="07AABCG4768K1Z9"/>
    <s v="AP_INVOICES"/>
    <s v="STANDARD VALIDATED TAX"/>
    <s v="IA"/>
    <s v="STANDARD"/>
    <d v="2026-04-24T00:00:00.000"/>
    <s v="HEXA2026-27/3289"/>
    <n v="9168299"/>
    <d v="2026-04-15T00:00:00.000"/>
    <s v="Supplier"/>
    <n v="14097"/>
    <s v="HEXADECIMAL SYSTEMS AND SERVICES"/>
    <s v="DELHI"/>
    <s v="07AFCPB1962P1ZC"/>
    <s v="NOS"/>
    <m/>
    <n v="2000"/>
    <n v="1"/>
    <n v="2000"/>
    <s v="GST_India"/>
    <s v="HEXA2026-27/3289"/>
    <d v="2026-04-15T00:00:00.000"/>
    <s v="BUDMINTIND"/>
    <n v="998712"/>
    <s v="SERVICE MAINTENANCE  REPAIRS OF OFFICE MACHINERY COMB BINDING MACHINE MODEL FELLOWES GALAXY 500 SERIAL No."/>
    <m/>
    <m/>
    <n v="2000"/>
    <s v="Normal"/>
    <n v="18"/>
    <n v="180"/>
    <n v="180"/>
    <n v="0"/>
    <n v="0"/>
    <n v="0"/>
    <n v="0"/>
    <n v="0"/>
    <n v="0"/>
    <n v="0"/>
    <m/>
    <m/>
    <n v="0"/>
    <n v="2360"/>
    <s v="Y"/>
    <s v="N"/>
    <s v="11.7100.111.414401.1010.000000.0007.000000.000000.00000000"/>
    <n v="1126100392"/>
    <s v="HO_INTRA-STATE_OTH_REC_18%"/>
    <s v="INPUT_SERVICE"/>
    <m/>
    <x v="1"/>
    <x v="0"/>
    <s v="No"/>
    <s v="07"/>
    <s v="Delhi"/>
    <s v="07AFCPB1962P1ZCHEXA2026-27/3289"/>
    <n v="360"/>
    <n v="2952"/>
    <n v="-2592"/>
    <s v="Matched"/>
    <n v="9168299"/>
    <s v="Fwd Rec"/>
  </r>
  <r>
    <s v="Payable Invoice"/>
    <s v="AP_INVOICE "/>
    <n v="107"/>
    <s v="Godfrey_Phillips_India_Limited_HO"/>
    <s v="GPIL_HO_New_Delhi(Services)"/>
    <m/>
    <m/>
    <s v="07AABCG4768K1Z9"/>
    <s v="AP_INVOICES"/>
    <s v="STANDARD VALIDATED TAX"/>
    <s v="Manual Invoice Entry"/>
    <s v="STANDARD"/>
    <d v="2026-04-30T00:00:00.000"/>
    <s v="MH25I00004400331"/>
    <n v="9177649"/>
    <d v="2026-03-06T00:00:00.000"/>
    <s v="Supplier"/>
    <n v="11570"/>
    <s v="TATA AIG GENERAL INSURANCE COMPANY LIMITED"/>
    <s v="MUMBAI"/>
    <s v="27AABCT3518Q1ZW"/>
    <m/>
    <m/>
    <n v="0"/>
    <n v="0"/>
    <n v="121080.2"/>
    <s v="GST_India"/>
    <s v="MH25I00004400331"/>
    <d v="2026-03-06T00:00:00.000"/>
    <m/>
    <n v="9971"/>
    <s v="Motor Car Renewal DL11CB4111 BMW User ED office"/>
    <m/>
    <m/>
    <n v="121080.2"/>
    <s v="Normal"/>
    <n v="18"/>
    <n v="0"/>
    <n v="0"/>
    <n v="21794.44"/>
    <n v="0"/>
    <n v="0"/>
    <n v="0"/>
    <n v="0"/>
    <n v="0"/>
    <n v="0"/>
    <m/>
    <m/>
    <n v="0"/>
    <n v="142874.64"/>
    <s v="N"/>
    <s v="N"/>
    <s v="11.7100.111.234010.0000.000000.0007.000000.000000.00000000"/>
    <n v="1126100473"/>
    <s v="HO_INTER-STATE_OTH_NON_REC_18%"/>
    <s v="INPUT_SERVICE"/>
    <m/>
    <x v="0"/>
    <x v="0"/>
    <s v="Yes"/>
    <s v="07"/>
    <s v="Delhi"/>
    <s v="27AABCT3518Q1ZWMH25I00004400331"/>
    <n v="21794.44"/>
    <n v="21795"/>
    <n v="-1"/>
    <s v="Matched"/>
    <n v="9177649"/>
    <s v="Fwd Non Rec"/>
  </r>
  <r>
    <s v="Payable Invoice"/>
    <s v="AP_INVOICE "/>
    <n v="107"/>
    <s v="Godfrey_Phillips_India_Limited_HO"/>
    <s v="GPIL_HO_New_Delhi(Services)"/>
    <m/>
    <m/>
    <s v="07AABCG4768K1Z9"/>
    <s v="AP_INVOICES"/>
    <s v="STANDARD VALIDATED TAX"/>
    <s v="IA"/>
    <s v="STANDARD"/>
    <d v="2026-04-29T00:00:00.000"/>
    <s v="105971/Opp"/>
    <n v="9177451"/>
    <d v="2026-03-31T00:00:00.000"/>
    <s v="Supplier"/>
    <n v="36105"/>
    <s v="RAHUL CHAUDHARY AND PARTNERS"/>
    <s v="NEW DELHI"/>
    <m/>
    <s v="NOS"/>
    <m/>
    <n v="690"/>
    <n v="1"/>
    <n v="690"/>
    <s v="GST_India"/>
    <s v="GPI-HOC250400366"/>
    <d v="2026-03-31T00:00:00.000"/>
    <m/>
    <n v="998213"/>
    <s v="Printing  photocopying and other miscellaneous out of pocket expenses"/>
    <m/>
    <m/>
    <n v="690"/>
    <s v="Normal"/>
    <n v="18"/>
    <n v="62.1"/>
    <n v="62.1"/>
    <n v="0"/>
    <n v="0"/>
    <n v="0"/>
    <n v="0"/>
    <n v="0"/>
    <n v="0"/>
    <n v="0"/>
    <m/>
    <m/>
    <n v="0"/>
    <n v="814.2"/>
    <s v="Y"/>
    <s v="Y"/>
    <s v="11.7100.111.234010.0000.000000.0007.000000.000000.00000000"/>
    <n v="1126100458"/>
    <s v="HO_REV_CHARGE_REC_18%"/>
    <s v="INPUT_SERVICE"/>
    <m/>
    <x v="2"/>
    <x v="1"/>
    <s v="No"/>
    <s v="07"/>
    <s v="Delhi"/>
    <s v="GPI-HOC250400366"/>
    <n v="124.2"/>
    <e v="#N/A"/>
    <e v="#N/A"/>
    <s v="RCM"/>
    <n v="9177451"/>
    <s v="RCM Rec"/>
  </r>
  <r>
    <s v="Payable Invoice"/>
    <s v="AP_INVOICE "/>
    <n v="107"/>
    <s v="Godfrey_Phillips_India_Limited_HO"/>
    <s v="GPIL_HO_New_Delhi(Services)"/>
    <m/>
    <m/>
    <s v="07AABCG4768K1Z9"/>
    <s v="AP_INVOICES"/>
    <s v="STANDARD VALIDATED TAX"/>
    <s v="IA"/>
    <s v="STANDARD"/>
    <d v="2026-04-13T00:00:00.000"/>
    <n v="252601606"/>
    <n v="9153960"/>
    <d v="2026-03-01T00:00:00.000"/>
    <s v="Supplier"/>
    <n v="20046"/>
    <s v="OM COMPUTER WORLD"/>
    <s v="DELHI"/>
    <s v="07ALWPT1567E1ZJ"/>
    <s v="NOS"/>
    <m/>
    <n v="2500"/>
    <n v="1"/>
    <n v="2500"/>
    <s v="GST_India"/>
    <n v="252601606"/>
    <d v="2026-03-01T00:00:00.000"/>
    <m/>
    <n v="998422"/>
    <s v="Internet charges or the period 01.03.2026 to 30.03.2026 installed at the res of ED-Charu Modi"/>
    <m/>
    <m/>
    <n v="2500"/>
    <s v="Normal"/>
    <n v="18"/>
    <n v="225"/>
    <n v="225"/>
    <n v="0"/>
    <n v="0"/>
    <n v="0"/>
    <n v="0"/>
    <n v="0"/>
    <n v="0"/>
    <n v="0"/>
    <m/>
    <m/>
    <n v="0"/>
    <n v="2950"/>
    <s v="N"/>
    <s v="N"/>
    <s v="11.7100.111.424154.1000.100007.0007.000000.000000.00000000"/>
    <n v="1126100029"/>
    <s v="HO_INTRA-STATE_OTH_NON_REC_18%"/>
    <s v="INPUT_SERVICE"/>
    <m/>
    <x v="0"/>
    <x v="0"/>
    <s v="No"/>
    <s v="07"/>
    <s v="Delhi"/>
    <s v="07ALWPT1567E1ZJ252601606"/>
    <n v="450"/>
    <n v="450"/>
    <n v="0"/>
    <s v="Matched"/>
    <n v="9153960"/>
    <s v="Fwd Non Rec"/>
  </r>
  <r>
    <s v="Payable Invoice"/>
    <s v="AP_INVOICE "/>
    <n v="107"/>
    <s v="Godfrey_Phillips_India_Limited_HO"/>
    <s v="GPIL_HO_New_Delhi(Services)"/>
    <m/>
    <m/>
    <s v="07AABCG4768K1Z9"/>
    <s v="AP_INVOICES"/>
    <s v="STANDARD VALIDATED TAX"/>
    <s v="IA"/>
    <s v="STANDARD"/>
    <d v="2026-04-21T00:00:00.000"/>
    <s v="737/2025-2026"/>
    <n v="9164021"/>
    <d v="2026-03-27T00:00:00.000"/>
    <s v="Supplier"/>
    <n v="45456"/>
    <s v="SAGA LEGAL"/>
    <s v="HEAD OFFICE"/>
    <m/>
    <m/>
    <m/>
    <n v="25000"/>
    <n v="1"/>
    <n v="25000"/>
    <s v="GST_India"/>
    <s v="737/2025-2026"/>
    <d v="2026-03-27T00:00:00.000"/>
    <m/>
    <n v="998216"/>
    <s v="Professional fees towards drafting and filing of restoration application for GPILs Counter Claim."/>
    <m/>
    <m/>
    <n v="25000"/>
    <s v="Normal"/>
    <n v="18"/>
    <n v="2250"/>
    <n v="2250"/>
    <n v="0"/>
    <n v="0"/>
    <n v="0"/>
    <n v="0"/>
    <n v="0"/>
    <n v="0"/>
    <n v="0"/>
    <m/>
    <m/>
    <n v="0"/>
    <n v="29500"/>
    <s v="Y"/>
    <s v="Y"/>
    <s v="11.7100.111.234010.0000.000000.0007.000000.000000.00000000"/>
    <n v="1125113944"/>
    <s v="HO_REV_CHARGE_REC_18%"/>
    <s v="INPUT_SERVICE"/>
    <m/>
    <x v="2"/>
    <x v="1"/>
    <s v="No"/>
    <s v="07"/>
    <s v="Delhi"/>
    <s v="737/2025-2026"/>
    <n v="4500"/>
    <e v="#N/A"/>
    <e v="#N/A"/>
    <s v="RCM"/>
    <n v="9164021"/>
    <s v="RCM Rec"/>
  </r>
  <r>
    <s v="Payable Invoice"/>
    <s v="AP_INVOICE "/>
    <n v="107"/>
    <s v="Godfrey_Phillips_India_Limited_HO"/>
    <s v="GPIL_HO_New_Delhi(Services)"/>
    <m/>
    <m/>
    <s v="07AABCG4768K1Z9"/>
    <s v="AP_INVOICES"/>
    <s v="STANDARD VALIDATED TAX"/>
    <s v="IA"/>
    <s v="STANDARD"/>
    <d v="2026-04-14T00:00:00.000"/>
    <s v="DLS2627000000660"/>
    <n v="9155615"/>
    <d v="2026-04-02T00:00:00.000"/>
    <s v="Supplier"/>
    <n v="2770"/>
    <s v="CANON INDIA PVT. LTD."/>
    <s v="OKHLA"/>
    <s v="07AAACC4175D1Z0"/>
    <s v="NOS"/>
    <m/>
    <n v="1"/>
    <n v="30"/>
    <n v="30"/>
    <s v="GST_India"/>
    <s v="DLS2627000000660"/>
    <d v="2026-04-02T00:00:00.000"/>
    <s v="MISCELLENS"/>
    <n v="84439952"/>
    <s v="Supply of TonerInk Spares along Support Services"/>
    <m/>
    <m/>
    <n v="30"/>
    <s v="Normal"/>
    <n v="18"/>
    <n v="2.7"/>
    <n v="2.7"/>
    <n v="0"/>
    <n v="0"/>
    <n v="0"/>
    <n v="0"/>
    <n v="0"/>
    <n v="0"/>
    <n v="0"/>
    <m/>
    <m/>
    <n v="0"/>
    <n v="35.4"/>
    <s v="Y"/>
    <s v="N"/>
    <s v="11.7100.111.234010.0000.000000.0007.000000.000000.00000000"/>
    <n v="1126100065"/>
    <s v="HO_INTRA-STATE_OTH_REC_18%"/>
    <s v="INPUT_SERVICE"/>
    <m/>
    <x v="1"/>
    <x v="0"/>
    <s v="Yes"/>
    <s v="07"/>
    <s v="Delhi"/>
    <s v="07AAACC4175D1Z0DLS2627000000660"/>
    <n v="5.4"/>
    <n v="1123.84"/>
    <n v="-1118"/>
    <s v="Matched"/>
    <n v="9155615"/>
    <s v="Fwd Rec"/>
  </r>
  <r>
    <s v="Payable Invoice"/>
    <s v="AP_INVOICE "/>
    <n v="107"/>
    <s v="Godfrey_Phillips_India_Limited_HO"/>
    <s v="GPIL_HO_New_Delhi(Services)"/>
    <m/>
    <m/>
    <s v="07AABCG4768K1Z9"/>
    <s v="AP_INVOICES"/>
    <s v="STANDARD VALIDATED TAX"/>
    <s v="IA"/>
    <s v="STANDARD"/>
    <d v="2026-04-15T00:00:00.000"/>
    <s v="HRF2627000000685"/>
    <n v="9156869"/>
    <d v="2026-04-01T00:00:00.000"/>
    <s v="Supplier"/>
    <n v="2770"/>
    <s v="CANON INDIA PVT. LTD."/>
    <s v="GURGAON-1A"/>
    <s v="06AAACC4175D1Z2"/>
    <s v="NOS"/>
    <m/>
    <n v="1"/>
    <n v="4365"/>
    <n v="4365"/>
    <s v="GST_India"/>
    <s v="HRF2627000000685"/>
    <d v="2026-04-01T00:00:00.000"/>
    <s v="BUDMINTIND"/>
    <n v="997314"/>
    <s v="Rental Charges For IR-ADV DX C"/>
    <m/>
    <m/>
    <n v="4365"/>
    <s v="Normal"/>
    <n v="18"/>
    <n v="0"/>
    <n v="0"/>
    <n v="785.7"/>
    <n v="0"/>
    <n v="0"/>
    <n v="0"/>
    <n v="0"/>
    <n v="0"/>
    <n v="0"/>
    <m/>
    <m/>
    <n v="0"/>
    <n v="5150.7"/>
    <s v="Y"/>
    <s v="N"/>
    <s v="11.7100.111.414703.0001.000000.0007.000000.000000.00000000"/>
    <n v="1126100098"/>
    <s v="HO_INTER-STATE_OTH_REC_18%"/>
    <s v="INPUT_SERVICE"/>
    <m/>
    <x v="1"/>
    <x v="0"/>
    <s v="Yes"/>
    <s v="07"/>
    <s v="Delhi"/>
    <s v="06AAACC4175D1Z2HRF2627000000685"/>
    <n v="785.7"/>
    <n v="785.7"/>
    <n v="0"/>
    <s v="Matched"/>
    <n v="9156869"/>
    <s v="Fwd Rec"/>
  </r>
  <r>
    <s v="Payable Invoice"/>
    <s v="AP_INVOICE "/>
    <n v="107"/>
    <s v="Godfrey_Phillips_India_Limited_HO"/>
    <s v="GPIL_HO_New_Delhi(Services)"/>
    <m/>
    <m/>
    <s v="07AABCG4768K1Z9"/>
    <s v="AP_INVOICES"/>
    <s v="STANDARD VALIDATED TAX"/>
    <s v="IA"/>
    <s v="STANDARD"/>
    <d v="2026-04-15T00:00:00.000"/>
    <s v="HRF2627000000692"/>
    <n v="9156870"/>
    <d v="2026-04-01T00:00:00.000"/>
    <s v="Supplier"/>
    <n v="2770"/>
    <s v="CANON INDIA PVT. LTD."/>
    <s v="GURGAON-1A"/>
    <s v="06AAACC4175D1Z2"/>
    <s v="NOS"/>
    <m/>
    <n v="1"/>
    <n v="4106"/>
    <n v="4106"/>
    <s v="GST_India"/>
    <s v="HRF2627000000692"/>
    <d v="2026-04-01T00:00:00.000"/>
    <s v="BUDMINTIND"/>
    <n v="997314"/>
    <s v="Rental Charges For iRC3326"/>
    <m/>
    <m/>
    <n v="4106"/>
    <s v="Normal"/>
    <n v="18"/>
    <n v="0"/>
    <n v="0"/>
    <n v="739.08"/>
    <n v="0"/>
    <n v="0"/>
    <n v="0"/>
    <n v="0"/>
    <n v="0"/>
    <n v="0"/>
    <m/>
    <m/>
    <n v="0"/>
    <n v="4845.08"/>
    <s v="Y"/>
    <s v="N"/>
    <s v="11.7100.111.414703.1010.000000.0007.000000.000000.00000000"/>
    <n v="1126100099"/>
    <s v="HO_INTER-STATE_OTH_REC_18%"/>
    <s v="INPUT_SERVICE"/>
    <m/>
    <x v="1"/>
    <x v="0"/>
    <s v="Yes"/>
    <s v="07"/>
    <s v="Delhi"/>
    <s v="06AAACC4175D1Z2HRF2627000000692"/>
    <n v="739.08"/>
    <n v="739.08"/>
    <n v="0"/>
    <s v="Matched"/>
    <n v="9156870"/>
    <s v="Fwd Rec"/>
  </r>
  <r>
    <s v="Payable Invoice"/>
    <s v="AP_INVOICE "/>
    <n v="107"/>
    <s v="Godfrey_Phillips_India_Limited_HO"/>
    <s v="GPIL_HO_New_Delhi(Services)"/>
    <m/>
    <m/>
    <s v="07AABCG4768K1Z9"/>
    <s v="AP_INVOICES"/>
    <s v="STANDARD VALIDATED TAX"/>
    <s v="IA"/>
    <s v="STANDARD"/>
    <d v="2026-04-14T00:00:00.000"/>
    <s v="DLS2627000000641"/>
    <n v="9155619"/>
    <d v="2026-04-02T00:00:00.000"/>
    <s v="Supplier"/>
    <n v="2770"/>
    <s v="CANON INDIA PVT. LTD."/>
    <s v="OKHLA"/>
    <s v="07AAACC4175D1Z0"/>
    <s v="NOS"/>
    <m/>
    <n v="1"/>
    <n v="26670.6"/>
    <n v="26670.6"/>
    <s v="GST_India"/>
    <s v="DLS2627000000641"/>
    <d v="2026-04-02T00:00:00.000"/>
    <s v="MISCELLENS"/>
    <n v="998712"/>
    <s v="supply of Toneninic Spares along Support Services"/>
    <m/>
    <m/>
    <n v="26670.6"/>
    <s v="Normal"/>
    <n v="18"/>
    <n v="2400.35"/>
    <n v="2400.35"/>
    <n v="0"/>
    <n v="0"/>
    <n v="0"/>
    <n v="0"/>
    <n v="0"/>
    <n v="0"/>
    <n v="0"/>
    <m/>
    <m/>
    <n v="0"/>
    <n v="31471.3"/>
    <s v="Y"/>
    <s v="N"/>
    <s v="11.7100.111.234010.0000.000000.0007.000000.000000.00000000"/>
    <n v="1126100069"/>
    <s v="HO_INTRA-STATE_OTH_REC_18%"/>
    <s v="INPUT_SERVICE"/>
    <m/>
    <x v="1"/>
    <x v="0"/>
    <s v="Yes"/>
    <s v="07"/>
    <s v="Delhi"/>
    <s v="07AAACC4175D1Z0DLS2627000000641"/>
    <n v="4800.7"/>
    <n v="5341.12"/>
    <n v="-540"/>
    <s v="Matched"/>
    <n v="9155619"/>
    <s v="Fwd Rec"/>
  </r>
  <r>
    <s v="Payable Invoice"/>
    <s v="AP_INVOICE "/>
    <n v="107"/>
    <s v="Godfrey_Phillips_India_Limited_HO"/>
    <s v="GPIL_HO_New_Delhi(Services)"/>
    <m/>
    <m/>
    <s v="07AABCG4768K1Z9"/>
    <s v="AP_INVOICES"/>
    <s v="STANDARD VALIDATED TAX"/>
    <s v="IA"/>
    <s v="STANDARD"/>
    <d v="2026-04-14T00:00:00.000"/>
    <s v="DLS2627000000653"/>
    <n v="9155610"/>
    <d v="2026-04-02T00:00:00.000"/>
    <s v="Supplier"/>
    <n v="2770"/>
    <s v="CANON INDIA PVT. LTD."/>
    <s v="OKHLA"/>
    <s v="07AAACC4175D1Z0"/>
    <s v="NOS"/>
    <m/>
    <n v="1"/>
    <n v="149.76"/>
    <n v="149.76"/>
    <s v="GST_India"/>
    <s v="DLS2627000000653"/>
    <d v="2026-04-02T00:00:00.000"/>
    <s v="MISCELLENS"/>
    <n v="84439952"/>
    <s v="Supply of TonerInk and Spares along with Support Services"/>
    <m/>
    <m/>
    <n v="149.76"/>
    <s v="Normal"/>
    <n v="18"/>
    <n v="13.48"/>
    <n v="13.48"/>
    <n v="0"/>
    <n v="0"/>
    <n v="0"/>
    <n v="0"/>
    <n v="0"/>
    <n v="0"/>
    <n v="0"/>
    <m/>
    <m/>
    <n v="0"/>
    <n v="176.72"/>
    <s v="Y"/>
    <s v="N"/>
    <s v="11.7100.111.234010.0000.000000.0007.000000.000000.00000000"/>
    <n v="1126100060"/>
    <s v="HO_INTRA-STATE_OTH_REC_18%"/>
    <s v="INPUT_SERVICE"/>
    <m/>
    <x v="1"/>
    <x v="0"/>
    <s v="Yes"/>
    <s v="07"/>
    <s v="Delhi"/>
    <s v="07AAACC4175D1Z0DLS2627000000653"/>
    <n v="26.96"/>
    <n v="489.18"/>
    <n v="-462"/>
    <s v="Matched"/>
    <n v="9155610"/>
    <s v="Fwd Rec"/>
  </r>
  <r>
    <s v="Payable Invoice"/>
    <s v="AP_INVOICE "/>
    <n v="107"/>
    <s v="Godfrey_Phillips_India_Limited_HO"/>
    <s v="GPIL_HO_New_Delhi(Services)"/>
    <m/>
    <s v="HO New Friends Colony"/>
    <s v="07AABCG4768K1Z9"/>
    <s v="AP_INVOICES"/>
    <s v="STANDARD CREATED"/>
    <s v="IA"/>
    <s v="STANDARD"/>
    <d v="2026-04-27T00:00:00.000"/>
    <s v="BDLI000510/26-27"/>
    <n v="9173788"/>
    <d v="2026-04-13T00:00:00.000"/>
    <s v="Supplier"/>
    <n v="35005"/>
    <s v="SHYAM SPECTRA PVT. LTD."/>
    <s v="9077415A"/>
    <s v="07AADCC3694E1ZP"/>
    <s v="NOS"/>
    <m/>
    <n v="4"/>
    <n v="8125"/>
    <n v="32500"/>
    <s v="GST_India"/>
    <s v="BDLI000510/26-27"/>
    <d v="2026-04-13T00:00:00.000"/>
    <s v="BUDITMINTIND"/>
    <n v="998422"/>
    <s v="ARC charges for Jasola 35 Mb Internet link  Circuit Id 9077415 from 01-Apr-26 to 30-Jun-26"/>
    <m/>
    <m/>
    <n v="32500"/>
    <s v="Normal"/>
    <n v="18"/>
    <n v="2925"/>
    <n v="2925"/>
    <n v="0"/>
    <n v="0"/>
    <n v="0"/>
    <n v="0"/>
    <n v="0"/>
    <n v="0"/>
    <n v="0"/>
    <m/>
    <m/>
    <n v="0"/>
    <n v="38350"/>
    <s v="Y"/>
    <s v="N"/>
    <s v="11.7100.111.421415.1013.000000.0007.000000.000000.00000000"/>
    <n v="1126100439"/>
    <s v="HO_INTRA-STATE_OTH_REC_18%"/>
    <s v="INPUT_SERVICE"/>
    <m/>
    <x v="1"/>
    <x v="0"/>
    <s v="Yes"/>
    <s v="07"/>
    <s v="Delhi"/>
    <s v="07AADCC3694E1ZPBDLI000510/26-27"/>
    <n v="5850"/>
    <n v="5850"/>
    <n v="0"/>
    <s v="Matched"/>
    <n v="9173788"/>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28"/>
    <n v="7700"/>
    <s v="GST_India"/>
    <s v="DFSI2600000412"/>
    <d v="2026-04-09T00:00:00.000"/>
    <s v="BUDMINTIND"/>
    <n v="998729"/>
    <s v="MECH CARE"/>
    <m/>
    <m/>
    <n v="7700"/>
    <s v="Normal"/>
    <n v="18"/>
    <n v="0"/>
    <n v="0"/>
    <n v="1386"/>
    <n v="0"/>
    <n v="0"/>
    <n v="0"/>
    <n v="0"/>
    <n v="0"/>
    <n v="0"/>
    <m/>
    <m/>
    <n v="0"/>
    <n v="9086"/>
    <s v="N"/>
    <s v="N"/>
    <s v="11.7100.111.414301.1011.111636.0007.000000.000000.00000000"/>
    <n v="1126100105"/>
    <s v="HO_INTER-STATE_OTH_NON_REC_18%"/>
    <s v="INPUT_TDS_194C"/>
    <m/>
    <x v="0"/>
    <x v="0"/>
    <s v="Yes"/>
    <s v="07"/>
    <s v="Delhi"/>
    <s v="06AAGCD4246E1ZXDFSI2600000412"/>
    <n v="1386"/>
    <n v="38182.88"/>
    <n v="-36797"/>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6"/>
    <n v="4400"/>
    <s v="GST_India"/>
    <s v="DFSI2600000412"/>
    <d v="2026-04-09T00:00:00.000"/>
    <s v="BUDMINTIND"/>
    <n v="996200"/>
    <s v="RIM PREPARATION"/>
    <m/>
    <m/>
    <n v="4400"/>
    <s v="Normal"/>
    <n v="18"/>
    <n v="0"/>
    <n v="0"/>
    <n v="792"/>
    <n v="0"/>
    <n v="0"/>
    <n v="0"/>
    <n v="0"/>
    <n v="0"/>
    <n v="0"/>
    <m/>
    <m/>
    <n v="0"/>
    <n v="5192"/>
    <s v="N"/>
    <s v="N"/>
    <s v="11.7100.111.414301.1011.111636.0007.000000.000000.00000000"/>
    <n v="1126100105"/>
    <s v="HO_INTER-STATE_OTH_NON_REC_18%"/>
    <s v="INPUT_TDS_194C"/>
    <m/>
    <x v="0"/>
    <x v="0"/>
    <s v="Yes"/>
    <s v="07"/>
    <s v="Delhi"/>
    <s v="06AAGCD4246E1ZXDFSI2600000412"/>
    <n v="792"/>
    <n v="38182.88"/>
    <n v="-37391"/>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4"/>
    <n v="1100"/>
    <s v="GST_India"/>
    <s v="DFSI2600000412"/>
    <d v="2026-04-09T00:00:00.000"/>
    <s v="BUDMINTIND"/>
    <n v="998729"/>
    <s v="SPARK PLUG SERVIE"/>
    <m/>
    <m/>
    <n v="1100"/>
    <s v="Normal"/>
    <n v="18"/>
    <n v="0"/>
    <n v="0"/>
    <n v="198"/>
    <n v="0"/>
    <n v="0"/>
    <n v="0"/>
    <n v="0"/>
    <n v="0"/>
    <n v="0"/>
    <m/>
    <m/>
    <n v="0"/>
    <n v="1298"/>
    <s v="N"/>
    <s v="N"/>
    <s v="11.7100.111.414301.1011.111636.0007.000000.000000.00000000"/>
    <n v="1126100105"/>
    <s v="HO_INTER-STATE_OTH_NON_REC_18%"/>
    <s v="INPUT_TDS_194C"/>
    <m/>
    <x v="0"/>
    <x v="0"/>
    <s v="Yes"/>
    <s v="07"/>
    <s v="Delhi"/>
    <s v="06AAGCD4246E1ZXDFSI2600000412"/>
    <n v="198"/>
    <n v="38182.88"/>
    <n v="-37985"/>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0.001"/>
    <n v="0.28"/>
    <s v="GST_India"/>
    <s v="DFSI2600000751"/>
    <d v="2026-04-17T00:00:00.000"/>
    <s v="BUDMINTIND"/>
    <n v="998729"/>
    <s v="JOB TIME WITHOUT ALLOWANCE FOR ELECTRICAL SYSTEM"/>
    <m/>
    <m/>
    <n v="0.28"/>
    <s v="Normal"/>
    <n v="18"/>
    <n v="0"/>
    <n v="0"/>
    <n v="0.05"/>
    <n v="0"/>
    <n v="0"/>
    <n v="0"/>
    <n v="0"/>
    <n v="0"/>
    <n v="0"/>
    <m/>
    <m/>
    <n v="0"/>
    <n v="0.33"/>
    <s v="N"/>
    <s v="N"/>
    <s v="11.7100.111.414301.1000.100007.0007.000000.000000.00000000"/>
    <n v="1126100446"/>
    <s v="HO_INTER-STATE_OTH_NON_REC_18%"/>
    <s v="INPUT_TDS_194C"/>
    <m/>
    <x v="0"/>
    <x v="0"/>
    <s v="Yes"/>
    <s v="07"/>
    <s v="Delhi"/>
    <s v="06AAGCD4246E1ZXDFSI2600000751"/>
    <n v="0.05"/>
    <n v="36494.74"/>
    <n v="-36495"/>
    <s v="Matched"/>
    <n v="9174963"/>
    <s v="Fwd Non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2000"/>
    <n v="3"/>
    <n v="6000"/>
    <s v="GST_India"/>
    <s v="130/26-27"/>
    <d v="2026-04-09T00:00:00.000"/>
    <s v="MISCELLENS"/>
    <n v="998900"/>
    <s v="Card With Envelope (HSN 49090010 18) Card Envelope A2    ."/>
    <m/>
    <m/>
    <n v="6000"/>
    <s v="Normal"/>
    <n v="18"/>
    <n v="540"/>
    <n v="540"/>
    <n v="0"/>
    <n v="0"/>
    <n v="0"/>
    <n v="0"/>
    <n v="0"/>
    <n v="0"/>
    <n v="0"/>
    <m/>
    <m/>
    <n v="0"/>
    <n v="7080"/>
    <s v="N"/>
    <s v="N"/>
    <s v="11.7100.111.420602.1011.000000.0007.000000.000000.00000000"/>
    <n v="1126100334"/>
    <s v="HO_INTRA-STATE_OTH_NON_REC_18%"/>
    <s v="INPUT_SERVICE"/>
    <m/>
    <x v="0"/>
    <x v="0"/>
    <s v="Yes"/>
    <s v="07"/>
    <s v="Delhi"/>
    <s v="07AAACN0474C1ZX130/26-27"/>
    <n v="1080"/>
    <n v="6014.7"/>
    <n v="-4935"/>
    <s v="Matched"/>
    <n v="9164740"/>
    <s v="Fwd Non Rec"/>
  </r>
  <r>
    <s v="Payable Invoice"/>
    <s v="AP_INVOICE "/>
    <n v="107"/>
    <s v="Godfrey_Phillips_India_Limited_HO"/>
    <s v="GPIL_HO_New_Delhi(Services)"/>
    <m/>
    <m/>
    <s v="07AABCG4768K1Z9"/>
    <s v="AP_INVOICES"/>
    <s v="STANDARD VALIDATED TAX"/>
    <s v="IA"/>
    <s v="STANDARD"/>
    <d v="2026-04-29T00:00:00.000"/>
    <n v="4"/>
    <n v="9177498"/>
    <d v="2026-04-17T00:00:00.000"/>
    <s v="Supplier"/>
    <n v="5093"/>
    <s v="ANS COMPUTERS AND PERIPHERALS"/>
    <s v="DELHI"/>
    <s v="07ACBPV7574P1ZN"/>
    <s v="NOS"/>
    <m/>
    <n v="1"/>
    <n v="16530"/>
    <n v="16530"/>
    <s v="GST_India"/>
    <n v="4"/>
    <d v="2026-04-17T00:00:00.000"/>
    <s v="BUDITMINTIND"/>
    <n v="8471"/>
    <s v="HDD-2 TB WD EXTERNAL USB"/>
    <m/>
    <m/>
    <n v="16530"/>
    <s v="Normal"/>
    <n v="18"/>
    <n v="1487.7"/>
    <n v="1487.7"/>
    <n v="0"/>
    <n v="0"/>
    <n v="0"/>
    <n v="0"/>
    <n v="0"/>
    <n v="0"/>
    <n v="0"/>
    <m/>
    <m/>
    <n v="0"/>
    <n v="19505.4"/>
    <s v="Y"/>
    <s v="N"/>
    <s v="11.7100.111.414701.1013.000000.0007.000000.000000.00000000"/>
    <n v="1126100464"/>
    <s v="HO_INTRA-STATE_OTH_REC_18%"/>
    <s v="INPUT"/>
    <m/>
    <x v="1"/>
    <x v="0"/>
    <s v="No"/>
    <s v="07"/>
    <s v="Delhi"/>
    <s v="07ACBPV7574P1ZN4"/>
    <n v="2975.4"/>
    <n v="6033.6"/>
    <n v="-3058"/>
    <s v="Matched"/>
    <n v="9177498"/>
    <s v="Fwd Rec"/>
  </r>
  <r>
    <s v="Payable Invoice"/>
    <s v="AP_INVOICE "/>
    <n v="107"/>
    <s v="Godfrey_Phillips_India_Limited_HO"/>
    <s v="GPIL_HO_New_Delhi(Services)"/>
    <m/>
    <m/>
    <s v="07AABCG4768K1Z9"/>
    <s v="AP_INVOICES"/>
    <s v="STANDARD VALIDATED TAX"/>
    <s v="IA"/>
    <s v="STANDARD"/>
    <d v="2026-04-14T00:00:00.000"/>
    <s v="DLS2627000000642"/>
    <n v="9155618"/>
    <d v="2026-04-02T00:00:00.000"/>
    <s v="Supplier"/>
    <n v="2770"/>
    <s v="CANON INDIA PVT. LTD."/>
    <s v="OKHLA"/>
    <s v="07AAACC4175D1Z0"/>
    <s v="NOS"/>
    <m/>
    <n v="1"/>
    <n v="489.06"/>
    <n v="489.06"/>
    <s v="GST_India"/>
    <s v="DLS2627000000642"/>
    <d v="2026-04-02T00:00:00.000"/>
    <s v="MISCELLENS"/>
    <n v="84439952"/>
    <s v="Supply of TonerInk and Spares along with Support Services"/>
    <m/>
    <m/>
    <n v="489.06"/>
    <s v="Normal"/>
    <n v="18"/>
    <n v="44.02"/>
    <n v="44.02"/>
    <n v="0"/>
    <n v="0"/>
    <n v="0"/>
    <n v="0"/>
    <n v="0"/>
    <n v="0"/>
    <n v="0"/>
    <m/>
    <m/>
    <n v="0"/>
    <n v="577.1"/>
    <s v="Y"/>
    <s v="N"/>
    <s v="11.7100.111.234010.0000.000000.0007.000000.000000.00000000"/>
    <n v="1126100068"/>
    <s v="HO_INTRA-STATE_OTH_REC_18%"/>
    <s v="INPUT_SERVICE"/>
    <m/>
    <x v="1"/>
    <x v="0"/>
    <s v="Yes"/>
    <s v="07"/>
    <s v="Delhi"/>
    <s v="07AAACC4175D1Z0DLS2627000000642"/>
    <n v="88.04"/>
    <n v="840.1"/>
    <n v="-752"/>
    <s v="Matched"/>
    <n v="9155618"/>
    <s v="Fwd Rec"/>
  </r>
  <r>
    <s v="Payable Invoice"/>
    <s v="AP_INVOICE "/>
    <n v="107"/>
    <s v="Godfrey_Phillips_India_Limited_HO"/>
    <s v="GPIL_HO_New_Delhi(Services)"/>
    <m/>
    <m/>
    <s v="07AABCG4768K1Z9"/>
    <s v="AP_INVOICES"/>
    <s v="STANDARD VALIDATED TAX"/>
    <s v="IA"/>
    <s v="STANDARD"/>
    <d v="2026-04-24T00:00:00.000"/>
    <s v="HEXA2026-27/3289"/>
    <n v="9168299"/>
    <d v="2026-04-15T00:00:00.000"/>
    <s v="Supplier"/>
    <n v="14097"/>
    <s v="HEXADECIMAL SYSTEMS AND SERVICES"/>
    <s v="DELHI"/>
    <s v="07AFCPB1962P1ZC"/>
    <s v="NOS"/>
    <m/>
    <n v="4000"/>
    <n v="1"/>
    <n v="4000"/>
    <s v="GST_India"/>
    <s v="HEXA2026-27/3289"/>
    <d v="2026-04-15T00:00:00.000"/>
    <s v="BUDMINTIND"/>
    <n v="998712"/>
    <s v="SERVICE MAINTENANCE  REPAIRS OF OFFICE MACHINERY ELECTRIC SPIRAL BINDING MACHINE MODEL ANT1VA KOILMASTER E SERIAL No."/>
    <m/>
    <m/>
    <n v="4000"/>
    <s v="Normal"/>
    <n v="18"/>
    <n v="360"/>
    <n v="360"/>
    <n v="0"/>
    <n v="0"/>
    <n v="0"/>
    <n v="0"/>
    <n v="0"/>
    <n v="0"/>
    <n v="0"/>
    <m/>
    <m/>
    <n v="0"/>
    <n v="4720"/>
    <s v="Y"/>
    <s v="N"/>
    <s v="11.7100.111.414401.1010.000000.0007.000000.000000.00000000"/>
    <n v="1126100392"/>
    <s v="HO_INTRA-STATE_OTH_REC_18%"/>
    <s v="INPUT_SERVICE"/>
    <m/>
    <x v="1"/>
    <x v="0"/>
    <s v="No"/>
    <s v="07"/>
    <s v="Delhi"/>
    <s v="07AFCPB1962P1ZCHEXA2026-27/3289"/>
    <n v="720"/>
    <n v="2952"/>
    <n v="-2232"/>
    <s v="Matched"/>
    <n v="9168299"/>
    <s v="Fwd Rec"/>
  </r>
  <r>
    <s v="Payable Invoice"/>
    <s v="AP_INVOICE "/>
    <n v="107"/>
    <s v="Godfrey_Phillips_India_Limited_HO"/>
    <s v="GPIL_HO_New_Delhi(Services)"/>
    <m/>
    <m/>
    <s v="07AABCG4768K1Z9"/>
    <s v="AP_INVOICES"/>
    <s v="STANDARD VALIDATED TAX"/>
    <s v="IA"/>
    <s v="STANDARD"/>
    <d v="2026-04-13T00:00:00.000"/>
    <s v="KC/B2B/26-27/010"/>
    <n v="9151139"/>
    <d v="2026-04-04T00:00:00.000"/>
    <s v="Supplier"/>
    <n v="38972"/>
    <s v="KINGS COURT CONDOMINIUM ASSOCIATION"/>
    <s v="NEW DELHI"/>
    <s v="07AAHAK7428G1ZH"/>
    <s v="NOS"/>
    <m/>
    <n v="1350"/>
    <n v="1"/>
    <n v="1350"/>
    <s v="GST_India"/>
    <s v="KC/B2B26-27/010"/>
    <d v="2026-04-04T00:00:00.000"/>
    <m/>
    <n v="991419"/>
    <s v="B) Maintenance  Upkeep Charges for Parking  450 per slotper month"/>
    <m/>
    <m/>
    <n v="1350"/>
    <s v="Normal"/>
    <n v="18"/>
    <n v="121.5"/>
    <n v="121.5"/>
    <n v="0"/>
    <n v="0"/>
    <n v="0"/>
    <n v="0"/>
    <n v="0"/>
    <n v="0"/>
    <n v="0"/>
    <m/>
    <m/>
    <n v="0"/>
    <n v="1593"/>
    <s v="N"/>
    <s v="N"/>
    <s v="11.7100.111.424051.1000.000000.0007.000000.000000.00000000"/>
    <n v="1126100030"/>
    <s v="HO_INTRA-STATE_OTH_NON_REC_18%"/>
    <s v="INPUT_SERVICE"/>
    <m/>
    <x v="0"/>
    <x v="0"/>
    <s v="Yes"/>
    <s v="07"/>
    <s v="Delhi"/>
    <s v="07AAHAK7428G1ZHKC/B2B26-27/010"/>
    <n v="243"/>
    <n v="11178"/>
    <n v="-10935"/>
    <s v="Matched"/>
    <n v="9151139"/>
    <s v="Fwd Non Rec"/>
  </r>
  <r>
    <s v="Payable Invoice"/>
    <s v="AP_INVOICE "/>
    <n v="107"/>
    <s v="Godfrey_Phillips_India_Limited_HO"/>
    <s v="GPIL_HO_New_Delhi(Services)"/>
    <m/>
    <s v="HO New Friends Colony"/>
    <s v="07AABCG4768K1Z9"/>
    <s v="AP_INVOICES"/>
    <s v="STANDARD CREATED"/>
    <s v="Manual Invoice Entry"/>
    <s v="STANDARD"/>
    <d v="2026-04-15T00:00:00.000"/>
    <s v="MF2707I000130888"/>
    <n v="9156752"/>
    <d v="2026-04-03T00:00:00.000"/>
    <s v="Supplier"/>
    <n v="6262"/>
    <s v="BHARTI AIRTEL LIMITED"/>
    <s v="HO"/>
    <s v="07AAACB2894G1ZP"/>
    <s v="NOS"/>
    <m/>
    <n v="1"/>
    <n v="1745"/>
    <n v="1745"/>
    <s v="GST_India"/>
    <s v="MF2707I000130888"/>
    <d v="2026-04-03T00:00:00.000"/>
    <s v="MISCELLENS"/>
    <n v="998413"/>
    <s v="AIRTEL MOBILE BILLS FOR THE MONTH OF MAR 2026-IT DATA CARD"/>
    <m/>
    <m/>
    <n v="1745"/>
    <s v="Normal"/>
    <n v="18"/>
    <n v="157.05"/>
    <n v="157.05"/>
    <n v="0"/>
    <n v="0"/>
    <n v="0"/>
    <n v="0"/>
    <n v="0"/>
    <n v="0"/>
    <n v="0"/>
    <m/>
    <m/>
    <n v="0"/>
    <n v="2059.1"/>
    <s v="Y"/>
    <s v="N"/>
    <s v="11.7100.111.420803.1013.000000.0007.000000.000000.00000000"/>
    <n v="1126100080"/>
    <s v="HO_INTRA-STATE_OTH_REC_18%"/>
    <s v="INPUT_SERVICE"/>
    <m/>
    <x v="1"/>
    <x v="0"/>
    <s v="Yes"/>
    <s v="07"/>
    <s v="Delhi"/>
    <s v="07AAACB2894G1ZPMF2707I000130888"/>
    <n v="314.1"/>
    <n v="385.92"/>
    <n v="-72"/>
    <s v="Matched"/>
    <n v="9156752"/>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1354"/>
    <n v="1"/>
    <n v="1354"/>
    <s v="GST_India"/>
    <s v="TXA26-00607"/>
    <d v="2026-04-17T00:00:00.000"/>
    <s v="BUDMINTIND"/>
    <n v="27101990"/>
    <s v="ENGINE FLUSH"/>
    <m/>
    <m/>
    <n v="1354"/>
    <s v="Normal"/>
    <n v="18"/>
    <n v="121.86"/>
    <n v="121.86"/>
    <n v="0"/>
    <n v="0"/>
    <n v="0"/>
    <n v="0"/>
    <n v="0"/>
    <n v="0"/>
    <n v="0"/>
    <m/>
    <m/>
    <n v="0"/>
    <n v="1597.72"/>
    <s v="N"/>
    <s v="N"/>
    <s v="11.7100.111.414301.1009.110908.0007.000000.000000.00000000"/>
    <n v="1126100447"/>
    <s v="HO_INTRA-STATE_OTH_NON_REC_18%"/>
    <s v="INPUT_TDS_194C"/>
    <m/>
    <x v="0"/>
    <x v="0"/>
    <s v="Yes"/>
    <s v="07"/>
    <s v="Delhi"/>
    <s v="07AANCS0651B1ZMTXA26-00607"/>
    <n v="243.72"/>
    <n v="2435.38"/>
    <n v="-2192"/>
    <s v="Matched"/>
    <n v="9175014"/>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27"/>
    <n v="8"/>
    <n v="216"/>
    <s v="GST_India"/>
    <s v="TXA26-00607"/>
    <d v="2026-04-17T00:00:00.000"/>
    <s v="BUDMINTIND"/>
    <n v="87089900"/>
    <s v="LP WHEEL WEIGHT"/>
    <m/>
    <m/>
    <n v="216"/>
    <s v="Normal"/>
    <n v="18"/>
    <n v="19.44"/>
    <n v="19.44"/>
    <n v="0"/>
    <n v="0"/>
    <n v="0"/>
    <n v="0"/>
    <n v="0"/>
    <n v="0"/>
    <n v="0"/>
    <m/>
    <m/>
    <n v="0"/>
    <n v="254.88"/>
    <s v="N"/>
    <s v="N"/>
    <s v="11.7100.111.414301.1009.110908.0007.000000.000000.00000000"/>
    <n v="1126100447"/>
    <s v="HO_INTRA-STATE_OTH_NON_REC_18%"/>
    <s v="INPUT_TDS_194C"/>
    <m/>
    <x v="0"/>
    <x v="0"/>
    <s v="Yes"/>
    <s v="07"/>
    <s v="Delhi"/>
    <s v="07AANCS0651B1ZMTXA26-00607"/>
    <n v="38.88"/>
    <n v="2435.38"/>
    <n v="-2397"/>
    <s v="Matched"/>
    <n v="9175014"/>
    <s v="Fwd Non Rec"/>
  </r>
  <r>
    <s v="Payable Invoice"/>
    <s v="AP_INVOICE "/>
    <n v="107"/>
    <s v="Godfrey_Phillips_India_Limited_HO"/>
    <s v="GPIL_HO_New_Delhi(Services)"/>
    <m/>
    <m/>
    <s v="07AABCG4768K1Z9"/>
    <s v="AP_INVOICES"/>
    <s v="STANDARD VALIDATED TAX"/>
    <s v="CONVERSION"/>
    <s v="STANDARD"/>
    <d v="2026-04-21T00:00:00.000"/>
    <s v="HF2707I000129884"/>
    <n v="9164381"/>
    <d v="2026-04-03T00:00:00.000"/>
    <s v="Supplier"/>
    <n v="6262"/>
    <s v="BHARTI AIRTEL LIMITED"/>
    <s v="HO"/>
    <s v="07AAACB2894G1ZP"/>
    <s v="NOS"/>
    <m/>
    <n v="1"/>
    <n v="399"/>
    <n v="399"/>
    <s v="GST_India"/>
    <s v="HF2707I000129884"/>
    <d v="2026-04-03T00:00:00.000"/>
    <s v="MISCELLENS"/>
    <n v="998412"/>
    <s v="GPI JASOLA OFFICE AIRTEL - LANDLINE TELEPHONE EXPENSES FOR THE MONTH OF March-2026 -  - ADMN"/>
    <m/>
    <m/>
    <n v="399"/>
    <s v="Normal"/>
    <n v="18"/>
    <n v="35.91"/>
    <n v="35.91"/>
    <n v="0"/>
    <n v="0"/>
    <n v="0"/>
    <n v="0"/>
    <n v="0"/>
    <n v="0"/>
    <n v="0"/>
    <m/>
    <m/>
    <n v="0"/>
    <n v="470.82"/>
    <s v="Y"/>
    <s v="N"/>
    <s v="11.7100.111.420801.1010.000000.0007.000000.000000.00000000"/>
    <n v="1126100277"/>
    <s v="HO_INTRA-STATE_OTH_REC_18%"/>
    <s v="INPUT_SERVICE"/>
    <m/>
    <x v="1"/>
    <x v="0"/>
    <s v="Yes"/>
    <s v="07"/>
    <s v="Delhi"/>
    <s v="07AAACB2894G1ZPHF2707I000129884"/>
    <n v="71.82"/>
    <n v="71.82"/>
    <n v="0"/>
    <s v="Matched"/>
    <n v="9164381"/>
    <s v="Fwd Rec"/>
  </r>
  <r>
    <s v="Payable Invoice"/>
    <s v="AP_INVOICE "/>
    <n v="107"/>
    <s v="Godfrey_Phillips_India_Limited_HO"/>
    <s v="GPIL_HO_New_Delhi(Services)"/>
    <m/>
    <m/>
    <s v="07AABCG4768K1Z9"/>
    <s v="AP_INVOICES"/>
    <s v="STANDARD VALIDATED TAX"/>
    <s v="IA"/>
    <s v="STANDARD"/>
    <d v="2026-04-21T00:00:00.000"/>
    <s v="1/GPI/2026-27"/>
    <n v="9167056"/>
    <d v="2026-04-11T00:00:00.000"/>
    <s v="Supplier"/>
    <n v="42255"/>
    <s v="SHATANSHU PANDA"/>
    <s v="KOLKATA-OFF"/>
    <m/>
    <s v="NOS"/>
    <m/>
    <n v="15000"/>
    <n v="1"/>
    <n v="15000"/>
    <s v="GST_India"/>
    <s v="GPI-HOC260400005"/>
    <d v="2026-04-11T00:00:00.000"/>
    <m/>
    <n v="998216"/>
    <s v="Conference held with Ms. Jaishree Tolani  Ms. Mansi Mantoo and another official of the CSR team of GPI in respect of an accidental death of a child of labourer at a site where a CSR project was been implemented"/>
    <m/>
    <m/>
    <n v="15000"/>
    <s v="Normal"/>
    <n v="18"/>
    <n v="0"/>
    <n v="0"/>
    <n v="2700"/>
    <n v="0"/>
    <n v="0"/>
    <n v="0"/>
    <n v="0"/>
    <n v="0"/>
    <n v="0"/>
    <m/>
    <m/>
    <n v="0"/>
    <n v="17700"/>
    <s v="Y"/>
    <s v="Y"/>
    <s v="11.7100.111.416001.1009.000000.0007.000000.000000.00000000"/>
    <n v="1126100300"/>
    <s v="HO_INTER-STATE_REV_REC_18%"/>
    <s v="INPUT_SERVICE"/>
    <m/>
    <x v="2"/>
    <x v="1"/>
    <s v="No"/>
    <s v="07"/>
    <s v="Delhi"/>
    <s v="GPI-HOC260400005"/>
    <n v="2700"/>
    <e v="#N/A"/>
    <e v="#N/A"/>
    <s v="RCM"/>
    <n v="9167056"/>
    <s v="RCM Rec"/>
  </r>
  <r>
    <s v="Payable Invoice"/>
    <s v="AP_INVOICE "/>
    <n v="107"/>
    <s v="Godfrey_Phillips_India_Limited_HO"/>
    <s v="GPIL_HO_New_Delhi(Services)"/>
    <m/>
    <m/>
    <s v="07AABCG4768K1Z9"/>
    <s v="AP_INVOICES"/>
    <s v="STANDARD VALIDATED TAX"/>
    <s v="IA"/>
    <s v="STANDARD"/>
    <d v="2026-04-29T00:00:00.000"/>
    <n v="4"/>
    <n v="9177498"/>
    <d v="2026-04-17T00:00:00.000"/>
    <s v="Supplier"/>
    <n v="5093"/>
    <s v="ANS COMPUTERS AND PERIPHERALS"/>
    <s v="DELHI"/>
    <s v="07ACBPV7574P1ZN"/>
    <s v="NOS"/>
    <m/>
    <n v="1"/>
    <n v="2250"/>
    <n v="2250"/>
    <s v="GST_India"/>
    <n v="4"/>
    <d v="2026-04-17T00:00:00.000"/>
    <s v="BUDITMINTIND"/>
    <n v="8544"/>
    <s v="DP TO HDMI CABLE 1.8 M NEXTECH"/>
    <m/>
    <m/>
    <n v="2250"/>
    <s v="Normal"/>
    <n v="18"/>
    <n v="202.5"/>
    <n v="202.5"/>
    <n v="0"/>
    <n v="0"/>
    <n v="0"/>
    <n v="0"/>
    <n v="0"/>
    <n v="0"/>
    <n v="0"/>
    <m/>
    <m/>
    <n v="0"/>
    <n v="2655"/>
    <s v="Y"/>
    <s v="N"/>
    <s v="11.7100.111.414701.1013.000000.0007.000000.000000.00000000"/>
    <n v="1126100464"/>
    <s v="HO_INTRA-STATE_OTH_REC_18%"/>
    <s v="INPUT"/>
    <m/>
    <x v="1"/>
    <x v="0"/>
    <s v="No"/>
    <s v="07"/>
    <s v="Delhi"/>
    <s v="07ACBPV7574P1ZN4"/>
    <n v="405"/>
    <n v="6033.6"/>
    <n v="-5629"/>
    <s v="Matched"/>
    <n v="9177498"/>
    <s v="Fwd Rec"/>
  </r>
  <r>
    <s v="Payable Invoice"/>
    <s v="AP_INVOICE "/>
    <n v="107"/>
    <s v="Godfrey_Phillips_India_Limited_HO"/>
    <s v="GPIL_HO_New_Delhi(Services)"/>
    <m/>
    <m/>
    <s v="07AABCG4768K1Z9"/>
    <s v="AP_INVOICES"/>
    <s v="STANDARD VALIDATED TAX"/>
    <s v="IA"/>
    <s v="STANDARD"/>
    <d v="2026-04-14T00:00:00.000"/>
    <s v="DLS2627000000643"/>
    <n v="9155607"/>
    <d v="2026-04-02T00:00:00.000"/>
    <s v="Supplier"/>
    <n v="2770"/>
    <s v="CANON INDIA PVT. LTD."/>
    <s v="OKHLA"/>
    <s v="07AAACC4175D1Z0"/>
    <s v="NOS"/>
    <m/>
    <n v="1"/>
    <n v="685.23"/>
    <n v="685.23"/>
    <s v="GST_India"/>
    <s v="DLS2627000000643"/>
    <d v="2026-04-02T00:00:00.000"/>
    <s v="MISCELLENS"/>
    <n v="84439952"/>
    <s v="Supply ononertinK and Spares along with Support Services"/>
    <m/>
    <m/>
    <n v="685.23"/>
    <s v="Normal"/>
    <n v="18"/>
    <n v="61.67"/>
    <n v="61.67"/>
    <n v="0"/>
    <n v="0"/>
    <n v="0"/>
    <n v="0"/>
    <n v="0"/>
    <n v="0"/>
    <n v="0"/>
    <m/>
    <m/>
    <n v="0"/>
    <n v="808.57"/>
    <s v="Y"/>
    <s v="N"/>
    <s v="11.7100.111.234010.0000.000000.0007.000000.000000.00000000"/>
    <n v="1126100057"/>
    <s v="HO_INTRA-STATE_OTH_REC_18%"/>
    <s v="INPUT_SERVICE"/>
    <m/>
    <x v="1"/>
    <x v="0"/>
    <s v="Yes"/>
    <s v="07"/>
    <s v="Delhi"/>
    <s v="07AAACC4175D1Z0DLS2627000000643"/>
    <n v="123.34"/>
    <n v="2568.6"/>
    <n v="-2445"/>
    <s v="Matched"/>
    <n v="9155607"/>
    <s v="Fwd Rec"/>
  </r>
  <r>
    <s v="Payable Invoice"/>
    <s v="AP_INVOICE "/>
    <n v="107"/>
    <s v="Godfrey_Phillips_India_Limited_HO"/>
    <s v="GPIL_HO_New_Delhi(Services)"/>
    <m/>
    <m/>
    <s v="07AABCG4768K1Z9"/>
    <s v="AP_INVOICES"/>
    <s v="STANDARD VALIDATED TAX"/>
    <s v="IA"/>
    <s v="STANDARD"/>
    <d v="2026-04-21T00:00:00.000"/>
    <s v="107/2026-27"/>
    <n v="9164653"/>
    <d v="2026-04-15T00:00:00.000"/>
    <s v="Supplier"/>
    <n v="39845"/>
    <s v="GOEL ENTERPRISES BHANGEL"/>
    <s v="NEW DELHI-OFF"/>
    <s v="09ACTPG0935H1ZE"/>
    <s v="NOS"/>
    <m/>
    <n v="1"/>
    <n v="19282.5"/>
    <n v="19282.5"/>
    <s v="GST_India"/>
    <s v="107/2026-27"/>
    <d v="2026-04-15T00:00:00.000"/>
    <s v="BUDMINTIND"/>
    <n v="17049020"/>
    <s v="FUNDA NATURALZ IMLI POUCH 126GM"/>
    <m/>
    <m/>
    <n v="19282.5"/>
    <s v="Normal"/>
    <n v="5"/>
    <n v="0"/>
    <n v="0"/>
    <n v="964.13"/>
    <n v="0"/>
    <n v="0"/>
    <n v="0"/>
    <n v="0"/>
    <n v="0"/>
    <n v="0"/>
    <m/>
    <m/>
    <n v="0"/>
    <n v="20246.63"/>
    <s v="N"/>
    <s v="N"/>
    <s v="11.7100.111.412401.1010.000000.0007.000000.000000.00000000"/>
    <n v="1126100308"/>
    <s v="HO_INTER-STATE_OTH_NON_REC_5%"/>
    <s v="INPUT"/>
    <m/>
    <x v="0"/>
    <x v="0"/>
    <s v="Yes"/>
    <s v="07"/>
    <s v="Delhi"/>
    <s v="09ACTPG0935H1ZE107/2026-27"/>
    <n v="964.13"/>
    <n v="1632.71"/>
    <n v="-669"/>
    <s v="Matched"/>
    <n v="9164653"/>
    <s v="Fwd Non Rec"/>
  </r>
  <r>
    <s v="Payable Invoice"/>
    <s v="AP_INVOICE "/>
    <n v="107"/>
    <s v="Godfrey_Phillips_India_Limited_HO"/>
    <s v="GPIL_HO_New_Delhi(Services)"/>
    <m/>
    <m/>
    <s v="07AABCG4768K1Z9"/>
    <s v="AP_INVOICES"/>
    <s v="STANDARD VALIDATED TAX"/>
    <s v="IA"/>
    <s v="STANDARD"/>
    <d v="2026-04-30T00:00:00.000"/>
    <n v="78"/>
    <n v="9178850"/>
    <d v="2026-03-05T00:00:00.000"/>
    <s v="Supplier"/>
    <n v="41585"/>
    <s v="DELHI TENT AND DECORATORS"/>
    <s v="DELHI-OFF"/>
    <s v="07AAAFD3228M1ZI"/>
    <s v="NOS"/>
    <m/>
    <n v="650000"/>
    <n v="1"/>
    <n v="650000"/>
    <s v="GST_India"/>
    <n v="78"/>
    <d v="2026-03-05T00:00:00.000"/>
    <s v="BUDMINTIND"/>
    <n v="998596"/>
    <s v="for the Erection and Dismentaling of the Center Canopy Bhalla Stalls Round Tables with Overley and Underley stalls Bill"/>
    <m/>
    <m/>
    <n v="650000"/>
    <s v="Normal"/>
    <n v="18"/>
    <n v="58500"/>
    <n v="58500"/>
    <n v="0"/>
    <n v="0"/>
    <n v="0"/>
    <n v="0"/>
    <n v="0"/>
    <n v="0"/>
    <n v="0"/>
    <m/>
    <m/>
    <n v="0"/>
    <n v="767000"/>
    <s v="N"/>
    <s v="N"/>
    <s v="11.7100.111.234010.0000.000000.0007.000000.000000.00000000"/>
    <n v="1126100494"/>
    <s v="HO_INTRA-STATE_OTH_NON_REC_18%"/>
    <s v="INPUT_SERVICE"/>
    <m/>
    <x v="0"/>
    <x v="0"/>
    <s v="Yes"/>
    <s v="07"/>
    <s v="Delhi"/>
    <s v="07AAAFD3228M1ZI78"/>
    <n v="117000"/>
    <n v="117000"/>
    <n v="0"/>
    <s v="Matched"/>
    <n v="9178850"/>
    <s v="Fwd Non Rec"/>
  </r>
  <r>
    <s v="Payable Invoice"/>
    <s v="AP_INVOICE "/>
    <n v="107"/>
    <s v="Godfrey_Phillips_India_Limited_HO"/>
    <s v="GPIL_HO_New_Delhi(Services)"/>
    <m/>
    <m/>
    <s v="07AABCG4768K1Z9"/>
    <s v="AP_INVOICES"/>
    <s v="STANDARD VALIDATED TAX"/>
    <s v="IA"/>
    <s v="STANDARD"/>
    <d v="2026-04-13T00:00:00.000"/>
    <s v="CC/GN/0001/26-27"/>
    <n v="9151133"/>
    <d v="2026-04-01T00:00:00.000"/>
    <s v="Supplier"/>
    <n v="45452"/>
    <s v="CONTRANS CARGO PRIVATE LIMITE"/>
    <s v="NEW DELHI-OFF"/>
    <s v="07AAECC1851C1Z5"/>
    <s v="NOS"/>
    <m/>
    <n v="1"/>
    <n v="140000"/>
    <n v="140000"/>
    <s v="GST_India"/>
    <s v="CC/GN/0001/26-27"/>
    <d v="2026-04-01T00:00:00.000"/>
    <s v="MISCELLENS"/>
    <n v="997212"/>
    <s v="Rental Income"/>
    <m/>
    <m/>
    <n v="140000"/>
    <s v="Normal"/>
    <n v="18"/>
    <n v="12600"/>
    <n v="12600"/>
    <n v="0"/>
    <n v="0"/>
    <n v="0"/>
    <n v="0"/>
    <n v="0"/>
    <n v="0"/>
    <n v="0"/>
    <m/>
    <m/>
    <n v="0"/>
    <n v="165200"/>
    <s v="N"/>
    <s v="N"/>
    <s v="11.7100.111.414801.1010.000000.0007.000000.000000.00000000"/>
    <n v="1126100023"/>
    <s v="HO_INTRA-STATE_OTH_NON_REC_18%"/>
    <s v="INPUT_SERVICE"/>
    <m/>
    <x v="0"/>
    <x v="0"/>
    <s v="No"/>
    <s v="07"/>
    <s v="Delhi"/>
    <s v="07AAECC1851C1Z5CC/GN/0001/26-27"/>
    <n v="25200"/>
    <n v="25200"/>
    <n v="0"/>
    <s v="Matched"/>
    <n v="9151133"/>
    <s v="Fwd Non Rec"/>
  </r>
  <r>
    <s v="Payable Invoice"/>
    <s v="AP_INVOICE "/>
    <n v="107"/>
    <s v="Godfrey_Phillips_India_Limited_HO"/>
    <s v="GPIL_HO_New_Delhi(Services)"/>
    <m/>
    <m/>
    <s v="07AABCG4768K1Z9"/>
    <s v="AP_INVOICES"/>
    <s v="STANDARD VALIDATED TAX"/>
    <s v="IA"/>
    <s v="STANDARD"/>
    <d v="2026-04-14T00:00:00.000"/>
    <s v="DLS2627000000119"/>
    <n v="9155617"/>
    <d v="2026-04-02T00:00:00.000"/>
    <s v="Supplier"/>
    <n v="2770"/>
    <s v="CANON INDIA PVT. LTD."/>
    <s v="OKHLA"/>
    <s v="07AAACC4175D1Z0"/>
    <s v="NOS"/>
    <m/>
    <n v="1"/>
    <n v="3743.55"/>
    <n v="3743.55"/>
    <s v="GST_India"/>
    <s v="DLS2627000000119"/>
    <d v="2026-04-02T00:00:00.000"/>
    <s v="MISCELLENS"/>
    <n v="84439952"/>
    <s v="Supply of TonerInk Spares along Support Services"/>
    <m/>
    <m/>
    <n v="3743.55"/>
    <s v="Normal"/>
    <n v="18"/>
    <n v="336.92"/>
    <n v="336.92"/>
    <n v="0"/>
    <n v="0"/>
    <n v="0"/>
    <n v="0"/>
    <n v="0"/>
    <n v="0"/>
    <n v="0"/>
    <m/>
    <m/>
    <n v="0"/>
    <n v="4417.39"/>
    <s v="Y"/>
    <s v="N"/>
    <s v="11.7100.111.234010.0000.000000.0007.000000.000000.00000000"/>
    <n v="1126100067"/>
    <s v="HO_INTRA-STATE_OTH_REC_18%"/>
    <s v="INPUT_SERVICE"/>
    <m/>
    <x v="1"/>
    <x v="0"/>
    <s v="Yes"/>
    <s v="07"/>
    <s v="Delhi"/>
    <s v="07AAACC4175D1Z0DLS2627000000119"/>
    <n v="673.84"/>
    <n v="673.84"/>
    <n v="0"/>
    <s v="Matched"/>
    <n v="9155617"/>
    <s v="Fwd Rec"/>
  </r>
  <r>
    <s v="Payable Invoice"/>
    <s v="AP_INVOICE "/>
    <n v="107"/>
    <s v="Godfrey_Phillips_India_Limited_HO"/>
    <s v="GPIL_HO_New_Delhi(Services)"/>
    <m/>
    <m/>
    <s v="07AABCG4768K1Z9"/>
    <s v="AP_INVOICES"/>
    <s v="STANDARD VALIDATED TAX"/>
    <s v="Manual Invoice Entry"/>
    <s v="STANDARD"/>
    <d v="2026-04-30T00:00:00.000"/>
    <s v="MH25I00004428853"/>
    <n v="9178797"/>
    <d v="2026-03-09T00:00:00.000"/>
    <s v="Supplier"/>
    <n v="11570"/>
    <s v="TATA AIG GENERAL INSURANCE COMPANY LIMITED"/>
    <s v="MUMBAI"/>
    <s v="27AABCT3518Q1ZW"/>
    <m/>
    <m/>
    <n v="0"/>
    <n v="0"/>
    <n v="8075"/>
    <s v="GST_India"/>
    <s v="MH25I00004428853"/>
    <d v="2026-03-09T00:00:00.000"/>
    <m/>
    <n v="9971"/>
    <s v="Motor Car Renewal DL7CW4734 Maruti xl-6  User Admin pool car"/>
    <m/>
    <m/>
    <n v="8075"/>
    <s v="Normal"/>
    <n v="18"/>
    <n v="0"/>
    <n v="0"/>
    <n v="1453.5"/>
    <n v="0"/>
    <n v="0"/>
    <n v="0"/>
    <n v="0"/>
    <n v="0"/>
    <n v="0"/>
    <m/>
    <m/>
    <n v="0"/>
    <n v="9528.5"/>
    <s v="N"/>
    <s v="N"/>
    <s v="11.7100.111.234010.0000.000000.0007.000000.000000.00000000"/>
    <n v="1126100479"/>
    <s v="HO_INTER-STATE_OTH_NON_REC_18%"/>
    <s v="INPUT_SERVICE"/>
    <m/>
    <x v="0"/>
    <x v="0"/>
    <s v="Yes"/>
    <s v="07"/>
    <s v="Delhi"/>
    <s v="27AABCT3518Q1ZWMH25I00004428853"/>
    <n v="1453.5"/>
    <n v="1454"/>
    <n v="-1"/>
    <s v="Matched"/>
    <n v="9178797"/>
    <s v="Fwd Non Rec"/>
  </r>
  <r>
    <s v="Payable Invoice"/>
    <s v="AP_INVOICE "/>
    <n v="107"/>
    <s v="Godfrey_Phillips_India_Limited_HO"/>
    <s v="GPIL_HO_New_Delhi(Services)"/>
    <m/>
    <m/>
    <s v="07AABCG4768K1Z9"/>
    <s v="AP_INVOICES"/>
    <s v="STANDARD VALIDATED TAX"/>
    <s v="IA"/>
    <s v="STANDARD"/>
    <d v="2026-04-14T00:00:00.000"/>
    <s v="DLS2627000000644"/>
    <n v="9155608"/>
    <d v="2026-04-02T00:00:00.000"/>
    <s v="Supplier"/>
    <n v="2770"/>
    <s v="CANON INDIA PVT. LTD."/>
    <s v="OKHLA"/>
    <s v="07AAACC4175D1Z0"/>
    <s v="NOS"/>
    <m/>
    <n v="1"/>
    <n v="3486.99"/>
    <n v="3486.99"/>
    <s v="GST_India"/>
    <s v="DLS2627000000644"/>
    <d v="2026-04-02T00:00:00.000"/>
    <s v="MISCELLENS"/>
    <n v="84439952"/>
    <s v="Supply of ToneoinK and Spares along with Support Services"/>
    <m/>
    <m/>
    <n v="3486.99"/>
    <s v="Normal"/>
    <n v="18"/>
    <n v="313.83"/>
    <n v="313.83"/>
    <n v="0"/>
    <n v="0"/>
    <n v="0"/>
    <n v="0"/>
    <n v="0"/>
    <n v="0"/>
    <n v="0"/>
    <m/>
    <m/>
    <n v="0"/>
    <n v="4114.65"/>
    <s v="Y"/>
    <s v="N"/>
    <s v="11.7100.111.234010.0000.000000.0007.000000.000000.00000000"/>
    <n v="1126100058"/>
    <s v="HO_INTRA-STATE_OTH_REC_18%"/>
    <s v="INPUT_SERVICE"/>
    <m/>
    <x v="1"/>
    <x v="0"/>
    <s v="Yes"/>
    <s v="07"/>
    <s v="Delhi"/>
    <s v="07AAACC4175D1Z0DLS2627000000644"/>
    <n v="627.66"/>
    <n v="1873.72"/>
    <n v="-1246"/>
    <s v="Matched"/>
    <n v="9155608"/>
    <s v="Fwd Rec"/>
  </r>
  <r>
    <s v="Payable Invoice"/>
    <s v="AP_INVOICE "/>
    <n v="107"/>
    <s v="Godfrey_Phillips_India_Limited_HO"/>
    <s v="GPIL_HO_New_Delhi(Services)"/>
    <m/>
    <m/>
    <s v="07AABCG4768K1Z9"/>
    <s v="AP_INVOICES"/>
    <s v="STANDARD VALIDATED TAX"/>
    <s v="IA"/>
    <s v="STANDARD"/>
    <d v="2026-04-24T00:00:00.000"/>
    <s v="HEXA2026-27/3289"/>
    <n v="9168299"/>
    <d v="2026-04-15T00:00:00.000"/>
    <s v="Supplier"/>
    <n v="14097"/>
    <s v="HEXADECIMAL SYSTEMS AND SERVICES"/>
    <s v="DELHI"/>
    <s v="07AFCPB1962P1ZC"/>
    <s v="NOS"/>
    <m/>
    <n v="3000"/>
    <n v="2"/>
    <n v="6000"/>
    <s v="GST_India"/>
    <s v="HEXA2026-27/3289"/>
    <d v="2026-04-15T00:00:00.000"/>
    <s v="BUDMINTIND"/>
    <n v="998712"/>
    <s v="SERVICE MAINTENANCE  REPAIRS OF OFFICE MACHINERY PAPER SHREDDER MACHINE MODEL AVANTI PS 300 HD"/>
    <m/>
    <m/>
    <n v="6000"/>
    <s v="Normal"/>
    <n v="18"/>
    <n v="540"/>
    <n v="540"/>
    <n v="0"/>
    <n v="0"/>
    <n v="0"/>
    <n v="0"/>
    <n v="0"/>
    <n v="0"/>
    <n v="0"/>
    <m/>
    <m/>
    <n v="0"/>
    <n v="7080"/>
    <s v="Y"/>
    <s v="N"/>
    <s v="11.7100.111.414401.1010.000000.0007.000000.000000.00000000"/>
    <n v="1126100392"/>
    <s v="HO_INTRA-STATE_OTH_REC_18%"/>
    <s v="INPUT_SERVICE"/>
    <m/>
    <x v="1"/>
    <x v="0"/>
    <s v="No"/>
    <s v="07"/>
    <s v="Delhi"/>
    <s v="07AFCPB1962P1ZCHEXA2026-27/3289"/>
    <n v="1080"/>
    <n v="2952"/>
    <n v="-1872"/>
    <s v="Matched"/>
    <n v="9168299"/>
    <s v="Fwd Rec"/>
  </r>
  <r>
    <s v="Payable Invoice"/>
    <s v="AP_INVOICE "/>
    <n v="107"/>
    <s v="Godfrey_Phillips_India_Limited_HO"/>
    <s v="GPIL_HO_New_Delhi(Services)"/>
    <m/>
    <m/>
    <s v="07AABCG4768K1Z9"/>
    <s v="AP_INVOICES"/>
    <s v="STANDARD VALIDATED TAX"/>
    <s v="CONVERSION"/>
    <s v="STANDARD"/>
    <d v="2026-04-21T00:00:00.000"/>
    <s v="HF2707I000097242"/>
    <n v="9164390"/>
    <d v="2026-04-03T00:00:00.000"/>
    <s v="Supplier"/>
    <n v="6262"/>
    <s v="BHARTI AIRTEL LIMITED"/>
    <s v="HO"/>
    <s v="07AAACB2894G1ZP"/>
    <s v="NOS"/>
    <m/>
    <n v="1"/>
    <n v="2196"/>
    <n v="2196"/>
    <s v="GST_India"/>
    <s v="HF2707I000097242"/>
    <d v="2026-04-03T00:00:00.000"/>
    <s v="MISCELLENS"/>
    <n v="998412"/>
    <s v="GPI JASOLA OFFICE (FAX NO) AIRTEL - LANDLINE TELEPHONE EXPENSES FOR THE MONTH OF March-2026 -  - ADMN"/>
    <m/>
    <m/>
    <n v="2196"/>
    <s v="Normal"/>
    <n v="18"/>
    <n v="197.64"/>
    <n v="197.64"/>
    <n v="0"/>
    <n v="0"/>
    <n v="0"/>
    <n v="0"/>
    <n v="0"/>
    <n v="0"/>
    <n v="0"/>
    <m/>
    <m/>
    <n v="0"/>
    <n v="2591.28"/>
    <s v="Y"/>
    <s v="N"/>
    <s v="11.7100.111.420801.1010.000000.0007.000000.000000.00000000"/>
    <n v="1126100286"/>
    <s v="HO_INTRA-STATE_OTH_REC_18%"/>
    <s v="INPUT_SERVICE"/>
    <m/>
    <x v="1"/>
    <x v="0"/>
    <s v="Yes"/>
    <s v="07"/>
    <s v="Delhi"/>
    <s v="07AAACB2894G1ZPHF2707I000097242"/>
    <n v="395.28"/>
    <n v="395.28"/>
    <n v="0"/>
    <s v="Matched"/>
    <n v="9164390"/>
    <s v="Fwd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25"/>
    <n v="400"/>
    <n v="10000"/>
    <s v="GST_India"/>
    <s v="130/26-27"/>
    <d v="2026-04-09T00:00:00.000"/>
    <s v="MISCELLENS"/>
    <n v="998900"/>
    <s v="Card (HSN 49090010 18) Appreciation Envelope"/>
    <m/>
    <m/>
    <n v="10000"/>
    <s v="Normal"/>
    <n v="18"/>
    <n v="900"/>
    <n v="900"/>
    <n v="0"/>
    <n v="0"/>
    <n v="0"/>
    <n v="0"/>
    <n v="0"/>
    <n v="0"/>
    <n v="0"/>
    <m/>
    <m/>
    <n v="0"/>
    <n v="11800"/>
    <s v="N"/>
    <s v="N"/>
    <s v="11.7100.111.420602.1011.000000.0007.000000.000000.00000000"/>
    <n v="1126100334"/>
    <s v="HO_INTRA-STATE_OTH_NON_REC_18%"/>
    <s v="INPUT_SERVICE"/>
    <m/>
    <x v="0"/>
    <x v="0"/>
    <s v="Yes"/>
    <s v="07"/>
    <s v="Delhi"/>
    <s v="07AAACN0474C1ZX130/26-27"/>
    <n v="1800"/>
    <n v="6014.7"/>
    <n v="-4215"/>
    <s v="Matched"/>
    <n v="9164740"/>
    <s v="Fwd Non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30"/>
    <n v="81"/>
    <n v="2430"/>
    <s v="GST_India"/>
    <s v="130/26-27"/>
    <d v="2026-04-09T00:00:00.000"/>
    <s v="MISCELLENS"/>
    <n v="998900"/>
    <s v="Card (HSN 49090010 18) Womens Dday Appreciation Card"/>
    <m/>
    <m/>
    <n v="2430"/>
    <s v="Normal"/>
    <n v="18"/>
    <n v="218.7"/>
    <n v="218.7"/>
    <n v="0"/>
    <n v="0"/>
    <n v="0"/>
    <n v="0"/>
    <n v="0"/>
    <n v="0"/>
    <n v="0"/>
    <m/>
    <m/>
    <n v="0"/>
    <n v="2867.4"/>
    <s v="N"/>
    <s v="N"/>
    <s v="11.7100.111.420602.1011.000000.0007.000000.000000.00000000"/>
    <n v="1126100334"/>
    <s v="HO_INTRA-STATE_OTH_NON_REC_18%"/>
    <s v="INPUT_SERVICE"/>
    <m/>
    <x v="0"/>
    <x v="0"/>
    <s v="Yes"/>
    <s v="07"/>
    <s v="Delhi"/>
    <s v="07AAACN0474C1ZX130/26-27"/>
    <n v="437.4"/>
    <n v="6014.7"/>
    <n v="-5577"/>
    <s v="Matched"/>
    <n v="9164740"/>
    <s v="Fwd Non Rec"/>
  </r>
  <r>
    <s v="Payable Invoice"/>
    <s v="AP_INVOICE "/>
    <n v="107"/>
    <s v="Godfrey_Phillips_India_Limited_HO"/>
    <s v="GPIL_HO_New_Delhi(Services)"/>
    <m/>
    <m/>
    <s v="07AABCG4768K1Z9"/>
    <s v="AP_INVOICES"/>
    <s v="STANDARD VALIDATED TAX"/>
    <s v="IA"/>
    <s v="STANDARD"/>
    <d v="2026-04-15T00:00:00.000"/>
    <s v="18A"/>
    <n v="9157985"/>
    <d v="2026-04-06T00:00:00.000"/>
    <s v="Supplier"/>
    <n v="43194"/>
    <s v="JAGDAMBA SINGH"/>
    <s v="NEW DELHI-OFF"/>
    <s v="07ANXPS5012J2ZF"/>
    <s v="NOS"/>
    <m/>
    <n v="1"/>
    <n v="12500"/>
    <n v="12500"/>
    <s v="GST_India"/>
    <s v="18A"/>
    <d v="2026-04-06T00:00:00.000"/>
    <s v="MISCELLENS"/>
    <n v="996743"/>
    <s v="Car Parking Charges April 2026"/>
    <m/>
    <m/>
    <n v="12500"/>
    <s v="Normal"/>
    <n v="18"/>
    <n v="1125"/>
    <n v="1125"/>
    <n v="0"/>
    <n v="0"/>
    <n v="0"/>
    <n v="0"/>
    <n v="0"/>
    <n v="0"/>
    <n v="0"/>
    <m/>
    <m/>
    <n v="0"/>
    <n v="14750"/>
    <s v="N"/>
    <s v="N"/>
    <s v="11.7100.111.420301.1010.000000.0007.000000.000000.00000000"/>
    <n v="1126100102"/>
    <s v="HO_INTRA-STATE_OTH_NON_REC_18%"/>
    <s v="INPUT_SERVICE"/>
    <m/>
    <x v="0"/>
    <x v="0"/>
    <s v="No"/>
    <s v="07"/>
    <s v="Delhi"/>
    <s v="07ANXPS5012J2ZF18A"/>
    <n v="2250"/>
    <n v="2250"/>
    <n v="0"/>
    <s v="Matched"/>
    <n v="9157985"/>
    <s v="Fwd Non Rec"/>
  </r>
  <r>
    <s v="Payable Invoice"/>
    <s v="AP_INVOICE "/>
    <n v="107"/>
    <s v="Godfrey_Phillips_India_Limited_HO"/>
    <s v="GPIL_HO_New_Delhi(Services)"/>
    <m/>
    <m/>
    <s v="07AABCG4768K1Z9"/>
    <s v="AP_INVOICES"/>
    <s v="STANDARD VALIDATED TAX"/>
    <s v="IA"/>
    <s v="STANDARD"/>
    <d v="2026-04-15T00:00:00.000"/>
    <n v="3"/>
    <n v="9156871"/>
    <d v="2026-04-01T00:00:00.000"/>
    <s v="Supplier"/>
    <n v="43295"/>
    <s v="STELLAR ENTERPRISES"/>
    <s v="DELHI-OFF"/>
    <s v="07AFGFS5626D1Z0"/>
    <s v="NOS"/>
    <m/>
    <n v="160"/>
    <n v="12"/>
    <n v="1920"/>
    <s v="GST_India"/>
    <n v="3"/>
    <d v="2026-04-01T00:00:00.000"/>
    <s v="BUDMINTIND"/>
    <n v="9024040"/>
    <s v="Tetley - Assam Tea (100 Bags)"/>
    <m/>
    <m/>
    <n v="1920"/>
    <s v="Normal"/>
    <n v="5"/>
    <n v="48"/>
    <n v="48"/>
    <n v="0"/>
    <n v="0"/>
    <n v="0"/>
    <n v="0"/>
    <n v="0"/>
    <n v="0"/>
    <n v="0"/>
    <m/>
    <m/>
    <n v="0"/>
    <n v="2016"/>
    <s v="N"/>
    <s v="N"/>
    <s v="11.7100.111.412401.1010.000000.0007.000000.000000.00000000"/>
    <n v="1126100101"/>
    <s v="HO_INTRA-STATE_OTH_NON_REC_5%"/>
    <s v="INPUT"/>
    <m/>
    <x v="0"/>
    <x v="0"/>
    <s v="No"/>
    <s v="07"/>
    <s v="Delhi"/>
    <s v="07AFGFS5626D1Z03"/>
    <n v="96"/>
    <n v="1647"/>
    <n v="-1551"/>
    <s v="Matched"/>
    <n v="9156871"/>
    <s v="Fwd Non Rec"/>
  </r>
  <r>
    <s v="Payable Invoice"/>
    <s v="AP_INVOICE "/>
    <n v="107"/>
    <s v="Godfrey_Phillips_India_Limited_HO"/>
    <s v="GPIL_HO_New_Delhi(Services)"/>
    <m/>
    <m/>
    <s v="07AABCG4768K1Z9"/>
    <s v="AP_INVOICES"/>
    <s v="STANDARD VALIDATED TAX"/>
    <s v="IA"/>
    <s v="STANDARD"/>
    <d v="2026-04-24T00:00:00.000"/>
    <n v="7026000049"/>
    <n v="9168297"/>
    <d v="2026-04-16T00:00:00.000"/>
    <s v="Supplier"/>
    <n v="14809"/>
    <s v="CARRIER AIRCONDITIONING AND REFRIGERATION LTD"/>
    <s v="NEW DELHI"/>
    <s v="07AAACC8414B1Z6"/>
    <s v="NOS"/>
    <m/>
    <n v="5500"/>
    <n v="1"/>
    <n v="5500"/>
    <s v="GST_India"/>
    <n v="7026000049"/>
    <d v="2026-04-16T00:00:00.000"/>
    <s v="BUDMINTIND"/>
    <n v="998717"/>
    <s v="Inverter -Carrier SPMS-Other"/>
    <m/>
    <m/>
    <n v="5500"/>
    <s v="Normal"/>
    <n v="18"/>
    <n v="495"/>
    <n v="495"/>
    <n v="0"/>
    <n v="0"/>
    <n v="0"/>
    <n v="0"/>
    <n v="0"/>
    <n v="0"/>
    <n v="0"/>
    <m/>
    <m/>
    <n v="0"/>
    <n v="6490"/>
    <s v="Y"/>
    <s v="N"/>
    <s v="11.7100.111.414401.1010.000000.0007.000000.000000.00000000"/>
    <n v="1126100390"/>
    <s v="HO_INTRA-STATE_OTH_REC_18%"/>
    <s v="INPUT_SERVICE"/>
    <m/>
    <x v="1"/>
    <x v="0"/>
    <s v="Yes"/>
    <s v="07"/>
    <s v="Delhi"/>
    <s v="07AAACC8414B1Z67026000049"/>
    <n v="990"/>
    <n v="28440"/>
    <n v="-27450"/>
    <s v="Matched"/>
    <n v="9168297"/>
    <s v="Fwd Rec"/>
  </r>
  <r>
    <s v="Payable Invoice"/>
    <s v="AP_INVOICE "/>
    <n v="107"/>
    <s v="Godfrey_Phillips_India_Limited_HO"/>
    <s v="GPIL_HO_New_Delhi(Services)"/>
    <m/>
    <m/>
    <s v="07AABCG4768K1Z9"/>
    <s v="AP_INVOICES"/>
    <s v="STANDARD VALIDATED TAX"/>
    <s v="IA"/>
    <s v="STANDARD"/>
    <d v="2026-04-21T00:00:00.000"/>
    <s v="741/2025-2026"/>
    <n v="9164023"/>
    <d v="2026-03-27T00:00:00.000"/>
    <s v="Supplier"/>
    <n v="45456"/>
    <s v="SAGA LEGAL"/>
    <s v="HEAD OFFICE"/>
    <m/>
    <m/>
    <m/>
    <n v="900"/>
    <n v="1"/>
    <n v="900"/>
    <s v="GST_India"/>
    <s v="741/2025-2026"/>
    <d v="2026-03-27T00:00:00.000"/>
    <m/>
    <n v="998216"/>
    <s v="Conveyance expense."/>
    <m/>
    <m/>
    <n v="900"/>
    <s v="Normal"/>
    <n v="18"/>
    <n v="81"/>
    <n v="81"/>
    <n v="0"/>
    <n v="0"/>
    <n v="0"/>
    <n v="0"/>
    <n v="0"/>
    <n v="0"/>
    <n v="0"/>
    <m/>
    <m/>
    <n v="0"/>
    <n v="1062"/>
    <s v="Y"/>
    <s v="Y"/>
    <s v="11.7100.111.234010.0000.000000.0007.000000.000000.00000000"/>
    <n v="1125113946"/>
    <s v="HO_REV_CHARGE_REC_18%"/>
    <s v="INPUT_SERVICE"/>
    <m/>
    <x v="2"/>
    <x v="1"/>
    <s v="No"/>
    <s v="07"/>
    <s v="Delhi"/>
    <s v="741/2025-2026"/>
    <n v="162"/>
    <e v="#N/A"/>
    <e v="#N/A"/>
    <s v="RCM"/>
    <n v="9164023"/>
    <s v="RCM Rec"/>
  </r>
  <r>
    <s v="Payable Invoice"/>
    <s v="AP_INVOICE "/>
    <n v="107"/>
    <s v="Godfrey_Phillips_India_Limited_HO"/>
    <s v="GPIL_HO_New_Delhi(Services)"/>
    <m/>
    <s v="HO New Friends Colony"/>
    <s v="07AABCG4768K1Z9"/>
    <s v="AP_INVOICES"/>
    <s v="STANDARD CREATED"/>
    <s v="Manual Invoice Entry"/>
    <s v="STANDARD"/>
    <d v="2026-04-14T00:00:00.000"/>
    <n v="612"/>
    <n v="9151235"/>
    <d v="2026-04-04T00:00:00.000"/>
    <s v="Supplier"/>
    <n v="40631"/>
    <s v="ARSHAD KHAN ENTERPRISES"/>
    <s v="NEW DELHI"/>
    <s v="07AVQPK8011N2Z1"/>
    <s v="NOS"/>
    <m/>
    <n v="15000"/>
    <n v="1"/>
    <n v="15000"/>
    <s v="GST_India"/>
    <n v="612"/>
    <d v="2026-04-04T00:00:00.000"/>
    <s v="BUDMINTIND"/>
    <n v="995400"/>
    <s v="Gazebo Full Electrical Wiring"/>
    <m/>
    <m/>
    <n v="15000"/>
    <s v="Normal"/>
    <n v="18"/>
    <n v="1350"/>
    <n v="1350"/>
    <n v="0"/>
    <n v="0"/>
    <n v="0"/>
    <n v="0"/>
    <n v="0"/>
    <n v="0"/>
    <n v="0"/>
    <m/>
    <m/>
    <n v="0"/>
    <n v="17700"/>
    <s v="N"/>
    <s v="N"/>
    <s v="11.7100.111.424156.1000.100007.0007.000000.000000.00000000"/>
    <n v="1126100056"/>
    <s v="HO_INTRA-STATE_OTH_NON_REC_18%"/>
    <s v="INPUT_SERVICE"/>
    <m/>
    <x v="0"/>
    <x v="0"/>
    <s v="No"/>
    <s v="07"/>
    <s v="Delhi"/>
    <s v="07AVQPK8011N2Z1612"/>
    <n v="2700"/>
    <n v="4734"/>
    <n v="-2034"/>
    <s v="Matched"/>
    <n v="9151235"/>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11644.92"/>
    <n v="1"/>
    <n v="11644.92"/>
    <s v="GST_India"/>
    <s v="DFSI2600000412"/>
    <d v="2026-04-09T00:00:00.000"/>
    <s v="BUDMINTIND"/>
    <n v="84219900"/>
    <s v="SET MICROFI"/>
    <m/>
    <m/>
    <n v="11644.92"/>
    <s v="Normal"/>
    <n v="18"/>
    <n v="0"/>
    <n v="0"/>
    <n v="2096.09"/>
    <n v="0"/>
    <n v="0"/>
    <n v="0"/>
    <n v="0"/>
    <n v="0"/>
    <n v="0"/>
    <m/>
    <m/>
    <n v="0"/>
    <n v="13741.01"/>
    <s v="N"/>
    <s v="N"/>
    <s v="11.7100.111.414301.1011.111636.0007.000000.000000.00000000"/>
    <n v="1126100105"/>
    <s v="HO_INTER-STATE_OTH_NON_REC_18%"/>
    <s v="INPUT_TDS_194C"/>
    <m/>
    <x v="0"/>
    <x v="0"/>
    <s v="Yes"/>
    <s v="07"/>
    <s v="Delhi"/>
    <s v="06AAGCD4246E1ZXDFSI2600000412"/>
    <n v="2096.09"/>
    <n v="38182.88"/>
    <n v="-36087"/>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24"/>
    <n v="6600"/>
    <s v="GST_India"/>
    <s v="DFSI2600000751"/>
    <d v="2026-04-17T00:00:00.000"/>
    <s v="BUDMINTIND"/>
    <n v="996200"/>
    <s v="RIM PREPARATION"/>
    <m/>
    <m/>
    <n v="6600"/>
    <s v="Normal"/>
    <n v="18"/>
    <n v="0"/>
    <n v="0"/>
    <n v="1188"/>
    <n v="0"/>
    <n v="0"/>
    <n v="0"/>
    <n v="0"/>
    <n v="0"/>
    <n v="0"/>
    <m/>
    <m/>
    <n v="0"/>
    <n v="7788"/>
    <s v="N"/>
    <s v="N"/>
    <s v="11.7100.111.414301.1000.100007.0007.000000.000000.00000000"/>
    <n v="1126100446"/>
    <s v="HO_INTER-STATE_OTH_NON_REC_18%"/>
    <s v="INPUT_TDS_194C"/>
    <m/>
    <x v="0"/>
    <x v="0"/>
    <s v="Yes"/>
    <s v="07"/>
    <s v="Delhi"/>
    <s v="06AAGCD4246E1ZXDFSI2600000751"/>
    <n v="1188"/>
    <n v="36494.74"/>
    <n v="-35307"/>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2395"/>
    <n v="2395"/>
    <s v="GST_India"/>
    <s v="MF2707I000063444"/>
    <d v="2026-04-03T00:00:00.000"/>
    <s v="MISCELLENS"/>
    <n v="998413"/>
    <s v="AIRTEL MOBILE BILLS FOR THE MONTH OF MAR 2026"/>
    <m/>
    <m/>
    <n v="2395"/>
    <s v="Normal"/>
    <n v="18"/>
    <n v="215.55"/>
    <n v="215.55"/>
    <n v="0"/>
    <n v="0"/>
    <n v="0"/>
    <n v="0"/>
    <n v="0"/>
    <n v="0"/>
    <n v="0"/>
    <m/>
    <m/>
    <n v="0"/>
    <n v="2826.1"/>
    <s v="Y"/>
    <s v="N"/>
    <s v="11.7100.111.420803.1000.000000.0007.000000.000000.00000000"/>
    <n v="1126100078"/>
    <s v="HO_INTRA-STATE_OTH_REC_18%"/>
    <s v="INPUT_SERVICE"/>
    <m/>
    <x v="1"/>
    <x v="0"/>
    <s v="Yes"/>
    <s v="07"/>
    <s v="Delhi"/>
    <s v="07AAACB2894G1ZPMF2707I000063444"/>
    <n v="431.1"/>
    <n v="8534.42"/>
    <n v="-8103"/>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68"/>
    <n v="1"/>
    <n v="68"/>
    <s v="GST_India"/>
    <s v="TXA26-00607"/>
    <d v="2026-04-17T00:00:00.000"/>
    <s v="BUDMINTIND"/>
    <n v="87081090"/>
    <s v="GASKET (14X20X1.5)"/>
    <m/>
    <m/>
    <n v="68"/>
    <s v="Normal"/>
    <n v="18"/>
    <n v="6.12"/>
    <n v="6.12"/>
    <n v="0"/>
    <n v="0"/>
    <n v="0"/>
    <n v="0"/>
    <n v="0"/>
    <n v="0"/>
    <n v="0"/>
    <m/>
    <m/>
    <n v="0"/>
    <n v="80.24"/>
    <s v="N"/>
    <s v="N"/>
    <s v="11.7100.111.414301.1009.110908.0007.000000.000000.00000000"/>
    <n v="1126100447"/>
    <s v="HO_INTRA-STATE_OTH_NON_REC_18%"/>
    <s v="INPUT_TDS_194C"/>
    <m/>
    <x v="0"/>
    <x v="0"/>
    <s v="Yes"/>
    <s v="07"/>
    <s v="Delhi"/>
    <s v="07AANCS0651B1ZMTXA26-00607"/>
    <n v="12.24"/>
    <n v="2435.38"/>
    <n v="-2423"/>
    <s v="Matched"/>
    <n v="9175014"/>
    <s v="Fwd Non Rec"/>
  </r>
  <r>
    <s v="Payable Invoice"/>
    <s v="AP_INVOICE "/>
    <n v="107"/>
    <s v="Godfrey_Phillips_India_Limited_HO"/>
    <s v="GPIL_HO_New_Delhi(Services)"/>
    <m/>
    <m/>
    <s v="07AABCG4768K1Z9"/>
    <s v="AP_INVOICES"/>
    <s v="STANDARD VALIDATED TAX"/>
    <s v="IA"/>
    <s v="STANDARD"/>
    <d v="2026-04-21T00:00:00.000"/>
    <s v="1/GPI/2026-27"/>
    <n v="9167056"/>
    <d v="2026-04-11T00:00:00.000"/>
    <s v="Supplier"/>
    <n v="42255"/>
    <s v="SHATANSHU PANDA"/>
    <s v="KOLKATA-OFF"/>
    <m/>
    <s v="NOS"/>
    <m/>
    <n v="15000"/>
    <n v="1"/>
    <n v="15000"/>
    <s v="GST_India"/>
    <s v="GPI-HOC260400005"/>
    <d v="2026-04-11T00:00:00.000"/>
    <m/>
    <n v="998216"/>
    <s v="Conference held with Mr. Anshuman Vikram Singh on 07.04.2026"/>
    <m/>
    <m/>
    <n v="15000"/>
    <s v="Normal"/>
    <n v="18"/>
    <n v="0"/>
    <n v="0"/>
    <n v="2700"/>
    <n v="0"/>
    <n v="0"/>
    <n v="0"/>
    <n v="0"/>
    <n v="0"/>
    <n v="0"/>
    <m/>
    <m/>
    <n v="0"/>
    <n v="17700"/>
    <s v="Y"/>
    <s v="Y"/>
    <s v="11.7100.111.416001.1009.000000.0007.000000.000000.00000000"/>
    <n v="1126100300"/>
    <s v="HO_INTER-STATE_REV_REC_18%"/>
    <s v="INPUT_SERVICE"/>
    <m/>
    <x v="2"/>
    <x v="1"/>
    <s v="No"/>
    <s v="07"/>
    <s v="Delhi"/>
    <s v="GPI-HOC260400005"/>
    <n v="2700"/>
    <e v="#N/A"/>
    <e v="#N/A"/>
    <s v="RCM"/>
    <n v="9167056"/>
    <s v="RCM Rec"/>
  </r>
  <r>
    <s v="Payable Invoice"/>
    <s v="AP_INVOICE "/>
    <n v="107"/>
    <s v="Godfrey_Phillips_India_Limited_HO"/>
    <s v="GPIL_HO_New_Delhi(Services)"/>
    <m/>
    <m/>
    <s v="07AABCG4768K1Z9"/>
    <s v="AP_INVOICES"/>
    <s v="STANDARD VALIDATED TAX"/>
    <s v="IA"/>
    <s v="STANDARD"/>
    <d v="2026-04-21T00:00:00.000"/>
    <s v="737/2025-2026"/>
    <n v="9164021"/>
    <d v="2026-03-27T00:00:00.000"/>
    <s v="Supplier"/>
    <n v="45456"/>
    <s v="SAGA LEGAL"/>
    <s v="HEAD OFFICE"/>
    <m/>
    <m/>
    <m/>
    <n v="5800"/>
    <n v="1"/>
    <n v="5800"/>
    <s v="GST_India"/>
    <s v="737/2025-2026"/>
    <d v="2026-03-27T00:00:00.000"/>
    <m/>
    <n v="998216"/>
    <s v="10 Clerkage"/>
    <m/>
    <m/>
    <n v="5800"/>
    <s v="Normal"/>
    <n v="18"/>
    <n v="522"/>
    <n v="522"/>
    <n v="0"/>
    <n v="0"/>
    <n v="0"/>
    <n v="0"/>
    <n v="0"/>
    <n v="0"/>
    <n v="0"/>
    <m/>
    <m/>
    <n v="0"/>
    <n v="6844"/>
    <s v="Y"/>
    <s v="Y"/>
    <s v="11.7100.111.234010.0000.000000.0007.000000.000000.00000000"/>
    <n v="1125113944"/>
    <s v="HO_REV_CHARGE_REC_18%"/>
    <s v="INPUT_SERVICE"/>
    <m/>
    <x v="2"/>
    <x v="1"/>
    <s v="No"/>
    <s v="07"/>
    <s v="Delhi"/>
    <s v="737/2025-2026"/>
    <n v="1044"/>
    <e v="#N/A"/>
    <e v="#N/A"/>
    <s v="RCM"/>
    <n v="9164021"/>
    <s v="RCM Rec"/>
  </r>
  <r>
    <s v="Payable Invoice"/>
    <s v="AP_INVOICE "/>
    <n v="107"/>
    <s v="Godfrey_Phillips_India_Limited_HO"/>
    <s v="GPIL_HO_New_Delhi(Services)"/>
    <m/>
    <m/>
    <s v="07AABCG4768K1Z9"/>
    <s v="AP_INVOICES"/>
    <s v="STANDARD VALIDATED TAX"/>
    <s v="IA"/>
    <s v="STANDARD"/>
    <d v="2026-04-13T00:00:00.000"/>
    <s v="GPIL/26-27/01"/>
    <n v="9151137"/>
    <d v="2026-04-01T00:00:00.000"/>
    <s v="Supplier"/>
    <n v="40036"/>
    <s v="HIMANGINI SINGH"/>
    <s v="DELHI-OFF"/>
    <s v="07AFTPC4142H1ZH"/>
    <s v="NOS"/>
    <m/>
    <n v="8123625"/>
    <n v="1"/>
    <n v="8123625"/>
    <s v="GST_India"/>
    <s v="GPIL/26-27/01"/>
    <d v="2026-04-01T00:00:00.000"/>
    <s v="MISCELLENS"/>
    <n v="997212"/>
    <s v="RENT FOR THE MONTH APRIL -2026"/>
    <m/>
    <m/>
    <n v="8123625"/>
    <s v="Normal"/>
    <n v="18"/>
    <n v="731126.25"/>
    <n v="731126.25"/>
    <n v="0"/>
    <n v="0"/>
    <n v="0"/>
    <n v="0"/>
    <n v="0"/>
    <n v="0"/>
    <n v="0"/>
    <m/>
    <m/>
    <n v="0"/>
    <n v="9585877.5"/>
    <s v="Y"/>
    <s v="N"/>
    <s v="11.7100.111.414801.1010.000000.0007.000000.000000.00000000"/>
    <n v="1126100027"/>
    <s v="HO_INTRA-STATE_OTH_REC_18%"/>
    <s v="INPUT_SERVICE"/>
    <m/>
    <x v="1"/>
    <x v="0"/>
    <s v="Yes"/>
    <s v="07"/>
    <s v="Delhi"/>
    <s v="07AFTPC4142H1ZHGPIL/26-27/01"/>
    <n v="1462252.5"/>
    <n v="1462252"/>
    <n v="1"/>
    <s v="Matched"/>
    <n v="9151137"/>
    <s v="Fwd Rec"/>
  </r>
  <r>
    <s v="Payable Invoice"/>
    <s v="AP_INVOICE "/>
    <n v="107"/>
    <s v="Godfrey_Phillips_India_Limited_HO"/>
    <s v="GPIL_HO_New_Delhi(Services)"/>
    <m/>
    <m/>
    <s v="07AABCG4768K1Z9"/>
    <s v="AP_INVOICES"/>
    <s v="STANDARD VALIDATED TAX"/>
    <s v="IA"/>
    <s v="STANDARD"/>
    <d v="2026-04-14T00:00:00.000"/>
    <s v="DLS2627000000593"/>
    <n v="9155613"/>
    <d v="2026-04-02T00:00:00.000"/>
    <s v="Supplier"/>
    <n v="2770"/>
    <s v="CANON INDIA PVT. LTD."/>
    <s v="OKHLA"/>
    <s v="07AAACC4175D1Z0"/>
    <s v="NOS"/>
    <m/>
    <n v="1"/>
    <n v="2447.25"/>
    <n v="2447.25"/>
    <s v="GST_India"/>
    <s v="DLS2627000000593"/>
    <d v="2026-04-02T00:00:00.000"/>
    <s v="MISCELLENS"/>
    <n v="84439952"/>
    <s v="Supply of Toneriink and Spares along with Support Services"/>
    <m/>
    <m/>
    <n v="2447.25"/>
    <s v="Normal"/>
    <n v="18"/>
    <n v="220.25"/>
    <n v="220.25"/>
    <n v="0"/>
    <n v="0"/>
    <n v="0"/>
    <n v="0"/>
    <n v="0"/>
    <n v="0"/>
    <n v="0"/>
    <m/>
    <m/>
    <n v="0"/>
    <n v="2887.75"/>
    <s v="Y"/>
    <s v="N"/>
    <s v="11.7100.111.234010.0000.000000.0007.000000.000000.00000000"/>
    <n v="1126100063"/>
    <s v="HO_INTRA-STATE_OTH_REC_18%"/>
    <s v="INPUT_SERVICE"/>
    <m/>
    <x v="1"/>
    <x v="0"/>
    <s v="Yes"/>
    <s v="07"/>
    <s v="Delhi"/>
    <s v="07AAACC4175D1Z0DLS2627000000593"/>
    <n v="440.5"/>
    <n v="5381.62"/>
    <n v="-4941"/>
    <s v="Matched"/>
    <n v="9155613"/>
    <s v="Fwd Rec"/>
  </r>
  <r>
    <s v="Payable Invoice"/>
    <s v="AP_INVOICE "/>
    <n v="107"/>
    <s v="Godfrey_Phillips_India_Limited_HO"/>
    <s v="GPIL_HO_New_Delhi(Services)"/>
    <m/>
    <m/>
    <s v="07AABCG4768K1Z9"/>
    <s v="AP_INVOICES"/>
    <s v="STANDARD VALIDATED TAX"/>
    <s v="IA"/>
    <s v="STANDARD"/>
    <d v="2026-04-14T00:00:00.000"/>
    <s v="DLS2627000000653"/>
    <n v="9155610"/>
    <d v="2026-04-02T00:00:00.000"/>
    <s v="Supplier"/>
    <n v="2770"/>
    <s v="CANON INDIA PVT. LTD."/>
    <s v="OKHLA"/>
    <s v="07AAACC4175D1Z0"/>
    <s v="NOS"/>
    <m/>
    <n v="1"/>
    <n v="2286.9"/>
    <n v="2286.9"/>
    <s v="GST_India"/>
    <s v="DLS2627000000653"/>
    <d v="2026-04-02T00:00:00.000"/>
    <s v="MISCELLENS"/>
    <n v="84439952"/>
    <s v="Supply of TonerilnK- and Spares along with Support Services"/>
    <m/>
    <m/>
    <n v="2286.9"/>
    <s v="Normal"/>
    <n v="18"/>
    <n v="205.82"/>
    <n v="205.82"/>
    <n v="0"/>
    <n v="0"/>
    <n v="0"/>
    <n v="0"/>
    <n v="0"/>
    <n v="0"/>
    <n v="0"/>
    <m/>
    <m/>
    <n v="0"/>
    <n v="2698.54"/>
    <s v="Y"/>
    <s v="N"/>
    <s v="11.7100.111.234010.0000.000000.0007.000000.000000.00000000"/>
    <n v="1126100060"/>
    <s v="HO_INTRA-STATE_OTH_REC_18%"/>
    <s v="INPUT_SERVICE"/>
    <m/>
    <x v="1"/>
    <x v="0"/>
    <s v="Yes"/>
    <s v="07"/>
    <s v="Delhi"/>
    <s v="07AAACC4175D1Z0DLS2627000000653"/>
    <n v="411.64"/>
    <n v="489.18"/>
    <n v="-78"/>
    <s v="Matched"/>
    <n v="9155610"/>
    <s v="Fwd Rec"/>
  </r>
  <r>
    <s v="Payable Invoice"/>
    <s v="AP_INVOICE "/>
    <n v="107"/>
    <s v="Godfrey_Phillips_India_Limited_HO"/>
    <s v="GPIL_HO_New_Delhi(Services)"/>
    <m/>
    <m/>
    <s v="07AABCG4768K1Z9"/>
    <s v="AP_INVOICES"/>
    <s v="STANDARD VALIDATED TAX"/>
    <s v="IA"/>
    <s v="STANDARD"/>
    <d v="2026-04-13T00:00:00.000"/>
    <s v="KC/B2B/26-27/010"/>
    <n v="9151139"/>
    <d v="2026-04-04T00:00:00.000"/>
    <s v="Supplier"/>
    <n v="38972"/>
    <s v="KINGS COURT CONDOMINIUM ASSOCIATION"/>
    <s v="NEW DELHI"/>
    <s v="07AAHAK7428G1ZH"/>
    <s v="NOS"/>
    <m/>
    <n v="60746"/>
    <n v="1"/>
    <n v="60746"/>
    <s v="GST_India"/>
    <s v="KC/B2B26-27/010"/>
    <d v="2026-04-04T00:00:00.000"/>
    <m/>
    <n v="991419"/>
    <s v="A) Common Area Maintenance  Upkeep Charges 15.56 per Sq.ftper month"/>
    <m/>
    <m/>
    <n v="60746"/>
    <s v="Normal"/>
    <n v="18"/>
    <n v="5467.14"/>
    <n v="5467.14"/>
    <n v="0"/>
    <n v="0"/>
    <n v="0"/>
    <n v="0"/>
    <n v="0"/>
    <n v="0"/>
    <n v="0"/>
    <m/>
    <m/>
    <n v="0"/>
    <n v="71680.28"/>
    <s v="N"/>
    <s v="N"/>
    <s v="11.7100.111.424051.1000.000000.0007.000000.000000.00000000"/>
    <n v="1126100030"/>
    <s v="HO_INTRA-STATE_OTH_NON_REC_18%"/>
    <s v="INPUT_SERVICE"/>
    <m/>
    <x v="0"/>
    <x v="0"/>
    <s v="Yes"/>
    <s v="07"/>
    <s v="Delhi"/>
    <s v="07AAHAK7428G1ZHKC/B2B26-27/010"/>
    <n v="10934.28"/>
    <n v="11178"/>
    <n v="-244"/>
    <s v="Matched"/>
    <n v="9151139"/>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LTR"/>
    <m/>
    <n v="1434.75"/>
    <n v="5.25"/>
    <n v="7532.44"/>
    <s v="GST_India"/>
    <s v="DFSI2600000412"/>
    <d v="2026-04-09T00:00:00.000"/>
    <s v="BUDMINTIND"/>
    <n v="27101980"/>
    <s v="ENG OIL PETROL LL01 5W40 MOBI"/>
    <m/>
    <m/>
    <n v="7532.44"/>
    <s v="Normal"/>
    <n v="18"/>
    <n v="0"/>
    <n v="0"/>
    <n v="1355.84"/>
    <n v="0"/>
    <n v="0"/>
    <n v="0"/>
    <n v="0"/>
    <n v="0"/>
    <n v="0"/>
    <m/>
    <m/>
    <n v="0"/>
    <n v="8888.28"/>
    <s v="N"/>
    <s v="N"/>
    <s v="11.7100.111.414301.1011.111636.0007.000000.000000.00000000"/>
    <n v="1126100105"/>
    <s v="HO_INTER-STATE_OTH_NON_REC_18%"/>
    <s v="INPUT_TDS_194C"/>
    <m/>
    <x v="0"/>
    <x v="0"/>
    <s v="Yes"/>
    <s v="07"/>
    <s v="Delhi"/>
    <s v="06AAGCD4246E1ZXDFSI2600000412"/>
    <n v="1355.84"/>
    <n v="38182.88"/>
    <n v="-36827"/>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
    <n v="825"/>
    <s v="GST_India"/>
    <s v="DFSI2600000412"/>
    <d v="2026-04-09T00:00:00.000"/>
    <s v="BUDMINTIND"/>
    <n v="998729"/>
    <s v="ADJUSTING TOE IN ON FRONT AXLE"/>
    <m/>
    <m/>
    <n v="825"/>
    <s v="Normal"/>
    <n v="18"/>
    <n v="0"/>
    <n v="0"/>
    <n v="148.5"/>
    <n v="0"/>
    <n v="0"/>
    <n v="0"/>
    <n v="0"/>
    <n v="0"/>
    <n v="0"/>
    <m/>
    <m/>
    <n v="0"/>
    <n v="973.5"/>
    <s v="N"/>
    <s v="N"/>
    <s v="11.7100.111.414301.1011.111636.0007.000000.000000.00000000"/>
    <n v="1126100105"/>
    <s v="HO_INTER-STATE_OTH_NON_REC_18%"/>
    <s v="INPUT_TDS_194C"/>
    <m/>
    <x v="0"/>
    <x v="0"/>
    <s v="Yes"/>
    <s v="07"/>
    <s v="Delhi"/>
    <s v="06AAGCD4246E1ZXDFSI2600000412"/>
    <n v="148.5"/>
    <n v="38182.88"/>
    <n v="-38034"/>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0"/>
    <n v="8250"/>
    <s v="GST_India"/>
    <s v="DFSI2600000412"/>
    <d v="2026-04-09T00:00:00.000"/>
    <s v="BUDMINTIND"/>
    <n v="998729"/>
    <s v="AIR CONDITIONING"/>
    <m/>
    <m/>
    <n v="8250"/>
    <s v="Normal"/>
    <n v="18"/>
    <n v="0"/>
    <n v="0"/>
    <n v="1485"/>
    <n v="0"/>
    <n v="0"/>
    <n v="0"/>
    <n v="0"/>
    <n v="0"/>
    <n v="0"/>
    <m/>
    <m/>
    <n v="0"/>
    <n v="9735"/>
    <s v="N"/>
    <s v="N"/>
    <s v="11.7100.111.414301.1011.111636.0007.000000.000000.00000000"/>
    <n v="1126100105"/>
    <s v="HO_INTER-STATE_OTH_NON_REC_18%"/>
    <s v="INPUT_TDS_194C"/>
    <m/>
    <x v="0"/>
    <x v="0"/>
    <s v="Yes"/>
    <s v="07"/>
    <s v="Delhi"/>
    <s v="06AAGCD4246E1ZXDFSI2600000412"/>
    <n v="1485"/>
    <n v="38182.88"/>
    <n v="-36698"/>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
    <n v="825"/>
    <s v="GST_India"/>
    <s v="DFSI2600000412"/>
    <d v="2026-04-09T00:00:00.000"/>
    <s v="BUDMINTIND"/>
    <n v="998729"/>
    <s v="ENGINE OIL SERVICE"/>
    <m/>
    <m/>
    <n v="825"/>
    <s v="Normal"/>
    <n v="18"/>
    <n v="0"/>
    <n v="0"/>
    <n v="148.5"/>
    <n v="0"/>
    <n v="0"/>
    <n v="0"/>
    <n v="0"/>
    <n v="0"/>
    <n v="0"/>
    <m/>
    <m/>
    <n v="0"/>
    <n v="973.5"/>
    <s v="N"/>
    <s v="N"/>
    <s v="11.7100.111.414301.1011.111636.0007.000000.000000.00000000"/>
    <n v="1126100105"/>
    <s v="HO_INTER-STATE_OTH_NON_REC_18%"/>
    <s v="INPUT_TDS_194C"/>
    <m/>
    <x v="0"/>
    <x v="0"/>
    <s v="Yes"/>
    <s v="07"/>
    <s v="Delhi"/>
    <s v="06AAGCD4246E1ZXDFSI2600000412"/>
    <n v="148.5"/>
    <n v="38182.88"/>
    <n v="-38034"/>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
    <n v="275"/>
    <s v="GST_India"/>
    <s v="DFSI2600000412"/>
    <d v="2026-04-09T00:00:00.000"/>
    <s v="BUDMINTIND"/>
    <n v="998729"/>
    <s v="REPLACE LEFT AND RIGHT WIPER BLADE"/>
    <m/>
    <m/>
    <n v="275"/>
    <s v="Normal"/>
    <n v="18"/>
    <n v="0"/>
    <n v="0"/>
    <n v="49.5"/>
    <n v="0"/>
    <n v="0"/>
    <n v="0"/>
    <n v="0"/>
    <n v="0"/>
    <n v="0"/>
    <m/>
    <m/>
    <n v="0"/>
    <n v="324.5"/>
    <s v="N"/>
    <s v="N"/>
    <s v="11.7100.111.414301.1011.111636.0007.000000.000000.00000000"/>
    <n v="1126100105"/>
    <s v="HO_INTER-STATE_OTH_NON_REC_18%"/>
    <s v="INPUT_TDS_194C"/>
    <m/>
    <x v="0"/>
    <x v="0"/>
    <s v="Yes"/>
    <s v="07"/>
    <s v="Delhi"/>
    <s v="06AAGCD4246E1ZXDFSI2600000412"/>
    <n v="49.5"/>
    <n v="38182.88"/>
    <n v="-38133"/>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48"/>
    <n v="13200"/>
    <s v="GST_India"/>
    <s v="DFSI2600000412"/>
    <d v="2026-04-09T00:00:00.000"/>
    <s v="BUDMINTIND"/>
    <n v="996200"/>
    <s v="SURFACE REFINEMENT"/>
    <m/>
    <m/>
    <n v="13200"/>
    <s v="Normal"/>
    <n v="18"/>
    <n v="0"/>
    <n v="0"/>
    <n v="2376"/>
    <n v="0"/>
    <n v="0"/>
    <n v="0"/>
    <n v="0"/>
    <n v="0"/>
    <n v="0"/>
    <m/>
    <m/>
    <n v="0"/>
    <n v="15576"/>
    <s v="N"/>
    <s v="N"/>
    <s v="11.7100.111.414301.1011.111636.0007.000000.000000.00000000"/>
    <n v="1126100105"/>
    <s v="HO_INTER-STATE_OTH_NON_REC_18%"/>
    <s v="INPUT_TDS_194C"/>
    <m/>
    <x v="0"/>
    <x v="0"/>
    <s v="Yes"/>
    <s v="07"/>
    <s v="Delhi"/>
    <s v="06AAGCD4246E1ZXDFSI2600000412"/>
    <n v="2376"/>
    <n v="38182.88"/>
    <n v="-35807"/>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303"/>
    <n v="28"/>
    <n v="8484"/>
    <s v="GST_India"/>
    <s v="DFSI2600000751"/>
    <d v="2026-04-17T00:00:00.000"/>
    <s v="BUDMINTIND"/>
    <n v="998729"/>
    <s v="JOB TIME WITHOUT ALLOWANCE FOR BODY EQUIPMENT"/>
    <m/>
    <m/>
    <n v="8484"/>
    <s v="Normal"/>
    <n v="18"/>
    <n v="0"/>
    <n v="0"/>
    <n v="1527.12"/>
    <n v="0"/>
    <n v="0"/>
    <n v="0"/>
    <n v="0"/>
    <n v="0"/>
    <n v="0"/>
    <m/>
    <m/>
    <n v="0"/>
    <n v="10011.12"/>
    <s v="N"/>
    <s v="N"/>
    <s v="11.7100.111.414301.1000.100007.0007.000000.000000.00000000"/>
    <n v="1126100446"/>
    <s v="HO_INTER-STATE_OTH_NON_REC_18%"/>
    <s v="INPUT_TDS_194C"/>
    <m/>
    <x v="0"/>
    <x v="0"/>
    <s v="Yes"/>
    <s v="07"/>
    <s v="Delhi"/>
    <s v="06AAGCD4246E1ZXDFSI2600000751"/>
    <n v="1527.12"/>
    <n v="36494.74"/>
    <n v="-34968"/>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1031.36"/>
    <n v="4"/>
    <n v="4125.44"/>
    <s v="GST_India"/>
    <s v="DFSI2600000751"/>
    <d v="2026-04-17T00:00:00.000"/>
    <s v="BUDMINTIND"/>
    <n v="34029099"/>
    <s v="OZONIZER"/>
    <m/>
    <m/>
    <n v="4125.44"/>
    <s v="Normal"/>
    <n v="18"/>
    <n v="0"/>
    <n v="0"/>
    <n v="742.58"/>
    <n v="0"/>
    <n v="0"/>
    <n v="0"/>
    <n v="0"/>
    <n v="0"/>
    <n v="0"/>
    <m/>
    <m/>
    <n v="0"/>
    <n v="4868.02"/>
    <s v="N"/>
    <s v="N"/>
    <s v="11.7100.111.414301.1000.100007.0007.000000.000000.00000000"/>
    <n v="1126100446"/>
    <s v="HO_INTER-STATE_OTH_NON_REC_18%"/>
    <s v="INPUT_TDS_194C"/>
    <m/>
    <x v="0"/>
    <x v="0"/>
    <s v="Yes"/>
    <s v="07"/>
    <s v="Delhi"/>
    <s v="06AAGCD4246E1ZXDFSI2600000751"/>
    <n v="742.58"/>
    <n v="36494.74"/>
    <n v="-35752"/>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798"/>
    <n v="798"/>
    <s v="GST_India"/>
    <s v="MF2707I000063444"/>
    <d v="2026-04-03T00:00:00.000"/>
    <s v="MISCELLENS"/>
    <n v="998413"/>
    <s v="AIRTEL MOBILE BILLS FOR THE MONTH OF MAR 2026"/>
    <m/>
    <m/>
    <n v="798"/>
    <s v="Normal"/>
    <n v="18"/>
    <n v="71.82"/>
    <n v="71.82"/>
    <n v="0"/>
    <n v="0"/>
    <n v="0"/>
    <n v="0"/>
    <n v="0"/>
    <n v="0"/>
    <n v="0"/>
    <m/>
    <m/>
    <n v="0"/>
    <n v="941.64"/>
    <s v="Y"/>
    <s v="N"/>
    <s v="11.7100.111.420803.1000.000000.0007.000000.000000.00000000"/>
    <n v="1126100078"/>
    <s v="HO_INTRA-STATE_OTH_REC_18%"/>
    <s v="INPUT_SERVICE"/>
    <m/>
    <x v="1"/>
    <x v="0"/>
    <s v="Yes"/>
    <s v="07"/>
    <s v="Delhi"/>
    <s v="07AAACB2894G1ZPMF2707I000063444"/>
    <n v="143.64"/>
    <n v="8534.42"/>
    <n v="-8391"/>
    <s v="Matched"/>
    <n v="9156749"/>
    <s v="Fwd Rec"/>
  </r>
  <r>
    <s v="Payable Invoice"/>
    <s v="AP_INVOICE "/>
    <n v="107"/>
    <s v="Godfrey_Phillips_India_Limited_HO"/>
    <s v="GPIL_HO_New_Delhi(Services)"/>
    <m/>
    <m/>
    <s v="07AABCG4768K1Z9"/>
    <s v="AP_INVOICES"/>
    <s v="STANDARD VALIDATED TAX"/>
    <s v="CONVERSION"/>
    <s v="STANDARD"/>
    <d v="2026-04-21T00:00:00.000"/>
    <s v="HF2707I000136786"/>
    <n v="9164384"/>
    <d v="2026-04-03T00:00:00.000"/>
    <s v="Supplier"/>
    <n v="6262"/>
    <s v="BHARTI AIRTEL LIMITED"/>
    <s v="HO"/>
    <s v="07AAACB2894G1ZP"/>
    <s v="NOS"/>
    <m/>
    <n v="1"/>
    <n v="999"/>
    <n v="999"/>
    <s v="GST_India"/>
    <s v="HF2707I000136786"/>
    <d v="2026-04-03T00:00:00.000"/>
    <s v="MISCELLENS"/>
    <n v="998412"/>
    <s v="GPI JASOLA OFFICE AIRTEL - LANDLINE TELEPHONE EXPENSES FOR THE MONTH OF March-2026 -  - ADMN"/>
    <m/>
    <m/>
    <n v="999"/>
    <s v="Normal"/>
    <n v="18"/>
    <n v="89.91"/>
    <n v="89.91"/>
    <n v="0"/>
    <n v="0"/>
    <n v="0"/>
    <n v="0"/>
    <n v="0"/>
    <n v="0"/>
    <n v="0"/>
    <m/>
    <m/>
    <n v="0"/>
    <n v="1178.82"/>
    <s v="Y"/>
    <s v="N"/>
    <s v="11.7100.111.420801.1010.000000.0007.000000.000000.00000000"/>
    <n v="1126100280"/>
    <s v="HO_INTRA-STATE_OTH_REC_18%"/>
    <s v="INPUT_SERVICE"/>
    <m/>
    <x v="1"/>
    <x v="0"/>
    <s v="Yes"/>
    <s v="07"/>
    <s v="Delhi"/>
    <s v="07AAACB2894G1ZPHF2707I000136786"/>
    <n v="179.82"/>
    <n v="179.82"/>
    <n v="0"/>
    <s v="Matched"/>
    <n v="9164384"/>
    <s v="Fwd Rec"/>
  </r>
  <r>
    <s v="Payable Invoice"/>
    <s v="AP_INVOICE "/>
    <n v="107"/>
    <s v="Godfrey_Phillips_India_Limited_HO"/>
    <s v="GPIL_HO_New_Delhi(Services)"/>
    <m/>
    <m/>
    <s v="07AABCG4768K1Z9"/>
    <s v="AP_INVOICES"/>
    <s v="STANDARD VALIDATED TAX"/>
    <s v="IA"/>
    <s v="STANDARD"/>
    <d v="2026-04-15T00:00:00.000"/>
    <n v="3"/>
    <n v="9156871"/>
    <d v="2026-04-01T00:00:00.000"/>
    <s v="Supplier"/>
    <n v="43295"/>
    <s v="STELLAR ENTERPRISES"/>
    <s v="DELHI-OFF"/>
    <s v="07AFGFS5626D1Z0"/>
    <s v="NOS"/>
    <m/>
    <n v="500"/>
    <n v="15"/>
    <n v="7500"/>
    <s v="GST_India"/>
    <n v="3"/>
    <d v="2026-04-01T00:00:00.000"/>
    <s v="BUDMINTIND"/>
    <n v="9021030"/>
    <s v="Tetley - Green Tea ( 100 Sachets)"/>
    <m/>
    <m/>
    <n v="7500"/>
    <s v="Normal"/>
    <n v="5"/>
    <n v="187.5"/>
    <n v="187.5"/>
    <n v="0"/>
    <n v="0"/>
    <n v="0"/>
    <n v="0"/>
    <n v="0"/>
    <n v="0"/>
    <n v="0"/>
    <m/>
    <m/>
    <n v="0"/>
    <n v="7875"/>
    <s v="N"/>
    <s v="N"/>
    <s v="11.7100.111.412401.1010.000000.0007.000000.000000.00000000"/>
    <n v="1126100101"/>
    <s v="HO_INTRA-STATE_OTH_NON_REC_5%"/>
    <s v="INPUT"/>
    <m/>
    <x v="0"/>
    <x v="0"/>
    <s v="No"/>
    <s v="07"/>
    <s v="Delhi"/>
    <s v="07AFGFS5626D1Z03"/>
    <n v="375"/>
    <n v="1647"/>
    <n v="-1272"/>
    <s v="Matched"/>
    <n v="9156871"/>
    <s v="Fwd Non Rec"/>
  </r>
  <r>
    <s v="Payable Invoice"/>
    <s v="AP_INVOICE "/>
    <n v="107"/>
    <s v="Godfrey_Phillips_India_Limited_HO"/>
    <s v="GPIL_HO_New_Delhi(Services)"/>
    <m/>
    <m/>
    <s v="07AABCG4768K1Z9"/>
    <s v="AP_INVOICES"/>
    <s v="STANDARD VALIDATED TAX"/>
    <s v="IA"/>
    <s v="STANDARD"/>
    <d v="2026-04-14T00:00:00.000"/>
    <s v="DLS2627000000643"/>
    <n v="9155607"/>
    <d v="2026-04-02T00:00:00.000"/>
    <s v="Supplier"/>
    <n v="2770"/>
    <s v="CANON INDIA PVT. LTD."/>
    <s v="OKHLA"/>
    <s v="07AAACC4175D1Z0"/>
    <s v="NOS"/>
    <m/>
    <n v="1"/>
    <n v="13548.15"/>
    <n v="13548.15"/>
    <s v="GST_India"/>
    <s v="DLS2627000000643"/>
    <d v="2026-04-02T00:00:00.000"/>
    <s v="MISCELLENS"/>
    <n v="84439952"/>
    <s v="Supply of lonerInk Spares along Support Services"/>
    <m/>
    <m/>
    <n v="13548.15"/>
    <s v="Normal"/>
    <n v="18"/>
    <n v="1219.33"/>
    <n v="1219.33"/>
    <n v="0"/>
    <n v="0"/>
    <n v="0"/>
    <n v="0"/>
    <n v="0"/>
    <n v="0"/>
    <n v="0"/>
    <m/>
    <m/>
    <n v="0"/>
    <n v="15986.81"/>
    <s v="Y"/>
    <s v="N"/>
    <s v="11.7100.111.234010.0000.000000.0007.000000.000000.00000000"/>
    <n v="1126100057"/>
    <s v="HO_INTRA-STATE_OTH_REC_18%"/>
    <s v="INPUT_SERVICE"/>
    <m/>
    <x v="1"/>
    <x v="0"/>
    <s v="Yes"/>
    <s v="07"/>
    <s v="Delhi"/>
    <s v="07AAACC4175D1Z0DLS2627000000643"/>
    <n v="2438.66"/>
    <n v="2568.6"/>
    <n v="-130"/>
    <s v="Matched"/>
    <n v="9155607"/>
    <s v="Fwd Rec"/>
  </r>
  <r>
    <s v="Payable Invoice"/>
    <s v="AP_INVOICE "/>
    <n v="107"/>
    <s v="Godfrey_Phillips_India_Limited_HO"/>
    <s v="GPIL_HO_New_Delhi(Services)"/>
    <m/>
    <m/>
    <s v="07AABCG4768K1Z9"/>
    <s v="AP_INVOICES"/>
    <s v="STANDARD VALIDATED TAX"/>
    <s v="Manual Invoice Entry"/>
    <s v="STANDARD"/>
    <d v="2026-04-21T00:00:00.000"/>
    <s v="NASIR"/>
    <n v="9167354"/>
    <d v="2026-03-20T00:00:00.000"/>
    <s v="Supplier"/>
    <n v="45510"/>
    <s v="NASIR"/>
    <s v="DELHI"/>
    <m/>
    <m/>
    <m/>
    <n v="0"/>
    <n v="0"/>
    <n v="1200000"/>
    <s v="GST_India"/>
    <s v="GPI-HOC250400361"/>
    <d v="2026-03-20T00:00:00.000"/>
    <m/>
    <n v="998216"/>
    <s v="LEGAL EXPENSES LAND ACQUISITION - DDA MATTER"/>
    <m/>
    <m/>
    <n v="1200000"/>
    <s v="Normal"/>
    <n v="18"/>
    <n v="108000"/>
    <n v="108000"/>
    <n v="0"/>
    <n v="0"/>
    <n v="0"/>
    <n v="0"/>
    <n v="0"/>
    <n v="0"/>
    <n v="0"/>
    <m/>
    <m/>
    <n v="0"/>
    <n v="1416000"/>
    <s v="Y"/>
    <s v="Y"/>
    <s v="11.7100.111.234010.0000.000000.0007.000000.000000.00000000"/>
    <n v="1126100313"/>
    <s v="HO_REV_CHARGE_REC_18%"/>
    <s v="INPUT_SERVICE"/>
    <m/>
    <x v="2"/>
    <x v="1"/>
    <s v="No"/>
    <s v="07"/>
    <s v="Delhi"/>
    <s v="GPI-HOC250400361"/>
    <n v="216000"/>
    <e v="#N/A"/>
    <e v="#N/A"/>
    <s v="RCM"/>
    <n v="9167354"/>
    <s v="RCM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31.23"/>
    <n v="6"/>
    <n v="1387.38"/>
    <s v="GST_India"/>
    <s v="DFSI2600000412"/>
    <d v="2026-04-09T00:00:00.000"/>
    <s v="BUDMINTIND"/>
    <n v="87087000"/>
    <s v="BALANCE WEIGHT 35GM (BALANCE WEIGHT 35GM)"/>
    <m/>
    <m/>
    <n v="1387.38"/>
    <s v="Normal"/>
    <n v="18"/>
    <n v="0"/>
    <n v="0"/>
    <n v="249.73"/>
    <n v="0"/>
    <n v="0"/>
    <n v="0"/>
    <n v="0"/>
    <n v="0"/>
    <n v="0"/>
    <m/>
    <m/>
    <n v="0"/>
    <n v="1637.11"/>
    <s v="N"/>
    <s v="N"/>
    <s v="11.7100.111.414301.1011.111636.0007.000000.000000.00000000"/>
    <n v="1126100105"/>
    <s v="HO_INTER-STATE_OTH_NON_REC_18%"/>
    <s v="INPUT_TDS_194C"/>
    <m/>
    <x v="0"/>
    <x v="0"/>
    <s v="Yes"/>
    <s v="07"/>
    <s v="Delhi"/>
    <s v="06AAGCD4246E1ZXDFSI2600000412"/>
    <n v="249.73"/>
    <n v="38182.88"/>
    <n v="-37933"/>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537.3"/>
    <n v="1"/>
    <n v="537.3"/>
    <s v="GST_India"/>
    <s v="TXA26-00607"/>
    <d v="2026-04-17T00:00:00.000"/>
    <s v="BUDMINTIND"/>
    <n v="998729"/>
    <s v="WB (OFF VEHICLE TWO WHEELS) ADJUST"/>
    <m/>
    <m/>
    <n v="537.3"/>
    <s v="Normal"/>
    <n v="18"/>
    <n v="48.36"/>
    <n v="48.36"/>
    <n v="0"/>
    <n v="0"/>
    <n v="0"/>
    <n v="0"/>
    <n v="0"/>
    <n v="0"/>
    <n v="0"/>
    <m/>
    <m/>
    <n v="0"/>
    <n v="634.02"/>
    <s v="N"/>
    <s v="N"/>
    <s v="11.7100.111.414301.1009.110908.0007.000000.000000.00000000"/>
    <n v="1126100447"/>
    <s v="HO_INTRA-STATE_OTH_NON_REC_18%"/>
    <s v="INPUT_TDS_194C"/>
    <m/>
    <x v="0"/>
    <x v="0"/>
    <s v="Yes"/>
    <s v="07"/>
    <s v="Delhi"/>
    <s v="07AANCS0651B1ZMTXA26-00607"/>
    <n v="96.72"/>
    <n v="2435.38"/>
    <n v="-2339"/>
    <s v="Matched"/>
    <n v="9175014"/>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0"/>
    <n v="8250"/>
    <s v="GST_India"/>
    <s v="DFSI2600000412"/>
    <d v="2026-04-09T00:00:00.000"/>
    <s v="BUDMINTIND"/>
    <n v="996200"/>
    <s v="CLEANING ENGINE AND ENGINE"/>
    <m/>
    <m/>
    <n v="8250"/>
    <s v="Normal"/>
    <n v="18"/>
    <n v="0"/>
    <n v="0"/>
    <n v="1485"/>
    <n v="0"/>
    <n v="0"/>
    <n v="0"/>
    <n v="0"/>
    <n v="0"/>
    <n v="0"/>
    <m/>
    <m/>
    <n v="0"/>
    <n v="9735"/>
    <s v="N"/>
    <s v="N"/>
    <s v="11.7100.111.414301.1011.111636.0007.000000.000000.00000000"/>
    <n v="1126100105"/>
    <s v="HO_INTER-STATE_OTH_NON_REC_18%"/>
    <s v="INPUT_TDS_194C"/>
    <m/>
    <x v="0"/>
    <x v="0"/>
    <s v="Yes"/>
    <s v="07"/>
    <s v="Delhi"/>
    <s v="06AAGCD4246E1ZXDFSI2600000412"/>
    <n v="1485"/>
    <n v="38182.88"/>
    <n v="-36698"/>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2"/>
    <n v="550"/>
    <s v="GST_India"/>
    <s v="DFSI2600000412"/>
    <d v="2026-04-09T00:00:00.000"/>
    <s v="BUDMINTIND"/>
    <n v="998729"/>
    <s v="SERVICE STANDARD SCOPE"/>
    <m/>
    <m/>
    <n v="550"/>
    <s v="Normal"/>
    <n v="18"/>
    <n v="0"/>
    <n v="0"/>
    <n v="99"/>
    <n v="0"/>
    <n v="0"/>
    <n v="0"/>
    <n v="0"/>
    <n v="0"/>
    <n v="0"/>
    <m/>
    <m/>
    <n v="0"/>
    <n v="649"/>
    <s v="N"/>
    <s v="N"/>
    <s v="11.7100.111.414301.1011.111636.0007.000000.000000.00000000"/>
    <n v="1126100105"/>
    <s v="HO_INTER-STATE_OTH_NON_REC_18%"/>
    <s v="INPUT_TDS_194C"/>
    <m/>
    <x v="0"/>
    <x v="0"/>
    <s v="Yes"/>
    <s v="07"/>
    <s v="Delhi"/>
    <s v="06AAGCD4246E1ZXDFSI2600000412"/>
    <n v="99"/>
    <n v="38182.88"/>
    <n v="-38084"/>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499"/>
    <n v="499"/>
    <s v="GST_India"/>
    <s v="MF2707I000063444"/>
    <d v="2026-04-03T00:00:00.000"/>
    <s v="MISCELLENS"/>
    <n v="998413"/>
    <s v="AIRTEL MOBILE BILLS FOR THE MONTH OF MAR 2026"/>
    <m/>
    <m/>
    <n v="499"/>
    <s v="Normal"/>
    <n v="18"/>
    <n v="44.91"/>
    <n v="44.91"/>
    <n v="0"/>
    <n v="0"/>
    <n v="0"/>
    <n v="0"/>
    <n v="0"/>
    <n v="0"/>
    <n v="0"/>
    <m/>
    <m/>
    <n v="0"/>
    <n v="588.82"/>
    <s v="Y"/>
    <s v="N"/>
    <s v="11.7100.111.420803.1000.000000.0007.000000.000000.00000000"/>
    <n v="1126100078"/>
    <s v="HO_INTRA-STATE_OTH_REC_18%"/>
    <s v="INPUT_SERVICE"/>
    <m/>
    <x v="1"/>
    <x v="0"/>
    <s v="Yes"/>
    <s v="07"/>
    <s v="Delhi"/>
    <s v="07AAACB2894G1ZPMF2707I000063444"/>
    <n v="89.82"/>
    <n v="8534.42"/>
    <n v="-8445"/>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NOS"/>
    <m/>
    <n v="457.2"/>
    <n v="1"/>
    <n v="457.2"/>
    <s v="GST_India"/>
    <s v="TXA26-00607"/>
    <d v="2026-04-17T00:00:00.000"/>
    <s v="BUDMINTIND"/>
    <n v="998729"/>
    <s v="TGLOSS LOGO CLEANING"/>
    <m/>
    <m/>
    <n v="457.2"/>
    <s v="Normal"/>
    <n v="18"/>
    <n v="41.15"/>
    <n v="41.15"/>
    <n v="0"/>
    <n v="0"/>
    <n v="0"/>
    <n v="0"/>
    <n v="0"/>
    <n v="0"/>
    <n v="0"/>
    <m/>
    <m/>
    <n v="0"/>
    <n v="539.5"/>
    <s v="N"/>
    <s v="N"/>
    <s v="11.7100.111.414301.1009.110908.0007.000000.000000.00000000"/>
    <n v="1126100447"/>
    <s v="HO_INTRA-STATE_OTH_NON_REC_18%"/>
    <s v="INPUT_TDS_194C"/>
    <m/>
    <x v="0"/>
    <x v="0"/>
    <s v="Yes"/>
    <s v="07"/>
    <s v="Delhi"/>
    <s v="07AANCS0651B1ZMTXA26-00607"/>
    <n v="82.3"/>
    <n v="2435.38"/>
    <n v="-2353"/>
    <s v="Matched"/>
    <n v="9175014"/>
    <s v="Fwd Non Rec"/>
  </r>
  <r>
    <s v="Payable Invoice"/>
    <s v="AP_INVOICE "/>
    <n v="107"/>
    <s v="Godfrey_Phillips_India_Limited_HO"/>
    <s v="GPIL_HO_New_Delhi(Services)"/>
    <m/>
    <m/>
    <s v="07AABCG4768K1Z9"/>
    <s v="AP_INVOICES"/>
    <s v="STANDARD VALIDATED TAX"/>
    <s v="IA"/>
    <s v="STANDARD"/>
    <d v="2026-04-21T00:00:00.000"/>
    <s v="107/2026-27"/>
    <n v="9164653"/>
    <d v="2026-04-15T00:00:00.000"/>
    <s v="Supplier"/>
    <n v="39845"/>
    <s v="GOEL ENTERPRISES BHANGEL"/>
    <s v="NEW DELHI-OFF"/>
    <s v="09ACTPG0935H1ZE"/>
    <s v="NOS"/>
    <m/>
    <n v="1"/>
    <n v="8914.32"/>
    <n v="8914.32"/>
    <s v="GST_India"/>
    <s v="107/2026-27"/>
    <d v="2026-04-15T00:00:00.000"/>
    <s v="BUDMINTIND"/>
    <n v="17049020"/>
    <s v="FUNDA BURST KACCHA MM 615 GM"/>
    <m/>
    <m/>
    <n v="8914.32"/>
    <s v="Normal"/>
    <n v="5"/>
    <n v="0"/>
    <n v="0"/>
    <n v="445.72"/>
    <n v="0"/>
    <n v="0"/>
    <n v="0"/>
    <n v="0"/>
    <n v="0"/>
    <n v="0"/>
    <m/>
    <m/>
    <n v="0"/>
    <n v="9360.04"/>
    <s v="N"/>
    <s v="N"/>
    <s v="11.7100.111.412401.1010.000000.0007.000000.000000.00000000"/>
    <n v="1126100308"/>
    <s v="HO_INTER-STATE_OTH_NON_REC_5%"/>
    <s v="INPUT"/>
    <m/>
    <x v="0"/>
    <x v="0"/>
    <s v="Yes"/>
    <s v="07"/>
    <s v="Delhi"/>
    <s v="09ACTPG0935H1ZE107/2026-27"/>
    <n v="445.72"/>
    <n v="1632.71"/>
    <n v="-1187"/>
    <s v="Matched"/>
    <n v="916465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3"/>
    <n v="825"/>
    <s v="GST_India"/>
    <s v="DFSI2600000751"/>
    <d v="2026-04-17T00:00:00.000"/>
    <s v="BUDMINTIND"/>
    <n v="998729"/>
    <s v="ADJUSTING TOE-IN ON FRONT AXLE"/>
    <m/>
    <m/>
    <n v="825"/>
    <s v="Normal"/>
    <n v="18"/>
    <n v="0"/>
    <n v="0"/>
    <n v="148.5"/>
    <n v="0"/>
    <n v="0"/>
    <n v="0"/>
    <n v="0"/>
    <n v="0"/>
    <n v="0"/>
    <m/>
    <m/>
    <n v="0"/>
    <n v="973.5"/>
    <s v="N"/>
    <s v="N"/>
    <s v="11.7100.111.414301.1000.100007.0007.000000.000000.00000000"/>
    <n v="1126100446"/>
    <s v="HO_INTER-STATE_OTH_NON_REC_18%"/>
    <s v="INPUT_TDS_194C"/>
    <m/>
    <x v="0"/>
    <x v="0"/>
    <s v="Yes"/>
    <s v="07"/>
    <s v="Delhi"/>
    <s v="06AAGCD4246E1ZXDFSI2600000751"/>
    <n v="148.5"/>
    <n v="36494.74"/>
    <n v="-36346"/>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447"/>
    <n v="1447"/>
    <s v="GST_India"/>
    <s v="MF2707I000063444"/>
    <d v="2026-04-03T00:00:00.000"/>
    <s v="MISCELLENS"/>
    <n v="998413"/>
    <s v="AIRTEL MOBILE BILLS FOR THE MONTH OF MAR 2026"/>
    <m/>
    <m/>
    <n v="1447"/>
    <s v="Normal"/>
    <n v="18"/>
    <n v="130.23"/>
    <n v="130.23"/>
    <n v="0"/>
    <n v="0"/>
    <n v="0"/>
    <n v="0"/>
    <n v="0"/>
    <n v="0"/>
    <n v="0"/>
    <m/>
    <m/>
    <n v="0"/>
    <n v="1707.46"/>
    <s v="Y"/>
    <s v="N"/>
    <s v="11.7100.111.420803.1000.000000.0007.000000.000000.00000000"/>
    <n v="1126100078"/>
    <s v="HO_INTRA-STATE_OTH_REC_18%"/>
    <s v="INPUT_SERVICE"/>
    <m/>
    <x v="1"/>
    <x v="0"/>
    <s v="Yes"/>
    <s v="07"/>
    <s v="Delhi"/>
    <s v="07AAACB2894G1ZPMF2707I000063444"/>
    <n v="260.46"/>
    <n v="8534.42"/>
    <n v="-8274"/>
    <s v="Matched"/>
    <n v="9156749"/>
    <s v="Fwd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3057"/>
    <n v="3057"/>
    <s v="GST_India"/>
    <s v="MF2707I000063444"/>
    <d v="2026-04-03T00:00:00.000"/>
    <s v="MISCELLENS"/>
    <n v="998413"/>
    <s v="AIRTEL MOBILE BILLS FOR THE MONTH OF MAR 2026"/>
    <m/>
    <m/>
    <n v="3057"/>
    <s v="Normal"/>
    <n v="18"/>
    <n v="275.13"/>
    <n v="275.13"/>
    <n v="0"/>
    <n v="0"/>
    <n v="0"/>
    <n v="0"/>
    <n v="0"/>
    <n v="0"/>
    <n v="0"/>
    <m/>
    <m/>
    <n v="0"/>
    <n v="3607.26"/>
    <s v="Y"/>
    <s v="N"/>
    <s v="11.7100.111.420803.1000.000000.0007.000000.000000.00000000"/>
    <n v="1126100078"/>
    <s v="HO_INTRA-STATE_OTH_REC_18%"/>
    <s v="INPUT_SERVICE"/>
    <m/>
    <x v="1"/>
    <x v="0"/>
    <s v="Yes"/>
    <s v="07"/>
    <s v="Delhi"/>
    <s v="07AAACB2894G1ZPMF2707I000063444"/>
    <n v="550.26"/>
    <n v="8534.42"/>
    <n v="-7984"/>
    <s v="Matched"/>
    <n v="9156749"/>
    <s v="Fwd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718"/>
    <n v="1718"/>
    <s v="GST_India"/>
    <s v="MF2707I000063444"/>
    <d v="2026-04-03T00:00:00.000"/>
    <s v="MISCELLENS"/>
    <n v="998413"/>
    <s v="AIRTEL MOBILE BILLS FOR THE MONTH OF MAR 2026"/>
    <m/>
    <m/>
    <n v="1718"/>
    <s v="Normal"/>
    <n v="18"/>
    <n v="154.62"/>
    <n v="154.62"/>
    <n v="0"/>
    <n v="0"/>
    <n v="0"/>
    <n v="0"/>
    <n v="0"/>
    <n v="0"/>
    <n v="0"/>
    <m/>
    <m/>
    <n v="0"/>
    <n v="2027.24"/>
    <s v="Y"/>
    <s v="N"/>
    <s v="11.7100.111.420803.1000.000000.0007.000000.000000.00000000"/>
    <n v="1126100078"/>
    <s v="HO_INTRA-STATE_OTH_REC_18%"/>
    <s v="INPUT_SERVICE"/>
    <m/>
    <x v="1"/>
    <x v="0"/>
    <s v="Yes"/>
    <s v="07"/>
    <s v="Delhi"/>
    <s v="07AAACB2894G1ZPMF2707I000063444"/>
    <n v="309.24"/>
    <n v="8534.42"/>
    <n v="-8225"/>
    <s v="Matched"/>
    <n v="9156749"/>
    <s v="Fwd Rec"/>
  </r>
  <r>
    <s v="Payable Invoice"/>
    <s v="AP_INVOICE "/>
    <n v="107"/>
    <s v="Godfrey_Phillips_India_Limited_HO"/>
    <s v="GPIL_HO_New_Delhi(Services)"/>
    <m/>
    <s v="HO New Friends Colony"/>
    <s v="07AABCG4768K1Z9"/>
    <s v="AP_INVOICES"/>
    <s v="STANDARD CREATED"/>
    <s v="Manual Invoice Entry"/>
    <s v="STANDARD"/>
    <d v="2026-04-28T00:00:00.000"/>
    <s v="TXA26-00607"/>
    <n v="9175014"/>
    <d v="2026-04-17T00:00:00.000"/>
    <s v="Supplier"/>
    <n v="15979"/>
    <s v="SPIRITED AUTO CARS (I) LTD."/>
    <s v="NEW DELHI"/>
    <s v="07AANCS0651B1ZM"/>
    <s v="LTR"/>
    <m/>
    <n v="46.94"/>
    <n v="33"/>
    <n v="1549.02"/>
    <s v="GST_India"/>
    <s v="TXA26-00607"/>
    <d v="2026-04-17T00:00:00.000"/>
    <s v="BUDMINTIND"/>
    <n v="27101972"/>
    <s v="TMO (0W-16) 3.3 LTR"/>
    <m/>
    <m/>
    <n v="1549.02"/>
    <s v="Normal"/>
    <n v="18"/>
    <n v="139.41"/>
    <n v="139.41"/>
    <n v="0"/>
    <n v="0"/>
    <n v="0"/>
    <n v="0"/>
    <n v="0"/>
    <n v="0"/>
    <n v="0"/>
    <m/>
    <m/>
    <n v="0"/>
    <n v="1827.84"/>
    <s v="N"/>
    <s v="N"/>
    <s v="11.7100.111.414301.1009.110908.0007.000000.000000.00000000"/>
    <n v="1126100447"/>
    <s v="HO_INTRA-STATE_OTH_NON_REC_18%"/>
    <s v="INPUT_TDS_194C"/>
    <m/>
    <x v="0"/>
    <x v="0"/>
    <s v="Yes"/>
    <s v="07"/>
    <s v="Delhi"/>
    <s v="07AANCS0651B1ZMTXA26-00607"/>
    <n v="278.82"/>
    <n v="2435.38"/>
    <n v="-2157"/>
    <s v="Matched"/>
    <n v="9175014"/>
    <s v="Fwd Non Rec"/>
  </r>
  <r>
    <s v="Payable Invoice"/>
    <s v="AP_INVOICE "/>
    <n v="107"/>
    <s v="Godfrey_Phillips_India_Limited_HO"/>
    <s v="GPIL_HO_New_Delhi(Services)"/>
    <m/>
    <m/>
    <s v="07AABCG4768K1Z9"/>
    <s v="AP_INVOICES"/>
    <s v="STANDARD VALIDATED TAX"/>
    <s v="CONVERSION"/>
    <s v="STANDARD"/>
    <d v="2026-04-21T00:00:00.000"/>
    <s v="HF2707I000022064"/>
    <n v="9164389"/>
    <d v="2026-04-03T00:00:00.000"/>
    <s v="Supplier"/>
    <n v="6262"/>
    <s v="BHARTI AIRTEL LIMITED"/>
    <s v="HO"/>
    <s v="07AAACB2894G1ZP"/>
    <s v="NOS"/>
    <m/>
    <n v="1"/>
    <n v="1499"/>
    <n v="1499"/>
    <s v="GST_India"/>
    <s v="HF2707I000022064"/>
    <d v="2026-04-03T00:00:00.000"/>
    <s v="MISCELLENS"/>
    <n v="998412"/>
    <s v="GPI 49;CC; NFC AIRTEL - LANDLINE TELEPHONE EXPENSES FOR THE MONTH OF March-2026 -  - ADMN"/>
    <m/>
    <m/>
    <n v="1499"/>
    <s v="Normal"/>
    <n v="18"/>
    <n v="134.91"/>
    <n v="134.91"/>
    <n v="0"/>
    <n v="0"/>
    <n v="0"/>
    <n v="0"/>
    <n v="0"/>
    <n v="0"/>
    <n v="0"/>
    <m/>
    <m/>
    <n v="0"/>
    <n v="1768.82"/>
    <s v="Y"/>
    <s v="N"/>
    <s v="11.7100.111.420801.1010.000000.0007.000000.000000.00000000"/>
    <n v="1126100285"/>
    <s v="HO_INTRA-STATE_OTH_REC_18%"/>
    <s v="INPUT_SERVICE"/>
    <m/>
    <x v="1"/>
    <x v="0"/>
    <s v="Yes"/>
    <s v="07"/>
    <s v="Delhi"/>
    <s v="07AAACB2894G1ZPHF2707I000022064"/>
    <n v="269.82"/>
    <n v="269.82"/>
    <n v="0"/>
    <s v="Matched"/>
    <n v="9164389"/>
    <s v="Fwd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20000"/>
    <n v="1"/>
    <n v="20000"/>
    <s v="GST_India"/>
    <s v="GPI-HOC250400365"/>
    <d v="2025-11-29T00:00:00.000"/>
    <m/>
    <n v="998213"/>
    <s v="for ineffective appearances of Mr. Sumit Wadhwa  Ms. Mugdha Palsule and Mr. Ayush Samaddar on your behalf before the Honble High Court of Delhi on November 06 November 21  2025"/>
    <m/>
    <m/>
    <n v="20000"/>
    <s v="Normal"/>
    <n v="18"/>
    <n v="1800"/>
    <n v="1800"/>
    <n v="0"/>
    <n v="0"/>
    <n v="0"/>
    <n v="0"/>
    <n v="0"/>
    <n v="0"/>
    <n v="0"/>
    <m/>
    <m/>
    <n v="0"/>
    <n v="23600"/>
    <s v="Y"/>
    <s v="Y"/>
    <s v="11.7100.111.234010.0000.000000.0007.000000.000000.00000000"/>
    <n v="1126100459"/>
    <s v="HO_REV_CHARGE_REC_18%"/>
    <s v="INPUT_SERVICE"/>
    <m/>
    <x v="2"/>
    <x v="1"/>
    <s v="No"/>
    <s v="07"/>
    <s v="Delhi"/>
    <s v="GPI-HOC250400365"/>
    <n v="3600"/>
    <e v="#N/A"/>
    <e v="#N/A"/>
    <s v="RCM"/>
    <n v="9177454"/>
    <s v="RCM Rec"/>
  </r>
  <r>
    <s v="Payable Invoice"/>
    <s v="AP_INVOICE "/>
    <n v="107"/>
    <s v="Godfrey_Phillips_India_Limited_HO"/>
    <s v="GPIL_HO_New_Delhi(Services)"/>
    <m/>
    <m/>
    <s v="07AABCG4768K1Z9"/>
    <s v="AP_INVOICES"/>
    <s v="STANDARD VALIDATED TAX"/>
    <s v="IA"/>
    <s v="STANDARD"/>
    <d v="2026-04-14T00:00:00.000"/>
    <s v="DLS2627000000348"/>
    <n v="9155616"/>
    <d v="2026-04-02T00:00:00.000"/>
    <s v="Supplier"/>
    <n v="2770"/>
    <s v="CANON INDIA PVT. LTD."/>
    <s v="OKHLA"/>
    <s v="07AAACC4175D1Z0"/>
    <s v="NOS"/>
    <m/>
    <n v="1"/>
    <n v="2881.77"/>
    <n v="2881.77"/>
    <s v="GST_India"/>
    <s v="DLS2627000000348"/>
    <d v="2026-04-02T00:00:00.000"/>
    <s v="MISCELLENS"/>
    <n v="84439952"/>
    <s v="Supply or TonerInk and Spares along with Support Services"/>
    <m/>
    <m/>
    <n v="2881.77"/>
    <s v="Normal"/>
    <n v="18"/>
    <n v="259.36"/>
    <n v="259.36"/>
    <n v="0"/>
    <n v="0"/>
    <n v="0"/>
    <n v="0"/>
    <n v="0"/>
    <n v="0"/>
    <n v="0"/>
    <m/>
    <m/>
    <n v="0"/>
    <n v="3400.49"/>
    <s v="Y"/>
    <s v="N"/>
    <s v="11.7100.111.234010.0000.000000.0007.000000.000000.00000000"/>
    <n v="1126100066"/>
    <s v="HO_INTRA-STATE_OTH_REC_18%"/>
    <s v="INPUT_SERVICE"/>
    <m/>
    <x v="1"/>
    <x v="0"/>
    <s v="Yes"/>
    <s v="07"/>
    <s v="Delhi"/>
    <s v="07AAACC4175D1Z0DLS2627000000348"/>
    <n v="518.72"/>
    <n v="518.72"/>
    <n v="0"/>
    <s v="Matched"/>
    <n v="9155616"/>
    <s v="Fwd Rec"/>
  </r>
  <r>
    <s v="Payable Invoice"/>
    <s v="AP_INVOICE "/>
    <n v="107"/>
    <s v="Godfrey_Phillips_India_Limited_HO"/>
    <s v="GPIL_HO_New_Delhi(Services)"/>
    <m/>
    <m/>
    <s v="07AABCG4768K1Z9"/>
    <s v="AP_INVOICES"/>
    <s v="STANDARD VALIDATED TAX"/>
    <s v="Manual Invoice Entry"/>
    <s v="STANDARD"/>
    <d v="2026-04-14T00:00:00.000"/>
    <s v="RENT-APR26"/>
    <n v="9151218"/>
    <d v="2026-04-01T00:00:00.000"/>
    <s v="Supplier"/>
    <n v="38155"/>
    <s v="SHASHI ANAND"/>
    <s v="BHILAI-OFF"/>
    <m/>
    <m/>
    <m/>
    <n v="0"/>
    <n v="0"/>
    <n v="69445"/>
    <s v="GST_India"/>
    <s v="GPI-HOC260400002"/>
    <d v="2026-04-01T00:00:00.000"/>
    <m/>
    <n v="997300"/>
    <s v="BHILAI GUEAST HOUSE RENT APRIL 2026"/>
    <m/>
    <m/>
    <n v="69445"/>
    <s v="Normal"/>
    <n v="18"/>
    <n v="0"/>
    <n v="0"/>
    <n v="12500.1"/>
    <n v="0"/>
    <n v="0"/>
    <n v="0"/>
    <n v="0"/>
    <n v="0"/>
    <n v="0"/>
    <m/>
    <m/>
    <n v="0"/>
    <n v="81945.1"/>
    <s v="N"/>
    <s v="Y"/>
    <s v="11.7100.111.414801.1032.000000.0007.000000.000000.00000000"/>
    <n v="1126100055"/>
    <s v="HO_INTER-STATE_REV_NON_REC_18%"/>
    <s v="INPUT_SERVICE"/>
    <m/>
    <x v="3"/>
    <x v="1"/>
    <s v="No"/>
    <s v="07"/>
    <s v="Delhi"/>
    <s v="GPI-HOC260400002"/>
    <n v="12500.1"/>
    <e v="#N/A"/>
    <e v="#N/A"/>
    <s v="RCM"/>
    <n v="9151218"/>
    <s v="RCM Non Rec"/>
  </r>
  <r>
    <s v="Payable Invoice"/>
    <s v="AP_INVOICE "/>
    <n v="107"/>
    <s v="Godfrey_Phillips_India_Limited_HO"/>
    <s v="GPIL_HO_New_Delhi(Services)"/>
    <m/>
    <m/>
    <s v="07AABCG4768K1Z9"/>
    <s v="AP_INVOICES"/>
    <s v="STANDARD VALIDATED TAX"/>
    <s v="IA"/>
    <s v="STANDARD"/>
    <d v="2026-04-21T00:00:00.000"/>
    <s v="BDLI000509/26-27"/>
    <n v="9166991"/>
    <d v="2026-04-13T00:00:00.000"/>
    <s v="Supplier"/>
    <n v="35005"/>
    <s v="SHYAM SPECTRA PVT. LTD."/>
    <s v="NEW DELHI"/>
    <s v="07AADCC3694E1ZP"/>
    <s v="NOS"/>
    <m/>
    <n v="4"/>
    <n v="5625"/>
    <n v="22500"/>
    <s v="GST_India"/>
    <s v="BDLI000509/26-27"/>
    <d v="2026-04-13T00:00:00.000"/>
    <s v="BUDITMINTIND"/>
    <n v="998422"/>
    <s v="ARC charges for President house (A1) 15 Mb Internet link Circuit Id 9053500 from 01-Apr-26 to 30-Jun-26"/>
    <m/>
    <m/>
    <n v="22500"/>
    <s v="Normal"/>
    <n v="18"/>
    <n v="2025"/>
    <n v="2025"/>
    <n v="0"/>
    <n v="0"/>
    <n v="0"/>
    <n v="0"/>
    <n v="0"/>
    <n v="0"/>
    <n v="0"/>
    <m/>
    <m/>
    <n v="0"/>
    <n v="26550"/>
    <s v="Y"/>
    <s v="N"/>
    <s v="11.7100.111.421415.1013.000000.0007.000000.000000.00000000"/>
    <n v="1126100298"/>
    <s v="HO_INTRA-STATE_OTH_REC_18%"/>
    <s v="INPUT_SERVICE"/>
    <m/>
    <x v="1"/>
    <x v="0"/>
    <s v="Yes"/>
    <s v="07"/>
    <s v="Delhi"/>
    <s v="07AADCC3694E1ZPBDLI000509/26-27"/>
    <n v="4050"/>
    <n v="4050"/>
    <n v="0"/>
    <s v="Matched"/>
    <n v="9166991"/>
    <s v="Fwd Rec"/>
  </r>
  <r>
    <s v="Payable Invoice"/>
    <s v="AP_INVOICE "/>
    <n v="107"/>
    <s v="Godfrey_Phillips_India_Limited_HO"/>
    <s v="GPIL_HO_New_Delhi(Services)"/>
    <m/>
    <m/>
    <s v="07AABCG4768K1Z9"/>
    <s v="AP_INVOICES"/>
    <s v="STANDARD VALIDATED TAX"/>
    <s v="IA"/>
    <s v="STANDARD"/>
    <d v="2026-04-14T00:00:00.000"/>
    <s v="DLS2627000000641"/>
    <n v="9155619"/>
    <d v="2026-04-02T00:00:00.000"/>
    <s v="Supplier"/>
    <n v="2770"/>
    <s v="CANON INDIA PVT. LTD."/>
    <s v="OKHLA"/>
    <s v="07AAACC4175D1Z0"/>
    <s v="NOS"/>
    <m/>
    <n v="1"/>
    <n v="155"/>
    <n v="155"/>
    <s v="GST_India"/>
    <s v="DLS2627000000641"/>
    <d v="2026-04-02T00:00:00.000"/>
    <s v="MISCELLENS"/>
    <n v="998712"/>
    <s v="Supply of TonerInK Spares along Support Services"/>
    <m/>
    <m/>
    <n v="155"/>
    <s v="Normal"/>
    <n v="18"/>
    <n v="13.95"/>
    <n v="13.95"/>
    <n v="0"/>
    <n v="0"/>
    <n v="0"/>
    <n v="0"/>
    <n v="0"/>
    <n v="0"/>
    <n v="0"/>
    <m/>
    <m/>
    <n v="0"/>
    <n v="182.9"/>
    <s v="Y"/>
    <s v="N"/>
    <s v="11.7100.111.234010.0000.000000.0007.000000.000000.00000000"/>
    <n v="1126100069"/>
    <s v="HO_INTRA-STATE_OTH_REC_18%"/>
    <s v="INPUT_SERVICE"/>
    <m/>
    <x v="1"/>
    <x v="0"/>
    <s v="Yes"/>
    <s v="07"/>
    <s v="Delhi"/>
    <s v="07AAACC4175D1Z0DLS2627000000641"/>
    <n v="27.9"/>
    <n v="5341.12"/>
    <n v="-5313"/>
    <s v="Matched"/>
    <n v="9155619"/>
    <s v="Fwd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30"/>
    <n v="8250"/>
    <s v="GST_India"/>
    <s v="DFSI2600000751"/>
    <d v="2026-04-17T00:00:00.000"/>
    <s v="BUDMINTIND"/>
    <n v="996200"/>
    <s v="KLIMA FRESH"/>
    <m/>
    <m/>
    <n v="8250"/>
    <s v="Normal"/>
    <n v="18"/>
    <n v="0"/>
    <n v="0"/>
    <n v="1485"/>
    <n v="0"/>
    <n v="0"/>
    <n v="0"/>
    <n v="0"/>
    <n v="0"/>
    <n v="0"/>
    <m/>
    <m/>
    <n v="0"/>
    <n v="9735"/>
    <s v="N"/>
    <s v="N"/>
    <s v="11.7100.111.414301.1000.100007.0007.000000.000000.00000000"/>
    <n v="1126100446"/>
    <s v="HO_INTER-STATE_OTH_NON_REC_18%"/>
    <s v="INPUT_TDS_194C"/>
    <m/>
    <x v="0"/>
    <x v="0"/>
    <s v="Yes"/>
    <s v="07"/>
    <s v="Delhi"/>
    <s v="06AAGCD4246E1ZXDFSI2600000751"/>
    <n v="1485"/>
    <n v="36494.74"/>
    <n v="-35010"/>
    <s v="Matched"/>
    <n v="9174963"/>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20"/>
    <n v="2"/>
    <n v="440"/>
    <s v="GST_India"/>
    <s v="DFSI2600000751"/>
    <d v="2026-04-17T00:00:00.000"/>
    <s v="BUDMINTIND"/>
    <n v="998729"/>
    <s v="MICROFILTER SERVICE"/>
    <m/>
    <m/>
    <n v="440"/>
    <s v="Normal"/>
    <n v="18"/>
    <n v="0"/>
    <n v="0"/>
    <n v="79.2"/>
    <n v="0"/>
    <n v="0"/>
    <n v="0"/>
    <n v="0"/>
    <n v="0"/>
    <n v="0"/>
    <m/>
    <m/>
    <n v="0"/>
    <n v="519.2"/>
    <s v="N"/>
    <s v="N"/>
    <s v="11.7100.111.414301.1000.100007.0007.000000.000000.00000000"/>
    <n v="1126100446"/>
    <s v="HO_INTER-STATE_OTH_NON_REC_18%"/>
    <s v="INPUT_TDS_194C"/>
    <m/>
    <x v="0"/>
    <x v="0"/>
    <s v="Yes"/>
    <s v="07"/>
    <s v="Delhi"/>
    <s v="06AAGCD4246E1ZXDFSI2600000751"/>
    <n v="79.2"/>
    <n v="36494.74"/>
    <n v="-36416"/>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16313"/>
    <n v="16313"/>
    <s v="GST_India"/>
    <s v="MF2707I000063444"/>
    <d v="2026-04-03T00:00:00.000"/>
    <s v="MISCELLENS"/>
    <n v="998413"/>
    <s v="AIRTEL MOBILE BILLS FOR THE MONTH OF MAR 2026"/>
    <m/>
    <m/>
    <n v="16313"/>
    <s v="Normal"/>
    <n v="18"/>
    <n v="1468.17"/>
    <n v="1468.17"/>
    <n v="0"/>
    <n v="0"/>
    <n v="0"/>
    <n v="0"/>
    <n v="0"/>
    <n v="0"/>
    <n v="0"/>
    <m/>
    <m/>
    <n v="0"/>
    <n v="19249.34"/>
    <s v="Y"/>
    <s v="N"/>
    <s v="11.7100.111.420803.1000.000000.0007.000000.000000.00000000"/>
    <n v="1126100078"/>
    <s v="HO_INTRA-STATE_OTH_REC_18%"/>
    <s v="INPUT_SERVICE"/>
    <m/>
    <x v="1"/>
    <x v="0"/>
    <s v="Yes"/>
    <s v="07"/>
    <s v="Delhi"/>
    <s v="07AAACB2894G1ZPMF2707I000063444"/>
    <n v="2936.34"/>
    <n v="8534.42"/>
    <n v="-5598"/>
    <s v="Matched"/>
    <n v="9156749"/>
    <s v="Fwd Rec"/>
  </r>
  <r>
    <s v="Payable Invoice"/>
    <s v="AP_INVOICE "/>
    <n v="107"/>
    <s v="Godfrey_Phillips_India_Limited_HO"/>
    <s v="GPIL_HO_New_Delhi(Services)"/>
    <m/>
    <m/>
    <s v="07AABCG4768K1Z9"/>
    <s v="AP_INVOICES"/>
    <s v="STANDARD VALIDATED TAX"/>
    <s v="CONVERSION"/>
    <s v="STANDARD"/>
    <d v="2026-04-21T00:00:00.000"/>
    <s v="HF2707I000131905"/>
    <n v="9164385"/>
    <d v="2026-04-03T00:00:00.000"/>
    <s v="Supplier"/>
    <n v="6262"/>
    <s v="BHARTI AIRTEL LIMITED"/>
    <s v="HO"/>
    <s v="07AAACB2894G1ZP"/>
    <s v="NOS"/>
    <m/>
    <n v="1"/>
    <n v="999"/>
    <n v="999"/>
    <s v="GST_India"/>
    <s v="HF2707I000131905"/>
    <d v="2026-04-03T00:00:00.000"/>
    <s v="MISCELLENS"/>
    <n v="998412"/>
    <s v="GPI JASOLA OFFICE AIRTEL - LANDLINE TELEPHONE EXPENSES FOR THE MONTH OF March-2026 -  - ADMN"/>
    <m/>
    <m/>
    <n v="999"/>
    <s v="Normal"/>
    <n v="18"/>
    <n v="89.91"/>
    <n v="89.91"/>
    <n v="0"/>
    <n v="0"/>
    <n v="0"/>
    <n v="0"/>
    <n v="0"/>
    <n v="0"/>
    <n v="0"/>
    <m/>
    <m/>
    <n v="0"/>
    <n v="1178.82"/>
    <s v="Y"/>
    <s v="N"/>
    <s v="11.7100.111.420801.1010.000000.0007.000000.000000.00000000"/>
    <n v="1126100281"/>
    <s v="HO_INTRA-STATE_OTH_REC_18%"/>
    <s v="INPUT_SERVICE"/>
    <m/>
    <x v="1"/>
    <x v="0"/>
    <s v="Yes"/>
    <s v="07"/>
    <s v="Delhi"/>
    <s v="07AAACB2894G1ZPHF2707I000131905"/>
    <n v="179.82"/>
    <n v="179.82"/>
    <n v="0"/>
    <s v="Matched"/>
    <n v="9164385"/>
    <s v="Fwd Rec"/>
  </r>
  <r>
    <s v="Payable Invoice"/>
    <s v="AP_INVOICE "/>
    <n v="107"/>
    <s v="Godfrey_Phillips_India_Limited_HO"/>
    <s v="GPIL_HO_New_Delhi(Services)"/>
    <m/>
    <m/>
    <s v="07AABCG4768K1Z9"/>
    <s v="AP_INVOICES"/>
    <s v="STANDARD VALIDATED TAX"/>
    <s v="IA"/>
    <s v="STANDARD"/>
    <d v="2026-04-22T00:00:00.000"/>
    <s v="130/26-27"/>
    <n v="9164740"/>
    <d v="2026-04-09T00:00:00.000"/>
    <s v="Supplier"/>
    <n v="3615"/>
    <s v="NIYOGI OFFSET PVT.LTD."/>
    <s v="NEW DELHI"/>
    <s v="07AAACN0474C1ZX"/>
    <s v="NOS"/>
    <m/>
    <n v="30"/>
    <n v="32"/>
    <n v="960"/>
    <s v="GST_India"/>
    <s v="130/26-27"/>
    <d v="2026-04-09T00:00:00.000"/>
    <s v="MISCELLENS"/>
    <n v="998900"/>
    <s v="Photo (HSN 49090010 18) Photo Print A5"/>
    <m/>
    <m/>
    <n v="960"/>
    <s v="Normal"/>
    <n v="18"/>
    <n v="86.4"/>
    <n v="86.4"/>
    <n v="0"/>
    <n v="0"/>
    <n v="0"/>
    <n v="0"/>
    <n v="0"/>
    <n v="0"/>
    <n v="0"/>
    <m/>
    <m/>
    <n v="0"/>
    <n v="1132.8"/>
    <s v="N"/>
    <s v="N"/>
    <s v="11.7100.111.420602.1011.000000.0007.000000.000000.00000000"/>
    <n v="1126100334"/>
    <s v="HO_INTRA-STATE_OTH_NON_REC_18%"/>
    <s v="INPUT_SERVICE"/>
    <m/>
    <x v="0"/>
    <x v="0"/>
    <s v="Yes"/>
    <s v="07"/>
    <s v="Delhi"/>
    <s v="07AAACN0474C1ZX130/26-27"/>
    <n v="172.8"/>
    <n v="6014.7"/>
    <n v="-5842"/>
    <s v="Matched"/>
    <n v="9164740"/>
    <s v="Fwd Non Rec"/>
  </r>
  <r>
    <s v="Payable Invoice"/>
    <s v="AP_INVOICE "/>
    <n v="107"/>
    <s v="Godfrey_Phillips_India_Limited_HO"/>
    <s v="GPIL_HO_New_Delhi(Services)"/>
    <m/>
    <m/>
    <s v="07AABCG4768K1Z9"/>
    <s v="AP_INVOICES"/>
    <s v="STANDARD VALIDATED TAX"/>
    <s v="IA"/>
    <s v="STANDARD"/>
    <d v="2026-04-15T00:00:00.000"/>
    <n v="47"/>
    <n v="9157982"/>
    <d v="2026-04-01T00:00:00.000"/>
    <s v="Supplier"/>
    <n v="41223"/>
    <s v="UJJAWAL TRADEX PRIVATE LIMITED"/>
    <s v="NEW DELHI-OFF"/>
    <s v="07AABCU0270A1ZZ"/>
    <s v="NOS"/>
    <m/>
    <n v="1"/>
    <n v="1800"/>
    <n v="1800"/>
    <s v="GST_India"/>
    <n v="47"/>
    <d v="2026-04-01T00:00:00.000"/>
    <s v="MISCELLENS"/>
    <n v="997329"/>
    <s v="Sale service SOLUTION 997329 From  01.04.2026 to 30.04.2026 Maint.  Repair Charges for Machine QTY - 2 Amt  900TAX 2"/>
    <m/>
    <m/>
    <n v="1800"/>
    <s v="Normal"/>
    <n v="18"/>
    <n v="162"/>
    <n v="162"/>
    <n v="0"/>
    <n v="0"/>
    <n v="0"/>
    <n v="0"/>
    <n v="0"/>
    <n v="0"/>
    <n v="0"/>
    <m/>
    <m/>
    <n v="0"/>
    <n v="2124"/>
    <s v="N"/>
    <s v="N"/>
    <s v="11.7100.111.412401.1010.000000.0007.000000.000000.00000000"/>
    <n v="1126100100"/>
    <s v="HO_INTRA-STATE_OTH_NON_REC_18%"/>
    <s v="INPUT_SERVICE"/>
    <m/>
    <x v="0"/>
    <x v="0"/>
    <s v="Yes"/>
    <s v="07"/>
    <s v="Delhi"/>
    <s v="07AABCU0270A1ZZ47"/>
    <n v="324"/>
    <n v="324"/>
    <n v="0"/>
    <s v="Matched"/>
    <n v="9157982"/>
    <s v="Fwd Non Rec"/>
  </r>
  <r>
    <s v="Payable Invoice"/>
    <s v="AP_INVOICE "/>
    <n v="107"/>
    <s v="Godfrey_Phillips_India_Limited_HO"/>
    <s v="GPIL_HO_New_Delhi(Services)"/>
    <m/>
    <m/>
    <s v="07AABCG4768K1Z9"/>
    <s v="AP_INVOICES"/>
    <s v="STANDARD VALIDATED TAX"/>
    <s v="IA"/>
    <s v="STANDARD"/>
    <d v="2026-04-21T00:00:00.000"/>
    <s v="737/2025-2026"/>
    <n v="9164021"/>
    <d v="2026-03-27T00:00:00.000"/>
    <s v="Supplier"/>
    <n v="45456"/>
    <s v="SAGA LEGAL"/>
    <s v="HEAD OFFICE"/>
    <m/>
    <m/>
    <m/>
    <n v="25000"/>
    <n v="1"/>
    <n v="25000"/>
    <s v="GST_India"/>
    <s v="737/2025-2026"/>
    <d v="2026-03-27T00:00:00.000"/>
    <m/>
    <n v="998216"/>
    <s v="Professional fees towards drafting and filing of application condonation of delay in filing the restoration application."/>
    <m/>
    <m/>
    <n v="25000"/>
    <s v="Normal"/>
    <n v="18"/>
    <n v="2250"/>
    <n v="2250"/>
    <n v="0"/>
    <n v="0"/>
    <n v="0"/>
    <n v="0"/>
    <n v="0"/>
    <n v="0"/>
    <n v="0"/>
    <m/>
    <m/>
    <n v="0"/>
    <n v="29500"/>
    <s v="Y"/>
    <s v="Y"/>
    <s v="11.7100.111.234010.0000.000000.0007.000000.000000.00000000"/>
    <n v="1125113944"/>
    <s v="HO_REV_CHARGE_REC_18%"/>
    <s v="INPUT_SERVICE"/>
    <m/>
    <x v="2"/>
    <x v="1"/>
    <s v="No"/>
    <s v="07"/>
    <s v="Delhi"/>
    <s v="737/2025-2026"/>
    <n v="4500"/>
    <e v="#N/A"/>
    <e v="#N/A"/>
    <s v="RCM"/>
    <n v="9164021"/>
    <s v="RCM Rec"/>
  </r>
  <r>
    <s v="Payable Invoice"/>
    <s v="AP_INVOICE "/>
    <n v="107"/>
    <s v="Godfrey_Phillips_India_Limited_HO"/>
    <s v="GPIL_HO_New_Delhi(Services)"/>
    <m/>
    <m/>
    <s v="07AABCG4768K1Z9"/>
    <s v="AP_INVOICES"/>
    <s v="STANDARD VALIDATED TAX"/>
    <s v="IA"/>
    <s v="STANDARD"/>
    <d v="2026-04-14T00:00:00.000"/>
    <s v="DLS2627000000644"/>
    <n v="9155608"/>
    <d v="2026-04-02T00:00:00.000"/>
    <s v="Supplier"/>
    <n v="2770"/>
    <s v="CANON INDIA PVT. LTD."/>
    <s v="OKHLA"/>
    <s v="07AAACC4175D1Z0"/>
    <s v="NOS"/>
    <m/>
    <n v="1"/>
    <n v="2.4"/>
    <n v="2.4"/>
    <s v="GST_India"/>
    <s v="DLS2627000000644"/>
    <d v="2026-04-02T00:00:00.000"/>
    <s v="MISCELLENS"/>
    <n v="84439952"/>
    <s v="Supply at TonerFmk Spares along Support Services"/>
    <m/>
    <m/>
    <n v="2.4"/>
    <s v="Normal"/>
    <n v="18"/>
    <n v="0.22"/>
    <n v="0.22"/>
    <n v="0"/>
    <n v="0"/>
    <n v="0"/>
    <n v="0"/>
    <n v="0"/>
    <n v="0"/>
    <n v="0"/>
    <m/>
    <m/>
    <n v="0"/>
    <n v="2.84"/>
    <s v="Y"/>
    <s v="N"/>
    <s v="11.7100.111.234010.0000.000000.0007.000000.000000.00000000"/>
    <n v="1126100058"/>
    <s v="HO_INTRA-STATE_OTH_REC_18%"/>
    <s v="INPUT_SERVICE"/>
    <m/>
    <x v="1"/>
    <x v="0"/>
    <s v="Yes"/>
    <s v="07"/>
    <s v="Delhi"/>
    <s v="07AAACC4175D1Z0DLS2627000000644"/>
    <n v="0.44"/>
    <n v="1873.72"/>
    <n v="-1873"/>
    <s v="Matched"/>
    <n v="9155608"/>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54"/>
    <n v="14850"/>
    <s v="GST_India"/>
    <s v="DFSI2600000412"/>
    <d v="2026-04-09T00:00:00.000"/>
    <s v="BUDMINTIND"/>
    <n v="998729"/>
    <s v="JOB TIME WITHOUT ALLOWANCE FOR MAINTENANCE"/>
    <m/>
    <m/>
    <n v="14850"/>
    <s v="Normal"/>
    <n v="18"/>
    <n v="0"/>
    <n v="0"/>
    <n v="2673"/>
    <n v="0"/>
    <n v="0"/>
    <n v="0"/>
    <n v="0"/>
    <n v="0"/>
    <n v="0"/>
    <m/>
    <m/>
    <n v="0"/>
    <n v="17523"/>
    <s v="N"/>
    <s v="N"/>
    <s v="11.7100.111.414301.1011.111636.0007.000000.000000.00000000"/>
    <n v="1126100105"/>
    <s v="HO_INTER-STATE_OTH_NON_REC_18%"/>
    <s v="INPUT_TDS_194C"/>
    <m/>
    <x v="0"/>
    <x v="0"/>
    <s v="Yes"/>
    <s v="07"/>
    <s v="Delhi"/>
    <s v="06AAGCD4246E1ZXDFSI2600000412"/>
    <n v="2673"/>
    <n v="38182.88"/>
    <n v="-35510"/>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20"/>
    <n v="2"/>
    <n v="440"/>
    <s v="GST_India"/>
    <s v="DFSI2600000751"/>
    <d v="2026-04-17T00:00:00.000"/>
    <s v="BUDMINTIND"/>
    <n v="998729"/>
    <s v="SERVICE STANDARD SCOPE"/>
    <m/>
    <m/>
    <n v="440"/>
    <s v="Normal"/>
    <n v="18"/>
    <n v="0"/>
    <n v="0"/>
    <n v="79.2"/>
    <n v="0"/>
    <n v="0"/>
    <n v="0"/>
    <n v="0"/>
    <n v="0"/>
    <n v="0"/>
    <m/>
    <m/>
    <n v="0"/>
    <n v="519.2"/>
    <s v="N"/>
    <s v="N"/>
    <s v="11.7100.111.414301.1000.100007.0007.000000.000000.00000000"/>
    <n v="1126100446"/>
    <s v="HO_INTER-STATE_OTH_NON_REC_18%"/>
    <s v="INPUT_TDS_194C"/>
    <m/>
    <x v="0"/>
    <x v="0"/>
    <s v="Yes"/>
    <s v="07"/>
    <s v="Delhi"/>
    <s v="06AAGCD4246E1ZXDFSI2600000751"/>
    <n v="79.2"/>
    <n v="36494.74"/>
    <n v="-36416"/>
    <s v="Matched"/>
    <n v="9174963"/>
    <s v="Fwd Non Rec"/>
  </r>
  <r>
    <s v="Payable Invoice"/>
    <s v="AP_INVOICE "/>
    <n v="107"/>
    <s v="Godfrey_Phillips_India_Limited_HO"/>
    <s v="GPIL_HO_New_Delhi(Services)"/>
    <m/>
    <m/>
    <s v="07AABCG4768K1Z9"/>
    <s v="AP_INVOICES"/>
    <s v="STANDARD VALIDATED TAX"/>
    <s v="IA"/>
    <s v="STANDARD"/>
    <d v="2026-04-15T00:00:00.000"/>
    <n v="3"/>
    <n v="9156871"/>
    <d v="2026-04-01T00:00:00.000"/>
    <s v="Supplier"/>
    <n v="43295"/>
    <s v="STELLAR ENTERPRISES"/>
    <s v="DELHI-OFF"/>
    <s v="07AFGFS5626D1Z0"/>
    <s v="NOS"/>
    <m/>
    <n v="980"/>
    <n v="24"/>
    <n v="23520"/>
    <s v="GST_India"/>
    <n v="3"/>
    <d v="2026-04-01T00:00:00.000"/>
    <s v="BUDMINTIND"/>
    <n v="9021030"/>
    <s v="TATA Coffee Grand"/>
    <m/>
    <m/>
    <n v="23520"/>
    <s v="Normal"/>
    <n v="5"/>
    <n v="588"/>
    <n v="588"/>
    <n v="0"/>
    <n v="0"/>
    <n v="0"/>
    <n v="0"/>
    <n v="0"/>
    <n v="0"/>
    <n v="0"/>
    <m/>
    <m/>
    <n v="0"/>
    <n v="24696"/>
    <s v="N"/>
    <s v="N"/>
    <s v="11.7100.111.412401.1010.000000.0007.000000.000000.00000000"/>
    <n v="1126100101"/>
    <s v="HO_INTRA-STATE_OTH_NON_REC_5%"/>
    <s v="INPUT"/>
    <m/>
    <x v="0"/>
    <x v="0"/>
    <s v="No"/>
    <s v="07"/>
    <s v="Delhi"/>
    <s v="07AFGFS5626D1Z03"/>
    <n v="1176"/>
    <n v="1647"/>
    <n v="-471"/>
    <s v="Matched"/>
    <n v="9156871"/>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2"/>
    <n v="3300"/>
    <s v="GST_India"/>
    <s v="DFSI2600000412"/>
    <d v="2026-04-09T00:00:00.000"/>
    <s v="BUDMINTIND"/>
    <n v="998729"/>
    <s v="ALLOY WHEEL PROTECTION"/>
    <m/>
    <m/>
    <n v="3300"/>
    <s v="Normal"/>
    <n v="18"/>
    <n v="0"/>
    <n v="0"/>
    <n v="594"/>
    <n v="0"/>
    <n v="0"/>
    <n v="0"/>
    <n v="0"/>
    <n v="0"/>
    <n v="0"/>
    <m/>
    <m/>
    <n v="0"/>
    <n v="3894"/>
    <s v="N"/>
    <s v="N"/>
    <s v="11.7100.111.414301.1011.111636.0007.000000.000000.00000000"/>
    <n v="1126100105"/>
    <s v="HO_INTER-STATE_OTH_NON_REC_18%"/>
    <s v="INPUT_TDS_194C"/>
    <m/>
    <x v="0"/>
    <x v="0"/>
    <s v="Yes"/>
    <s v="07"/>
    <s v="Delhi"/>
    <s v="06AAGCD4246E1ZXDFSI2600000412"/>
    <n v="594"/>
    <n v="38182.88"/>
    <n v="-37589"/>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30"/>
    <n v="8250"/>
    <s v="GST_India"/>
    <s v="DFSI2600000412"/>
    <d v="2026-04-09T00:00:00.000"/>
    <s v="BUDMINTIND"/>
    <n v="998729"/>
    <s v="VEHICLE CHECK FOR EXTENDED CAR"/>
    <m/>
    <m/>
    <n v="8250"/>
    <s v="Normal"/>
    <n v="18"/>
    <n v="0"/>
    <n v="0"/>
    <n v="1485"/>
    <n v="0"/>
    <n v="0"/>
    <n v="0"/>
    <n v="0"/>
    <n v="0"/>
    <n v="0"/>
    <m/>
    <m/>
    <n v="0"/>
    <n v="9735"/>
    <s v="N"/>
    <s v="N"/>
    <s v="11.7100.111.414301.1011.111636.0007.000000.000000.00000000"/>
    <n v="1126100105"/>
    <s v="HO_INTER-STATE_OTH_NON_REC_18%"/>
    <s v="INPUT_TDS_194C"/>
    <m/>
    <x v="0"/>
    <x v="0"/>
    <s v="Yes"/>
    <s v="07"/>
    <s v="Delhi"/>
    <s v="06AAGCD4246E1ZXDFSI2600000412"/>
    <n v="1485"/>
    <n v="38182.88"/>
    <n v="-36698"/>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275"/>
    <n v="24"/>
    <n v="6600"/>
    <s v="GST_India"/>
    <s v="DFSI2600000751"/>
    <d v="2026-04-17T00:00:00.000"/>
    <s v="BUDMINTIND"/>
    <n v="996200"/>
    <s v="INTERIOR BEAUTIFICATION AND ENRICHMENT"/>
    <m/>
    <m/>
    <n v="6600"/>
    <s v="Normal"/>
    <n v="18"/>
    <n v="0"/>
    <n v="0"/>
    <n v="1188"/>
    <n v="0"/>
    <n v="0"/>
    <n v="0"/>
    <n v="0"/>
    <n v="0"/>
    <n v="0"/>
    <m/>
    <m/>
    <n v="0"/>
    <n v="7788"/>
    <s v="N"/>
    <s v="N"/>
    <s v="11.7100.111.414301.1000.100007.0007.000000.000000.00000000"/>
    <n v="1126100446"/>
    <s v="HO_INTER-STATE_OTH_NON_REC_18%"/>
    <s v="INPUT_TDS_194C"/>
    <m/>
    <x v="0"/>
    <x v="0"/>
    <s v="Yes"/>
    <s v="07"/>
    <s v="Delhi"/>
    <s v="06AAGCD4246E1ZXDFSI2600000751"/>
    <n v="1188"/>
    <n v="36494.74"/>
    <n v="-35307"/>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2793"/>
    <n v="2793"/>
    <s v="GST_India"/>
    <s v="MF2707I000063444"/>
    <d v="2026-04-03T00:00:00.000"/>
    <s v="MISCELLENS"/>
    <n v="998413"/>
    <s v="AIRTEL MOBILE BILLS FOR THE MONTH OF MAR 2026"/>
    <m/>
    <m/>
    <n v="2793"/>
    <s v="Normal"/>
    <n v="18"/>
    <n v="251.37"/>
    <n v="251.37"/>
    <n v="0"/>
    <n v="0"/>
    <n v="0"/>
    <n v="0"/>
    <n v="0"/>
    <n v="0"/>
    <n v="0"/>
    <m/>
    <m/>
    <n v="0"/>
    <n v="3295.74"/>
    <s v="Y"/>
    <s v="N"/>
    <s v="11.7100.111.420803.1000.000000.0007.000000.000000.00000000"/>
    <n v="1126100078"/>
    <s v="HO_INTRA-STATE_OTH_REC_18%"/>
    <s v="INPUT_SERVICE"/>
    <m/>
    <x v="1"/>
    <x v="0"/>
    <s v="Yes"/>
    <s v="07"/>
    <s v="Delhi"/>
    <s v="07AAACB2894G1ZPMF2707I000063444"/>
    <n v="502.74"/>
    <n v="8534.42"/>
    <n v="-8032"/>
    <s v="Matched"/>
    <n v="9156749"/>
    <s v="Fwd Rec"/>
  </r>
  <r>
    <s v="Payable Invoice"/>
    <s v="AP_INVOICE "/>
    <n v="107"/>
    <s v="Godfrey_Phillips_India_Limited_HO"/>
    <s v="GPIL_HO_New_Delhi(Services)"/>
    <m/>
    <m/>
    <s v="07AABCG4768K1Z9"/>
    <s v="AP_INVOICES"/>
    <s v="STANDARD VALIDATED TAX"/>
    <s v="IA"/>
    <s v="STANDARD"/>
    <d v="2026-04-24T00:00:00.000"/>
    <n v="7026000049"/>
    <n v="9168297"/>
    <d v="2026-04-16T00:00:00.000"/>
    <s v="Supplier"/>
    <n v="14809"/>
    <s v="CARRIER AIRCONDITIONING AND REFRIGERATION LTD"/>
    <s v="NEW DELHI"/>
    <s v="07AAACC8414B1Z6"/>
    <s v="NOS"/>
    <m/>
    <n v="6500"/>
    <n v="1"/>
    <n v="6500"/>
    <s v="GST_India"/>
    <n v="7026000049"/>
    <d v="2026-04-16T00:00:00.000"/>
    <s v="BUDMINTIND"/>
    <n v="998717"/>
    <s v="Inverter -Carrier SPMS-Other"/>
    <m/>
    <m/>
    <n v="6500"/>
    <s v="Normal"/>
    <n v="18"/>
    <n v="585"/>
    <n v="585"/>
    <n v="0"/>
    <n v="0"/>
    <n v="0"/>
    <n v="0"/>
    <n v="0"/>
    <n v="0"/>
    <n v="0"/>
    <m/>
    <m/>
    <n v="0"/>
    <n v="7670"/>
    <s v="Y"/>
    <s v="N"/>
    <s v="11.7100.111.414401.1010.000000.0007.000000.000000.00000000"/>
    <n v="1126100390"/>
    <s v="HO_INTRA-STATE_OTH_REC_18%"/>
    <s v="INPUT_SERVICE"/>
    <m/>
    <x v="1"/>
    <x v="0"/>
    <s v="Yes"/>
    <s v="07"/>
    <s v="Delhi"/>
    <s v="07AAACC8414B1Z67026000049"/>
    <n v="1170"/>
    <n v="28440"/>
    <n v="-27270"/>
    <s v="Matched"/>
    <n v="9168297"/>
    <s v="Fwd Rec"/>
  </r>
  <r>
    <s v="Payable Invoice"/>
    <s v="AP_INVOICE "/>
    <n v="107"/>
    <s v="Godfrey_Phillips_India_Limited_HO"/>
    <s v="GPIL_HO_New_Delhi(Services)"/>
    <m/>
    <m/>
    <s v="07AABCG4768K1Z9"/>
    <s v="AP_INVOICES"/>
    <s v="STANDARD VALIDATED TAX"/>
    <s v="IA"/>
    <s v="STANDARD"/>
    <d v="2026-04-14T00:00:00.000"/>
    <s v="DLS2627000000641"/>
    <n v="9155619"/>
    <d v="2026-04-02T00:00:00.000"/>
    <s v="Supplier"/>
    <n v="2770"/>
    <s v="CANON INDIA PVT. LTD."/>
    <s v="OKHLA"/>
    <s v="07AAACC4175D1Z0"/>
    <s v="NOS"/>
    <m/>
    <n v="1"/>
    <n v="2837.25"/>
    <n v="2837.25"/>
    <s v="GST_India"/>
    <s v="DLS2627000000641"/>
    <d v="2026-04-02T00:00:00.000"/>
    <s v="MISCELLENS"/>
    <n v="998712"/>
    <s v="Supply of TonerInk and Spares along with Support Services"/>
    <m/>
    <m/>
    <n v="2837.25"/>
    <s v="Normal"/>
    <n v="18"/>
    <n v="255.35"/>
    <n v="255.35"/>
    <n v="0"/>
    <n v="0"/>
    <n v="0"/>
    <n v="0"/>
    <n v="0"/>
    <n v="0"/>
    <n v="0"/>
    <m/>
    <m/>
    <n v="0"/>
    <n v="3347.95"/>
    <s v="Y"/>
    <s v="N"/>
    <s v="11.7100.111.234010.0000.000000.0007.000000.000000.00000000"/>
    <n v="1126100069"/>
    <s v="HO_INTRA-STATE_OTH_REC_18%"/>
    <s v="INPUT_SERVICE"/>
    <m/>
    <x v="1"/>
    <x v="0"/>
    <s v="Yes"/>
    <s v="07"/>
    <s v="Delhi"/>
    <s v="07AAACC4175D1Z0DLS2627000000641"/>
    <n v="510.7"/>
    <n v="5341.12"/>
    <n v="-4830"/>
    <s v="Matched"/>
    <n v="9155619"/>
    <s v="Fwd Rec"/>
  </r>
  <r>
    <s v="Payable Invoice"/>
    <s v="AP_INVOICE "/>
    <n v="107"/>
    <s v="Godfrey_Phillips_India_Limited_HO"/>
    <s v="GPIL_HO_New_Delhi(Services)"/>
    <m/>
    <m/>
    <s v="07AABCG4768K1Z9"/>
    <s v="AP_INVOICES"/>
    <s v="STANDARD VALIDATED TAX"/>
    <s v="IA"/>
    <s v="STANDARD"/>
    <d v="2026-04-14T00:00:00.000"/>
    <s v="DLS2627000000643"/>
    <n v="9155607"/>
    <d v="2026-04-02T00:00:00.000"/>
    <s v="Supplier"/>
    <n v="2770"/>
    <s v="CANON INDIA PVT. LTD."/>
    <s v="OKHLA"/>
    <s v="07AAACC4175D1Z0"/>
    <s v="NOS"/>
    <m/>
    <n v="1"/>
    <n v="35"/>
    <n v="35"/>
    <s v="GST_India"/>
    <s v="DLS2627000000643"/>
    <d v="2026-04-02T00:00:00.000"/>
    <s v="MISCELLENS"/>
    <n v="84439952"/>
    <s v="Supply of TonerMK Spares along Support Services"/>
    <m/>
    <m/>
    <n v="35"/>
    <s v="Normal"/>
    <n v="18"/>
    <n v="3.15"/>
    <n v="3.15"/>
    <n v="0"/>
    <n v="0"/>
    <n v="0"/>
    <n v="0"/>
    <n v="0"/>
    <n v="0"/>
    <n v="0"/>
    <m/>
    <m/>
    <n v="0"/>
    <n v="41.3"/>
    <s v="Y"/>
    <s v="N"/>
    <s v="11.7100.111.234010.0000.000000.0007.000000.000000.00000000"/>
    <n v="1126100057"/>
    <s v="HO_INTRA-STATE_OTH_REC_18%"/>
    <s v="INPUT_SERVICE"/>
    <m/>
    <x v="1"/>
    <x v="0"/>
    <s v="Yes"/>
    <s v="07"/>
    <s v="Delhi"/>
    <s v="07AAACC4175D1Z0DLS2627000000643"/>
    <n v="6.3"/>
    <n v="2568.6"/>
    <n v="-2562"/>
    <s v="Matched"/>
    <n v="9155607"/>
    <s v="Fwd Rec"/>
  </r>
  <r>
    <s v="Payable Invoice"/>
    <s v="AP_INVOICE "/>
    <n v="107"/>
    <s v="Godfrey_Phillips_India_Limited_HO"/>
    <s v="GPIL_HO_New_Delhi(Services)"/>
    <m/>
    <m/>
    <s v="07AABCG4768K1Z9"/>
    <s v="AP_INVOICES"/>
    <s v="STANDARD VALIDATED TAX"/>
    <s v="IA"/>
    <s v="STANDARD"/>
    <d v="2026-04-14T00:00:00.000"/>
    <s v="DLS2627000000660"/>
    <n v="9155615"/>
    <d v="2026-04-02T00:00:00.000"/>
    <s v="Supplier"/>
    <n v="2770"/>
    <s v="CANON INDIA PVT. LTD."/>
    <s v="OKHLA"/>
    <s v="07AAACC4175D1Z0"/>
    <s v="NOS"/>
    <m/>
    <n v="1"/>
    <n v="11.6"/>
    <n v="11.6"/>
    <s v="GST_India"/>
    <s v="DLS2627000000660"/>
    <d v="2026-04-02T00:00:00.000"/>
    <s v="MISCELLENS"/>
    <n v="84439952"/>
    <s v="Supply of TonerInk and Spares along with Support Services"/>
    <m/>
    <m/>
    <n v="11.6"/>
    <s v="Normal"/>
    <n v="18"/>
    <n v="1.04"/>
    <n v="1.04"/>
    <n v="0"/>
    <n v="0"/>
    <n v="0"/>
    <n v="0"/>
    <n v="0"/>
    <n v="0"/>
    <n v="0"/>
    <m/>
    <m/>
    <n v="0"/>
    <n v="13.68"/>
    <s v="Y"/>
    <s v="N"/>
    <s v="11.7100.111.234010.0000.000000.0007.000000.000000.00000000"/>
    <n v="1126100065"/>
    <s v="HO_INTRA-STATE_OTH_REC_18%"/>
    <s v="INPUT_SERVICE"/>
    <m/>
    <x v="1"/>
    <x v="0"/>
    <s v="Yes"/>
    <s v="07"/>
    <s v="Delhi"/>
    <s v="07AAACC4175D1Z0DLS2627000000660"/>
    <n v="2.08"/>
    <n v="1123.84"/>
    <n v="-1122"/>
    <s v="Matched"/>
    <n v="9155615"/>
    <s v="Fwd Rec"/>
  </r>
  <r>
    <s v="Payable Invoice"/>
    <s v="AP_INVOICE "/>
    <n v="107"/>
    <s v="Godfrey_Phillips_India_Limited_HO"/>
    <s v="GPIL_HO_New_Delhi(Services)"/>
    <m/>
    <m/>
    <s v="07AABCG4768K1Z9"/>
    <s v="AP_INVOICES"/>
    <s v="STANDARD VALIDATED TAX"/>
    <s v="IA"/>
    <s v="STANDARD"/>
    <d v="2026-04-24T00:00:00.000"/>
    <s v="HEXA2026-27/3289"/>
    <n v="9168299"/>
    <d v="2026-04-15T00:00:00.000"/>
    <s v="Supplier"/>
    <n v="14097"/>
    <s v="HEXADECIMAL SYSTEMS AND SERVICES"/>
    <s v="DELHI"/>
    <s v="07AFCPB1962P1ZC"/>
    <s v="NOS"/>
    <m/>
    <n v="4400"/>
    <n v="1"/>
    <n v="4400"/>
    <s v="GST_India"/>
    <s v="HEXA2026-27/3289"/>
    <d v="2026-04-15T00:00:00.000"/>
    <s v="BUDMINTIND"/>
    <n v="998712"/>
    <s v="SERVICE MAINTENANCE MAINTENANCE  REPAIRS OF OFFICE MACHINERY PAPER SHREDDER MACHINE MODEL GBC 2240S"/>
    <m/>
    <m/>
    <n v="4400"/>
    <s v="Normal"/>
    <n v="18"/>
    <n v="396"/>
    <n v="396"/>
    <n v="0"/>
    <n v="0"/>
    <n v="0"/>
    <n v="0"/>
    <n v="0"/>
    <n v="0"/>
    <n v="0"/>
    <m/>
    <m/>
    <n v="0"/>
    <n v="5192"/>
    <s v="Y"/>
    <s v="N"/>
    <s v="11.7100.111.414401.1010.000000.0007.000000.000000.00000000"/>
    <n v="1126100392"/>
    <s v="HO_INTRA-STATE_OTH_REC_18%"/>
    <s v="INPUT_SERVICE"/>
    <m/>
    <x v="1"/>
    <x v="0"/>
    <s v="No"/>
    <s v="07"/>
    <s v="Delhi"/>
    <s v="07AFCPB1962P1ZCHEXA2026-27/3289"/>
    <n v="792"/>
    <n v="2952"/>
    <n v="-2160"/>
    <s v="Matched"/>
    <n v="9168299"/>
    <s v="Fwd Rec"/>
  </r>
  <r>
    <s v="Payable Invoice"/>
    <s v="AP_INVOICE "/>
    <n v="107"/>
    <s v="Godfrey_Phillips_India_Limited_HO"/>
    <s v="GPIL_HO_New_Delhi(Services)"/>
    <m/>
    <m/>
    <s v="07AABCG4768K1Z9"/>
    <s v="AP_INVOICES"/>
    <s v="STANDARD VALIDATED TAX"/>
    <s v="IA"/>
    <s v="STANDARD"/>
    <d v="2026-04-15T00:00:00.000"/>
    <s v="HRF2627000000690"/>
    <n v="9156859"/>
    <d v="2026-04-01T00:00:00.000"/>
    <s v="Supplier"/>
    <n v="2770"/>
    <s v="CANON INDIA PVT. LTD."/>
    <s v="GURGAON-1A"/>
    <s v="06AAACC4175D1Z2"/>
    <s v="NOS"/>
    <m/>
    <n v="1"/>
    <n v="4365"/>
    <n v="4365"/>
    <s v="GST_India"/>
    <s v="HRF2627000000690"/>
    <d v="2026-04-01T00:00:00.000"/>
    <s v="BUDMINTIND"/>
    <n v="997314"/>
    <s v="Rental Charges For iR-ADV C"/>
    <m/>
    <m/>
    <n v="4365"/>
    <s v="Normal"/>
    <n v="18"/>
    <n v="0"/>
    <n v="0"/>
    <n v="785.7"/>
    <n v="0"/>
    <n v="0"/>
    <n v="0"/>
    <n v="0"/>
    <n v="0"/>
    <n v="0"/>
    <m/>
    <m/>
    <n v="0"/>
    <n v="5150.7"/>
    <s v="Y"/>
    <s v="N"/>
    <s v="11.7100.111.414703.1013.000000.0007.000000.000000.00000000"/>
    <n v="1126100088"/>
    <s v="HO_INTER-STATE_OTH_REC_18%"/>
    <s v="INPUT_SERVICE"/>
    <m/>
    <x v="1"/>
    <x v="0"/>
    <s v="Yes"/>
    <s v="07"/>
    <s v="Delhi"/>
    <s v="06AAACC4175D1Z2HRF2627000000690"/>
    <n v="785.7"/>
    <n v="785.7"/>
    <n v="0"/>
    <s v="Matched"/>
    <n v="9156859"/>
    <s v="Fwd Rec"/>
  </r>
  <r>
    <s v="Payable Invoice"/>
    <s v="AP_INVOICE "/>
    <n v="107"/>
    <s v="Godfrey_Phillips_India_Limited_HO"/>
    <s v="GPIL_HO_New_Delhi(Services)"/>
    <m/>
    <m/>
    <s v="07AABCG4768K1Z9"/>
    <s v="AP_INVOICES"/>
    <s v="STANDARD VALIDATED TAX"/>
    <s v="IA"/>
    <s v="STANDARD"/>
    <d v="2026-04-21T00:00:00.000"/>
    <s v="NC/26-27/0105"/>
    <n v="9166965"/>
    <d v="2026-04-10T00:00:00.000"/>
    <s v="Supplier"/>
    <n v="3545"/>
    <s v="NAF COMPUTERS"/>
    <s v="NEW DELHI"/>
    <s v="07AATPA1288M1Z9"/>
    <s v="NOS"/>
    <m/>
    <n v="1"/>
    <n v="1650"/>
    <n v="1650"/>
    <s v="GST_India"/>
    <s v="NC/26-27/0105"/>
    <d v="2026-04-10T00:00:00.000"/>
    <s v="BUDITMINTIND"/>
    <n v="8473"/>
    <s v="HDMI Switcher U Green Sin lout SNo-SN2400400758970"/>
    <m/>
    <m/>
    <n v="1650"/>
    <s v="Normal"/>
    <n v="18"/>
    <n v="148.5"/>
    <n v="148.5"/>
    <n v="0"/>
    <n v="0"/>
    <n v="0"/>
    <n v="0"/>
    <n v="0"/>
    <n v="0"/>
    <n v="0"/>
    <m/>
    <m/>
    <n v="0"/>
    <n v="1947"/>
    <s v="Y"/>
    <s v="N"/>
    <s v="11.7100.111.414701.1013.000000.0007.000000.000000.00000000"/>
    <n v="1126100295"/>
    <s v="HO_INTRA-STATE_OTH_REC_18%"/>
    <s v="INPUT"/>
    <m/>
    <x v="1"/>
    <x v="0"/>
    <s v="No"/>
    <s v="07"/>
    <s v="Delhi"/>
    <s v="07AATPA1288M1Z9NC/26-27/0105"/>
    <n v="297"/>
    <n v="297"/>
    <n v="0"/>
    <s v="Matched"/>
    <n v="9166965"/>
    <s v="Fwd Rec"/>
  </r>
  <r>
    <s v="Payable Invoice"/>
    <s v="AP_INVOICE "/>
    <n v="107"/>
    <s v="Godfrey_Phillips_India_Limited_HO"/>
    <s v="GPIL_HO_New_Delhi(Services)"/>
    <m/>
    <m/>
    <s v="07AABCG4768K1Z9"/>
    <s v="AP_INVOICES"/>
    <s v="STANDARD VALIDATED TAX"/>
    <s v="Manual Invoice Entry"/>
    <s v="STANDARD"/>
    <d v="2026-04-15T00:00:00.000"/>
    <s v="B04/2026"/>
    <n v="9157040"/>
    <d v="2026-04-04T00:00:00.000"/>
    <s v="Supplier"/>
    <n v="1224"/>
    <s v="BHASIN AND CO."/>
    <s v="NEW DELHI"/>
    <m/>
    <m/>
    <m/>
    <n v="0"/>
    <n v="0"/>
    <n v="19000"/>
    <s v="GST_India"/>
    <s v="GPI-HOC260400004"/>
    <d v="2026-04-04T00:00:00.000"/>
    <m/>
    <n v="998216"/>
    <s v="RETAINER FEES APRIL 2026"/>
    <m/>
    <m/>
    <n v="19000"/>
    <s v="Normal"/>
    <n v="18"/>
    <n v="1710"/>
    <n v="1710"/>
    <n v="0"/>
    <n v="0"/>
    <n v="0"/>
    <n v="0"/>
    <n v="0"/>
    <n v="0"/>
    <n v="0"/>
    <m/>
    <m/>
    <n v="0"/>
    <n v="22420"/>
    <s v="Y"/>
    <s v="Y"/>
    <s v="11.7100.111.416001.1009.000000.0007.000000.000000.00000000"/>
    <n v="1126100107"/>
    <s v="HO_REV_CHARGE_REC_18%"/>
    <s v="INPUT_SERVICE"/>
    <m/>
    <x v="2"/>
    <x v="1"/>
    <s v="No"/>
    <s v="07"/>
    <s v="Delhi"/>
    <s v="GPI-HOC260400004"/>
    <n v="3420"/>
    <e v="#N/A"/>
    <e v="#N/A"/>
    <s v="RCM"/>
    <n v="9157040"/>
    <s v="RCM Rec"/>
  </r>
  <r>
    <s v="Payable Invoice"/>
    <s v="AP_INVOICE "/>
    <n v="107"/>
    <s v="Godfrey_Phillips_India_Limited_HO"/>
    <s v="GPIL_HO_New_Delhi(Services)"/>
    <m/>
    <s v="HO New Friends Colony"/>
    <s v="07AABCG4768K1Z9"/>
    <s v="AP_INVOICES"/>
    <s v="STANDARD CREATED"/>
    <s v="Manual Invoice Entry"/>
    <s v="STANDARD"/>
    <d v="2026-04-30T00:00:00.000"/>
    <s v="447/2025-26"/>
    <n v="9178377"/>
    <d v="2026-03-18T00:00:00.000"/>
    <s v="Supplier"/>
    <n v="44643"/>
    <s v="ELITE ENGINEERING COMPANY"/>
    <s v="NEW DELHI-OFF"/>
    <s v="07ANHPK8321J2ZT"/>
    <s v="JOB"/>
    <m/>
    <n v="754468"/>
    <n v="0.86447934173"/>
    <n v="652222"/>
    <s v="GST_India"/>
    <s v="447/2025-26"/>
    <d v="2026-03-18T00:00:00.000"/>
    <s v="BUDCAPTIND"/>
    <n v="999126"/>
    <s v="Supply, Installation, Testing &amp; Commissioning of Fire Fighting and Alarm System as per attached BOQ"/>
    <m/>
    <m/>
    <n v="652222"/>
    <s v="Normal"/>
    <n v="18"/>
    <n v="58699.98"/>
    <n v="58699.98"/>
    <n v="0"/>
    <n v="0"/>
    <n v="0"/>
    <n v="0"/>
    <n v="0"/>
    <n v="0"/>
    <n v="0"/>
    <m/>
    <m/>
    <n v="0"/>
    <n v="769621.96"/>
    <s v="Y"/>
    <s v="N"/>
    <s v="11.7100.111.112050.0000.000000.0007.000000.000000.00000000"/>
    <n v="1126100530"/>
    <s v="HO_INTRA-STATE_OTH_REC_18%"/>
    <s v="INPUT_SERVICE"/>
    <m/>
    <x v="1"/>
    <x v="0"/>
    <s v="No"/>
    <s v="07"/>
    <s v="Delhi"/>
    <s v="07ANHPK8321J2ZT447/2025-26"/>
    <n v="117399.96"/>
    <n v="117399.96"/>
    <n v="0"/>
    <s v="Matched"/>
    <n v="9178377"/>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17.37"/>
    <n v="8"/>
    <n v="21738.96"/>
    <s v="GST_India"/>
    <s v="DFSI2600000412"/>
    <d v="2026-04-09T00:00:00.000"/>
    <s v="BUDMINTIND"/>
    <n v="34029099"/>
    <s v="AIR CONDITIO"/>
    <m/>
    <m/>
    <n v="21738.96"/>
    <s v="Normal"/>
    <n v="18"/>
    <n v="0"/>
    <n v="0"/>
    <n v="3913.01"/>
    <n v="0"/>
    <n v="0"/>
    <n v="0"/>
    <n v="0"/>
    <n v="0"/>
    <n v="0"/>
    <m/>
    <m/>
    <n v="0"/>
    <n v="25651.97"/>
    <s v="N"/>
    <s v="N"/>
    <s v="11.7100.111.414301.1011.111636.0007.000000.000000.00000000"/>
    <n v="1126100105"/>
    <s v="HO_INTER-STATE_OTH_NON_REC_18%"/>
    <s v="INPUT_TDS_194C"/>
    <m/>
    <x v="0"/>
    <x v="0"/>
    <s v="Yes"/>
    <s v="07"/>
    <s v="Delhi"/>
    <s v="06AAGCD4246E1ZXDFSI2600000412"/>
    <n v="3913.01"/>
    <n v="38182.88"/>
    <n v="-34270"/>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1"/>
    <n v="3025"/>
    <s v="GST_India"/>
    <s v="DFSI2600000412"/>
    <d v="2026-04-09T00:00:00.000"/>
    <s v="BUDMINTIND"/>
    <n v="998729"/>
    <s v="BALANCING FRONT AND REAR WHEELS STATIONARY"/>
    <m/>
    <m/>
    <n v="3025"/>
    <s v="Normal"/>
    <n v="18"/>
    <n v="0"/>
    <n v="0"/>
    <n v="544.5"/>
    <n v="0"/>
    <n v="0"/>
    <n v="0"/>
    <n v="0"/>
    <n v="0"/>
    <n v="0"/>
    <m/>
    <m/>
    <n v="0"/>
    <n v="3569.5"/>
    <s v="N"/>
    <s v="N"/>
    <s v="11.7100.111.414301.1011.111636.0007.000000.000000.00000000"/>
    <n v="1126100105"/>
    <s v="HO_INTER-STATE_OTH_NON_REC_18%"/>
    <s v="INPUT_TDS_194C"/>
    <m/>
    <x v="0"/>
    <x v="0"/>
    <s v="Yes"/>
    <s v="07"/>
    <s v="Delhi"/>
    <s v="06AAGCD4246E1ZXDFSI2600000412"/>
    <n v="544.5"/>
    <n v="38182.88"/>
    <n v="-37638"/>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1070.76"/>
    <n v="1"/>
    <n v="1070.76"/>
    <s v="GST_India"/>
    <s v="DFSI2600000412"/>
    <d v="2026-04-09T00:00:00.000"/>
    <s v="BUDMINTIND"/>
    <n v="38190010"/>
    <s v="BRAKE FLUID"/>
    <m/>
    <m/>
    <n v="1070.76"/>
    <s v="Normal"/>
    <n v="18"/>
    <n v="0"/>
    <n v="0"/>
    <n v="192.74"/>
    <n v="0"/>
    <n v="0"/>
    <n v="0"/>
    <n v="0"/>
    <n v="0"/>
    <n v="0"/>
    <m/>
    <m/>
    <n v="0"/>
    <n v="1263.5"/>
    <s v="N"/>
    <s v="N"/>
    <s v="11.7100.111.414301.1011.111636.0007.000000.000000.00000000"/>
    <n v="1126100105"/>
    <s v="HO_INTER-STATE_OTH_NON_REC_18%"/>
    <s v="INPUT_TDS_194C"/>
    <m/>
    <x v="0"/>
    <x v="0"/>
    <s v="Yes"/>
    <s v="07"/>
    <s v="Delhi"/>
    <s v="06AAGCD4246E1ZXDFSI2600000412"/>
    <n v="192.74"/>
    <n v="38182.88"/>
    <n v="-37990"/>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17"/>
    <n v="4675"/>
    <s v="GST_India"/>
    <s v="DFSI2600000412"/>
    <d v="2026-04-09T00:00:00.000"/>
    <s v="BUDMINTIND"/>
    <n v="998729"/>
    <s v="CARRY OUT KINEMATICS DIAGNOSIS SYSTEM WHEEL ALIGNMENT WITH VEHICLE LOAD UP TO DESIGN POSITION"/>
    <m/>
    <m/>
    <n v="4675"/>
    <s v="Normal"/>
    <n v="18"/>
    <n v="0"/>
    <n v="0"/>
    <n v="841.5"/>
    <n v="0"/>
    <n v="0"/>
    <n v="0"/>
    <n v="0"/>
    <n v="0"/>
    <n v="0"/>
    <m/>
    <m/>
    <n v="0"/>
    <n v="5516.5"/>
    <s v="N"/>
    <s v="N"/>
    <s v="11.7100.111.414301.1011.111636.0007.000000.000000.00000000"/>
    <n v="1126100105"/>
    <s v="HO_INTER-STATE_OTH_NON_REC_18%"/>
    <s v="INPUT_TDS_194C"/>
    <m/>
    <x v="0"/>
    <x v="0"/>
    <s v="Yes"/>
    <s v="07"/>
    <s v="Delhi"/>
    <s v="06AAGCD4246E1ZXDFSI2600000412"/>
    <n v="841.5"/>
    <n v="38182.88"/>
    <n v="-37341"/>
    <s v="Matched"/>
    <n v="9158398"/>
    <s v="Fwd Non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2"/>
    <n v="550"/>
    <s v="GST_India"/>
    <s v="DFSI2600000412"/>
    <d v="2026-04-09T00:00:00.000"/>
    <s v="BUDMINTIND"/>
    <n v="998729"/>
    <s v="MICROFILTER SERVICE"/>
    <m/>
    <m/>
    <n v="550"/>
    <s v="Normal"/>
    <n v="18"/>
    <n v="0"/>
    <n v="0"/>
    <n v="99"/>
    <n v="0"/>
    <n v="0"/>
    <n v="0"/>
    <n v="0"/>
    <n v="0"/>
    <n v="0"/>
    <m/>
    <m/>
    <n v="0"/>
    <n v="649"/>
    <s v="N"/>
    <s v="N"/>
    <s v="11.7100.111.414301.1011.111636.0007.000000.000000.00000000"/>
    <n v="1126100105"/>
    <s v="HO_INTER-STATE_OTH_NON_REC_18%"/>
    <s v="INPUT_TDS_194C"/>
    <m/>
    <x v="0"/>
    <x v="0"/>
    <s v="Yes"/>
    <s v="07"/>
    <s v="Delhi"/>
    <s v="06AAGCD4246E1ZXDFSI2600000412"/>
    <n v="99"/>
    <n v="38182.88"/>
    <n v="-38084"/>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910.17"/>
    <n v="10"/>
    <n v="9101.7"/>
    <s v="GST_India"/>
    <s v="DFSI2600000751"/>
    <d v="2026-04-17T00:00:00.000"/>
    <s v="BUDMINTIND"/>
    <n v="38119000"/>
    <s v="TWIN POWER T"/>
    <m/>
    <m/>
    <n v="9101.7"/>
    <s v="Normal"/>
    <n v="18"/>
    <n v="0"/>
    <n v="0"/>
    <n v="1638.31"/>
    <n v="0"/>
    <n v="0"/>
    <n v="0"/>
    <n v="0"/>
    <n v="0"/>
    <n v="0"/>
    <m/>
    <m/>
    <n v="0"/>
    <n v="10740.01"/>
    <s v="N"/>
    <s v="N"/>
    <s v="11.7100.111.414301.1000.100007.0007.000000.000000.00000000"/>
    <n v="1126100446"/>
    <s v="HO_INTER-STATE_OTH_NON_REC_18%"/>
    <s v="INPUT_TDS_194C"/>
    <m/>
    <x v="0"/>
    <x v="0"/>
    <s v="Yes"/>
    <s v="07"/>
    <s v="Delhi"/>
    <s v="06AAGCD4246E1ZXDFSI2600000751"/>
    <n v="1638.31"/>
    <n v="36494.74"/>
    <n v="-34856"/>
    <s v="Matched"/>
    <n v="9174963"/>
    <s v="Fwd Non Rec"/>
  </r>
  <r>
    <s v="Payable Invoice"/>
    <s v="AP_INVOICE "/>
    <n v="107"/>
    <s v="Godfrey_Phillips_India_Limited_HO"/>
    <s v="GPIL_HO_New_Delhi(Services)"/>
    <m/>
    <s v="HO New Friends Colony"/>
    <s v="07AABCG4768K1Z9"/>
    <s v="AP_INVOICES"/>
    <s v="STANDARD CREATED"/>
    <s v="Manual Invoice Entry"/>
    <s v="STANDARD"/>
    <d v="2026-04-15T00:00:00.000"/>
    <s v="MF2707I00063444"/>
    <n v="9156749"/>
    <d v="2026-04-03T00:00:00.000"/>
    <s v="Supplier"/>
    <n v="6262"/>
    <s v="BHARTI AIRTEL LIMITED"/>
    <s v="HO"/>
    <s v="07AAACB2894G1ZP"/>
    <s v="NOS"/>
    <m/>
    <n v="1"/>
    <n v="3133.48"/>
    <n v="3133.48"/>
    <s v="GST_India"/>
    <s v="MF2707I000063444"/>
    <d v="2026-04-03T00:00:00.000"/>
    <s v="MISCELLENS"/>
    <n v="998413"/>
    <s v="AIRTEL MOBILE BILLS FOR THE MONTH OF MAR 2026"/>
    <m/>
    <m/>
    <n v="3133.48"/>
    <s v="Normal"/>
    <n v="18"/>
    <n v="282.01"/>
    <n v="282.01"/>
    <n v="0"/>
    <n v="0"/>
    <n v="0"/>
    <n v="0"/>
    <n v="0"/>
    <n v="0"/>
    <n v="0"/>
    <m/>
    <m/>
    <n v="0"/>
    <n v="3697.5"/>
    <s v="Y"/>
    <s v="N"/>
    <s v="11.7100.111.420803.1000.000000.0007.000000.000000.00000000"/>
    <n v="1126100078"/>
    <s v="HO_INTRA-STATE_OTH_REC_18%"/>
    <s v="INPUT_SERVICE"/>
    <m/>
    <x v="1"/>
    <x v="0"/>
    <s v="Yes"/>
    <s v="07"/>
    <s v="Delhi"/>
    <s v="07AAACB2894G1ZPMF2707I000063444"/>
    <n v="564.02"/>
    <n v="8534.42"/>
    <n v="-7970"/>
    <s v="Matched"/>
    <n v="9156749"/>
    <s v="Fwd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10000"/>
    <n v="1"/>
    <n v="10000"/>
    <s v="GST_India"/>
    <s v="GPI-HOC250400365"/>
    <d v="2025-11-29T00:00:00.000"/>
    <m/>
    <n v="998213"/>
    <s v="for appearing on your behalf before the Honble High Court of Delhi for the mentioning November 07  2025"/>
    <m/>
    <m/>
    <n v="10000"/>
    <s v="Normal"/>
    <n v="18"/>
    <n v="900"/>
    <n v="900"/>
    <n v="0"/>
    <n v="0"/>
    <n v="0"/>
    <n v="0"/>
    <n v="0"/>
    <n v="0"/>
    <n v="0"/>
    <m/>
    <m/>
    <n v="0"/>
    <n v="11800"/>
    <s v="Y"/>
    <s v="Y"/>
    <s v="11.7100.111.234010.0000.000000.0007.000000.000000.00000000"/>
    <n v="1126100459"/>
    <s v="HO_REV_CHARGE_REC_18%"/>
    <s v="INPUT_SERVICE"/>
    <m/>
    <x v="2"/>
    <x v="1"/>
    <s v="No"/>
    <s v="07"/>
    <s v="Delhi"/>
    <s v="GPI-HOC250400365"/>
    <n v="1800"/>
    <e v="#N/A"/>
    <e v="#N/A"/>
    <s v="RCM"/>
    <n v="9177454"/>
    <s v="RCM Rec"/>
  </r>
  <r>
    <s v="Payable Invoice"/>
    <s v="AP_INVOICE "/>
    <n v="107"/>
    <s v="Godfrey_Phillips_India_Limited_HO"/>
    <s v="GPIL_HO_New_Delhi(Services)"/>
    <m/>
    <m/>
    <s v="07AABCG4768K1Z9"/>
    <s v="AP_INVOICES"/>
    <s v="STANDARD VALIDATED TAX"/>
    <s v="IA"/>
    <s v="STANDARD"/>
    <d v="2026-04-15T00:00:00.000"/>
    <s v="HRF2627000000688"/>
    <n v="9156865"/>
    <d v="2026-04-01T00:00:00.000"/>
    <s v="Supplier"/>
    <n v="2770"/>
    <s v="CANON INDIA PVT. LTD."/>
    <s v="GURGAON-1A"/>
    <s v="06AAACC4175D1Z2"/>
    <s v="NOS"/>
    <m/>
    <n v="1"/>
    <n v="4365"/>
    <n v="4365"/>
    <s v="GST_India"/>
    <s v="HRF2627000000688"/>
    <d v="2026-04-01T00:00:00.000"/>
    <s v="BUDMINTIND"/>
    <n v="997314"/>
    <s v="Rental Charges For iR-ADV DX C"/>
    <m/>
    <m/>
    <n v="4365"/>
    <s v="Normal"/>
    <n v="18"/>
    <n v="0"/>
    <n v="0"/>
    <n v="785.7"/>
    <n v="0"/>
    <n v="0"/>
    <n v="0"/>
    <n v="0"/>
    <n v="0"/>
    <n v="0"/>
    <m/>
    <m/>
    <n v="0"/>
    <n v="5150.7"/>
    <s v="Y"/>
    <s v="N"/>
    <s v="11.7100.111.414703.1006.000000.0007.000000.000000.00000000"/>
    <n v="1126100094"/>
    <s v="HO_INTER-STATE_OTH_REC_18%"/>
    <s v="INPUT_SERVICE"/>
    <m/>
    <x v="1"/>
    <x v="0"/>
    <s v="Yes"/>
    <s v="07"/>
    <s v="Delhi"/>
    <s v="06AAACC4175D1Z2HRF2627000000688"/>
    <n v="785.7"/>
    <n v="785.7"/>
    <n v="0"/>
    <s v="Matched"/>
    <n v="9156865"/>
    <s v="Fwd Rec"/>
  </r>
  <r>
    <s v="Payable Invoice"/>
    <s v="AP_INVOICE "/>
    <n v="107"/>
    <s v="Godfrey_Phillips_India_Limited_HO"/>
    <s v="GPIL_HO_New_Delhi(Services)"/>
    <m/>
    <s v="HO New Friends Colony"/>
    <s v="07AABCG4768K1Z9"/>
    <s v="AP_INVOICES"/>
    <s v="STANDARD CREATED"/>
    <s v="Manual Invoice Entry"/>
    <s v="STANDARD"/>
    <d v="2026-04-15T00:00:00.000"/>
    <s v="DFSI2600000412"/>
    <n v="9158398"/>
    <d v="2026-03-09T00:00:00.000"/>
    <s v="Supplier"/>
    <n v="35671"/>
    <s v="DEUTSCHE CARS PRIVATE LIMITED"/>
    <s v="Faridabad-OFF"/>
    <s v="06AAGCD4246E1ZX"/>
    <s v="NOS"/>
    <m/>
    <n v="275"/>
    <n v="7"/>
    <n v="1925"/>
    <s v="GST_India"/>
    <s v="DFSI2600000412"/>
    <d v="2026-04-09T00:00:00.000"/>
    <s v="BUDMINTIND"/>
    <n v="998729"/>
    <s v="ADJUSTING REAR AXLE"/>
    <m/>
    <m/>
    <n v="1925"/>
    <s v="Normal"/>
    <n v="18"/>
    <n v="0"/>
    <n v="0"/>
    <n v="346.5"/>
    <n v="0"/>
    <n v="0"/>
    <n v="0"/>
    <n v="0"/>
    <n v="0"/>
    <n v="0"/>
    <m/>
    <m/>
    <n v="0"/>
    <n v="2271.5"/>
    <s v="N"/>
    <s v="N"/>
    <s v="11.7100.111.414301.1011.111636.0007.000000.000000.00000000"/>
    <n v="1126100105"/>
    <s v="HO_INTER-STATE_OTH_NON_REC_18%"/>
    <s v="INPUT_TDS_194C"/>
    <m/>
    <x v="0"/>
    <x v="0"/>
    <s v="Yes"/>
    <s v="07"/>
    <s v="Delhi"/>
    <s v="06AAGCD4246E1ZXDFSI2600000412"/>
    <n v="346.5"/>
    <n v="38182.88"/>
    <n v="-37836"/>
    <s v="Matched"/>
    <n v="9158398"/>
    <s v="Fwd Non Rec"/>
  </r>
  <r>
    <s v="Payable Invoice"/>
    <s v="AP_INVOICE "/>
    <n v="107"/>
    <s v="Godfrey_Phillips_India_Limited_HO"/>
    <s v="GPIL_HO_New_Delhi(Services)"/>
    <m/>
    <s v="HO New Friends Colony"/>
    <s v="07AABCG4768K1Z9"/>
    <s v="AP_INVOICES"/>
    <s v="STANDARD CREATED"/>
    <s v="Manual Invoice Entry"/>
    <s v="STANDARD"/>
    <d v="2026-04-28T00:00:00.000"/>
    <s v="DFSI2600000751"/>
    <n v="9174963"/>
    <d v="2026-04-17T00:00:00.000"/>
    <s v="Supplier"/>
    <n v="35671"/>
    <s v="DEUTSCHE CARS PRIVATE LIMITED"/>
    <s v="Faridabad-OFF"/>
    <s v="06AAGCD4246E1ZX"/>
    <s v="NOS"/>
    <m/>
    <n v="763.98"/>
    <n v="6"/>
    <n v="4583.88"/>
    <s v="GST_India"/>
    <s v="DFSI2600000751"/>
    <d v="2026-04-17T00:00:00.000"/>
    <s v="BUDMINTIND"/>
    <n v="84841090"/>
    <s v="SEAL FOR INT"/>
    <m/>
    <m/>
    <n v="4583.88"/>
    <s v="Normal"/>
    <n v="18"/>
    <n v="0"/>
    <n v="0"/>
    <n v="825.1"/>
    <n v="0"/>
    <n v="0"/>
    <n v="0"/>
    <n v="0"/>
    <n v="0"/>
    <n v="0"/>
    <m/>
    <m/>
    <n v="0"/>
    <n v="5408.98"/>
    <s v="N"/>
    <s v="N"/>
    <s v="11.7100.111.414301.1000.100007.0007.000000.000000.00000000"/>
    <n v="1126100446"/>
    <s v="HO_INTER-STATE_OTH_NON_REC_18%"/>
    <s v="INPUT_TDS_194C"/>
    <m/>
    <x v="0"/>
    <x v="0"/>
    <s v="Yes"/>
    <s v="07"/>
    <s v="Delhi"/>
    <s v="06AAGCD4246E1ZXDFSI2600000751"/>
    <n v="825.1"/>
    <n v="36494.74"/>
    <n v="-35670"/>
    <s v="Matched"/>
    <n v="9174963"/>
    <s v="Fwd Non Rec"/>
  </r>
  <r>
    <s v="Payable Invoice"/>
    <s v="AP_INVOICE "/>
    <n v="107"/>
    <s v="Godfrey_Phillips_India_Limited_HO"/>
    <s v="GPIL_HO_New_Delhi(Services)"/>
    <m/>
    <m/>
    <s v="07AABCG4768K1Z9"/>
    <s v="AP_INVOICES"/>
    <s v="STANDARD VALIDATED TAX"/>
    <s v="CONVERSION"/>
    <s v="STANDARD"/>
    <d v="2026-04-21T00:00:00.000"/>
    <s v="HF2707I000130245"/>
    <n v="9164382"/>
    <d v="2026-04-03T00:00:00.000"/>
    <s v="Supplier"/>
    <n v="6262"/>
    <s v="BHARTI AIRTEL LIMITED"/>
    <s v="HO"/>
    <s v="07AAACB2894G1ZP"/>
    <s v="NOS"/>
    <m/>
    <n v="1"/>
    <n v="4098"/>
    <n v="4098"/>
    <s v="GST_India"/>
    <s v="HF2707I000130245"/>
    <d v="2026-04-03T00:00:00.000"/>
    <s v="MISCELLENS"/>
    <n v="998412"/>
    <s v="A-101 NFC ( GPI GUEST HOUSE) AIRTEL - LANDLINE TELEPHONE EXPENSES FOR THE MONTH OF March-2026 -  - ADMN"/>
    <m/>
    <m/>
    <n v="4098"/>
    <s v="Normal"/>
    <n v="18"/>
    <n v="368.82"/>
    <n v="368.82"/>
    <n v="0"/>
    <n v="0"/>
    <n v="0"/>
    <n v="0"/>
    <n v="0"/>
    <n v="0"/>
    <n v="0"/>
    <m/>
    <m/>
    <n v="0"/>
    <n v="4835.64"/>
    <s v="Y"/>
    <s v="N"/>
    <s v="11.7100.111.423704.1010.000000.0007.000000.000000.00000000"/>
    <n v="1126100278"/>
    <s v="HO_INTRA-STATE_OTH_REC_18%"/>
    <s v="INPUT_SERVICE"/>
    <m/>
    <x v="1"/>
    <x v="0"/>
    <s v="Yes"/>
    <s v="07"/>
    <s v="Delhi"/>
    <s v="07AAACB2894G1ZPHF2707I000130245"/>
    <n v="737.64"/>
    <n v="737.64"/>
    <n v="0"/>
    <s v="Matched"/>
    <n v="9164382"/>
    <s v="Fwd Rec"/>
  </r>
  <r>
    <s v="Payable Invoice"/>
    <s v="AP_INVOICE "/>
    <n v="107"/>
    <s v="Godfrey_Phillips_India_Limited_HO"/>
    <s v="GPIL_HO_New_Delhi(Services)"/>
    <m/>
    <m/>
    <s v="07AABCG4768K1Z9"/>
    <s v="AP_INVOICES"/>
    <s v="STANDARD VALIDATED TAX"/>
    <s v="IA"/>
    <s v="STANDARD"/>
    <d v="2026-04-29T00:00:00.000"/>
    <s v="104577/LIT"/>
    <n v="9177454"/>
    <d v="2025-11-29T00:00:00.000"/>
    <s v="Supplier"/>
    <n v="36105"/>
    <s v="RAHUL CHAUDHARY AND PARTNERS"/>
    <s v="NEW DELHI"/>
    <m/>
    <s v="NOS"/>
    <m/>
    <n v="25000"/>
    <n v="1"/>
    <n v="25000"/>
    <s v="GST_India"/>
    <s v="GPI-HOC250400365"/>
    <d v="2025-11-29T00:00:00.000"/>
    <m/>
    <n v="998213"/>
    <s v="for having a conference with Mr. Rajiv Nayar  Sr. Advocate on November 05  2025"/>
    <m/>
    <m/>
    <n v="25000"/>
    <s v="Normal"/>
    <n v="18"/>
    <n v="2250"/>
    <n v="2250"/>
    <n v="0"/>
    <n v="0"/>
    <n v="0"/>
    <n v="0"/>
    <n v="0"/>
    <n v="0"/>
    <n v="0"/>
    <m/>
    <m/>
    <n v="0"/>
    <n v="29500"/>
    <s v="Y"/>
    <s v="Y"/>
    <s v="11.7100.111.234010.0000.000000.0007.000000.000000.00000000"/>
    <n v="1126100459"/>
    <s v="HO_REV_CHARGE_REC_18%"/>
    <s v="INPUT_SERVICE"/>
    <m/>
    <x v="2"/>
    <x v="1"/>
    <s v="No"/>
    <s v="07"/>
    <s v="Delhi"/>
    <s v="GPI-HOC250400365"/>
    <n v="4500"/>
    <e v="#N/A"/>
    <e v="#N/A"/>
    <s v="RCM"/>
    <n v="9177454"/>
    <s v="RCM Rec"/>
  </r>
  <r>
    <s v="Payable Invoice"/>
    <s v="AP_INVOICE "/>
    <n v="107"/>
    <s v="Godfrey_Phillips_India_Limited_HO"/>
    <s v="GPIL_HO_New_Delhi(Services)"/>
    <m/>
    <m/>
    <s v="07AABCG4768K1Z9"/>
    <s v="AP_INVOICES"/>
    <s v="STANDARD VALIDATED TAX"/>
    <s v="IA"/>
    <s v="STANDARD"/>
    <d v="2026-04-21T00:00:00.000"/>
    <s v="737/2025-2026"/>
    <n v="9164021"/>
    <d v="2026-03-27T00:00:00.000"/>
    <s v="Supplier"/>
    <n v="45456"/>
    <s v="SAGA LEGAL"/>
    <s v="HEAD OFFICE"/>
    <m/>
    <m/>
    <m/>
    <n v="8000"/>
    <n v="1"/>
    <n v="8000"/>
    <s v="GST_India"/>
    <s v="737/2025-2026"/>
    <d v="2026-03-27T00:00:00.000"/>
    <m/>
    <n v="998216"/>
    <s v="Professional fee towards non -effective appearance on 20.03.2026."/>
    <m/>
    <m/>
    <n v="8000"/>
    <s v="Normal"/>
    <n v="18"/>
    <n v="720"/>
    <n v="720"/>
    <n v="0"/>
    <n v="0"/>
    <n v="0"/>
    <n v="0"/>
    <n v="0"/>
    <n v="0"/>
    <n v="0"/>
    <m/>
    <m/>
    <n v="0"/>
    <n v="9440"/>
    <s v="Y"/>
    <s v="Y"/>
    <s v="11.7100.111.234010.0000.000000.0007.000000.000000.00000000"/>
    <n v="1125113944"/>
    <s v="HO_REV_CHARGE_REC_18%"/>
    <s v="INPUT_SERVICE"/>
    <m/>
    <x v="2"/>
    <x v="1"/>
    <s v="No"/>
    <s v="07"/>
    <s v="Delhi"/>
    <s v="737/2025-2026"/>
    <n v="1440"/>
    <e v="#N/A"/>
    <e v="#N/A"/>
    <s v="RCM"/>
    <n v="9164021"/>
    <s v="RCM Rec"/>
  </r>
  <r>
    <s v="Payable Invoice"/>
    <s v="AP_INVOICE "/>
    <n v="107"/>
    <s v="Godfrey_Phillips_India_Limited_HO"/>
    <s v="GPIL_HO_New_Delhi(Services)"/>
    <m/>
    <m/>
    <s v="07AABCG4768K1Z9"/>
    <s v="AP_INVOICES"/>
    <s v="STANDARD VALIDATED TAX"/>
    <s v="IA"/>
    <s v="STANDARD"/>
    <d v="2026-04-21T00:00:00.000"/>
    <s v="738/2025-2026"/>
    <n v="9164022"/>
    <d v="2026-03-27T00:00:00.000"/>
    <s v="Supplier"/>
    <n v="45456"/>
    <s v="SAGA LEGAL"/>
    <s v="HEAD OFFICE"/>
    <m/>
    <m/>
    <m/>
    <n v="0"/>
    <n v="0"/>
    <n v="100"/>
    <s v="GST_India"/>
    <s v="738/2025-2026"/>
    <d v="2026-03-27T00:00:00.000"/>
    <m/>
    <n v="998216"/>
    <s v="Girish Sharma Vs. GPIL -CS DJ No. 6651-2016- Saket District Courts  New Delhi - Professional fee towards appearance on 12.03.2026"/>
    <m/>
    <m/>
    <n v="100"/>
    <s v="Normal"/>
    <n v="18"/>
    <n v="9"/>
    <n v="9"/>
    <n v="0"/>
    <n v="0"/>
    <n v="0"/>
    <n v="0"/>
    <n v="0"/>
    <n v="0"/>
    <n v="0"/>
    <m/>
    <m/>
    <n v="0"/>
    <n v="118"/>
    <s v="Y"/>
    <s v="Y"/>
    <s v="11.7100.111.234010.0000.000000.0007.000000.000000.00000000"/>
    <n v="1125113945"/>
    <s v="HO_REV_CHARGE_REC_18%"/>
    <s v="INPUT_SERVICE"/>
    <m/>
    <x v="2"/>
    <x v="1"/>
    <s v="No"/>
    <s v="07"/>
    <s v="Delhi"/>
    <s v="738/2025-2026"/>
    <n v="18"/>
    <e v="#N/A"/>
    <e v="#N/A"/>
    <s v="RCM"/>
    <n v="9164022"/>
    <s v="RCM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650"/>
    <n v="6"/>
    <n v="9900"/>
    <s v="GST_India"/>
    <n v="5500"/>
    <d v="2026-03-09T00:00:00.000"/>
    <s v="BUDMINTIND"/>
    <n v="9405"/>
    <s v="50W LED SHEET"/>
    <m/>
    <m/>
    <n v="9900"/>
    <s v="Normal"/>
    <n v="18"/>
    <n v="891"/>
    <n v="891"/>
    <n v="0"/>
    <n v="0"/>
    <n v="0"/>
    <n v="0"/>
    <n v="0"/>
    <n v="0"/>
    <n v="0"/>
    <m/>
    <m/>
    <n v="0"/>
    <n v="11682"/>
    <s v="N"/>
    <s v="N"/>
    <s v="11.7100.111.424156.1000.100007.0007.000000.000000.00000000"/>
    <n v="1125113238"/>
    <s v="HO_INTRA-STATE_OTH_NON_REC_18%"/>
    <s v="INPUT"/>
    <m/>
    <x v="0"/>
    <x v="0"/>
    <s v="No"/>
    <s v="07"/>
    <s v="Delhi"/>
    <s v="07BGQPS0312G1ZF5500"/>
    <n v="1782"/>
    <n v="7367.4"/>
    <n v="-5585"/>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90"/>
    <n v="1"/>
    <n v="90"/>
    <s v="GST_India"/>
    <n v="5500"/>
    <d v="2026-03-09T00:00:00.000"/>
    <s v="BUDMINTIND"/>
    <n v="8538"/>
    <s v="6M CPL BOX"/>
    <m/>
    <m/>
    <n v="90"/>
    <s v="Normal"/>
    <n v="18"/>
    <n v="8.1"/>
    <n v="8.1"/>
    <n v="0"/>
    <n v="0"/>
    <n v="0"/>
    <n v="0"/>
    <n v="0"/>
    <n v="0"/>
    <n v="0"/>
    <m/>
    <m/>
    <n v="0"/>
    <n v="106.2"/>
    <s v="N"/>
    <s v="N"/>
    <s v="11.7100.111.424156.1000.100007.0007.000000.000000.00000000"/>
    <n v="1125113238"/>
    <s v="HO_INTRA-STATE_OTH_NON_REC_18%"/>
    <s v="INPUT"/>
    <m/>
    <x v="0"/>
    <x v="0"/>
    <s v="No"/>
    <s v="07"/>
    <s v="Delhi"/>
    <s v="07BGQPS0312G1ZF5500"/>
    <n v="16.2"/>
    <n v="7367.4"/>
    <n v="-7351"/>
    <s v="Matched"/>
    <n v="9122840"/>
    <s v="Fwd Non Rec"/>
  </r>
  <r>
    <s v="Payable Invoice"/>
    <s v="AP_INVOICE "/>
    <n v="107"/>
    <s v="Godfrey_Phillips_India_Limited_HO"/>
    <s v="GPIL_HO_New_Delhi(Services)"/>
    <m/>
    <m/>
    <s v="07AABCG4768K1Z9"/>
    <s v="AP_INVOICES"/>
    <s v="STANDARD VALIDATED TAX"/>
    <s v="IA"/>
    <s v="STANDARD"/>
    <d v="2026-03-31T00:00:00.000"/>
    <s v="W/SR/2526/233837"/>
    <n v="9140710"/>
    <d v="2026-03-30T00:00:00.000"/>
    <s v="Supplier"/>
    <n v="29978"/>
    <s v="WAE LIMITED"/>
    <s v="NOIDA"/>
    <s v="09AABCW0017F1ZQ"/>
    <s v="NOS"/>
    <m/>
    <n v="37268"/>
    <n v="6"/>
    <n v="223608"/>
    <s v="GST_India"/>
    <s v="W/SR/2526/233837"/>
    <d v="2026-03-30T00:00:00.000"/>
    <s v="BUDMINTIND"/>
    <n v="998729"/>
    <s v="AMC CHARGES FOR RO NOS RO MACHINES FROM JAN26 TO DEC26"/>
    <m/>
    <m/>
    <n v="223608"/>
    <s v="Normal"/>
    <n v="18"/>
    <n v="0"/>
    <n v="0"/>
    <n v="40249.44"/>
    <n v="0"/>
    <n v="0"/>
    <n v="0"/>
    <n v="0"/>
    <n v="0"/>
    <n v="0"/>
    <m/>
    <m/>
    <n v="0"/>
    <n v="263857.44"/>
    <s v="Y"/>
    <s v="N"/>
    <s v="11.7100.111.414401.1010.000000.0007.000000.000000.00000000"/>
    <n v="1125113662"/>
    <s v="HO_INTER-STATE_OTH_REC_18%"/>
    <s v="IMPORT_SERVICE"/>
    <m/>
    <x v="1"/>
    <x v="0"/>
    <s v="Yes"/>
    <s v="07"/>
    <s v="Delhi"/>
    <s v="09AABCW0017F1ZQW/SR/2526/233837"/>
    <n v="40249.44"/>
    <n v="40249.44"/>
    <n v="0"/>
    <s v="Matched"/>
    <n v="9140710"/>
    <s v="Fwd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80"/>
    <n v="1"/>
    <n v="80"/>
    <s v="GST_India"/>
    <n v="5501"/>
    <d v="2026-03-09T00:00:00.000"/>
    <s v="BUDMINTIND"/>
    <n v="8538"/>
    <s v="4M PVC BOX"/>
    <m/>
    <m/>
    <n v="80"/>
    <s v="Normal"/>
    <n v="18"/>
    <n v="7.2"/>
    <n v="7.2"/>
    <n v="0"/>
    <n v="0"/>
    <n v="0"/>
    <n v="0"/>
    <n v="0"/>
    <n v="0"/>
    <n v="0"/>
    <m/>
    <m/>
    <n v="0"/>
    <n v="94.4"/>
    <s v="N"/>
    <s v="N"/>
    <s v="11.7100.111.424156.1000.100007.0007.000000.000000.00000000"/>
    <n v="1125113239"/>
    <s v="HO_INTRA-STATE_OTH_NON_REC_18%"/>
    <s v="INPUT"/>
    <m/>
    <x v="0"/>
    <x v="0"/>
    <s v="No"/>
    <s v="07"/>
    <s v="Delhi"/>
    <s v="07BGQPS0312G1ZF5501"/>
    <n v="14.4"/>
    <n v="921.6"/>
    <n v="-907"/>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350"/>
    <n v="2"/>
    <n v="2700"/>
    <s v="GST_India"/>
    <n v="5501"/>
    <d v="2026-03-09T00:00:00.000"/>
    <s v="BUDMINTIND"/>
    <n v="8537"/>
    <s v="63AMP MCB TP"/>
    <m/>
    <m/>
    <n v="2700"/>
    <s v="Normal"/>
    <n v="18"/>
    <n v="243"/>
    <n v="243"/>
    <n v="0"/>
    <n v="0"/>
    <n v="0"/>
    <n v="0"/>
    <n v="0"/>
    <n v="0"/>
    <n v="0"/>
    <m/>
    <m/>
    <n v="0"/>
    <n v="3186"/>
    <s v="N"/>
    <s v="N"/>
    <s v="11.7100.111.424156.1000.100007.0007.000000.000000.00000000"/>
    <n v="1125113239"/>
    <s v="HO_INTRA-STATE_OTH_NON_REC_18%"/>
    <s v="INPUT"/>
    <m/>
    <x v="0"/>
    <x v="0"/>
    <s v="No"/>
    <s v="07"/>
    <s v="Delhi"/>
    <s v="07BGQPS0312G1ZF5501"/>
    <n v="486"/>
    <n v="921.6"/>
    <n v="-436"/>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450"/>
    <n v="1"/>
    <n v="1450"/>
    <s v="GST_India"/>
    <n v="5501"/>
    <d v="2026-03-09T00:00:00.000"/>
    <s v="BUDMINTIND"/>
    <n v="8537"/>
    <s v="12 WAY MCB BOX"/>
    <m/>
    <m/>
    <n v="1450"/>
    <s v="Normal"/>
    <n v="18"/>
    <n v="130.5"/>
    <n v="130.5"/>
    <n v="0"/>
    <n v="0"/>
    <n v="0"/>
    <n v="0"/>
    <n v="0"/>
    <n v="0"/>
    <n v="0"/>
    <m/>
    <m/>
    <n v="0"/>
    <n v="1711"/>
    <s v="N"/>
    <s v="N"/>
    <s v="11.7100.111.424156.1000.100007.0007.000000.000000.00000000"/>
    <n v="1125113239"/>
    <s v="HO_INTRA-STATE_OTH_NON_REC_18%"/>
    <s v="INPUT"/>
    <m/>
    <x v="0"/>
    <x v="0"/>
    <s v="No"/>
    <s v="07"/>
    <s v="Delhi"/>
    <s v="07BGQPS0312G1ZF5501"/>
    <n v="261"/>
    <n v="921.6"/>
    <n v="-661"/>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30"/>
    <n v="1"/>
    <n v="130"/>
    <s v="GST_India"/>
    <n v="5501"/>
    <d v="2026-03-09T00:00:00.000"/>
    <s v="BUDMINTIND"/>
    <n v="8538"/>
    <s v="5*3 REO SHEET"/>
    <m/>
    <m/>
    <n v="130"/>
    <s v="Normal"/>
    <n v="18"/>
    <n v="11.7"/>
    <n v="11.7"/>
    <n v="0"/>
    <n v="0"/>
    <n v="0"/>
    <n v="0"/>
    <n v="0"/>
    <n v="0"/>
    <n v="0"/>
    <m/>
    <m/>
    <n v="0"/>
    <n v="153.4"/>
    <s v="N"/>
    <s v="N"/>
    <s v="11.7100.111.424156.1000.100007.0007.000000.000000.00000000"/>
    <n v="1125113239"/>
    <s v="HO_INTRA-STATE_OTH_NON_REC_18%"/>
    <s v="INPUT"/>
    <m/>
    <x v="0"/>
    <x v="0"/>
    <s v="No"/>
    <s v="07"/>
    <s v="Delhi"/>
    <s v="07BGQPS0312G1ZF5501"/>
    <n v="23.4"/>
    <n v="921.6"/>
    <n v="-898"/>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950"/>
    <n v="1"/>
    <n v="1950"/>
    <s v="GST_India"/>
    <n v="5500"/>
    <d v="2026-03-09T00:00:00.000"/>
    <s v="BUDMINTIND"/>
    <n v="3917"/>
    <s v="20 MM PVC PIPE"/>
    <m/>
    <m/>
    <n v="1950"/>
    <s v="Normal"/>
    <n v="18"/>
    <n v="175.5"/>
    <n v="175.5"/>
    <n v="0"/>
    <n v="0"/>
    <n v="0"/>
    <n v="0"/>
    <n v="0"/>
    <n v="0"/>
    <n v="0"/>
    <m/>
    <m/>
    <n v="0"/>
    <n v="2301"/>
    <s v="N"/>
    <s v="N"/>
    <s v="11.7100.111.424156.1000.100007.0007.000000.000000.00000000"/>
    <n v="1125113238"/>
    <s v="HO_INTRA-STATE_OTH_NON_REC_18%"/>
    <s v="INPUT"/>
    <m/>
    <x v="0"/>
    <x v="0"/>
    <s v="No"/>
    <s v="07"/>
    <s v="Delhi"/>
    <s v="07BGQPS0312G1ZF5500"/>
    <n v="351"/>
    <n v="7367.4"/>
    <n v="-7016"/>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90"/>
    <n v="2"/>
    <n v="380"/>
    <s v="GST_India"/>
    <n v="5501"/>
    <d v="2026-03-09T00:00:00.000"/>
    <s v="BUDMINTIND"/>
    <n v="8537"/>
    <s v="SP 10 AMP MCB"/>
    <m/>
    <m/>
    <n v="380"/>
    <s v="Normal"/>
    <n v="18"/>
    <n v="34.2"/>
    <n v="34.2"/>
    <n v="0"/>
    <n v="0"/>
    <n v="0"/>
    <n v="0"/>
    <n v="0"/>
    <n v="0"/>
    <n v="0"/>
    <m/>
    <m/>
    <n v="0"/>
    <n v="448.4"/>
    <s v="N"/>
    <s v="N"/>
    <s v="11.7100.111.424156.1000.100007.0007.000000.000000.00000000"/>
    <n v="1125113239"/>
    <s v="HO_INTRA-STATE_OTH_NON_REC_18%"/>
    <s v="INPUT"/>
    <m/>
    <x v="0"/>
    <x v="0"/>
    <s v="No"/>
    <s v="07"/>
    <s v="Delhi"/>
    <s v="07BGQPS0312G1ZF5501"/>
    <n v="68.4"/>
    <n v="921.6"/>
    <n v="-853"/>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750"/>
    <n v="4"/>
    <n v="3000"/>
    <s v="GST_India"/>
    <n v="5500"/>
    <d v="2026-03-09T00:00:00.000"/>
    <s v="BUDMINTIND"/>
    <n v="9405"/>
    <s v="12W LED GARDEN LIGHT"/>
    <m/>
    <m/>
    <n v="3000"/>
    <s v="Normal"/>
    <n v="18"/>
    <n v="270"/>
    <n v="270"/>
    <n v="0"/>
    <n v="0"/>
    <n v="0"/>
    <n v="0"/>
    <n v="0"/>
    <n v="0"/>
    <n v="0"/>
    <m/>
    <m/>
    <n v="0"/>
    <n v="3540"/>
    <s v="N"/>
    <s v="N"/>
    <s v="11.7100.111.424156.1000.100007.0007.000000.000000.00000000"/>
    <n v="1125113238"/>
    <s v="HO_INTRA-STATE_OTH_NON_REC_18%"/>
    <s v="INPUT"/>
    <m/>
    <x v="0"/>
    <x v="0"/>
    <s v="No"/>
    <s v="07"/>
    <s v="Delhi"/>
    <s v="07BGQPS0312G1ZF5500"/>
    <n v="540"/>
    <n v="7367.4"/>
    <n v="-6827"/>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650"/>
    <n v="10"/>
    <n v="6500"/>
    <s v="GST_India"/>
    <n v="5500"/>
    <d v="2026-03-09T00:00:00.000"/>
    <s v="BUDMINTIND"/>
    <n v="9405"/>
    <s v="5W GARDEN LIGHT"/>
    <m/>
    <m/>
    <n v="6500"/>
    <s v="Normal"/>
    <n v="18"/>
    <n v="585"/>
    <n v="585"/>
    <n v="0"/>
    <n v="0"/>
    <n v="0"/>
    <n v="0"/>
    <n v="0"/>
    <n v="0"/>
    <n v="0"/>
    <m/>
    <m/>
    <n v="0"/>
    <n v="7670"/>
    <s v="N"/>
    <s v="N"/>
    <s v="11.7100.111.424156.1000.100007.0007.000000.000000.00000000"/>
    <n v="1125113238"/>
    <s v="HO_INTRA-STATE_OTH_NON_REC_18%"/>
    <s v="INPUT"/>
    <m/>
    <x v="0"/>
    <x v="0"/>
    <s v="No"/>
    <s v="07"/>
    <s v="Delhi"/>
    <s v="07BGQPS0312G1ZF5500"/>
    <n v="1170"/>
    <n v="7367.4"/>
    <n v="-6197"/>
    <s v="Matched"/>
    <n v="9122840"/>
    <s v="Fwd Non Rec"/>
  </r>
  <r>
    <s v="Manual Regime Entry"/>
    <s v="MANUAL_ENTRY "/>
    <n v="107"/>
    <s v="Godfrey_Phillips_India_Limited_HO"/>
    <s v="GPIL_HO_New_Delhi(Services)"/>
    <m/>
    <s v="HO New Friends Colony"/>
    <s v="07AABCG4768K1Z9"/>
    <s v="MANUAL_ENTRY"/>
    <s v="MANUAL_ENTRY_CREATE"/>
    <s v="Form Entry"/>
    <s v="RECOVERY"/>
    <d v="2026-03-31T00:00:00.000"/>
    <n v="106636724"/>
    <n v="106636724"/>
    <d v="2026-03-31T00:00:00.000"/>
    <s v="Supplier"/>
    <n v="42054"/>
    <s v="GDX SECURITY SOLUTIONS INDIA PRIVATE LIMITED."/>
    <s v="NEW DELHI-OFF"/>
    <s v="07AACCG5199H1ZC"/>
    <m/>
    <m/>
    <n v="0"/>
    <n v="0"/>
    <n v="147248"/>
    <s v="GST_India"/>
    <s v="DELI/25-26/03624"/>
    <d v="2026-03-05T00:00:00.000"/>
    <s v="AIRGST9964"/>
    <n v="9964"/>
    <s v="Salary of PSO for the month of February 2026"/>
    <m/>
    <m/>
    <n v="147248"/>
    <s v="Normal"/>
    <n v="18"/>
    <n v="13252.32"/>
    <n v="13252.32"/>
    <n v="0"/>
    <n v="0"/>
    <n v="0"/>
    <n v="0"/>
    <n v="0"/>
    <n v="0"/>
    <n v="0"/>
    <m/>
    <m/>
    <n v="0"/>
    <n v="173752.64"/>
    <s v="Y"/>
    <s v="N"/>
    <s v="11.7100.111.420302.1000.000000.0007.000000.000000.00000000"/>
    <m/>
    <m/>
    <m/>
    <m/>
    <x v="1"/>
    <x v="0"/>
    <s v="Yes"/>
    <s v="07"/>
    <s v="Delhi"/>
    <s v="07AACCG5199H1ZCDELI/25-26/03624"/>
    <n v="26504.64"/>
    <n v="26504.64"/>
    <n v="0"/>
    <s v="Matched"/>
    <n v="106636724"/>
    <s v="Fwd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650"/>
    <n v="6"/>
    <n v="3900"/>
    <s v="GST_India"/>
    <n v="5500"/>
    <d v="2026-03-09T00:00:00.000"/>
    <s v="BUDMINTIND"/>
    <n v="9405"/>
    <s v="20W LED BULKET"/>
    <m/>
    <m/>
    <n v="3900"/>
    <s v="Normal"/>
    <n v="18"/>
    <n v="351"/>
    <n v="351"/>
    <n v="0"/>
    <n v="0"/>
    <n v="0"/>
    <n v="0"/>
    <n v="0"/>
    <n v="0"/>
    <n v="0"/>
    <m/>
    <m/>
    <n v="0"/>
    <n v="4602"/>
    <s v="N"/>
    <s v="N"/>
    <s v="11.7100.111.424156.1000.100007.0007.000000.000000.00000000"/>
    <n v="1125113238"/>
    <s v="HO_INTRA-STATE_OTH_NON_REC_18%"/>
    <s v="INPUT"/>
    <m/>
    <x v="0"/>
    <x v="0"/>
    <s v="No"/>
    <s v="07"/>
    <s v="Delhi"/>
    <s v="07BGQPS0312G1ZF5500"/>
    <n v="702"/>
    <n v="7367.4"/>
    <n v="-6665"/>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4450"/>
    <n v="2"/>
    <n v="8900"/>
    <s v="GST_India"/>
    <n v="5500"/>
    <d v="2026-03-09T00:00:00.000"/>
    <s v="BUDMINTIND"/>
    <n v="8414"/>
    <s v="2.5 SQ MM WIRE"/>
    <m/>
    <m/>
    <n v="8900"/>
    <s v="Normal"/>
    <n v="18"/>
    <n v="801"/>
    <n v="801"/>
    <n v="0"/>
    <n v="0"/>
    <n v="0"/>
    <n v="0"/>
    <n v="0"/>
    <n v="0"/>
    <n v="0"/>
    <m/>
    <m/>
    <n v="0"/>
    <n v="10502"/>
    <s v="N"/>
    <s v="N"/>
    <s v="11.7100.111.424156.1000.100007.0007.000000.000000.00000000"/>
    <n v="1125113238"/>
    <s v="HO_INTRA-STATE_OTH_NON_REC_18%"/>
    <s v="INPUT"/>
    <m/>
    <x v="0"/>
    <x v="0"/>
    <s v="No"/>
    <s v="07"/>
    <s v="Delhi"/>
    <s v="07BGQPS0312G1ZF5500"/>
    <n v="1602"/>
    <n v="7367.4"/>
    <n v="-5765"/>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50"/>
    <n v="5"/>
    <n v="750"/>
    <s v="GST_India"/>
    <n v="5500"/>
    <d v="2026-03-09T00:00:00.000"/>
    <s v="BUDMINTIND"/>
    <n v="9405"/>
    <s v="4W FILAMENT BULB"/>
    <m/>
    <m/>
    <n v="750"/>
    <s v="Normal"/>
    <n v="18"/>
    <n v="67.5"/>
    <n v="67.5"/>
    <n v="0"/>
    <n v="0"/>
    <n v="0"/>
    <n v="0"/>
    <n v="0"/>
    <n v="0"/>
    <n v="0"/>
    <m/>
    <m/>
    <n v="0"/>
    <n v="885"/>
    <s v="N"/>
    <s v="N"/>
    <s v="11.7100.111.424156.1000.100007.0007.000000.000000.00000000"/>
    <n v="1125113238"/>
    <s v="HO_INTRA-STATE_OTH_NON_REC_18%"/>
    <s v="INPUT"/>
    <m/>
    <x v="0"/>
    <x v="0"/>
    <s v="No"/>
    <s v="07"/>
    <s v="Delhi"/>
    <s v="07BGQPS0312G1ZF5500"/>
    <n v="135"/>
    <n v="7367.4"/>
    <n v="-7232"/>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90"/>
    <n v="3"/>
    <n v="570"/>
    <s v="GST_India"/>
    <n v="5500"/>
    <d v="2026-03-09T00:00:00.000"/>
    <s v="BUDMINTIND"/>
    <n v="3917"/>
    <s v="20 MM BEND"/>
    <m/>
    <m/>
    <n v="570"/>
    <s v="Normal"/>
    <n v="18"/>
    <n v="51.3"/>
    <n v="51.3"/>
    <n v="0"/>
    <n v="0"/>
    <n v="0"/>
    <n v="0"/>
    <n v="0"/>
    <n v="0"/>
    <n v="0"/>
    <m/>
    <m/>
    <n v="0"/>
    <n v="672.6"/>
    <s v="N"/>
    <s v="N"/>
    <s v="11.7100.111.424156.1000.100007.0007.000000.000000.00000000"/>
    <n v="1125113238"/>
    <s v="HO_INTRA-STATE_OTH_NON_REC_18%"/>
    <s v="INPUT"/>
    <m/>
    <x v="0"/>
    <x v="0"/>
    <s v="No"/>
    <s v="07"/>
    <s v="Delhi"/>
    <s v="07BGQPS0312G1ZF5500"/>
    <n v="102.6"/>
    <n v="7367.4"/>
    <n v="-7265"/>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60"/>
    <n v="1"/>
    <n v="160"/>
    <s v="GST_India"/>
    <n v="5500"/>
    <d v="2026-03-09T00:00:00.000"/>
    <s v="BUDMINTIND"/>
    <n v="8538"/>
    <s v="6W SHEET RED"/>
    <m/>
    <m/>
    <n v="160"/>
    <s v="Normal"/>
    <n v="18"/>
    <n v="14.4"/>
    <n v="14.4"/>
    <n v="0"/>
    <n v="0"/>
    <n v="0"/>
    <n v="0"/>
    <n v="0"/>
    <n v="0"/>
    <n v="0"/>
    <m/>
    <m/>
    <n v="0"/>
    <n v="188.8"/>
    <s v="N"/>
    <s v="N"/>
    <s v="11.7100.111.424156.1000.100007.0007.000000.000000.00000000"/>
    <n v="1125113238"/>
    <s v="HO_INTRA-STATE_OTH_NON_REC_18%"/>
    <s v="INPUT"/>
    <m/>
    <x v="0"/>
    <x v="0"/>
    <s v="No"/>
    <s v="07"/>
    <s v="Delhi"/>
    <s v="07BGQPS0312G1ZF5500"/>
    <n v="28.8"/>
    <n v="7367.4"/>
    <n v="-7339"/>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300"/>
    <n v="3"/>
    <n v="900"/>
    <s v="GST_India"/>
    <n v="5500"/>
    <d v="2026-03-09T00:00:00.000"/>
    <s v="BUDMINTIND"/>
    <n v="8538"/>
    <s v="16 AMP COMBIAND BOX"/>
    <m/>
    <m/>
    <n v="900"/>
    <s v="Normal"/>
    <n v="18"/>
    <n v="81"/>
    <n v="81"/>
    <n v="0"/>
    <n v="0"/>
    <n v="0"/>
    <n v="0"/>
    <n v="0"/>
    <n v="0"/>
    <n v="0"/>
    <m/>
    <m/>
    <n v="0"/>
    <n v="1062"/>
    <s v="N"/>
    <s v="N"/>
    <s v="11.7100.111.424156.1000.100007.0007.000000.000000.00000000"/>
    <n v="1125113238"/>
    <s v="HO_INTRA-STATE_OTH_NON_REC_18%"/>
    <s v="INPUT"/>
    <m/>
    <x v="0"/>
    <x v="0"/>
    <s v="No"/>
    <s v="07"/>
    <s v="Delhi"/>
    <s v="07BGQPS0312G1ZF5500"/>
    <n v="162"/>
    <n v="7367.4"/>
    <n v="-7205"/>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70"/>
    <n v="2"/>
    <n v="140"/>
    <s v="GST_India"/>
    <n v="5500"/>
    <d v="2026-03-09T00:00:00.000"/>
    <s v="BUDMINTIND"/>
    <n v="8538"/>
    <s v="6 M PVC BOX"/>
    <m/>
    <m/>
    <n v="140"/>
    <s v="Normal"/>
    <n v="18"/>
    <n v="12.6"/>
    <n v="12.6"/>
    <n v="0"/>
    <n v="0"/>
    <n v="0"/>
    <n v="0"/>
    <n v="0"/>
    <n v="0"/>
    <n v="0"/>
    <m/>
    <m/>
    <n v="0"/>
    <n v="165.2"/>
    <s v="N"/>
    <s v="N"/>
    <s v="11.7100.111.424156.1000.100007.0007.000000.000000.00000000"/>
    <n v="1125113238"/>
    <s v="HO_INTRA-STATE_OTH_NON_REC_18%"/>
    <s v="INPUT"/>
    <m/>
    <x v="0"/>
    <x v="0"/>
    <s v="No"/>
    <s v="07"/>
    <s v="Delhi"/>
    <s v="07BGQPS0312G1ZF5500"/>
    <n v="25.2"/>
    <n v="7367.4"/>
    <n v="-7342"/>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20"/>
    <n v="3"/>
    <n v="360"/>
    <s v="GST_India"/>
    <n v="5500"/>
    <d v="2026-03-09T00:00:00.000"/>
    <s v="BUDMINTIND"/>
    <n v="9405"/>
    <s v="3W LED BULB"/>
    <m/>
    <m/>
    <n v="360"/>
    <s v="Normal"/>
    <n v="18"/>
    <n v="32.4"/>
    <n v="32.4"/>
    <n v="0"/>
    <n v="0"/>
    <n v="0"/>
    <n v="0"/>
    <n v="0"/>
    <n v="0"/>
    <n v="0"/>
    <m/>
    <m/>
    <n v="0"/>
    <n v="424.8"/>
    <s v="N"/>
    <s v="N"/>
    <s v="11.7100.111.424156.1000.100007.0007.000000.000000.00000000"/>
    <n v="1125113238"/>
    <s v="HO_INTRA-STATE_OTH_NON_REC_18%"/>
    <s v="INPUT"/>
    <m/>
    <x v="0"/>
    <x v="0"/>
    <s v="No"/>
    <s v="07"/>
    <s v="Delhi"/>
    <s v="07BGQPS0312G1ZF5500"/>
    <n v="64.8"/>
    <n v="7367.4"/>
    <n v="-7303"/>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120"/>
    <n v="6"/>
    <n v="720"/>
    <s v="GST_India"/>
    <n v="5500"/>
    <d v="2026-03-09T00:00:00.000"/>
    <s v="BUDMINTIND"/>
    <n v="8536"/>
    <s v="16A SWITCH"/>
    <m/>
    <m/>
    <n v="720"/>
    <s v="Normal"/>
    <n v="18"/>
    <n v="64.8"/>
    <n v="64.8"/>
    <n v="0"/>
    <n v="0"/>
    <n v="0"/>
    <n v="0"/>
    <n v="0"/>
    <n v="0"/>
    <n v="0"/>
    <m/>
    <m/>
    <n v="0"/>
    <n v="849.6"/>
    <s v="N"/>
    <s v="N"/>
    <s v="11.7100.111.424156.1000.100007.0007.000000.000000.00000000"/>
    <n v="1125113238"/>
    <s v="HO_INTRA-STATE_OTH_NON_REC_18%"/>
    <s v="INPUT"/>
    <m/>
    <x v="0"/>
    <x v="0"/>
    <s v="No"/>
    <s v="07"/>
    <s v="Delhi"/>
    <s v="07BGQPS0312G1ZF5500"/>
    <n v="129.6"/>
    <n v="7367.4"/>
    <n v="-7238"/>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30"/>
    <n v="4"/>
    <n v="120"/>
    <s v="GST_India"/>
    <n v="5500"/>
    <d v="2026-03-09T00:00:00.000"/>
    <s v="BUDMINTIND"/>
    <n v="8538"/>
    <s v="3 M PVC BOX"/>
    <m/>
    <m/>
    <n v="120"/>
    <s v="Normal"/>
    <n v="18"/>
    <n v="10.8"/>
    <n v="10.8"/>
    <n v="0"/>
    <n v="0"/>
    <n v="0"/>
    <n v="0"/>
    <n v="0"/>
    <n v="0"/>
    <n v="0"/>
    <m/>
    <m/>
    <n v="0"/>
    <n v="141.6"/>
    <s v="N"/>
    <s v="N"/>
    <s v="11.7100.111.424156.1000.100007.0007.000000.000000.00000000"/>
    <n v="1125113238"/>
    <s v="HO_INTRA-STATE_OTH_NON_REC_18%"/>
    <s v="INPUT"/>
    <m/>
    <x v="0"/>
    <x v="0"/>
    <s v="No"/>
    <s v="07"/>
    <s v="Delhi"/>
    <s v="07BGQPS0312G1ZF5500"/>
    <n v="21.6"/>
    <n v="7367.4"/>
    <n v="-7346"/>
    <s v="Matched"/>
    <n v="9122840"/>
    <s v="Fwd Non Rec"/>
  </r>
  <r>
    <s v="Manual Regime Entry"/>
    <s v="MANUAL_ENTRY "/>
    <n v="107"/>
    <s v="Godfrey_Phillips_India_Limited_HO"/>
    <s v="GPIL_HO_New_Delhi(Services)"/>
    <m/>
    <s v="HO New Friends Colony"/>
    <s v="07AABCG4768K1Z9"/>
    <s v="MANUAL_ENTRY"/>
    <s v="MANUAL_ENTRY_CREATE"/>
    <s v="Form Entry"/>
    <s v="RECOVERY"/>
    <d v="2026-03-17T00:00:00.000"/>
    <n v="106304313"/>
    <n v="106304313"/>
    <d v="2026-03-17T00:00:00.000"/>
    <s v="Supplier"/>
    <n v="7826"/>
    <s v="A AND V ZIPPERS PVT.LTD."/>
    <s v="NEW DELHI"/>
    <s v="07AADCA3655R1Z7"/>
    <m/>
    <m/>
    <n v="0"/>
    <n v="0"/>
    <n v="66028"/>
    <s v="GST_India"/>
    <s v="AVZ/248/2025-26"/>
    <d v="2026-02-28T00:00:00.000"/>
    <s v="AIRGST9964"/>
    <n v="9964"/>
    <s v="Salary of  Cook  Pantry boy deployed at A-101  NFC Guest House-February 2026"/>
    <m/>
    <m/>
    <n v="66028"/>
    <s v="Normal"/>
    <n v="18"/>
    <n v="5942.52"/>
    <n v="5942.52"/>
    <n v="0"/>
    <n v="0"/>
    <n v="0"/>
    <n v="0"/>
    <n v="0"/>
    <n v="0"/>
    <n v="0"/>
    <m/>
    <m/>
    <n v="0"/>
    <n v="77913.04"/>
    <s v="Y"/>
    <s v="N"/>
    <s v="11.7100.111.423701.1010.000000.0007.000000.000000.00000000"/>
    <m/>
    <m/>
    <m/>
    <m/>
    <x v="1"/>
    <x v="0"/>
    <s v="Yes"/>
    <s v="07"/>
    <s v="Delhi"/>
    <s v="07AADCA3655R1Z7AVZ/248/2025-26"/>
    <n v="11885.04"/>
    <n v="11885.04"/>
    <n v="0"/>
    <s v="Matched"/>
    <n v="106304313"/>
    <s v="Fwd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NOS"/>
    <m/>
    <n v="450"/>
    <n v="1"/>
    <n v="450"/>
    <s v="GST_India"/>
    <n v="5500"/>
    <d v="2026-03-09T00:00:00.000"/>
    <s v="BUDMINTIND"/>
    <n v="3919"/>
    <s v="20 MM FLEXIBLE PIPE"/>
    <m/>
    <m/>
    <n v="450"/>
    <s v="Normal"/>
    <n v="18"/>
    <n v="40.5"/>
    <n v="40.5"/>
    <n v="0"/>
    <n v="0"/>
    <n v="0"/>
    <n v="0"/>
    <n v="0"/>
    <n v="0"/>
    <n v="0"/>
    <m/>
    <m/>
    <n v="0"/>
    <n v="531"/>
    <s v="N"/>
    <s v="N"/>
    <s v="11.7100.111.424156.1000.100007.0007.000000.000000.00000000"/>
    <n v="1125113238"/>
    <s v="HO_INTRA-STATE_OTH_NON_REC_18%"/>
    <s v="INPUT"/>
    <m/>
    <x v="0"/>
    <x v="0"/>
    <s v="No"/>
    <s v="07"/>
    <s v="Delhi"/>
    <s v="07BGQPS0312G1ZF5500"/>
    <n v="81"/>
    <n v="7367.4"/>
    <n v="-7286"/>
    <s v="Matched"/>
    <n v="9122840"/>
    <s v="Fwd Non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20"/>
    <n v="2"/>
    <n v="240"/>
    <s v="GST_India"/>
    <n v="5501"/>
    <d v="2026-03-09T00:00:00.000"/>
    <s v="BUDMINTIND"/>
    <n v="8536"/>
    <s v="16 A SWTICH"/>
    <m/>
    <m/>
    <n v="240"/>
    <s v="Normal"/>
    <n v="18"/>
    <n v="21.6"/>
    <n v="21.6"/>
    <n v="0"/>
    <n v="0"/>
    <n v="0"/>
    <n v="0"/>
    <n v="0"/>
    <n v="0"/>
    <n v="0"/>
    <m/>
    <m/>
    <n v="0"/>
    <n v="283.2"/>
    <s v="N"/>
    <s v="N"/>
    <s v="11.7100.111.424156.1000.100007.0007.000000.000000.00000000"/>
    <n v="1125113239"/>
    <s v="HO_INTRA-STATE_OTH_NON_REC_18%"/>
    <s v="INPUT"/>
    <m/>
    <x v="0"/>
    <x v="0"/>
    <s v="No"/>
    <s v="07"/>
    <s v="Delhi"/>
    <s v="07BGQPS0312G1ZF5501"/>
    <n v="43.2"/>
    <n v="921.6"/>
    <n v="-878"/>
    <s v="Matched"/>
    <n v="9122848"/>
    <s v="Fwd Non Rec"/>
  </r>
  <r>
    <s v="Payable Invoice"/>
    <s v="AP_INVOICE "/>
    <n v="107"/>
    <s v="Godfrey_Phillips_India_Limited_HO"/>
    <s v="GPIL_HO_New_Delhi(Services)"/>
    <m/>
    <m/>
    <s v="07AABCG4768K1Z9"/>
    <s v="AP_INVOICES"/>
    <s v="STANDARD VALIDATED TAX"/>
    <s v="IA"/>
    <s v="STANDARD"/>
    <d v="2026-03-16T00:00:00.000"/>
    <s v="HRF2528000074941"/>
    <n v="9081084"/>
    <d v="2026-03-02T00:00:00.000"/>
    <s v="Supplier"/>
    <n v="2770"/>
    <s v="CANON INDIA PVT. LTD."/>
    <s v="GURGAON-1A"/>
    <s v="06AAACC4175D1Z2"/>
    <s v="NOS"/>
    <m/>
    <n v="1"/>
    <n v="4365"/>
    <n v="4365"/>
    <s v="GST_India"/>
    <s v="HRF2526000074941"/>
    <d v="2026-03-02T00:00:00.000"/>
    <s v="BUDMINTIND"/>
    <n v="997314"/>
    <s v="Photocopying rental charges - for the month of March  2026-Finance - 3rd Floor"/>
    <m/>
    <m/>
    <n v="4365"/>
    <s v="Normal"/>
    <n v="18"/>
    <n v="0"/>
    <n v="0"/>
    <n v="785.7"/>
    <n v="0"/>
    <n v="0"/>
    <n v="0"/>
    <n v="0"/>
    <n v="0"/>
    <n v="0"/>
    <m/>
    <m/>
    <n v="0"/>
    <n v="5150.7"/>
    <s v="Y"/>
    <s v="N"/>
    <s v="11.7100.111.414703.1006.000000.0007.000000.000000.00000000"/>
    <n v="1125111948"/>
    <s v="HO_INTER-STATE_OTH_REC_18%"/>
    <s v="INPUT_SERVICE"/>
    <m/>
    <x v="1"/>
    <x v="0"/>
    <s v="Yes"/>
    <s v="07"/>
    <s v="Delhi"/>
    <s v="06AAACC4175D1Z2HRF2526000074941"/>
    <n v="785.7"/>
    <n v="785.7"/>
    <n v="0"/>
    <s v="Matched"/>
    <n v="9081084"/>
    <s v="Fwd Rec"/>
  </r>
  <r>
    <s v="Payable Invoice"/>
    <s v="AP_INVOICE "/>
    <n v="107"/>
    <s v="Godfrey_Phillips_India_Limited_HO"/>
    <s v="GPIL_HO_New_Delhi(Services)"/>
    <m/>
    <s v="HO New Friends Colony"/>
    <s v="07AABCG4768K1Z9"/>
    <s v="AP_INVOICES"/>
    <s v="STANDARD CREATED"/>
    <s v="Manual Invoice Entry"/>
    <s v="STANDARD"/>
    <d v="2026-03-31T00:00:00.000"/>
    <n v="5501"/>
    <n v="9122848"/>
    <d v="2026-03-09T00:00:00.000"/>
    <s v="Supplier"/>
    <n v="43683"/>
    <s v="SHARMA ELECTRICAL COMPANY"/>
    <s v="NEW DELHI-OFF"/>
    <s v="07BGQPS0312G1ZF"/>
    <s v="NOS"/>
    <m/>
    <n v="140"/>
    <n v="1"/>
    <n v="140"/>
    <s v="GST_India"/>
    <n v="5501"/>
    <d v="2026-03-09T00:00:00.000"/>
    <s v="BUDMINTIND"/>
    <n v="8536"/>
    <s v="16 A SOCKET"/>
    <m/>
    <m/>
    <n v="140"/>
    <s v="Normal"/>
    <n v="18"/>
    <n v="12.6"/>
    <n v="12.6"/>
    <n v="0"/>
    <n v="0"/>
    <n v="0"/>
    <n v="0"/>
    <n v="0"/>
    <n v="0"/>
    <n v="0"/>
    <m/>
    <m/>
    <n v="0"/>
    <n v="165.2"/>
    <s v="N"/>
    <s v="N"/>
    <s v="11.7100.111.424156.1000.100007.0007.000000.000000.00000000"/>
    <n v="1125113239"/>
    <s v="HO_INTRA-STATE_OTH_NON_REC_18%"/>
    <s v="INPUT"/>
    <m/>
    <x v="0"/>
    <x v="0"/>
    <s v="No"/>
    <s v="07"/>
    <s v="Delhi"/>
    <s v="07BGQPS0312G1ZF5501"/>
    <n v="25.2"/>
    <n v="921.6"/>
    <n v="-896"/>
    <s v="Matched"/>
    <n v="9122848"/>
    <s v="Fwd Non Rec"/>
  </r>
  <r>
    <s v="Payable Invoice"/>
    <s v="AP_INVOICE "/>
    <n v="107"/>
    <s v="Godfrey_Phillips_India_Limited_HO"/>
    <s v="GPIL_HO_New_Delhi(Services)"/>
    <m/>
    <s v="HO New Friends Colony"/>
    <s v="07AABCG4768K1Z9"/>
    <s v="AP_INVOICES"/>
    <s v="STANDARD CREATED"/>
    <s v="Manual Invoice Entry"/>
    <s v="STANDARD"/>
    <d v="2026-03-31T00:00:00.000"/>
    <n v="5500"/>
    <n v="9122840"/>
    <d v="2026-03-09T00:00:00.000"/>
    <s v="Supplier"/>
    <n v="43683"/>
    <s v="SHARMA ELECTRICAL COMPANY"/>
    <s v="NEW DELHI-OFF"/>
    <s v="07BGQPS0312G1ZF"/>
    <s v="MTR"/>
    <m/>
    <n v="120"/>
    <n v="21"/>
    <n v="2520"/>
    <s v="GST_India"/>
    <n v="5500"/>
    <d v="2026-03-09T00:00:00.000"/>
    <s v="BUDMINTIND"/>
    <n v="8414"/>
    <s v="2*2.5 MM MULTI STAND WIRE"/>
    <m/>
    <m/>
    <n v="2520"/>
    <s v="Normal"/>
    <n v="18"/>
    <n v="226.8"/>
    <n v="226.8"/>
    <n v="0"/>
    <n v="0"/>
    <n v="0"/>
    <n v="0"/>
    <n v="0"/>
    <n v="0"/>
    <n v="0"/>
    <m/>
    <m/>
    <n v="0"/>
    <n v="2973.6"/>
    <s v="N"/>
    <s v="N"/>
    <s v="11.7100.111.424156.1000.100007.0007.000000.000000.00000000"/>
    <n v="1125113238"/>
    <s v="HO_INTRA-STATE_OTH_NON_REC_18%"/>
    <s v="INPUT"/>
    <m/>
    <x v="0"/>
    <x v="0"/>
    <s v="No"/>
    <s v="07"/>
    <s v="Delhi"/>
    <s v="07BGQPS0312G1ZF5500"/>
    <n v="453.6"/>
    <n v="7367.4"/>
    <n v="-6914"/>
    <s v="Matched"/>
    <n v="9122840"/>
    <s v="Fwd Non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JOB"/>
    <m/>
    <n v="6175"/>
    <n v="1"/>
    <n v="6175"/>
    <s v="GST_India"/>
    <n v="1791"/>
    <d v="2026-01-05T00:00:00.000"/>
    <s v="BUDMINTIND"/>
    <n v="998719"/>
    <s v="4th Floor Duct Band Dismantling &amp; Fixing "/>
    <m/>
    <m/>
    <n v="6175"/>
    <m/>
    <n v="18"/>
    <n v="555.75"/>
    <n v="555.75"/>
    <n v="0"/>
    <n v="0"/>
    <n v="0"/>
    <n v="0"/>
    <n v="0"/>
    <n v="0"/>
    <n v="0"/>
    <m/>
    <m/>
    <n v="0"/>
    <n v="46880.22"/>
    <s v="Y"/>
    <s v="N"/>
    <s v="11.7100.111.413901.1010.000000.0007.000000.000000.00000000"/>
    <n v="1125110430"/>
    <s v="HO_INTRA-STATE_OTH_REC_18%"/>
    <s v="INPUT_SERVICE"/>
    <m/>
    <x v="1"/>
    <x v="0"/>
    <s v="No"/>
    <s v="07"/>
    <s v="Delhi"/>
    <s v="07CNVPS1539L1Z41791"/>
    <n v="1111.5"/>
    <n v="7151.22"/>
    <n v="-6040"/>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57"/>
    <n v="40"/>
    <n v="2280"/>
    <s v="GST_India"/>
    <n v="1791"/>
    <d v="2026-01-05T00:00:00.000"/>
    <s v="BUDMINTIND"/>
    <n v="998719"/>
    <s v="10 mm Nut Bolt (SS Type). "/>
    <m/>
    <m/>
    <n v="2280"/>
    <m/>
    <n v="18"/>
    <n v="205.2"/>
    <n v="205.2"/>
    <n v="0"/>
    <n v="0"/>
    <n v="0"/>
    <n v="0"/>
    <n v="0"/>
    <n v="0"/>
    <n v="0"/>
    <m/>
    <m/>
    <n v="0"/>
    <n v="46880.22"/>
    <s v="Y"/>
    <s v="N"/>
    <s v="11.7100.111.413901.1010.000000.0007.000000.000000.00000000"/>
    <n v="1125110430"/>
    <s v="HO_INTRA-STATE_OTH_REC_18%"/>
    <s v="INPUT_SERVICE"/>
    <m/>
    <x v="1"/>
    <x v="0"/>
    <s v="No"/>
    <s v="07"/>
    <s v="Delhi"/>
    <s v="07CNVPS1539L1Z41791"/>
    <n v="410.4"/>
    <n v="7151.22"/>
    <n v="-6741"/>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332.5"/>
    <n v="4"/>
    <n v="1330"/>
    <s v="GST_India"/>
    <n v="1791"/>
    <d v="2026-01-05T00:00:00.000"/>
    <s v="BUDMINTIND"/>
    <n v="998719"/>
    <s v="Ball Valve (3/8 size). "/>
    <m/>
    <m/>
    <n v="1330"/>
    <m/>
    <n v="18"/>
    <n v="119.7"/>
    <n v="119.7"/>
    <n v="0"/>
    <n v="0"/>
    <n v="0"/>
    <n v="0"/>
    <n v="0"/>
    <n v="0"/>
    <n v="0"/>
    <m/>
    <m/>
    <n v="0"/>
    <n v="46880.22"/>
    <s v="Y"/>
    <s v="N"/>
    <s v="11.7100.111.413901.1010.000000.0007.000000.000000.00000000"/>
    <n v="1125110430"/>
    <s v="HO_INTRA-STATE_OTH_REC_18%"/>
    <s v="INPUT_SERVICE"/>
    <m/>
    <x v="1"/>
    <x v="0"/>
    <s v="No"/>
    <s v="07"/>
    <s v="Delhi"/>
    <s v="07CNVPS1539L1Z41791"/>
    <n v="239.4"/>
    <n v="7151.22"/>
    <n v="-6912"/>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522.5"/>
    <n v="4"/>
    <n v="2090"/>
    <s v="GST_India"/>
    <n v="1791"/>
    <d v="2026-01-05T00:00:00.000"/>
    <s v="BUDMINTIND"/>
    <n v="998719"/>
    <s v="Pressure Guage (3/8 size). "/>
    <m/>
    <m/>
    <n v="2090"/>
    <m/>
    <n v="18"/>
    <n v="188.1"/>
    <n v="188.1"/>
    <n v="0"/>
    <n v="0"/>
    <n v="0"/>
    <n v="0"/>
    <n v="0"/>
    <n v="0"/>
    <n v="0"/>
    <m/>
    <m/>
    <n v="0"/>
    <n v="46880.22"/>
    <s v="Y"/>
    <s v="N"/>
    <s v="11.7100.111.413901.1010.000000.0007.000000.000000.00000000"/>
    <n v="1125110430"/>
    <s v="HO_INTRA-STATE_OTH_REC_18%"/>
    <s v="INPUT_SERVICE"/>
    <m/>
    <x v="1"/>
    <x v="0"/>
    <s v="No"/>
    <s v="07"/>
    <s v="Delhi"/>
    <s v="07CNVPS1539L1Z41791"/>
    <n v="376.2"/>
    <n v="7151.22"/>
    <n v="-6775"/>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684"/>
    <n v="2"/>
    <n v="1368"/>
    <s v="GST_India"/>
    <n v="1791"/>
    <d v="2026-01-05T00:00:00.000"/>
    <s v="BUDMINTIND"/>
    <n v="998719"/>
    <s v="Tempratur Meter (1/2 size)"/>
    <m/>
    <m/>
    <n v="1368"/>
    <m/>
    <n v="18"/>
    <n v="123.12"/>
    <n v="123.12"/>
    <n v="0"/>
    <n v="0"/>
    <n v="0"/>
    <n v="0"/>
    <n v="0"/>
    <n v="0"/>
    <n v="0"/>
    <m/>
    <m/>
    <n v="0"/>
    <n v="46880.22"/>
    <s v="Y"/>
    <s v="N"/>
    <s v="11.7100.111.413901.1010.000000.0007.000000.000000.00000000"/>
    <n v="1125110430"/>
    <s v="HO_INTRA-STATE_OTH_REC_18%"/>
    <s v="INPUT_SERVICE"/>
    <m/>
    <x v="1"/>
    <x v="0"/>
    <s v="No"/>
    <s v="07"/>
    <s v="Delhi"/>
    <s v="07CNVPS1539L1Z41791"/>
    <n v="246.24"/>
    <n v="7151.22"/>
    <n v="-6905"/>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5890"/>
    <n v="4"/>
    <n v="23560"/>
    <s v="GST_India"/>
    <n v="1791"/>
    <d v="2026-01-05T00:00:00.000"/>
    <s v="BUDMINTIND"/>
    <n v="998719"/>
    <s v="125 mm Butterfly Valve (Zoloto or Adco Make). "/>
    <m/>
    <m/>
    <n v="23560"/>
    <m/>
    <n v="18"/>
    <n v="2120.4"/>
    <n v="2120.4"/>
    <n v="0"/>
    <n v="0"/>
    <n v="0"/>
    <n v="0"/>
    <n v="0"/>
    <n v="0"/>
    <n v="0"/>
    <m/>
    <m/>
    <n v="0"/>
    <n v="46880.22"/>
    <s v="Y"/>
    <s v="N"/>
    <s v="11.7100.111.413901.1010.000000.0007.000000.000000.00000000"/>
    <n v="1125110430"/>
    <s v="HO_INTRA-STATE_OTH_REC_18%"/>
    <s v="INPUT_SERVICE"/>
    <m/>
    <x v="1"/>
    <x v="0"/>
    <s v="No"/>
    <s v="07"/>
    <s v="Delhi"/>
    <s v="07CNVPS1539L1Z41791"/>
    <n v="4240.8"/>
    <n v="7151.22"/>
    <n v="-2910"/>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551"/>
    <n v="2"/>
    <n v="1102"/>
    <s v="GST_India"/>
    <n v="1791"/>
    <d v="2026-01-05T00:00:00.000"/>
    <s v="BUDMINTIND"/>
    <n v="998719"/>
    <s v="Ball Valve (1/2 size).."/>
    <m/>
    <m/>
    <n v="1102"/>
    <m/>
    <n v="18"/>
    <n v="99.18"/>
    <n v="99.18"/>
    <n v="0"/>
    <n v="0"/>
    <n v="0"/>
    <n v="0"/>
    <n v="0"/>
    <n v="0"/>
    <n v="0"/>
    <m/>
    <m/>
    <n v="0"/>
    <n v="46880.22"/>
    <s v="Y"/>
    <s v="N"/>
    <s v="11.7100.111.413901.1010.000000.0007.000000.000000.00000000"/>
    <n v="1125110430"/>
    <s v="HO_INTRA-STATE_OTH_REC_18%"/>
    <s v="INPUT_SERVICE"/>
    <m/>
    <x v="1"/>
    <x v="0"/>
    <s v="No"/>
    <s v="07"/>
    <s v="Delhi"/>
    <s v="07CNVPS1539L1Z41791"/>
    <n v="198.36"/>
    <n v="7151.22"/>
    <n v="-6953"/>
    <s v="Matched"/>
    <n v="8977074"/>
    <s v="Fwd Rec"/>
  </r>
  <r>
    <s v="Payable Invoice"/>
    <s v="AP_INVOICE "/>
    <n v="107"/>
    <s v="Godfrey_Phillips_India_Limited_HO"/>
    <s v="GPIL_HO_New_Delhi(Services)"/>
    <m/>
    <s v="HO New Friends Colony"/>
    <s v="07AABCG4768K1Z9"/>
    <s v="AP_INVOICES"/>
    <s v="STANDARD CREATED"/>
    <s v="Manual Invoice Entry"/>
    <s v="STANDARD"/>
    <d v="2026-01-29T00:00:00.000"/>
    <n v="1791"/>
    <n v="8977074"/>
    <d v="2026-01-05T00:00:00.000"/>
    <s v="Supplier"/>
    <n v="35605"/>
    <s v="HIGH COOL HVAC AIR CONDITIONING SYSTEMS"/>
    <s v="GODFREY PHILLIP"/>
    <s v="07CNVPS1539L1Z4"/>
    <s v="NOS"/>
    <m/>
    <n v="456"/>
    <n v="4"/>
    <n v="1824"/>
    <s v="GST_India"/>
    <n v="1791"/>
    <d v="2026-01-05T00:00:00.000"/>
    <s v="BUDMINTIND"/>
    <n v="998719"/>
    <s v="Syfone Pipe (3/8 size). "/>
    <m/>
    <m/>
    <n v="1824"/>
    <m/>
    <n v="18"/>
    <n v="164.16"/>
    <n v="164.16"/>
    <n v="0"/>
    <n v="0"/>
    <n v="0"/>
    <n v="0"/>
    <n v="0"/>
    <n v="0"/>
    <n v="0"/>
    <m/>
    <m/>
    <n v="0"/>
    <n v="46880.22"/>
    <s v="Y"/>
    <s v="N"/>
    <s v="11.7100.111.413901.1010.000000.0007.000000.000000.00000000"/>
    <n v="1125110430"/>
    <s v="HO_INTRA-STATE_OTH_REC_18%"/>
    <s v="INPUT_SERVICE"/>
    <m/>
    <x v="1"/>
    <x v="0"/>
    <s v="No"/>
    <s v="07"/>
    <s v="Delhi"/>
    <s v="07CNVPS1539L1Z41791"/>
    <n v="328.32"/>
    <n v="7151.22"/>
    <n v="-6823"/>
    <s v="Matched"/>
    <n v="8977074"/>
    <s v="Fwd Rec"/>
  </r>
  <r>
    <s v="Payable Invoice"/>
    <s v="AP_INVOICE "/>
    <n v="107"/>
    <s v="Godfrey_Phillips_India_Limited_HO"/>
    <s v="GPIL_HO_New_Delhi(Services)"/>
    <m/>
    <s v="HO New Friends Colony"/>
    <s v="07AABCG4768K1Z9"/>
    <s v="AP_INVOICES"/>
    <s v="STANDARD CREATED"/>
    <s v="Manual Invoice Entry"/>
    <s v="STANDARD"/>
    <d v="2025-11-27T00:00:00.000"/>
    <s v="LNC/25-26/5110"/>
    <n v="8855909"/>
    <d v="2025-10-31T00:00:00.000"/>
    <s v="Supplier"/>
    <n v="44848"/>
    <s v="LIFE N COLORS PRIVATE LIMITED"/>
    <s v="GURGAON-OFF"/>
    <s v="06AACCL4494J1Z8"/>
    <s v="SQF"/>
    <m/>
    <n v="211.864"/>
    <n v="270"/>
    <n v="57203.28"/>
    <s v="GST_India"/>
    <s v="LNC/25-26/5110"/>
    <d v="2025-10-31T00:00:00.000"/>
    <s v="BUDMINTIND"/>
    <n v="48142000"/>
    <s v="Customised Wallpaper Canvas Paper"/>
    <m/>
    <m/>
    <n v="57203.28"/>
    <m/>
    <n v="18"/>
    <n v="0"/>
    <n v="0"/>
    <n v="10296.59"/>
    <n v="0"/>
    <n v="0"/>
    <n v="0"/>
    <n v="0"/>
    <n v="0"/>
    <n v="0"/>
    <m/>
    <m/>
    <n v="0"/>
    <n v="66356"/>
    <s v="Y"/>
    <s v="N"/>
    <s v="11.7100.111.413701.1000.000000.0007.000000.000000.00000000"/>
    <n v="1125108446"/>
    <s v="HO_INTER-STATE_OTH_REC_18%"/>
    <s v="INPUT_SERVICE"/>
    <m/>
    <x v="1"/>
    <x v="0"/>
    <s v="No"/>
    <s v="07"/>
    <s v="Delhi"/>
    <s v="06AACCL4494J1Z8LNC/25-26/5110"/>
    <n v="10296.59"/>
    <n v="10122.11"/>
    <n v="174"/>
    <s v="Matched"/>
    <n v="8855909"/>
    <s v="Fwd Rec"/>
  </r>
  <r>
    <s v="Manual Regime Entry"/>
    <s v="MANUAL_ENTRY "/>
    <n v="107"/>
    <s v="Godfrey_Phillips_India_Limited_HO"/>
    <s v="GPIL_HO_New_Delhi(Services)"/>
    <m/>
    <s v="HO New Friends Colony"/>
    <s v="07AABCG4768K1Z9"/>
    <s v="MANUAL_ENTRY"/>
    <s v="MANUAL_ENTRY_CREATE"/>
    <s v="Form Entry"/>
    <s v="RECOVERY"/>
    <d v="2025-11-12T00:00:00.000"/>
    <n v="99889790"/>
    <n v="99889790"/>
    <d v="2025-11-12T00:00:00.000"/>
    <s v="Supplier"/>
    <n v="28324"/>
    <s v="AIR INDIA LIMITED"/>
    <s v="MAHARASHTRA_1"/>
    <s v="27AACCN6194P1ZP"/>
    <m/>
    <m/>
    <n v="0"/>
    <n v="0"/>
    <n v="6568"/>
    <s v="GST_India"/>
    <s v="272612BP05AFT995"/>
    <d v="2025-05-26T00:00:00.000"/>
    <s v="AIRGST996425"/>
    <n v="996311"/>
    <s v="69K54A;MATTU NIKHAR MR;BOMDELAI;D2500612"/>
    <m/>
    <m/>
    <n v="6568"/>
    <m/>
    <n v="5"/>
    <n v="0"/>
    <n v="0"/>
    <n v="328.4"/>
    <n v="0"/>
    <n v="0"/>
    <n v="0"/>
    <n v="0"/>
    <n v="0"/>
    <n v="0"/>
    <m/>
    <m/>
    <n v="0"/>
    <n v="6896.4"/>
    <s v="Y"/>
    <s v="N"/>
    <s v="11.7100.111.418801.2700.111372.0000.000000.000000.00000000"/>
    <m/>
    <m/>
    <m/>
    <m/>
    <x v="1"/>
    <x v="0"/>
    <s v="Yes"/>
    <s v="07"/>
    <s v="Delhi"/>
    <s v="27AACCN6194P1ZP272612BP05AFT995"/>
    <n v="328.4"/>
    <n v="289"/>
    <n v="39"/>
    <s v="Matched"/>
    <n v="99889790"/>
    <s v="Fwd Rec"/>
  </r>
  <r>
    <s v="Manual Regime Entry"/>
    <s v="MANUAL_ENTRY "/>
    <n v="107"/>
    <s v="Godfrey_Phillips_India_Limited_HO"/>
    <s v="GPIL_HO_New_Delhi(Services)"/>
    <m/>
    <s v="HO New Friends Colony"/>
    <s v="07AABCG4768K1Z9"/>
    <s v="MANUAL_ENTRY"/>
    <s v="MANUAL_ENTRY_CREATE"/>
    <s v="Form Entry"/>
    <s v="RECOVERY"/>
    <d v="2025-11-15T00:00:00.000"/>
    <n v="100070387"/>
    <n v="100070387"/>
    <d v="2025-11-15T00:00:00.000"/>
    <s v="Supplier"/>
    <n v="28324"/>
    <s v="AIR INDIA LIMITED"/>
    <s v="DELHI"/>
    <s v="07AACCN6194P2ZQ"/>
    <m/>
    <m/>
    <n v="0"/>
    <n v="0"/>
    <n v="17340"/>
    <s v="GST_India"/>
    <s v="072612BP04AGO519"/>
    <d v="2025-04-25T00:00:00.000"/>
    <s v="AIRGST996425"/>
    <n v="996311"/>
    <s v="JXEIPJ;SAHNI ROHIT MR;DELPNQAI;D2500371"/>
    <m/>
    <m/>
    <n v="17340"/>
    <m/>
    <n v="5"/>
    <n v="433.5"/>
    <n v="433.5"/>
    <n v="0"/>
    <n v="0"/>
    <n v="0"/>
    <n v="0"/>
    <n v="0"/>
    <n v="0"/>
    <n v="0"/>
    <m/>
    <m/>
    <n v="0"/>
    <n v="35547"/>
    <s v="Y"/>
    <s v="N"/>
    <s v="11.7100.111.418801.2600.200011.0000.000000.000000.00000000"/>
    <m/>
    <m/>
    <m/>
    <m/>
    <x v="1"/>
    <x v="0"/>
    <s v="Yes"/>
    <s v="07"/>
    <s v="Delhi"/>
    <s v="07AACCN6194P2ZQ072612BP04AGO519"/>
    <n v="867"/>
    <n v="867"/>
    <n v="0"/>
    <s v="Matched"/>
    <n v="100070387"/>
    <s v="Fwd Rec"/>
  </r>
  <r>
    <s v="Payable Invoice"/>
    <s v="AP_INVOICE "/>
    <n v="107"/>
    <s v="Godfrey_Phillips_India_Limited_HO"/>
    <s v="GPIL_HO_New_Delhi(Services)"/>
    <m/>
    <s v="HO New Friends Colony"/>
    <s v="07AABCG4768K1Z9"/>
    <s v="AP_INVOICES"/>
    <s v="STANDARD CREATED"/>
    <s v="Manual Invoice Entry"/>
    <s v="STANDARD"/>
    <d v="2025-11-25T00:00:00.000"/>
    <n v="1131"/>
    <n v="8854263"/>
    <d v="2025-11-12T00:00:00.000"/>
    <s v="Supplier"/>
    <n v="38992"/>
    <s v="VIKAS KRISHI STORE"/>
    <s v="NEW DELHI"/>
    <s v="07ASGPB8163K1ZK"/>
    <s v="LOT"/>
    <m/>
    <n v="13900"/>
    <n v="1"/>
    <n v="13900"/>
    <s v="GST_India"/>
    <n v="1131"/>
    <d v="2025-11-12T00:00:00.000"/>
    <s v="BUDMINTIND"/>
    <n v="3808"/>
    <s v="LIVING PLANTS, SEEDS, COMPOST &amp; ETC"/>
    <m/>
    <m/>
    <n v="13900"/>
    <m/>
    <n v="18"/>
    <n v="1251"/>
    <n v="1251"/>
    <n v="0"/>
    <n v="0"/>
    <n v="0"/>
    <n v="0"/>
    <n v="0"/>
    <n v="0"/>
    <n v="0"/>
    <m/>
    <m/>
    <n v="0"/>
    <n v="22852"/>
    <s v="N"/>
    <s v="N"/>
    <s v="11.7100.111.424156.1000.100007.0007.000000.000000.00000000"/>
    <n v="1125108407"/>
    <s v="HO_INTRA-STATE_OTH_NON_REC_18%"/>
    <s v="INPUT"/>
    <m/>
    <x v="0"/>
    <x v="0"/>
    <s v="No"/>
    <s v="07"/>
    <s v="Delhi"/>
    <s v="07ASGPB8163K1ZK1131"/>
    <n v="2502"/>
    <n v="2502"/>
    <n v="0"/>
    <s v="Matched"/>
    <n v="8854263"/>
    <s v="Fwd Non Rec"/>
  </r>
  <r>
    <s v="Manual Regime Entry"/>
    <s v="MANUAL_ENTRY "/>
    <n v="107"/>
    <s v="Godfrey_Phillips_India_Limited_HO"/>
    <s v="GPIL_HO_New_Delhi(Services)"/>
    <m/>
    <s v="HO New Friends Colony"/>
    <s v="07AABCG4768K1Z9"/>
    <s v="MANUAL_ENTRY"/>
    <s v="MANUAL_ENTRY_CREATE"/>
    <s v="Form Entry"/>
    <s v="RECOVERY"/>
    <d v="2025-11-15T00:00:00.000"/>
    <n v="100070266"/>
    <n v="100070266"/>
    <d v="2025-11-15T00:00:00.000"/>
    <s v="Supplier"/>
    <n v="28324"/>
    <s v="AIR INDIA LIMITED"/>
    <s v="WEST BENGAL"/>
    <s v="19AACCN6194P1ZM"/>
    <m/>
    <m/>
    <n v="0"/>
    <n v="0"/>
    <n v="8000"/>
    <s v="GST_India"/>
    <s v="192622BP05AAI362"/>
    <d v="2025-05-31T00:00:00.000"/>
    <s v="AIRGST996425"/>
    <n v="996311"/>
    <s v="7AU6H5;BHASIN LALIT MR;CCUDELAI;D2500630"/>
    <m/>
    <m/>
    <n v="8000"/>
    <m/>
    <n v="12"/>
    <n v="0"/>
    <n v="0"/>
    <n v="960"/>
    <n v="0"/>
    <n v="0"/>
    <n v="0"/>
    <n v="0"/>
    <n v="0"/>
    <n v="0"/>
    <m/>
    <m/>
    <n v="0"/>
    <n v="8960"/>
    <s v="Y"/>
    <s v="N"/>
    <s v="11.7100.111.416001.1009.000000.0000.000000.000000.00000000"/>
    <m/>
    <m/>
    <m/>
    <m/>
    <x v="1"/>
    <x v="0"/>
    <s v="Yes"/>
    <s v="07"/>
    <s v="Delhi"/>
    <s v="19AACCN6194P1ZM192622BP05AAI362"/>
    <n v="960"/>
    <n v="960"/>
    <n v="0"/>
    <s v="Matched"/>
    <n v="100070266"/>
    <s v="Fwd Rec"/>
  </r>
  <r>
    <s v="Manual Regime Entry"/>
    <s v="MANUAL_ENTRY "/>
    <n v="107"/>
    <s v="Godfrey_Phillips_India_Limited_HO"/>
    <s v="GPIL_HO_New_Delhi(Services)"/>
    <m/>
    <s v="HO New Friends Colony"/>
    <s v="07AABCG4768K1Z9"/>
    <s v="MANUAL_ENTRY"/>
    <s v="MANUAL_ENTRY_CREATE"/>
    <s v="Form Entry"/>
    <s v="RECOVERY"/>
    <d v="2025-10-14T00:00:00.000"/>
    <n v="98288088"/>
    <n v="98288088"/>
    <d v="2025-10-14T00:00:00.000"/>
    <s v="Supplier"/>
    <n v="28324"/>
    <s v="AIR INDIA LIMITED"/>
    <s v="DELHI"/>
    <s v="07AACCN6194P2ZQ"/>
    <m/>
    <m/>
    <n v="0"/>
    <n v="0"/>
    <n v="476"/>
    <s v="GST_India"/>
    <s v="072622BP06AAI495"/>
    <d v="2025-06-03T00:00:00.000"/>
    <s v="AIRGST996425"/>
    <n v="996311"/>
    <s v="8RKKTT;SHARMA SACHIN MR;DELBLRAI;D2500681"/>
    <m/>
    <m/>
    <n v="476"/>
    <m/>
    <n v="5"/>
    <n v="11.9"/>
    <n v="11.9"/>
    <n v="0"/>
    <n v="0"/>
    <n v="0"/>
    <n v="0"/>
    <n v="0"/>
    <n v="0"/>
    <n v="0"/>
    <m/>
    <m/>
    <n v="0"/>
    <n v="975.8"/>
    <s v="Y"/>
    <s v="N"/>
    <s v="11.7100.111.418801.0003.111207.0000.000000.000000.00000000"/>
    <m/>
    <m/>
    <m/>
    <m/>
    <x v="1"/>
    <x v="0"/>
    <s v="Yes"/>
    <s v="07"/>
    <s v="Delhi"/>
    <s v="07AACCN6194P2ZQ072622BP06AAI495"/>
    <n v="23.8"/>
    <n v="24"/>
    <n v="0"/>
    <s v="Matched"/>
    <n v="98288088"/>
    <s v="Fwd Rec"/>
  </r>
  <r>
    <s v="Manual Regime Entry"/>
    <s v="MANUAL_ENTRY "/>
    <n v="107"/>
    <s v="Godfrey_Phillips_India_Limited_HO"/>
    <s v="GPIL_HO_New_Delhi(Services)"/>
    <m/>
    <s v="HO New Friends Colony"/>
    <s v="07AABCG4768K1Z9"/>
    <s v="MANUAL_ENTRY"/>
    <s v="MANUAL_ENTRY_CREATE"/>
    <s v="Form Entry"/>
    <s v="RECOVERY"/>
    <d v="2025-10-14T00:00:00.000"/>
    <n v="98288194"/>
    <n v="98288194"/>
    <d v="2025-10-14T00:00:00.000"/>
    <s v="Supplier"/>
    <n v="28324"/>
    <s v="AIR INDIA LIMITED"/>
    <s v="DELHI"/>
    <s v="07AACCN6194P2ZQ"/>
    <m/>
    <m/>
    <n v="0"/>
    <n v="0"/>
    <n v="8255"/>
    <s v="GST_India"/>
    <s v="072612BP04ACB413"/>
    <d v="2025-04-07T00:00:00.000"/>
    <s v="AIRGST996425"/>
    <n v="996311"/>
    <s v="LTY9JT;KUMAR SAMEER MR;DELRPRAI;D2500059"/>
    <m/>
    <m/>
    <n v="8255"/>
    <m/>
    <n v="5"/>
    <n v="206.38"/>
    <n v="206.38"/>
    <n v="0"/>
    <n v="0"/>
    <n v="0"/>
    <n v="0"/>
    <n v="0"/>
    <n v="0"/>
    <n v="0"/>
    <m/>
    <m/>
    <n v="0"/>
    <n v="16922.76"/>
    <s v="Y"/>
    <s v="N"/>
    <s v="11.7100.111.418801.1015.150153.0000.000000.000000.00000000"/>
    <m/>
    <m/>
    <m/>
    <m/>
    <x v="1"/>
    <x v="0"/>
    <s v="Yes"/>
    <s v="07"/>
    <s v="Delhi"/>
    <s v="07AACCN6194P2ZQ072612BP04ACB413"/>
    <n v="412.76"/>
    <n v="375"/>
    <n v="38"/>
    <s v="Matched"/>
    <n v="98288194"/>
    <s v="Fwd Rec"/>
  </r>
  <r>
    <s v="Manual Regime Entry"/>
    <s v="MANUAL_ENTRY "/>
    <n v="107"/>
    <s v="Godfrey_Phillips_India_Limited_HO"/>
    <s v="GPIL_HO_New_Delhi(Services)"/>
    <m/>
    <s v="HO New Friends Colony"/>
    <s v="07AABCG4768K1Z9"/>
    <s v="MANUAL_ENTRY"/>
    <s v="MANUAL_ENTRY_CREATE"/>
    <s v="Form Entry"/>
    <s v="RECOVERY"/>
    <d v="2025-10-14T00:00:00.000"/>
    <n v="98288196"/>
    <n v="98288196"/>
    <d v="2025-10-14T00:00:00.000"/>
    <s v="Supplier"/>
    <n v="28324"/>
    <s v="AIR INDIA LIMITED"/>
    <s v="TAMIL NADU"/>
    <s v="33AACCN6194P2ZV"/>
    <m/>
    <m/>
    <n v="0"/>
    <n v="0"/>
    <n v="6693"/>
    <s v="GST_India"/>
    <s v="332612BP04AAO103"/>
    <d v="2025-04-11T00:00:00.000"/>
    <s v="AIRGST996425"/>
    <n v="996311"/>
    <s v="KDTMPB;SINGH SUNIL KUMAR MR;MAADELAI;D2500123"/>
    <m/>
    <m/>
    <n v="6693"/>
    <m/>
    <n v="5"/>
    <n v="0"/>
    <n v="0"/>
    <n v="334.65"/>
    <n v="0"/>
    <n v="0"/>
    <n v="0"/>
    <n v="0"/>
    <n v="0"/>
    <n v="0"/>
    <m/>
    <m/>
    <n v="0"/>
    <n v="7027.65"/>
    <s v="Y"/>
    <s v="N"/>
    <s v="11.7100.111.418801.1013.150104.0000.000000.000000.00000000"/>
    <m/>
    <m/>
    <m/>
    <m/>
    <x v="1"/>
    <x v="0"/>
    <s v="Yes"/>
    <s v="07"/>
    <s v="Delhi"/>
    <s v="33AACCN6194P2ZV332612BP04AAO103"/>
    <n v="334.65"/>
    <n v="335"/>
    <n v="0"/>
    <s v="Matched"/>
    <n v="98288196"/>
    <s v="Fwd Rec"/>
  </r>
  <r>
    <s v="Payable Invoice"/>
    <s v="AP_INVOICE "/>
    <n v="107"/>
    <s v="Godfrey_Phillips_India_Limited_HO"/>
    <s v="GPIL_HO_New_Delhi(Services)"/>
    <m/>
    <m/>
    <s v="07AABCG4768K1Z9"/>
    <s v="AP_INVOICES"/>
    <s v="STANDARD VALIDATED TAX"/>
    <s v="IA"/>
    <s v="STANDARD"/>
    <d v="2026-03-31T00:00:00.000"/>
    <s v="26307S000096"/>
    <n v="9151251"/>
    <d v="2026-03-31T00:00:00.000"/>
    <s v="Supplier"/>
    <n v="2045"/>
    <s v="BLUE DART EXPRESS LTD"/>
    <s v="NEW DELHI"/>
    <s v="07AAACB0446L1ZU"/>
    <s v="NOS"/>
    <m/>
    <n v="1"/>
    <n v="830.5"/>
    <n v="830.5"/>
    <s v="GST_India"/>
    <s v="26307S000096"/>
    <d v="2026-03-31T00:00:00.000"/>
    <s v="MISCELLENS"/>
    <n v="996812"/>
    <s v="Ground - Credit ODA NOT BILLED EARLIER 519164972861M0 FEB26"/>
    <m/>
    <m/>
    <n v="830.5"/>
    <s v="Normal"/>
    <n v="18"/>
    <n v="74.75"/>
    <n v="74.75"/>
    <n v="0"/>
    <n v="0"/>
    <n v="0"/>
    <n v="0"/>
    <n v="0"/>
    <n v="0"/>
    <n v="0"/>
    <m/>
    <m/>
    <n v="0"/>
    <n v="980"/>
    <s v="Y"/>
    <s v="N"/>
    <s v="11.7100.112.420702.2601.000000.0007.000000.000000.00000000"/>
    <n v="1125113847"/>
    <s v="HO_INTRA-STATE_OTH_REC_18%"/>
    <s v="INPUT_SERVICE"/>
    <m/>
    <x v="1"/>
    <x v="0"/>
    <s v="Yes"/>
    <s v="07"/>
    <s v="Delhi"/>
    <s v="07AAACB0446L1ZU26307S000096"/>
    <n v="149.5"/>
    <n v="149.5"/>
    <n v="0"/>
    <s v="Matched"/>
    <n v="9151251"/>
    <s v="Fwd Rec"/>
  </r>
  <r>
    <s v="Payable Invoice"/>
    <s v="AP_INVOICE "/>
    <n v="107"/>
    <s v="Godfrey_Phillips_India_Limited_HO"/>
    <s v="GPIL_HO_New_Delhi(Services)"/>
    <s v="D2403378"/>
    <m/>
    <s v="07AABCG4768K1Z9"/>
    <s v="AP_INVOICES"/>
    <s v="STANDARD VALIDATED TAX"/>
    <s v="Manual Invoice Entry"/>
    <s v="CREDIT"/>
    <d v="2026-03-31T00:00:00.000"/>
    <s v="CD250107/A"/>
    <n v="9167810"/>
    <d v="2025-06-05T00:00:00.000"/>
    <s v="Supplier"/>
    <n v="1581"/>
    <s v="BEACON TRAVELS PVT LTD"/>
    <s v="DOMESTIC"/>
    <s v="07AAACB0272G1Z5"/>
    <m/>
    <m/>
    <n v="0"/>
    <n v="0"/>
    <n v="0"/>
    <s v="GST_India"/>
    <s v="CD250107"/>
    <d v="2025-06-05T00:00:00.000"/>
    <m/>
    <n v="998552"/>
    <s v="Credit note against D2403378-LALIT BHASIN-BOM/DEL"/>
    <m/>
    <m/>
    <n v="0"/>
    <s v="Normal"/>
    <n v="18"/>
    <n v="-188.9"/>
    <n v="-188.9"/>
    <n v="0"/>
    <n v="0"/>
    <n v="0"/>
    <n v="0"/>
    <n v="0"/>
    <n v="0"/>
    <n v="0"/>
    <m/>
    <m/>
    <n v="0"/>
    <n v="-377.8"/>
    <s v="Y"/>
    <s v="N"/>
    <s v="11.7100.111.416001.1009.000000.0007.000000.000000.00000000"/>
    <n v="1125113972"/>
    <s v="HO_INTRA-STATE_OTH_REC_18%"/>
    <s v="INPUT_SERVICE"/>
    <m/>
    <x v="1"/>
    <x v="0"/>
    <s v="Yes"/>
    <s v="07"/>
    <s v="Delhi"/>
    <s v="07AAACB0272G1Z5CD250107"/>
    <n v="-377.8"/>
    <n v="-378"/>
    <n v="0"/>
    <s v="Matched"/>
    <n v="9167810"/>
    <s v="Fwd Rec"/>
  </r>
  <r>
    <s v="Payable Invoice"/>
    <s v="AP_INVOICE "/>
    <n v="107"/>
    <s v="Godfrey_Phillips_India_Limited_HO"/>
    <s v="GPIL_HO_New_Delhi(Services)"/>
    <m/>
    <m/>
    <s v="07AABCG4768K1Z9"/>
    <s v="AP_INVOICES"/>
    <s v="STANDARD VALIDATED TAX"/>
    <s v="IA"/>
    <s v="STANDARD"/>
    <d v="2026-03-31T00:00:00.000"/>
    <s v="2026307R00005230"/>
    <n v="9155601"/>
    <d v="2026-03-31T00:00:00.000"/>
    <s v="Supplier"/>
    <n v="2045"/>
    <s v="BLUE DART EXPRESS LTD"/>
    <s v="INTERNATIONAL"/>
    <s v="07AAACB0446L1ZU"/>
    <s v="NOS"/>
    <m/>
    <n v="1"/>
    <n v="12696.31"/>
    <n v="12696.31"/>
    <s v="GST_India"/>
    <s v="2026307R00005230"/>
    <d v="2026-03-31T00:00:00.000"/>
    <s v="MISCELLENS"/>
    <n v="996812"/>
    <s v="Freight  VAS"/>
    <m/>
    <m/>
    <n v="12696.31"/>
    <s v="Normal"/>
    <n v="18"/>
    <n v="0"/>
    <n v="0"/>
    <n v="2285.34"/>
    <n v="0"/>
    <n v="0"/>
    <n v="0"/>
    <n v="0"/>
    <n v="0"/>
    <n v="0"/>
    <m/>
    <m/>
    <n v="0"/>
    <n v="14981.65"/>
    <s v="Y"/>
    <s v="N"/>
    <s v="11.7100.112.420702.2601.000000.0007.000000.000000.00000000"/>
    <n v="1125113858"/>
    <s v="HO_INTER-STATE_OTH_REC_18%"/>
    <s v="INPUT_SERVICE"/>
    <m/>
    <x v="1"/>
    <x v="0"/>
    <s v="Yes"/>
    <s v="07"/>
    <s v="Delhi"/>
    <s v="07AAACB0446L1ZU2026307R00005230"/>
    <n v="2285.34"/>
    <n v="2285.34"/>
    <n v="0"/>
    <s v="Matched"/>
    <n v="9155601"/>
    <s v="Fwd Rec"/>
  </r>
  <r>
    <s v="Payable Invoice"/>
    <s v="AP_INVOICE "/>
    <n v="107"/>
    <s v="Godfrey_Phillips_India_Limited_HO"/>
    <s v="GPIL_HO_New_Delhi(Services)"/>
    <m/>
    <m/>
    <s v="07AABCG4768K1Z9"/>
    <s v="AP_INVOICES"/>
    <s v="STANDARD VALIDATED TAX"/>
    <s v="IA"/>
    <s v="STANDARD"/>
    <d v="2026-03-31T00:00:00.000"/>
    <s v="26307S000132"/>
    <n v="9151250"/>
    <d v="2026-03-31T00:00:00.000"/>
    <s v="Supplier"/>
    <n v="2045"/>
    <s v="BLUE DART EXPRESS LTD"/>
    <s v="NEW DELHI"/>
    <s v="07AAACB0446L1ZU"/>
    <s v="NOS"/>
    <m/>
    <n v="1"/>
    <n v="604"/>
    <n v="604"/>
    <s v="GST_India"/>
    <s v="26307S000132"/>
    <d v="2026-03-31T00:00:00.000"/>
    <s v="MISCELLENS"/>
    <n v="996812"/>
    <s v="International WPX Credit"/>
    <m/>
    <m/>
    <n v="604"/>
    <s v="Normal"/>
    <n v="18"/>
    <n v="54.36"/>
    <n v="54.36"/>
    <n v="0"/>
    <n v="0"/>
    <n v="0"/>
    <n v="0"/>
    <n v="0"/>
    <n v="0"/>
    <n v="0"/>
    <m/>
    <m/>
    <n v="0"/>
    <n v="712.72"/>
    <s v="Y"/>
    <s v="N"/>
    <s v="11.7100.112.420702.2601.000000.0007.000000.000000.00000000"/>
    <n v="1125113846"/>
    <s v="HO_INTRA-STATE_OTH_REC_18%"/>
    <s v="INPUT_SERVICE"/>
    <m/>
    <x v="1"/>
    <x v="0"/>
    <s v="Yes"/>
    <s v="07"/>
    <s v="Delhi"/>
    <s v="07AAACB0446L1ZU26307S000132"/>
    <n v="108.72"/>
    <n v="108.72"/>
    <n v="0"/>
    <s v="Matched"/>
    <n v="9151250"/>
    <s v="Fwd Rec"/>
  </r>
  <r>
    <s v="Payable Invoice"/>
    <s v="AP_INVOICE "/>
    <n v="107"/>
    <s v="Godfrey_Phillips_India_Limited_HO"/>
    <s v="GPIL_HO_New_Delhi(Services)"/>
    <m/>
    <m/>
    <s v="07AABCG4768K1Z9"/>
    <s v="AP_INVOICES"/>
    <s v="STANDARD VALIDATED TAX"/>
    <s v="IA"/>
    <s v="STANDARD"/>
    <d v="2026-03-31T00:00:00.000"/>
    <s v="2026327R00021506"/>
    <n v="9164661"/>
    <d v="2026-03-31T00:00:00.000"/>
    <s v="Supplier"/>
    <n v="2045"/>
    <s v="BLUE DART EXPRESS LTD"/>
    <s v="MUMBAI"/>
    <s v="27AAACB0446L1ZS"/>
    <s v="NOS"/>
    <m/>
    <n v="5668.54"/>
    <n v="5668.54"/>
    <n v="5668.54"/>
    <s v="GST_India"/>
    <s v="2026327R00021506"/>
    <d v="2026-03-31T00:00:00.000"/>
    <m/>
    <n v="996812"/>
    <s v="Freight  VAS"/>
    <m/>
    <m/>
    <n v="5668.54"/>
    <s v="Normal"/>
    <n v="18"/>
    <n v="0"/>
    <n v="0"/>
    <n v="1020.34"/>
    <n v="0"/>
    <n v="0"/>
    <n v="0"/>
    <n v="0"/>
    <n v="0"/>
    <n v="0"/>
    <m/>
    <m/>
    <n v="0"/>
    <n v="6688.88"/>
    <s v="Y"/>
    <s v="N"/>
    <s v="11.7100.112.420702.2601.000000.0007.000000.000000.00000000"/>
    <n v="1125113962"/>
    <s v="HO_INTER-STATE_OTH_REC_18%"/>
    <s v="INPUT_SERVICE"/>
    <m/>
    <x v="1"/>
    <x v="0"/>
    <s v="Yes"/>
    <s v="07"/>
    <s v="Delhi"/>
    <s v="27AAACB0446L1ZS2026327R00021506"/>
    <n v="1020.34"/>
    <n v="1020.34"/>
    <n v="0"/>
    <s v="Matched"/>
    <n v="9164661"/>
    <s v="Fwd Rec"/>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50151-007D-4B46-BBFA-9BDCDFB2C220}" name="PivotTable3" cacheId="38" applyNumberFormats="0" applyBorderFormats="0" applyFontFormats="0" applyPatternFormats="0" applyAlignmentFormats="0" applyWidthHeightFormats="1" dataCaption="Values" updatedVersion="8" useAutoFormatting="1" itemPrintTitles="1" createdVersion="8" indent="0" outline="1" outlineData="1" multipleFieldFilters="0">
  <location ref="A3:E10" firstHeaderRow="0"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axis="axisValues" dataField="1" showAll="0"/>
    <pivotField axis="axisValues" dataField="1" showAll="0"/>
    <pivotField axis="axisValues" dataField="1" showAll="0"/>
    <pivotField showAll="0"/>
    <pivotField showAll="0"/>
    <pivotField showAll="0"/>
    <pivotField axis="axisValues"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s>
  <rowFields count="2">
    <field x="58"/>
    <field x="57"/>
  </rowFields>
  <rowItems count="7">
    <i>
      <x/>
    </i>
    <i r="1">
      <x/>
    </i>
    <i r="1">
      <x v="1"/>
    </i>
    <i>
      <x v="1"/>
    </i>
    <i r="1">
      <x v="2"/>
    </i>
    <i r="1">
      <x v="3"/>
    </i>
    <i t="grand">
      <x/>
    </i>
  </rowItems>
  <colFields count="1">
    <field x="-2"/>
  </colFields>
  <colItems count="4">
    <i>
      <x/>
    </i>
    <i i="1">
      <x v="1"/>
    </i>
    <i i="2">
      <x v="2"/>
    </i>
    <i i="3">
      <x v="3"/>
    </i>
  </colItems>
  <dataFields count="4">
    <dataField name="Sum of IGST" fld="39" baseField="0" baseItem="0"/>
    <dataField name="Sum of SGST" fld="37" baseField="0" baseItem="0"/>
    <dataField name="Sum of CGST" fld="38" baseField="0" baseItem="0"/>
    <dataField name="Sum of CESS1" fld="43" baseField="0" baseItem="0"/>
  </dataFields>
  <formats count="2">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4.bin" /><Relationship Id="rId2"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sheetPr codeName=""/>
  <dimension ref="A1:H70"/>
  <sheetViews>
    <sheetView tabSelected="1" zoomScale="106" zoomScaleNormal="106" workbookViewId="0" topLeftCell="A1">
      <pane ySplit="2" topLeftCell="A19" activePane="bottomLeft" state="frozen"/>
      <selection pane="topLeft" activeCell="A1" sqref="A1"/>
      <selection pane="bottomLeft" activeCell="B36" sqref="B36"/>
    </sheetView>
  </sheetViews>
  <sheetFormatPr defaultColWidth="9.14285714285714" defaultRowHeight="14.5"/>
  <cols>
    <col min="1" max="1" width="52" customWidth="1"/>
    <col min="2" max="2" width="15.2857142857143" customWidth="1"/>
    <col min="3" max="3" width="20.2857142857143" customWidth="1"/>
    <col min="4" max="4" width="14.1428571428571" customWidth="1"/>
    <col min="5" max="5" width="22.8571428571429" customWidth="1"/>
    <col min="6" max="6" width="22.4285714285714" customWidth="1"/>
    <col min="7" max="8" width="14.2857142857143" customWidth="1"/>
  </cols>
  <sheetData>
    <row r="1" spans="1:6" ht="11.25" customHeight="1">
      <c r="A1" s="176" t="s">
        <v>45</v>
      </c>
      <c r="B1" s="177"/>
      <c r="C1" s="177"/>
      <c r="D1" s="177"/>
      <c r="E1" s="177"/>
      <c r="F1" s="177"/>
    </row>
    <row r="2" spans="1:6" ht="9" customHeight="1" thickBot="1">
      <c r="A2" s="178"/>
      <c r="B2" s="179"/>
      <c r="C2" s="179"/>
      <c r="D2" s="179"/>
      <c r="E2" s="179"/>
      <c r="F2" s="179"/>
    </row>
    <row r="3" spans="1:6" ht="16" thickBot="1">
      <c r="A3" s="4"/>
      <c r="B3" s="4"/>
      <c r="C3" s="4"/>
      <c r="D3" s="4"/>
      <c r="E3" s="4"/>
      <c r="F3" s="4"/>
    </row>
    <row r="4" spans="1:6" s="1" customFormat="1" ht="13.5" thickBot="1">
      <c r="A4" s="75" t="s">
        <v>0</v>
      </c>
      <c r="B4" s="180" t="s">
        <v>48</v>
      </c>
      <c r="C4" s="180"/>
      <c r="D4" s="181" t="s">
        <v>1</v>
      </c>
      <c r="E4" s="182"/>
      <c r="F4" s="76" t="s">
        <v>462</v>
      </c>
    </row>
    <row r="5" spans="1:6" s="1" customFormat="1" ht="13.5" customHeight="1" thickTop="1" thickBot="1">
      <c r="A5" s="77" t="s">
        <v>46</v>
      </c>
      <c r="B5" s="183" t="s">
        <v>47</v>
      </c>
      <c r="C5" s="183"/>
      <c r="D5" s="184" t="s">
        <v>2</v>
      </c>
      <c r="E5" s="185"/>
      <c r="F5" s="80" t="s">
        <v>463</v>
      </c>
    </row>
    <row r="6" spans="1:6" s="1" customFormat="1" ht="13.5" thickBot="1">
      <c r="A6" s="78"/>
      <c r="B6" s="78"/>
      <c r="C6" s="78"/>
      <c r="D6" s="78"/>
      <c r="E6" s="78"/>
      <c r="F6" s="78"/>
    </row>
    <row r="7" spans="1:6" s="1" customFormat="1" ht="13.5" thickBot="1">
      <c r="A7" s="186" t="s">
        <v>3</v>
      </c>
      <c r="B7" s="187"/>
      <c r="C7" s="187"/>
      <c r="D7" s="187"/>
      <c r="E7" s="187"/>
      <c r="F7" s="188"/>
    </row>
    <row r="8" spans="1:6" s="1" customFormat="1" ht="26.5" thickBot="1">
      <c r="A8" s="5" t="s">
        <v>4</v>
      </c>
      <c r="B8" s="6" t="s">
        <v>5</v>
      </c>
      <c r="C8" s="6" t="s">
        <v>6</v>
      </c>
      <c r="D8" s="6" t="s">
        <v>7</v>
      </c>
      <c r="E8" s="6" t="s">
        <v>8</v>
      </c>
      <c r="F8" s="6" t="s">
        <v>9</v>
      </c>
    </row>
    <row r="9" spans="1:6" s="1" customFormat="1" ht="13.5" thickBot="1">
      <c r="A9" s="7">
        <v>1</v>
      </c>
      <c r="B9" s="8">
        <v>2</v>
      </c>
      <c r="C9" s="9">
        <v>3</v>
      </c>
      <c r="D9" s="9">
        <v>4</v>
      </c>
      <c r="E9" s="9">
        <v>5</v>
      </c>
      <c r="F9" s="9">
        <v>6</v>
      </c>
    </row>
    <row r="10" spans="1:6" s="1" customFormat="1" ht="26">
      <c r="A10" s="10" t="s">
        <v>10</v>
      </c>
      <c r="B10" s="11">
        <f>Outward!AL1</f>
        <v>89063007.620000005</v>
      </c>
      <c r="C10" s="11">
        <f>Outward!AQ1</f>
        <v>9519863.5600000024</v>
      </c>
      <c r="D10" s="11">
        <f>Outward!AO1</f>
        <v>3255738.9000000004</v>
      </c>
      <c r="E10" s="11">
        <f>D10</f>
        <v>3255738.9000000004</v>
      </c>
      <c r="F10" s="11">
        <f>Outward!AT1+Outward!AV1</f>
        <v>0</v>
      </c>
    </row>
    <row r="11" spans="1:6" s="1" customFormat="1" ht="13">
      <c r="A11" s="12" t="s">
        <v>11</v>
      </c>
      <c r="B11" s="13"/>
      <c r="C11" s="14"/>
      <c r="D11" s="14"/>
      <c r="E11" s="14"/>
      <c r="F11" s="14"/>
    </row>
    <row r="12" spans="1:6" s="1" customFormat="1" ht="13">
      <c r="A12" s="12" t="s">
        <v>12</v>
      </c>
      <c r="B12" s="13"/>
      <c r="C12" s="14"/>
      <c r="D12" s="14"/>
      <c r="E12" s="14"/>
      <c r="F12" s="14"/>
    </row>
    <row r="13" spans="1:7" s="1" customFormat="1" ht="13">
      <c r="A13" s="12" t="s">
        <v>13</v>
      </c>
      <c r="B13" s="13">
        <f>SUMIF(Inward!AZ:AZ,G13,Inward!AI:AI)</f>
        <v>1948857</v>
      </c>
      <c r="C13" s="13">
        <f>SUMIF(Inward!AZ:AZ,G13,Inward!AN:AN)</f>
        <v>20600.099999999999</v>
      </c>
      <c r="D13" s="13">
        <f>SUMIF(Inward!AZ:AZ,G13,Inward!AM:AM)</f>
        <v>165097.07999999999</v>
      </c>
      <c r="E13" s="11">
        <f>D13</f>
        <v>165097.07999999999</v>
      </c>
      <c r="F13" s="13">
        <v>0</v>
      </c>
      <c r="G13" s="1" t="s">
        <v>100</v>
      </c>
    </row>
    <row r="14" spans="1:6" s="1" customFormat="1" ht="13.5" thickBot="1">
      <c r="A14" s="15" t="s">
        <v>14</v>
      </c>
      <c r="B14" s="16"/>
      <c r="C14" s="17"/>
      <c r="D14" s="17"/>
      <c r="E14" s="17"/>
      <c r="F14" s="17"/>
    </row>
    <row r="15" spans="1:6" s="1" customFormat="1" ht="13.5" thickBot="1">
      <c r="A15" s="18" t="s">
        <v>15</v>
      </c>
      <c r="B15" s="19">
        <f>SUM(B10:B14)</f>
        <v>91011864.620000005</v>
      </c>
      <c r="C15" s="19">
        <f>SUM(C10:C14)</f>
        <v>9540463.660000002</v>
      </c>
      <c r="D15" s="19">
        <f>SUM(D10:D14)</f>
        <v>3420835.9800000004</v>
      </c>
      <c r="E15" s="19">
        <f>SUM(E10:E14)</f>
        <v>3420835.9800000004</v>
      </c>
      <c r="F15" s="20">
        <f>SUM(F10:F14)</f>
        <v>0</v>
      </c>
    </row>
    <row r="16" spans="1:6" s="1" customFormat="1" ht="13.5" thickBot="1">
      <c r="A16" s="21"/>
      <c r="B16" s="21"/>
      <c r="C16" s="21"/>
      <c r="D16" s="21"/>
      <c r="E16" s="21"/>
      <c r="F16" s="21"/>
    </row>
    <row r="17" spans="1:6" s="1" customFormat="1" ht="13.5" thickBot="1">
      <c r="A17" s="189" t="s">
        <v>16</v>
      </c>
      <c r="B17" s="190"/>
      <c r="C17" s="190"/>
      <c r="D17" s="190"/>
      <c r="E17" s="191"/>
      <c r="F17" s="21"/>
    </row>
    <row r="18" spans="1:5" s="1" customFormat="1" ht="13.5" thickBot="1">
      <c r="A18" s="22" t="s">
        <v>17</v>
      </c>
      <c r="B18" s="23" t="s">
        <v>6</v>
      </c>
      <c r="C18" s="23" t="s">
        <v>7</v>
      </c>
      <c r="D18" s="23" t="s">
        <v>8</v>
      </c>
      <c r="E18" s="23" t="s">
        <v>9</v>
      </c>
    </row>
    <row r="19" spans="1:5" s="1" customFormat="1" ht="13.5" thickBot="1">
      <c r="A19" s="8">
        <v>1</v>
      </c>
      <c r="B19" s="9">
        <v>2</v>
      </c>
      <c r="C19" s="9">
        <v>3</v>
      </c>
      <c r="D19" s="9">
        <v>4</v>
      </c>
      <c r="E19" s="9">
        <v>5</v>
      </c>
    </row>
    <row r="20" spans="1:5" s="1" customFormat="1" ht="13">
      <c r="A20" s="24" t="s">
        <v>18</v>
      </c>
      <c r="B20" s="13"/>
      <c r="C20" s="13"/>
      <c r="D20" s="13"/>
      <c r="E20" s="13"/>
    </row>
    <row r="21" spans="1:6" s="1" customFormat="1" ht="13">
      <c r="A21" s="25" t="s">
        <v>19</v>
      </c>
      <c r="B21" s="13">
        <v>0</v>
      </c>
      <c r="C21" s="14"/>
      <c r="D21" s="14"/>
      <c r="E21" s="14"/>
      <c r="F21" s="27"/>
    </row>
    <row r="22" spans="1:5" s="1" customFormat="1" ht="13">
      <c r="A22" s="25" t="s">
        <v>20</v>
      </c>
      <c r="B22" s="13"/>
      <c r="C22" s="14"/>
      <c r="D22" s="14"/>
      <c r="E22" s="14"/>
    </row>
    <row r="23" spans="1:8" s="1" customFormat="1" ht="26">
      <c r="A23" s="25" t="s">
        <v>21</v>
      </c>
      <c r="B23" s="26">
        <f>SUMIFS(Inward!AN:AN,Inward!AZ:AZ,G23,Inward!AY:AY,'DELHI 3B'!F23)</f>
        <v>8100</v>
      </c>
      <c r="C23" s="26">
        <f>SUMIFS(Inward!AM:AM,Inward!AZ:AZ,G23,Inward!AY:AY,'DELHI 3B'!F23)</f>
        <v>147097.07999999999</v>
      </c>
      <c r="D23" s="26">
        <f>C23</f>
        <v>147097.07999999999</v>
      </c>
      <c r="E23" s="26">
        <v>0</v>
      </c>
      <c r="F23" s="27" t="s">
        <v>100</v>
      </c>
      <c r="G23" s="1" t="s">
        <v>100</v>
      </c>
      <c r="H23" s="27"/>
    </row>
    <row r="24" spans="1:7" s="1" customFormat="1" ht="13">
      <c r="A24" s="25" t="s">
        <v>22</v>
      </c>
      <c r="B24" s="13"/>
      <c r="C24" s="13"/>
      <c r="D24" s="13"/>
      <c r="E24" s="13"/>
      <c r="G24" s="27"/>
    </row>
    <row r="25" spans="1:8" s="1" customFormat="1" ht="13.5" thickBot="1">
      <c r="A25" s="28" t="s">
        <v>23</v>
      </c>
      <c r="B25" s="26">
        <f>SUMIF(Inward!AZ:AZ,G25,Inward!AN:AN)</f>
        <v>165504.07999999999</v>
      </c>
      <c r="C25" s="26">
        <f>SUMIF(Inward!AZ:AZ,G25,Inward!AL:AL)</f>
        <v>1160702.3600000001</v>
      </c>
      <c r="D25" s="26">
        <f>C25</f>
        <v>1160702.3600000001</v>
      </c>
      <c r="E25" s="13">
        <f>SUMIF(Inward!AZ:AZ,G25,Inward!AR:AR)</f>
        <v>0</v>
      </c>
      <c r="F25" s="27" t="s">
        <v>100</v>
      </c>
      <c r="G25" s="1" t="s">
        <v>101</v>
      </c>
      <c r="H25" s="27"/>
    </row>
    <row r="26" spans="1:5" s="1" customFormat="1" ht="13.5" thickBot="1">
      <c r="A26" s="29" t="s">
        <v>24</v>
      </c>
      <c r="B26" s="30">
        <f>B21+B22+B23+B24+B25</f>
        <v>173604.07999999999</v>
      </c>
      <c r="C26" s="30">
        <f>C21+C22+C23+C24+C25</f>
        <v>1307799.4400000002</v>
      </c>
      <c r="D26" s="30">
        <f>D21+D22+D23+D24+D25</f>
        <v>1307799.4400000002</v>
      </c>
      <c r="E26" s="30">
        <f>E21+E22+E23+E24+E25</f>
        <v>0</v>
      </c>
    </row>
    <row r="27" spans="1:5" s="1" customFormat="1" ht="13">
      <c r="A27" s="31" t="s">
        <v>49</v>
      </c>
      <c r="B27" s="32"/>
      <c r="C27" s="33"/>
      <c r="D27" s="33"/>
      <c r="E27" s="34"/>
    </row>
    <row r="28" spans="1:7" s="1" customFormat="1" ht="13">
      <c r="A28" s="25" t="s">
        <v>25</v>
      </c>
      <c r="B28" s="26">
        <f>SUMIFS(Inward!AN:AN,Inward!AY:AY,F28,Inward!AZ:AZ,'DELHI 3B'!G28)</f>
        <v>101580.48</v>
      </c>
      <c r="C28" s="26">
        <f>SUMIFS(Inward!AM:AM,Inward!AY:AY,F28,Inward!AZ:AZ,'DELHI 3B'!G28)</f>
        <v>116074.59</v>
      </c>
      <c r="D28" s="26">
        <f>C28</f>
        <v>116074.59</v>
      </c>
      <c r="E28" s="13">
        <f>SUMIFS(Inward!AR:AR,Inward!AZ:AZ,G28,Inward!AY:AY,'DELHI 3B'!F28)</f>
        <v>0</v>
      </c>
      <c r="F28" s="27" t="s">
        <v>101</v>
      </c>
      <c r="G28" s="1" t="s">
        <v>101</v>
      </c>
    </row>
    <row r="29" spans="1:6" s="1" customFormat="1" ht="13.5" thickBot="1">
      <c r="A29" s="35" t="s">
        <v>26</v>
      </c>
      <c r="B29" s="13">
        <f>'ITC REVERSAL'!C5+'ITC Revers &amp; Reclaim - 180 Days'!R8+'ITC REVERSAL'!I4</f>
        <v>8388.3983257002983</v>
      </c>
      <c r="C29" s="13">
        <f>'ITC REVERSAL'!D5+'ITC Revers - 180 Days'!P17+'ITC REVERSAL'!J4</f>
        <v>33233.121531869743</v>
      </c>
      <c r="D29" s="13">
        <f>'ITC REVERSAL'!E5+'ITC Revers - 180 Days'!Q17+'ITC REVERSAL'!K4</f>
        <v>33233.121531869743</v>
      </c>
      <c r="E29" s="13">
        <v>0</v>
      </c>
      <c r="F29" s="1" t="s">
        <v>339</v>
      </c>
    </row>
    <row r="30" spans="1:5" s="1" customFormat="1" ht="13.5" thickBot="1">
      <c r="A30" s="29" t="s">
        <v>27</v>
      </c>
      <c r="B30" s="30">
        <f>B28+B29</f>
        <v>109968.87832570029</v>
      </c>
      <c r="C30" s="30">
        <f>C28+C29</f>
        <v>149307.71153186975</v>
      </c>
      <c r="D30" s="30">
        <f>D28+D29</f>
        <v>149307.71153186975</v>
      </c>
      <c r="E30" s="30">
        <f>E28+E29</f>
        <v>0</v>
      </c>
    </row>
    <row r="31" spans="1:6" s="1" customFormat="1" ht="13.5" thickBot="1">
      <c r="A31" s="36" t="s">
        <v>50</v>
      </c>
      <c r="B31" s="37">
        <f>B26-B30</f>
        <v>63635.201674299693</v>
      </c>
      <c r="C31" s="37">
        <f>C26-C30</f>
        <v>1158491.7284681303</v>
      </c>
      <c r="D31" s="37">
        <f>D26-D30</f>
        <v>1158491.7284681303</v>
      </c>
      <c r="E31" s="37">
        <f>E26-E30</f>
        <v>0</v>
      </c>
      <c r="F31" s="81"/>
    </row>
    <row r="32" spans="1:5" s="1" customFormat="1" ht="13">
      <c r="A32" s="38" t="s">
        <v>51</v>
      </c>
      <c r="B32" s="39"/>
      <c r="C32" s="40"/>
      <c r="D32" s="40"/>
      <c r="E32" s="41"/>
    </row>
    <row r="33" spans="1:5" s="1" customFormat="1" ht="13">
      <c r="A33" s="25" t="s">
        <v>28</v>
      </c>
      <c r="B33" s="13">
        <v>0</v>
      </c>
      <c r="C33" s="13">
        <v>0</v>
      </c>
      <c r="D33" s="13">
        <f>C33</f>
        <v>0</v>
      </c>
      <c r="E33" s="13">
        <v>0</v>
      </c>
    </row>
    <row r="34" spans="1:5" s="1" customFormat="1" ht="13.5" thickBot="1">
      <c r="A34" s="28" t="s">
        <v>26</v>
      </c>
      <c r="B34" s="13">
        <v>0</v>
      </c>
      <c r="C34" s="13">
        <v>0</v>
      </c>
      <c r="D34" s="13">
        <f>C34</f>
        <v>0</v>
      </c>
      <c r="E34" s="13">
        <v>0</v>
      </c>
    </row>
    <row r="35" spans="1:8" s="1" customFormat="1" ht="12" customHeight="1">
      <c r="A35" s="42"/>
      <c r="B35" s="43">
        <f>B26-B28-'ITC Revers &amp; Reclaim - 180 Days'!R8</f>
        <v>72023.599999999991</v>
      </c>
      <c r="C35" s="43">
        <f>C26-C28-'ITC Revers &amp; Reclaim - 180 Days'!S8</f>
        <v>1191724.8500000001</v>
      </c>
      <c r="D35" s="43">
        <f>D26-D28-'ITC Revers &amp; Reclaim - 180 Days'!T8</f>
        <v>1191724.8500000001</v>
      </c>
      <c r="E35" s="43">
        <f>E26-E28</f>
        <v>0</v>
      </c>
      <c r="F35" s="145"/>
      <c r="H35" s="145"/>
    </row>
    <row r="36" spans="2:7" s="1" customFormat="1" ht="10.5" customHeight="1" thickBot="1">
      <c r="B36" s="27">
        <f>B25-B28</f>
        <v>63923.599999999991</v>
      </c>
      <c r="C36" s="27">
        <f>C25-C28</f>
        <v>1044627.7700000001</v>
      </c>
      <c r="D36" s="27">
        <f>D25-D28</f>
        <v>1044627.7700000001</v>
      </c>
      <c r="E36" s="27">
        <f>E25-E28</f>
        <v>0</v>
      </c>
      <c r="F36" s="44"/>
      <c r="G36" s="44"/>
    </row>
    <row r="37" spans="1:8" s="1" customFormat="1" ht="18" customHeight="1" thickBot="1">
      <c r="A37" s="192" t="s">
        <v>29</v>
      </c>
      <c r="B37" s="193"/>
      <c r="C37" s="193"/>
      <c r="D37" s="194"/>
      <c r="F37" s="27"/>
      <c r="G37" s="45"/>
      <c r="H37" s="44"/>
    </row>
    <row r="38" spans="1:8" s="1" customFormat="1" ht="26.5" thickBot="1">
      <c r="A38" s="195" t="s">
        <v>30</v>
      </c>
      <c r="B38" s="196"/>
      <c r="C38" s="46" t="s">
        <v>31</v>
      </c>
      <c r="D38" s="46" t="s">
        <v>32</v>
      </c>
      <c r="F38" s="44"/>
      <c r="G38" s="44"/>
      <c r="H38" s="44"/>
    </row>
    <row r="39" spans="1:4" s="1" customFormat="1" ht="13.5" thickBot="1">
      <c r="A39" s="197">
        <v>1</v>
      </c>
      <c r="B39" s="198"/>
      <c r="C39" s="47">
        <v>2</v>
      </c>
      <c r="D39" s="47">
        <v>3</v>
      </c>
    </row>
    <row r="40" spans="1:7" s="1" customFormat="1" ht="13">
      <c r="A40" s="199" t="s">
        <v>33</v>
      </c>
      <c r="B40" s="200"/>
      <c r="C40" s="13">
        <v>0</v>
      </c>
      <c r="D40" s="13">
        <v>0</v>
      </c>
      <c r="G40" s="45"/>
    </row>
    <row r="41" spans="1:6" s="1" customFormat="1" ht="13.5" thickBot="1">
      <c r="A41" s="174" t="s">
        <v>34</v>
      </c>
      <c r="B41" s="175"/>
      <c r="C41" s="13"/>
      <c r="D41" s="13">
        <v>0</v>
      </c>
      <c r="F41" s="27"/>
    </row>
    <row r="42" spans="1:4" s="1" customFormat="1" ht="13.5" thickBot="1">
      <c r="A42" s="163" t="s">
        <v>15</v>
      </c>
      <c r="B42" s="164"/>
      <c r="C42" s="19">
        <f>SUM(C40:C41)</f>
        <v>0</v>
      </c>
      <c r="D42" s="19">
        <f>SUM(D40:D41)</f>
        <v>0</v>
      </c>
    </row>
    <row r="43" s="1" customFormat="1" ht="8.25" customHeight="1"/>
    <row r="44" s="1" customFormat="1" ht="12" customHeight="1" thickBot="1"/>
    <row r="45" spans="1:5" s="1" customFormat="1" ht="13.5" thickBot="1">
      <c r="A45" s="165" t="s">
        <v>36</v>
      </c>
      <c r="B45" s="166"/>
      <c r="C45" s="166"/>
      <c r="D45" s="166"/>
      <c r="E45" s="167"/>
    </row>
    <row r="46" spans="1:5" s="1" customFormat="1" ht="13.5" thickBot="1">
      <c r="A46" s="48" t="s">
        <v>35</v>
      </c>
      <c r="B46" s="49" t="s">
        <v>6</v>
      </c>
      <c r="C46" s="48" t="s">
        <v>7</v>
      </c>
      <c r="D46" s="50" t="s">
        <v>8</v>
      </c>
      <c r="E46" s="51" t="s">
        <v>9</v>
      </c>
    </row>
    <row r="47" spans="1:5" s="1" customFormat="1" ht="13">
      <c r="A47" s="52">
        <v>1</v>
      </c>
      <c r="B47" s="53">
        <v>2</v>
      </c>
      <c r="C47" s="54">
        <v>3</v>
      </c>
      <c r="D47" s="54">
        <v>4</v>
      </c>
      <c r="E47" s="55">
        <v>5</v>
      </c>
    </row>
    <row r="48" spans="1:6" s="1" customFormat="1" ht="13.5" thickBot="1">
      <c r="A48" s="56" t="s">
        <v>37</v>
      </c>
      <c r="B48" s="57">
        <f>'ITC Revers &amp; Reclaim - 180 Days'!V8</f>
        <v>0</v>
      </c>
      <c r="C48" s="57">
        <f>'ITC Revers - 180 Days'!S17</f>
        <v>0</v>
      </c>
      <c r="D48" s="57">
        <f>C48</f>
        <v>0</v>
      </c>
      <c r="E48" s="57">
        <v>0</v>
      </c>
      <c r="F48" s="1" t="s">
        <v>297</v>
      </c>
    </row>
    <row r="49" spans="1:5" s="1" customFormat="1" ht="13.5" thickBot="1">
      <c r="A49" s="58" t="s">
        <v>38</v>
      </c>
      <c r="B49" s="59"/>
      <c r="C49" s="60"/>
      <c r="D49" s="60"/>
      <c r="E49" s="61"/>
    </row>
    <row r="50" spans="1:5" s="1" customFormat="1" ht="10.5" customHeight="1">
      <c r="A50" s="62"/>
      <c r="B50" s="63"/>
      <c r="C50" s="63"/>
      <c r="D50" s="63"/>
      <c r="E50" s="63"/>
    </row>
    <row r="51" spans="1:5" s="1" customFormat="1" ht="9.75" customHeight="1" thickBot="1">
      <c r="A51" s="64"/>
      <c r="B51" s="65"/>
      <c r="C51" s="65"/>
      <c r="D51" s="65"/>
      <c r="E51" s="65"/>
    </row>
    <row r="52" spans="1:6" s="1" customFormat="1" ht="13.5" thickBot="1">
      <c r="A52" s="168" t="s">
        <v>39</v>
      </c>
      <c r="B52" s="169"/>
      <c r="C52" s="169"/>
      <c r="D52" s="169"/>
      <c r="E52" s="169"/>
      <c r="F52" s="169"/>
    </row>
    <row r="53" spans="1:7" s="1" customFormat="1" ht="26.5" thickBot="1">
      <c r="A53" s="170" t="s">
        <v>40</v>
      </c>
      <c r="B53" s="172" t="s">
        <v>41</v>
      </c>
      <c r="C53" s="173"/>
      <c r="D53" s="172" t="s">
        <v>42</v>
      </c>
      <c r="E53" s="173"/>
      <c r="F53" s="66" t="s">
        <v>43</v>
      </c>
      <c r="G53" s="67"/>
    </row>
    <row r="54" spans="1:6" s="1" customFormat="1" ht="26.5" thickBot="1">
      <c r="A54" s="171"/>
      <c r="B54" s="68" t="s">
        <v>5</v>
      </c>
      <c r="C54" s="68" t="s">
        <v>44</v>
      </c>
      <c r="D54" s="68" t="s">
        <v>5</v>
      </c>
      <c r="E54" s="68" t="s">
        <v>44</v>
      </c>
      <c r="F54" s="68" t="s">
        <v>5</v>
      </c>
    </row>
    <row r="55" spans="1:6" s="1" customFormat="1" ht="13.5" thickBot="1">
      <c r="A55" s="69">
        <v>1</v>
      </c>
      <c r="B55" s="69">
        <v>2</v>
      </c>
      <c r="C55" s="69">
        <v>3</v>
      </c>
      <c r="D55" s="69">
        <v>4</v>
      </c>
      <c r="E55" s="69">
        <v>5</v>
      </c>
      <c r="F55" s="69">
        <v>6</v>
      </c>
    </row>
    <row r="56" spans="1:6" s="1" customFormat="1" ht="13">
      <c r="A56" s="70"/>
      <c r="B56" s="71"/>
      <c r="C56" s="71"/>
      <c r="D56" s="71"/>
      <c r="E56" s="71"/>
      <c r="F56" s="71"/>
    </row>
    <row r="57" spans="1:6" s="1" customFormat="1" ht="13">
      <c r="A57" s="70"/>
      <c r="B57" s="71"/>
      <c r="C57" s="71"/>
      <c r="D57" s="71"/>
      <c r="E57" s="71"/>
      <c r="F57" s="71"/>
    </row>
    <row r="58" spans="1:6" s="1" customFormat="1" ht="13">
      <c r="A58" s="70"/>
      <c r="B58" s="71"/>
      <c r="C58" s="71"/>
      <c r="D58" s="71"/>
      <c r="E58" s="71"/>
      <c r="F58" s="71"/>
    </row>
    <row r="59" spans="1:6" s="1" customFormat="1" ht="13">
      <c r="A59" s="70"/>
      <c r="B59" s="71"/>
      <c r="C59" s="71"/>
      <c r="D59" s="71"/>
      <c r="E59" s="71"/>
      <c r="F59" s="71"/>
    </row>
    <row r="60" spans="1:6" s="1" customFormat="1" ht="13">
      <c r="A60" s="70"/>
      <c r="B60" s="71"/>
      <c r="C60" s="71"/>
      <c r="D60" s="71"/>
      <c r="E60" s="71"/>
      <c r="F60" s="71"/>
    </row>
    <row r="61" spans="1:6" s="1" customFormat="1" ht="13">
      <c r="A61" s="70"/>
      <c r="B61" s="71"/>
      <c r="C61" s="71"/>
      <c r="D61" s="71"/>
      <c r="E61" s="71"/>
      <c r="F61" s="71"/>
    </row>
    <row r="62" spans="1:6" s="1" customFormat="1" ht="13">
      <c r="A62" s="70"/>
      <c r="B62" s="71"/>
      <c r="C62" s="71"/>
      <c r="D62" s="71"/>
      <c r="E62" s="71"/>
      <c r="F62" s="71"/>
    </row>
    <row r="63" spans="1:6" s="1" customFormat="1" ht="13">
      <c r="A63" s="70"/>
      <c r="B63" s="71"/>
      <c r="C63" s="71"/>
      <c r="D63" s="71"/>
      <c r="E63" s="71"/>
      <c r="F63" s="71"/>
    </row>
    <row r="64" spans="1:6" s="1" customFormat="1" ht="13">
      <c r="A64" s="70"/>
      <c r="B64" s="71"/>
      <c r="C64" s="71"/>
      <c r="D64" s="71"/>
      <c r="E64" s="71"/>
      <c r="F64" s="71"/>
    </row>
    <row r="65" spans="1:6" s="1" customFormat="1" ht="13">
      <c r="A65" s="70"/>
      <c r="B65" s="71"/>
      <c r="C65" s="71"/>
      <c r="D65" s="71"/>
      <c r="E65" s="71"/>
      <c r="F65" s="71"/>
    </row>
    <row r="66" spans="1:6" s="1" customFormat="1" ht="13.5" thickBot="1">
      <c r="A66" s="70"/>
      <c r="B66" s="71"/>
      <c r="C66" s="71"/>
      <c r="D66" s="71"/>
      <c r="E66" s="71"/>
      <c r="F66" s="71"/>
    </row>
    <row r="67" spans="1:6" s="1" customFormat="1" ht="13.5" thickBot="1">
      <c r="A67" s="72" t="s">
        <v>15</v>
      </c>
      <c r="B67" s="73">
        <v>0</v>
      </c>
      <c r="C67" s="73">
        <v>0</v>
      </c>
      <c r="D67" s="73">
        <v>0</v>
      </c>
      <c r="E67" s="73">
        <v>0</v>
      </c>
      <c r="F67" s="73">
        <v>0</v>
      </c>
    </row>
    <row r="69" spans="2:2" ht="14.5">
      <c r="B69" s="2"/>
    </row>
    <row r="70" spans="2:5" ht="14.5">
      <c r="B70" s="3"/>
      <c r="C70" s="3"/>
      <c r="D70" s="3"/>
      <c r="E70" s="2"/>
    </row>
  </sheetData>
  <sheetProtection/>
  <mergeCells count="18">
    <mergeCell ref="A41:B41"/>
    <mergeCell ref="A1:F2"/>
    <mergeCell ref="B4:C4"/>
    <mergeCell ref="D4:E4"/>
    <mergeCell ref="B5:C5"/>
    <mergeCell ref="D5:E5"/>
    <mergeCell ref="A7:F7"/>
    <mergeCell ref="A17:E17"/>
    <mergeCell ref="A37:D37"/>
    <mergeCell ref="A38:B38"/>
    <mergeCell ref="A39:B39"/>
    <mergeCell ref="A40:B40"/>
    <mergeCell ref="A42:B42"/>
    <mergeCell ref="A45:E45"/>
    <mergeCell ref="A52:F52"/>
    <mergeCell ref="A53:A54"/>
    <mergeCell ref="B53:C53"/>
    <mergeCell ref="D53:E53"/>
  </mergeCells>
  <pageMargins left="0.7" right="0.7" top="0.75" bottom="0.75" header="0.3" footer="0.3"/>
  <pageSetup orientation="portrait" paperSize="9" scale="58" r:id="rId1"/>
  <rowBreaks count="1" manualBreakCount="1">
    <brk id="49" max="5"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sheetPr codeName="">
    <tabColor theme="7" tint="0.399980008602142"/>
  </sheetPr>
  <dimension ref="A2:BP11"/>
  <sheetViews>
    <sheetView workbookViewId="0" topLeftCell="A1">
      <selection pane="topLeft" activeCell="F4" sqref="F4"/>
    </sheetView>
  </sheetViews>
  <sheetFormatPr defaultColWidth="9.18303571428571" defaultRowHeight="12"/>
  <cols>
    <col min="1" max="1" width="9.14285714285714" style="79"/>
    <col min="2" max="2" width="16.8571428571429" style="74" customWidth="1"/>
    <col min="3" max="3" width="11.5714285714286" style="74" customWidth="1"/>
    <col min="4" max="5" width="10.7142857142857" style="74" customWidth="1"/>
    <col min="6" max="6" width="12.5714285714286" style="74" customWidth="1"/>
    <col min="7" max="7" width="9.14285714285714" style="74"/>
    <col min="8" max="8" width="16.8571428571429" style="74" customWidth="1"/>
    <col min="9" max="9" width="11.5714285714286" style="74" customWidth="1"/>
    <col min="10" max="11" width="10.7142857142857" style="74" customWidth="1"/>
    <col min="12" max="12" width="12.5714285714286" style="74" customWidth="1"/>
    <col min="13" max="16384" width="9.14285714285714" style="74"/>
  </cols>
  <sheetData>
    <row r="2" spans="2:12" ht="14.5">
      <c r="B2" s="201" t="s">
        <v>337</v>
      </c>
      <c r="C2" s="201"/>
      <c r="D2" s="201"/>
      <c r="E2" s="201"/>
      <c r="F2" s="201"/>
      <c r="H2" s="201" t="s">
        <v>338</v>
      </c>
      <c r="I2" s="201"/>
      <c r="J2" s="201"/>
      <c r="K2" s="201"/>
      <c r="L2" s="201"/>
    </row>
    <row r="3" spans="2:12" ht="14.5">
      <c r="B3" s="86" t="s">
        <v>2</v>
      </c>
      <c r="C3" s="86" t="s">
        <v>84</v>
      </c>
      <c r="D3" s="86" t="s">
        <v>83</v>
      </c>
      <c r="E3" s="86" t="s">
        <v>82</v>
      </c>
      <c r="F3" s="86" t="s">
        <v>15</v>
      </c>
      <c r="H3" s="86" t="s">
        <v>2</v>
      </c>
      <c r="I3" s="86" t="s">
        <v>84</v>
      </c>
      <c r="J3" s="86" t="s">
        <v>83</v>
      </c>
      <c r="K3" s="86" t="s">
        <v>82</v>
      </c>
      <c r="L3" s="86" t="s">
        <v>15</v>
      </c>
    </row>
    <row r="4" spans="2:12" ht="14.5">
      <c r="B4" s="87" t="s">
        <v>1122</v>
      </c>
      <c r="C4" s="87">
        <v>8388.3983257002983</v>
      </c>
      <c r="D4" s="87">
        <v>33233.121531869743</v>
      </c>
      <c r="E4" s="87">
        <v>33233.121531869743</v>
      </c>
      <c r="F4" s="86">
        <f>SUM(C4:E4)</f>
        <v>74854.641389439785</v>
      </c>
      <c r="H4" s="87"/>
      <c r="I4" s="87">
        <f>-AJ9</f>
        <v>0</v>
      </c>
      <c r="J4" s="87">
        <f>-AH9</f>
        <v>0</v>
      </c>
      <c r="K4" s="87">
        <f>-AI9</f>
        <v>0</v>
      </c>
      <c r="L4" s="86">
        <f>SUM(I4:K4)</f>
        <v>0</v>
      </c>
    </row>
    <row r="5" spans="2:12" ht="14.5">
      <c r="B5" s="86" t="s">
        <v>15</v>
      </c>
      <c r="C5" s="86">
        <f>SUM(C4:C4)</f>
        <v>8388.3983257002983</v>
      </c>
      <c r="D5" s="86">
        <f>SUM(D4:D4)</f>
        <v>33233.121531869743</v>
      </c>
      <c r="E5" s="86">
        <f>SUM(E4:E4)</f>
        <v>33233.121531869743</v>
      </c>
      <c r="F5" s="86">
        <f>SUM(F4:F4)</f>
        <v>74854.641389439785</v>
      </c>
      <c r="H5" s="86" t="s">
        <v>15</v>
      </c>
      <c r="I5" s="86">
        <f>SUM(I4:I4)</f>
        <v>0</v>
      </c>
      <c r="J5" s="86">
        <f>SUM(J4:J4)</f>
        <v>0</v>
      </c>
      <c r="K5" s="86">
        <f>SUM(K4:K4)</f>
        <v>0</v>
      </c>
      <c r="L5" s="86">
        <f>SUM(L4:L4)</f>
        <v>0</v>
      </c>
    </row>
    <row r="9" spans="34:36" ht="12">
      <c r="AH9" s="74">
        <f>SUM(AH11)</f>
        <v>0</v>
      </c>
      <c r="AI9" s="74">
        <f>SUM(AI11)</f>
        <v>0</v>
      </c>
      <c r="AJ9" s="74">
        <f>SUM(AJ11)</f>
        <v>0</v>
      </c>
    </row>
    <row r="10" spans="1:68" s="144" customFormat="1" ht="14.5">
      <c r="A10" s="146" t="s">
        <v>52</v>
      </c>
      <c r="B10" s="147" t="s">
        <v>53</v>
      </c>
      <c r="C10" s="147" t="s">
        <v>54</v>
      </c>
      <c r="D10" s="147" t="s">
        <v>55</v>
      </c>
      <c r="E10" s="147" t="s">
        <v>56</v>
      </c>
      <c r="F10" s="147" t="s">
        <v>57</v>
      </c>
      <c r="G10" s="147" t="s">
        <v>58</v>
      </c>
      <c r="H10" s="147" t="s">
        <v>59</v>
      </c>
      <c r="I10" s="147" t="s">
        <v>60</v>
      </c>
      <c r="J10" s="147" t="s">
        <v>61</v>
      </c>
      <c r="K10" s="147" t="s">
        <v>62</v>
      </c>
      <c r="L10" s="147" t="s">
        <v>63</v>
      </c>
      <c r="M10" s="147" t="s">
        <v>64</v>
      </c>
      <c r="N10" s="147" t="s">
        <v>65</v>
      </c>
      <c r="O10" s="147" t="s">
        <v>66</v>
      </c>
      <c r="P10" s="147" t="s">
        <v>67</v>
      </c>
      <c r="Q10" s="147" t="s">
        <v>68</v>
      </c>
      <c r="R10" s="147" t="s">
        <v>69</v>
      </c>
      <c r="S10" s="147" t="s">
        <v>70</v>
      </c>
      <c r="T10" s="146" t="s">
        <v>71</v>
      </c>
      <c r="U10" s="146" t="s">
        <v>72</v>
      </c>
      <c r="V10" s="147" t="s">
        <v>73</v>
      </c>
      <c r="W10" s="147" t="s">
        <v>74</v>
      </c>
      <c r="X10" s="147" t="s">
        <v>75</v>
      </c>
      <c r="Y10" s="147" t="s">
        <v>76</v>
      </c>
      <c r="Z10" s="147" t="s">
        <v>77</v>
      </c>
      <c r="AA10" s="147" t="s">
        <v>136</v>
      </c>
      <c r="AB10" s="147" t="s">
        <v>137</v>
      </c>
      <c r="AC10" s="147" t="s">
        <v>78</v>
      </c>
      <c r="AD10" s="147" t="s">
        <v>79</v>
      </c>
      <c r="AE10" s="147" t="s">
        <v>138</v>
      </c>
      <c r="AF10" s="147" t="s">
        <v>80</v>
      </c>
      <c r="AG10" s="147" t="s">
        <v>81</v>
      </c>
      <c r="AH10" s="147" t="s">
        <v>82</v>
      </c>
      <c r="AI10" s="147" t="s">
        <v>83</v>
      </c>
      <c r="AJ10" s="147" t="s">
        <v>84</v>
      </c>
      <c r="AK10" s="147" t="s">
        <v>139</v>
      </c>
      <c r="AL10" s="146" t="s">
        <v>85</v>
      </c>
      <c r="AM10" s="147" t="s">
        <v>86</v>
      </c>
      <c r="AN10" s="147" t="s">
        <v>87</v>
      </c>
      <c r="AO10" s="147" t="s">
        <v>88</v>
      </c>
      <c r="AP10" s="147" t="s">
        <v>89</v>
      </c>
      <c r="AQ10" s="147" t="s">
        <v>90</v>
      </c>
      <c r="AR10" s="147" t="s">
        <v>91</v>
      </c>
      <c r="AS10" s="147" t="s">
        <v>92</v>
      </c>
      <c r="AT10" s="147" t="s">
        <v>140</v>
      </c>
      <c r="AU10" s="147" t="s">
        <v>93</v>
      </c>
      <c r="AV10" s="147" t="s">
        <v>94</v>
      </c>
      <c r="AW10" s="147" t="s">
        <v>141</v>
      </c>
      <c r="AX10" s="147" t="s">
        <v>142</v>
      </c>
      <c r="AY10" s="147" t="s">
        <v>95</v>
      </c>
      <c r="AZ10" s="147" t="s">
        <v>96</v>
      </c>
      <c r="BA10" s="147" t="s">
        <v>143</v>
      </c>
      <c r="BB10" s="147" t="s">
        <v>144</v>
      </c>
      <c r="BC10" s="147" t="s">
        <v>145</v>
      </c>
      <c r="BD10" s="146" t="s">
        <v>269</v>
      </c>
      <c r="BE10" s="88" t="s">
        <v>146</v>
      </c>
      <c r="BF10" s="88" t="s">
        <v>147</v>
      </c>
      <c r="BG10" s="88" t="s">
        <v>148</v>
      </c>
      <c r="BH10" s="89" t="s">
        <v>149</v>
      </c>
      <c r="BI10" s="89" t="s">
        <v>150</v>
      </c>
      <c r="BJ10" s="89" t="s">
        <v>151</v>
      </c>
      <c r="BK10" s="89" t="s">
        <v>152</v>
      </c>
      <c r="BL10" s="89" t="s">
        <v>66</v>
      </c>
      <c r="BM10" s="89" t="s">
        <v>213</v>
      </c>
      <c r="BN10"/>
      <c r="BO10" s="89" t="s">
        <v>293</v>
      </c>
      <c r="BP10" s="89" t="s">
        <v>294</v>
      </c>
    </row>
    <row r="11" spans="1:68" s="144" customFormat="1" ht="14.5" thickBot="1">
      <c r="A11" s="148"/>
      <c r="B11" s="149"/>
      <c r="C11" s="149"/>
      <c r="D11" s="149"/>
      <c r="E11" s="148"/>
      <c r="F11" s="84"/>
      <c r="G11" s="149"/>
      <c r="H11" s="149"/>
      <c r="I11" s="149"/>
      <c r="J11" s="148"/>
      <c r="K11" s="149"/>
      <c r="L11" s="149"/>
      <c r="M11" s="150"/>
      <c r="N11" s="149"/>
      <c r="O11" s="149"/>
      <c r="P11" s="150"/>
      <c r="Q11" s="149"/>
      <c r="R11" s="149"/>
      <c r="S11" s="148"/>
      <c r="T11" s="149"/>
      <c r="U11" s="149"/>
      <c r="V11" s="84"/>
      <c r="W11" s="149"/>
      <c r="X11" s="149"/>
      <c r="Y11" s="149"/>
      <c r="Z11" s="149"/>
      <c r="AA11" s="149"/>
      <c r="AB11" s="150"/>
      <c r="AC11" s="148"/>
      <c r="AD11" s="149"/>
      <c r="AE11" s="149"/>
      <c r="AF11" s="149"/>
      <c r="AG11" s="149"/>
      <c r="AH11" s="149"/>
      <c r="AI11" s="149"/>
      <c r="AJ11" s="149"/>
      <c r="AK11" s="148"/>
      <c r="AL11" s="149"/>
      <c r="AM11" s="149"/>
      <c r="AN11" s="149"/>
      <c r="AO11" s="149"/>
      <c r="AP11" s="148"/>
      <c r="AQ11" s="84"/>
      <c r="AR11" s="84"/>
      <c r="AS11" s="149"/>
      <c r="AT11" s="149"/>
      <c r="AU11" s="148"/>
      <c r="AV11" s="149"/>
      <c r="AW11" s="148"/>
      <c r="AX11" s="84"/>
      <c r="AY11" s="84"/>
      <c r="AZ11" s="84"/>
      <c r="BA11" s="84"/>
      <c r="BB11" s="84"/>
      <c r="BC11" s="84"/>
      <c r="BD11" s="149"/>
      <c r="BE11"/>
      <c r="BF11"/>
      <c r="BG11"/>
      <c r="BH11"/>
      <c r="BI11"/>
      <c r="BJ11"/>
      <c r="BK11"/>
      <c r="BL11"/>
      <c r="BM11"/>
      <c r="BN11"/>
      <c r="BO11"/>
      <c r="BP11"/>
    </row>
  </sheetData>
  <sheetProtection/>
  <mergeCells count="2">
    <mergeCell ref="B2:F2"/>
    <mergeCell ref="H2:L2"/>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F6595E-651D-4B9D-8473-3EA45E9EB537}">
  <sheetPr codeName=""/>
  <dimension ref="A3:U17"/>
  <sheetViews>
    <sheetView workbookViewId="0" topLeftCell="A1">
      <selection pane="topLeft" activeCell="A4" sqref="A1:XFD1048576"/>
    </sheetView>
  </sheetViews>
  <sheetFormatPr defaultColWidth="9.14285714285714" defaultRowHeight="14.5"/>
  <cols>
    <col min="1" max="1" width="3.85714285714286" customWidth="1"/>
    <col min="2" max="2" width="39.8571428571429" customWidth="1"/>
    <col min="3" max="3" width="15" style="101" customWidth="1"/>
    <col min="4" max="4" width="10.2857142857143" style="101" customWidth="1"/>
    <col min="5" max="5" width="80.4285714285714" customWidth="1"/>
    <col min="6" max="6" width="10.8571428571429" style="120" customWidth="1"/>
    <col min="7" max="8" width="10" style="120" customWidth="1"/>
    <col min="9" max="9" width="10.8571428571429" style="120" customWidth="1"/>
    <col min="10" max="10" width="11" style="101" customWidth="1"/>
    <col min="11" max="11" width="13.5714285714286" customWidth="1"/>
    <col min="12" max="12" width="12.7142857142857" customWidth="1"/>
    <col min="13" max="13" width="16.2857142857143" customWidth="1"/>
    <col min="14" max="14" width="14.1428571428571" customWidth="1"/>
    <col min="15" max="15" width="10.5714285714286" customWidth="1"/>
    <col min="16" max="18" width="10.5714285714286" style="120" customWidth="1"/>
    <col min="19" max="19" width="11.5714285714286" style="120" customWidth="1"/>
    <col min="20" max="21" width="10.8571428571429" style="120" customWidth="1"/>
    <col min="22" max="22" width="15" customWidth="1"/>
  </cols>
  <sheetData>
    <row r="3" spans="16:21" ht="14.5">
      <c r="P3" s="121"/>
      <c r="Q3" s="121"/>
      <c r="R3" s="121"/>
      <c r="S3" s="121"/>
      <c r="T3" s="121"/>
      <c r="U3" s="121"/>
    </row>
    <row r="4" spans="1:21" ht="14.5">
      <c r="A4" s="122"/>
      <c r="B4" s="123"/>
      <c r="C4" s="122"/>
      <c r="D4" s="122"/>
      <c r="E4" s="124"/>
      <c r="F4" s="125"/>
      <c r="G4" s="126"/>
      <c r="H4" s="126"/>
      <c r="I4" s="125"/>
      <c r="J4" s="127"/>
      <c r="K4" s="127"/>
      <c r="L4" s="127"/>
      <c r="M4" s="128"/>
      <c r="N4" s="128"/>
      <c r="O4" s="128"/>
      <c r="P4" s="129"/>
      <c r="Q4" s="129"/>
      <c r="R4" s="130"/>
      <c r="S4" s="129"/>
      <c r="T4" s="129"/>
      <c r="U4" s="130"/>
    </row>
    <row r="5" spans="1:21" ht="14.5">
      <c r="A5" s="131"/>
      <c r="B5" s="132"/>
      <c r="C5" s="133"/>
      <c r="D5" s="134"/>
      <c r="E5" s="135"/>
      <c r="F5" s="136"/>
      <c r="G5" s="136"/>
      <c r="H5" s="136"/>
      <c r="I5" s="136"/>
      <c r="J5" s="133"/>
      <c r="K5" s="133"/>
      <c r="L5" s="110"/>
      <c r="M5" s="118"/>
      <c r="N5" s="118"/>
      <c r="O5" s="114"/>
      <c r="P5" s="137"/>
      <c r="Q5" s="137"/>
      <c r="R5" s="137"/>
      <c r="S5" s="137"/>
      <c r="T5" s="137"/>
      <c r="U5" s="137"/>
    </row>
    <row r="6" spans="1:21" ht="14.5">
      <c r="A6" s="131"/>
      <c r="B6" s="132"/>
      <c r="C6" s="133"/>
      <c r="D6" s="134"/>
      <c r="E6" s="135"/>
      <c r="F6" s="136"/>
      <c r="G6" s="136"/>
      <c r="H6" s="136"/>
      <c r="I6" s="136"/>
      <c r="J6" s="133"/>
      <c r="K6" s="133"/>
      <c r="L6" s="110"/>
      <c r="M6" s="118"/>
      <c r="N6" s="118"/>
      <c r="O6" s="114"/>
      <c r="P6" s="137"/>
      <c r="Q6" s="137"/>
      <c r="R6" s="137"/>
      <c r="S6" s="137"/>
      <c r="T6" s="137"/>
      <c r="U6" s="137"/>
    </row>
    <row r="7" spans="1:21" ht="14.5">
      <c r="A7" s="131"/>
      <c r="B7" s="132"/>
      <c r="C7" s="133"/>
      <c r="D7" s="134"/>
      <c r="E7" s="135"/>
      <c r="F7" s="136"/>
      <c r="G7" s="136"/>
      <c r="H7" s="136"/>
      <c r="I7" s="136"/>
      <c r="J7" s="133"/>
      <c r="K7" s="133"/>
      <c r="L7" s="110"/>
      <c r="M7" s="118"/>
      <c r="N7" s="118"/>
      <c r="O7" s="114"/>
      <c r="P7" s="137"/>
      <c r="Q7" s="137"/>
      <c r="R7" s="137"/>
      <c r="S7" s="137"/>
      <c r="T7" s="137"/>
      <c r="U7" s="137"/>
    </row>
    <row r="8" spans="1:21" ht="14.5">
      <c r="A8" s="131"/>
      <c r="B8" s="132"/>
      <c r="C8" s="133"/>
      <c r="D8" s="134"/>
      <c r="E8" s="135"/>
      <c r="F8" s="136"/>
      <c r="G8" s="136"/>
      <c r="H8" s="136"/>
      <c r="I8" s="136"/>
      <c r="J8" s="133"/>
      <c r="K8" s="133"/>
      <c r="L8" s="110"/>
      <c r="M8" s="118"/>
      <c r="N8" s="118"/>
      <c r="O8" s="114"/>
      <c r="P8" s="137"/>
      <c r="Q8" s="137"/>
      <c r="R8" s="137"/>
      <c r="S8" s="137"/>
      <c r="T8" s="137"/>
      <c r="U8" s="137"/>
    </row>
    <row r="9" spans="1:21" ht="14.5">
      <c r="A9" s="131"/>
      <c r="B9" s="132"/>
      <c r="C9" s="133"/>
      <c r="D9" s="134"/>
      <c r="E9" s="135"/>
      <c r="F9" s="136"/>
      <c r="G9" s="136"/>
      <c r="H9" s="136"/>
      <c r="I9" s="136"/>
      <c r="J9" s="133"/>
      <c r="K9" s="133"/>
      <c r="L9" s="110"/>
      <c r="M9" s="118"/>
      <c r="N9" s="118"/>
      <c r="O9" s="114"/>
      <c r="P9" s="137"/>
      <c r="Q9" s="137"/>
      <c r="R9" s="137"/>
      <c r="S9" s="137"/>
      <c r="T9" s="137"/>
      <c r="U9" s="137"/>
    </row>
    <row r="10" spans="1:21" ht="14.5">
      <c r="A10" s="131"/>
      <c r="B10" s="132"/>
      <c r="C10" s="133"/>
      <c r="D10" s="134"/>
      <c r="E10" s="135"/>
      <c r="F10" s="136"/>
      <c r="G10" s="136"/>
      <c r="H10" s="136"/>
      <c r="I10" s="136"/>
      <c r="J10" s="133"/>
      <c r="K10" s="133"/>
      <c r="L10" s="110"/>
      <c r="M10" s="118"/>
      <c r="N10" s="118"/>
      <c r="O10" s="114"/>
      <c r="P10" s="137"/>
      <c r="Q10" s="137"/>
      <c r="R10" s="137"/>
      <c r="S10" s="137"/>
      <c r="T10" s="137"/>
      <c r="U10" s="137"/>
    </row>
    <row r="11" spans="1:21" ht="14.5">
      <c r="A11" s="131"/>
      <c r="B11" s="132"/>
      <c r="C11" s="133"/>
      <c r="D11" s="134"/>
      <c r="E11" s="135"/>
      <c r="F11" s="136"/>
      <c r="G11" s="136"/>
      <c r="H11" s="136"/>
      <c r="I11" s="136"/>
      <c r="J11" s="133"/>
      <c r="K11" s="133"/>
      <c r="L11" s="110"/>
      <c r="M11" s="118"/>
      <c r="N11" s="118"/>
      <c r="O11" s="114"/>
      <c r="P11" s="137"/>
      <c r="Q11" s="137"/>
      <c r="R11" s="137"/>
      <c r="S11" s="137"/>
      <c r="T11" s="137"/>
      <c r="U11" s="137"/>
    </row>
    <row r="12" spans="1:21" ht="14.5">
      <c r="A12" s="131"/>
      <c r="B12" s="132"/>
      <c r="C12" s="133"/>
      <c r="D12" s="134"/>
      <c r="E12" s="135"/>
      <c r="F12" s="136"/>
      <c r="G12" s="136"/>
      <c r="H12" s="136"/>
      <c r="I12" s="136"/>
      <c r="J12" s="133"/>
      <c r="K12" s="133"/>
      <c r="L12" s="110"/>
      <c r="M12" s="118"/>
      <c r="N12" s="118"/>
      <c r="O12" s="114"/>
      <c r="P12" s="137"/>
      <c r="Q12" s="137"/>
      <c r="R12" s="137"/>
      <c r="S12" s="137"/>
      <c r="T12" s="137"/>
      <c r="U12" s="137"/>
    </row>
    <row r="13" spans="1:21" ht="14.5">
      <c r="A13" s="131"/>
      <c r="B13" s="132"/>
      <c r="C13" s="133"/>
      <c r="D13" s="134"/>
      <c r="E13" s="138"/>
      <c r="F13" s="136"/>
      <c r="G13" s="136"/>
      <c r="H13" s="136"/>
      <c r="I13" s="136"/>
      <c r="J13" s="133"/>
      <c r="K13" s="133"/>
      <c r="L13" s="110"/>
      <c r="M13" s="118"/>
      <c r="N13" s="118"/>
      <c r="O13" s="114"/>
      <c r="P13" s="137"/>
      <c r="Q13" s="137"/>
      <c r="R13" s="137"/>
      <c r="S13" s="137"/>
      <c r="T13" s="137"/>
      <c r="U13" s="137"/>
    </row>
    <row r="14" spans="1:21" ht="14.5">
      <c r="A14" s="131"/>
      <c r="B14" s="132"/>
      <c r="C14" s="133"/>
      <c r="D14" s="134"/>
      <c r="E14" s="135"/>
      <c r="F14" s="136"/>
      <c r="G14" s="136"/>
      <c r="H14" s="136"/>
      <c r="I14" s="136"/>
      <c r="J14" s="133"/>
      <c r="K14" s="133"/>
      <c r="L14" s="110"/>
      <c r="M14" s="118"/>
      <c r="N14" s="118"/>
      <c r="O14" s="114"/>
      <c r="P14" s="137"/>
      <c r="Q14" s="137"/>
      <c r="R14" s="137"/>
      <c r="S14" s="137"/>
      <c r="T14" s="137"/>
      <c r="U14" s="137"/>
    </row>
    <row r="15" spans="1:21" ht="14.5">
      <c r="A15" s="131"/>
      <c r="B15" s="139"/>
      <c r="C15" s="135"/>
      <c r="D15" s="134"/>
      <c r="E15" s="114"/>
      <c r="F15" s="136"/>
      <c r="G15" s="136"/>
      <c r="H15" s="136"/>
      <c r="I15" s="136"/>
      <c r="J15" s="133"/>
      <c r="K15" s="133"/>
      <c r="L15" s="110"/>
      <c r="M15" s="118"/>
      <c r="N15" s="118"/>
      <c r="O15" s="114"/>
      <c r="P15" s="137"/>
      <c r="Q15" s="137"/>
      <c r="R15" s="137"/>
      <c r="S15" s="137"/>
      <c r="T15" s="137"/>
      <c r="U15" s="137"/>
    </row>
    <row r="16" spans="1:21" ht="14.5">
      <c r="A16" s="131"/>
      <c r="B16" s="139"/>
      <c r="C16" s="135"/>
      <c r="D16" s="134"/>
      <c r="E16" s="114"/>
      <c r="F16" s="136"/>
      <c r="G16" s="136"/>
      <c r="H16" s="136"/>
      <c r="I16" s="136"/>
      <c r="J16" s="133"/>
      <c r="K16" s="133"/>
      <c r="L16" s="110"/>
      <c r="M16" s="118"/>
      <c r="N16" s="118"/>
      <c r="O16" s="114"/>
      <c r="P16" s="137"/>
      <c r="Q16" s="137"/>
      <c r="R16" s="137"/>
      <c r="S16" s="137"/>
      <c r="T16" s="137"/>
      <c r="U16" s="137"/>
    </row>
    <row r="17" spans="1:21" s="143" customFormat="1" ht="12">
      <c r="A17" s="140"/>
      <c r="B17" s="140"/>
      <c r="C17" s="141"/>
      <c r="D17" s="141"/>
      <c r="E17" s="140"/>
      <c r="F17" s="142"/>
      <c r="G17" s="142"/>
      <c r="H17" s="142"/>
      <c r="I17" s="142"/>
      <c r="J17" s="141"/>
      <c r="K17" s="140"/>
      <c r="L17" s="140"/>
      <c r="M17" s="140"/>
      <c r="N17" s="140"/>
      <c r="O17" s="140"/>
      <c r="P17" s="142"/>
      <c r="Q17" s="142"/>
      <c r="R17" s="142"/>
      <c r="S17" s="142"/>
      <c r="T17" s="142"/>
      <c r="U17" s="142"/>
    </row>
  </sheetData>
  <sheetProtect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FC479E-EE4E-471B-B1B8-1D86A461EB09}">
  <sheetPr codeName="">
    <tabColor rgb="FF92D050"/>
  </sheetPr>
  <dimension ref="A1:AI14"/>
  <sheetViews>
    <sheetView workbookViewId="0" topLeftCell="E1">
      <pane ySplit="4" topLeftCell="A5" activePane="bottomLeft" state="frozen"/>
      <selection pane="topLeft" activeCell="A1" sqref="A1"/>
      <selection pane="bottomLeft" activeCell="A7" sqref="A1:XFD1048576"/>
    </sheetView>
  </sheetViews>
  <sheetFormatPr defaultColWidth="9.14285714285714" defaultRowHeight="14.5"/>
  <cols>
    <col min="1" max="1" width="5.42857142857143" style="101" customWidth="1"/>
    <col min="2" max="3" width="13.4285714285714" customWidth="1"/>
    <col min="4" max="4" width="35.5714285714286" customWidth="1"/>
    <col min="5" max="5" width="17.5714285714286" customWidth="1"/>
    <col min="7" max="7" width="13.5714285714286" style="99" customWidth="1"/>
    <col min="8" max="8" width="11.5714285714286" style="99" customWidth="1"/>
    <col min="9" max="10" width="9.28571428571429" style="99" customWidth="1"/>
    <col min="11" max="11" width="11.1428571428571" style="99" customWidth="1"/>
    <col min="12" max="12" width="15.4285714285714" style="99" customWidth="1"/>
    <col min="13" max="13" width="16" style="100" customWidth="1"/>
    <col min="14" max="14" width="13.5714285714286" customWidth="1"/>
    <col min="15" max="15" width="13.4285714285714" customWidth="1"/>
    <col min="16" max="16" width="24.8571428571429" customWidth="1"/>
    <col min="17" max="17" width="14.4285714285714" customWidth="1"/>
    <col min="18" max="18" width="14" customWidth="1"/>
    <col min="21" max="21" width="11.5714285714286" customWidth="1"/>
    <col min="22" max="22" width="9.71428571428571" customWidth="1"/>
    <col min="25" max="25" width="9.71428571428571" customWidth="1"/>
    <col min="26" max="26" width="12" customWidth="1"/>
    <col min="27" max="27" width="20.4285714285714" style="99" customWidth="1"/>
    <col min="28" max="28" width="19.2857142857143" customWidth="1"/>
    <col min="29" max="29" width="21.5714285714286" customWidth="1"/>
    <col min="31" max="34" width="15.8571428571429" customWidth="1"/>
    <col min="35" max="35" width="22" customWidth="1"/>
  </cols>
  <sheetData>
    <row r="1" spans="1:5" ht="14.5">
      <c r="A1" s="202"/>
      <c r="B1" s="202"/>
      <c r="C1" s="202"/>
      <c r="D1" s="202"/>
      <c r="E1" s="202"/>
    </row>
    <row r="2" spans="1:5" ht="15" customHeight="1">
      <c r="A2" s="203"/>
      <c r="B2" s="203"/>
      <c r="C2" s="203"/>
      <c r="D2" s="203"/>
      <c r="E2" s="203"/>
    </row>
    <row r="3" spans="18:34" ht="14.5">
      <c r="R3" s="204"/>
      <c r="S3" s="204"/>
      <c r="T3" s="204"/>
      <c r="U3" s="204"/>
      <c r="V3" s="204"/>
      <c r="W3" s="204"/>
      <c r="X3" s="204"/>
      <c r="Y3" s="204"/>
      <c r="AE3" s="205"/>
      <c r="AF3" s="205"/>
      <c r="AG3" s="205"/>
      <c r="AH3" s="205"/>
    </row>
    <row r="4" spans="1:35" s="109" customFormat="1" ht="14.5">
      <c r="A4" s="102"/>
      <c r="B4" s="103"/>
      <c r="C4" s="103"/>
      <c r="D4" s="103"/>
      <c r="E4" s="103"/>
      <c r="F4" s="103"/>
      <c r="G4" s="104"/>
      <c r="H4" s="104"/>
      <c r="I4" s="104"/>
      <c r="J4" s="104"/>
      <c r="K4" s="104"/>
      <c r="L4" s="104"/>
      <c r="M4" s="104"/>
      <c r="N4" s="103"/>
      <c r="O4" s="103"/>
      <c r="P4" s="103"/>
      <c r="Q4" s="103"/>
      <c r="R4" s="105"/>
      <c r="S4" s="105"/>
      <c r="T4" s="105"/>
      <c r="U4" s="105"/>
      <c r="V4" s="105"/>
      <c r="W4" s="105"/>
      <c r="X4" s="105"/>
      <c r="Y4" s="105"/>
      <c r="Z4" s="106"/>
      <c r="AA4" s="104"/>
      <c r="AB4" s="107"/>
      <c r="AC4" s="105"/>
      <c r="AD4" s="103"/>
      <c r="AE4" s="108"/>
      <c r="AF4" s="108"/>
      <c r="AG4" s="108"/>
      <c r="AH4" s="108"/>
      <c r="AI4" s="108"/>
    </row>
    <row r="5" spans="1:35" ht="14.5">
      <c r="A5" s="110"/>
      <c r="B5" s="111"/>
      <c r="C5" s="112"/>
      <c r="D5" s="113"/>
      <c r="E5" s="114"/>
      <c r="F5" s="115"/>
      <c r="G5" s="116"/>
      <c r="H5" s="116"/>
      <c r="I5" s="116"/>
      <c r="J5" s="116"/>
      <c r="K5" s="116"/>
      <c r="L5" s="116"/>
      <c r="M5" s="104"/>
      <c r="N5" s="117"/>
      <c r="O5" s="118"/>
      <c r="P5" s="118"/>
      <c r="Q5" s="114"/>
      <c r="R5" s="117"/>
      <c r="S5" s="114"/>
      <c r="T5" s="114"/>
      <c r="U5" s="117"/>
      <c r="V5" s="117"/>
      <c r="W5" s="114"/>
      <c r="X5" s="114"/>
      <c r="Y5" s="117"/>
      <c r="Z5" s="117"/>
      <c r="AA5" s="116"/>
      <c r="AB5" s="114"/>
      <c r="AC5" s="114"/>
      <c r="AD5" s="117"/>
      <c r="AE5" s="117"/>
      <c r="AF5" s="117"/>
      <c r="AG5" s="117"/>
      <c r="AH5" s="116"/>
      <c r="AI5" s="114"/>
    </row>
    <row r="6" spans="1:35" ht="14.5">
      <c r="A6" s="110"/>
      <c r="B6" s="111"/>
      <c r="C6" s="112"/>
      <c r="D6" s="113"/>
      <c r="E6" s="114"/>
      <c r="F6" s="115"/>
      <c r="G6" s="116"/>
      <c r="H6" s="116"/>
      <c r="I6" s="116"/>
      <c r="J6" s="116"/>
      <c r="K6" s="116"/>
      <c r="L6" s="116"/>
      <c r="M6" s="104"/>
      <c r="N6" s="117"/>
      <c r="O6" s="118"/>
      <c r="P6" s="118"/>
      <c r="Q6" s="114"/>
      <c r="R6" s="117"/>
      <c r="S6" s="114"/>
      <c r="T6" s="114"/>
      <c r="U6" s="117"/>
      <c r="V6" s="117"/>
      <c r="W6" s="114"/>
      <c r="X6" s="114"/>
      <c r="Y6" s="117"/>
      <c r="Z6" s="117"/>
      <c r="AA6" s="116"/>
      <c r="AB6" s="114"/>
      <c r="AC6" s="114"/>
      <c r="AD6" s="117"/>
      <c r="AE6" s="117"/>
      <c r="AF6" s="117"/>
      <c r="AG6" s="117"/>
      <c r="AH6" s="116"/>
      <c r="AI6" s="114"/>
    </row>
    <row r="7" spans="1:35" ht="14.5">
      <c r="A7" s="110"/>
      <c r="B7" s="111"/>
      <c r="C7" s="112"/>
      <c r="D7" s="113"/>
      <c r="E7" s="114"/>
      <c r="F7" s="115"/>
      <c r="G7" s="116"/>
      <c r="H7" s="116"/>
      <c r="I7" s="116"/>
      <c r="J7" s="116"/>
      <c r="K7" s="116"/>
      <c r="L7" s="116"/>
      <c r="M7" s="104"/>
      <c r="N7" s="117"/>
      <c r="O7" s="118"/>
      <c r="P7" s="118"/>
      <c r="Q7" s="114"/>
      <c r="R7" s="117"/>
      <c r="S7" s="114"/>
      <c r="T7" s="114"/>
      <c r="U7" s="117"/>
      <c r="V7" s="117"/>
      <c r="W7" s="114"/>
      <c r="X7" s="114"/>
      <c r="Y7" s="117"/>
      <c r="Z7" s="117"/>
      <c r="AA7" s="116"/>
      <c r="AB7" s="114"/>
      <c r="AC7" s="114"/>
      <c r="AD7" s="117"/>
      <c r="AE7" s="117"/>
      <c r="AF7" s="117"/>
      <c r="AG7" s="117"/>
      <c r="AH7" s="116"/>
      <c r="AI7" s="114"/>
    </row>
    <row r="8" spans="1:35" s="109" customFormat="1" ht="14.5">
      <c r="A8" s="102"/>
      <c r="B8" s="103"/>
      <c r="C8" s="103"/>
      <c r="D8" s="103"/>
      <c r="E8" s="103"/>
      <c r="F8" s="103"/>
      <c r="G8" s="104"/>
      <c r="H8" s="104"/>
      <c r="I8" s="104"/>
      <c r="J8" s="104"/>
      <c r="K8" s="104"/>
      <c r="L8" s="104"/>
      <c r="M8" s="104"/>
      <c r="N8" s="103"/>
      <c r="O8" s="103"/>
      <c r="P8" s="103"/>
      <c r="Q8" s="103"/>
      <c r="R8" s="119"/>
      <c r="S8" s="119"/>
      <c r="T8" s="119"/>
      <c r="U8" s="119"/>
      <c r="V8" s="119"/>
      <c r="W8" s="119"/>
      <c r="X8" s="119"/>
      <c r="Y8" s="119"/>
      <c r="Z8" s="119"/>
      <c r="AA8" s="119"/>
      <c r="AB8" s="103"/>
      <c r="AC8" s="103"/>
      <c r="AD8" s="119"/>
      <c r="AE8" s="119"/>
      <c r="AF8" s="119"/>
      <c r="AG8" s="119"/>
      <c r="AH8" s="119"/>
      <c r="AI8" s="103"/>
    </row>
    <row r="10" spans="3:15" ht="14.5">
      <c r="C10" s="101"/>
      <c r="G10"/>
      <c r="H10"/>
      <c r="M10" s="99"/>
      <c r="N10" s="99"/>
      <c r="O10" s="100"/>
    </row>
    <row r="11" spans="3:15" ht="14.5">
      <c r="C11" s="101"/>
      <c r="G11"/>
      <c r="H11"/>
      <c r="M11" s="99"/>
      <c r="N11" s="99"/>
      <c r="O11" s="100"/>
    </row>
    <row r="12" spans="3:15" ht="14.5">
      <c r="C12" s="101"/>
      <c r="G12"/>
      <c r="H12"/>
      <c r="M12" s="99"/>
      <c r="N12" s="99"/>
      <c r="O12" s="100"/>
    </row>
    <row r="13" spans="3:15" ht="14.5">
      <c r="C13" s="101"/>
      <c r="G13"/>
      <c r="H13"/>
      <c r="M13" s="99"/>
      <c r="N13" s="99"/>
      <c r="O13" s="100"/>
    </row>
    <row r="14" spans="3:15" ht="14.5">
      <c r="C14" s="101"/>
      <c r="G14"/>
      <c r="H14"/>
      <c r="M14" s="99"/>
      <c r="N14" s="99"/>
      <c r="O14" s="100"/>
    </row>
  </sheetData>
  <sheetProtection/>
  <mergeCells count="5">
    <mergeCell ref="A1:E1"/>
    <mergeCell ref="A2:E2"/>
    <mergeCell ref="R3:U3"/>
    <mergeCell ref="V3:Y3"/>
    <mergeCell ref="AE3:A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sheetPr codeName=""/>
  <dimension ref="A1:BK46"/>
  <sheetViews>
    <sheetView workbookViewId="0" topLeftCell="AH1">
      <pane ySplit="2" topLeftCell="A3" activePane="bottomLeft" state="frozen"/>
      <selection pane="topLeft" activeCell="A1" sqref="A1"/>
      <selection pane="bottomLeft" activeCell="AO1" sqref="AO1"/>
    </sheetView>
  </sheetViews>
  <sheetFormatPr defaultColWidth="9.14285714285714" defaultRowHeight="14.5"/>
  <cols>
    <col min="1" max="1" width="18.7142857142857" customWidth="1"/>
    <col min="2" max="2" width="14.7142857142857" customWidth="1"/>
    <col min="3" max="3" width="7" customWidth="1"/>
    <col min="4" max="4" width="31.8571428571429" customWidth="1"/>
    <col min="5" max="5" width="27.4285714285714" customWidth="1"/>
    <col min="6" max="6" width="18.2857142857143" customWidth="1"/>
    <col min="7" max="7" width="10.8571428571429" customWidth="1"/>
    <col min="8" max="8" width="21.7142857142857" customWidth="1"/>
    <col min="9" max="9" width="17.8571428571429" customWidth="1"/>
    <col min="10" max="10" width="15.8571428571429" customWidth="1"/>
    <col min="11" max="11" width="21.5714285714286" customWidth="1"/>
    <col min="12" max="12" width="23.4285714285714" customWidth="1"/>
    <col min="13" max="13" width="11.1428571428571" customWidth="1"/>
    <col min="14" max="14" width="9.57142857142857" customWidth="1"/>
    <col min="15" max="15" width="17.2857142857143" customWidth="1"/>
    <col min="16" max="16" width="13.4285714285714" customWidth="1"/>
    <col min="17" max="17" width="9.85714285714286" customWidth="1"/>
    <col min="18" max="18" width="10" customWidth="1"/>
    <col min="19" max="19" width="11.8571428571429" customWidth="1"/>
    <col min="20" max="20" width="15.2857142857143" customWidth="1"/>
    <col min="21" max="21" width="34.8571428571429" customWidth="1"/>
    <col min="22" max="22" width="22.7142857142857" customWidth="1"/>
    <col min="23" max="23" width="14.4285714285714" customWidth="1"/>
    <col min="24" max="24" width="17.4285714285714" customWidth="1"/>
    <col min="25" max="26" width="9.85714285714286" customWidth="1"/>
    <col min="27" max="27" width="12.5714285714286" customWidth="1"/>
    <col min="28" max="28" width="8.85714285714286" customWidth="1"/>
    <col min="29" max="29" width="12.5714285714286" customWidth="1"/>
    <col min="30" max="30" width="10.2857142857143" customWidth="1"/>
    <col min="31" max="31" width="12.2857142857143" customWidth="1"/>
    <col min="32" max="32" width="14.1428571428571" customWidth="1"/>
    <col min="33" max="33" width="34.8571428571429" customWidth="1"/>
    <col min="34" max="34" width="18.4285714285714" customWidth="1"/>
    <col min="35" max="37" width="12" customWidth="1"/>
    <col min="38" max="39" width="17.4285714285714" customWidth="1"/>
    <col min="40" max="40" width="13.5714285714286" customWidth="1"/>
    <col min="41" max="41" width="11.8571428571429" customWidth="1"/>
    <col min="42" max="42" width="10.8571428571429" customWidth="1"/>
    <col min="43" max="43" width="10.8571428571429" customWidth="1"/>
    <col min="44" max="44" width="7.42857142857143" customWidth="1"/>
    <col min="45" max="45" width="10.4285714285714" customWidth="1"/>
    <col min="46" max="46" width="6.85714285714286" customWidth="1"/>
    <col min="47" max="47" width="11.5714285714286" customWidth="1"/>
    <col min="48" max="48" width="6.85714285714286" customWidth="1"/>
    <col min="49" max="49" width="16.7142857142857" customWidth="1"/>
    <col min="50" max="50" width="13.2857142857143" customWidth="1"/>
    <col min="51" max="51" width="11.4285714285714" customWidth="1"/>
    <col min="52" max="52" width="13" customWidth="1"/>
    <col min="53" max="53" width="7.57142857142857" customWidth="1"/>
    <col min="54" max="54" width="9.14285714285714" customWidth="1"/>
    <col min="55" max="55" width="34.8571428571429" customWidth="1"/>
    <col min="56" max="56" width="20.8571428571429" customWidth="1"/>
    <col min="57" max="57" width="30.1428571428571" customWidth="1"/>
    <col min="58" max="58" width="16" customWidth="1"/>
    <col min="59" max="59" width="15.4285714285714" customWidth="1"/>
    <col min="60" max="60" width="15.5714285714286" customWidth="1"/>
    <col min="61" max="61" width="34.8571428571429" customWidth="1"/>
    <col min="62" max="62" width="16.2857142857143" customWidth="1"/>
  </cols>
  <sheetData>
    <row r="1" spans="38:48" ht="14.5">
      <c r="AL1">
        <f>SUBTOTAL(9,AL3:AL46)</f>
        <v>89063007.620000005</v>
      </c>
      <c r="AO1">
        <f>SUBTOTAL(9,AO3:AO46)</f>
        <v>3255738.9000000004</v>
      </c>
      <c r="AP1">
        <f>SUBTOTAL(9,AP3:AP46)</f>
        <v>3255738.9000000004</v>
      </c>
      <c r="AQ1">
        <f>SUBTOTAL(9,AQ3:AQ46)</f>
        <v>9519863.5600000024</v>
      </c>
      <c r="AR1">
        <f>SUBTOTAL(9,AR3:AR46)</f>
        <v>0</v>
      </c>
      <c r="AT1">
        <f>SUBTOTAL(9,AT3:AT46)</f>
        <v>0</v>
      </c>
      <c r="AV1">
        <f>SUBTOTAL(9,AV3:AV46)</f>
        <v>0</v>
      </c>
    </row>
    <row r="2" spans="1:62" ht="14.5">
      <c r="A2" s="146" t="s">
        <v>52</v>
      </c>
      <c r="B2" s="147" t="s">
        <v>53</v>
      </c>
      <c r="C2" s="147" t="s">
        <v>54</v>
      </c>
      <c r="D2" s="147" t="s">
        <v>55</v>
      </c>
      <c r="E2" s="147" t="s">
        <v>56</v>
      </c>
      <c r="F2" s="147" t="s">
        <v>57</v>
      </c>
      <c r="G2" s="147" t="s">
        <v>109</v>
      </c>
      <c r="H2" s="147" t="s">
        <v>58</v>
      </c>
      <c r="I2" s="147" t="s">
        <v>59</v>
      </c>
      <c r="J2" s="147" t="s">
        <v>60</v>
      </c>
      <c r="K2" s="147" t="s">
        <v>110</v>
      </c>
      <c r="L2" s="147" t="s">
        <v>61</v>
      </c>
      <c r="M2" s="147" t="s">
        <v>62</v>
      </c>
      <c r="N2" s="147" t="s">
        <v>63</v>
      </c>
      <c r="O2" s="147" t="s">
        <v>64</v>
      </c>
      <c r="P2" s="147" t="s">
        <v>65</v>
      </c>
      <c r="Q2" s="147" t="s">
        <v>66</v>
      </c>
      <c r="R2" s="147" t="s">
        <v>67</v>
      </c>
      <c r="S2" s="147" t="s">
        <v>68</v>
      </c>
      <c r="T2" s="147" t="s">
        <v>69</v>
      </c>
      <c r="U2" s="146" t="s">
        <v>70</v>
      </c>
      <c r="V2" s="147" t="s">
        <v>71</v>
      </c>
      <c r="W2" s="147" t="s">
        <v>111</v>
      </c>
      <c r="X2" s="146" t="s">
        <v>72</v>
      </c>
      <c r="Y2" s="147" t="s">
        <v>73</v>
      </c>
      <c r="Z2" s="147" t="s">
        <v>362</v>
      </c>
      <c r="AA2" s="147" t="s">
        <v>74</v>
      </c>
      <c r="AB2" s="147" t="s">
        <v>75</v>
      </c>
      <c r="AC2" s="147" t="s">
        <v>76</v>
      </c>
      <c r="AD2" s="147" t="s">
        <v>77</v>
      </c>
      <c r="AE2" s="147" t="s">
        <v>78</v>
      </c>
      <c r="AF2" s="147" t="s">
        <v>79</v>
      </c>
      <c r="AG2" s="147" t="s">
        <v>112</v>
      </c>
      <c r="AH2" s="147" t="s">
        <v>113</v>
      </c>
      <c r="AI2" s="147" t="s">
        <v>363</v>
      </c>
      <c r="AJ2" s="147" t="s">
        <v>364</v>
      </c>
      <c r="AK2" s="147" t="s">
        <v>365</v>
      </c>
      <c r="AL2" s="147" t="s">
        <v>80</v>
      </c>
      <c r="AM2" s="147" t="s">
        <v>366</v>
      </c>
      <c r="AN2" s="147" t="s">
        <v>81</v>
      </c>
      <c r="AO2" s="146" t="s">
        <v>82</v>
      </c>
      <c r="AP2" s="147" t="s">
        <v>83</v>
      </c>
      <c r="AQ2" s="147" t="s">
        <v>84</v>
      </c>
      <c r="AR2" s="147" t="s">
        <v>85</v>
      </c>
      <c r="AS2" s="147" t="s">
        <v>86</v>
      </c>
      <c r="AT2" s="147" t="s">
        <v>87</v>
      </c>
      <c r="AU2" s="147" t="s">
        <v>88</v>
      </c>
      <c r="AV2" s="147" t="s">
        <v>89</v>
      </c>
      <c r="AW2" s="147" t="s">
        <v>90</v>
      </c>
      <c r="AX2" s="147" t="s">
        <v>91</v>
      </c>
      <c r="AY2" s="147" t="s">
        <v>92</v>
      </c>
      <c r="AZ2" s="147" t="s">
        <v>367</v>
      </c>
      <c r="BA2" s="147" t="s">
        <v>93</v>
      </c>
      <c r="BB2" s="147" t="s">
        <v>94</v>
      </c>
      <c r="BC2" s="147" t="s">
        <v>114</v>
      </c>
      <c r="BD2" s="147" t="s">
        <v>115</v>
      </c>
      <c r="BE2" s="147" t="s">
        <v>95</v>
      </c>
      <c r="BF2" s="147" t="s">
        <v>96</v>
      </c>
      <c r="BG2" s="147" t="s">
        <v>116</v>
      </c>
      <c r="BH2" s="147" t="s">
        <v>117</v>
      </c>
      <c r="BI2" s="147" t="s">
        <v>118</v>
      </c>
      <c r="BJ2" s="147" t="s">
        <v>119</v>
      </c>
    </row>
    <row r="3" spans="1:63" ht="14.5">
      <c r="A3" s="148" t="s">
        <v>324</v>
      </c>
      <c r="B3" s="149" t="s">
        <v>332</v>
      </c>
      <c r="C3" s="149">
        <v>107</v>
      </c>
      <c r="D3" s="149" t="s">
        <v>97</v>
      </c>
      <c r="E3" s="149" t="s">
        <v>98</v>
      </c>
      <c r="F3" s="149" t="s">
        <v>464</v>
      </c>
      <c r="G3" s="84"/>
      <c r="H3" s="149" t="s">
        <v>106</v>
      </c>
      <c r="I3" s="149" t="s">
        <v>48</v>
      </c>
      <c r="J3" s="149" t="s">
        <v>120</v>
      </c>
      <c r="K3" s="149" t="s">
        <v>121</v>
      </c>
      <c r="L3" s="149" t="s">
        <v>212</v>
      </c>
      <c r="M3" s="84"/>
      <c r="N3" s="84"/>
      <c r="O3" s="150">
        <v>46142</v>
      </c>
      <c r="P3" s="149" t="s">
        <v>465</v>
      </c>
      <c r="Q3" s="149">
        <v>27210284</v>
      </c>
      <c r="R3" s="150">
        <v>46142</v>
      </c>
      <c r="S3" s="149" t="s">
        <v>122</v>
      </c>
      <c r="T3" s="149">
        <v>445074</v>
      </c>
      <c r="U3" s="148" t="s">
        <v>47</v>
      </c>
      <c r="V3" s="149" t="s">
        <v>245</v>
      </c>
      <c r="W3" s="149" t="s">
        <v>0</v>
      </c>
      <c r="X3" s="148" t="s">
        <v>246</v>
      </c>
      <c r="Y3" s="84"/>
      <c r="Z3" s="84"/>
      <c r="AA3" s="149">
        <v>243260</v>
      </c>
      <c r="AB3" s="149">
        <v>1</v>
      </c>
      <c r="AC3" s="149">
        <v>243260</v>
      </c>
      <c r="AD3" s="149" t="s">
        <v>99</v>
      </c>
      <c r="AE3" s="84"/>
      <c r="AF3" s="149">
        <v>998599</v>
      </c>
      <c r="AG3" s="149" t="s">
        <v>466</v>
      </c>
      <c r="AH3" s="84"/>
      <c r="AI3" s="84"/>
      <c r="AJ3" s="149">
        <v>0</v>
      </c>
      <c r="AK3" s="149">
        <v>0</v>
      </c>
      <c r="AL3" s="149">
        <v>243260</v>
      </c>
      <c r="AM3" s="149" t="s">
        <v>368</v>
      </c>
      <c r="AN3" s="149">
        <v>18</v>
      </c>
      <c r="AO3" s="148">
        <v>0</v>
      </c>
      <c r="AP3" s="149">
        <v>0</v>
      </c>
      <c r="AQ3" s="149">
        <v>43786.80</v>
      </c>
      <c r="AR3" s="149">
        <v>0</v>
      </c>
      <c r="AS3" s="149">
        <v>0</v>
      </c>
      <c r="AT3" s="149">
        <v>0</v>
      </c>
      <c r="AU3" s="149">
        <v>0</v>
      </c>
      <c r="AV3" s="149">
        <v>0</v>
      </c>
      <c r="AW3" s="84"/>
      <c r="AX3" s="84"/>
      <c r="AY3" s="149">
        <v>0</v>
      </c>
      <c r="AZ3" s="149">
        <v>287046.80</v>
      </c>
      <c r="BA3" s="149" t="s">
        <v>100</v>
      </c>
      <c r="BB3" s="149" t="s">
        <v>101</v>
      </c>
      <c r="BC3" s="149" t="s">
        <v>220</v>
      </c>
      <c r="BD3" s="149" t="s">
        <v>464</v>
      </c>
      <c r="BE3" s="149" t="s">
        <v>102</v>
      </c>
      <c r="BF3" s="149" t="s">
        <v>103</v>
      </c>
      <c r="BG3" s="84"/>
      <c r="BH3" s="84"/>
      <c r="BI3" s="149" t="s">
        <v>467</v>
      </c>
      <c r="BJ3" s="152">
        <v>46142.586805555555</v>
      </c>
      <c r="BK3" t="s">
        <v>285</v>
      </c>
    </row>
    <row r="4" spans="1:63" ht="14.5">
      <c r="A4" s="148" t="s">
        <v>324</v>
      </c>
      <c r="B4" s="149" t="s">
        <v>332</v>
      </c>
      <c r="C4" s="149">
        <v>107</v>
      </c>
      <c r="D4" s="149" t="s">
        <v>97</v>
      </c>
      <c r="E4" s="149" t="s">
        <v>98</v>
      </c>
      <c r="F4" s="149" t="s">
        <v>468</v>
      </c>
      <c r="G4" s="84"/>
      <c r="H4" s="149" t="s">
        <v>106</v>
      </c>
      <c r="I4" s="149" t="s">
        <v>48</v>
      </c>
      <c r="J4" s="149" t="s">
        <v>120</v>
      </c>
      <c r="K4" s="149" t="s">
        <v>121</v>
      </c>
      <c r="L4" s="149" t="s">
        <v>212</v>
      </c>
      <c r="M4" s="84"/>
      <c r="N4" s="84"/>
      <c r="O4" s="150">
        <v>46142</v>
      </c>
      <c r="P4" s="149" t="s">
        <v>469</v>
      </c>
      <c r="Q4" s="149">
        <v>27210352</v>
      </c>
      <c r="R4" s="150">
        <v>46142</v>
      </c>
      <c r="S4" s="149" t="s">
        <v>122</v>
      </c>
      <c r="T4" s="149">
        <v>2889</v>
      </c>
      <c r="U4" s="148" t="s">
        <v>262</v>
      </c>
      <c r="V4" s="149" t="s">
        <v>263</v>
      </c>
      <c r="W4" s="149" t="s">
        <v>0</v>
      </c>
      <c r="X4" s="148" t="s">
        <v>264</v>
      </c>
      <c r="Y4" s="84"/>
      <c r="Z4" s="84"/>
      <c r="AA4" s="149">
        <v>379724</v>
      </c>
      <c r="AB4" s="149">
        <v>1</v>
      </c>
      <c r="AC4" s="149">
        <v>379724</v>
      </c>
      <c r="AD4" s="149" t="s">
        <v>99</v>
      </c>
      <c r="AE4" s="84"/>
      <c r="AF4" s="149">
        <v>998599</v>
      </c>
      <c r="AG4" s="149" t="s">
        <v>466</v>
      </c>
      <c r="AH4" s="84"/>
      <c r="AI4" s="84"/>
      <c r="AJ4" s="149">
        <v>0</v>
      </c>
      <c r="AK4" s="149">
        <v>0</v>
      </c>
      <c r="AL4" s="149">
        <v>379724</v>
      </c>
      <c r="AM4" s="149" t="s">
        <v>368</v>
      </c>
      <c r="AN4" s="149">
        <v>18</v>
      </c>
      <c r="AO4" s="148">
        <v>0</v>
      </c>
      <c r="AP4" s="149">
        <v>0</v>
      </c>
      <c r="AQ4" s="149">
        <v>68350.320000000007</v>
      </c>
      <c r="AR4" s="149">
        <v>0</v>
      </c>
      <c r="AS4" s="149">
        <v>0</v>
      </c>
      <c r="AT4" s="149">
        <v>0</v>
      </c>
      <c r="AU4" s="149">
        <v>0</v>
      </c>
      <c r="AV4" s="149">
        <v>0</v>
      </c>
      <c r="AW4" s="84"/>
      <c r="AX4" s="84"/>
      <c r="AY4" s="149">
        <v>0</v>
      </c>
      <c r="AZ4" s="149">
        <v>448074.32</v>
      </c>
      <c r="BA4" s="149" t="s">
        <v>100</v>
      </c>
      <c r="BB4" s="149" t="s">
        <v>101</v>
      </c>
      <c r="BC4" s="149" t="s">
        <v>220</v>
      </c>
      <c r="BD4" s="149" t="s">
        <v>468</v>
      </c>
      <c r="BE4" s="149" t="s">
        <v>102</v>
      </c>
      <c r="BF4" s="149" t="s">
        <v>103</v>
      </c>
      <c r="BG4" s="84"/>
      <c r="BH4" s="84"/>
      <c r="BI4" s="149" t="s">
        <v>470</v>
      </c>
      <c r="BJ4" s="152">
        <v>46142.615972222222</v>
      </c>
      <c r="BK4" t="s">
        <v>285</v>
      </c>
    </row>
    <row r="5" spans="1:63" ht="14.5">
      <c r="A5" s="148" t="s">
        <v>324</v>
      </c>
      <c r="B5" s="149" t="s">
        <v>332</v>
      </c>
      <c r="C5" s="149">
        <v>107</v>
      </c>
      <c r="D5" s="149" t="s">
        <v>97</v>
      </c>
      <c r="E5" s="149" t="s">
        <v>98</v>
      </c>
      <c r="F5" s="149" t="s">
        <v>471</v>
      </c>
      <c r="G5" s="84"/>
      <c r="H5" s="149" t="s">
        <v>106</v>
      </c>
      <c r="I5" s="149" t="s">
        <v>48</v>
      </c>
      <c r="J5" s="149" t="s">
        <v>120</v>
      </c>
      <c r="K5" s="149" t="s">
        <v>121</v>
      </c>
      <c r="L5" s="149" t="s">
        <v>212</v>
      </c>
      <c r="M5" s="84"/>
      <c r="N5" s="84"/>
      <c r="O5" s="150">
        <v>46142</v>
      </c>
      <c r="P5" s="149" t="s">
        <v>472</v>
      </c>
      <c r="Q5" s="149">
        <v>27210294</v>
      </c>
      <c r="R5" s="150">
        <v>46142</v>
      </c>
      <c r="S5" s="149" t="s">
        <v>122</v>
      </c>
      <c r="T5" s="149">
        <v>445076</v>
      </c>
      <c r="U5" s="148" t="s">
        <v>221</v>
      </c>
      <c r="V5" s="149" t="s">
        <v>265</v>
      </c>
      <c r="W5" s="149" t="s">
        <v>0</v>
      </c>
      <c r="X5" s="148" t="s">
        <v>266</v>
      </c>
      <c r="Y5" s="84"/>
      <c r="Z5" s="84"/>
      <c r="AA5" s="149">
        <v>621770</v>
      </c>
      <c r="AB5" s="149">
        <v>1</v>
      </c>
      <c r="AC5" s="149">
        <v>621770</v>
      </c>
      <c r="AD5" s="149" t="s">
        <v>99</v>
      </c>
      <c r="AE5" s="84"/>
      <c r="AF5" s="149">
        <v>998599</v>
      </c>
      <c r="AG5" s="149" t="s">
        <v>466</v>
      </c>
      <c r="AH5" s="84"/>
      <c r="AI5" s="84"/>
      <c r="AJ5" s="149">
        <v>0</v>
      </c>
      <c r="AK5" s="149">
        <v>0</v>
      </c>
      <c r="AL5" s="149">
        <v>621770</v>
      </c>
      <c r="AM5" s="149" t="s">
        <v>368</v>
      </c>
      <c r="AN5" s="149">
        <v>18</v>
      </c>
      <c r="AO5" s="148">
        <v>0</v>
      </c>
      <c r="AP5" s="149">
        <v>0</v>
      </c>
      <c r="AQ5" s="149">
        <v>111918.60</v>
      </c>
      <c r="AR5" s="149">
        <v>0</v>
      </c>
      <c r="AS5" s="149">
        <v>0</v>
      </c>
      <c r="AT5" s="149">
        <v>0</v>
      </c>
      <c r="AU5" s="149">
        <v>0</v>
      </c>
      <c r="AV5" s="149">
        <v>0</v>
      </c>
      <c r="AW5" s="84"/>
      <c r="AX5" s="84"/>
      <c r="AY5" s="149">
        <v>0</v>
      </c>
      <c r="AZ5" s="149">
        <v>733688.60</v>
      </c>
      <c r="BA5" s="149" t="s">
        <v>100</v>
      </c>
      <c r="BB5" s="149" t="s">
        <v>101</v>
      </c>
      <c r="BC5" s="149" t="s">
        <v>220</v>
      </c>
      <c r="BD5" s="149" t="s">
        <v>471</v>
      </c>
      <c r="BE5" s="149" t="s">
        <v>102</v>
      </c>
      <c r="BF5" s="149" t="s">
        <v>103</v>
      </c>
      <c r="BG5" s="84"/>
      <c r="BH5" s="84"/>
      <c r="BI5" s="149" t="s">
        <v>473</v>
      </c>
      <c r="BJ5" s="152">
        <v>46142.595138888886</v>
      </c>
      <c r="BK5" t="s">
        <v>285</v>
      </c>
    </row>
    <row r="6" spans="1:63" ht="14.5">
      <c r="A6" s="148" t="s">
        <v>324</v>
      </c>
      <c r="B6" s="149" t="s">
        <v>332</v>
      </c>
      <c r="C6" s="149">
        <v>107</v>
      </c>
      <c r="D6" s="149" t="s">
        <v>97</v>
      </c>
      <c r="E6" s="149" t="s">
        <v>98</v>
      </c>
      <c r="F6" s="149" t="s">
        <v>474</v>
      </c>
      <c r="G6" s="84"/>
      <c r="H6" s="149" t="s">
        <v>106</v>
      </c>
      <c r="I6" s="149" t="s">
        <v>48</v>
      </c>
      <c r="J6" s="149" t="s">
        <v>120</v>
      </c>
      <c r="K6" s="149" t="s">
        <v>121</v>
      </c>
      <c r="L6" s="149" t="s">
        <v>212</v>
      </c>
      <c r="M6" s="84"/>
      <c r="N6" s="84"/>
      <c r="O6" s="150">
        <v>46141</v>
      </c>
      <c r="P6" s="149" t="s">
        <v>475</v>
      </c>
      <c r="Q6" s="149">
        <v>27208567</v>
      </c>
      <c r="R6" s="150">
        <v>46141</v>
      </c>
      <c r="S6" s="149" t="s">
        <v>122</v>
      </c>
      <c r="T6" s="149">
        <v>866092</v>
      </c>
      <c r="U6" s="148" t="s">
        <v>131</v>
      </c>
      <c r="V6" s="149" t="s">
        <v>132</v>
      </c>
      <c r="W6" s="149" t="s">
        <v>0</v>
      </c>
      <c r="X6" s="148" t="s">
        <v>133</v>
      </c>
      <c r="Y6" s="84"/>
      <c r="Z6" s="84"/>
      <c r="AA6" s="149">
        <v>3100</v>
      </c>
      <c r="AB6" s="149">
        <v>1</v>
      </c>
      <c r="AC6" s="149">
        <v>3100</v>
      </c>
      <c r="AD6" s="149" t="s">
        <v>99</v>
      </c>
      <c r="AE6" s="84"/>
      <c r="AF6" s="149">
        <v>997212</v>
      </c>
      <c r="AG6" s="149" t="s">
        <v>476</v>
      </c>
      <c r="AH6" s="84"/>
      <c r="AI6" s="84"/>
      <c r="AJ6" s="149">
        <v>0</v>
      </c>
      <c r="AK6" s="149">
        <v>0</v>
      </c>
      <c r="AL6" s="149">
        <v>3100</v>
      </c>
      <c r="AM6" s="149" t="s">
        <v>368</v>
      </c>
      <c r="AN6" s="149">
        <v>18</v>
      </c>
      <c r="AO6" s="148">
        <v>279</v>
      </c>
      <c r="AP6" s="149">
        <v>279</v>
      </c>
      <c r="AQ6" s="149">
        <v>0</v>
      </c>
      <c r="AR6" s="149">
        <v>0</v>
      </c>
      <c r="AS6" s="149">
        <v>0</v>
      </c>
      <c r="AT6" s="149">
        <v>0</v>
      </c>
      <c r="AU6" s="149">
        <v>0</v>
      </c>
      <c r="AV6" s="149">
        <v>0</v>
      </c>
      <c r="AW6" s="84"/>
      <c r="AX6" s="84"/>
      <c r="AY6" s="149">
        <v>0</v>
      </c>
      <c r="AZ6" s="149">
        <v>3658</v>
      </c>
      <c r="BA6" s="149" t="s">
        <v>100</v>
      </c>
      <c r="BB6" s="149" t="s">
        <v>101</v>
      </c>
      <c r="BC6" s="149" t="s">
        <v>125</v>
      </c>
      <c r="BD6" s="149" t="s">
        <v>474</v>
      </c>
      <c r="BE6" s="149" t="s">
        <v>105</v>
      </c>
      <c r="BF6" s="149" t="s">
        <v>103</v>
      </c>
      <c r="BG6" s="84"/>
      <c r="BH6" s="84"/>
      <c r="BI6" s="149" t="s">
        <v>477</v>
      </c>
      <c r="BJ6" s="152">
        <v>46141.665972222225</v>
      </c>
      <c r="BK6" t="s">
        <v>285</v>
      </c>
    </row>
    <row r="7" spans="1:63" ht="14.5">
      <c r="A7" s="148" t="s">
        <v>324</v>
      </c>
      <c r="B7" s="149" t="s">
        <v>332</v>
      </c>
      <c r="C7" s="149">
        <v>107</v>
      </c>
      <c r="D7" s="149" t="s">
        <v>97</v>
      </c>
      <c r="E7" s="149" t="s">
        <v>98</v>
      </c>
      <c r="F7" s="149" t="s">
        <v>478</v>
      </c>
      <c r="G7" s="84"/>
      <c r="H7" s="149" t="s">
        <v>106</v>
      </c>
      <c r="I7" s="149" t="s">
        <v>48</v>
      </c>
      <c r="J7" s="149" t="s">
        <v>120</v>
      </c>
      <c r="K7" s="149" t="s">
        <v>121</v>
      </c>
      <c r="L7" s="149" t="s">
        <v>212</v>
      </c>
      <c r="M7" s="84"/>
      <c r="N7" s="84"/>
      <c r="O7" s="150">
        <v>46135</v>
      </c>
      <c r="P7" s="149" t="s">
        <v>479</v>
      </c>
      <c r="Q7" s="149">
        <v>27200710</v>
      </c>
      <c r="R7" s="150">
        <v>46135</v>
      </c>
      <c r="S7" s="149" t="s">
        <v>122</v>
      </c>
      <c r="T7" s="149">
        <v>1242122</v>
      </c>
      <c r="U7" s="148" t="s">
        <v>340</v>
      </c>
      <c r="V7" s="149" t="s">
        <v>341</v>
      </c>
      <c r="W7" s="149" t="s">
        <v>0</v>
      </c>
      <c r="X7" s="148" t="s">
        <v>335</v>
      </c>
      <c r="Y7" s="84"/>
      <c r="Z7" s="84"/>
      <c r="AA7" s="149">
        <v>2069542</v>
      </c>
      <c r="AB7" s="149">
        <v>1</v>
      </c>
      <c r="AC7" s="149">
        <v>2069542</v>
      </c>
      <c r="AD7" s="149" t="s">
        <v>99</v>
      </c>
      <c r="AE7" s="84"/>
      <c r="AF7" s="149">
        <v>998371</v>
      </c>
      <c r="AG7" s="149" t="s">
        <v>480</v>
      </c>
      <c r="AH7" s="84"/>
      <c r="AI7" s="84"/>
      <c r="AJ7" s="149">
        <v>0</v>
      </c>
      <c r="AK7" s="149">
        <v>0</v>
      </c>
      <c r="AL7" s="149">
        <v>2069542</v>
      </c>
      <c r="AM7" s="149" t="s">
        <v>368</v>
      </c>
      <c r="AN7" s="149">
        <v>18</v>
      </c>
      <c r="AO7" s="148">
        <v>0</v>
      </c>
      <c r="AP7" s="149">
        <v>0</v>
      </c>
      <c r="AQ7" s="149">
        <v>372517.56</v>
      </c>
      <c r="AR7" s="149">
        <v>0</v>
      </c>
      <c r="AS7" s="149">
        <v>0</v>
      </c>
      <c r="AT7" s="149">
        <v>0</v>
      </c>
      <c r="AU7" s="149">
        <v>0</v>
      </c>
      <c r="AV7" s="149">
        <v>0</v>
      </c>
      <c r="AW7" s="84"/>
      <c r="AX7" s="84"/>
      <c r="AY7" s="149">
        <v>0</v>
      </c>
      <c r="AZ7" s="149">
        <v>2442059.56</v>
      </c>
      <c r="BA7" s="149" t="s">
        <v>100</v>
      </c>
      <c r="BB7" s="149" t="s">
        <v>101</v>
      </c>
      <c r="BC7" s="149" t="s">
        <v>481</v>
      </c>
      <c r="BD7" s="149" t="s">
        <v>478</v>
      </c>
      <c r="BE7" s="149" t="s">
        <v>102</v>
      </c>
      <c r="BF7" s="149" t="s">
        <v>103</v>
      </c>
      <c r="BG7" s="84"/>
      <c r="BH7" s="84"/>
      <c r="BI7" s="149" t="s">
        <v>482</v>
      </c>
      <c r="BJ7" s="152">
        <v>46135.536805555559</v>
      </c>
      <c r="BK7" t="s">
        <v>285</v>
      </c>
    </row>
    <row r="8" spans="1:63" ht="14.5">
      <c r="A8" s="148" t="s">
        <v>324</v>
      </c>
      <c r="B8" s="149" t="s">
        <v>332</v>
      </c>
      <c r="C8" s="149">
        <v>107</v>
      </c>
      <c r="D8" s="149" t="s">
        <v>97</v>
      </c>
      <c r="E8" s="149" t="s">
        <v>98</v>
      </c>
      <c r="F8" s="149" t="s">
        <v>483</v>
      </c>
      <c r="G8" s="84"/>
      <c r="H8" s="149" t="s">
        <v>106</v>
      </c>
      <c r="I8" s="149" t="s">
        <v>48</v>
      </c>
      <c r="J8" s="149" t="s">
        <v>120</v>
      </c>
      <c r="K8" s="149" t="s">
        <v>121</v>
      </c>
      <c r="L8" s="149" t="s">
        <v>212</v>
      </c>
      <c r="M8" s="84"/>
      <c r="N8" s="84"/>
      <c r="O8" s="150">
        <v>46142</v>
      </c>
      <c r="P8" s="149" t="s">
        <v>484</v>
      </c>
      <c r="Q8" s="149">
        <v>27210244</v>
      </c>
      <c r="R8" s="150">
        <v>46142</v>
      </c>
      <c r="S8" s="149" t="s">
        <v>122</v>
      </c>
      <c r="T8" s="149">
        <v>446063</v>
      </c>
      <c r="U8" s="148" t="s">
        <v>221</v>
      </c>
      <c r="V8" s="149" t="s">
        <v>249</v>
      </c>
      <c r="W8" s="149" t="s">
        <v>0</v>
      </c>
      <c r="X8" s="148" t="s">
        <v>250</v>
      </c>
      <c r="Y8" s="84"/>
      <c r="Z8" s="84"/>
      <c r="AA8" s="149">
        <v>50230</v>
      </c>
      <c r="AB8" s="149">
        <v>1</v>
      </c>
      <c r="AC8" s="149">
        <v>50230</v>
      </c>
      <c r="AD8" s="149" t="s">
        <v>99</v>
      </c>
      <c r="AE8" s="84"/>
      <c r="AF8" s="149">
        <v>998599</v>
      </c>
      <c r="AG8" s="149" t="s">
        <v>466</v>
      </c>
      <c r="AH8" s="84"/>
      <c r="AI8" s="84"/>
      <c r="AJ8" s="149">
        <v>0</v>
      </c>
      <c r="AK8" s="149">
        <v>0</v>
      </c>
      <c r="AL8" s="149">
        <v>50230</v>
      </c>
      <c r="AM8" s="149" t="s">
        <v>368</v>
      </c>
      <c r="AN8" s="149">
        <v>18</v>
      </c>
      <c r="AO8" s="148">
        <v>0</v>
      </c>
      <c r="AP8" s="149">
        <v>0</v>
      </c>
      <c r="AQ8" s="149">
        <v>9041.40</v>
      </c>
      <c r="AR8" s="149">
        <v>0</v>
      </c>
      <c r="AS8" s="149">
        <v>0</v>
      </c>
      <c r="AT8" s="149">
        <v>0</v>
      </c>
      <c r="AU8" s="149">
        <v>0</v>
      </c>
      <c r="AV8" s="149">
        <v>0</v>
      </c>
      <c r="AW8" s="84"/>
      <c r="AX8" s="84"/>
      <c r="AY8" s="149">
        <v>0</v>
      </c>
      <c r="AZ8" s="149">
        <v>59271.40</v>
      </c>
      <c r="BA8" s="149" t="s">
        <v>100</v>
      </c>
      <c r="BB8" s="149" t="s">
        <v>101</v>
      </c>
      <c r="BC8" s="149" t="s">
        <v>220</v>
      </c>
      <c r="BD8" s="149" t="s">
        <v>483</v>
      </c>
      <c r="BE8" s="149" t="s">
        <v>102</v>
      </c>
      <c r="BF8" s="149" t="s">
        <v>103</v>
      </c>
      <c r="BG8" s="84"/>
      <c r="BH8" s="84"/>
      <c r="BI8" s="149" t="s">
        <v>485</v>
      </c>
      <c r="BJ8" s="152">
        <v>46142.553472222222</v>
      </c>
      <c r="BK8" t="s">
        <v>285</v>
      </c>
    </row>
    <row r="9" spans="1:63" ht="14.5">
      <c r="A9" s="148" t="s">
        <v>324</v>
      </c>
      <c r="B9" s="149" t="s">
        <v>332</v>
      </c>
      <c r="C9" s="149">
        <v>107</v>
      </c>
      <c r="D9" s="149" t="s">
        <v>97</v>
      </c>
      <c r="E9" s="149" t="s">
        <v>98</v>
      </c>
      <c r="F9" s="149" t="s">
        <v>486</v>
      </c>
      <c r="G9" s="84"/>
      <c r="H9" s="149" t="s">
        <v>106</v>
      </c>
      <c r="I9" s="149" t="s">
        <v>48</v>
      </c>
      <c r="J9" s="149" t="s">
        <v>120</v>
      </c>
      <c r="K9" s="149" t="s">
        <v>121</v>
      </c>
      <c r="L9" s="149" t="s">
        <v>212</v>
      </c>
      <c r="M9" s="84"/>
      <c r="N9" s="84"/>
      <c r="O9" s="150">
        <v>46142</v>
      </c>
      <c r="P9" s="149" t="s">
        <v>487</v>
      </c>
      <c r="Q9" s="149">
        <v>27210289</v>
      </c>
      <c r="R9" s="150">
        <v>46142</v>
      </c>
      <c r="S9" s="149" t="s">
        <v>122</v>
      </c>
      <c r="T9" s="149">
        <v>823087</v>
      </c>
      <c r="U9" s="148" t="s">
        <v>232</v>
      </c>
      <c r="V9" s="149" t="s">
        <v>233</v>
      </c>
      <c r="W9" s="149" t="s">
        <v>0</v>
      </c>
      <c r="X9" s="148" t="s">
        <v>234</v>
      </c>
      <c r="Y9" s="84"/>
      <c r="Z9" s="84"/>
      <c r="AA9" s="149">
        <v>465529</v>
      </c>
      <c r="AB9" s="149">
        <v>1</v>
      </c>
      <c r="AC9" s="149">
        <v>465529</v>
      </c>
      <c r="AD9" s="149" t="s">
        <v>99</v>
      </c>
      <c r="AE9" s="84"/>
      <c r="AF9" s="149">
        <v>998599</v>
      </c>
      <c r="AG9" s="149" t="s">
        <v>466</v>
      </c>
      <c r="AH9" s="84"/>
      <c r="AI9" s="84"/>
      <c r="AJ9" s="149">
        <v>0</v>
      </c>
      <c r="AK9" s="149">
        <v>0</v>
      </c>
      <c r="AL9" s="149">
        <v>465529</v>
      </c>
      <c r="AM9" s="149" t="s">
        <v>368</v>
      </c>
      <c r="AN9" s="149">
        <v>18</v>
      </c>
      <c r="AO9" s="148">
        <v>0</v>
      </c>
      <c r="AP9" s="149">
        <v>0</v>
      </c>
      <c r="AQ9" s="149">
        <v>83795.22</v>
      </c>
      <c r="AR9" s="149">
        <v>0</v>
      </c>
      <c r="AS9" s="149">
        <v>0</v>
      </c>
      <c r="AT9" s="149">
        <v>0</v>
      </c>
      <c r="AU9" s="149">
        <v>0</v>
      </c>
      <c r="AV9" s="149">
        <v>0</v>
      </c>
      <c r="AW9" s="84"/>
      <c r="AX9" s="84"/>
      <c r="AY9" s="149">
        <v>0</v>
      </c>
      <c r="AZ9" s="149">
        <v>549324.22</v>
      </c>
      <c r="BA9" s="149" t="s">
        <v>100</v>
      </c>
      <c r="BB9" s="149" t="s">
        <v>101</v>
      </c>
      <c r="BC9" s="149" t="s">
        <v>220</v>
      </c>
      <c r="BD9" s="149" t="s">
        <v>486</v>
      </c>
      <c r="BE9" s="149" t="s">
        <v>102</v>
      </c>
      <c r="BF9" s="149" t="s">
        <v>103</v>
      </c>
      <c r="BG9" s="84"/>
      <c r="BH9" s="84"/>
      <c r="BI9" s="149" t="s">
        <v>488</v>
      </c>
      <c r="BJ9" s="152">
        <v>46142.586805555555</v>
      </c>
      <c r="BK9" t="s">
        <v>285</v>
      </c>
    </row>
    <row r="10" spans="1:63" ht="14.5">
      <c r="A10" s="148" t="s">
        <v>324</v>
      </c>
      <c r="B10" s="149" t="s">
        <v>332</v>
      </c>
      <c r="C10" s="149">
        <v>107</v>
      </c>
      <c r="D10" s="149" t="s">
        <v>97</v>
      </c>
      <c r="E10" s="149" t="s">
        <v>98</v>
      </c>
      <c r="F10" s="149" t="s">
        <v>489</v>
      </c>
      <c r="G10" s="84"/>
      <c r="H10" s="149" t="s">
        <v>106</v>
      </c>
      <c r="I10" s="149" t="s">
        <v>48</v>
      </c>
      <c r="J10" s="149" t="s">
        <v>120</v>
      </c>
      <c r="K10" s="149" t="s">
        <v>121</v>
      </c>
      <c r="L10" s="149" t="s">
        <v>212</v>
      </c>
      <c r="M10" s="84"/>
      <c r="N10" s="84"/>
      <c r="O10" s="150">
        <v>46142</v>
      </c>
      <c r="P10" s="149" t="s">
        <v>490</v>
      </c>
      <c r="Q10" s="149">
        <v>27210340</v>
      </c>
      <c r="R10" s="150">
        <v>46142</v>
      </c>
      <c r="S10" s="149" t="s">
        <v>122</v>
      </c>
      <c r="T10" s="149">
        <v>2892</v>
      </c>
      <c r="U10" s="148" t="s">
        <v>239</v>
      </c>
      <c r="V10" s="149" t="s">
        <v>240</v>
      </c>
      <c r="W10" s="149" t="s">
        <v>0</v>
      </c>
      <c r="X10" s="148" t="s">
        <v>241</v>
      </c>
      <c r="Y10" s="84"/>
      <c r="Z10" s="84"/>
      <c r="AA10" s="149">
        <v>1057196</v>
      </c>
      <c r="AB10" s="149">
        <v>1</v>
      </c>
      <c r="AC10" s="149">
        <v>1057196</v>
      </c>
      <c r="AD10" s="149" t="s">
        <v>99</v>
      </c>
      <c r="AE10" s="84"/>
      <c r="AF10" s="149">
        <v>998599</v>
      </c>
      <c r="AG10" s="149" t="s">
        <v>466</v>
      </c>
      <c r="AH10" s="84"/>
      <c r="AI10" s="84"/>
      <c r="AJ10" s="149">
        <v>0</v>
      </c>
      <c r="AK10" s="149">
        <v>0</v>
      </c>
      <c r="AL10" s="149">
        <v>1057196</v>
      </c>
      <c r="AM10" s="149" t="s">
        <v>368</v>
      </c>
      <c r="AN10" s="149">
        <v>18</v>
      </c>
      <c r="AO10" s="148">
        <v>0</v>
      </c>
      <c r="AP10" s="149">
        <v>0</v>
      </c>
      <c r="AQ10" s="149">
        <v>190295.28</v>
      </c>
      <c r="AR10" s="149">
        <v>0</v>
      </c>
      <c r="AS10" s="149">
        <v>0</v>
      </c>
      <c r="AT10" s="149">
        <v>0</v>
      </c>
      <c r="AU10" s="149">
        <v>0</v>
      </c>
      <c r="AV10" s="149">
        <v>0</v>
      </c>
      <c r="AW10" s="84"/>
      <c r="AX10" s="84"/>
      <c r="AY10" s="149">
        <v>0</v>
      </c>
      <c r="AZ10" s="149">
        <v>1247491.28</v>
      </c>
      <c r="BA10" s="149" t="s">
        <v>100</v>
      </c>
      <c r="BB10" s="149" t="s">
        <v>101</v>
      </c>
      <c r="BC10" s="149" t="s">
        <v>220</v>
      </c>
      <c r="BD10" s="149" t="s">
        <v>489</v>
      </c>
      <c r="BE10" s="149" t="s">
        <v>102</v>
      </c>
      <c r="BF10" s="149" t="s">
        <v>103</v>
      </c>
      <c r="BG10" s="84"/>
      <c r="BH10" s="84"/>
      <c r="BI10" s="149" t="s">
        <v>491</v>
      </c>
      <c r="BJ10" s="152">
        <v>46142.607638888891</v>
      </c>
      <c r="BK10" t="s">
        <v>285</v>
      </c>
    </row>
    <row r="11" spans="1:63" ht="14.5">
      <c r="A11" s="148" t="s">
        <v>324</v>
      </c>
      <c r="B11" s="149" t="s">
        <v>332</v>
      </c>
      <c r="C11" s="149">
        <v>107</v>
      </c>
      <c r="D11" s="149" t="s">
        <v>97</v>
      </c>
      <c r="E11" s="149" t="s">
        <v>98</v>
      </c>
      <c r="F11" s="149" t="s">
        <v>492</v>
      </c>
      <c r="G11" s="84"/>
      <c r="H11" s="149" t="s">
        <v>106</v>
      </c>
      <c r="I11" s="149" t="s">
        <v>48</v>
      </c>
      <c r="J11" s="149" t="s">
        <v>120</v>
      </c>
      <c r="K11" s="149" t="s">
        <v>121</v>
      </c>
      <c r="L11" s="149" t="s">
        <v>212</v>
      </c>
      <c r="M11" s="84"/>
      <c r="N11" s="84"/>
      <c r="O11" s="150">
        <v>46142</v>
      </c>
      <c r="P11" s="149" t="s">
        <v>493</v>
      </c>
      <c r="Q11" s="149">
        <v>27210504</v>
      </c>
      <c r="R11" s="150">
        <v>46142</v>
      </c>
      <c r="S11" s="149" t="s">
        <v>122</v>
      </c>
      <c r="T11" s="149">
        <v>1006109</v>
      </c>
      <c r="U11" s="148" t="s">
        <v>242</v>
      </c>
      <c r="V11" s="149" t="s">
        <v>243</v>
      </c>
      <c r="W11" s="149" t="s">
        <v>0</v>
      </c>
      <c r="X11" s="148" t="s">
        <v>244</v>
      </c>
      <c r="Y11" s="84"/>
      <c r="Z11" s="84"/>
      <c r="AA11" s="149">
        <v>641574</v>
      </c>
      <c r="AB11" s="149">
        <v>1</v>
      </c>
      <c r="AC11" s="149">
        <v>641574</v>
      </c>
      <c r="AD11" s="149" t="s">
        <v>99</v>
      </c>
      <c r="AE11" s="84"/>
      <c r="AF11" s="149">
        <v>998599</v>
      </c>
      <c r="AG11" s="149" t="s">
        <v>466</v>
      </c>
      <c r="AH11" s="84"/>
      <c r="AI11" s="84"/>
      <c r="AJ11" s="149">
        <v>0</v>
      </c>
      <c r="AK11" s="149">
        <v>0</v>
      </c>
      <c r="AL11" s="149">
        <v>641574</v>
      </c>
      <c r="AM11" s="149" t="s">
        <v>368</v>
      </c>
      <c r="AN11" s="149">
        <v>18</v>
      </c>
      <c r="AO11" s="148">
        <v>0</v>
      </c>
      <c r="AP11" s="149">
        <v>0</v>
      </c>
      <c r="AQ11" s="149">
        <v>115483.32</v>
      </c>
      <c r="AR11" s="149">
        <v>0</v>
      </c>
      <c r="AS11" s="149">
        <v>0</v>
      </c>
      <c r="AT11" s="149">
        <v>0</v>
      </c>
      <c r="AU11" s="149">
        <v>0</v>
      </c>
      <c r="AV11" s="149">
        <v>0</v>
      </c>
      <c r="AW11" s="84"/>
      <c r="AX11" s="84"/>
      <c r="AY11" s="149">
        <v>0</v>
      </c>
      <c r="AZ11" s="149">
        <v>757057.32</v>
      </c>
      <c r="BA11" s="149" t="s">
        <v>100</v>
      </c>
      <c r="BB11" s="149" t="s">
        <v>101</v>
      </c>
      <c r="BC11" s="149" t="s">
        <v>220</v>
      </c>
      <c r="BD11" s="149" t="s">
        <v>492</v>
      </c>
      <c r="BE11" s="149" t="s">
        <v>102</v>
      </c>
      <c r="BF11" s="149" t="s">
        <v>103</v>
      </c>
      <c r="BG11" s="84"/>
      <c r="BH11" s="84"/>
      <c r="BI11" s="149" t="s">
        <v>494</v>
      </c>
      <c r="BJ11" s="152">
        <v>46142.663888888892</v>
      </c>
      <c r="BK11" t="s">
        <v>285</v>
      </c>
    </row>
    <row r="12" spans="1:63" ht="14.5">
      <c r="A12" s="148" t="s">
        <v>324</v>
      </c>
      <c r="B12" s="149" t="s">
        <v>332</v>
      </c>
      <c r="C12" s="149">
        <v>107</v>
      </c>
      <c r="D12" s="149" t="s">
        <v>97</v>
      </c>
      <c r="E12" s="149" t="s">
        <v>98</v>
      </c>
      <c r="F12" s="149" t="s">
        <v>495</v>
      </c>
      <c r="G12" s="84"/>
      <c r="H12" s="149" t="s">
        <v>106</v>
      </c>
      <c r="I12" s="149" t="s">
        <v>48</v>
      </c>
      <c r="J12" s="149" t="s">
        <v>120</v>
      </c>
      <c r="K12" s="149" t="s">
        <v>121</v>
      </c>
      <c r="L12" s="149" t="s">
        <v>212</v>
      </c>
      <c r="M12" s="84"/>
      <c r="N12" s="84"/>
      <c r="O12" s="150">
        <v>46141</v>
      </c>
      <c r="P12" s="149" t="s">
        <v>496</v>
      </c>
      <c r="Q12" s="149">
        <v>27208564</v>
      </c>
      <c r="R12" s="150">
        <v>46141</v>
      </c>
      <c r="S12" s="149" t="s">
        <v>122</v>
      </c>
      <c r="T12" s="149">
        <v>5137</v>
      </c>
      <c r="U12" s="148" t="s">
        <v>123</v>
      </c>
      <c r="V12" s="149" t="s">
        <v>124</v>
      </c>
      <c r="W12" s="149" t="s">
        <v>0</v>
      </c>
      <c r="X12" s="148" t="s">
        <v>108</v>
      </c>
      <c r="Y12" s="84"/>
      <c r="Z12" s="84"/>
      <c r="AA12" s="149">
        <v>246500</v>
      </c>
      <c r="AB12" s="149">
        <v>1</v>
      </c>
      <c r="AC12" s="149">
        <v>246500</v>
      </c>
      <c r="AD12" s="149" t="s">
        <v>99</v>
      </c>
      <c r="AE12" s="84"/>
      <c r="AF12" s="149">
        <v>997212</v>
      </c>
      <c r="AG12" s="149" t="s">
        <v>497</v>
      </c>
      <c r="AH12" s="84"/>
      <c r="AI12" s="84"/>
      <c r="AJ12" s="149">
        <v>0</v>
      </c>
      <c r="AK12" s="149">
        <v>0</v>
      </c>
      <c r="AL12" s="149">
        <v>246500</v>
      </c>
      <c r="AM12" s="149" t="s">
        <v>368</v>
      </c>
      <c r="AN12" s="149">
        <v>18</v>
      </c>
      <c r="AO12" s="148">
        <v>22185</v>
      </c>
      <c r="AP12" s="149">
        <v>22185</v>
      </c>
      <c r="AQ12" s="149">
        <v>0</v>
      </c>
      <c r="AR12" s="149">
        <v>0</v>
      </c>
      <c r="AS12" s="149">
        <v>0</v>
      </c>
      <c r="AT12" s="149">
        <v>0</v>
      </c>
      <c r="AU12" s="149">
        <v>0</v>
      </c>
      <c r="AV12" s="149">
        <v>0</v>
      </c>
      <c r="AW12" s="84"/>
      <c r="AX12" s="84"/>
      <c r="AY12" s="149">
        <v>0</v>
      </c>
      <c r="AZ12" s="149">
        <v>290870</v>
      </c>
      <c r="BA12" s="149" t="s">
        <v>100</v>
      </c>
      <c r="BB12" s="149" t="s">
        <v>101</v>
      </c>
      <c r="BC12" s="149" t="s">
        <v>125</v>
      </c>
      <c r="BD12" s="149" t="s">
        <v>495</v>
      </c>
      <c r="BE12" s="149" t="s">
        <v>105</v>
      </c>
      <c r="BF12" s="149" t="s">
        <v>103</v>
      </c>
      <c r="BG12" s="84"/>
      <c r="BH12" s="84"/>
      <c r="BI12" s="149" t="s">
        <v>498</v>
      </c>
      <c r="BJ12" s="152">
        <v>46141.661805555559</v>
      </c>
      <c r="BK12" t="s">
        <v>285</v>
      </c>
    </row>
    <row r="13" spans="1:63" ht="14.5">
      <c r="A13" s="148" t="s">
        <v>324</v>
      </c>
      <c r="B13" s="149" t="s">
        <v>332</v>
      </c>
      <c r="C13" s="149">
        <v>107</v>
      </c>
      <c r="D13" s="149" t="s">
        <v>97</v>
      </c>
      <c r="E13" s="149" t="s">
        <v>98</v>
      </c>
      <c r="F13" s="149" t="s">
        <v>499</v>
      </c>
      <c r="G13" s="84"/>
      <c r="H13" s="149" t="s">
        <v>106</v>
      </c>
      <c r="I13" s="149" t="s">
        <v>48</v>
      </c>
      <c r="J13" s="149" t="s">
        <v>120</v>
      </c>
      <c r="K13" s="149" t="s">
        <v>121</v>
      </c>
      <c r="L13" s="149" t="s">
        <v>212</v>
      </c>
      <c r="M13" s="84"/>
      <c r="N13" s="84"/>
      <c r="O13" s="150">
        <v>46134</v>
      </c>
      <c r="P13" s="149" t="s">
        <v>500</v>
      </c>
      <c r="Q13" s="149">
        <v>27198626</v>
      </c>
      <c r="R13" s="150">
        <v>46134</v>
      </c>
      <c r="S13" s="149" t="s">
        <v>122</v>
      </c>
      <c r="T13" s="149">
        <v>1242122</v>
      </c>
      <c r="U13" s="148" t="s">
        <v>340</v>
      </c>
      <c r="V13" s="149" t="s">
        <v>341</v>
      </c>
      <c r="W13" s="149" t="s">
        <v>0</v>
      </c>
      <c r="X13" s="148" t="s">
        <v>335</v>
      </c>
      <c r="Y13" s="84"/>
      <c r="Z13" s="84"/>
      <c r="AA13" s="149">
        <v>2985024</v>
      </c>
      <c r="AB13" s="149">
        <v>1</v>
      </c>
      <c r="AC13" s="149">
        <v>2985024</v>
      </c>
      <c r="AD13" s="149" t="s">
        <v>99</v>
      </c>
      <c r="AE13" s="84"/>
      <c r="AF13" s="149">
        <v>998371</v>
      </c>
      <c r="AG13" s="149" t="s">
        <v>501</v>
      </c>
      <c r="AH13" s="84"/>
      <c r="AI13" s="84"/>
      <c r="AJ13" s="149">
        <v>0</v>
      </c>
      <c r="AK13" s="149">
        <v>0</v>
      </c>
      <c r="AL13" s="149">
        <v>2985024</v>
      </c>
      <c r="AM13" s="149" t="s">
        <v>368</v>
      </c>
      <c r="AN13" s="149">
        <v>18</v>
      </c>
      <c r="AO13" s="148">
        <v>0</v>
      </c>
      <c r="AP13" s="149">
        <v>0</v>
      </c>
      <c r="AQ13" s="149">
        <v>537304.31999999995</v>
      </c>
      <c r="AR13" s="149">
        <v>0</v>
      </c>
      <c r="AS13" s="149">
        <v>0</v>
      </c>
      <c r="AT13" s="149">
        <v>0</v>
      </c>
      <c r="AU13" s="149">
        <v>0</v>
      </c>
      <c r="AV13" s="149">
        <v>0</v>
      </c>
      <c r="AW13" s="84"/>
      <c r="AX13" s="84"/>
      <c r="AY13" s="149">
        <v>0</v>
      </c>
      <c r="AZ13" s="149">
        <v>3522328.32</v>
      </c>
      <c r="BA13" s="149" t="s">
        <v>100</v>
      </c>
      <c r="BB13" s="149" t="s">
        <v>101</v>
      </c>
      <c r="BC13" s="149" t="s">
        <v>481</v>
      </c>
      <c r="BD13" s="149" t="s">
        <v>499</v>
      </c>
      <c r="BE13" s="149" t="s">
        <v>102</v>
      </c>
      <c r="BF13" s="149" t="s">
        <v>103</v>
      </c>
      <c r="BG13" s="84"/>
      <c r="BH13" s="84"/>
      <c r="BI13" s="149" t="s">
        <v>502</v>
      </c>
      <c r="BJ13" s="152">
        <v>46134.630555555559</v>
      </c>
      <c r="BK13" t="s">
        <v>285</v>
      </c>
    </row>
    <row r="14" spans="1:63" ht="14.5">
      <c r="A14" s="148" t="s">
        <v>316</v>
      </c>
      <c r="B14" s="149" t="s">
        <v>331</v>
      </c>
      <c r="C14" s="149">
        <v>107</v>
      </c>
      <c r="D14" s="149" t="s">
        <v>97</v>
      </c>
      <c r="E14" s="149" t="s">
        <v>98</v>
      </c>
      <c r="F14" s="149" t="s">
        <v>503</v>
      </c>
      <c r="G14" s="84"/>
      <c r="H14" s="149" t="s">
        <v>106</v>
      </c>
      <c r="I14" s="149" t="s">
        <v>48</v>
      </c>
      <c r="J14" s="149" t="s">
        <v>317</v>
      </c>
      <c r="K14" s="149" t="s">
        <v>333</v>
      </c>
      <c r="L14" s="149" t="s">
        <v>318</v>
      </c>
      <c r="M14" s="149" t="s">
        <v>319</v>
      </c>
      <c r="N14" s="149" t="s">
        <v>334</v>
      </c>
      <c r="O14" s="150">
        <v>46142</v>
      </c>
      <c r="P14" s="149" t="s">
        <v>504</v>
      </c>
      <c r="Q14" s="149">
        <v>108621355</v>
      </c>
      <c r="R14" s="150">
        <v>46142</v>
      </c>
      <c r="S14" s="149" t="s">
        <v>325</v>
      </c>
      <c r="T14" s="149">
        <v>2894</v>
      </c>
      <c r="U14" s="148" t="s">
        <v>326</v>
      </c>
      <c r="V14" s="149" t="s">
        <v>327</v>
      </c>
      <c r="W14" s="84"/>
      <c r="X14" s="148" t="s">
        <v>328</v>
      </c>
      <c r="Y14" s="84"/>
      <c r="Z14" s="84"/>
      <c r="AA14" s="149">
        <v>0</v>
      </c>
      <c r="AB14" s="149">
        <v>0</v>
      </c>
      <c r="AC14" s="149">
        <v>15615253.689999999</v>
      </c>
      <c r="AD14" s="149" t="s">
        <v>99</v>
      </c>
      <c r="AE14" s="149" t="s">
        <v>329</v>
      </c>
      <c r="AF14" s="149">
        <v>998346</v>
      </c>
      <c r="AG14" s="149" t="s">
        <v>329</v>
      </c>
      <c r="AH14" s="84"/>
      <c r="AI14" s="84"/>
      <c r="AJ14" s="149">
        <v>0</v>
      </c>
      <c r="AK14" s="149">
        <v>0</v>
      </c>
      <c r="AL14" s="149">
        <v>15615253.689999999</v>
      </c>
      <c r="AM14" s="149" t="s">
        <v>368</v>
      </c>
      <c r="AN14" s="149">
        <v>18</v>
      </c>
      <c r="AO14" s="148">
        <v>1405372.83</v>
      </c>
      <c r="AP14" s="149">
        <v>1405372.83</v>
      </c>
      <c r="AQ14" s="149">
        <v>0</v>
      </c>
      <c r="AR14" s="149">
        <v>0</v>
      </c>
      <c r="AS14" s="149">
        <v>0</v>
      </c>
      <c r="AT14" s="149">
        <v>0</v>
      </c>
      <c r="AU14" s="149">
        <v>0</v>
      </c>
      <c r="AV14" s="149">
        <v>0</v>
      </c>
      <c r="AW14" s="84"/>
      <c r="AX14" s="84"/>
      <c r="AY14" s="149">
        <v>0</v>
      </c>
      <c r="AZ14" s="149">
        <v>18425999.350000001</v>
      </c>
      <c r="BA14" s="149" t="s">
        <v>100</v>
      </c>
      <c r="BB14" s="149" t="s">
        <v>101</v>
      </c>
      <c r="BC14" s="149" t="s">
        <v>330</v>
      </c>
      <c r="BD14" s="84"/>
      <c r="BE14" s="84"/>
      <c r="BF14" s="84"/>
      <c r="BG14" s="84"/>
      <c r="BH14" s="84"/>
      <c r="BI14" s="149" t="s">
        <v>505</v>
      </c>
      <c r="BJ14" s="152">
        <v>46142.843055555553</v>
      </c>
      <c r="BK14" t="s">
        <v>285</v>
      </c>
    </row>
    <row r="15" spans="1:63" ht="14.5">
      <c r="A15" s="148" t="s">
        <v>324</v>
      </c>
      <c r="B15" s="149" t="s">
        <v>332</v>
      </c>
      <c r="C15" s="149">
        <v>107</v>
      </c>
      <c r="D15" s="149" t="s">
        <v>97</v>
      </c>
      <c r="E15" s="149" t="s">
        <v>98</v>
      </c>
      <c r="F15" s="149" t="s">
        <v>506</v>
      </c>
      <c r="G15" s="84"/>
      <c r="H15" s="149" t="s">
        <v>106</v>
      </c>
      <c r="I15" s="149" t="s">
        <v>48</v>
      </c>
      <c r="J15" s="149" t="s">
        <v>120</v>
      </c>
      <c r="K15" s="149" t="s">
        <v>121</v>
      </c>
      <c r="L15" s="149" t="s">
        <v>212</v>
      </c>
      <c r="M15" s="84"/>
      <c r="N15" s="84"/>
      <c r="O15" s="150">
        <v>46142</v>
      </c>
      <c r="P15" s="149" t="s">
        <v>507</v>
      </c>
      <c r="Q15" s="149">
        <v>27210283</v>
      </c>
      <c r="R15" s="150">
        <v>46142</v>
      </c>
      <c r="S15" s="149" t="s">
        <v>122</v>
      </c>
      <c r="T15" s="149">
        <v>445073</v>
      </c>
      <c r="U15" s="148" t="s">
        <v>221</v>
      </c>
      <c r="V15" s="149" t="s">
        <v>267</v>
      </c>
      <c r="W15" s="149" t="s">
        <v>0</v>
      </c>
      <c r="X15" s="148" t="s">
        <v>268</v>
      </c>
      <c r="Y15" s="84"/>
      <c r="Z15" s="84"/>
      <c r="AA15" s="149">
        <v>226700</v>
      </c>
      <c r="AB15" s="149">
        <v>1</v>
      </c>
      <c r="AC15" s="149">
        <v>226700</v>
      </c>
      <c r="AD15" s="149" t="s">
        <v>99</v>
      </c>
      <c r="AE15" s="84"/>
      <c r="AF15" s="149">
        <v>998599</v>
      </c>
      <c r="AG15" s="149" t="s">
        <v>466</v>
      </c>
      <c r="AH15" s="84"/>
      <c r="AI15" s="84"/>
      <c r="AJ15" s="149">
        <v>0</v>
      </c>
      <c r="AK15" s="149">
        <v>0</v>
      </c>
      <c r="AL15" s="149">
        <v>226700</v>
      </c>
      <c r="AM15" s="149" t="s">
        <v>368</v>
      </c>
      <c r="AN15" s="149">
        <v>18</v>
      </c>
      <c r="AO15" s="148">
        <v>0</v>
      </c>
      <c r="AP15" s="149">
        <v>0</v>
      </c>
      <c r="AQ15" s="149">
        <v>40806</v>
      </c>
      <c r="AR15" s="149">
        <v>0</v>
      </c>
      <c r="AS15" s="149">
        <v>0</v>
      </c>
      <c r="AT15" s="149">
        <v>0</v>
      </c>
      <c r="AU15" s="149">
        <v>0</v>
      </c>
      <c r="AV15" s="149">
        <v>0</v>
      </c>
      <c r="AW15" s="84"/>
      <c r="AX15" s="84"/>
      <c r="AY15" s="149">
        <v>0</v>
      </c>
      <c r="AZ15" s="149">
        <v>267506</v>
      </c>
      <c r="BA15" s="149" t="s">
        <v>100</v>
      </c>
      <c r="BB15" s="149" t="s">
        <v>101</v>
      </c>
      <c r="BC15" s="149" t="s">
        <v>220</v>
      </c>
      <c r="BD15" s="149" t="s">
        <v>506</v>
      </c>
      <c r="BE15" s="149" t="s">
        <v>102</v>
      </c>
      <c r="BF15" s="149" t="s">
        <v>103</v>
      </c>
      <c r="BG15" s="84"/>
      <c r="BH15" s="84"/>
      <c r="BI15" s="149" t="s">
        <v>508</v>
      </c>
      <c r="BJ15" s="152">
        <v>46142.584722222222</v>
      </c>
      <c r="BK15" t="s">
        <v>285</v>
      </c>
    </row>
    <row r="16" spans="1:63" ht="14.5">
      <c r="A16" s="148" t="s">
        <v>324</v>
      </c>
      <c r="B16" s="149" t="s">
        <v>332</v>
      </c>
      <c r="C16" s="149">
        <v>107</v>
      </c>
      <c r="D16" s="149" t="s">
        <v>97</v>
      </c>
      <c r="E16" s="149" t="s">
        <v>98</v>
      </c>
      <c r="F16" s="149" t="s">
        <v>509</v>
      </c>
      <c r="G16" s="84"/>
      <c r="H16" s="149" t="s">
        <v>106</v>
      </c>
      <c r="I16" s="149" t="s">
        <v>48</v>
      </c>
      <c r="J16" s="149" t="s">
        <v>120</v>
      </c>
      <c r="K16" s="149" t="s">
        <v>121</v>
      </c>
      <c r="L16" s="149" t="s">
        <v>212</v>
      </c>
      <c r="M16" s="84"/>
      <c r="N16" s="84"/>
      <c r="O16" s="150">
        <v>46113</v>
      </c>
      <c r="P16" s="149" t="s">
        <v>510</v>
      </c>
      <c r="Q16" s="149">
        <v>27165327</v>
      </c>
      <c r="R16" s="150">
        <v>46113</v>
      </c>
      <c r="S16" s="149" t="s">
        <v>122</v>
      </c>
      <c r="T16" s="149">
        <v>1044110</v>
      </c>
      <c r="U16" s="148" t="s">
        <v>511</v>
      </c>
      <c r="V16" s="149" t="s">
        <v>512</v>
      </c>
      <c r="W16" s="149" t="s">
        <v>0</v>
      </c>
      <c r="X16" s="148" t="s">
        <v>254</v>
      </c>
      <c r="Y16" s="84"/>
      <c r="Z16" s="84"/>
      <c r="AA16" s="149">
        <v>57185.63</v>
      </c>
      <c r="AB16" s="149">
        <v>1</v>
      </c>
      <c r="AC16" s="149">
        <v>57185.63</v>
      </c>
      <c r="AD16" s="149" t="s">
        <v>99</v>
      </c>
      <c r="AE16" s="84"/>
      <c r="AF16" s="149">
        <v>84713010</v>
      </c>
      <c r="AG16" s="149" t="s">
        <v>513</v>
      </c>
      <c r="AH16" s="84"/>
      <c r="AI16" s="84"/>
      <c r="AJ16" s="149">
        <v>0</v>
      </c>
      <c r="AK16" s="149">
        <v>0</v>
      </c>
      <c r="AL16" s="149">
        <v>57185.63</v>
      </c>
      <c r="AM16" s="149" t="s">
        <v>368</v>
      </c>
      <c r="AN16" s="149">
        <v>18</v>
      </c>
      <c r="AO16" s="148">
        <v>0</v>
      </c>
      <c r="AP16" s="149">
        <v>0</v>
      </c>
      <c r="AQ16" s="149">
        <v>10293.41</v>
      </c>
      <c r="AR16" s="149">
        <v>0</v>
      </c>
      <c r="AS16" s="149">
        <v>0</v>
      </c>
      <c r="AT16" s="149">
        <v>0</v>
      </c>
      <c r="AU16" s="149">
        <v>0</v>
      </c>
      <c r="AV16" s="149">
        <v>0</v>
      </c>
      <c r="AW16" s="84"/>
      <c r="AX16" s="84"/>
      <c r="AY16" s="149">
        <v>0</v>
      </c>
      <c r="AZ16" s="149">
        <v>67479.039999999994</v>
      </c>
      <c r="BA16" s="149" t="s">
        <v>100</v>
      </c>
      <c r="BB16" s="149" t="s">
        <v>101</v>
      </c>
      <c r="BC16" s="149" t="s">
        <v>514</v>
      </c>
      <c r="BD16" s="149" t="s">
        <v>509</v>
      </c>
      <c r="BE16" s="149" t="s">
        <v>102</v>
      </c>
      <c r="BF16" s="149" t="s">
        <v>387</v>
      </c>
      <c r="BG16" s="84"/>
      <c r="BH16" s="84"/>
      <c r="BI16" s="149" t="s">
        <v>515</v>
      </c>
      <c r="BJ16" s="152">
        <v>46113.505555555559</v>
      </c>
      <c r="BK16" t="s">
        <v>285</v>
      </c>
    </row>
    <row r="17" spans="1:63" ht="14.5">
      <c r="A17" s="148" t="s">
        <v>324</v>
      </c>
      <c r="B17" s="149" t="s">
        <v>332</v>
      </c>
      <c r="C17" s="149">
        <v>107</v>
      </c>
      <c r="D17" s="149" t="s">
        <v>97</v>
      </c>
      <c r="E17" s="149" t="s">
        <v>98</v>
      </c>
      <c r="F17" s="149" t="s">
        <v>516</v>
      </c>
      <c r="G17" s="84"/>
      <c r="H17" s="149" t="s">
        <v>106</v>
      </c>
      <c r="I17" s="149" t="s">
        <v>48</v>
      </c>
      <c r="J17" s="149" t="s">
        <v>120</v>
      </c>
      <c r="K17" s="149" t="s">
        <v>121</v>
      </c>
      <c r="L17" s="149" t="s">
        <v>212</v>
      </c>
      <c r="M17" s="84"/>
      <c r="N17" s="84"/>
      <c r="O17" s="150">
        <v>46129</v>
      </c>
      <c r="P17" s="149" t="s">
        <v>517</v>
      </c>
      <c r="Q17" s="149">
        <v>27192922</v>
      </c>
      <c r="R17" s="150">
        <v>46129</v>
      </c>
      <c r="S17" s="149" t="s">
        <v>122</v>
      </c>
      <c r="T17" s="149">
        <v>469067</v>
      </c>
      <c r="U17" s="148" t="s">
        <v>402</v>
      </c>
      <c r="V17" s="149" t="s">
        <v>403</v>
      </c>
      <c r="W17" s="84"/>
      <c r="X17" s="84"/>
      <c r="Y17" s="84"/>
      <c r="Z17" s="84"/>
      <c r="AA17" s="149">
        <v>3375</v>
      </c>
      <c r="AB17" s="149">
        <v>1</v>
      </c>
      <c r="AC17" s="149">
        <v>3375</v>
      </c>
      <c r="AD17" s="149" t="s">
        <v>99</v>
      </c>
      <c r="AE17" s="84"/>
      <c r="AF17" s="149">
        <v>84713010</v>
      </c>
      <c r="AG17" s="149" t="s">
        <v>518</v>
      </c>
      <c r="AH17" s="84"/>
      <c r="AI17" s="84"/>
      <c r="AJ17" s="149">
        <v>0</v>
      </c>
      <c r="AK17" s="149">
        <v>0</v>
      </c>
      <c r="AL17" s="149">
        <v>13500</v>
      </c>
      <c r="AM17" s="149" t="s">
        <v>368</v>
      </c>
      <c r="AN17" s="149">
        <v>18</v>
      </c>
      <c r="AO17" s="148">
        <v>1215</v>
      </c>
      <c r="AP17" s="149">
        <v>1215</v>
      </c>
      <c r="AQ17" s="149">
        <v>0</v>
      </c>
      <c r="AR17" s="149">
        <v>0</v>
      </c>
      <c r="AS17" s="149">
        <v>0</v>
      </c>
      <c r="AT17" s="149">
        <v>0</v>
      </c>
      <c r="AU17" s="149">
        <v>0</v>
      </c>
      <c r="AV17" s="149">
        <v>0</v>
      </c>
      <c r="AW17" s="84"/>
      <c r="AX17" s="84"/>
      <c r="AY17" s="149">
        <v>0</v>
      </c>
      <c r="AZ17" s="149">
        <v>5805</v>
      </c>
      <c r="BA17" s="149" t="s">
        <v>100</v>
      </c>
      <c r="BB17" s="149" t="s">
        <v>101</v>
      </c>
      <c r="BC17" s="149" t="s">
        <v>404</v>
      </c>
      <c r="BD17" s="149" t="s">
        <v>516</v>
      </c>
      <c r="BE17" s="149" t="s">
        <v>105</v>
      </c>
      <c r="BF17" s="149" t="s">
        <v>387</v>
      </c>
      <c r="BG17" s="84"/>
      <c r="BH17" s="84"/>
      <c r="BI17" s="84"/>
      <c r="BJ17" s="84"/>
      <c r="BK17" t="s">
        <v>519</v>
      </c>
    </row>
    <row r="18" spans="1:63" ht="14.5">
      <c r="A18" s="148" t="s">
        <v>324</v>
      </c>
      <c r="B18" s="149" t="s">
        <v>332</v>
      </c>
      <c r="C18" s="149">
        <v>107</v>
      </c>
      <c r="D18" s="149" t="s">
        <v>97</v>
      </c>
      <c r="E18" s="149" t="s">
        <v>98</v>
      </c>
      <c r="F18" s="149" t="s">
        <v>520</v>
      </c>
      <c r="G18" s="84"/>
      <c r="H18" s="149" t="s">
        <v>106</v>
      </c>
      <c r="I18" s="149" t="s">
        <v>48</v>
      </c>
      <c r="J18" s="149" t="s">
        <v>120</v>
      </c>
      <c r="K18" s="149" t="s">
        <v>121</v>
      </c>
      <c r="L18" s="149" t="s">
        <v>212</v>
      </c>
      <c r="M18" s="84"/>
      <c r="N18" s="84"/>
      <c r="O18" s="150">
        <v>46141</v>
      </c>
      <c r="P18" s="149" t="s">
        <v>521</v>
      </c>
      <c r="Q18" s="149">
        <v>27208565</v>
      </c>
      <c r="R18" s="150">
        <v>46141</v>
      </c>
      <c r="S18" s="149" t="s">
        <v>122</v>
      </c>
      <c r="T18" s="149">
        <v>5137</v>
      </c>
      <c r="U18" s="148" t="s">
        <v>123</v>
      </c>
      <c r="V18" s="149" t="s">
        <v>124</v>
      </c>
      <c r="W18" s="149" t="s">
        <v>0</v>
      </c>
      <c r="X18" s="148" t="s">
        <v>108</v>
      </c>
      <c r="Y18" s="84"/>
      <c r="Z18" s="84"/>
      <c r="AA18" s="149">
        <v>285000</v>
      </c>
      <c r="AB18" s="149">
        <v>1</v>
      </c>
      <c r="AC18" s="149">
        <v>285000</v>
      </c>
      <c r="AD18" s="149" t="s">
        <v>99</v>
      </c>
      <c r="AE18" s="84"/>
      <c r="AF18" s="149">
        <v>997212</v>
      </c>
      <c r="AG18" s="149" t="s">
        <v>522</v>
      </c>
      <c r="AH18" s="84"/>
      <c r="AI18" s="84"/>
      <c r="AJ18" s="149">
        <v>0</v>
      </c>
      <c r="AK18" s="149">
        <v>0</v>
      </c>
      <c r="AL18" s="149">
        <v>285000</v>
      </c>
      <c r="AM18" s="149" t="s">
        <v>368</v>
      </c>
      <c r="AN18" s="149">
        <v>18</v>
      </c>
      <c r="AO18" s="148">
        <v>25650</v>
      </c>
      <c r="AP18" s="149">
        <v>25650</v>
      </c>
      <c r="AQ18" s="149">
        <v>0</v>
      </c>
      <c r="AR18" s="149">
        <v>0</v>
      </c>
      <c r="AS18" s="149">
        <v>0</v>
      </c>
      <c r="AT18" s="149">
        <v>0</v>
      </c>
      <c r="AU18" s="149">
        <v>0</v>
      </c>
      <c r="AV18" s="149">
        <v>0</v>
      </c>
      <c r="AW18" s="84"/>
      <c r="AX18" s="84"/>
      <c r="AY18" s="149">
        <v>0</v>
      </c>
      <c r="AZ18" s="149">
        <v>336300</v>
      </c>
      <c r="BA18" s="149" t="s">
        <v>100</v>
      </c>
      <c r="BB18" s="149" t="s">
        <v>101</v>
      </c>
      <c r="BC18" s="149" t="s">
        <v>125</v>
      </c>
      <c r="BD18" s="149" t="s">
        <v>520</v>
      </c>
      <c r="BE18" s="149" t="s">
        <v>105</v>
      </c>
      <c r="BF18" s="149" t="s">
        <v>103</v>
      </c>
      <c r="BG18" s="84"/>
      <c r="BH18" s="84"/>
      <c r="BI18" s="149" t="s">
        <v>523</v>
      </c>
      <c r="BJ18" s="152">
        <v>46141.663888888892</v>
      </c>
      <c r="BK18" t="s">
        <v>285</v>
      </c>
    </row>
    <row r="19" spans="1:63" ht="14.5">
      <c r="A19" s="148" t="s">
        <v>324</v>
      </c>
      <c r="B19" s="149" t="s">
        <v>332</v>
      </c>
      <c r="C19" s="149">
        <v>107</v>
      </c>
      <c r="D19" s="149" t="s">
        <v>97</v>
      </c>
      <c r="E19" s="149" t="s">
        <v>98</v>
      </c>
      <c r="F19" s="149" t="s">
        <v>524</v>
      </c>
      <c r="G19" s="84"/>
      <c r="H19" s="149" t="s">
        <v>106</v>
      </c>
      <c r="I19" s="149" t="s">
        <v>48</v>
      </c>
      <c r="J19" s="149" t="s">
        <v>120</v>
      </c>
      <c r="K19" s="149" t="s">
        <v>121</v>
      </c>
      <c r="L19" s="149" t="s">
        <v>212</v>
      </c>
      <c r="M19" s="84"/>
      <c r="N19" s="84"/>
      <c r="O19" s="150">
        <v>46142</v>
      </c>
      <c r="P19" s="149" t="s">
        <v>525</v>
      </c>
      <c r="Q19" s="149">
        <v>27210282</v>
      </c>
      <c r="R19" s="150">
        <v>46142</v>
      </c>
      <c r="S19" s="149" t="s">
        <v>122</v>
      </c>
      <c r="T19" s="149">
        <v>3311</v>
      </c>
      <c r="U19" s="148" t="s">
        <v>257</v>
      </c>
      <c r="V19" s="149" t="s">
        <v>258</v>
      </c>
      <c r="W19" s="149" t="s">
        <v>0</v>
      </c>
      <c r="X19" s="148" t="s">
        <v>259</v>
      </c>
      <c r="Y19" s="84"/>
      <c r="Z19" s="84"/>
      <c r="AA19" s="149">
        <v>248566</v>
      </c>
      <c r="AB19" s="149">
        <v>1</v>
      </c>
      <c r="AC19" s="149">
        <v>248566</v>
      </c>
      <c r="AD19" s="149" t="s">
        <v>99</v>
      </c>
      <c r="AE19" s="84"/>
      <c r="AF19" s="149">
        <v>998599</v>
      </c>
      <c r="AG19" s="149" t="s">
        <v>466</v>
      </c>
      <c r="AH19" s="84"/>
      <c r="AI19" s="84"/>
      <c r="AJ19" s="149">
        <v>0</v>
      </c>
      <c r="AK19" s="149">
        <v>0</v>
      </c>
      <c r="AL19" s="149">
        <v>248566</v>
      </c>
      <c r="AM19" s="149" t="s">
        <v>368</v>
      </c>
      <c r="AN19" s="149">
        <v>18</v>
      </c>
      <c r="AO19" s="148">
        <v>0</v>
      </c>
      <c r="AP19" s="149">
        <v>0</v>
      </c>
      <c r="AQ19" s="149">
        <v>44741.88</v>
      </c>
      <c r="AR19" s="149">
        <v>0</v>
      </c>
      <c r="AS19" s="149">
        <v>0</v>
      </c>
      <c r="AT19" s="149">
        <v>0</v>
      </c>
      <c r="AU19" s="149">
        <v>0</v>
      </c>
      <c r="AV19" s="149">
        <v>0</v>
      </c>
      <c r="AW19" s="84"/>
      <c r="AX19" s="84"/>
      <c r="AY19" s="149">
        <v>0</v>
      </c>
      <c r="AZ19" s="149">
        <v>293307.88</v>
      </c>
      <c r="BA19" s="149" t="s">
        <v>100</v>
      </c>
      <c r="BB19" s="149" t="s">
        <v>101</v>
      </c>
      <c r="BC19" s="149" t="s">
        <v>220</v>
      </c>
      <c r="BD19" s="149" t="s">
        <v>524</v>
      </c>
      <c r="BE19" s="149" t="s">
        <v>102</v>
      </c>
      <c r="BF19" s="149" t="s">
        <v>103</v>
      </c>
      <c r="BG19" s="84"/>
      <c r="BH19" s="84"/>
      <c r="BI19" s="149" t="s">
        <v>526</v>
      </c>
      <c r="BJ19" s="152">
        <v>46142.582638888889</v>
      </c>
      <c r="BK19" t="s">
        <v>285</v>
      </c>
    </row>
    <row r="20" spans="1:63" ht="14.5">
      <c r="A20" s="148" t="s">
        <v>324</v>
      </c>
      <c r="B20" s="149" t="s">
        <v>332</v>
      </c>
      <c r="C20" s="149">
        <v>107</v>
      </c>
      <c r="D20" s="149" t="s">
        <v>97</v>
      </c>
      <c r="E20" s="149" t="s">
        <v>98</v>
      </c>
      <c r="F20" s="149" t="s">
        <v>527</v>
      </c>
      <c r="G20" s="84"/>
      <c r="H20" s="149" t="s">
        <v>106</v>
      </c>
      <c r="I20" s="149" t="s">
        <v>48</v>
      </c>
      <c r="J20" s="149" t="s">
        <v>120</v>
      </c>
      <c r="K20" s="149" t="s">
        <v>121</v>
      </c>
      <c r="L20" s="149" t="s">
        <v>212</v>
      </c>
      <c r="M20" s="84"/>
      <c r="N20" s="84"/>
      <c r="O20" s="150">
        <v>46142</v>
      </c>
      <c r="P20" s="149" t="s">
        <v>528</v>
      </c>
      <c r="Q20" s="149">
        <v>27210345</v>
      </c>
      <c r="R20" s="150">
        <v>46142</v>
      </c>
      <c r="S20" s="149" t="s">
        <v>122</v>
      </c>
      <c r="T20" s="149">
        <v>2893</v>
      </c>
      <c r="U20" s="148" t="s">
        <v>226</v>
      </c>
      <c r="V20" s="149" t="s">
        <v>227</v>
      </c>
      <c r="W20" s="149" t="s">
        <v>0</v>
      </c>
      <c r="X20" s="148" t="s">
        <v>228</v>
      </c>
      <c r="Y20" s="84"/>
      <c r="Z20" s="84"/>
      <c r="AA20" s="149">
        <v>4288144</v>
      </c>
      <c r="AB20" s="149">
        <v>1</v>
      </c>
      <c r="AC20" s="149">
        <v>4288144</v>
      </c>
      <c r="AD20" s="149" t="s">
        <v>99</v>
      </c>
      <c r="AE20" s="84"/>
      <c r="AF20" s="149">
        <v>998599</v>
      </c>
      <c r="AG20" s="149" t="s">
        <v>466</v>
      </c>
      <c r="AH20" s="84"/>
      <c r="AI20" s="84"/>
      <c r="AJ20" s="149">
        <v>0</v>
      </c>
      <c r="AK20" s="149">
        <v>0</v>
      </c>
      <c r="AL20" s="149">
        <v>4288144</v>
      </c>
      <c r="AM20" s="149" t="s">
        <v>368</v>
      </c>
      <c r="AN20" s="149">
        <v>18</v>
      </c>
      <c r="AO20" s="148">
        <v>0</v>
      </c>
      <c r="AP20" s="149">
        <v>0</v>
      </c>
      <c r="AQ20" s="149">
        <v>771865.92</v>
      </c>
      <c r="AR20" s="149">
        <v>0</v>
      </c>
      <c r="AS20" s="149">
        <v>0</v>
      </c>
      <c r="AT20" s="149">
        <v>0</v>
      </c>
      <c r="AU20" s="149">
        <v>0</v>
      </c>
      <c r="AV20" s="149">
        <v>0</v>
      </c>
      <c r="AW20" s="84"/>
      <c r="AX20" s="84"/>
      <c r="AY20" s="149">
        <v>0</v>
      </c>
      <c r="AZ20" s="149">
        <v>5060009.92</v>
      </c>
      <c r="BA20" s="149" t="s">
        <v>100</v>
      </c>
      <c r="BB20" s="149" t="s">
        <v>101</v>
      </c>
      <c r="BC20" s="149" t="s">
        <v>220</v>
      </c>
      <c r="BD20" s="149" t="s">
        <v>527</v>
      </c>
      <c r="BE20" s="149" t="s">
        <v>102</v>
      </c>
      <c r="BF20" s="149" t="s">
        <v>103</v>
      </c>
      <c r="BG20" s="84"/>
      <c r="BH20" s="84"/>
      <c r="BI20" s="149" t="s">
        <v>529</v>
      </c>
      <c r="BJ20" s="152">
        <v>46142.609722222223</v>
      </c>
      <c r="BK20" t="s">
        <v>285</v>
      </c>
    </row>
    <row r="21" spans="1:63" ht="14.5">
      <c r="A21" s="148" t="s">
        <v>324</v>
      </c>
      <c r="B21" s="149" t="s">
        <v>332</v>
      </c>
      <c r="C21" s="149">
        <v>107</v>
      </c>
      <c r="D21" s="149" t="s">
        <v>97</v>
      </c>
      <c r="E21" s="149" t="s">
        <v>98</v>
      </c>
      <c r="F21" s="149" t="s">
        <v>530</v>
      </c>
      <c r="G21" s="84"/>
      <c r="H21" s="149" t="s">
        <v>106</v>
      </c>
      <c r="I21" s="149" t="s">
        <v>48</v>
      </c>
      <c r="J21" s="149" t="s">
        <v>120</v>
      </c>
      <c r="K21" s="149" t="s">
        <v>121</v>
      </c>
      <c r="L21" s="149" t="s">
        <v>212</v>
      </c>
      <c r="M21" s="84"/>
      <c r="N21" s="84"/>
      <c r="O21" s="150">
        <v>46142</v>
      </c>
      <c r="P21" s="149" t="s">
        <v>531</v>
      </c>
      <c r="Q21" s="149">
        <v>27210281</v>
      </c>
      <c r="R21" s="150">
        <v>46142</v>
      </c>
      <c r="S21" s="149" t="s">
        <v>122</v>
      </c>
      <c r="T21" s="149">
        <v>445072</v>
      </c>
      <c r="U21" s="148" t="s">
        <v>221</v>
      </c>
      <c r="V21" s="149" t="s">
        <v>260</v>
      </c>
      <c r="W21" s="149" t="s">
        <v>0</v>
      </c>
      <c r="X21" s="148" t="s">
        <v>261</v>
      </c>
      <c r="Y21" s="84"/>
      <c r="Z21" s="84"/>
      <c r="AA21" s="149">
        <v>96318</v>
      </c>
      <c r="AB21" s="149">
        <v>1</v>
      </c>
      <c r="AC21" s="149">
        <v>96318</v>
      </c>
      <c r="AD21" s="149" t="s">
        <v>99</v>
      </c>
      <c r="AE21" s="84"/>
      <c r="AF21" s="149">
        <v>998599</v>
      </c>
      <c r="AG21" s="149" t="s">
        <v>466</v>
      </c>
      <c r="AH21" s="84"/>
      <c r="AI21" s="84"/>
      <c r="AJ21" s="149">
        <v>0</v>
      </c>
      <c r="AK21" s="149">
        <v>0</v>
      </c>
      <c r="AL21" s="149">
        <v>96318</v>
      </c>
      <c r="AM21" s="149" t="s">
        <v>368</v>
      </c>
      <c r="AN21" s="149">
        <v>18</v>
      </c>
      <c r="AO21" s="148">
        <v>0</v>
      </c>
      <c r="AP21" s="149">
        <v>0</v>
      </c>
      <c r="AQ21" s="149">
        <v>17337.240000000002</v>
      </c>
      <c r="AR21" s="149">
        <v>0</v>
      </c>
      <c r="AS21" s="149">
        <v>0</v>
      </c>
      <c r="AT21" s="149">
        <v>0</v>
      </c>
      <c r="AU21" s="149">
        <v>0</v>
      </c>
      <c r="AV21" s="149">
        <v>0</v>
      </c>
      <c r="AW21" s="84"/>
      <c r="AX21" s="84"/>
      <c r="AY21" s="149">
        <v>0</v>
      </c>
      <c r="AZ21" s="149">
        <v>113655.24</v>
      </c>
      <c r="BA21" s="149" t="s">
        <v>100</v>
      </c>
      <c r="BB21" s="149" t="s">
        <v>101</v>
      </c>
      <c r="BC21" s="149" t="s">
        <v>220</v>
      </c>
      <c r="BD21" s="149" t="s">
        <v>530</v>
      </c>
      <c r="BE21" s="149" t="s">
        <v>102</v>
      </c>
      <c r="BF21" s="149" t="s">
        <v>103</v>
      </c>
      <c r="BG21" s="84"/>
      <c r="BH21" s="84"/>
      <c r="BI21" s="149" t="s">
        <v>532</v>
      </c>
      <c r="BJ21" s="152">
        <v>46142.580555555556</v>
      </c>
      <c r="BK21" t="s">
        <v>285</v>
      </c>
    </row>
    <row r="22" spans="1:63" ht="14.5">
      <c r="A22" s="148" t="s">
        <v>324</v>
      </c>
      <c r="B22" s="149" t="s">
        <v>332</v>
      </c>
      <c r="C22" s="149">
        <v>107</v>
      </c>
      <c r="D22" s="149" t="s">
        <v>97</v>
      </c>
      <c r="E22" s="149" t="s">
        <v>98</v>
      </c>
      <c r="F22" s="149" t="s">
        <v>533</v>
      </c>
      <c r="G22" s="84"/>
      <c r="H22" s="149" t="s">
        <v>106</v>
      </c>
      <c r="I22" s="149" t="s">
        <v>48</v>
      </c>
      <c r="J22" s="149" t="s">
        <v>120</v>
      </c>
      <c r="K22" s="149" t="s">
        <v>121</v>
      </c>
      <c r="L22" s="149" t="s">
        <v>212</v>
      </c>
      <c r="M22" s="84"/>
      <c r="N22" s="84"/>
      <c r="O22" s="150">
        <v>46141</v>
      </c>
      <c r="P22" s="149" t="s">
        <v>534</v>
      </c>
      <c r="Q22" s="149">
        <v>27208486</v>
      </c>
      <c r="R22" s="150">
        <v>46141</v>
      </c>
      <c r="S22" s="149" t="s">
        <v>122</v>
      </c>
      <c r="T22" s="149">
        <v>56078</v>
      </c>
      <c r="U22" s="148" t="s">
        <v>129</v>
      </c>
      <c r="V22" s="149" t="s">
        <v>130</v>
      </c>
      <c r="W22" s="84"/>
      <c r="X22" s="84"/>
      <c r="Y22" s="84"/>
      <c r="Z22" s="84"/>
      <c r="AA22" s="149">
        <v>5000</v>
      </c>
      <c r="AB22" s="149">
        <v>1</v>
      </c>
      <c r="AC22" s="149">
        <v>5000</v>
      </c>
      <c r="AD22" s="149" t="s">
        <v>99</v>
      </c>
      <c r="AE22" s="84"/>
      <c r="AF22" s="149">
        <v>997212</v>
      </c>
      <c r="AG22" s="149" t="s">
        <v>535</v>
      </c>
      <c r="AH22" s="84"/>
      <c r="AI22" s="84"/>
      <c r="AJ22" s="149">
        <v>0</v>
      </c>
      <c r="AK22" s="149">
        <v>0</v>
      </c>
      <c r="AL22" s="149">
        <v>5000</v>
      </c>
      <c r="AM22" s="149" t="s">
        <v>368</v>
      </c>
      <c r="AN22" s="149">
        <v>18</v>
      </c>
      <c r="AO22" s="148">
        <v>450</v>
      </c>
      <c r="AP22" s="149">
        <v>450</v>
      </c>
      <c r="AQ22" s="149">
        <v>0</v>
      </c>
      <c r="AR22" s="149">
        <v>0</v>
      </c>
      <c r="AS22" s="149">
        <v>0</v>
      </c>
      <c r="AT22" s="149">
        <v>0</v>
      </c>
      <c r="AU22" s="149">
        <v>0</v>
      </c>
      <c r="AV22" s="149">
        <v>0</v>
      </c>
      <c r="AW22" s="84"/>
      <c r="AX22" s="84"/>
      <c r="AY22" s="149">
        <v>0</v>
      </c>
      <c r="AZ22" s="149">
        <v>5900</v>
      </c>
      <c r="BA22" s="149" t="s">
        <v>100</v>
      </c>
      <c r="BB22" s="149" t="s">
        <v>101</v>
      </c>
      <c r="BC22" s="149" t="s">
        <v>125</v>
      </c>
      <c r="BD22" s="149" t="s">
        <v>533</v>
      </c>
      <c r="BE22" s="149" t="s">
        <v>105</v>
      </c>
      <c r="BF22" s="149" t="s">
        <v>286</v>
      </c>
      <c r="BG22" s="84"/>
      <c r="BH22" s="84"/>
      <c r="BI22" s="84"/>
      <c r="BJ22" s="84"/>
      <c r="BK22" t="s">
        <v>519</v>
      </c>
    </row>
    <row r="23" spans="1:63" ht="14.5">
      <c r="A23" s="148" t="s">
        <v>324</v>
      </c>
      <c r="B23" s="149" t="s">
        <v>332</v>
      </c>
      <c r="C23" s="149">
        <v>107</v>
      </c>
      <c r="D23" s="149" t="s">
        <v>97</v>
      </c>
      <c r="E23" s="149" t="s">
        <v>98</v>
      </c>
      <c r="F23" s="149" t="s">
        <v>536</v>
      </c>
      <c r="G23" s="84"/>
      <c r="H23" s="149" t="s">
        <v>106</v>
      </c>
      <c r="I23" s="149" t="s">
        <v>48</v>
      </c>
      <c r="J23" s="149" t="s">
        <v>120</v>
      </c>
      <c r="K23" s="149" t="s">
        <v>121</v>
      </c>
      <c r="L23" s="149" t="s">
        <v>212</v>
      </c>
      <c r="M23" s="84"/>
      <c r="N23" s="84"/>
      <c r="O23" s="150">
        <v>46128</v>
      </c>
      <c r="P23" s="149" t="s">
        <v>537</v>
      </c>
      <c r="Q23" s="149">
        <v>27190294</v>
      </c>
      <c r="R23" s="150">
        <v>46128</v>
      </c>
      <c r="S23" s="149" t="s">
        <v>122</v>
      </c>
      <c r="T23" s="149">
        <v>2892</v>
      </c>
      <c r="U23" s="148" t="s">
        <v>239</v>
      </c>
      <c r="V23" s="149" t="s">
        <v>240</v>
      </c>
      <c r="W23" s="149" t="s">
        <v>0</v>
      </c>
      <c r="X23" s="148" t="s">
        <v>241</v>
      </c>
      <c r="Y23" s="84"/>
      <c r="Z23" s="84"/>
      <c r="AA23" s="149">
        <v>81783.100000000006</v>
      </c>
      <c r="AB23" s="149">
        <v>1</v>
      </c>
      <c r="AC23" s="149">
        <v>81783.100000000006</v>
      </c>
      <c r="AD23" s="149" t="s">
        <v>99</v>
      </c>
      <c r="AE23" s="84"/>
      <c r="AF23" s="149">
        <v>84713010</v>
      </c>
      <c r="AG23" s="149" t="s">
        <v>538</v>
      </c>
      <c r="AH23" s="84"/>
      <c r="AI23" s="84"/>
      <c r="AJ23" s="149">
        <v>0</v>
      </c>
      <c r="AK23" s="149">
        <v>0</v>
      </c>
      <c r="AL23" s="149">
        <v>81783.100000000006</v>
      </c>
      <c r="AM23" s="149" t="s">
        <v>368</v>
      </c>
      <c r="AN23" s="149">
        <v>18</v>
      </c>
      <c r="AO23" s="148">
        <v>0</v>
      </c>
      <c r="AP23" s="149">
        <v>0</v>
      </c>
      <c r="AQ23" s="149">
        <v>14720.96</v>
      </c>
      <c r="AR23" s="149">
        <v>0</v>
      </c>
      <c r="AS23" s="149">
        <v>0</v>
      </c>
      <c r="AT23" s="149">
        <v>0</v>
      </c>
      <c r="AU23" s="149">
        <v>0</v>
      </c>
      <c r="AV23" s="149">
        <v>0</v>
      </c>
      <c r="AW23" s="84"/>
      <c r="AX23" s="84"/>
      <c r="AY23" s="149">
        <v>0</v>
      </c>
      <c r="AZ23" s="149">
        <v>96504.06</v>
      </c>
      <c r="BA23" s="149" t="s">
        <v>100</v>
      </c>
      <c r="BB23" s="149" t="s">
        <v>101</v>
      </c>
      <c r="BC23" s="149" t="s">
        <v>539</v>
      </c>
      <c r="BD23" s="149" t="s">
        <v>536</v>
      </c>
      <c r="BE23" s="149" t="s">
        <v>102</v>
      </c>
      <c r="BF23" s="149" t="s">
        <v>387</v>
      </c>
      <c r="BG23" s="84"/>
      <c r="BH23" s="84"/>
      <c r="BI23" s="149" t="s">
        <v>540</v>
      </c>
      <c r="BJ23" s="152">
        <v>46128.532638888886</v>
      </c>
      <c r="BK23" t="s">
        <v>285</v>
      </c>
    </row>
    <row r="24" spans="1:63" ht="14.5">
      <c r="A24" s="148" t="s">
        <v>408</v>
      </c>
      <c r="B24" s="149" t="s">
        <v>332</v>
      </c>
      <c r="C24" s="149">
        <v>107</v>
      </c>
      <c r="D24" s="149" t="s">
        <v>97</v>
      </c>
      <c r="E24" s="149" t="s">
        <v>98</v>
      </c>
      <c r="F24" s="149" t="s">
        <v>541</v>
      </c>
      <c r="G24" s="84"/>
      <c r="H24" s="149" t="s">
        <v>106</v>
      </c>
      <c r="I24" s="149" t="s">
        <v>48</v>
      </c>
      <c r="J24" s="149" t="s">
        <v>120</v>
      </c>
      <c r="K24" s="149" t="s">
        <v>121</v>
      </c>
      <c r="L24" s="149" t="s">
        <v>409</v>
      </c>
      <c r="M24" s="84"/>
      <c r="N24" s="84"/>
      <c r="O24" s="150">
        <v>46113</v>
      </c>
      <c r="P24" s="149" t="s">
        <v>542</v>
      </c>
      <c r="Q24" s="149">
        <v>27165331</v>
      </c>
      <c r="R24" s="150">
        <v>46113</v>
      </c>
      <c r="S24" s="149" t="s">
        <v>122</v>
      </c>
      <c r="T24" s="149">
        <v>1044110</v>
      </c>
      <c r="U24" s="148" t="s">
        <v>511</v>
      </c>
      <c r="V24" s="149" t="s">
        <v>512</v>
      </c>
      <c r="W24" s="149" t="s">
        <v>0</v>
      </c>
      <c r="X24" s="148" t="s">
        <v>254</v>
      </c>
      <c r="Y24" s="84"/>
      <c r="Z24" s="84"/>
      <c r="AA24" s="149">
        <v>-57185.63</v>
      </c>
      <c r="AB24" s="149">
        <v>1</v>
      </c>
      <c r="AC24" s="149">
        <v>-57185.63</v>
      </c>
      <c r="AD24" s="149" t="s">
        <v>99</v>
      </c>
      <c r="AE24" s="84"/>
      <c r="AF24" s="149">
        <v>84713010</v>
      </c>
      <c r="AG24" s="149" t="s">
        <v>543</v>
      </c>
      <c r="AH24" s="84"/>
      <c r="AI24" s="84"/>
      <c r="AJ24" s="149">
        <v>0</v>
      </c>
      <c r="AK24" s="149">
        <v>0</v>
      </c>
      <c r="AL24" s="149">
        <v>-57185.63</v>
      </c>
      <c r="AM24" s="149" t="s">
        <v>368</v>
      </c>
      <c r="AN24" s="149">
        <v>18</v>
      </c>
      <c r="AO24" s="148">
        <v>0</v>
      </c>
      <c r="AP24" s="149">
        <v>0</v>
      </c>
      <c r="AQ24" s="149">
        <v>-10293.41</v>
      </c>
      <c r="AR24" s="149">
        <v>0</v>
      </c>
      <c r="AS24" s="149">
        <v>0</v>
      </c>
      <c r="AT24" s="149">
        <v>0</v>
      </c>
      <c r="AU24" s="149">
        <v>0</v>
      </c>
      <c r="AV24" s="149">
        <v>0</v>
      </c>
      <c r="AW24" s="84"/>
      <c r="AX24" s="84"/>
      <c r="AY24" s="149">
        <v>0</v>
      </c>
      <c r="AZ24" s="149">
        <v>-67479.039999999994</v>
      </c>
      <c r="BA24" s="149" t="s">
        <v>100</v>
      </c>
      <c r="BB24" s="149" t="s">
        <v>101</v>
      </c>
      <c r="BC24" s="149" t="s">
        <v>514</v>
      </c>
      <c r="BD24" s="149" t="s">
        <v>544</v>
      </c>
      <c r="BE24" s="149" t="s">
        <v>102</v>
      </c>
      <c r="BF24" s="149" t="s">
        <v>387</v>
      </c>
      <c r="BG24" s="84"/>
      <c r="BH24" s="84"/>
      <c r="BI24" s="149" t="s">
        <v>545</v>
      </c>
      <c r="BJ24" s="152">
        <v>46113.532638888886</v>
      </c>
      <c r="BK24" t="s">
        <v>410</v>
      </c>
    </row>
    <row r="25" spans="1:63" ht="14.5">
      <c r="A25" s="148" t="s">
        <v>324</v>
      </c>
      <c r="B25" s="149" t="s">
        <v>332</v>
      </c>
      <c r="C25" s="149">
        <v>107</v>
      </c>
      <c r="D25" s="149" t="s">
        <v>97</v>
      </c>
      <c r="E25" s="149" t="s">
        <v>98</v>
      </c>
      <c r="F25" s="149" t="s">
        <v>546</v>
      </c>
      <c r="G25" s="84"/>
      <c r="H25" s="149" t="s">
        <v>106</v>
      </c>
      <c r="I25" s="149" t="s">
        <v>48</v>
      </c>
      <c r="J25" s="149" t="s">
        <v>120</v>
      </c>
      <c r="K25" s="149" t="s">
        <v>121</v>
      </c>
      <c r="L25" s="149" t="s">
        <v>212</v>
      </c>
      <c r="M25" s="84"/>
      <c r="N25" s="84"/>
      <c r="O25" s="150">
        <v>46141</v>
      </c>
      <c r="P25" s="149" t="s">
        <v>547</v>
      </c>
      <c r="Q25" s="149">
        <v>27208568</v>
      </c>
      <c r="R25" s="150">
        <v>46141</v>
      </c>
      <c r="S25" s="149" t="s">
        <v>122</v>
      </c>
      <c r="T25" s="149">
        <v>1052115</v>
      </c>
      <c r="U25" s="148" t="s">
        <v>405</v>
      </c>
      <c r="V25" s="149" t="s">
        <v>406</v>
      </c>
      <c r="W25" s="149" t="s">
        <v>0</v>
      </c>
      <c r="X25" s="148" t="s">
        <v>407</v>
      </c>
      <c r="Y25" s="84"/>
      <c r="Z25" s="84"/>
      <c r="AA25" s="149">
        <v>5000</v>
      </c>
      <c r="AB25" s="149">
        <v>1</v>
      </c>
      <c r="AC25" s="149">
        <v>5000</v>
      </c>
      <c r="AD25" s="149" t="s">
        <v>99</v>
      </c>
      <c r="AE25" s="84"/>
      <c r="AF25" s="149">
        <v>997212</v>
      </c>
      <c r="AG25" s="149" t="s">
        <v>548</v>
      </c>
      <c r="AH25" s="84"/>
      <c r="AI25" s="84"/>
      <c r="AJ25" s="149">
        <v>0</v>
      </c>
      <c r="AK25" s="149">
        <v>0</v>
      </c>
      <c r="AL25" s="149">
        <v>5000</v>
      </c>
      <c r="AM25" s="149" t="s">
        <v>368</v>
      </c>
      <c r="AN25" s="149">
        <v>18</v>
      </c>
      <c r="AO25" s="148">
        <v>450</v>
      </c>
      <c r="AP25" s="149">
        <v>450</v>
      </c>
      <c r="AQ25" s="149">
        <v>0</v>
      </c>
      <c r="AR25" s="149">
        <v>0</v>
      </c>
      <c r="AS25" s="149">
        <v>0</v>
      </c>
      <c r="AT25" s="149">
        <v>0</v>
      </c>
      <c r="AU25" s="149">
        <v>0</v>
      </c>
      <c r="AV25" s="149">
        <v>0</v>
      </c>
      <c r="AW25" s="84"/>
      <c r="AX25" s="84"/>
      <c r="AY25" s="149">
        <v>0</v>
      </c>
      <c r="AZ25" s="149">
        <v>5900</v>
      </c>
      <c r="BA25" s="149" t="s">
        <v>100</v>
      </c>
      <c r="BB25" s="149" t="s">
        <v>101</v>
      </c>
      <c r="BC25" s="149" t="s">
        <v>125</v>
      </c>
      <c r="BD25" s="149" t="s">
        <v>546</v>
      </c>
      <c r="BE25" s="149" t="s">
        <v>105</v>
      </c>
      <c r="BF25" s="149" t="s">
        <v>103</v>
      </c>
      <c r="BG25" s="84"/>
      <c r="BH25" s="84"/>
      <c r="BI25" s="149" t="s">
        <v>549</v>
      </c>
      <c r="BJ25" s="152">
        <v>46141.668055555558</v>
      </c>
      <c r="BK25" t="s">
        <v>285</v>
      </c>
    </row>
    <row r="26" spans="1:63" ht="14.5">
      <c r="A26" s="148" t="s">
        <v>324</v>
      </c>
      <c r="B26" s="149" t="s">
        <v>332</v>
      </c>
      <c r="C26" s="149">
        <v>107</v>
      </c>
      <c r="D26" s="149" t="s">
        <v>97</v>
      </c>
      <c r="E26" s="149" t="s">
        <v>98</v>
      </c>
      <c r="F26" s="149" t="s">
        <v>550</v>
      </c>
      <c r="G26" s="84"/>
      <c r="H26" s="149" t="s">
        <v>106</v>
      </c>
      <c r="I26" s="149" t="s">
        <v>48</v>
      </c>
      <c r="J26" s="149" t="s">
        <v>120</v>
      </c>
      <c r="K26" s="149" t="s">
        <v>121</v>
      </c>
      <c r="L26" s="149" t="s">
        <v>212</v>
      </c>
      <c r="M26" s="84"/>
      <c r="N26" s="84"/>
      <c r="O26" s="150">
        <v>46141</v>
      </c>
      <c r="P26" s="149" t="s">
        <v>551</v>
      </c>
      <c r="Q26" s="149">
        <v>27208566</v>
      </c>
      <c r="R26" s="150">
        <v>46141</v>
      </c>
      <c r="S26" s="149" t="s">
        <v>122</v>
      </c>
      <c r="T26" s="149">
        <v>5137</v>
      </c>
      <c r="U26" s="148" t="s">
        <v>123</v>
      </c>
      <c r="V26" s="149" t="s">
        <v>124</v>
      </c>
      <c r="W26" s="149" t="s">
        <v>0</v>
      </c>
      <c r="X26" s="148" t="s">
        <v>108</v>
      </c>
      <c r="Y26" s="84"/>
      <c r="Z26" s="84"/>
      <c r="AA26" s="149">
        <v>500000</v>
      </c>
      <c r="AB26" s="149">
        <v>1</v>
      </c>
      <c r="AC26" s="149">
        <v>500000</v>
      </c>
      <c r="AD26" s="149" t="s">
        <v>99</v>
      </c>
      <c r="AE26" s="84"/>
      <c r="AF26" s="149">
        <v>997212</v>
      </c>
      <c r="AG26" s="149" t="s">
        <v>552</v>
      </c>
      <c r="AH26" s="84"/>
      <c r="AI26" s="84"/>
      <c r="AJ26" s="149">
        <v>0</v>
      </c>
      <c r="AK26" s="149">
        <v>0</v>
      </c>
      <c r="AL26" s="149">
        <v>500000</v>
      </c>
      <c r="AM26" s="149" t="s">
        <v>368</v>
      </c>
      <c r="AN26" s="149">
        <v>18</v>
      </c>
      <c r="AO26" s="148">
        <v>45000</v>
      </c>
      <c r="AP26" s="149">
        <v>45000</v>
      </c>
      <c r="AQ26" s="149">
        <v>0</v>
      </c>
      <c r="AR26" s="149">
        <v>0</v>
      </c>
      <c r="AS26" s="149">
        <v>0</v>
      </c>
      <c r="AT26" s="149">
        <v>0</v>
      </c>
      <c r="AU26" s="149">
        <v>0</v>
      </c>
      <c r="AV26" s="149">
        <v>0</v>
      </c>
      <c r="AW26" s="84"/>
      <c r="AX26" s="84"/>
      <c r="AY26" s="149">
        <v>0</v>
      </c>
      <c r="AZ26" s="149">
        <v>590000</v>
      </c>
      <c r="BA26" s="149" t="s">
        <v>100</v>
      </c>
      <c r="BB26" s="149" t="s">
        <v>101</v>
      </c>
      <c r="BC26" s="149" t="s">
        <v>125</v>
      </c>
      <c r="BD26" s="149" t="s">
        <v>550</v>
      </c>
      <c r="BE26" s="149" t="s">
        <v>105</v>
      </c>
      <c r="BF26" s="149" t="s">
        <v>103</v>
      </c>
      <c r="BG26" s="84"/>
      <c r="BH26" s="84"/>
      <c r="BI26" s="149" t="s">
        <v>553</v>
      </c>
      <c r="BJ26" s="152">
        <v>46141.665972222225</v>
      </c>
      <c r="BK26" t="s">
        <v>285</v>
      </c>
    </row>
    <row r="27" spans="1:63" ht="14.5">
      <c r="A27" s="148" t="s">
        <v>324</v>
      </c>
      <c r="B27" s="149" t="s">
        <v>332</v>
      </c>
      <c r="C27" s="149">
        <v>107</v>
      </c>
      <c r="D27" s="149" t="s">
        <v>97</v>
      </c>
      <c r="E27" s="149" t="s">
        <v>98</v>
      </c>
      <c r="F27" s="149" t="s">
        <v>554</v>
      </c>
      <c r="G27" s="84"/>
      <c r="H27" s="149" t="s">
        <v>106</v>
      </c>
      <c r="I27" s="149" t="s">
        <v>48</v>
      </c>
      <c r="J27" s="149" t="s">
        <v>120</v>
      </c>
      <c r="K27" s="149" t="s">
        <v>121</v>
      </c>
      <c r="L27" s="149" t="s">
        <v>212</v>
      </c>
      <c r="M27" s="84"/>
      <c r="N27" s="84"/>
      <c r="O27" s="150">
        <v>46113</v>
      </c>
      <c r="P27" s="149" t="s">
        <v>555</v>
      </c>
      <c r="Q27" s="149">
        <v>27165329</v>
      </c>
      <c r="R27" s="150">
        <v>46113</v>
      </c>
      <c r="S27" s="149" t="s">
        <v>122</v>
      </c>
      <c r="T27" s="149">
        <v>1045110</v>
      </c>
      <c r="U27" s="148" t="s">
        <v>399</v>
      </c>
      <c r="V27" s="149" t="s">
        <v>400</v>
      </c>
      <c r="W27" s="149" t="s">
        <v>0</v>
      </c>
      <c r="X27" s="148" t="s">
        <v>252</v>
      </c>
      <c r="Y27" s="84"/>
      <c r="Z27" s="84"/>
      <c r="AA27" s="149">
        <v>50526</v>
      </c>
      <c r="AB27" s="149">
        <v>1</v>
      </c>
      <c r="AC27" s="149">
        <v>50526</v>
      </c>
      <c r="AD27" s="149" t="s">
        <v>99</v>
      </c>
      <c r="AE27" s="84"/>
      <c r="AF27" s="149">
        <v>84713010</v>
      </c>
      <c r="AG27" s="149" t="s">
        <v>556</v>
      </c>
      <c r="AH27" s="84"/>
      <c r="AI27" s="84"/>
      <c r="AJ27" s="149">
        <v>0</v>
      </c>
      <c r="AK27" s="149">
        <v>0</v>
      </c>
      <c r="AL27" s="149">
        <v>50526</v>
      </c>
      <c r="AM27" s="149" t="s">
        <v>368</v>
      </c>
      <c r="AN27" s="149">
        <v>18</v>
      </c>
      <c r="AO27" s="148">
        <v>0</v>
      </c>
      <c r="AP27" s="149">
        <v>0</v>
      </c>
      <c r="AQ27" s="149">
        <v>9094.68</v>
      </c>
      <c r="AR27" s="149">
        <v>0</v>
      </c>
      <c r="AS27" s="149">
        <v>0</v>
      </c>
      <c r="AT27" s="149">
        <v>0</v>
      </c>
      <c r="AU27" s="149">
        <v>0</v>
      </c>
      <c r="AV27" s="149">
        <v>0</v>
      </c>
      <c r="AW27" s="84"/>
      <c r="AX27" s="84"/>
      <c r="AY27" s="149">
        <v>0</v>
      </c>
      <c r="AZ27" s="149">
        <v>59620.68</v>
      </c>
      <c r="BA27" s="149" t="s">
        <v>100</v>
      </c>
      <c r="BB27" s="149" t="s">
        <v>101</v>
      </c>
      <c r="BC27" s="149" t="s">
        <v>401</v>
      </c>
      <c r="BD27" s="149" t="s">
        <v>554</v>
      </c>
      <c r="BE27" s="149" t="s">
        <v>102</v>
      </c>
      <c r="BF27" s="149" t="s">
        <v>387</v>
      </c>
      <c r="BG27" s="84"/>
      <c r="BH27" s="84"/>
      <c r="BI27" s="149" t="s">
        <v>557</v>
      </c>
      <c r="BJ27" s="152">
        <v>46113.515972222223</v>
      </c>
      <c r="BK27" t="s">
        <v>285</v>
      </c>
    </row>
    <row r="28" spans="1:63" ht="14.5">
      <c r="A28" s="148" t="s">
        <v>324</v>
      </c>
      <c r="B28" s="149" t="s">
        <v>332</v>
      </c>
      <c r="C28" s="149">
        <v>107</v>
      </c>
      <c r="D28" s="149" t="s">
        <v>97</v>
      </c>
      <c r="E28" s="149" t="s">
        <v>98</v>
      </c>
      <c r="F28" s="149" t="s">
        <v>558</v>
      </c>
      <c r="G28" s="84"/>
      <c r="H28" s="149" t="s">
        <v>106</v>
      </c>
      <c r="I28" s="149" t="s">
        <v>48</v>
      </c>
      <c r="J28" s="149" t="s">
        <v>120</v>
      </c>
      <c r="K28" s="149" t="s">
        <v>121</v>
      </c>
      <c r="L28" s="149" t="s">
        <v>212</v>
      </c>
      <c r="M28" s="84"/>
      <c r="N28" s="84"/>
      <c r="O28" s="150">
        <v>46142</v>
      </c>
      <c r="P28" s="149" t="s">
        <v>559</v>
      </c>
      <c r="Q28" s="149">
        <v>27210291</v>
      </c>
      <c r="R28" s="150">
        <v>46142</v>
      </c>
      <c r="S28" s="149" t="s">
        <v>122</v>
      </c>
      <c r="T28" s="149">
        <v>446062</v>
      </c>
      <c r="U28" s="148" t="s">
        <v>47</v>
      </c>
      <c r="V28" s="149" t="s">
        <v>224</v>
      </c>
      <c r="W28" s="149" t="s">
        <v>0</v>
      </c>
      <c r="X28" s="148" t="s">
        <v>225</v>
      </c>
      <c r="Y28" s="84"/>
      <c r="Z28" s="84"/>
      <c r="AA28" s="149">
        <v>99004</v>
      </c>
      <c r="AB28" s="149">
        <v>1</v>
      </c>
      <c r="AC28" s="149">
        <v>99004</v>
      </c>
      <c r="AD28" s="149" t="s">
        <v>99</v>
      </c>
      <c r="AE28" s="84"/>
      <c r="AF28" s="149">
        <v>998599</v>
      </c>
      <c r="AG28" s="149" t="s">
        <v>466</v>
      </c>
      <c r="AH28" s="84"/>
      <c r="AI28" s="84"/>
      <c r="AJ28" s="149">
        <v>0</v>
      </c>
      <c r="AK28" s="149">
        <v>0</v>
      </c>
      <c r="AL28" s="149">
        <v>99004</v>
      </c>
      <c r="AM28" s="149" t="s">
        <v>368</v>
      </c>
      <c r="AN28" s="149">
        <v>18</v>
      </c>
      <c r="AO28" s="148">
        <v>0</v>
      </c>
      <c r="AP28" s="149">
        <v>0</v>
      </c>
      <c r="AQ28" s="149">
        <v>17820.72</v>
      </c>
      <c r="AR28" s="149">
        <v>0</v>
      </c>
      <c r="AS28" s="149">
        <v>0</v>
      </c>
      <c r="AT28" s="149">
        <v>0</v>
      </c>
      <c r="AU28" s="149">
        <v>0</v>
      </c>
      <c r="AV28" s="149">
        <v>0</v>
      </c>
      <c r="AW28" s="84"/>
      <c r="AX28" s="84"/>
      <c r="AY28" s="149">
        <v>0</v>
      </c>
      <c r="AZ28" s="149">
        <v>116824.72</v>
      </c>
      <c r="BA28" s="149" t="s">
        <v>100</v>
      </c>
      <c r="BB28" s="149" t="s">
        <v>101</v>
      </c>
      <c r="BC28" s="149" t="s">
        <v>220</v>
      </c>
      <c r="BD28" s="149" t="s">
        <v>558</v>
      </c>
      <c r="BE28" s="149" t="s">
        <v>102</v>
      </c>
      <c r="BF28" s="149" t="s">
        <v>103</v>
      </c>
      <c r="BG28" s="84"/>
      <c r="BH28" s="84"/>
      <c r="BI28" s="149" t="s">
        <v>560</v>
      </c>
      <c r="BJ28" s="152">
        <v>46142.59097222222</v>
      </c>
      <c r="BK28" t="s">
        <v>285</v>
      </c>
    </row>
    <row r="29" spans="1:63" ht="14.5">
      <c r="A29" s="148" t="s">
        <v>324</v>
      </c>
      <c r="B29" s="149" t="s">
        <v>332</v>
      </c>
      <c r="C29" s="149">
        <v>107</v>
      </c>
      <c r="D29" s="149" t="s">
        <v>97</v>
      </c>
      <c r="E29" s="149" t="s">
        <v>98</v>
      </c>
      <c r="F29" s="149" t="s">
        <v>561</v>
      </c>
      <c r="G29" s="84"/>
      <c r="H29" s="149" t="s">
        <v>106</v>
      </c>
      <c r="I29" s="149" t="s">
        <v>48</v>
      </c>
      <c r="J29" s="149" t="s">
        <v>120</v>
      </c>
      <c r="K29" s="149" t="s">
        <v>121</v>
      </c>
      <c r="L29" s="149" t="s">
        <v>212</v>
      </c>
      <c r="M29" s="84"/>
      <c r="N29" s="84"/>
      <c r="O29" s="150">
        <v>46141</v>
      </c>
      <c r="P29" s="149" t="s">
        <v>562</v>
      </c>
      <c r="Q29" s="149">
        <v>27208487</v>
      </c>
      <c r="R29" s="150">
        <v>46141</v>
      </c>
      <c r="S29" s="149" t="s">
        <v>122</v>
      </c>
      <c r="T29" s="149">
        <v>156023</v>
      </c>
      <c r="U29" s="148" t="s">
        <v>126</v>
      </c>
      <c r="V29" s="149" t="s">
        <v>127</v>
      </c>
      <c r="W29" s="149" t="s">
        <v>0</v>
      </c>
      <c r="X29" s="148" t="s">
        <v>128</v>
      </c>
      <c r="Y29" s="84"/>
      <c r="Z29" s="84"/>
      <c r="AA29" s="149">
        <v>11000</v>
      </c>
      <c r="AB29" s="149">
        <v>1</v>
      </c>
      <c r="AC29" s="149">
        <v>11000</v>
      </c>
      <c r="AD29" s="149" t="s">
        <v>99</v>
      </c>
      <c r="AE29" s="84"/>
      <c r="AF29" s="149">
        <v>997212</v>
      </c>
      <c r="AG29" s="149" t="s">
        <v>563</v>
      </c>
      <c r="AH29" s="84"/>
      <c r="AI29" s="84"/>
      <c r="AJ29" s="149">
        <v>0</v>
      </c>
      <c r="AK29" s="149">
        <v>0</v>
      </c>
      <c r="AL29" s="149">
        <v>11000</v>
      </c>
      <c r="AM29" s="149" t="s">
        <v>368</v>
      </c>
      <c r="AN29" s="149">
        <v>18</v>
      </c>
      <c r="AO29" s="148">
        <v>990</v>
      </c>
      <c r="AP29" s="149">
        <v>990</v>
      </c>
      <c r="AQ29" s="149">
        <v>0</v>
      </c>
      <c r="AR29" s="149">
        <v>0</v>
      </c>
      <c r="AS29" s="149">
        <v>0</v>
      </c>
      <c r="AT29" s="149">
        <v>0</v>
      </c>
      <c r="AU29" s="149">
        <v>0</v>
      </c>
      <c r="AV29" s="149">
        <v>0</v>
      </c>
      <c r="AW29" s="84"/>
      <c r="AX29" s="84"/>
      <c r="AY29" s="149">
        <v>0</v>
      </c>
      <c r="AZ29" s="149">
        <v>12980</v>
      </c>
      <c r="BA29" s="149" t="s">
        <v>100</v>
      </c>
      <c r="BB29" s="149" t="s">
        <v>101</v>
      </c>
      <c r="BC29" s="149" t="s">
        <v>125</v>
      </c>
      <c r="BD29" s="149" t="s">
        <v>561</v>
      </c>
      <c r="BE29" s="149" t="s">
        <v>105</v>
      </c>
      <c r="BF29" s="149" t="s">
        <v>103</v>
      </c>
      <c r="BG29" s="84"/>
      <c r="BH29" s="84"/>
      <c r="BI29" s="149" t="s">
        <v>564</v>
      </c>
      <c r="BJ29" s="152">
        <v>46141.649305555555</v>
      </c>
      <c r="BK29" t="s">
        <v>285</v>
      </c>
    </row>
    <row r="30" spans="1:63" ht="14.5">
      <c r="A30" s="148" t="s">
        <v>324</v>
      </c>
      <c r="B30" s="149" t="s">
        <v>332</v>
      </c>
      <c r="C30" s="149">
        <v>107</v>
      </c>
      <c r="D30" s="149" t="s">
        <v>97</v>
      </c>
      <c r="E30" s="149" t="s">
        <v>98</v>
      </c>
      <c r="F30" s="149" t="s">
        <v>565</v>
      </c>
      <c r="G30" s="84"/>
      <c r="H30" s="149" t="s">
        <v>106</v>
      </c>
      <c r="I30" s="149" t="s">
        <v>48</v>
      </c>
      <c r="J30" s="149" t="s">
        <v>120</v>
      </c>
      <c r="K30" s="149" t="s">
        <v>121</v>
      </c>
      <c r="L30" s="149" t="s">
        <v>212</v>
      </c>
      <c r="M30" s="84"/>
      <c r="N30" s="84"/>
      <c r="O30" s="150">
        <v>46142</v>
      </c>
      <c r="P30" s="149" t="s">
        <v>566</v>
      </c>
      <c r="Q30" s="149">
        <v>27210351</v>
      </c>
      <c r="R30" s="150">
        <v>46142</v>
      </c>
      <c r="S30" s="149" t="s">
        <v>122</v>
      </c>
      <c r="T30" s="149">
        <v>445067</v>
      </c>
      <c r="U30" s="148" t="s">
        <v>221</v>
      </c>
      <c r="V30" s="149" t="s">
        <v>222</v>
      </c>
      <c r="W30" s="149" t="s">
        <v>0</v>
      </c>
      <c r="X30" s="148" t="s">
        <v>223</v>
      </c>
      <c r="Y30" s="84"/>
      <c r="Z30" s="84"/>
      <c r="AA30" s="149">
        <v>462317</v>
      </c>
      <c r="AB30" s="149">
        <v>1</v>
      </c>
      <c r="AC30" s="149">
        <v>462317</v>
      </c>
      <c r="AD30" s="149" t="s">
        <v>99</v>
      </c>
      <c r="AE30" s="84"/>
      <c r="AF30" s="149">
        <v>998599</v>
      </c>
      <c r="AG30" s="149" t="s">
        <v>466</v>
      </c>
      <c r="AH30" s="84"/>
      <c r="AI30" s="84"/>
      <c r="AJ30" s="149">
        <v>0</v>
      </c>
      <c r="AK30" s="149">
        <v>0</v>
      </c>
      <c r="AL30" s="149">
        <v>462317</v>
      </c>
      <c r="AM30" s="149" t="s">
        <v>368</v>
      </c>
      <c r="AN30" s="149">
        <v>18</v>
      </c>
      <c r="AO30" s="148">
        <v>0</v>
      </c>
      <c r="AP30" s="149">
        <v>0</v>
      </c>
      <c r="AQ30" s="149">
        <v>83217.06</v>
      </c>
      <c r="AR30" s="149">
        <v>0</v>
      </c>
      <c r="AS30" s="149">
        <v>0</v>
      </c>
      <c r="AT30" s="149">
        <v>0</v>
      </c>
      <c r="AU30" s="149">
        <v>0</v>
      </c>
      <c r="AV30" s="149">
        <v>0</v>
      </c>
      <c r="AW30" s="84"/>
      <c r="AX30" s="84"/>
      <c r="AY30" s="149">
        <v>0</v>
      </c>
      <c r="AZ30" s="149">
        <v>545534.06000000006</v>
      </c>
      <c r="BA30" s="149" t="s">
        <v>100</v>
      </c>
      <c r="BB30" s="149" t="s">
        <v>101</v>
      </c>
      <c r="BC30" s="149" t="s">
        <v>220</v>
      </c>
      <c r="BD30" s="149" t="s">
        <v>565</v>
      </c>
      <c r="BE30" s="149" t="s">
        <v>102</v>
      </c>
      <c r="BF30" s="149" t="s">
        <v>103</v>
      </c>
      <c r="BG30" s="84"/>
      <c r="BH30" s="84"/>
      <c r="BI30" s="149" t="s">
        <v>567</v>
      </c>
      <c r="BJ30" s="152">
        <v>46142.613888888889</v>
      </c>
      <c r="BK30" t="s">
        <v>285</v>
      </c>
    </row>
    <row r="31" spans="1:63" ht="14.5">
      <c r="A31" s="148" t="s">
        <v>324</v>
      </c>
      <c r="B31" s="149" t="s">
        <v>332</v>
      </c>
      <c r="C31" s="149">
        <v>107</v>
      </c>
      <c r="D31" s="149" t="s">
        <v>97</v>
      </c>
      <c r="E31" s="149" t="s">
        <v>98</v>
      </c>
      <c r="F31" s="149" t="s">
        <v>568</v>
      </c>
      <c r="G31" s="84"/>
      <c r="H31" s="149" t="s">
        <v>106</v>
      </c>
      <c r="I31" s="149" t="s">
        <v>48</v>
      </c>
      <c r="J31" s="149" t="s">
        <v>120</v>
      </c>
      <c r="K31" s="149" t="s">
        <v>121</v>
      </c>
      <c r="L31" s="149" t="s">
        <v>212</v>
      </c>
      <c r="M31" s="84"/>
      <c r="N31" s="84"/>
      <c r="O31" s="150">
        <v>46133</v>
      </c>
      <c r="P31" s="149" t="s">
        <v>569</v>
      </c>
      <c r="Q31" s="149">
        <v>27199210</v>
      </c>
      <c r="R31" s="150">
        <v>46133</v>
      </c>
      <c r="S31" s="149" t="s">
        <v>122</v>
      </c>
      <c r="T31" s="149">
        <v>1077115</v>
      </c>
      <c r="U31" s="148" t="s">
        <v>570</v>
      </c>
      <c r="V31" s="149" t="s">
        <v>571</v>
      </c>
      <c r="W31" s="149" t="s">
        <v>0</v>
      </c>
      <c r="X31" s="148" t="s">
        <v>572</v>
      </c>
      <c r="Y31" s="84"/>
      <c r="Z31" s="84"/>
      <c r="AA31" s="149">
        <v>329343.30</v>
      </c>
      <c r="AB31" s="149">
        <v>1</v>
      </c>
      <c r="AC31" s="149">
        <v>329343.30</v>
      </c>
      <c r="AD31" s="149" t="s">
        <v>99</v>
      </c>
      <c r="AE31" s="84"/>
      <c r="AF31" s="149">
        <v>998599</v>
      </c>
      <c r="AG31" s="149" t="s">
        <v>573</v>
      </c>
      <c r="AH31" s="84"/>
      <c r="AI31" s="84"/>
      <c r="AJ31" s="149">
        <v>0</v>
      </c>
      <c r="AK31" s="149">
        <v>0</v>
      </c>
      <c r="AL31" s="149">
        <v>329343.30</v>
      </c>
      <c r="AM31" s="149" t="s">
        <v>368</v>
      </c>
      <c r="AN31" s="149">
        <v>18</v>
      </c>
      <c r="AO31" s="148">
        <v>0</v>
      </c>
      <c r="AP31" s="149">
        <v>0</v>
      </c>
      <c r="AQ31" s="149">
        <v>59281.79</v>
      </c>
      <c r="AR31" s="149">
        <v>0</v>
      </c>
      <c r="AS31" s="149">
        <v>0</v>
      </c>
      <c r="AT31" s="149">
        <v>0</v>
      </c>
      <c r="AU31" s="149">
        <v>0</v>
      </c>
      <c r="AV31" s="149">
        <v>0</v>
      </c>
      <c r="AW31" s="84"/>
      <c r="AX31" s="84"/>
      <c r="AY31" s="149">
        <v>0</v>
      </c>
      <c r="AZ31" s="149">
        <v>388625.09</v>
      </c>
      <c r="BA31" s="149" t="s">
        <v>100</v>
      </c>
      <c r="BB31" s="149" t="s">
        <v>101</v>
      </c>
      <c r="BC31" s="149" t="s">
        <v>574</v>
      </c>
      <c r="BD31" s="149" t="s">
        <v>568</v>
      </c>
      <c r="BE31" s="149" t="s">
        <v>102</v>
      </c>
      <c r="BF31" s="149" t="s">
        <v>103</v>
      </c>
      <c r="BG31" s="84"/>
      <c r="BH31" s="84"/>
      <c r="BI31" s="149" t="s">
        <v>575</v>
      </c>
      <c r="BJ31" s="152">
        <v>46133.797222222223</v>
      </c>
      <c r="BK31" t="s">
        <v>285</v>
      </c>
    </row>
    <row r="32" spans="1:63" ht="14.5">
      <c r="A32" s="148" t="s">
        <v>324</v>
      </c>
      <c r="B32" s="149" t="s">
        <v>332</v>
      </c>
      <c r="C32" s="149">
        <v>107</v>
      </c>
      <c r="D32" s="149" t="s">
        <v>97</v>
      </c>
      <c r="E32" s="149" t="s">
        <v>98</v>
      </c>
      <c r="F32" s="149" t="s">
        <v>576</v>
      </c>
      <c r="G32" s="84"/>
      <c r="H32" s="149" t="s">
        <v>106</v>
      </c>
      <c r="I32" s="149" t="s">
        <v>48</v>
      </c>
      <c r="J32" s="149" t="s">
        <v>120</v>
      </c>
      <c r="K32" s="149" t="s">
        <v>121</v>
      </c>
      <c r="L32" s="149" t="s">
        <v>212</v>
      </c>
      <c r="M32" s="84"/>
      <c r="N32" s="84"/>
      <c r="O32" s="150">
        <v>46142</v>
      </c>
      <c r="P32" s="149" t="s">
        <v>577</v>
      </c>
      <c r="Q32" s="149">
        <v>27210245</v>
      </c>
      <c r="R32" s="150">
        <v>46142</v>
      </c>
      <c r="S32" s="149" t="s">
        <v>122</v>
      </c>
      <c r="T32" s="149">
        <v>445069</v>
      </c>
      <c r="U32" s="148" t="s">
        <v>221</v>
      </c>
      <c r="V32" s="149" t="s">
        <v>235</v>
      </c>
      <c r="W32" s="149" t="s">
        <v>0</v>
      </c>
      <c r="X32" s="148" t="s">
        <v>236</v>
      </c>
      <c r="Y32" s="84"/>
      <c r="Z32" s="84"/>
      <c r="AA32" s="149">
        <v>1495479</v>
      </c>
      <c r="AB32" s="149">
        <v>1</v>
      </c>
      <c r="AC32" s="149">
        <v>1495479</v>
      </c>
      <c r="AD32" s="149" t="s">
        <v>99</v>
      </c>
      <c r="AE32" s="84"/>
      <c r="AF32" s="149">
        <v>998599</v>
      </c>
      <c r="AG32" s="149" t="s">
        <v>466</v>
      </c>
      <c r="AH32" s="84"/>
      <c r="AI32" s="84"/>
      <c r="AJ32" s="149">
        <v>0</v>
      </c>
      <c r="AK32" s="149">
        <v>0</v>
      </c>
      <c r="AL32" s="149">
        <v>1495479</v>
      </c>
      <c r="AM32" s="149" t="s">
        <v>368</v>
      </c>
      <c r="AN32" s="149">
        <v>18</v>
      </c>
      <c r="AO32" s="148">
        <v>0</v>
      </c>
      <c r="AP32" s="149">
        <v>0</v>
      </c>
      <c r="AQ32" s="149">
        <v>269186.21999999997</v>
      </c>
      <c r="AR32" s="149">
        <v>0</v>
      </c>
      <c r="AS32" s="149">
        <v>0</v>
      </c>
      <c r="AT32" s="149">
        <v>0</v>
      </c>
      <c r="AU32" s="149">
        <v>0</v>
      </c>
      <c r="AV32" s="149">
        <v>0</v>
      </c>
      <c r="AW32" s="84"/>
      <c r="AX32" s="84"/>
      <c r="AY32" s="149">
        <v>0</v>
      </c>
      <c r="AZ32" s="149">
        <v>1764665.22</v>
      </c>
      <c r="BA32" s="149" t="s">
        <v>100</v>
      </c>
      <c r="BB32" s="149" t="s">
        <v>101</v>
      </c>
      <c r="BC32" s="149" t="s">
        <v>220</v>
      </c>
      <c r="BD32" s="149" t="s">
        <v>576</v>
      </c>
      <c r="BE32" s="149" t="s">
        <v>102</v>
      </c>
      <c r="BF32" s="149" t="s">
        <v>103</v>
      </c>
      <c r="BG32" s="84"/>
      <c r="BH32" s="84"/>
      <c r="BI32" s="149" t="s">
        <v>578</v>
      </c>
      <c r="BJ32" s="152">
        <v>46142.553472222222</v>
      </c>
      <c r="BK32" t="s">
        <v>285</v>
      </c>
    </row>
    <row r="33" spans="1:63" ht="14.5">
      <c r="A33" s="148" t="s">
        <v>324</v>
      </c>
      <c r="B33" s="149" t="s">
        <v>332</v>
      </c>
      <c r="C33" s="149">
        <v>107</v>
      </c>
      <c r="D33" s="149" t="s">
        <v>97</v>
      </c>
      <c r="E33" s="149" t="s">
        <v>98</v>
      </c>
      <c r="F33" s="149" t="s">
        <v>579</v>
      </c>
      <c r="G33" s="84"/>
      <c r="H33" s="149" t="s">
        <v>106</v>
      </c>
      <c r="I33" s="149" t="s">
        <v>48</v>
      </c>
      <c r="J33" s="149" t="s">
        <v>120</v>
      </c>
      <c r="K33" s="149" t="s">
        <v>121</v>
      </c>
      <c r="L33" s="149" t="s">
        <v>212</v>
      </c>
      <c r="M33" s="84"/>
      <c r="N33" s="84"/>
      <c r="O33" s="150">
        <v>46142</v>
      </c>
      <c r="P33" s="149" t="s">
        <v>580</v>
      </c>
      <c r="Q33" s="149">
        <v>27210290</v>
      </c>
      <c r="R33" s="150">
        <v>46142</v>
      </c>
      <c r="S33" s="149" t="s">
        <v>122</v>
      </c>
      <c r="T33" s="149">
        <v>445075</v>
      </c>
      <c r="U33" s="148" t="s">
        <v>47</v>
      </c>
      <c r="V33" s="149" t="s">
        <v>253</v>
      </c>
      <c r="W33" s="149" t="s">
        <v>0</v>
      </c>
      <c r="X33" s="148" t="s">
        <v>254</v>
      </c>
      <c r="Y33" s="84"/>
      <c r="Z33" s="84"/>
      <c r="AA33" s="149">
        <v>901643</v>
      </c>
      <c r="AB33" s="149">
        <v>1</v>
      </c>
      <c r="AC33" s="149">
        <v>901643</v>
      </c>
      <c r="AD33" s="149" t="s">
        <v>99</v>
      </c>
      <c r="AE33" s="84"/>
      <c r="AF33" s="149">
        <v>998599</v>
      </c>
      <c r="AG33" s="149" t="s">
        <v>466</v>
      </c>
      <c r="AH33" s="84"/>
      <c r="AI33" s="84"/>
      <c r="AJ33" s="149">
        <v>0</v>
      </c>
      <c r="AK33" s="149">
        <v>0</v>
      </c>
      <c r="AL33" s="149">
        <v>901643</v>
      </c>
      <c r="AM33" s="149" t="s">
        <v>368</v>
      </c>
      <c r="AN33" s="149">
        <v>18</v>
      </c>
      <c r="AO33" s="148">
        <v>0</v>
      </c>
      <c r="AP33" s="149">
        <v>0</v>
      </c>
      <c r="AQ33" s="149">
        <v>162295.74</v>
      </c>
      <c r="AR33" s="149">
        <v>0</v>
      </c>
      <c r="AS33" s="149">
        <v>0</v>
      </c>
      <c r="AT33" s="149">
        <v>0</v>
      </c>
      <c r="AU33" s="149">
        <v>0</v>
      </c>
      <c r="AV33" s="149">
        <v>0</v>
      </c>
      <c r="AW33" s="84"/>
      <c r="AX33" s="84"/>
      <c r="AY33" s="149">
        <v>0</v>
      </c>
      <c r="AZ33" s="149">
        <v>1063938.74</v>
      </c>
      <c r="BA33" s="149" t="s">
        <v>100</v>
      </c>
      <c r="BB33" s="149" t="s">
        <v>101</v>
      </c>
      <c r="BC33" s="149" t="s">
        <v>220</v>
      </c>
      <c r="BD33" s="149" t="s">
        <v>579</v>
      </c>
      <c r="BE33" s="149" t="s">
        <v>102</v>
      </c>
      <c r="BF33" s="149" t="s">
        <v>103</v>
      </c>
      <c r="BG33" s="84"/>
      <c r="BH33" s="84"/>
      <c r="BI33" s="149" t="s">
        <v>581</v>
      </c>
      <c r="BJ33" s="152">
        <v>46142.588888888888</v>
      </c>
      <c r="BK33" t="s">
        <v>285</v>
      </c>
    </row>
    <row r="34" spans="1:63" ht="14.5">
      <c r="A34" s="148" t="s">
        <v>324</v>
      </c>
      <c r="B34" s="149" t="s">
        <v>332</v>
      </c>
      <c r="C34" s="149">
        <v>107</v>
      </c>
      <c r="D34" s="149" t="s">
        <v>97</v>
      </c>
      <c r="E34" s="149" t="s">
        <v>98</v>
      </c>
      <c r="F34" s="149" t="s">
        <v>582</v>
      </c>
      <c r="G34" s="84"/>
      <c r="H34" s="149" t="s">
        <v>106</v>
      </c>
      <c r="I34" s="149" t="s">
        <v>48</v>
      </c>
      <c r="J34" s="149" t="s">
        <v>120</v>
      </c>
      <c r="K34" s="149" t="s">
        <v>121</v>
      </c>
      <c r="L34" s="149" t="s">
        <v>212</v>
      </c>
      <c r="M34" s="84"/>
      <c r="N34" s="84"/>
      <c r="O34" s="150">
        <v>46142</v>
      </c>
      <c r="P34" s="149" t="s">
        <v>583</v>
      </c>
      <c r="Q34" s="149">
        <v>27210238</v>
      </c>
      <c r="R34" s="150">
        <v>46142</v>
      </c>
      <c r="S34" s="149" t="s">
        <v>122</v>
      </c>
      <c r="T34" s="149">
        <v>445065</v>
      </c>
      <c r="U34" s="148" t="s">
        <v>47</v>
      </c>
      <c r="V34" s="149" t="s">
        <v>251</v>
      </c>
      <c r="W34" s="149" t="s">
        <v>0</v>
      </c>
      <c r="X34" s="148" t="s">
        <v>252</v>
      </c>
      <c r="Y34" s="84"/>
      <c r="Z34" s="84"/>
      <c r="AA34" s="149">
        <v>1151268</v>
      </c>
      <c r="AB34" s="149">
        <v>1</v>
      </c>
      <c r="AC34" s="149">
        <v>1151268</v>
      </c>
      <c r="AD34" s="149" t="s">
        <v>99</v>
      </c>
      <c r="AE34" s="84"/>
      <c r="AF34" s="149">
        <v>998599</v>
      </c>
      <c r="AG34" s="149" t="s">
        <v>466</v>
      </c>
      <c r="AH34" s="84"/>
      <c r="AI34" s="84"/>
      <c r="AJ34" s="149">
        <v>0</v>
      </c>
      <c r="AK34" s="149">
        <v>0</v>
      </c>
      <c r="AL34" s="149">
        <v>1151268</v>
      </c>
      <c r="AM34" s="149" t="s">
        <v>368</v>
      </c>
      <c r="AN34" s="149">
        <v>18</v>
      </c>
      <c r="AO34" s="148">
        <v>0</v>
      </c>
      <c r="AP34" s="149">
        <v>0</v>
      </c>
      <c r="AQ34" s="149">
        <v>207228.24</v>
      </c>
      <c r="AR34" s="149">
        <v>0</v>
      </c>
      <c r="AS34" s="149">
        <v>0</v>
      </c>
      <c r="AT34" s="149">
        <v>0</v>
      </c>
      <c r="AU34" s="149">
        <v>0</v>
      </c>
      <c r="AV34" s="149">
        <v>0</v>
      </c>
      <c r="AW34" s="84"/>
      <c r="AX34" s="84"/>
      <c r="AY34" s="149">
        <v>0</v>
      </c>
      <c r="AZ34" s="149">
        <v>1358496.24</v>
      </c>
      <c r="BA34" s="149" t="s">
        <v>100</v>
      </c>
      <c r="BB34" s="149" t="s">
        <v>101</v>
      </c>
      <c r="BC34" s="149" t="s">
        <v>220</v>
      </c>
      <c r="BD34" s="149" t="s">
        <v>582</v>
      </c>
      <c r="BE34" s="149" t="s">
        <v>102</v>
      </c>
      <c r="BF34" s="149" t="s">
        <v>103</v>
      </c>
      <c r="BG34" s="84"/>
      <c r="BH34" s="84"/>
      <c r="BI34" s="149" t="s">
        <v>584</v>
      </c>
      <c r="BJ34" s="152">
        <v>46142.665972222225</v>
      </c>
      <c r="BK34" t="s">
        <v>285</v>
      </c>
    </row>
    <row r="35" spans="1:63" ht="14.5">
      <c r="A35" s="148" t="s">
        <v>324</v>
      </c>
      <c r="B35" s="149" t="s">
        <v>332</v>
      </c>
      <c r="C35" s="149">
        <v>107</v>
      </c>
      <c r="D35" s="149" t="s">
        <v>97</v>
      </c>
      <c r="E35" s="149" t="s">
        <v>98</v>
      </c>
      <c r="F35" s="149" t="s">
        <v>585</v>
      </c>
      <c r="G35" s="84"/>
      <c r="H35" s="149" t="s">
        <v>106</v>
      </c>
      <c r="I35" s="149" t="s">
        <v>48</v>
      </c>
      <c r="J35" s="149" t="s">
        <v>120</v>
      </c>
      <c r="K35" s="149" t="s">
        <v>121</v>
      </c>
      <c r="L35" s="149" t="s">
        <v>212</v>
      </c>
      <c r="M35" s="84"/>
      <c r="N35" s="84"/>
      <c r="O35" s="150">
        <v>46141</v>
      </c>
      <c r="P35" s="149" t="s">
        <v>586</v>
      </c>
      <c r="Q35" s="149">
        <v>27208540</v>
      </c>
      <c r="R35" s="150">
        <v>46141</v>
      </c>
      <c r="S35" s="149" t="s">
        <v>122</v>
      </c>
      <c r="T35" s="149">
        <v>5137</v>
      </c>
      <c r="U35" s="148" t="s">
        <v>123</v>
      </c>
      <c r="V35" s="149" t="s">
        <v>124</v>
      </c>
      <c r="W35" s="149" t="s">
        <v>0</v>
      </c>
      <c r="X35" s="148" t="s">
        <v>108</v>
      </c>
      <c r="Y35" s="84"/>
      <c r="Z35" s="84"/>
      <c r="AA35" s="149">
        <v>192000</v>
      </c>
      <c r="AB35" s="149">
        <v>1</v>
      </c>
      <c r="AC35" s="149">
        <v>192000</v>
      </c>
      <c r="AD35" s="149" t="s">
        <v>99</v>
      </c>
      <c r="AE35" s="84"/>
      <c r="AF35" s="149">
        <v>997212</v>
      </c>
      <c r="AG35" s="149" t="s">
        <v>587</v>
      </c>
      <c r="AH35" s="84"/>
      <c r="AI35" s="84"/>
      <c r="AJ35" s="149">
        <v>0</v>
      </c>
      <c r="AK35" s="149">
        <v>0</v>
      </c>
      <c r="AL35" s="149">
        <v>192000</v>
      </c>
      <c r="AM35" s="149" t="s">
        <v>368</v>
      </c>
      <c r="AN35" s="149">
        <v>18</v>
      </c>
      <c r="AO35" s="148">
        <v>17280</v>
      </c>
      <c r="AP35" s="149">
        <v>17280</v>
      </c>
      <c r="AQ35" s="149">
        <v>0</v>
      </c>
      <c r="AR35" s="149">
        <v>0</v>
      </c>
      <c r="AS35" s="149">
        <v>0</v>
      </c>
      <c r="AT35" s="149">
        <v>0</v>
      </c>
      <c r="AU35" s="149">
        <v>0</v>
      </c>
      <c r="AV35" s="149">
        <v>0</v>
      </c>
      <c r="AW35" s="84"/>
      <c r="AX35" s="84"/>
      <c r="AY35" s="149">
        <v>0</v>
      </c>
      <c r="AZ35" s="149">
        <v>226560</v>
      </c>
      <c r="BA35" s="149" t="s">
        <v>100</v>
      </c>
      <c r="BB35" s="149" t="s">
        <v>101</v>
      </c>
      <c r="BC35" s="149" t="s">
        <v>125</v>
      </c>
      <c r="BD35" s="149" t="s">
        <v>585</v>
      </c>
      <c r="BE35" s="149" t="s">
        <v>105</v>
      </c>
      <c r="BF35" s="149" t="s">
        <v>103</v>
      </c>
      <c r="BG35" s="84"/>
      <c r="BH35" s="84"/>
      <c r="BI35" s="149" t="s">
        <v>588</v>
      </c>
      <c r="BJ35" s="152">
        <v>46141.659722222219</v>
      </c>
      <c r="BK35" t="s">
        <v>285</v>
      </c>
    </row>
    <row r="36" spans="1:63" ht="14.5">
      <c r="A36" s="148" t="s">
        <v>324</v>
      </c>
      <c r="B36" s="149" t="s">
        <v>332</v>
      </c>
      <c r="C36" s="149">
        <v>107</v>
      </c>
      <c r="D36" s="149" t="s">
        <v>97</v>
      </c>
      <c r="E36" s="149" t="s">
        <v>98</v>
      </c>
      <c r="F36" s="149" t="s">
        <v>589</v>
      </c>
      <c r="G36" s="84"/>
      <c r="H36" s="149" t="s">
        <v>106</v>
      </c>
      <c r="I36" s="149" t="s">
        <v>48</v>
      </c>
      <c r="J36" s="149" t="s">
        <v>120</v>
      </c>
      <c r="K36" s="149" t="s">
        <v>121</v>
      </c>
      <c r="L36" s="149" t="s">
        <v>212</v>
      </c>
      <c r="M36" s="84"/>
      <c r="N36" s="84"/>
      <c r="O36" s="150">
        <v>46142</v>
      </c>
      <c r="P36" s="149" t="s">
        <v>590</v>
      </c>
      <c r="Q36" s="149">
        <v>27210292</v>
      </c>
      <c r="R36" s="150">
        <v>46142</v>
      </c>
      <c r="S36" s="149" t="s">
        <v>122</v>
      </c>
      <c r="T36" s="149">
        <v>16432</v>
      </c>
      <c r="U36" s="148" t="s">
        <v>229</v>
      </c>
      <c r="V36" s="149" t="s">
        <v>230</v>
      </c>
      <c r="W36" s="149" t="s">
        <v>0</v>
      </c>
      <c r="X36" s="148" t="s">
        <v>231</v>
      </c>
      <c r="Y36" s="84"/>
      <c r="Z36" s="84"/>
      <c r="AA36" s="149">
        <v>10288672.9</v>
      </c>
      <c r="AB36" s="149">
        <v>1</v>
      </c>
      <c r="AC36" s="149">
        <v>10288672.9</v>
      </c>
      <c r="AD36" s="149" t="s">
        <v>99</v>
      </c>
      <c r="AE36" s="84"/>
      <c r="AF36" s="149">
        <v>998599</v>
      </c>
      <c r="AG36" s="149" t="s">
        <v>466</v>
      </c>
      <c r="AH36" s="84"/>
      <c r="AI36" s="84"/>
      <c r="AJ36" s="149">
        <v>0</v>
      </c>
      <c r="AK36" s="149">
        <v>0</v>
      </c>
      <c r="AL36" s="149">
        <v>10288672.9</v>
      </c>
      <c r="AM36" s="149" t="s">
        <v>368</v>
      </c>
      <c r="AN36" s="149">
        <v>18</v>
      </c>
      <c r="AO36" s="148">
        <v>0</v>
      </c>
      <c r="AP36" s="149">
        <v>0</v>
      </c>
      <c r="AQ36" s="149">
        <v>1851961.12</v>
      </c>
      <c r="AR36" s="149">
        <v>0</v>
      </c>
      <c r="AS36" s="149">
        <v>0</v>
      </c>
      <c r="AT36" s="149">
        <v>0</v>
      </c>
      <c r="AU36" s="149">
        <v>0</v>
      </c>
      <c r="AV36" s="149">
        <v>0</v>
      </c>
      <c r="AW36" s="84"/>
      <c r="AX36" s="84"/>
      <c r="AY36" s="149">
        <v>0</v>
      </c>
      <c r="AZ36" s="149">
        <v>12140634.02</v>
      </c>
      <c r="BA36" s="149" t="s">
        <v>100</v>
      </c>
      <c r="BB36" s="149" t="s">
        <v>101</v>
      </c>
      <c r="BC36" s="149" t="s">
        <v>220</v>
      </c>
      <c r="BD36" s="149" t="s">
        <v>589</v>
      </c>
      <c r="BE36" s="149" t="s">
        <v>102</v>
      </c>
      <c r="BF36" s="149" t="s">
        <v>103</v>
      </c>
      <c r="BG36" s="84"/>
      <c r="BH36" s="84"/>
      <c r="BI36" s="149" t="s">
        <v>591</v>
      </c>
      <c r="BJ36" s="152">
        <v>46142.593055555553</v>
      </c>
      <c r="BK36" t="s">
        <v>285</v>
      </c>
    </row>
    <row r="37" spans="1:63" ht="14.5">
      <c r="A37" s="148" t="s">
        <v>324</v>
      </c>
      <c r="B37" s="149" t="s">
        <v>332</v>
      </c>
      <c r="C37" s="149">
        <v>107</v>
      </c>
      <c r="D37" s="149" t="s">
        <v>97</v>
      </c>
      <c r="E37" s="149" t="s">
        <v>98</v>
      </c>
      <c r="F37" s="149" t="s">
        <v>592</v>
      </c>
      <c r="G37" s="84"/>
      <c r="H37" s="149" t="s">
        <v>106</v>
      </c>
      <c r="I37" s="149" t="s">
        <v>48</v>
      </c>
      <c r="J37" s="149" t="s">
        <v>120</v>
      </c>
      <c r="K37" s="149" t="s">
        <v>121</v>
      </c>
      <c r="L37" s="149" t="s">
        <v>212</v>
      </c>
      <c r="M37" s="84"/>
      <c r="N37" s="84"/>
      <c r="O37" s="150">
        <v>46142</v>
      </c>
      <c r="P37" s="149" t="s">
        <v>593</v>
      </c>
      <c r="Q37" s="149">
        <v>27210280</v>
      </c>
      <c r="R37" s="150">
        <v>46142</v>
      </c>
      <c r="S37" s="149" t="s">
        <v>122</v>
      </c>
      <c r="T37" s="149">
        <v>445070</v>
      </c>
      <c r="U37" s="148" t="s">
        <v>221</v>
      </c>
      <c r="V37" s="149" t="s">
        <v>255</v>
      </c>
      <c r="W37" s="149" t="s">
        <v>0</v>
      </c>
      <c r="X37" s="148" t="s">
        <v>256</v>
      </c>
      <c r="Y37" s="84"/>
      <c r="Z37" s="84"/>
      <c r="AA37" s="149">
        <v>641416</v>
      </c>
      <c r="AB37" s="149">
        <v>1</v>
      </c>
      <c r="AC37" s="149">
        <v>641416</v>
      </c>
      <c r="AD37" s="149" t="s">
        <v>99</v>
      </c>
      <c r="AE37" s="84"/>
      <c r="AF37" s="149">
        <v>998599</v>
      </c>
      <c r="AG37" s="149" t="s">
        <v>466</v>
      </c>
      <c r="AH37" s="84"/>
      <c r="AI37" s="84"/>
      <c r="AJ37" s="149">
        <v>0</v>
      </c>
      <c r="AK37" s="149">
        <v>0</v>
      </c>
      <c r="AL37" s="149">
        <v>641416</v>
      </c>
      <c r="AM37" s="149" t="s">
        <v>368</v>
      </c>
      <c r="AN37" s="149">
        <v>18</v>
      </c>
      <c r="AO37" s="148">
        <v>0</v>
      </c>
      <c r="AP37" s="149">
        <v>0</v>
      </c>
      <c r="AQ37" s="149">
        <v>115454.88</v>
      </c>
      <c r="AR37" s="149">
        <v>0</v>
      </c>
      <c r="AS37" s="149">
        <v>0</v>
      </c>
      <c r="AT37" s="149">
        <v>0</v>
      </c>
      <c r="AU37" s="149">
        <v>0</v>
      </c>
      <c r="AV37" s="149">
        <v>0</v>
      </c>
      <c r="AW37" s="84"/>
      <c r="AX37" s="84"/>
      <c r="AY37" s="149">
        <v>0</v>
      </c>
      <c r="AZ37" s="149">
        <v>756870.88</v>
      </c>
      <c r="BA37" s="149" t="s">
        <v>100</v>
      </c>
      <c r="BB37" s="149" t="s">
        <v>101</v>
      </c>
      <c r="BC37" s="149" t="s">
        <v>220</v>
      </c>
      <c r="BD37" s="149" t="s">
        <v>592</v>
      </c>
      <c r="BE37" s="149" t="s">
        <v>102</v>
      </c>
      <c r="BF37" s="149" t="s">
        <v>103</v>
      </c>
      <c r="BG37" s="84"/>
      <c r="BH37" s="84"/>
      <c r="BI37" s="149" t="s">
        <v>594</v>
      </c>
      <c r="BJ37" s="152">
        <v>46142.580555555556</v>
      </c>
      <c r="BK37" t="s">
        <v>285</v>
      </c>
    </row>
    <row r="38" spans="1:63" ht="14.5">
      <c r="A38" s="148" t="s">
        <v>324</v>
      </c>
      <c r="B38" s="149" t="s">
        <v>332</v>
      </c>
      <c r="C38" s="149">
        <v>107</v>
      </c>
      <c r="D38" s="149" t="s">
        <v>97</v>
      </c>
      <c r="E38" s="149" t="s">
        <v>98</v>
      </c>
      <c r="F38" s="149" t="s">
        <v>595</v>
      </c>
      <c r="G38" s="84"/>
      <c r="H38" s="149" t="s">
        <v>106</v>
      </c>
      <c r="I38" s="149" t="s">
        <v>48</v>
      </c>
      <c r="J38" s="149" t="s">
        <v>120</v>
      </c>
      <c r="K38" s="149" t="s">
        <v>121</v>
      </c>
      <c r="L38" s="149" t="s">
        <v>212</v>
      </c>
      <c r="M38" s="84"/>
      <c r="N38" s="84"/>
      <c r="O38" s="150">
        <v>46113</v>
      </c>
      <c r="P38" s="149" t="s">
        <v>596</v>
      </c>
      <c r="Q38" s="149">
        <v>27165332</v>
      </c>
      <c r="R38" s="150">
        <v>46113</v>
      </c>
      <c r="S38" s="149" t="s">
        <v>122</v>
      </c>
      <c r="T38" s="149">
        <v>445069</v>
      </c>
      <c r="U38" s="148" t="s">
        <v>221</v>
      </c>
      <c r="V38" s="149" t="s">
        <v>235</v>
      </c>
      <c r="W38" s="149" t="s">
        <v>0</v>
      </c>
      <c r="X38" s="148" t="s">
        <v>236</v>
      </c>
      <c r="Y38" s="84"/>
      <c r="Z38" s="84"/>
      <c r="AA38" s="149">
        <v>57185.63</v>
      </c>
      <c r="AB38" s="149">
        <v>1</v>
      </c>
      <c r="AC38" s="149">
        <v>57185.63</v>
      </c>
      <c r="AD38" s="149" t="s">
        <v>99</v>
      </c>
      <c r="AE38" s="84"/>
      <c r="AF38" s="149">
        <v>84713010</v>
      </c>
      <c r="AG38" s="149" t="s">
        <v>513</v>
      </c>
      <c r="AH38" s="84"/>
      <c r="AI38" s="84"/>
      <c r="AJ38" s="149">
        <v>0</v>
      </c>
      <c r="AK38" s="149">
        <v>0</v>
      </c>
      <c r="AL38" s="149">
        <v>57185.63</v>
      </c>
      <c r="AM38" s="149" t="s">
        <v>368</v>
      </c>
      <c r="AN38" s="149">
        <v>18</v>
      </c>
      <c r="AO38" s="148">
        <v>0</v>
      </c>
      <c r="AP38" s="149">
        <v>0</v>
      </c>
      <c r="AQ38" s="149">
        <v>10293.41</v>
      </c>
      <c r="AR38" s="149">
        <v>0</v>
      </c>
      <c r="AS38" s="149">
        <v>0</v>
      </c>
      <c r="AT38" s="149">
        <v>0</v>
      </c>
      <c r="AU38" s="149">
        <v>0</v>
      </c>
      <c r="AV38" s="149">
        <v>0</v>
      </c>
      <c r="AW38" s="84"/>
      <c r="AX38" s="84"/>
      <c r="AY38" s="149">
        <v>0</v>
      </c>
      <c r="AZ38" s="149">
        <v>67479.039999999994</v>
      </c>
      <c r="BA38" s="149" t="s">
        <v>100</v>
      </c>
      <c r="BB38" s="149" t="s">
        <v>101</v>
      </c>
      <c r="BC38" s="149" t="s">
        <v>514</v>
      </c>
      <c r="BD38" s="149" t="s">
        <v>595</v>
      </c>
      <c r="BE38" s="149" t="s">
        <v>102</v>
      </c>
      <c r="BF38" s="149" t="s">
        <v>387</v>
      </c>
      <c r="BG38" s="84"/>
      <c r="BH38" s="84"/>
      <c r="BI38" s="149" t="s">
        <v>597</v>
      </c>
      <c r="BJ38" s="152">
        <v>46113.534722222219</v>
      </c>
      <c r="BK38" t="s">
        <v>285</v>
      </c>
    </row>
    <row r="39" spans="1:63" ht="14.5">
      <c r="A39" s="148" t="s">
        <v>324</v>
      </c>
      <c r="B39" s="149" t="s">
        <v>332</v>
      </c>
      <c r="C39" s="149">
        <v>107</v>
      </c>
      <c r="D39" s="149" t="s">
        <v>97</v>
      </c>
      <c r="E39" s="149" t="s">
        <v>98</v>
      </c>
      <c r="F39" s="149" t="s">
        <v>598</v>
      </c>
      <c r="G39" s="84"/>
      <c r="H39" s="149" t="s">
        <v>106</v>
      </c>
      <c r="I39" s="149" t="s">
        <v>48</v>
      </c>
      <c r="J39" s="149" t="s">
        <v>120</v>
      </c>
      <c r="K39" s="149" t="s">
        <v>121</v>
      </c>
      <c r="L39" s="149" t="s">
        <v>212</v>
      </c>
      <c r="M39" s="84"/>
      <c r="N39" s="84"/>
      <c r="O39" s="150">
        <v>46141</v>
      </c>
      <c r="P39" s="149" t="s">
        <v>599</v>
      </c>
      <c r="Q39" s="149">
        <v>27208499</v>
      </c>
      <c r="R39" s="150">
        <v>46141</v>
      </c>
      <c r="S39" s="149" t="s">
        <v>122</v>
      </c>
      <c r="T39" s="149">
        <v>5097</v>
      </c>
      <c r="U39" s="148" t="s">
        <v>134</v>
      </c>
      <c r="V39" s="149" t="s">
        <v>135</v>
      </c>
      <c r="W39" s="149" t="s">
        <v>0</v>
      </c>
      <c r="X39" s="148" t="s">
        <v>107</v>
      </c>
      <c r="Y39" s="84"/>
      <c r="Z39" s="84"/>
      <c r="AA39" s="149">
        <v>15000</v>
      </c>
      <c r="AB39" s="149">
        <v>1</v>
      </c>
      <c r="AC39" s="149">
        <v>15000</v>
      </c>
      <c r="AD39" s="149" t="s">
        <v>99</v>
      </c>
      <c r="AE39" s="84"/>
      <c r="AF39" s="149">
        <v>997212</v>
      </c>
      <c r="AG39" s="149" t="s">
        <v>600</v>
      </c>
      <c r="AH39" s="84"/>
      <c r="AI39" s="84"/>
      <c r="AJ39" s="149">
        <v>0</v>
      </c>
      <c r="AK39" s="149">
        <v>0</v>
      </c>
      <c r="AL39" s="149">
        <v>15000</v>
      </c>
      <c r="AM39" s="149" t="s">
        <v>368</v>
      </c>
      <c r="AN39" s="149">
        <v>18</v>
      </c>
      <c r="AO39" s="148">
        <v>1350</v>
      </c>
      <c r="AP39" s="149">
        <v>1350</v>
      </c>
      <c r="AQ39" s="149">
        <v>0</v>
      </c>
      <c r="AR39" s="149">
        <v>0</v>
      </c>
      <c r="AS39" s="149">
        <v>0</v>
      </c>
      <c r="AT39" s="149">
        <v>0</v>
      </c>
      <c r="AU39" s="149">
        <v>0</v>
      </c>
      <c r="AV39" s="149">
        <v>0</v>
      </c>
      <c r="AW39" s="84"/>
      <c r="AX39" s="84"/>
      <c r="AY39" s="149">
        <v>0</v>
      </c>
      <c r="AZ39" s="149">
        <v>17700</v>
      </c>
      <c r="BA39" s="149" t="s">
        <v>100</v>
      </c>
      <c r="BB39" s="149" t="s">
        <v>101</v>
      </c>
      <c r="BC39" s="149" t="s">
        <v>125</v>
      </c>
      <c r="BD39" s="149" t="s">
        <v>598</v>
      </c>
      <c r="BE39" s="149" t="s">
        <v>105</v>
      </c>
      <c r="BF39" s="149" t="s">
        <v>103</v>
      </c>
      <c r="BG39" s="84"/>
      <c r="BH39" s="84"/>
      <c r="BI39" s="149" t="s">
        <v>601</v>
      </c>
      <c r="BJ39" s="152">
        <v>46141.651388888888</v>
      </c>
      <c r="BK39" t="s">
        <v>285</v>
      </c>
    </row>
    <row r="40" spans="1:63" ht="14.5">
      <c r="A40" s="148" t="s">
        <v>324</v>
      </c>
      <c r="B40" s="149" t="s">
        <v>332</v>
      </c>
      <c r="C40" s="149">
        <v>107</v>
      </c>
      <c r="D40" s="149" t="s">
        <v>97</v>
      </c>
      <c r="E40" s="149" t="s">
        <v>98</v>
      </c>
      <c r="F40" s="149" t="s">
        <v>602</v>
      </c>
      <c r="G40" s="84"/>
      <c r="H40" s="149" t="s">
        <v>106</v>
      </c>
      <c r="I40" s="149" t="s">
        <v>48</v>
      </c>
      <c r="J40" s="149" t="s">
        <v>120</v>
      </c>
      <c r="K40" s="149" t="s">
        <v>121</v>
      </c>
      <c r="L40" s="149" t="s">
        <v>212</v>
      </c>
      <c r="M40" s="84"/>
      <c r="N40" s="84"/>
      <c r="O40" s="150">
        <v>46142</v>
      </c>
      <c r="P40" s="149" t="s">
        <v>603</v>
      </c>
      <c r="Q40" s="149">
        <v>27210279</v>
      </c>
      <c r="R40" s="150">
        <v>46142</v>
      </c>
      <c r="S40" s="149" t="s">
        <v>122</v>
      </c>
      <c r="T40" s="149">
        <v>2891</v>
      </c>
      <c r="U40" s="148" t="s">
        <v>214</v>
      </c>
      <c r="V40" s="149" t="s">
        <v>215</v>
      </c>
      <c r="W40" s="149" t="s">
        <v>0</v>
      </c>
      <c r="X40" s="148" t="s">
        <v>216</v>
      </c>
      <c r="Y40" s="84"/>
      <c r="Z40" s="84"/>
      <c r="AA40" s="149">
        <v>7657508</v>
      </c>
      <c r="AB40" s="149">
        <v>1</v>
      </c>
      <c r="AC40" s="149">
        <v>7657508</v>
      </c>
      <c r="AD40" s="149" t="s">
        <v>99</v>
      </c>
      <c r="AE40" s="84"/>
      <c r="AF40" s="149">
        <v>998599</v>
      </c>
      <c r="AG40" s="149" t="s">
        <v>466</v>
      </c>
      <c r="AH40" s="84"/>
      <c r="AI40" s="84"/>
      <c r="AJ40" s="149">
        <v>0</v>
      </c>
      <c r="AK40" s="149">
        <v>0</v>
      </c>
      <c r="AL40" s="149">
        <v>7657508</v>
      </c>
      <c r="AM40" s="149" t="s">
        <v>368</v>
      </c>
      <c r="AN40" s="149">
        <v>18</v>
      </c>
      <c r="AO40" s="148">
        <v>0</v>
      </c>
      <c r="AP40" s="149">
        <v>0</v>
      </c>
      <c r="AQ40" s="149">
        <v>1378351.44</v>
      </c>
      <c r="AR40" s="149">
        <v>0</v>
      </c>
      <c r="AS40" s="149">
        <v>0</v>
      </c>
      <c r="AT40" s="149">
        <v>0</v>
      </c>
      <c r="AU40" s="149">
        <v>0</v>
      </c>
      <c r="AV40" s="149">
        <v>0</v>
      </c>
      <c r="AW40" s="84"/>
      <c r="AX40" s="84"/>
      <c r="AY40" s="149">
        <v>0</v>
      </c>
      <c r="AZ40" s="149">
        <v>9035859.4399999995</v>
      </c>
      <c r="BA40" s="149" t="s">
        <v>100</v>
      </c>
      <c r="BB40" s="149" t="s">
        <v>101</v>
      </c>
      <c r="BC40" s="149" t="s">
        <v>220</v>
      </c>
      <c r="BD40" s="149" t="s">
        <v>602</v>
      </c>
      <c r="BE40" s="149" t="s">
        <v>102</v>
      </c>
      <c r="BF40" s="149" t="s">
        <v>103</v>
      </c>
      <c r="BG40" s="84"/>
      <c r="BH40" s="84"/>
      <c r="BI40" s="158" t="s">
        <v>604</v>
      </c>
      <c r="BJ40" s="152">
        <v>46142.576388888891</v>
      </c>
      <c r="BK40" t="s">
        <v>285</v>
      </c>
    </row>
    <row r="41" spans="1:63" ht="14.5">
      <c r="A41" s="148" t="s">
        <v>324</v>
      </c>
      <c r="B41" s="149" t="s">
        <v>332</v>
      </c>
      <c r="C41" s="149">
        <v>107</v>
      </c>
      <c r="D41" s="149" t="s">
        <v>97</v>
      </c>
      <c r="E41" s="149" t="s">
        <v>98</v>
      </c>
      <c r="F41" s="149" t="s">
        <v>605</v>
      </c>
      <c r="G41" s="84"/>
      <c r="H41" s="149" t="s">
        <v>106</v>
      </c>
      <c r="I41" s="149" t="s">
        <v>48</v>
      </c>
      <c r="J41" s="149" t="s">
        <v>120</v>
      </c>
      <c r="K41" s="149" t="s">
        <v>121</v>
      </c>
      <c r="L41" s="149" t="s">
        <v>212</v>
      </c>
      <c r="M41" s="84"/>
      <c r="N41" s="84"/>
      <c r="O41" s="150">
        <v>46142</v>
      </c>
      <c r="P41" s="149" t="s">
        <v>606</v>
      </c>
      <c r="Q41" s="149">
        <v>27210243</v>
      </c>
      <c r="R41" s="150">
        <v>46142</v>
      </c>
      <c r="S41" s="149" t="s">
        <v>122</v>
      </c>
      <c r="T41" s="149">
        <v>679080</v>
      </c>
      <c r="U41" s="148" t="s">
        <v>221</v>
      </c>
      <c r="V41" s="149" t="s">
        <v>237</v>
      </c>
      <c r="W41" s="149" t="s">
        <v>0</v>
      </c>
      <c r="X41" s="148" t="s">
        <v>238</v>
      </c>
      <c r="Y41" s="84"/>
      <c r="Z41" s="84"/>
      <c r="AA41" s="149">
        <v>15454</v>
      </c>
      <c r="AB41" s="149">
        <v>1</v>
      </c>
      <c r="AC41" s="149">
        <v>15454</v>
      </c>
      <c r="AD41" s="149" t="s">
        <v>99</v>
      </c>
      <c r="AE41" s="84"/>
      <c r="AF41" s="149">
        <v>998599</v>
      </c>
      <c r="AG41" s="149" t="s">
        <v>466</v>
      </c>
      <c r="AH41" s="84"/>
      <c r="AI41" s="84"/>
      <c r="AJ41" s="149">
        <v>0</v>
      </c>
      <c r="AK41" s="149">
        <v>0</v>
      </c>
      <c r="AL41" s="149">
        <v>15454</v>
      </c>
      <c r="AM41" s="149" t="s">
        <v>368</v>
      </c>
      <c r="AN41" s="149">
        <v>18</v>
      </c>
      <c r="AO41" s="148">
        <v>0</v>
      </c>
      <c r="AP41" s="149">
        <v>0</v>
      </c>
      <c r="AQ41" s="149">
        <v>2781.72</v>
      </c>
      <c r="AR41" s="149">
        <v>0</v>
      </c>
      <c r="AS41" s="149">
        <v>0</v>
      </c>
      <c r="AT41" s="149">
        <v>0</v>
      </c>
      <c r="AU41" s="149">
        <v>0</v>
      </c>
      <c r="AV41" s="149">
        <v>0</v>
      </c>
      <c r="AW41" s="84"/>
      <c r="AX41" s="84"/>
      <c r="AY41" s="149">
        <v>0</v>
      </c>
      <c r="AZ41" s="149">
        <v>18235.72</v>
      </c>
      <c r="BA41" s="149" t="s">
        <v>100</v>
      </c>
      <c r="BB41" s="149" t="s">
        <v>101</v>
      </c>
      <c r="BC41" s="149" t="s">
        <v>220</v>
      </c>
      <c r="BD41" s="149" t="s">
        <v>605</v>
      </c>
      <c r="BE41" s="149" t="s">
        <v>102</v>
      </c>
      <c r="BF41" s="149" t="s">
        <v>103</v>
      </c>
      <c r="BG41" s="84"/>
      <c r="BH41" s="84"/>
      <c r="BI41" s="149" t="s">
        <v>607</v>
      </c>
      <c r="BJ41" s="152">
        <v>46142.551388888889</v>
      </c>
      <c r="BK41" t="s">
        <v>285</v>
      </c>
    </row>
    <row r="42" spans="1:63" ht="14.5">
      <c r="A42" s="148" t="s">
        <v>316</v>
      </c>
      <c r="B42" s="149" t="s">
        <v>331</v>
      </c>
      <c r="C42" s="149">
        <v>107</v>
      </c>
      <c r="D42" s="149" t="s">
        <v>97</v>
      </c>
      <c r="E42" s="149" t="s">
        <v>98</v>
      </c>
      <c r="F42" s="149" t="s">
        <v>608</v>
      </c>
      <c r="G42" s="84"/>
      <c r="H42" s="149" t="s">
        <v>106</v>
      </c>
      <c r="I42" s="149" t="s">
        <v>48</v>
      </c>
      <c r="J42" s="149" t="s">
        <v>317</v>
      </c>
      <c r="K42" s="149" t="s">
        <v>333</v>
      </c>
      <c r="L42" s="149" t="s">
        <v>318</v>
      </c>
      <c r="M42" s="149" t="s">
        <v>319</v>
      </c>
      <c r="N42" s="149" t="s">
        <v>334</v>
      </c>
      <c r="O42" s="150">
        <v>46142</v>
      </c>
      <c r="P42" s="149" t="s">
        <v>609</v>
      </c>
      <c r="Q42" s="149">
        <v>108636040</v>
      </c>
      <c r="R42" s="150">
        <v>46142</v>
      </c>
      <c r="S42" s="149" t="s">
        <v>325</v>
      </c>
      <c r="T42" s="149">
        <v>2894</v>
      </c>
      <c r="U42" s="148" t="s">
        <v>326</v>
      </c>
      <c r="V42" s="149" t="s">
        <v>327</v>
      </c>
      <c r="W42" s="84"/>
      <c r="X42" s="148" t="s">
        <v>328</v>
      </c>
      <c r="Y42" s="84"/>
      <c r="Z42" s="84"/>
      <c r="AA42" s="149">
        <v>0</v>
      </c>
      <c r="AB42" s="149">
        <v>0</v>
      </c>
      <c r="AC42" s="149">
        <v>19283523</v>
      </c>
      <c r="AD42" s="149" t="s">
        <v>99</v>
      </c>
      <c r="AE42" s="149" t="s">
        <v>329</v>
      </c>
      <c r="AF42" s="149">
        <v>998346</v>
      </c>
      <c r="AG42" s="149" t="s">
        <v>329</v>
      </c>
      <c r="AH42" s="84"/>
      <c r="AI42" s="84"/>
      <c r="AJ42" s="149">
        <v>0</v>
      </c>
      <c r="AK42" s="149">
        <v>0</v>
      </c>
      <c r="AL42" s="149">
        <v>19283523</v>
      </c>
      <c r="AM42" s="149" t="s">
        <v>368</v>
      </c>
      <c r="AN42" s="149">
        <v>18</v>
      </c>
      <c r="AO42" s="148">
        <v>1735517.07</v>
      </c>
      <c r="AP42" s="149">
        <v>1735517.07</v>
      </c>
      <c r="AQ42" s="149">
        <v>0</v>
      </c>
      <c r="AR42" s="149">
        <v>0</v>
      </c>
      <c r="AS42" s="149">
        <v>0</v>
      </c>
      <c r="AT42" s="149">
        <v>0</v>
      </c>
      <c r="AU42" s="149">
        <v>0</v>
      </c>
      <c r="AV42" s="149">
        <v>0</v>
      </c>
      <c r="AW42" s="84"/>
      <c r="AX42" s="84"/>
      <c r="AY42" s="149">
        <v>0</v>
      </c>
      <c r="AZ42" s="149">
        <v>22754557.140000001</v>
      </c>
      <c r="BA42" s="149" t="s">
        <v>100</v>
      </c>
      <c r="BB42" s="149" t="s">
        <v>101</v>
      </c>
      <c r="BC42" s="149" t="s">
        <v>330</v>
      </c>
      <c r="BD42" s="84"/>
      <c r="BE42" s="84"/>
      <c r="BF42" s="84"/>
      <c r="BG42" s="84"/>
      <c r="BH42" s="84"/>
      <c r="BI42" s="149" t="s">
        <v>610</v>
      </c>
      <c r="BJ42" s="152">
        <v>46142.899305555555</v>
      </c>
      <c r="BK42" t="s">
        <v>285</v>
      </c>
    </row>
    <row r="43" spans="1:63" ht="14.5">
      <c r="A43" s="148" t="s">
        <v>324</v>
      </c>
      <c r="B43" s="149" t="s">
        <v>332</v>
      </c>
      <c r="C43" s="149">
        <v>107</v>
      </c>
      <c r="D43" s="149" t="s">
        <v>97</v>
      </c>
      <c r="E43" s="149" t="s">
        <v>98</v>
      </c>
      <c r="F43" s="149" t="s">
        <v>611</v>
      </c>
      <c r="G43" s="84"/>
      <c r="H43" s="149" t="s">
        <v>106</v>
      </c>
      <c r="I43" s="149" t="s">
        <v>48</v>
      </c>
      <c r="J43" s="149" t="s">
        <v>120</v>
      </c>
      <c r="K43" s="149" t="s">
        <v>121</v>
      </c>
      <c r="L43" s="149" t="s">
        <v>212</v>
      </c>
      <c r="M43" s="84"/>
      <c r="N43" s="84"/>
      <c r="O43" s="150">
        <v>46133</v>
      </c>
      <c r="P43" s="149" t="s">
        <v>612</v>
      </c>
      <c r="Q43" s="149">
        <v>27199220</v>
      </c>
      <c r="R43" s="150">
        <v>46133</v>
      </c>
      <c r="S43" s="149" t="s">
        <v>122</v>
      </c>
      <c r="T43" s="149">
        <v>1242122</v>
      </c>
      <c r="U43" s="148" t="s">
        <v>340</v>
      </c>
      <c r="V43" s="149" t="s">
        <v>341</v>
      </c>
      <c r="W43" s="149" t="s">
        <v>0</v>
      </c>
      <c r="X43" s="148" t="s">
        <v>335</v>
      </c>
      <c r="Y43" s="84"/>
      <c r="Z43" s="84"/>
      <c r="AA43" s="149">
        <v>209913</v>
      </c>
      <c r="AB43" s="149">
        <v>1</v>
      </c>
      <c r="AC43" s="149">
        <v>209913</v>
      </c>
      <c r="AD43" s="149" t="s">
        <v>99</v>
      </c>
      <c r="AE43" s="84"/>
      <c r="AF43" s="149">
        <v>999792</v>
      </c>
      <c r="AG43" s="149" t="s">
        <v>613</v>
      </c>
      <c r="AH43" s="84"/>
      <c r="AI43" s="84"/>
      <c r="AJ43" s="149">
        <v>0</v>
      </c>
      <c r="AK43" s="149">
        <v>0</v>
      </c>
      <c r="AL43" s="149">
        <v>209913</v>
      </c>
      <c r="AM43" s="149" t="s">
        <v>368</v>
      </c>
      <c r="AN43" s="149">
        <v>18</v>
      </c>
      <c r="AO43" s="148">
        <v>0</v>
      </c>
      <c r="AP43" s="149">
        <v>0</v>
      </c>
      <c r="AQ43" s="149">
        <v>37784.339999999997</v>
      </c>
      <c r="AR43" s="149">
        <v>0</v>
      </c>
      <c r="AS43" s="149">
        <v>0</v>
      </c>
      <c r="AT43" s="149">
        <v>0</v>
      </c>
      <c r="AU43" s="149">
        <v>0</v>
      </c>
      <c r="AV43" s="149">
        <v>0</v>
      </c>
      <c r="AW43" s="84"/>
      <c r="AX43" s="84"/>
      <c r="AY43" s="149">
        <v>0</v>
      </c>
      <c r="AZ43" s="149">
        <v>247697.34</v>
      </c>
      <c r="BA43" s="149" t="s">
        <v>100</v>
      </c>
      <c r="BB43" s="149" t="s">
        <v>101</v>
      </c>
      <c r="BC43" s="149" t="s">
        <v>291</v>
      </c>
      <c r="BD43" s="149" t="s">
        <v>611</v>
      </c>
      <c r="BE43" s="149" t="s">
        <v>102</v>
      </c>
      <c r="BF43" s="149" t="s">
        <v>103</v>
      </c>
      <c r="BG43" s="84"/>
      <c r="BH43" s="84"/>
      <c r="BI43" s="149" t="s">
        <v>614</v>
      </c>
      <c r="BJ43" s="152">
        <v>46133.801388888889</v>
      </c>
      <c r="BK43" t="s">
        <v>285</v>
      </c>
    </row>
    <row r="44" spans="1:63" ht="14.5">
      <c r="A44" s="148" t="s">
        <v>324</v>
      </c>
      <c r="B44" s="149" t="s">
        <v>332</v>
      </c>
      <c r="C44" s="149">
        <v>107</v>
      </c>
      <c r="D44" s="149" t="s">
        <v>97</v>
      </c>
      <c r="E44" s="149" t="s">
        <v>98</v>
      </c>
      <c r="F44" s="149" t="s">
        <v>615</v>
      </c>
      <c r="G44" s="84"/>
      <c r="H44" s="149" t="s">
        <v>106</v>
      </c>
      <c r="I44" s="149" t="s">
        <v>48</v>
      </c>
      <c r="J44" s="149" t="s">
        <v>120</v>
      </c>
      <c r="K44" s="149" t="s">
        <v>121</v>
      </c>
      <c r="L44" s="149" t="s">
        <v>212</v>
      </c>
      <c r="M44" s="84"/>
      <c r="N44" s="84"/>
      <c r="O44" s="150">
        <v>46141</v>
      </c>
      <c r="P44" s="149" t="s">
        <v>616</v>
      </c>
      <c r="Q44" s="149">
        <v>27208814</v>
      </c>
      <c r="R44" s="150">
        <v>46141</v>
      </c>
      <c r="S44" s="149" t="s">
        <v>122</v>
      </c>
      <c r="T44" s="149">
        <v>1242122</v>
      </c>
      <c r="U44" s="148" t="s">
        <v>340</v>
      </c>
      <c r="V44" s="149" t="s">
        <v>341</v>
      </c>
      <c r="W44" s="149" t="s">
        <v>0</v>
      </c>
      <c r="X44" s="148" t="s">
        <v>335</v>
      </c>
      <c r="Y44" s="84"/>
      <c r="Z44" s="84"/>
      <c r="AA44" s="149">
        <v>13537544</v>
      </c>
      <c r="AB44" s="149">
        <v>1</v>
      </c>
      <c r="AC44" s="149">
        <v>13537544</v>
      </c>
      <c r="AD44" s="149" t="s">
        <v>99</v>
      </c>
      <c r="AE44" s="84"/>
      <c r="AF44" s="149">
        <v>999792</v>
      </c>
      <c r="AG44" s="149" t="s">
        <v>617</v>
      </c>
      <c r="AH44" s="84"/>
      <c r="AI44" s="84"/>
      <c r="AJ44" s="149">
        <v>0</v>
      </c>
      <c r="AK44" s="149">
        <v>0</v>
      </c>
      <c r="AL44" s="149">
        <v>13537544</v>
      </c>
      <c r="AM44" s="149" t="s">
        <v>368</v>
      </c>
      <c r="AN44" s="149">
        <v>18</v>
      </c>
      <c r="AO44" s="148">
        <v>0</v>
      </c>
      <c r="AP44" s="149">
        <v>0</v>
      </c>
      <c r="AQ44" s="149">
        <v>2436757.92</v>
      </c>
      <c r="AR44" s="149">
        <v>0</v>
      </c>
      <c r="AS44" s="149">
        <v>0</v>
      </c>
      <c r="AT44" s="149">
        <v>0</v>
      </c>
      <c r="AU44" s="149">
        <v>0</v>
      </c>
      <c r="AV44" s="149">
        <v>0</v>
      </c>
      <c r="AW44" s="84"/>
      <c r="AX44" s="84"/>
      <c r="AY44" s="149">
        <v>0</v>
      </c>
      <c r="AZ44" s="149">
        <v>15974301.92</v>
      </c>
      <c r="BA44" s="149" t="s">
        <v>100</v>
      </c>
      <c r="BB44" s="149" t="s">
        <v>101</v>
      </c>
      <c r="BC44" s="149" t="s">
        <v>291</v>
      </c>
      <c r="BD44" s="149" t="s">
        <v>615</v>
      </c>
      <c r="BE44" s="149" t="s">
        <v>102</v>
      </c>
      <c r="BF44" s="149" t="s">
        <v>103</v>
      </c>
      <c r="BG44" s="84"/>
      <c r="BH44" s="84"/>
      <c r="BI44" s="149" t="s">
        <v>618</v>
      </c>
      <c r="BJ44" s="152">
        <v>46147.509722222225</v>
      </c>
      <c r="BK44" t="s">
        <v>285</v>
      </c>
    </row>
    <row r="45" spans="1:63" ht="14.5">
      <c r="A45" s="148" t="s">
        <v>324</v>
      </c>
      <c r="B45" s="149" t="s">
        <v>332</v>
      </c>
      <c r="C45" s="149">
        <v>107</v>
      </c>
      <c r="D45" s="149" t="s">
        <v>97</v>
      </c>
      <c r="E45" s="149" t="s">
        <v>98</v>
      </c>
      <c r="F45" s="149" t="s">
        <v>619</v>
      </c>
      <c r="G45" s="84"/>
      <c r="H45" s="149" t="s">
        <v>106</v>
      </c>
      <c r="I45" s="149" t="s">
        <v>48</v>
      </c>
      <c r="J45" s="149" t="s">
        <v>120</v>
      </c>
      <c r="K45" s="149" t="s">
        <v>121</v>
      </c>
      <c r="L45" s="149" t="s">
        <v>212</v>
      </c>
      <c r="M45" s="84"/>
      <c r="N45" s="84"/>
      <c r="O45" s="150">
        <v>46142</v>
      </c>
      <c r="P45" s="149" t="s">
        <v>620</v>
      </c>
      <c r="Q45" s="149">
        <v>27210253</v>
      </c>
      <c r="R45" s="150">
        <v>46142</v>
      </c>
      <c r="S45" s="149" t="s">
        <v>122</v>
      </c>
      <c r="T45" s="149">
        <v>2886</v>
      </c>
      <c r="U45" s="148" t="s">
        <v>217</v>
      </c>
      <c r="V45" s="149" t="s">
        <v>218</v>
      </c>
      <c r="W45" s="149" t="s">
        <v>0</v>
      </c>
      <c r="X45" s="148" t="s">
        <v>219</v>
      </c>
      <c r="Y45" s="84"/>
      <c r="Z45" s="84"/>
      <c r="AA45" s="149">
        <v>1933792</v>
      </c>
      <c r="AB45" s="149">
        <v>1</v>
      </c>
      <c r="AC45" s="149">
        <v>1933792</v>
      </c>
      <c r="AD45" s="149" t="s">
        <v>99</v>
      </c>
      <c r="AE45" s="84"/>
      <c r="AF45" s="149">
        <v>998599</v>
      </c>
      <c r="AG45" s="149" t="s">
        <v>466</v>
      </c>
      <c r="AH45" s="84"/>
      <c r="AI45" s="84"/>
      <c r="AJ45" s="149">
        <v>0</v>
      </c>
      <c r="AK45" s="149">
        <v>0</v>
      </c>
      <c r="AL45" s="149">
        <v>1933792</v>
      </c>
      <c r="AM45" s="149" t="s">
        <v>368</v>
      </c>
      <c r="AN45" s="149">
        <v>18</v>
      </c>
      <c r="AO45" s="148">
        <v>0</v>
      </c>
      <c r="AP45" s="149">
        <v>0</v>
      </c>
      <c r="AQ45" s="149">
        <v>348082.56</v>
      </c>
      <c r="AR45" s="149">
        <v>0</v>
      </c>
      <c r="AS45" s="149">
        <v>0</v>
      </c>
      <c r="AT45" s="149">
        <v>0</v>
      </c>
      <c r="AU45" s="149">
        <v>0</v>
      </c>
      <c r="AV45" s="149">
        <v>0</v>
      </c>
      <c r="AW45" s="84"/>
      <c r="AX45" s="84"/>
      <c r="AY45" s="149">
        <v>0</v>
      </c>
      <c r="AZ45" s="149">
        <v>2281874.56</v>
      </c>
      <c r="BA45" s="149" t="s">
        <v>100</v>
      </c>
      <c r="BB45" s="149" t="s">
        <v>101</v>
      </c>
      <c r="BC45" s="149" t="s">
        <v>220</v>
      </c>
      <c r="BD45" s="149" t="s">
        <v>619</v>
      </c>
      <c r="BE45" s="149" t="s">
        <v>102</v>
      </c>
      <c r="BF45" s="149" t="s">
        <v>103</v>
      </c>
      <c r="BG45" s="84"/>
      <c r="BH45" s="84"/>
      <c r="BI45" s="149" t="s">
        <v>621</v>
      </c>
      <c r="BJ45" s="152">
        <v>46142.555555555555</v>
      </c>
      <c r="BK45" t="s">
        <v>285</v>
      </c>
    </row>
    <row r="46" spans="1:63" ht="14.5">
      <c r="A46" s="148" t="s">
        <v>324</v>
      </c>
      <c r="B46" s="149" t="s">
        <v>332</v>
      </c>
      <c r="C46" s="149">
        <v>107</v>
      </c>
      <c r="D46" s="149" t="s">
        <v>97</v>
      </c>
      <c r="E46" s="149" t="s">
        <v>98</v>
      </c>
      <c r="F46" s="149" t="s">
        <v>622</v>
      </c>
      <c r="G46" s="84"/>
      <c r="H46" s="149" t="s">
        <v>106</v>
      </c>
      <c r="I46" s="149" t="s">
        <v>48</v>
      </c>
      <c r="J46" s="149" t="s">
        <v>120</v>
      </c>
      <c r="K46" s="149" t="s">
        <v>121</v>
      </c>
      <c r="L46" s="149" t="s">
        <v>212</v>
      </c>
      <c r="M46" s="84"/>
      <c r="N46" s="84"/>
      <c r="O46" s="150">
        <v>46142</v>
      </c>
      <c r="P46" s="149" t="s">
        <v>623</v>
      </c>
      <c r="Q46" s="149">
        <v>27210293</v>
      </c>
      <c r="R46" s="150">
        <v>46142</v>
      </c>
      <c r="S46" s="149" t="s">
        <v>122</v>
      </c>
      <c r="T46" s="149">
        <v>436061</v>
      </c>
      <c r="U46" s="148" t="s">
        <v>221</v>
      </c>
      <c r="V46" s="149" t="s">
        <v>247</v>
      </c>
      <c r="W46" s="149" t="s">
        <v>0</v>
      </c>
      <c r="X46" s="148" t="s">
        <v>248</v>
      </c>
      <c r="Y46" s="84"/>
      <c r="Z46" s="84"/>
      <c r="AA46" s="149">
        <v>601705</v>
      </c>
      <c r="AB46" s="149">
        <v>1</v>
      </c>
      <c r="AC46" s="149">
        <v>601705</v>
      </c>
      <c r="AD46" s="149" t="s">
        <v>99</v>
      </c>
      <c r="AE46" s="84"/>
      <c r="AF46" s="149">
        <v>998599</v>
      </c>
      <c r="AG46" s="149" t="s">
        <v>466</v>
      </c>
      <c r="AH46" s="84"/>
      <c r="AI46" s="84"/>
      <c r="AJ46" s="149">
        <v>0</v>
      </c>
      <c r="AK46" s="149">
        <v>0</v>
      </c>
      <c r="AL46" s="149">
        <v>601705</v>
      </c>
      <c r="AM46" s="149" t="s">
        <v>368</v>
      </c>
      <c r="AN46" s="149">
        <v>18</v>
      </c>
      <c r="AO46" s="148">
        <v>0</v>
      </c>
      <c r="AP46" s="149">
        <v>0</v>
      </c>
      <c r="AQ46" s="149">
        <v>108306.90</v>
      </c>
      <c r="AR46" s="149">
        <v>0</v>
      </c>
      <c r="AS46" s="149">
        <v>0</v>
      </c>
      <c r="AT46" s="149">
        <v>0</v>
      </c>
      <c r="AU46" s="149">
        <v>0</v>
      </c>
      <c r="AV46" s="149">
        <v>0</v>
      </c>
      <c r="AW46" s="84"/>
      <c r="AX46" s="84"/>
      <c r="AY46" s="149">
        <v>0</v>
      </c>
      <c r="AZ46" s="149">
        <v>710011.90</v>
      </c>
      <c r="BA46" s="149" t="s">
        <v>100</v>
      </c>
      <c r="BB46" s="149" t="s">
        <v>101</v>
      </c>
      <c r="BC46" s="149" t="s">
        <v>220</v>
      </c>
      <c r="BD46" s="149" t="s">
        <v>622</v>
      </c>
      <c r="BE46" s="149" t="s">
        <v>102</v>
      </c>
      <c r="BF46" s="149" t="s">
        <v>103</v>
      </c>
      <c r="BG46" s="84"/>
      <c r="BH46" s="84"/>
      <c r="BI46" s="149" t="s">
        <v>624</v>
      </c>
      <c r="BJ46" s="152">
        <v>46142.595138888886</v>
      </c>
      <c r="BK46" t="s">
        <v>285</v>
      </c>
    </row>
  </sheetData>
  <sheetProtection/>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sheetPr codeName=""/>
  <dimension ref="A1:N19"/>
  <sheetViews>
    <sheetView workbookViewId="0" topLeftCell="A1">
      <selection pane="topLeft" activeCell="E5" sqref="E5"/>
    </sheetView>
  </sheetViews>
  <sheetFormatPr defaultColWidth="9.14285714285714" defaultRowHeight="14.5"/>
  <cols>
    <col min="1" max="1" width="18.2857142857143" customWidth="1"/>
    <col min="2" max="2" width="12.1428571428571" style="92" customWidth="1"/>
    <col min="3" max="3" width="12.4285714285714" style="92" customWidth="1"/>
    <col min="4" max="4" width="12.5714285714286" style="92" customWidth="1"/>
    <col min="5" max="5" width="13.4285714285714" style="92" customWidth="1"/>
    <col min="6" max="6" width="14.2857142857143" style="92" customWidth="1"/>
    <col min="7" max="7" width="11.5714285714286" style="92" customWidth="1"/>
    <col min="8" max="8" width="10.1428571428571" customWidth="1"/>
    <col min="9" max="9" width="11.5714285714286" style="92" customWidth="1"/>
    <col min="11" max="11" width="36.4285714285714" customWidth="1"/>
    <col min="12" max="13" width="11.5714285714286" customWidth="1"/>
    <col min="14" max="14" width="11.2857142857143" customWidth="1"/>
  </cols>
  <sheetData>
    <row r="1" spans="11:14" ht="14.5">
      <c r="K1" s="88" t="s">
        <v>148</v>
      </c>
      <c r="L1" s="89" t="s">
        <v>395</v>
      </c>
      <c r="M1" s="89" t="s">
        <v>396</v>
      </c>
      <c r="N1" s="89" t="s">
        <v>397</v>
      </c>
    </row>
    <row r="2" spans="11:14" ht="14.5">
      <c r="K2" t="s">
        <v>1072</v>
      </c>
      <c r="L2">
        <v>10296.59</v>
      </c>
      <c r="M2">
        <v>10122.11</v>
      </c>
      <c r="N2">
        <v>174</v>
      </c>
    </row>
    <row r="3" spans="1:14" ht="14.5">
      <c r="A3" s="90" t="s">
        <v>192</v>
      </c>
      <c r="B3" s="3" t="s">
        <v>195</v>
      </c>
      <c r="C3" s="3" t="s">
        <v>197</v>
      </c>
      <c r="D3" s="3" t="s">
        <v>196</v>
      </c>
      <c r="E3" s="3" t="s">
        <v>194</v>
      </c>
      <c r="F3" s="94" t="s">
        <v>15</v>
      </c>
      <c r="H3" t="s">
        <v>279</v>
      </c>
      <c r="I3" s="92" t="s">
        <v>284</v>
      </c>
      <c r="K3" t="s">
        <v>1076</v>
      </c>
      <c r="L3">
        <v>328.40</v>
      </c>
      <c r="M3">
        <v>289</v>
      </c>
      <c r="N3">
        <v>39</v>
      </c>
    </row>
    <row r="4" spans="1:14" ht="14.5">
      <c r="A4" s="91" t="s">
        <v>280</v>
      </c>
      <c r="B4" s="3">
        <v>20600.099999999999</v>
      </c>
      <c r="C4" s="3">
        <v>165097.07999999999</v>
      </c>
      <c r="D4" s="3">
        <v>165097.07999999999</v>
      </c>
      <c r="E4" s="3">
        <v>0</v>
      </c>
      <c r="F4" s="92">
        <f t="shared" si="0" ref="F4:F9">SUM(B4:E4)</f>
        <v>350794.26000000001</v>
      </c>
      <c r="H4" t="s">
        <v>307</v>
      </c>
      <c r="I4" s="92">
        <v>531023.64</v>
      </c>
      <c r="K4" t="s">
        <v>1097</v>
      </c>
      <c r="L4">
        <v>412.76</v>
      </c>
      <c r="M4">
        <v>375</v>
      </c>
      <c r="N4">
        <v>38</v>
      </c>
    </row>
    <row r="5" spans="1:14" ht="14.5">
      <c r="A5" s="96" t="s">
        <v>209</v>
      </c>
      <c r="B5" s="3">
        <v>12500.10</v>
      </c>
      <c r="C5" s="3">
        <v>18000</v>
      </c>
      <c r="D5" s="3">
        <v>18000</v>
      </c>
      <c r="E5" s="3">
        <v>0</v>
      </c>
      <c r="F5" s="92">
        <f t="shared" si="0"/>
        <v>48500.099999999999</v>
      </c>
      <c r="H5" t="s">
        <v>630</v>
      </c>
      <c r="I5" s="92">
        <v>1956379.3700000006</v>
      </c>
      <c r="K5" t="s">
        <v>639</v>
      </c>
      <c r="L5">
        <v>7790.66</v>
      </c>
      <c r="M5">
        <v>8534.42</v>
      </c>
      <c r="N5">
        <v>-744</v>
      </c>
    </row>
    <row r="6" spans="1:9" ht="14.5">
      <c r="A6" s="96" t="s">
        <v>210</v>
      </c>
      <c r="B6" s="3">
        <v>8100</v>
      </c>
      <c r="C6" s="3">
        <v>147097.07999999999</v>
      </c>
      <c r="D6" s="3">
        <v>147097.07999999999</v>
      </c>
      <c r="E6" s="3">
        <v>0</v>
      </c>
      <c r="F6" s="92">
        <f t="shared" si="0"/>
        <v>302294.15999999997</v>
      </c>
      <c r="I6" s="92">
        <f>SUM(I4:I5)</f>
        <v>2487403.0100000007</v>
      </c>
    </row>
    <row r="7" spans="1:6" ht="14.5">
      <c r="A7" s="91" t="s">
        <v>281</v>
      </c>
      <c r="B7" s="3">
        <v>165504.07999999999</v>
      </c>
      <c r="C7" s="3">
        <v>1160702.3599999999</v>
      </c>
      <c r="D7" s="3">
        <v>1160702.3599999999</v>
      </c>
      <c r="E7" s="3">
        <v>0</v>
      </c>
      <c r="F7" s="92">
        <f t="shared" si="0"/>
        <v>2486908.7999999998</v>
      </c>
    </row>
    <row r="8" spans="1:6" ht="14.5">
      <c r="A8" s="96" t="s">
        <v>270</v>
      </c>
      <c r="B8" s="3">
        <v>63923.599999999991</v>
      </c>
      <c r="C8" s="3">
        <v>1044627.7699999999</v>
      </c>
      <c r="D8" s="3">
        <v>1044627.7699999999</v>
      </c>
      <c r="E8" s="3">
        <v>0</v>
      </c>
      <c r="F8" s="92">
        <f t="shared" si="0"/>
        <v>2153179.1399999997</v>
      </c>
    </row>
    <row r="9" spans="1:6" ht="14.5">
      <c r="A9" s="96" t="s">
        <v>271</v>
      </c>
      <c r="B9" s="3">
        <v>101580.48</v>
      </c>
      <c r="C9" s="3">
        <v>116074.59</v>
      </c>
      <c r="D9" s="3">
        <v>116074.59</v>
      </c>
      <c r="E9" s="3">
        <v>0</v>
      </c>
      <c r="F9" s="92">
        <f t="shared" si="0"/>
        <v>333729.66000000003</v>
      </c>
    </row>
    <row r="10" spans="1:6" ht="14.5">
      <c r="A10" s="91" t="s">
        <v>193</v>
      </c>
      <c r="B10" s="3">
        <v>186104.18</v>
      </c>
      <c r="C10" s="3">
        <v>1325799.44</v>
      </c>
      <c r="D10" s="3">
        <v>1325799.44</v>
      </c>
      <c r="E10" s="3">
        <v>0</v>
      </c>
      <c r="F10" s="98">
        <f>SUM(F4:F9)</f>
        <v>5675406.1199999992</v>
      </c>
    </row>
    <row r="11" spans="2:5" ht="14.5">
      <c r="B11"/>
      <c r="C11"/>
      <c r="D11"/>
      <c r="E11"/>
    </row>
    <row r="12" spans="2:14" ht="14.5">
      <c r="B12"/>
      <c r="C12"/>
      <c r="D12"/>
      <c r="E12"/>
      <c r="K12" s="109" t="s">
        <v>336</v>
      </c>
      <c r="L12" s="97">
        <f>SUM(L2:L10)</f>
        <v>18828.41</v>
      </c>
      <c r="M12" s="97">
        <f>SUM(M2:M10)</f>
        <v>19320.529999999999</v>
      </c>
      <c r="N12" s="97">
        <f>SUM(N2:N10)</f>
        <v>-493</v>
      </c>
    </row>
    <row r="13" spans="2:5" ht="14.5">
      <c r="B13"/>
      <c r="C13"/>
      <c r="D13"/>
      <c r="E13"/>
    </row>
    <row r="14" spans="2:5" ht="14.5">
      <c r="B14"/>
      <c r="C14"/>
      <c r="D14"/>
      <c r="E14"/>
    </row>
    <row r="15" spans="2:5" ht="14.5">
      <c r="B15"/>
      <c r="C15"/>
      <c r="D15"/>
      <c r="E15"/>
    </row>
    <row r="16" spans="2:4" ht="14.5">
      <c r="B16"/>
      <c r="C16"/>
      <c r="D16"/>
    </row>
    <row r="17" spans="5:6" ht="14.5">
      <c r="E17" s="92" t="s">
        <v>208</v>
      </c>
      <c r="F17" s="93">
        <f>F7</f>
        <v>2486908.7999999998</v>
      </c>
    </row>
    <row r="18" spans="5:6" ht="14.5">
      <c r="E18" s="92" t="s">
        <v>198</v>
      </c>
      <c r="F18" s="92">
        <f>I6</f>
        <v>2487403.0100000007</v>
      </c>
    </row>
    <row r="19" spans="5:7" ht="14.5">
      <c r="E19" s="97" t="s">
        <v>204</v>
      </c>
      <c r="F19" s="97">
        <f>F17-F18</f>
        <v>-494.21000000089407</v>
      </c>
      <c r="G19" s="92" t="s">
        <v>398</v>
      </c>
    </row>
  </sheetData>
  <sheetProtection/>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sheetPr codeName=""/>
  <dimension ref="A1:BS312"/>
  <sheetViews>
    <sheetView workbookViewId="0" topLeftCell="AJ1">
      <pane ySplit="2" topLeftCell="A3" activePane="bottomLeft" state="frozen"/>
      <selection pane="topLeft" activeCell="C3" sqref="C3"/>
      <selection pane="bottomLeft" activeCell="AJ1" sqref="AJ1"/>
    </sheetView>
  </sheetViews>
  <sheetFormatPr defaultColWidth="9.18303571428571" defaultRowHeight="14.5"/>
  <cols>
    <col min="1" max="1" width="17.7142857142857" style="144" customWidth="1"/>
    <col min="2" max="2" width="13.1428571428571" style="144" customWidth="1"/>
    <col min="3" max="3" width="6.28571428571429" style="144" customWidth="1"/>
    <col min="4" max="4" width="33.2857142857143" style="144" customWidth="1"/>
    <col min="5" max="5" width="28.7142857142857" style="144" customWidth="1"/>
    <col min="6" max="6" width="10.5714285714286" style="144" customWidth="1"/>
    <col min="7" max="7" width="22.2857142857143" style="144" customWidth="1"/>
    <col min="8" max="8" width="17.5714285714286" style="144" customWidth="1"/>
    <col min="9" max="9" width="18.5714285714286" style="144" customWidth="1"/>
    <col min="10" max="10" width="25.2857142857143" style="144" customWidth="1"/>
    <col min="11" max="11" width="19.7142857142857" style="144" customWidth="1"/>
    <col min="12" max="12" width="10.7142857142857" style="144" customWidth="1"/>
    <col min="13" max="13" width="18.5714285714286" style="144" customWidth="1"/>
    <col min="14" max="14" width="19.8571428571429" style="144" customWidth="1"/>
    <col min="15" max="15" width="9" style="144" customWidth="1"/>
    <col min="16" max="16" width="10" style="144" customWidth="1"/>
    <col min="17" max="17" width="11.4285714285714" style="144" customWidth="1"/>
    <col min="18" max="18" width="15.2857142857143" style="144" customWidth="1"/>
    <col min="19" max="19" width="61" style="144" customWidth="1"/>
    <col min="20" max="20" width="19.2857142857143" style="144" customWidth="1"/>
    <col min="21" max="21" width="18.7142857142857" style="144" customWidth="1"/>
    <col min="22" max="23" width="9.42857142857143" style="144" customWidth="1"/>
    <col min="24" max="24" width="10.8571428571429" style="144" customWidth="1"/>
    <col min="25" max="25" width="12" style="144" customWidth="1"/>
    <col min="26" max="26" width="11" style="144" customWidth="1"/>
    <col min="27" max="27" width="9.71428571428571" style="144" customWidth="1"/>
    <col min="28" max="28" width="22.7142857142857" style="144" customWidth="1"/>
    <col min="29" max="29" width="22.5714285714286" style="144" customWidth="1"/>
    <col min="30" max="30" width="16" style="144" customWidth="1"/>
    <col min="31" max="31" width="14" style="144" customWidth="1"/>
    <col min="32" max="32" width="27.7142857142857" style="144" customWidth="1"/>
    <col min="33" max="34" width="11" style="144" customWidth="1"/>
    <col min="35" max="36" width="17.4285714285714" style="144" customWidth="1"/>
    <col min="37" max="37" width="13.2857142857143" style="144" customWidth="1"/>
    <col min="38" max="40" width="11" style="144" customWidth="1"/>
    <col min="41" max="41" width="12.5714285714286" style="144" customWidth="1"/>
    <col min="42" max="42" width="6.85714285714286" style="144" customWidth="1"/>
    <col min="43" max="43" width="11" style="144" customWidth="1"/>
    <col min="44" max="44" width="9" style="144" customWidth="1"/>
    <col min="45" max="45" width="11" style="144" customWidth="1"/>
    <col min="46" max="46" width="6.14285714285714" style="144" customWidth="1"/>
    <col min="47" max="47" width="16.4285714285714" style="144" customWidth="1"/>
    <col min="48" max="48" width="13.1428571428571" style="144" customWidth="1"/>
    <col min="49" max="49" width="10.7142857142857" style="144" customWidth="1"/>
    <col min="50" max="50" width="12" style="144" customWidth="1"/>
    <col min="51" max="51" width="8" style="144" customWidth="1"/>
    <col min="52" max="52" width="8.57142857142857" style="144" customWidth="1"/>
    <col min="53" max="53" width="56.7142857142857" style="144" customWidth="1"/>
    <col min="54" max="54" width="12.8571428571429" style="144" customWidth="1"/>
    <col min="55" max="55" width="36.8571428571429" style="144" customWidth="1"/>
    <col min="56" max="56" width="16.2857142857143" style="144" customWidth="1"/>
    <col min="57" max="57" width="14.8571428571429" style="144" customWidth="1"/>
    <col min="58" max="58" width="18.8571428571429" style="144" customWidth="1"/>
    <col min="59" max="59" width="12.4285714285714" style="144" customWidth="1"/>
    <col min="60" max="60" width="10.5714285714286" style="144" customWidth="1"/>
    <col min="61" max="61" width="12.8571428571429" style="144" customWidth="1"/>
    <col min="62" max="62" width="13.5714285714286" style="144" customWidth="1"/>
    <col min="63" max="64" width="11" style="144" customWidth="1"/>
    <col min="65" max="65" width="7.71428571428571" style="144" customWidth="1"/>
    <col min="66" max="66" width="8.71428571428571" style="144" customWidth="1"/>
    <col min="67" max="16384" width="9.14285714285714" style="144"/>
  </cols>
  <sheetData>
    <row r="1" spans="35:64" ht="14.5">
      <c r="AI1" s="144">
        <f>SUBTOTAL(9,AI3:AI312)</f>
        <v>15828441.99</v>
      </c>
      <c r="AL1" s="144">
        <f>SUBTOTAL(9,AL3:AL312)</f>
        <v>1325799.4399999997</v>
      </c>
      <c r="AM1" s="144">
        <f>SUBTOTAL(9,AM3:AM312)</f>
        <v>1325799.4399999997</v>
      </c>
      <c r="AN1" s="144">
        <f>SUBTOTAL(9,AN3:AN312)</f>
        <v>186104.17999999996</v>
      </c>
      <c r="AP1" s="144">
        <f>SUBTOTAL(9,AP3:AP312)</f>
        <v>0</v>
      </c>
      <c r="AR1" s="144">
        <f>SUBTOTAL(9,AR3:AR312)</f>
        <v>0</v>
      </c>
      <c r="AT1" s="144">
        <f>SUBTOTAL(9,AT3:AT312)</f>
        <v>0</v>
      </c>
      <c r="AX1" s="144">
        <f>SUBTOTAL(9,AX3:AX312)</f>
        <v>19025683.71999998</v>
      </c>
      <c r="BL1" s="144">
        <f>SUBTOTAL(9,BL3:BL312)</f>
        <v>2837703.0600000001</v>
      </c>
    </row>
    <row r="2" spans="1:70" s="0" customFormat="1" ht="14.5">
      <c r="A2" s="146" t="s">
        <v>52</v>
      </c>
      <c r="B2" s="147" t="s">
        <v>53</v>
      </c>
      <c r="C2" s="147" t="s">
        <v>54</v>
      </c>
      <c r="D2" s="147" t="s">
        <v>55</v>
      </c>
      <c r="E2" s="147" t="s">
        <v>56</v>
      </c>
      <c r="F2" s="147" t="s">
        <v>57</v>
      </c>
      <c r="G2" s="147" t="s">
        <v>58</v>
      </c>
      <c r="H2" s="147" t="s">
        <v>59</v>
      </c>
      <c r="I2" s="147" t="s">
        <v>60</v>
      </c>
      <c r="J2" s="147" t="s">
        <v>61</v>
      </c>
      <c r="K2" s="147" t="s">
        <v>62</v>
      </c>
      <c r="L2" s="147" t="s">
        <v>63</v>
      </c>
      <c r="M2" s="147" t="s">
        <v>64</v>
      </c>
      <c r="N2" s="147" t="s">
        <v>65</v>
      </c>
      <c r="O2" s="147" t="s">
        <v>66</v>
      </c>
      <c r="P2" s="146" t="s">
        <v>67</v>
      </c>
      <c r="Q2" s="147" t="s">
        <v>68</v>
      </c>
      <c r="R2" s="147" t="s">
        <v>69</v>
      </c>
      <c r="S2" s="147" t="s">
        <v>70</v>
      </c>
      <c r="T2" s="147" t="s">
        <v>71</v>
      </c>
      <c r="U2" s="147" t="s">
        <v>72</v>
      </c>
      <c r="V2" s="147" t="s">
        <v>73</v>
      </c>
      <c r="W2" s="146" t="s">
        <v>362</v>
      </c>
      <c r="X2" s="147" t="s">
        <v>74</v>
      </c>
      <c r="Y2" s="146" t="s">
        <v>75</v>
      </c>
      <c r="Z2" s="147" t="s">
        <v>76</v>
      </c>
      <c r="AA2" s="147" t="s">
        <v>77</v>
      </c>
      <c r="AB2" s="147" t="s">
        <v>136</v>
      </c>
      <c r="AC2" s="147" t="s">
        <v>137</v>
      </c>
      <c r="AD2" s="147" t="s">
        <v>78</v>
      </c>
      <c r="AE2" s="147" t="s">
        <v>79</v>
      </c>
      <c r="AF2" s="147" t="s">
        <v>138</v>
      </c>
      <c r="AG2" s="147" t="s">
        <v>363</v>
      </c>
      <c r="AH2" s="147" t="s">
        <v>411</v>
      </c>
      <c r="AI2" s="147" t="s">
        <v>80</v>
      </c>
      <c r="AJ2" s="147" t="s">
        <v>412</v>
      </c>
      <c r="AK2" s="147" t="s">
        <v>81</v>
      </c>
      <c r="AL2" s="146" t="s">
        <v>82</v>
      </c>
      <c r="AM2" s="147" t="s">
        <v>83</v>
      </c>
      <c r="AN2" s="146" t="s">
        <v>84</v>
      </c>
      <c r="AO2" s="147" t="s">
        <v>139</v>
      </c>
      <c r="AP2" s="147" t="s">
        <v>85</v>
      </c>
      <c r="AQ2" s="147" t="s">
        <v>86</v>
      </c>
      <c r="AR2" s="147" t="s">
        <v>87</v>
      </c>
      <c r="AS2" s="147" t="s">
        <v>88</v>
      </c>
      <c r="AT2" s="147" t="s">
        <v>89</v>
      </c>
      <c r="AU2" s="147" t="s">
        <v>90</v>
      </c>
      <c r="AV2" s="147" t="s">
        <v>91</v>
      </c>
      <c r="AW2" s="147" t="s">
        <v>92</v>
      </c>
      <c r="AX2" s="147" t="s">
        <v>367</v>
      </c>
      <c r="AY2" s="147" t="s">
        <v>93</v>
      </c>
      <c r="AZ2" s="147" t="s">
        <v>94</v>
      </c>
      <c r="BA2" s="147" t="s">
        <v>141</v>
      </c>
      <c r="BB2" s="147" t="s">
        <v>142</v>
      </c>
      <c r="BC2" s="147" t="s">
        <v>95</v>
      </c>
      <c r="BD2" s="147" t="s">
        <v>96</v>
      </c>
      <c r="BE2" s="147" t="s">
        <v>143</v>
      </c>
      <c r="BF2" s="147" t="s">
        <v>144</v>
      </c>
      <c r="BG2" s="147" t="s">
        <v>145</v>
      </c>
      <c r="BH2" s="146" t="s">
        <v>269</v>
      </c>
      <c r="BI2" s="88" t="s">
        <v>146</v>
      </c>
      <c r="BJ2" s="88" t="s">
        <v>147</v>
      </c>
      <c r="BK2" s="88" t="s">
        <v>148</v>
      </c>
      <c r="BL2" s="89" t="s">
        <v>149</v>
      </c>
      <c r="BM2" s="89" t="s">
        <v>150</v>
      </c>
      <c r="BN2" s="89" t="s">
        <v>151</v>
      </c>
      <c r="BO2" s="89" t="s">
        <v>152</v>
      </c>
      <c r="BP2" s="89" t="s">
        <v>66</v>
      </c>
      <c r="BQ2" s="89" t="s">
        <v>213</v>
      </c>
      <c r="BR2" s="89" t="s">
        <v>294</v>
      </c>
    </row>
    <row r="3" spans="1:71" s="0" customFormat="1" ht="14.5">
      <c r="A3" s="148" t="s">
        <v>157</v>
      </c>
      <c r="B3" s="149" t="s">
        <v>625</v>
      </c>
      <c r="C3" s="149">
        <v>107</v>
      </c>
      <c r="D3" s="149" t="s">
        <v>97</v>
      </c>
      <c r="E3" s="149" t="s">
        <v>98</v>
      </c>
      <c r="F3" s="84"/>
      <c r="G3" s="149" t="s">
        <v>106</v>
      </c>
      <c r="H3" s="149" t="s">
        <v>48</v>
      </c>
      <c r="I3" s="149" t="s">
        <v>158</v>
      </c>
      <c r="J3" s="149" t="s">
        <v>165</v>
      </c>
      <c r="K3" s="149" t="s">
        <v>166</v>
      </c>
      <c r="L3" s="149" t="s">
        <v>160</v>
      </c>
      <c r="M3" s="150">
        <v>46127</v>
      </c>
      <c r="N3" s="149" t="s">
        <v>626</v>
      </c>
      <c r="O3" s="149">
        <v>9158398</v>
      </c>
      <c r="P3" s="151">
        <v>46090</v>
      </c>
      <c r="Q3" s="149" t="s">
        <v>161</v>
      </c>
      <c r="R3" s="149">
        <v>35671</v>
      </c>
      <c r="S3" s="149" t="s">
        <v>424</v>
      </c>
      <c r="T3" s="149" t="s">
        <v>425</v>
      </c>
      <c r="U3" s="149" t="s">
        <v>426</v>
      </c>
      <c r="V3" s="149" t="s">
        <v>162</v>
      </c>
      <c r="W3" s="84"/>
      <c r="X3" s="149">
        <v>275</v>
      </c>
      <c r="Y3" s="148">
        <v>44</v>
      </c>
      <c r="Z3" s="149">
        <v>12100</v>
      </c>
      <c r="AA3" s="149" t="s">
        <v>99</v>
      </c>
      <c r="AB3" s="149" t="s">
        <v>626</v>
      </c>
      <c r="AC3" s="150">
        <v>46121</v>
      </c>
      <c r="AD3" s="149" t="s">
        <v>164</v>
      </c>
      <c r="AE3" s="149">
        <v>996200</v>
      </c>
      <c r="AF3" s="149" t="s">
        <v>627</v>
      </c>
      <c r="AG3" s="84"/>
      <c r="AH3" s="84"/>
      <c r="AI3" s="149">
        <v>12100</v>
      </c>
      <c r="AJ3" s="149" t="s">
        <v>368</v>
      </c>
      <c r="AK3" s="149">
        <v>18</v>
      </c>
      <c r="AL3" s="148">
        <v>0</v>
      </c>
      <c r="AM3" s="149">
        <v>0</v>
      </c>
      <c r="AN3" s="148">
        <v>2178</v>
      </c>
      <c r="AO3" s="149">
        <v>0</v>
      </c>
      <c r="AP3" s="149">
        <v>0</v>
      </c>
      <c r="AQ3" s="149">
        <v>0</v>
      </c>
      <c r="AR3" s="149">
        <v>0</v>
      </c>
      <c r="AS3" s="149">
        <v>0</v>
      </c>
      <c r="AT3" s="149">
        <v>0</v>
      </c>
      <c r="AU3" s="84"/>
      <c r="AV3" s="84"/>
      <c r="AW3" s="149">
        <v>0</v>
      </c>
      <c r="AX3" s="149">
        <v>14278</v>
      </c>
      <c r="AY3" s="149" t="s">
        <v>101</v>
      </c>
      <c r="AZ3" s="149" t="s">
        <v>101</v>
      </c>
      <c r="BA3" s="149" t="s">
        <v>628</v>
      </c>
      <c r="BB3" s="149">
        <v>1126100105</v>
      </c>
      <c r="BC3" s="149" t="s">
        <v>168</v>
      </c>
      <c r="BD3" s="149" t="s">
        <v>272</v>
      </c>
      <c r="BE3" s="84"/>
      <c r="BF3" s="84" t="s">
        <v>271</v>
      </c>
      <c r="BG3" s="84" t="s">
        <v>281</v>
      </c>
      <c r="BH3" s="148" t="s">
        <v>290</v>
      </c>
      <c r="BI3" t="s">
        <v>155</v>
      </c>
      <c r="BJ3" t="s">
        <v>156</v>
      </c>
      <c r="BK3" t="s">
        <v>629</v>
      </c>
      <c r="BL3">
        <v>2178</v>
      </c>
      <c r="BM3">
        <v>38182.879999999997</v>
      </c>
      <c r="BN3">
        <v>-36005</v>
      </c>
      <c r="BO3" t="s">
        <v>154</v>
      </c>
      <c r="BP3">
        <v>9158398</v>
      </c>
      <c r="BQ3" t="s">
        <v>271</v>
      </c>
      <c r="BR3" t="s">
        <v>630</v>
      </c>
      <c r="BS3">
        <v>37</v>
      </c>
    </row>
    <row r="4" spans="1:71" s="0" customFormat="1" ht="14.5">
      <c r="A4" s="148" t="s">
        <v>157</v>
      </c>
      <c r="B4" s="149" t="s">
        <v>625</v>
      </c>
      <c r="C4" s="149">
        <v>107</v>
      </c>
      <c r="D4" s="149" t="s">
        <v>97</v>
      </c>
      <c r="E4" s="149" t="s">
        <v>98</v>
      </c>
      <c r="F4" s="84"/>
      <c r="G4" s="149" t="s">
        <v>106</v>
      </c>
      <c r="H4" s="149" t="s">
        <v>48</v>
      </c>
      <c r="I4" s="149" t="s">
        <v>158</v>
      </c>
      <c r="J4" s="149" t="s">
        <v>165</v>
      </c>
      <c r="K4" s="149" t="s">
        <v>166</v>
      </c>
      <c r="L4" s="149" t="s">
        <v>160</v>
      </c>
      <c r="M4" s="150">
        <v>46127</v>
      </c>
      <c r="N4" s="149" t="s">
        <v>626</v>
      </c>
      <c r="O4" s="149">
        <v>9158398</v>
      </c>
      <c r="P4" s="151">
        <v>46090</v>
      </c>
      <c r="Q4" s="149" t="s">
        <v>161</v>
      </c>
      <c r="R4" s="149">
        <v>35671</v>
      </c>
      <c r="S4" s="149" t="s">
        <v>424</v>
      </c>
      <c r="T4" s="149" t="s">
        <v>425</v>
      </c>
      <c r="U4" s="149" t="s">
        <v>426</v>
      </c>
      <c r="V4" s="149" t="s">
        <v>162</v>
      </c>
      <c r="W4" s="84"/>
      <c r="X4" s="149">
        <v>1031.3599999999999</v>
      </c>
      <c r="Y4" s="148">
        <v>8</v>
      </c>
      <c r="Z4" s="149">
        <v>8250.8799999999992</v>
      </c>
      <c r="AA4" s="149" t="s">
        <v>99</v>
      </c>
      <c r="AB4" s="149" t="s">
        <v>626</v>
      </c>
      <c r="AC4" s="150">
        <v>46121</v>
      </c>
      <c r="AD4" s="149" t="s">
        <v>164</v>
      </c>
      <c r="AE4" s="149">
        <v>34029099</v>
      </c>
      <c r="AF4" s="149" t="s">
        <v>631</v>
      </c>
      <c r="AG4" s="84"/>
      <c r="AH4" s="84"/>
      <c r="AI4" s="149">
        <v>8250.8799999999992</v>
      </c>
      <c r="AJ4" s="149" t="s">
        <v>368</v>
      </c>
      <c r="AK4" s="149">
        <v>18</v>
      </c>
      <c r="AL4" s="148">
        <v>0</v>
      </c>
      <c r="AM4" s="149">
        <v>0</v>
      </c>
      <c r="AN4" s="148">
        <v>1485.16</v>
      </c>
      <c r="AO4" s="149">
        <v>0</v>
      </c>
      <c r="AP4" s="149">
        <v>0</v>
      </c>
      <c r="AQ4" s="149">
        <v>0</v>
      </c>
      <c r="AR4" s="149">
        <v>0</v>
      </c>
      <c r="AS4" s="149">
        <v>0</v>
      </c>
      <c r="AT4" s="149">
        <v>0</v>
      </c>
      <c r="AU4" s="84"/>
      <c r="AV4" s="84"/>
      <c r="AW4" s="149">
        <v>0</v>
      </c>
      <c r="AX4" s="149">
        <v>9736.0400000000009</v>
      </c>
      <c r="AY4" s="149" t="s">
        <v>101</v>
      </c>
      <c r="AZ4" s="149" t="s">
        <v>101</v>
      </c>
      <c r="BA4" s="149" t="s">
        <v>628</v>
      </c>
      <c r="BB4" s="149">
        <v>1126100105</v>
      </c>
      <c r="BC4" s="149" t="s">
        <v>168</v>
      </c>
      <c r="BD4" s="149" t="s">
        <v>272</v>
      </c>
      <c r="BE4" s="84"/>
      <c r="BF4" s="84" t="s">
        <v>271</v>
      </c>
      <c r="BG4" s="84" t="s">
        <v>281</v>
      </c>
      <c r="BH4" s="148" t="s">
        <v>290</v>
      </c>
      <c r="BI4" t="s">
        <v>155</v>
      </c>
      <c r="BJ4" t="s">
        <v>156</v>
      </c>
      <c r="BK4" t="s">
        <v>629</v>
      </c>
      <c r="BL4">
        <v>1485.16</v>
      </c>
      <c r="BM4">
        <v>38182.879999999997</v>
      </c>
      <c r="BN4">
        <v>-36698</v>
      </c>
      <c r="BO4" t="s">
        <v>154</v>
      </c>
      <c r="BP4">
        <v>9158398</v>
      </c>
      <c r="BQ4" t="s">
        <v>271</v>
      </c>
      <c r="BR4" t="s">
        <v>630</v>
      </c>
      <c r="BS4">
        <v>37</v>
      </c>
    </row>
    <row r="5" spans="1:71" s="0" customFormat="1" ht="14.5">
      <c r="A5" s="148" t="s">
        <v>157</v>
      </c>
      <c r="B5" s="149" t="s">
        <v>625</v>
      </c>
      <c r="C5" s="149">
        <v>107</v>
      </c>
      <c r="D5" s="149" t="s">
        <v>97</v>
      </c>
      <c r="E5" s="149" t="s">
        <v>98</v>
      </c>
      <c r="F5" s="84"/>
      <c r="G5" s="149" t="s">
        <v>106</v>
      </c>
      <c r="H5" s="149" t="s">
        <v>48</v>
      </c>
      <c r="I5" s="149" t="s">
        <v>158</v>
      </c>
      <c r="J5" s="149" t="s">
        <v>165</v>
      </c>
      <c r="K5" s="149" t="s">
        <v>166</v>
      </c>
      <c r="L5" s="149" t="s">
        <v>160</v>
      </c>
      <c r="M5" s="150">
        <v>46140</v>
      </c>
      <c r="N5" s="149" t="s">
        <v>632</v>
      </c>
      <c r="O5" s="149">
        <v>9174963</v>
      </c>
      <c r="P5" s="151">
        <v>46129</v>
      </c>
      <c r="Q5" s="149" t="s">
        <v>161</v>
      </c>
      <c r="R5" s="149">
        <v>35671</v>
      </c>
      <c r="S5" s="149" t="s">
        <v>424</v>
      </c>
      <c r="T5" s="149" t="s">
        <v>425</v>
      </c>
      <c r="U5" s="149" t="s">
        <v>426</v>
      </c>
      <c r="V5" s="149" t="s">
        <v>162</v>
      </c>
      <c r="W5" s="84"/>
      <c r="X5" s="149">
        <v>275</v>
      </c>
      <c r="Y5" s="148">
        <v>64</v>
      </c>
      <c r="Z5" s="149">
        <v>17600</v>
      </c>
      <c r="AA5" s="149" t="s">
        <v>99</v>
      </c>
      <c r="AB5" s="149" t="s">
        <v>632</v>
      </c>
      <c r="AC5" s="150">
        <v>46129</v>
      </c>
      <c r="AD5" s="149" t="s">
        <v>164</v>
      </c>
      <c r="AE5" s="149">
        <v>998729</v>
      </c>
      <c r="AF5" s="149" t="s">
        <v>633</v>
      </c>
      <c r="AG5" s="84"/>
      <c r="AH5" s="84"/>
      <c r="AI5" s="149">
        <v>17600</v>
      </c>
      <c r="AJ5" s="149" t="s">
        <v>368</v>
      </c>
      <c r="AK5" s="149">
        <v>18</v>
      </c>
      <c r="AL5" s="148">
        <v>0</v>
      </c>
      <c r="AM5" s="149">
        <v>0</v>
      </c>
      <c r="AN5" s="148">
        <v>3168</v>
      </c>
      <c r="AO5" s="149">
        <v>0</v>
      </c>
      <c r="AP5" s="149">
        <v>0</v>
      </c>
      <c r="AQ5" s="149">
        <v>0</v>
      </c>
      <c r="AR5" s="149">
        <v>0</v>
      </c>
      <c r="AS5" s="149">
        <v>0</v>
      </c>
      <c r="AT5" s="149">
        <v>0</v>
      </c>
      <c r="AU5" s="84"/>
      <c r="AV5" s="84"/>
      <c r="AW5" s="149">
        <v>0</v>
      </c>
      <c r="AX5" s="149">
        <v>20768</v>
      </c>
      <c r="AY5" s="149" t="s">
        <v>101</v>
      </c>
      <c r="AZ5" s="149" t="s">
        <v>101</v>
      </c>
      <c r="BA5" s="149" t="s">
        <v>634</v>
      </c>
      <c r="BB5" s="149">
        <v>1126100446</v>
      </c>
      <c r="BC5" s="149" t="s">
        <v>168</v>
      </c>
      <c r="BD5" s="149" t="s">
        <v>272</v>
      </c>
      <c r="BE5" s="84"/>
      <c r="BF5" s="84" t="s">
        <v>271</v>
      </c>
      <c r="BG5" s="84" t="s">
        <v>281</v>
      </c>
      <c r="BH5" s="148" t="s">
        <v>290</v>
      </c>
      <c r="BI5" t="s">
        <v>155</v>
      </c>
      <c r="BJ5" t="s">
        <v>156</v>
      </c>
      <c r="BK5" t="s">
        <v>635</v>
      </c>
      <c r="BL5">
        <v>3168</v>
      </c>
      <c r="BM5">
        <v>36494.74</v>
      </c>
      <c r="BN5">
        <v>-33327</v>
      </c>
      <c r="BO5" t="s">
        <v>154</v>
      </c>
      <c r="BP5">
        <v>9174963</v>
      </c>
      <c r="BQ5" t="s">
        <v>271</v>
      </c>
      <c r="BR5" t="s">
        <v>630</v>
      </c>
      <c r="BS5">
        <v>36</v>
      </c>
    </row>
    <row r="6" spans="1:71" s="0" customFormat="1" ht="14.5">
      <c r="A6" s="148" t="s">
        <v>157</v>
      </c>
      <c r="B6" s="149" t="s">
        <v>625</v>
      </c>
      <c r="C6" s="149">
        <v>107</v>
      </c>
      <c r="D6" s="149" t="s">
        <v>97</v>
      </c>
      <c r="E6" s="149" t="s">
        <v>98</v>
      </c>
      <c r="F6" s="84"/>
      <c r="G6" s="149" t="s">
        <v>106</v>
      </c>
      <c r="H6" s="149" t="s">
        <v>48</v>
      </c>
      <c r="I6" s="149" t="s">
        <v>158</v>
      </c>
      <c r="J6" s="149" t="s">
        <v>165</v>
      </c>
      <c r="K6" s="149" t="s">
        <v>166</v>
      </c>
      <c r="L6" s="149" t="s">
        <v>160</v>
      </c>
      <c r="M6" s="150">
        <v>46127</v>
      </c>
      <c r="N6" s="149" t="s">
        <v>636</v>
      </c>
      <c r="O6" s="149">
        <v>9156749</v>
      </c>
      <c r="P6" s="151">
        <v>46115</v>
      </c>
      <c r="Q6" s="149" t="s">
        <v>161</v>
      </c>
      <c r="R6" s="149">
        <v>6262</v>
      </c>
      <c r="S6" s="149" t="s">
        <v>183</v>
      </c>
      <c r="T6" s="149" t="s">
        <v>182</v>
      </c>
      <c r="U6" s="149" t="s">
        <v>184</v>
      </c>
      <c r="V6" s="149" t="s">
        <v>162</v>
      </c>
      <c r="W6" s="84"/>
      <c r="X6" s="149">
        <v>1</v>
      </c>
      <c r="Y6" s="148">
        <v>3199</v>
      </c>
      <c r="Z6" s="149">
        <v>3199</v>
      </c>
      <c r="AA6" s="149" t="s">
        <v>99</v>
      </c>
      <c r="AB6" s="149" t="s">
        <v>637</v>
      </c>
      <c r="AC6" s="150">
        <v>46115</v>
      </c>
      <c r="AD6" s="149" t="s">
        <v>171</v>
      </c>
      <c r="AE6" s="149">
        <v>998413</v>
      </c>
      <c r="AF6" s="149" t="s">
        <v>638</v>
      </c>
      <c r="AG6" s="84"/>
      <c r="AH6" s="84"/>
      <c r="AI6" s="149">
        <v>3199</v>
      </c>
      <c r="AJ6" s="149" t="s">
        <v>368</v>
      </c>
      <c r="AK6" s="149">
        <v>18</v>
      </c>
      <c r="AL6" s="148">
        <v>287.91000000000003</v>
      </c>
      <c r="AM6" s="149">
        <v>287.91000000000003</v>
      </c>
      <c r="AN6" s="148">
        <v>0</v>
      </c>
      <c r="AO6" s="149">
        <v>0</v>
      </c>
      <c r="AP6" s="149">
        <v>0</v>
      </c>
      <c r="AQ6" s="149">
        <v>0</v>
      </c>
      <c r="AR6" s="149">
        <v>0</v>
      </c>
      <c r="AS6" s="149">
        <v>0</v>
      </c>
      <c r="AT6" s="149">
        <v>0</v>
      </c>
      <c r="AU6" s="84"/>
      <c r="AV6" s="84"/>
      <c r="AW6" s="149">
        <v>0</v>
      </c>
      <c r="AX6" s="149">
        <v>3774.82</v>
      </c>
      <c r="AY6" s="149" t="s">
        <v>100</v>
      </c>
      <c r="AZ6" s="149" t="s">
        <v>101</v>
      </c>
      <c r="BA6" s="149" t="s">
        <v>311</v>
      </c>
      <c r="BB6" s="149">
        <v>1126100078</v>
      </c>
      <c r="BC6" s="149" t="s">
        <v>105</v>
      </c>
      <c r="BD6" s="149" t="s">
        <v>103</v>
      </c>
      <c r="BE6" s="84"/>
      <c r="BF6" s="84" t="s">
        <v>270</v>
      </c>
      <c r="BG6" s="84" t="s">
        <v>281</v>
      </c>
      <c r="BH6" s="148" t="s">
        <v>290</v>
      </c>
      <c r="BI6" t="s">
        <v>155</v>
      </c>
      <c r="BJ6" t="s">
        <v>156</v>
      </c>
      <c r="BK6" t="s">
        <v>639</v>
      </c>
      <c r="BL6">
        <v>575.82000000000005</v>
      </c>
      <c r="BM6">
        <v>8534.42</v>
      </c>
      <c r="BN6">
        <v>-7959</v>
      </c>
      <c r="BO6" t="s">
        <v>154</v>
      </c>
      <c r="BP6">
        <v>9156749</v>
      </c>
      <c r="BQ6" t="s">
        <v>270</v>
      </c>
      <c r="BR6" t="s">
        <v>630</v>
      </c>
      <c r="BS6">
        <v>17</v>
      </c>
    </row>
    <row r="7" spans="1:71" s="0" customFormat="1" ht="14.5">
      <c r="A7" s="148" t="s">
        <v>157</v>
      </c>
      <c r="B7" s="149" t="s">
        <v>625</v>
      </c>
      <c r="C7" s="149">
        <v>107</v>
      </c>
      <c r="D7" s="149" t="s">
        <v>97</v>
      </c>
      <c r="E7" s="149" t="s">
        <v>98</v>
      </c>
      <c r="F7" s="84"/>
      <c r="G7" s="84"/>
      <c r="H7" s="149" t="s">
        <v>48</v>
      </c>
      <c r="I7" s="149" t="s">
        <v>158</v>
      </c>
      <c r="J7" s="149" t="s">
        <v>159</v>
      </c>
      <c r="K7" s="149" t="s">
        <v>163</v>
      </c>
      <c r="L7" s="149" t="s">
        <v>160</v>
      </c>
      <c r="M7" s="150">
        <v>46126</v>
      </c>
      <c r="N7" s="149" t="s">
        <v>640</v>
      </c>
      <c r="O7" s="149">
        <v>9155613</v>
      </c>
      <c r="P7" s="151">
        <v>46114</v>
      </c>
      <c r="Q7" s="149" t="s">
        <v>161</v>
      </c>
      <c r="R7" s="149">
        <v>2770</v>
      </c>
      <c r="S7" s="149" t="s">
        <v>299</v>
      </c>
      <c r="T7" s="149" t="s">
        <v>174</v>
      </c>
      <c r="U7" s="149" t="s">
        <v>175</v>
      </c>
      <c r="V7" s="149" t="s">
        <v>162</v>
      </c>
      <c r="W7" s="84"/>
      <c r="X7" s="149">
        <v>1</v>
      </c>
      <c r="Y7" s="148">
        <v>2.80</v>
      </c>
      <c r="Z7" s="149">
        <v>2.80</v>
      </c>
      <c r="AA7" s="149" t="s">
        <v>99</v>
      </c>
      <c r="AB7" s="149" t="s">
        <v>640</v>
      </c>
      <c r="AC7" s="150">
        <v>46114</v>
      </c>
      <c r="AD7" s="149" t="s">
        <v>171</v>
      </c>
      <c r="AE7" s="149">
        <v>84439952</v>
      </c>
      <c r="AF7" s="149" t="s">
        <v>641</v>
      </c>
      <c r="AG7" s="84"/>
      <c r="AH7" s="84"/>
      <c r="AI7" s="149">
        <v>2.80</v>
      </c>
      <c r="AJ7" s="149" t="s">
        <v>368</v>
      </c>
      <c r="AK7" s="149">
        <v>18</v>
      </c>
      <c r="AL7" s="148">
        <v>0.25</v>
      </c>
      <c r="AM7" s="149">
        <v>0.25</v>
      </c>
      <c r="AN7" s="148">
        <v>0</v>
      </c>
      <c r="AO7" s="149">
        <v>0</v>
      </c>
      <c r="AP7" s="149">
        <v>0</v>
      </c>
      <c r="AQ7" s="149">
        <v>0</v>
      </c>
      <c r="AR7" s="149">
        <v>0</v>
      </c>
      <c r="AS7" s="149">
        <v>0</v>
      </c>
      <c r="AT7" s="149">
        <v>0</v>
      </c>
      <c r="AU7" s="84"/>
      <c r="AV7" s="84"/>
      <c r="AW7" s="149">
        <v>0</v>
      </c>
      <c r="AX7" s="149">
        <v>3.30</v>
      </c>
      <c r="AY7" s="149" t="s">
        <v>100</v>
      </c>
      <c r="AZ7" s="149" t="s">
        <v>101</v>
      </c>
      <c r="BA7" s="149" t="s">
        <v>642</v>
      </c>
      <c r="BB7" s="149">
        <v>1126100063</v>
      </c>
      <c r="BC7" s="149" t="s">
        <v>105</v>
      </c>
      <c r="BD7" s="149" t="s">
        <v>103</v>
      </c>
      <c r="BE7" s="84"/>
      <c r="BF7" s="84" t="s">
        <v>270</v>
      </c>
      <c r="BG7" s="84" t="s">
        <v>281</v>
      </c>
      <c r="BH7" s="148" t="s">
        <v>290</v>
      </c>
      <c r="BI7" t="s">
        <v>155</v>
      </c>
      <c r="BJ7" t="s">
        <v>156</v>
      </c>
      <c r="BK7" t="s">
        <v>643</v>
      </c>
      <c r="BL7">
        <v>0.5</v>
      </c>
      <c r="BM7">
        <v>5381.62</v>
      </c>
      <c r="BN7">
        <v>-5381</v>
      </c>
      <c r="BO7" t="s">
        <v>154</v>
      </c>
      <c r="BP7">
        <v>9155613</v>
      </c>
      <c r="BQ7" t="s">
        <v>270</v>
      </c>
      <c r="BR7" t="s">
        <v>630</v>
      </c>
      <c r="BS7">
        <v>4</v>
      </c>
    </row>
    <row r="8" spans="1:71" s="0" customFormat="1" ht="14.5">
      <c r="A8" s="148" t="s">
        <v>157</v>
      </c>
      <c r="B8" s="149" t="s">
        <v>625</v>
      </c>
      <c r="C8" s="149">
        <v>107</v>
      </c>
      <c r="D8" s="149" t="s">
        <v>97</v>
      </c>
      <c r="E8" s="149" t="s">
        <v>98</v>
      </c>
      <c r="F8" s="84"/>
      <c r="G8" s="84"/>
      <c r="H8" s="149" t="s">
        <v>48</v>
      </c>
      <c r="I8" s="149" t="s">
        <v>158</v>
      </c>
      <c r="J8" s="149" t="s">
        <v>159</v>
      </c>
      <c r="K8" s="149" t="s">
        <v>163</v>
      </c>
      <c r="L8" s="149" t="s">
        <v>160</v>
      </c>
      <c r="M8" s="150">
        <v>46133</v>
      </c>
      <c r="N8" s="149" t="s">
        <v>644</v>
      </c>
      <c r="O8" s="149">
        <v>9164641</v>
      </c>
      <c r="P8" s="151">
        <v>46122</v>
      </c>
      <c r="Q8" s="149" t="s">
        <v>161</v>
      </c>
      <c r="R8" s="149">
        <v>3539</v>
      </c>
      <c r="S8" s="149" t="s">
        <v>414</v>
      </c>
      <c r="T8" s="149" t="s">
        <v>169</v>
      </c>
      <c r="U8" s="149" t="s">
        <v>415</v>
      </c>
      <c r="V8" s="149" t="s">
        <v>162</v>
      </c>
      <c r="W8" s="84"/>
      <c r="X8" s="149">
        <v>40000</v>
      </c>
      <c r="Y8" s="148">
        <v>1</v>
      </c>
      <c r="Z8" s="149">
        <v>40000</v>
      </c>
      <c r="AA8" s="149" t="s">
        <v>99</v>
      </c>
      <c r="AB8" s="149" t="s">
        <v>644</v>
      </c>
      <c r="AC8" s="150">
        <v>46122</v>
      </c>
      <c r="AD8" s="84"/>
      <c r="AE8" s="149">
        <v>998212</v>
      </c>
      <c r="AF8" s="149" t="s">
        <v>645</v>
      </c>
      <c r="AG8" s="84"/>
      <c r="AH8" s="84"/>
      <c r="AI8" s="149">
        <v>40000</v>
      </c>
      <c r="AJ8" s="149" t="s">
        <v>368</v>
      </c>
      <c r="AK8" s="149">
        <v>18</v>
      </c>
      <c r="AL8" s="148">
        <v>3600</v>
      </c>
      <c r="AM8" s="149">
        <v>3600</v>
      </c>
      <c r="AN8" s="148">
        <v>0</v>
      </c>
      <c r="AO8" s="149">
        <v>0</v>
      </c>
      <c r="AP8" s="149">
        <v>0</v>
      </c>
      <c r="AQ8" s="149">
        <v>0</v>
      </c>
      <c r="AR8" s="149">
        <v>0</v>
      </c>
      <c r="AS8" s="149">
        <v>0</v>
      </c>
      <c r="AT8" s="149">
        <v>0</v>
      </c>
      <c r="AU8" s="84"/>
      <c r="AV8" s="84"/>
      <c r="AW8" s="149">
        <v>0</v>
      </c>
      <c r="AX8" s="149">
        <v>47200</v>
      </c>
      <c r="AY8" s="149" t="s">
        <v>100</v>
      </c>
      <c r="AZ8" s="149" t="s">
        <v>100</v>
      </c>
      <c r="BA8" s="149" t="s">
        <v>200</v>
      </c>
      <c r="BB8" s="149">
        <v>1126100302</v>
      </c>
      <c r="BC8" s="149" t="s">
        <v>188</v>
      </c>
      <c r="BD8" s="149" t="s">
        <v>103</v>
      </c>
      <c r="BE8" s="84"/>
      <c r="BF8" s="84" t="s">
        <v>210</v>
      </c>
      <c r="BG8" s="84" t="s">
        <v>280</v>
      </c>
      <c r="BH8" s="148" t="s">
        <v>290</v>
      </c>
      <c r="BI8" t="s">
        <v>155</v>
      </c>
      <c r="BJ8" t="s">
        <v>156</v>
      </c>
      <c r="BK8" t="s">
        <v>646</v>
      </c>
      <c r="BL8">
        <v>7200</v>
      </c>
      <c r="BM8" t="e">
        <v>#N/A</v>
      </c>
      <c r="BN8" t="e">
        <v>#N/A</v>
      </c>
      <c r="BO8" t="s">
        <v>199</v>
      </c>
      <c r="BP8">
        <v>9164641</v>
      </c>
      <c r="BQ8" t="s">
        <v>210</v>
      </c>
      <c r="BR8" t="s">
        <v>630</v>
      </c>
      <c r="BS8">
        <v>1</v>
      </c>
    </row>
    <row r="9" spans="1:71" s="0" customFormat="1" ht="14.5">
      <c r="A9" s="148" t="s">
        <v>157</v>
      </c>
      <c r="B9" s="149" t="s">
        <v>625</v>
      </c>
      <c r="C9" s="149">
        <v>107</v>
      </c>
      <c r="D9" s="149" t="s">
        <v>97</v>
      </c>
      <c r="E9" s="149" t="s">
        <v>98</v>
      </c>
      <c r="F9" s="84"/>
      <c r="G9" s="84"/>
      <c r="H9" s="149" t="s">
        <v>48</v>
      </c>
      <c r="I9" s="149" t="s">
        <v>158</v>
      </c>
      <c r="J9" s="149" t="s">
        <v>159</v>
      </c>
      <c r="K9" s="149" t="s">
        <v>163</v>
      </c>
      <c r="L9" s="149" t="s">
        <v>160</v>
      </c>
      <c r="M9" s="150">
        <v>46136</v>
      </c>
      <c r="N9" s="149" t="s">
        <v>647</v>
      </c>
      <c r="O9" s="149">
        <v>9168298</v>
      </c>
      <c r="P9" s="151">
        <v>46127</v>
      </c>
      <c r="Q9" s="149" t="s">
        <v>161</v>
      </c>
      <c r="R9" s="149">
        <v>3484</v>
      </c>
      <c r="S9" s="149" t="s">
        <v>648</v>
      </c>
      <c r="T9" s="149" t="s">
        <v>169</v>
      </c>
      <c r="U9" s="149" t="s">
        <v>649</v>
      </c>
      <c r="V9" s="149" t="s">
        <v>162</v>
      </c>
      <c r="W9" s="84"/>
      <c r="X9" s="149">
        <v>5000</v>
      </c>
      <c r="Y9" s="148">
        <v>1</v>
      </c>
      <c r="Z9" s="149">
        <v>5000</v>
      </c>
      <c r="AA9" s="149" t="s">
        <v>99</v>
      </c>
      <c r="AB9" s="149" t="s">
        <v>647</v>
      </c>
      <c r="AC9" s="150">
        <v>46127</v>
      </c>
      <c r="AD9" s="149" t="s">
        <v>164</v>
      </c>
      <c r="AE9" s="149">
        <v>998716</v>
      </c>
      <c r="AF9" s="149" t="s">
        <v>650</v>
      </c>
      <c r="AG9" s="84"/>
      <c r="AH9" s="84"/>
      <c r="AI9" s="149">
        <v>5000</v>
      </c>
      <c r="AJ9" s="149" t="s">
        <v>368</v>
      </c>
      <c r="AK9" s="149">
        <v>18</v>
      </c>
      <c r="AL9" s="148">
        <v>450</v>
      </c>
      <c r="AM9" s="149">
        <v>450</v>
      </c>
      <c r="AN9" s="148">
        <v>0</v>
      </c>
      <c r="AO9" s="149">
        <v>0</v>
      </c>
      <c r="AP9" s="149">
        <v>0</v>
      </c>
      <c r="AQ9" s="149">
        <v>0</v>
      </c>
      <c r="AR9" s="149">
        <v>0</v>
      </c>
      <c r="AS9" s="149">
        <v>0</v>
      </c>
      <c r="AT9" s="149">
        <v>0</v>
      </c>
      <c r="AU9" s="84"/>
      <c r="AV9" s="84"/>
      <c r="AW9" s="149">
        <v>0</v>
      </c>
      <c r="AX9" s="149">
        <v>5900</v>
      </c>
      <c r="AY9" s="149" t="s">
        <v>100</v>
      </c>
      <c r="AZ9" s="149" t="s">
        <v>101</v>
      </c>
      <c r="BA9" s="149" t="s">
        <v>276</v>
      </c>
      <c r="BB9" s="149">
        <v>1126100391</v>
      </c>
      <c r="BC9" s="149" t="s">
        <v>105</v>
      </c>
      <c r="BD9" s="149" t="s">
        <v>103</v>
      </c>
      <c r="BE9" s="84"/>
      <c r="BF9" s="84" t="s">
        <v>270</v>
      </c>
      <c r="BG9" s="84" t="s">
        <v>281</v>
      </c>
      <c r="BH9" s="148" t="s">
        <v>290</v>
      </c>
      <c r="BI9" t="s">
        <v>155</v>
      </c>
      <c r="BJ9" t="s">
        <v>156</v>
      </c>
      <c r="BK9" t="s">
        <v>651</v>
      </c>
      <c r="BL9">
        <v>900</v>
      </c>
      <c r="BM9">
        <v>900</v>
      </c>
      <c r="BN9">
        <v>0</v>
      </c>
      <c r="BO9" t="s">
        <v>154</v>
      </c>
      <c r="BP9">
        <v>9168298</v>
      </c>
      <c r="BQ9" t="s">
        <v>270</v>
      </c>
      <c r="BR9" t="s">
        <v>630</v>
      </c>
      <c r="BS9">
        <v>1</v>
      </c>
    </row>
    <row r="10" spans="1:71" s="0" customFormat="1" ht="14.5">
      <c r="A10" s="148" t="s">
        <v>157</v>
      </c>
      <c r="B10" s="149" t="s">
        <v>625</v>
      </c>
      <c r="C10" s="149">
        <v>107</v>
      </c>
      <c r="D10" s="149" t="s">
        <v>97</v>
      </c>
      <c r="E10" s="149" t="s">
        <v>98</v>
      </c>
      <c r="F10" s="84"/>
      <c r="G10" s="84"/>
      <c r="H10" s="149" t="s">
        <v>48</v>
      </c>
      <c r="I10" s="149" t="s">
        <v>158</v>
      </c>
      <c r="J10" s="149" t="s">
        <v>159</v>
      </c>
      <c r="K10" s="149" t="s">
        <v>166</v>
      </c>
      <c r="L10" s="149" t="s">
        <v>160</v>
      </c>
      <c r="M10" s="150">
        <v>46142</v>
      </c>
      <c r="N10" s="149" t="s">
        <v>652</v>
      </c>
      <c r="O10" s="149">
        <v>9178440</v>
      </c>
      <c r="P10" s="151">
        <v>46089</v>
      </c>
      <c r="Q10" s="149" t="s">
        <v>161</v>
      </c>
      <c r="R10" s="149">
        <v>40270</v>
      </c>
      <c r="S10" s="149" t="s">
        <v>345</v>
      </c>
      <c r="T10" s="149" t="s">
        <v>346</v>
      </c>
      <c r="U10" s="149" t="s">
        <v>347</v>
      </c>
      <c r="V10" s="84"/>
      <c r="W10" s="84"/>
      <c r="X10" s="149">
        <v>0</v>
      </c>
      <c r="Y10" s="148">
        <v>0</v>
      </c>
      <c r="Z10" s="149">
        <v>1964.52</v>
      </c>
      <c r="AA10" s="149" t="s">
        <v>99</v>
      </c>
      <c r="AB10" s="149" t="s">
        <v>653</v>
      </c>
      <c r="AC10" s="150">
        <v>46089</v>
      </c>
      <c r="AD10" s="84"/>
      <c r="AE10" s="149">
        <v>9971</v>
      </c>
      <c r="AF10" s="149" t="s">
        <v>654</v>
      </c>
      <c r="AG10" s="84"/>
      <c r="AH10" s="84"/>
      <c r="AI10" s="149">
        <v>1964.52</v>
      </c>
      <c r="AJ10" s="149" t="s">
        <v>368</v>
      </c>
      <c r="AK10" s="149">
        <v>18</v>
      </c>
      <c r="AL10" s="148">
        <v>0</v>
      </c>
      <c r="AM10" s="149">
        <v>0</v>
      </c>
      <c r="AN10" s="148">
        <v>353.61</v>
      </c>
      <c r="AO10" s="149">
        <v>0</v>
      </c>
      <c r="AP10" s="149">
        <v>0</v>
      </c>
      <c r="AQ10" s="149">
        <v>0</v>
      </c>
      <c r="AR10" s="149">
        <v>0</v>
      </c>
      <c r="AS10" s="149">
        <v>0</v>
      </c>
      <c r="AT10" s="149">
        <v>0</v>
      </c>
      <c r="AU10" s="84"/>
      <c r="AV10" s="84"/>
      <c r="AW10" s="149">
        <v>0</v>
      </c>
      <c r="AX10" s="149">
        <v>2318.13</v>
      </c>
      <c r="AY10" s="149" t="s">
        <v>101</v>
      </c>
      <c r="AZ10" s="149" t="s">
        <v>101</v>
      </c>
      <c r="BA10" s="149" t="s">
        <v>642</v>
      </c>
      <c r="BB10" s="149">
        <v>1126100570</v>
      </c>
      <c r="BC10" s="149" t="s">
        <v>168</v>
      </c>
      <c r="BD10" s="149" t="s">
        <v>103</v>
      </c>
      <c r="BE10" s="84"/>
      <c r="BF10" s="84" t="s">
        <v>271</v>
      </c>
      <c r="BG10" s="84" t="s">
        <v>281</v>
      </c>
      <c r="BH10" s="148" t="s">
        <v>289</v>
      </c>
      <c r="BI10" t="s">
        <v>155</v>
      </c>
      <c r="BJ10" t="s">
        <v>156</v>
      </c>
      <c r="BK10" t="s">
        <v>655</v>
      </c>
      <c r="BL10">
        <v>353.61</v>
      </c>
      <c r="BM10">
        <v>353.61</v>
      </c>
      <c r="BN10">
        <v>0</v>
      </c>
      <c r="BO10" t="s">
        <v>154</v>
      </c>
      <c r="BP10">
        <v>9178440</v>
      </c>
      <c r="BQ10" t="s">
        <v>271</v>
      </c>
      <c r="BR10" t="s">
        <v>307</v>
      </c>
      <c r="BS10">
        <v>1</v>
      </c>
    </row>
    <row r="11" spans="1:71" s="0" customFormat="1" ht="14.5">
      <c r="A11" s="148" t="s">
        <v>157</v>
      </c>
      <c r="B11" s="149" t="s">
        <v>625</v>
      </c>
      <c r="C11" s="149">
        <v>107</v>
      </c>
      <c r="D11" s="149" t="s">
        <v>97</v>
      </c>
      <c r="E11" s="149" t="s">
        <v>98</v>
      </c>
      <c r="F11" s="84"/>
      <c r="G11" s="84"/>
      <c r="H11" s="149" t="s">
        <v>48</v>
      </c>
      <c r="I11" s="149" t="s">
        <v>158</v>
      </c>
      <c r="J11" s="149" t="s">
        <v>159</v>
      </c>
      <c r="K11" s="149" t="s">
        <v>163</v>
      </c>
      <c r="L11" s="149" t="s">
        <v>160</v>
      </c>
      <c r="M11" s="150">
        <v>46126</v>
      </c>
      <c r="N11" s="149" t="s">
        <v>656</v>
      </c>
      <c r="O11" s="149">
        <v>9155610</v>
      </c>
      <c r="P11" s="151">
        <v>46114</v>
      </c>
      <c r="Q11" s="149" t="s">
        <v>161</v>
      </c>
      <c r="R11" s="149">
        <v>2770</v>
      </c>
      <c r="S11" s="149" t="s">
        <v>299</v>
      </c>
      <c r="T11" s="149" t="s">
        <v>174</v>
      </c>
      <c r="U11" s="149" t="s">
        <v>175</v>
      </c>
      <c r="V11" s="149" t="s">
        <v>162</v>
      </c>
      <c r="W11" s="84"/>
      <c r="X11" s="149">
        <v>1</v>
      </c>
      <c r="Y11" s="148">
        <v>275</v>
      </c>
      <c r="Z11" s="149">
        <v>275</v>
      </c>
      <c r="AA11" s="149" t="s">
        <v>99</v>
      </c>
      <c r="AB11" s="149" t="s">
        <v>656</v>
      </c>
      <c r="AC11" s="150">
        <v>46114</v>
      </c>
      <c r="AD11" s="149" t="s">
        <v>171</v>
      </c>
      <c r="AE11" s="149">
        <v>84439952</v>
      </c>
      <c r="AF11" s="149" t="s">
        <v>657</v>
      </c>
      <c r="AG11" s="84"/>
      <c r="AH11" s="84"/>
      <c r="AI11" s="149">
        <v>275</v>
      </c>
      <c r="AJ11" s="149" t="s">
        <v>368</v>
      </c>
      <c r="AK11" s="149">
        <v>18</v>
      </c>
      <c r="AL11" s="148">
        <v>24.75</v>
      </c>
      <c r="AM11" s="149">
        <v>24.75</v>
      </c>
      <c r="AN11" s="148">
        <v>0</v>
      </c>
      <c r="AO11" s="149">
        <v>0</v>
      </c>
      <c r="AP11" s="149">
        <v>0</v>
      </c>
      <c r="AQ11" s="149">
        <v>0</v>
      </c>
      <c r="AR11" s="149">
        <v>0</v>
      </c>
      <c r="AS11" s="149">
        <v>0</v>
      </c>
      <c r="AT11" s="149">
        <v>0</v>
      </c>
      <c r="AU11" s="84"/>
      <c r="AV11" s="84"/>
      <c r="AW11" s="149">
        <v>0</v>
      </c>
      <c r="AX11" s="149">
        <v>324.5</v>
      </c>
      <c r="AY11" s="149" t="s">
        <v>100</v>
      </c>
      <c r="AZ11" s="149" t="s">
        <v>101</v>
      </c>
      <c r="BA11" s="149" t="s">
        <v>642</v>
      </c>
      <c r="BB11" s="149">
        <v>1126100060</v>
      </c>
      <c r="BC11" s="149" t="s">
        <v>105</v>
      </c>
      <c r="BD11" s="149" t="s">
        <v>103</v>
      </c>
      <c r="BE11" s="84"/>
      <c r="BF11" s="84" t="s">
        <v>270</v>
      </c>
      <c r="BG11" s="84" t="s">
        <v>281</v>
      </c>
      <c r="BH11" s="148" t="s">
        <v>290</v>
      </c>
      <c r="BI11" t="s">
        <v>155</v>
      </c>
      <c r="BJ11" t="s">
        <v>156</v>
      </c>
      <c r="BK11" t="s">
        <v>658</v>
      </c>
      <c r="BL11">
        <v>49.5</v>
      </c>
      <c r="BM11">
        <v>489.18</v>
      </c>
      <c r="BN11">
        <v>-440</v>
      </c>
      <c r="BO11" t="s">
        <v>154</v>
      </c>
      <c r="BP11">
        <v>9155610</v>
      </c>
      <c r="BQ11" t="s">
        <v>270</v>
      </c>
      <c r="BR11" t="s">
        <v>630</v>
      </c>
      <c r="BS11">
        <v>4</v>
      </c>
    </row>
    <row r="12" spans="1:71" s="0" customFormat="1" ht="14.5">
      <c r="A12" s="148" t="s">
        <v>157</v>
      </c>
      <c r="B12" s="149" t="s">
        <v>625</v>
      </c>
      <c r="C12" s="149">
        <v>107</v>
      </c>
      <c r="D12" s="149" t="s">
        <v>97</v>
      </c>
      <c r="E12" s="149" t="s">
        <v>98</v>
      </c>
      <c r="F12" s="84"/>
      <c r="G12" s="149" t="s">
        <v>106</v>
      </c>
      <c r="H12" s="149" t="s">
        <v>48</v>
      </c>
      <c r="I12" s="149" t="s">
        <v>158</v>
      </c>
      <c r="J12" s="149" t="s">
        <v>165</v>
      </c>
      <c r="K12" s="149" t="s">
        <v>166</v>
      </c>
      <c r="L12" s="149" t="s">
        <v>160</v>
      </c>
      <c r="M12" s="150">
        <v>46140</v>
      </c>
      <c r="N12" s="149" t="s">
        <v>632</v>
      </c>
      <c r="O12" s="149">
        <v>9174963</v>
      </c>
      <c r="P12" s="151">
        <v>46129</v>
      </c>
      <c r="Q12" s="149" t="s">
        <v>161</v>
      </c>
      <c r="R12" s="149">
        <v>35671</v>
      </c>
      <c r="S12" s="149" t="s">
        <v>424</v>
      </c>
      <c r="T12" s="149" t="s">
        <v>425</v>
      </c>
      <c r="U12" s="149" t="s">
        <v>426</v>
      </c>
      <c r="V12" s="149" t="s">
        <v>162</v>
      </c>
      <c r="W12" s="84"/>
      <c r="X12" s="149">
        <v>275</v>
      </c>
      <c r="Y12" s="148">
        <v>24</v>
      </c>
      <c r="Z12" s="149">
        <v>6600</v>
      </c>
      <c r="AA12" s="149" t="s">
        <v>99</v>
      </c>
      <c r="AB12" s="149" t="s">
        <v>632</v>
      </c>
      <c r="AC12" s="150">
        <v>46129</v>
      </c>
      <c r="AD12" s="149" t="s">
        <v>164</v>
      </c>
      <c r="AE12" s="149">
        <v>996200</v>
      </c>
      <c r="AF12" s="149" t="s">
        <v>659</v>
      </c>
      <c r="AG12" s="84"/>
      <c r="AH12" s="84"/>
      <c r="AI12" s="149">
        <v>6600</v>
      </c>
      <c r="AJ12" s="149" t="s">
        <v>368</v>
      </c>
      <c r="AK12" s="149">
        <v>18</v>
      </c>
      <c r="AL12" s="148">
        <v>0</v>
      </c>
      <c r="AM12" s="149">
        <v>0</v>
      </c>
      <c r="AN12" s="148">
        <v>1188</v>
      </c>
      <c r="AO12" s="149">
        <v>0</v>
      </c>
      <c r="AP12" s="149">
        <v>0</v>
      </c>
      <c r="AQ12" s="149">
        <v>0</v>
      </c>
      <c r="AR12" s="149">
        <v>0</v>
      </c>
      <c r="AS12" s="149">
        <v>0</v>
      </c>
      <c r="AT12" s="149">
        <v>0</v>
      </c>
      <c r="AU12" s="84"/>
      <c r="AV12" s="84"/>
      <c r="AW12" s="149">
        <v>0</v>
      </c>
      <c r="AX12" s="149">
        <v>7788</v>
      </c>
      <c r="AY12" s="149" t="s">
        <v>101</v>
      </c>
      <c r="AZ12" s="149" t="s">
        <v>101</v>
      </c>
      <c r="BA12" s="149" t="s">
        <v>634</v>
      </c>
      <c r="BB12" s="149">
        <v>1126100446</v>
      </c>
      <c r="BC12" s="149" t="s">
        <v>168</v>
      </c>
      <c r="BD12" s="149" t="s">
        <v>272</v>
      </c>
      <c r="BE12" s="84"/>
      <c r="BF12" s="84" t="s">
        <v>271</v>
      </c>
      <c r="BG12" s="84" t="s">
        <v>281</v>
      </c>
      <c r="BH12" s="148" t="s">
        <v>290</v>
      </c>
      <c r="BI12" t="s">
        <v>155</v>
      </c>
      <c r="BJ12" t="s">
        <v>156</v>
      </c>
      <c r="BK12" t="s">
        <v>635</v>
      </c>
      <c r="BL12">
        <v>1188</v>
      </c>
      <c r="BM12">
        <v>36494.74</v>
      </c>
      <c r="BN12">
        <v>-35307</v>
      </c>
      <c r="BO12" t="s">
        <v>154</v>
      </c>
      <c r="BP12">
        <v>9174963</v>
      </c>
      <c r="BQ12" t="s">
        <v>271</v>
      </c>
      <c r="BR12" t="s">
        <v>630</v>
      </c>
      <c r="BS12">
        <v>36</v>
      </c>
    </row>
    <row r="13" spans="1:71" s="0" customFormat="1" ht="14.5">
      <c r="A13" s="148" t="s">
        <v>157</v>
      </c>
      <c r="B13" s="149" t="s">
        <v>625</v>
      </c>
      <c r="C13" s="149">
        <v>107</v>
      </c>
      <c r="D13" s="149" t="s">
        <v>97</v>
      </c>
      <c r="E13" s="149" t="s">
        <v>98</v>
      </c>
      <c r="F13" s="84"/>
      <c r="G13" s="149" t="s">
        <v>106</v>
      </c>
      <c r="H13" s="149" t="s">
        <v>48</v>
      </c>
      <c r="I13" s="149" t="s">
        <v>158</v>
      </c>
      <c r="J13" s="149" t="s">
        <v>165</v>
      </c>
      <c r="K13" s="149" t="s">
        <v>166</v>
      </c>
      <c r="L13" s="149" t="s">
        <v>160</v>
      </c>
      <c r="M13" s="150">
        <v>46127</v>
      </c>
      <c r="N13" s="149" t="s">
        <v>636</v>
      </c>
      <c r="O13" s="149">
        <v>9156749</v>
      </c>
      <c r="P13" s="151">
        <v>46115</v>
      </c>
      <c r="Q13" s="149" t="s">
        <v>161</v>
      </c>
      <c r="R13" s="149">
        <v>6262</v>
      </c>
      <c r="S13" s="149" t="s">
        <v>183</v>
      </c>
      <c r="T13" s="149" t="s">
        <v>182</v>
      </c>
      <c r="U13" s="149" t="s">
        <v>184</v>
      </c>
      <c r="V13" s="149" t="s">
        <v>162</v>
      </c>
      <c r="W13" s="84"/>
      <c r="X13" s="149">
        <v>1</v>
      </c>
      <c r="Y13" s="148">
        <v>1297</v>
      </c>
      <c r="Z13" s="149">
        <v>1297</v>
      </c>
      <c r="AA13" s="149" t="s">
        <v>99</v>
      </c>
      <c r="AB13" s="149" t="s">
        <v>637</v>
      </c>
      <c r="AC13" s="150">
        <v>46115</v>
      </c>
      <c r="AD13" s="149" t="s">
        <v>171</v>
      </c>
      <c r="AE13" s="149">
        <v>998413</v>
      </c>
      <c r="AF13" s="149" t="s">
        <v>638</v>
      </c>
      <c r="AG13" s="84"/>
      <c r="AH13" s="84"/>
      <c r="AI13" s="149">
        <v>1297</v>
      </c>
      <c r="AJ13" s="149" t="s">
        <v>368</v>
      </c>
      <c r="AK13" s="149">
        <v>18</v>
      </c>
      <c r="AL13" s="148">
        <v>116.73</v>
      </c>
      <c r="AM13" s="149">
        <v>116.73</v>
      </c>
      <c r="AN13" s="148">
        <v>0</v>
      </c>
      <c r="AO13" s="149">
        <v>0</v>
      </c>
      <c r="AP13" s="149">
        <v>0</v>
      </c>
      <c r="AQ13" s="149">
        <v>0</v>
      </c>
      <c r="AR13" s="149">
        <v>0</v>
      </c>
      <c r="AS13" s="149">
        <v>0</v>
      </c>
      <c r="AT13" s="149">
        <v>0</v>
      </c>
      <c r="AU13" s="84"/>
      <c r="AV13" s="84"/>
      <c r="AW13" s="149">
        <v>0</v>
      </c>
      <c r="AX13" s="149">
        <v>1530.46</v>
      </c>
      <c r="AY13" s="149" t="s">
        <v>100</v>
      </c>
      <c r="AZ13" s="149" t="s">
        <v>101</v>
      </c>
      <c r="BA13" s="149" t="s">
        <v>311</v>
      </c>
      <c r="BB13" s="149">
        <v>1126100078</v>
      </c>
      <c r="BC13" s="149" t="s">
        <v>105</v>
      </c>
      <c r="BD13" s="149" t="s">
        <v>103</v>
      </c>
      <c r="BE13" s="84"/>
      <c r="BF13" s="84" t="s">
        <v>270</v>
      </c>
      <c r="BG13" s="84" t="s">
        <v>281</v>
      </c>
      <c r="BH13" s="148" t="s">
        <v>290</v>
      </c>
      <c r="BI13" t="s">
        <v>155</v>
      </c>
      <c r="BJ13" t="s">
        <v>156</v>
      </c>
      <c r="BK13" t="s">
        <v>639</v>
      </c>
      <c r="BL13">
        <v>233.46</v>
      </c>
      <c r="BM13">
        <v>8534.42</v>
      </c>
      <c r="BN13">
        <v>-8301</v>
      </c>
      <c r="BO13" t="s">
        <v>154</v>
      </c>
      <c r="BP13">
        <v>9156749</v>
      </c>
      <c r="BQ13" t="s">
        <v>270</v>
      </c>
      <c r="BR13" t="s">
        <v>630</v>
      </c>
      <c r="BS13">
        <v>17</v>
      </c>
    </row>
    <row r="14" spans="1:71" s="0" customFormat="1" ht="14.5">
      <c r="A14" s="148" t="s">
        <v>157</v>
      </c>
      <c r="B14" s="149" t="s">
        <v>625</v>
      </c>
      <c r="C14" s="149">
        <v>107</v>
      </c>
      <c r="D14" s="149" t="s">
        <v>97</v>
      </c>
      <c r="E14" s="149" t="s">
        <v>98</v>
      </c>
      <c r="F14" s="84"/>
      <c r="G14" s="149" t="s">
        <v>106</v>
      </c>
      <c r="H14" s="149" t="s">
        <v>48</v>
      </c>
      <c r="I14" s="149" t="s">
        <v>158</v>
      </c>
      <c r="J14" s="149" t="s">
        <v>165</v>
      </c>
      <c r="K14" s="149" t="s">
        <v>166</v>
      </c>
      <c r="L14" s="149" t="s">
        <v>160</v>
      </c>
      <c r="M14" s="150">
        <v>46127</v>
      </c>
      <c r="N14" s="149" t="s">
        <v>636</v>
      </c>
      <c r="O14" s="149">
        <v>9156749</v>
      </c>
      <c r="P14" s="151">
        <v>46115</v>
      </c>
      <c r="Q14" s="149" t="s">
        <v>161</v>
      </c>
      <c r="R14" s="149">
        <v>6262</v>
      </c>
      <c r="S14" s="149" t="s">
        <v>183</v>
      </c>
      <c r="T14" s="149" t="s">
        <v>182</v>
      </c>
      <c r="U14" s="149" t="s">
        <v>184</v>
      </c>
      <c r="V14" s="149" t="s">
        <v>162</v>
      </c>
      <c r="W14" s="84"/>
      <c r="X14" s="149">
        <v>1</v>
      </c>
      <c r="Y14" s="148">
        <v>399</v>
      </c>
      <c r="Z14" s="149">
        <v>399</v>
      </c>
      <c r="AA14" s="149" t="s">
        <v>99</v>
      </c>
      <c r="AB14" s="149" t="s">
        <v>637</v>
      </c>
      <c r="AC14" s="150">
        <v>46115</v>
      </c>
      <c r="AD14" s="149" t="s">
        <v>171</v>
      </c>
      <c r="AE14" s="149">
        <v>998413</v>
      </c>
      <c r="AF14" s="149" t="s">
        <v>638</v>
      </c>
      <c r="AG14" s="84"/>
      <c r="AH14" s="84"/>
      <c r="AI14" s="149">
        <v>399</v>
      </c>
      <c r="AJ14" s="149" t="s">
        <v>368</v>
      </c>
      <c r="AK14" s="149">
        <v>18</v>
      </c>
      <c r="AL14" s="148">
        <v>35.909999999999997</v>
      </c>
      <c r="AM14" s="149">
        <v>35.909999999999997</v>
      </c>
      <c r="AN14" s="148">
        <v>0</v>
      </c>
      <c r="AO14" s="149">
        <v>0</v>
      </c>
      <c r="AP14" s="149">
        <v>0</v>
      </c>
      <c r="AQ14" s="149">
        <v>0</v>
      </c>
      <c r="AR14" s="149">
        <v>0</v>
      </c>
      <c r="AS14" s="149">
        <v>0</v>
      </c>
      <c r="AT14" s="149">
        <v>0</v>
      </c>
      <c r="AU14" s="84"/>
      <c r="AV14" s="84"/>
      <c r="AW14" s="149">
        <v>0</v>
      </c>
      <c r="AX14" s="149">
        <v>470.82</v>
      </c>
      <c r="AY14" s="149" t="s">
        <v>100</v>
      </c>
      <c r="AZ14" s="149" t="s">
        <v>101</v>
      </c>
      <c r="BA14" s="149" t="s">
        <v>311</v>
      </c>
      <c r="BB14" s="149">
        <v>1126100078</v>
      </c>
      <c r="BC14" s="149" t="s">
        <v>105</v>
      </c>
      <c r="BD14" s="149" t="s">
        <v>103</v>
      </c>
      <c r="BE14" s="84"/>
      <c r="BF14" s="84" t="s">
        <v>270</v>
      </c>
      <c r="BG14" s="84" t="s">
        <v>281</v>
      </c>
      <c r="BH14" s="148" t="s">
        <v>290</v>
      </c>
      <c r="BI14" t="s">
        <v>155</v>
      </c>
      <c r="BJ14" t="s">
        <v>156</v>
      </c>
      <c r="BK14" t="s">
        <v>639</v>
      </c>
      <c r="BL14">
        <v>71.819999999999993</v>
      </c>
      <c r="BM14">
        <v>8534.42</v>
      </c>
      <c r="BN14">
        <v>-8463</v>
      </c>
      <c r="BO14" t="s">
        <v>154</v>
      </c>
      <c r="BP14">
        <v>9156749</v>
      </c>
      <c r="BQ14" t="s">
        <v>270</v>
      </c>
      <c r="BR14" t="s">
        <v>630</v>
      </c>
      <c r="BS14">
        <v>17</v>
      </c>
    </row>
    <row r="15" spans="1:71" s="0" customFormat="1" ht="14.5">
      <c r="A15" s="148" t="s">
        <v>157</v>
      </c>
      <c r="B15" s="149" t="s">
        <v>625</v>
      </c>
      <c r="C15" s="149">
        <v>107</v>
      </c>
      <c r="D15" s="149" t="s">
        <v>97</v>
      </c>
      <c r="E15" s="149" t="s">
        <v>98</v>
      </c>
      <c r="F15" s="84"/>
      <c r="G15" s="149" t="s">
        <v>106</v>
      </c>
      <c r="H15" s="149" t="s">
        <v>48</v>
      </c>
      <c r="I15" s="149" t="s">
        <v>158</v>
      </c>
      <c r="J15" s="149" t="s">
        <v>165</v>
      </c>
      <c r="K15" s="149" t="s">
        <v>166</v>
      </c>
      <c r="L15" s="149" t="s">
        <v>160</v>
      </c>
      <c r="M15" s="150">
        <v>46140</v>
      </c>
      <c r="N15" s="149" t="s">
        <v>660</v>
      </c>
      <c r="O15" s="149">
        <v>9175014</v>
      </c>
      <c r="P15" s="151">
        <v>46129</v>
      </c>
      <c r="Q15" s="149" t="s">
        <v>161</v>
      </c>
      <c r="R15" s="149">
        <v>15979</v>
      </c>
      <c r="S15" s="149" t="s">
        <v>369</v>
      </c>
      <c r="T15" s="149" t="s">
        <v>169</v>
      </c>
      <c r="U15" s="149" t="s">
        <v>370</v>
      </c>
      <c r="V15" s="149" t="s">
        <v>162</v>
      </c>
      <c r="W15" s="84"/>
      <c r="X15" s="149">
        <v>100</v>
      </c>
      <c r="Y15" s="148">
        <v>1</v>
      </c>
      <c r="Z15" s="149">
        <v>100</v>
      </c>
      <c r="AA15" s="149" t="s">
        <v>99</v>
      </c>
      <c r="AB15" s="149" t="s">
        <v>660</v>
      </c>
      <c r="AC15" s="150">
        <v>46129</v>
      </c>
      <c r="AD15" s="149" t="s">
        <v>164</v>
      </c>
      <c r="AE15" s="149">
        <v>84212300</v>
      </c>
      <c r="AF15" s="149" t="s">
        <v>661</v>
      </c>
      <c r="AG15" s="84"/>
      <c r="AH15" s="84"/>
      <c r="AI15" s="149">
        <v>100</v>
      </c>
      <c r="AJ15" s="149" t="s">
        <v>368</v>
      </c>
      <c r="AK15" s="149">
        <v>18</v>
      </c>
      <c r="AL15" s="148">
        <v>9</v>
      </c>
      <c r="AM15" s="149">
        <v>9</v>
      </c>
      <c r="AN15" s="148">
        <v>0</v>
      </c>
      <c r="AO15" s="149">
        <v>0</v>
      </c>
      <c r="AP15" s="149">
        <v>0</v>
      </c>
      <c r="AQ15" s="149">
        <v>0</v>
      </c>
      <c r="AR15" s="149">
        <v>0</v>
      </c>
      <c r="AS15" s="149">
        <v>0</v>
      </c>
      <c r="AT15" s="149">
        <v>0</v>
      </c>
      <c r="AU15" s="84"/>
      <c r="AV15" s="84"/>
      <c r="AW15" s="149">
        <v>0</v>
      </c>
      <c r="AX15" s="149">
        <v>118</v>
      </c>
      <c r="AY15" s="149" t="s">
        <v>101</v>
      </c>
      <c r="AZ15" s="149" t="s">
        <v>101</v>
      </c>
      <c r="BA15" s="149" t="s">
        <v>662</v>
      </c>
      <c r="BB15" s="149">
        <v>1126100447</v>
      </c>
      <c r="BC15" s="149" t="s">
        <v>172</v>
      </c>
      <c r="BD15" s="149" t="s">
        <v>272</v>
      </c>
      <c r="BE15" s="84"/>
      <c r="BF15" s="84" t="s">
        <v>271</v>
      </c>
      <c r="BG15" s="84" t="s">
        <v>281</v>
      </c>
      <c r="BH15" s="148" t="s">
        <v>290</v>
      </c>
      <c r="BI15" t="s">
        <v>155</v>
      </c>
      <c r="BJ15" t="s">
        <v>156</v>
      </c>
      <c r="BK15" t="s">
        <v>663</v>
      </c>
      <c r="BL15">
        <v>18</v>
      </c>
      <c r="BM15">
        <v>2435.38</v>
      </c>
      <c r="BN15">
        <v>-2417</v>
      </c>
      <c r="BO15" t="s">
        <v>154</v>
      </c>
      <c r="BP15">
        <v>9175014</v>
      </c>
      <c r="BQ15" t="s">
        <v>271</v>
      </c>
      <c r="BR15" t="s">
        <v>630</v>
      </c>
      <c r="BS15">
        <v>18</v>
      </c>
    </row>
    <row r="16" spans="1:71" s="0" customFormat="1" ht="14.5">
      <c r="A16" s="148" t="s">
        <v>157</v>
      </c>
      <c r="B16" s="149" t="s">
        <v>625</v>
      </c>
      <c r="C16" s="149">
        <v>107</v>
      </c>
      <c r="D16" s="149" t="s">
        <v>97</v>
      </c>
      <c r="E16" s="149" t="s">
        <v>98</v>
      </c>
      <c r="F16" s="84"/>
      <c r="G16" s="84"/>
      <c r="H16" s="149" t="s">
        <v>48</v>
      </c>
      <c r="I16" s="149" t="s">
        <v>158</v>
      </c>
      <c r="J16" s="149" t="s">
        <v>159</v>
      </c>
      <c r="K16" s="149" t="s">
        <v>163</v>
      </c>
      <c r="L16" s="149" t="s">
        <v>160</v>
      </c>
      <c r="M16" s="150">
        <v>46125</v>
      </c>
      <c r="N16" s="149" t="s">
        <v>664</v>
      </c>
      <c r="O16" s="149">
        <v>9151136</v>
      </c>
      <c r="P16" s="151">
        <v>46113</v>
      </c>
      <c r="Q16" s="149" t="s">
        <v>161</v>
      </c>
      <c r="R16" s="149">
        <v>25119</v>
      </c>
      <c r="S16" s="149" t="s">
        <v>313</v>
      </c>
      <c r="T16" s="149" t="s">
        <v>169</v>
      </c>
      <c r="U16" s="149" t="s">
        <v>314</v>
      </c>
      <c r="V16" s="149" t="s">
        <v>162</v>
      </c>
      <c r="W16" s="84"/>
      <c r="X16" s="149">
        <v>792000</v>
      </c>
      <c r="Y16" s="148">
        <v>1</v>
      </c>
      <c r="Z16" s="149">
        <v>792000</v>
      </c>
      <c r="AA16" s="149" t="s">
        <v>99</v>
      </c>
      <c r="AB16" s="149" t="s">
        <v>664</v>
      </c>
      <c r="AC16" s="150">
        <v>46113</v>
      </c>
      <c r="AD16" s="149" t="s">
        <v>164</v>
      </c>
      <c r="AE16" s="149">
        <v>997221</v>
      </c>
      <c r="AF16" s="149" t="s">
        <v>665</v>
      </c>
      <c r="AG16" s="84"/>
      <c r="AH16" s="84"/>
      <c r="AI16" s="149">
        <v>792000</v>
      </c>
      <c r="AJ16" s="149" t="s">
        <v>368</v>
      </c>
      <c r="AK16" s="149">
        <v>18</v>
      </c>
      <c r="AL16" s="148">
        <v>71280</v>
      </c>
      <c r="AM16" s="149">
        <v>71280</v>
      </c>
      <c r="AN16" s="148">
        <v>0</v>
      </c>
      <c r="AO16" s="149">
        <v>0</v>
      </c>
      <c r="AP16" s="149">
        <v>0</v>
      </c>
      <c r="AQ16" s="149">
        <v>0</v>
      </c>
      <c r="AR16" s="149">
        <v>0</v>
      </c>
      <c r="AS16" s="149">
        <v>0</v>
      </c>
      <c r="AT16" s="149">
        <v>0</v>
      </c>
      <c r="AU16" s="84"/>
      <c r="AV16" s="84"/>
      <c r="AW16" s="149">
        <v>0</v>
      </c>
      <c r="AX16" s="149">
        <v>934560</v>
      </c>
      <c r="AY16" s="149" t="s">
        <v>100</v>
      </c>
      <c r="AZ16" s="149" t="s">
        <v>101</v>
      </c>
      <c r="BA16" s="149" t="s">
        <v>315</v>
      </c>
      <c r="BB16" s="149">
        <v>1126100026</v>
      </c>
      <c r="BC16" s="149" t="s">
        <v>105</v>
      </c>
      <c r="BD16" s="149" t="s">
        <v>103</v>
      </c>
      <c r="BE16" s="84"/>
      <c r="BF16" s="84" t="s">
        <v>270</v>
      </c>
      <c r="BG16" s="84" t="s">
        <v>281</v>
      </c>
      <c r="BH16" s="148" t="s">
        <v>290</v>
      </c>
      <c r="BI16" t="s">
        <v>155</v>
      </c>
      <c r="BJ16" t="s">
        <v>156</v>
      </c>
      <c r="BK16" t="s">
        <v>666</v>
      </c>
      <c r="BL16">
        <v>142560</v>
      </c>
      <c r="BM16">
        <v>142560</v>
      </c>
      <c r="BN16">
        <v>0</v>
      </c>
      <c r="BO16" t="s">
        <v>154</v>
      </c>
      <c r="BP16">
        <v>9151136</v>
      </c>
      <c r="BQ16" t="s">
        <v>270</v>
      </c>
      <c r="BR16" t="s">
        <v>630</v>
      </c>
      <c r="BS16">
        <v>1</v>
      </c>
    </row>
    <row r="17" spans="1:71" s="0" customFormat="1" ht="14.5">
      <c r="A17" s="148" t="s">
        <v>157</v>
      </c>
      <c r="B17" s="149" t="s">
        <v>625</v>
      </c>
      <c r="C17" s="149">
        <v>107</v>
      </c>
      <c r="D17" s="149" t="s">
        <v>97</v>
      </c>
      <c r="E17" s="149" t="s">
        <v>98</v>
      </c>
      <c r="F17" s="84"/>
      <c r="G17" s="149" t="s">
        <v>106</v>
      </c>
      <c r="H17" s="149" t="s">
        <v>48</v>
      </c>
      <c r="I17" s="149" t="s">
        <v>158</v>
      </c>
      <c r="J17" s="149" t="s">
        <v>165</v>
      </c>
      <c r="K17" s="149" t="s">
        <v>166</v>
      </c>
      <c r="L17" s="149" t="s">
        <v>160</v>
      </c>
      <c r="M17" s="150">
        <v>46127</v>
      </c>
      <c r="N17" s="149" t="s">
        <v>626</v>
      </c>
      <c r="O17" s="149">
        <v>9158398</v>
      </c>
      <c r="P17" s="151">
        <v>46090</v>
      </c>
      <c r="Q17" s="149" t="s">
        <v>161</v>
      </c>
      <c r="R17" s="149">
        <v>35671</v>
      </c>
      <c r="S17" s="149" t="s">
        <v>424</v>
      </c>
      <c r="T17" s="149" t="s">
        <v>425</v>
      </c>
      <c r="U17" s="149" t="s">
        <v>426</v>
      </c>
      <c r="V17" s="149" t="s">
        <v>162</v>
      </c>
      <c r="W17" s="84"/>
      <c r="X17" s="149">
        <v>275</v>
      </c>
      <c r="Y17" s="148">
        <v>38</v>
      </c>
      <c r="Z17" s="149">
        <v>10450</v>
      </c>
      <c r="AA17" s="149" t="s">
        <v>99</v>
      </c>
      <c r="AB17" s="149" t="s">
        <v>626</v>
      </c>
      <c r="AC17" s="150">
        <v>46121</v>
      </c>
      <c r="AD17" s="149" t="s">
        <v>164</v>
      </c>
      <c r="AE17" s="149">
        <v>998700</v>
      </c>
      <c r="AF17" s="149" t="s">
        <v>667</v>
      </c>
      <c r="AG17" s="84"/>
      <c r="AH17" s="84"/>
      <c r="AI17" s="149">
        <v>10450</v>
      </c>
      <c r="AJ17" s="149" t="s">
        <v>368</v>
      </c>
      <c r="AK17" s="149">
        <v>18</v>
      </c>
      <c r="AL17" s="148">
        <v>0</v>
      </c>
      <c r="AM17" s="149">
        <v>0</v>
      </c>
      <c r="AN17" s="148">
        <v>1881</v>
      </c>
      <c r="AO17" s="149">
        <v>0</v>
      </c>
      <c r="AP17" s="149">
        <v>0</v>
      </c>
      <c r="AQ17" s="149">
        <v>0</v>
      </c>
      <c r="AR17" s="149">
        <v>0</v>
      </c>
      <c r="AS17" s="149">
        <v>0</v>
      </c>
      <c r="AT17" s="149">
        <v>0</v>
      </c>
      <c r="AU17" s="84"/>
      <c r="AV17" s="84"/>
      <c r="AW17" s="149">
        <v>0</v>
      </c>
      <c r="AX17" s="149">
        <v>12331</v>
      </c>
      <c r="AY17" s="149" t="s">
        <v>101</v>
      </c>
      <c r="AZ17" s="149" t="s">
        <v>101</v>
      </c>
      <c r="BA17" s="149" t="s">
        <v>628</v>
      </c>
      <c r="BB17" s="149">
        <v>1126100105</v>
      </c>
      <c r="BC17" s="149" t="s">
        <v>168</v>
      </c>
      <c r="BD17" s="149" t="s">
        <v>272</v>
      </c>
      <c r="BE17" s="84"/>
      <c r="BF17" s="84" t="s">
        <v>271</v>
      </c>
      <c r="BG17" s="84" t="s">
        <v>281</v>
      </c>
      <c r="BH17" s="148" t="s">
        <v>290</v>
      </c>
      <c r="BI17" t="s">
        <v>155</v>
      </c>
      <c r="BJ17" t="s">
        <v>156</v>
      </c>
      <c r="BK17" t="s">
        <v>629</v>
      </c>
      <c r="BL17">
        <v>1881</v>
      </c>
      <c r="BM17">
        <v>38182.879999999997</v>
      </c>
      <c r="BN17">
        <v>-36302</v>
      </c>
      <c r="BO17" t="s">
        <v>154</v>
      </c>
      <c r="BP17">
        <v>9158398</v>
      </c>
      <c r="BQ17" t="s">
        <v>271</v>
      </c>
      <c r="BR17" t="s">
        <v>630</v>
      </c>
      <c r="BS17">
        <v>37</v>
      </c>
    </row>
    <row r="18" spans="1:71" s="0" customFormat="1" ht="14.5">
      <c r="A18" s="148" t="s">
        <v>157</v>
      </c>
      <c r="B18" s="149" t="s">
        <v>625</v>
      </c>
      <c r="C18" s="149">
        <v>107</v>
      </c>
      <c r="D18" s="149" t="s">
        <v>97</v>
      </c>
      <c r="E18" s="149" t="s">
        <v>98</v>
      </c>
      <c r="F18" s="84"/>
      <c r="G18" s="84"/>
      <c r="H18" s="149" t="s">
        <v>48</v>
      </c>
      <c r="I18" s="149" t="s">
        <v>158</v>
      </c>
      <c r="J18" s="149" t="s">
        <v>159</v>
      </c>
      <c r="K18" s="149" t="s">
        <v>163</v>
      </c>
      <c r="L18" s="149" t="s">
        <v>160</v>
      </c>
      <c r="M18" s="150">
        <v>46126</v>
      </c>
      <c r="N18" s="149" t="s">
        <v>668</v>
      </c>
      <c r="O18" s="149">
        <v>9155609</v>
      </c>
      <c r="P18" s="151">
        <v>46114</v>
      </c>
      <c r="Q18" s="149" t="s">
        <v>161</v>
      </c>
      <c r="R18" s="149">
        <v>2770</v>
      </c>
      <c r="S18" s="149" t="s">
        <v>299</v>
      </c>
      <c r="T18" s="149" t="s">
        <v>174</v>
      </c>
      <c r="U18" s="149" t="s">
        <v>175</v>
      </c>
      <c r="V18" s="149" t="s">
        <v>162</v>
      </c>
      <c r="W18" s="84"/>
      <c r="X18" s="149">
        <v>1</v>
      </c>
      <c r="Y18" s="148">
        <v>1.60</v>
      </c>
      <c r="Z18" s="149">
        <v>1.60</v>
      </c>
      <c r="AA18" s="149" t="s">
        <v>99</v>
      </c>
      <c r="AB18" s="149" t="s">
        <v>668</v>
      </c>
      <c r="AC18" s="150">
        <v>46114</v>
      </c>
      <c r="AD18" s="149" t="s">
        <v>171</v>
      </c>
      <c r="AE18" s="149">
        <v>84439952</v>
      </c>
      <c r="AF18" s="149" t="s">
        <v>457</v>
      </c>
      <c r="AG18" s="84"/>
      <c r="AH18" s="84"/>
      <c r="AI18" s="149">
        <v>1.60</v>
      </c>
      <c r="AJ18" s="149" t="s">
        <v>368</v>
      </c>
      <c r="AK18" s="149">
        <v>18</v>
      </c>
      <c r="AL18" s="148">
        <v>0.14000000000000001</v>
      </c>
      <c r="AM18" s="149">
        <v>0.14000000000000001</v>
      </c>
      <c r="AN18" s="148">
        <v>0</v>
      </c>
      <c r="AO18" s="149">
        <v>0</v>
      </c>
      <c r="AP18" s="149">
        <v>0</v>
      </c>
      <c r="AQ18" s="149">
        <v>0</v>
      </c>
      <c r="AR18" s="149">
        <v>0</v>
      </c>
      <c r="AS18" s="149">
        <v>0</v>
      </c>
      <c r="AT18" s="149">
        <v>0</v>
      </c>
      <c r="AU18" s="84"/>
      <c r="AV18" s="84"/>
      <c r="AW18" s="149">
        <v>0</v>
      </c>
      <c r="AX18" s="149">
        <v>1.88</v>
      </c>
      <c r="AY18" s="149" t="s">
        <v>100</v>
      </c>
      <c r="AZ18" s="149" t="s">
        <v>101</v>
      </c>
      <c r="BA18" s="149" t="s">
        <v>642</v>
      </c>
      <c r="BB18" s="149">
        <v>1126100059</v>
      </c>
      <c r="BC18" s="149" t="s">
        <v>105</v>
      </c>
      <c r="BD18" s="149" t="s">
        <v>103</v>
      </c>
      <c r="BE18" s="84"/>
      <c r="BF18" s="84" t="s">
        <v>270</v>
      </c>
      <c r="BG18" s="84" t="s">
        <v>281</v>
      </c>
      <c r="BH18" s="148" t="s">
        <v>290</v>
      </c>
      <c r="BI18" t="s">
        <v>155</v>
      </c>
      <c r="BJ18" t="s">
        <v>156</v>
      </c>
      <c r="BK18" t="s">
        <v>669</v>
      </c>
      <c r="BL18">
        <v>0.28000000000000003</v>
      </c>
      <c r="BM18">
        <v>1420.5</v>
      </c>
      <c r="BN18">
        <v>-1420</v>
      </c>
      <c r="BO18" t="s">
        <v>154</v>
      </c>
      <c r="BP18">
        <v>9155609</v>
      </c>
      <c r="BQ18" t="s">
        <v>270</v>
      </c>
      <c r="BR18" t="s">
        <v>630</v>
      </c>
      <c r="BS18">
        <v>4</v>
      </c>
    </row>
    <row r="19" spans="1:71" s="0" customFormat="1" ht="14.5">
      <c r="A19" s="148" t="s">
        <v>157</v>
      </c>
      <c r="B19" s="149" t="s">
        <v>625</v>
      </c>
      <c r="C19" s="149">
        <v>107</v>
      </c>
      <c r="D19" s="149" t="s">
        <v>97</v>
      </c>
      <c r="E19" s="149" t="s">
        <v>98</v>
      </c>
      <c r="F19" s="84"/>
      <c r="G19" s="84"/>
      <c r="H19" s="149" t="s">
        <v>48</v>
      </c>
      <c r="I19" s="149" t="s">
        <v>158</v>
      </c>
      <c r="J19" s="149" t="s">
        <v>159</v>
      </c>
      <c r="K19" s="149" t="s">
        <v>163</v>
      </c>
      <c r="L19" s="149" t="s">
        <v>160</v>
      </c>
      <c r="M19" s="150">
        <v>46126</v>
      </c>
      <c r="N19" s="149" t="s">
        <v>640</v>
      </c>
      <c r="O19" s="149">
        <v>9155613</v>
      </c>
      <c r="P19" s="151">
        <v>46114</v>
      </c>
      <c r="Q19" s="149" t="s">
        <v>161</v>
      </c>
      <c r="R19" s="149">
        <v>2770</v>
      </c>
      <c r="S19" s="149" t="s">
        <v>299</v>
      </c>
      <c r="T19" s="149" t="s">
        <v>174</v>
      </c>
      <c r="U19" s="149" t="s">
        <v>175</v>
      </c>
      <c r="V19" s="149" t="s">
        <v>162</v>
      </c>
      <c r="W19" s="84"/>
      <c r="X19" s="149">
        <v>1</v>
      </c>
      <c r="Y19" s="148">
        <v>10</v>
      </c>
      <c r="Z19" s="149">
        <v>10</v>
      </c>
      <c r="AA19" s="149" t="s">
        <v>99</v>
      </c>
      <c r="AB19" s="149" t="s">
        <v>640</v>
      </c>
      <c r="AC19" s="150">
        <v>46114</v>
      </c>
      <c r="AD19" s="149" t="s">
        <v>171</v>
      </c>
      <c r="AE19" s="149">
        <v>84439952</v>
      </c>
      <c r="AF19" s="149" t="s">
        <v>452</v>
      </c>
      <c r="AG19" s="84"/>
      <c r="AH19" s="84"/>
      <c r="AI19" s="149">
        <v>10</v>
      </c>
      <c r="AJ19" s="149" t="s">
        <v>368</v>
      </c>
      <c r="AK19" s="149">
        <v>18</v>
      </c>
      <c r="AL19" s="148">
        <v>0.90</v>
      </c>
      <c r="AM19" s="149">
        <v>0.90</v>
      </c>
      <c r="AN19" s="148">
        <v>0</v>
      </c>
      <c r="AO19" s="149">
        <v>0</v>
      </c>
      <c r="AP19" s="149">
        <v>0</v>
      </c>
      <c r="AQ19" s="149">
        <v>0</v>
      </c>
      <c r="AR19" s="149">
        <v>0</v>
      </c>
      <c r="AS19" s="149">
        <v>0</v>
      </c>
      <c r="AT19" s="149">
        <v>0</v>
      </c>
      <c r="AU19" s="84"/>
      <c r="AV19" s="84"/>
      <c r="AW19" s="149">
        <v>0</v>
      </c>
      <c r="AX19" s="149">
        <v>11.80</v>
      </c>
      <c r="AY19" s="149" t="s">
        <v>100</v>
      </c>
      <c r="AZ19" s="149" t="s">
        <v>101</v>
      </c>
      <c r="BA19" s="149" t="s">
        <v>642</v>
      </c>
      <c r="BB19" s="149">
        <v>1126100063</v>
      </c>
      <c r="BC19" s="149" t="s">
        <v>105</v>
      </c>
      <c r="BD19" s="149" t="s">
        <v>103</v>
      </c>
      <c r="BE19" s="84"/>
      <c r="BF19" s="84" t="s">
        <v>270</v>
      </c>
      <c r="BG19" s="84" t="s">
        <v>281</v>
      </c>
      <c r="BH19" s="148" t="s">
        <v>290</v>
      </c>
      <c r="BI19" t="s">
        <v>155</v>
      </c>
      <c r="BJ19" t="s">
        <v>156</v>
      </c>
      <c r="BK19" t="s">
        <v>643</v>
      </c>
      <c r="BL19">
        <v>1.80</v>
      </c>
      <c r="BM19">
        <v>5381.62</v>
      </c>
      <c r="BN19">
        <v>-5380</v>
      </c>
      <c r="BO19" t="s">
        <v>154</v>
      </c>
      <c r="BP19">
        <v>9155613</v>
      </c>
      <c r="BQ19" t="s">
        <v>270</v>
      </c>
      <c r="BR19" t="s">
        <v>630</v>
      </c>
      <c r="BS19">
        <v>4</v>
      </c>
    </row>
    <row r="20" spans="1:71" s="0" customFormat="1" ht="14.5">
      <c r="A20" s="148" t="s">
        <v>157</v>
      </c>
      <c r="B20" s="149" t="s">
        <v>625</v>
      </c>
      <c r="C20" s="149">
        <v>107</v>
      </c>
      <c r="D20" s="149" t="s">
        <v>97</v>
      </c>
      <c r="E20" s="149" t="s">
        <v>98</v>
      </c>
      <c r="F20" s="84"/>
      <c r="G20" s="84"/>
      <c r="H20" s="149" t="s">
        <v>48</v>
      </c>
      <c r="I20" s="149" t="s">
        <v>158</v>
      </c>
      <c r="J20" s="149" t="s">
        <v>159</v>
      </c>
      <c r="K20" s="149" t="s">
        <v>163</v>
      </c>
      <c r="L20" s="149" t="s">
        <v>160</v>
      </c>
      <c r="M20" s="150">
        <v>46126</v>
      </c>
      <c r="N20" s="149" t="s">
        <v>656</v>
      </c>
      <c r="O20" s="149">
        <v>9155610</v>
      </c>
      <c r="P20" s="151">
        <v>46114</v>
      </c>
      <c r="Q20" s="149" t="s">
        <v>161</v>
      </c>
      <c r="R20" s="149">
        <v>2770</v>
      </c>
      <c r="S20" s="149" t="s">
        <v>299</v>
      </c>
      <c r="T20" s="149" t="s">
        <v>174</v>
      </c>
      <c r="U20" s="149" t="s">
        <v>175</v>
      </c>
      <c r="V20" s="149" t="s">
        <v>162</v>
      </c>
      <c r="W20" s="84"/>
      <c r="X20" s="149">
        <v>1</v>
      </c>
      <c r="Y20" s="148">
        <v>6</v>
      </c>
      <c r="Z20" s="149">
        <v>6</v>
      </c>
      <c r="AA20" s="149" t="s">
        <v>99</v>
      </c>
      <c r="AB20" s="149" t="s">
        <v>656</v>
      </c>
      <c r="AC20" s="150">
        <v>46114</v>
      </c>
      <c r="AD20" s="149" t="s">
        <v>171</v>
      </c>
      <c r="AE20" s="149">
        <v>84439952</v>
      </c>
      <c r="AF20" s="149" t="s">
        <v>413</v>
      </c>
      <c r="AG20" s="84"/>
      <c r="AH20" s="84"/>
      <c r="AI20" s="149">
        <v>6</v>
      </c>
      <c r="AJ20" s="149" t="s">
        <v>368</v>
      </c>
      <c r="AK20" s="149">
        <v>18</v>
      </c>
      <c r="AL20" s="148">
        <v>0.54</v>
      </c>
      <c r="AM20" s="149">
        <v>0.54</v>
      </c>
      <c r="AN20" s="148">
        <v>0</v>
      </c>
      <c r="AO20" s="149">
        <v>0</v>
      </c>
      <c r="AP20" s="149">
        <v>0</v>
      </c>
      <c r="AQ20" s="149">
        <v>0</v>
      </c>
      <c r="AR20" s="149">
        <v>0</v>
      </c>
      <c r="AS20" s="149">
        <v>0</v>
      </c>
      <c r="AT20" s="149">
        <v>0</v>
      </c>
      <c r="AU20" s="84"/>
      <c r="AV20" s="84"/>
      <c r="AW20" s="149">
        <v>0</v>
      </c>
      <c r="AX20" s="149">
        <v>7.08</v>
      </c>
      <c r="AY20" s="149" t="s">
        <v>100</v>
      </c>
      <c r="AZ20" s="149" t="s">
        <v>101</v>
      </c>
      <c r="BA20" s="149" t="s">
        <v>642</v>
      </c>
      <c r="BB20" s="149">
        <v>1126100060</v>
      </c>
      <c r="BC20" s="149" t="s">
        <v>105</v>
      </c>
      <c r="BD20" s="149" t="s">
        <v>103</v>
      </c>
      <c r="BE20" s="84"/>
      <c r="BF20" s="84" t="s">
        <v>270</v>
      </c>
      <c r="BG20" s="84" t="s">
        <v>281</v>
      </c>
      <c r="BH20" s="148" t="s">
        <v>290</v>
      </c>
      <c r="BI20" t="s">
        <v>155</v>
      </c>
      <c r="BJ20" t="s">
        <v>156</v>
      </c>
      <c r="BK20" t="s">
        <v>658</v>
      </c>
      <c r="BL20">
        <v>1.08</v>
      </c>
      <c r="BM20">
        <v>489.18</v>
      </c>
      <c r="BN20">
        <v>-488</v>
      </c>
      <c r="BO20" t="s">
        <v>154</v>
      </c>
      <c r="BP20">
        <v>9155610</v>
      </c>
      <c r="BQ20" t="s">
        <v>270</v>
      </c>
      <c r="BR20" t="s">
        <v>630</v>
      </c>
      <c r="BS20">
        <v>4</v>
      </c>
    </row>
    <row r="21" spans="1:71" s="0" customFormat="1" ht="14.5">
      <c r="A21" s="148" t="s">
        <v>157</v>
      </c>
      <c r="B21" s="149" t="s">
        <v>625</v>
      </c>
      <c r="C21" s="149">
        <v>107</v>
      </c>
      <c r="D21" s="149" t="s">
        <v>97</v>
      </c>
      <c r="E21" s="149" t="s">
        <v>98</v>
      </c>
      <c r="F21" s="84"/>
      <c r="G21" s="84"/>
      <c r="H21" s="149" t="s">
        <v>48</v>
      </c>
      <c r="I21" s="149" t="s">
        <v>158</v>
      </c>
      <c r="J21" s="149" t="s">
        <v>159</v>
      </c>
      <c r="K21" s="149" t="s">
        <v>163</v>
      </c>
      <c r="L21" s="149" t="s">
        <v>160</v>
      </c>
      <c r="M21" s="150">
        <v>46126</v>
      </c>
      <c r="N21" s="149" t="s">
        <v>670</v>
      </c>
      <c r="O21" s="149">
        <v>9155615</v>
      </c>
      <c r="P21" s="151">
        <v>46114</v>
      </c>
      <c r="Q21" s="149" t="s">
        <v>161</v>
      </c>
      <c r="R21" s="149">
        <v>2770</v>
      </c>
      <c r="S21" s="149" t="s">
        <v>299</v>
      </c>
      <c r="T21" s="149" t="s">
        <v>174</v>
      </c>
      <c r="U21" s="149" t="s">
        <v>175</v>
      </c>
      <c r="V21" s="149" t="s">
        <v>162</v>
      </c>
      <c r="W21" s="84"/>
      <c r="X21" s="149">
        <v>1</v>
      </c>
      <c r="Y21" s="148">
        <v>4063.95</v>
      </c>
      <c r="Z21" s="149">
        <v>4063.95</v>
      </c>
      <c r="AA21" s="149" t="s">
        <v>99</v>
      </c>
      <c r="AB21" s="149" t="s">
        <v>670</v>
      </c>
      <c r="AC21" s="150">
        <v>46114</v>
      </c>
      <c r="AD21" s="149" t="s">
        <v>171</v>
      </c>
      <c r="AE21" s="149">
        <v>84439952</v>
      </c>
      <c r="AF21" s="149" t="s">
        <v>452</v>
      </c>
      <c r="AG21" s="84"/>
      <c r="AH21" s="84"/>
      <c r="AI21" s="149">
        <v>4063.95</v>
      </c>
      <c r="AJ21" s="149" t="s">
        <v>368</v>
      </c>
      <c r="AK21" s="149">
        <v>18</v>
      </c>
      <c r="AL21" s="148">
        <v>365.76</v>
      </c>
      <c r="AM21" s="149">
        <v>365.76</v>
      </c>
      <c r="AN21" s="148">
        <v>0</v>
      </c>
      <c r="AO21" s="149">
        <v>0</v>
      </c>
      <c r="AP21" s="149">
        <v>0</v>
      </c>
      <c r="AQ21" s="149">
        <v>0</v>
      </c>
      <c r="AR21" s="149">
        <v>0</v>
      </c>
      <c r="AS21" s="149">
        <v>0</v>
      </c>
      <c r="AT21" s="149">
        <v>0</v>
      </c>
      <c r="AU21" s="84"/>
      <c r="AV21" s="84"/>
      <c r="AW21" s="149">
        <v>0</v>
      </c>
      <c r="AX21" s="149">
        <v>4795.47</v>
      </c>
      <c r="AY21" s="149" t="s">
        <v>100</v>
      </c>
      <c r="AZ21" s="149" t="s">
        <v>101</v>
      </c>
      <c r="BA21" s="149" t="s">
        <v>642</v>
      </c>
      <c r="BB21" s="149">
        <v>1126100065</v>
      </c>
      <c r="BC21" s="149" t="s">
        <v>105</v>
      </c>
      <c r="BD21" s="149" t="s">
        <v>103</v>
      </c>
      <c r="BE21" s="84"/>
      <c r="BF21" s="84" t="s">
        <v>270</v>
      </c>
      <c r="BG21" s="84" t="s">
        <v>281</v>
      </c>
      <c r="BH21" s="148" t="s">
        <v>290</v>
      </c>
      <c r="BI21" t="s">
        <v>155</v>
      </c>
      <c r="BJ21" t="s">
        <v>156</v>
      </c>
      <c r="BK21" t="s">
        <v>671</v>
      </c>
      <c r="BL21">
        <v>731.52</v>
      </c>
      <c r="BM21">
        <v>1123.8399999999999</v>
      </c>
      <c r="BN21">
        <v>-392</v>
      </c>
      <c r="BO21" t="s">
        <v>154</v>
      </c>
      <c r="BP21">
        <v>9155615</v>
      </c>
      <c r="BQ21" t="s">
        <v>270</v>
      </c>
      <c r="BR21" t="s">
        <v>630</v>
      </c>
      <c r="BS21">
        <v>4</v>
      </c>
    </row>
    <row r="22" spans="1:71" s="0" customFormat="1" ht="14.5">
      <c r="A22" s="148" t="s">
        <v>157</v>
      </c>
      <c r="B22" s="149" t="s">
        <v>625</v>
      </c>
      <c r="C22" s="149">
        <v>107</v>
      </c>
      <c r="D22" s="149" t="s">
        <v>97</v>
      </c>
      <c r="E22" s="149" t="s">
        <v>98</v>
      </c>
      <c r="F22" s="84"/>
      <c r="G22" s="84"/>
      <c r="H22" s="149" t="s">
        <v>48</v>
      </c>
      <c r="I22" s="149" t="s">
        <v>158</v>
      </c>
      <c r="J22" s="149" t="s">
        <v>159</v>
      </c>
      <c r="K22" s="149" t="s">
        <v>163</v>
      </c>
      <c r="L22" s="149" t="s">
        <v>160</v>
      </c>
      <c r="M22" s="150">
        <v>46127</v>
      </c>
      <c r="N22" s="149" t="s">
        <v>672</v>
      </c>
      <c r="O22" s="149">
        <v>9156867</v>
      </c>
      <c r="P22" s="151">
        <v>46113</v>
      </c>
      <c r="Q22" s="149" t="s">
        <v>161</v>
      </c>
      <c r="R22" s="149">
        <v>2770</v>
      </c>
      <c r="S22" s="149" t="s">
        <v>299</v>
      </c>
      <c r="T22" s="149" t="s">
        <v>176</v>
      </c>
      <c r="U22" s="149" t="s">
        <v>177</v>
      </c>
      <c r="V22" s="149" t="s">
        <v>162</v>
      </c>
      <c r="W22" s="84"/>
      <c r="X22" s="149">
        <v>1</v>
      </c>
      <c r="Y22" s="148">
        <v>3956</v>
      </c>
      <c r="Z22" s="149">
        <v>3956</v>
      </c>
      <c r="AA22" s="149" t="s">
        <v>99</v>
      </c>
      <c r="AB22" s="149" t="s">
        <v>672</v>
      </c>
      <c r="AC22" s="150">
        <v>46113</v>
      </c>
      <c r="AD22" s="149" t="s">
        <v>164</v>
      </c>
      <c r="AE22" s="149">
        <v>997314</v>
      </c>
      <c r="AF22" s="149" t="s">
        <v>673</v>
      </c>
      <c r="AG22" s="84"/>
      <c r="AH22" s="84"/>
      <c r="AI22" s="149">
        <v>3956</v>
      </c>
      <c r="AJ22" s="149" t="s">
        <v>368</v>
      </c>
      <c r="AK22" s="149">
        <v>18</v>
      </c>
      <c r="AL22" s="148">
        <v>0</v>
      </c>
      <c r="AM22" s="149">
        <v>0</v>
      </c>
      <c r="AN22" s="148">
        <v>712.08</v>
      </c>
      <c r="AO22" s="149">
        <v>0</v>
      </c>
      <c r="AP22" s="149">
        <v>0</v>
      </c>
      <c r="AQ22" s="149">
        <v>0</v>
      </c>
      <c r="AR22" s="149">
        <v>0</v>
      </c>
      <c r="AS22" s="149">
        <v>0</v>
      </c>
      <c r="AT22" s="149">
        <v>0</v>
      </c>
      <c r="AU22" s="84"/>
      <c r="AV22" s="84"/>
      <c r="AW22" s="149">
        <v>0</v>
      </c>
      <c r="AX22" s="149">
        <v>4668.08</v>
      </c>
      <c r="AY22" s="149" t="s">
        <v>100</v>
      </c>
      <c r="AZ22" s="149" t="s">
        <v>101</v>
      </c>
      <c r="BA22" s="149" t="s">
        <v>303</v>
      </c>
      <c r="BB22" s="149">
        <v>1126100096</v>
      </c>
      <c r="BC22" s="149" t="s">
        <v>102</v>
      </c>
      <c r="BD22" s="149" t="s">
        <v>103</v>
      </c>
      <c r="BE22" s="84"/>
      <c r="BF22" s="84" t="s">
        <v>270</v>
      </c>
      <c r="BG22" s="84" t="s">
        <v>281</v>
      </c>
      <c r="BH22" s="148" t="s">
        <v>290</v>
      </c>
      <c r="BI22" t="s">
        <v>155</v>
      </c>
      <c r="BJ22" t="s">
        <v>156</v>
      </c>
      <c r="BK22" t="s">
        <v>674</v>
      </c>
      <c r="BL22">
        <v>712.08</v>
      </c>
      <c r="BM22">
        <v>712.08</v>
      </c>
      <c r="BN22">
        <v>0</v>
      </c>
      <c r="BO22" t="s">
        <v>154</v>
      </c>
      <c r="BP22">
        <v>9156867</v>
      </c>
      <c r="BQ22" t="s">
        <v>270</v>
      </c>
      <c r="BR22" t="s">
        <v>630</v>
      </c>
      <c r="BS22">
        <v>1</v>
      </c>
    </row>
    <row r="23" spans="1:71" s="0" customFormat="1" ht="14.5">
      <c r="A23" s="148" t="s">
        <v>157</v>
      </c>
      <c r="B23" s="149" t="s">
        <v>625</v>
      </c>
      <c r="C23" s="149">
        <v>107</v>
      </c>
      <c r="D23" s="149" t="s">
        <v>97</v>
      </c>
      <c r="E23" s="149" t="s">
        <v>98</v>
      </c>
      <c r="F23" s="84"/>
      <c r="G23" s="149" t="s">
        <v>106</v>
      </c>
      <c r="H23" s="149" t="s">
        <v>48</v>
      </c>
      <c r="I23" s="149" t="s">
        <v>158</v>
      </c>
      <c r="J23" s="149" t="s">
        <v>165</v>
      </c>
      <c r="K23" s="149" t="s">
        <v>166</v>
      </c>
      <c r="L23" s="149" t="s">
        <v>160</v>
      </c>
      <c r="M23" s="150">
        <v>46127</v>
      </c>
      <c r="N23" s="149" t="s">
        <v>626</v>
      </c>
      <c r="O23" s="149">
        <v>9158398</v>
      </c>
      <c r="P23" s="151">
        <v>46090</v>
      </c>
      <c r="Q23" s="149" t="s">
        <v>161</v>
      </c>
      <c r="R23" s="149">
        <v>35671</v>
      </c>
      <c r="S23" s="149" t="s">
        <v>424</v>
      </c>
      <c r="T23" s="149" t="s">
        <v>425</v>
      </c>
      <c r="U23" s="149" t="s">
        <v>426</v>
      </c>
      <c r="V23" s="149" t="s">
        <v>162</v>
      </c>
      <c r="W23" s="84"/>
      <c r="X23" s="149">
        <v>275</v>
      </c>
      <c r="Y23" s="148">
        <v>38</v>
      </c>
      <c r="Z23" s="149">
        <v>10450</v>
      </c>
      <c r="AA23" s="149" t="s">
        <v>99</v>
      </c>
      <c r="AB23" s="149" t="s">
        <v>626</v>
      </c>
      <c r="AC23" s="150">
        <v>46121</v>
      </c>
      <c r="AD23" s="149" t="s">
        <v>164</v>
      </c>
      <c r="AE23" s="149">
        <v>998700</v>
      </c>
      <c r="AF23" s="149" t="s">
        <v>675</v>
      </c>
      <c r="AG23" s="84"/>
      <c r="AH23" s="84"/>
      <c r="AI23" s="149">
        <v>10450</v>
      </c>
      <c r="AJ23" s="149" t="s">
        <v>368</v>
      </c>
      <c r="AK23" s="149">
        <v>18</v>
      </c>
      <c r="AL23" s="148">
        <v>0</v>
      </c>
      <c r="AM23" s="149">
        <v>0</v>
      </c>
      <c r="AN23" s="148">
        <v>1881</v>
      </c>
      <c r="AO23" s="149">
        <v>0</v>
      </c>
      <c r="AP23" s="149">
        <v>0</v>
      </c>
      <c r="AQ23" s="149">
        <v>0</v>
      </c>
      <c r="AR23" s="149">
        <v>0</v>
      </c>
      <c r="AS23" s="149">
        <v>0</v>
      </c>
      <c r="AT23" s="149">
        <v>0</v>
      </c>
      <c r="AU23" s="84"/>
      <c r="AV23" s="84"/>
      <c r="AW23" s="149">
        <v>0</v>
      </c>
      <c r="AX23" s="149">
        <v>12331</v>
      </c>
      <c r="AY23" s="149" t="s">
        <v>101</v>
      </c>
      <c r="AZ23" s="149" t="s">
        <v>101</v>
      </c>
      <c r="BA23" s="149" t="s">
        <v>628</v>
      </c>
      <c r="BB23" s="149">
        <v>1126100105</v>
      </c>
      <c r="BC23" s="149" t="s">
        <v>168</v>
      </c>
      <c r="BD23" s="149" t="s">
        <v>272</v>
      </c>
      <c r="BE23" s="84"/>
      <c r="BF23" s="84" t="s">
        <v>271</v>
      </c>
      <c r="BG23" s="84" t="s">
        <v>281</v>
      </c>
      <c r="BH23" s="148" t="s">
        <v>290</v>
      </c>
      <c r="BI23" t="s">
        <v>155</v>
      </c>
      <c r="BJ23" t="s">
        <v>156</v>
      </c>
      <c r="BK23" t="s">
        <v>629</v>
      </c>
      <c r="BL23">
        <v>1881</v>
      </c>
      <c r="BM23">
        <v>38182.879999999997</v>
      </c>
      <c r="BN23">
        <v>-36302</v>
      </c>
      <c r="BO23" t="s">
        <v>154</v>
      </c>
      <c r="BP23">
        <v>9158398</v>
      </c>
      <c r="BQ23" t="s">
        <v>271</v>
      </c>
      <c r="BR23" t="s">
        <v>630</v>
      </c>
      <c r="BS23">
        <v>37</v>
      </c>
    </row>
    <row r="24" spans="1:71" s="0" customFormat="1" ht="14.5">
      <c r="A24" s="148" t="s">
        <v>157</v>
      </c>
      <c r="B24" s="149" t="s">
        <v>625</v>
      </c>
      <c r="C24" s="149">
        <v>107</v>
      </c>
      <c r="D24" s="149" t="s">
        <v>97</v>
      </c>
      <c r="E24" s="149" t="s">
        <v>98</v>
      </c>
      <c r="F24" s="84"/>
      <c r="G24" s="149" t="s">
        <v>106</v>
      </c>
      <c r="H24" s="149" t="s">
        <v>48</v>
      </c>
      <c r="I24" s="149" t="s">
        <v>158</v>
      </c>
      <c r="J24" s="149" t="s">
        <v>165</v>
      </c>
      <c r="K24" s="149" t="s">
        <v>166</v>
      </c>
      <c r="L24" s="149" t="s">
        <v>160</v>
      </c>
      <c r="M24" s="150">
        <v>46140</v>
      </c>
      <c r="N24" s="149" t="s">
        <v>632</v>
      </c>
      <c r="O24" s="149">
        <v>9174963</v>
      </c>
      <c r="P24" s="151">
        <v>46129</v>
      </c>
      <c r="Q24" s="149" t="s">
        <v>161</v>
      </c>
      <c r="R24" s="149">
        <v>35671</v>
      </c>
      <c r="S24" s="149" t="s">
        <v>424</v>
      </c>
      <c r="T24" s="149" t="s">
        <v>425</v>
      </c>
      <c r="U24" s="149" t="s">
        <v>426</v>
      </c>
      <c r="V24" s="149" t="s">
        <v>162</v>
      </c>
      <c r="W24" s="84"/>
      <c r="X24" s="149">
        <v>1188.1400000000001</v>
      </c>
      <c r="Y24" s="148">
        <v>1</v>
      </c>
      <c r="Z24" s="149">
        <v>1188.1400000000001</v>
      </c>
      <c r="AA24" s="149" t="s">
        <v>99</v>
      </c>
      <c r="AB24" s="149" t="s">
        <v>632</v>
      </c>
      <c r="AC24" s="150">
        <v>46129</v>
      </c>
      <c r="AD24" s="149" t="s">
        <v>164</v>
      </c>
      <c r="AE24" s="149">
        <v>3820000</v>
      </c>
      <c r="AF24" s="149" t="s">
        <v>676</v>
      </c>
      <c r="AG24" s="84"/>
      <c r="AH24" s="84"/>
      <c r="AI24" s="149">
        <v>1188.1400000000001</v>
      </c>
      <c r="AJ24" s="149" t="s">
        <v>368</v>
      </c>
      <c r="AK24" s="149">
        <v>18</v>
      </c>
      <c r="AL24" s="148">
        <v>0</v>
      </c>
      <c r="AM24" s="149">
        <v>0</v>
      </c>
      <c r="AN24" s="148">
        <v>213.87</v>
      </c>
      <c r="AO24" s="149">
        <v>0</v>
      </c>
      <c r="AP24" s="149">
        <v>0</v>
      </c>
      <c r="AQ24" s="149">
        <v>0</v>
      </c>
      <c r="AR24" s="149">
        <v>0</v>
      </c>
      <c r="AS24" s="149">
        <v>0</v>
      </c>
      <c r="AT24" s="149">
        <v>0</v>
      </c>
      <c r="AU24" s="84"/>
      <c r="AV24" s="84"/>
      <c r="AW24" s="149">
        <v>0</v>
      </c>
      <c r="AX24" s="149">
        <v>1402.01</v>
      </c>
      <c r="AY24" s="149" t="s">
        <v>101</v>
      </c>
      <c r="AZ24" s="149" t="s">
        <v>101</v>
      </c>
      <c r="BA24" s="149" t="s">
        <v>634</v>
      </c>
      <c r="BB24" s="149">
        <v>1126100446</v>
      </c>
      <c r="BC24" s="149" t="s">
        <v>168</v>
      </c>
      <c r="BD24" s="149" t="s">
        <v>272</v>
      </c>
      <c r="BE24" s="84"/>
      <c r="BF24" s="84" t="s">
        <v>271</v>
      </c>
      <c r="BG24" s="84" t="s">
        <v>281</v>
      </c>
      <c r="BH24" s="148" t="s">
        <v>290</v>
      </c>
      <c r="BI24" t="s">
        <v>155</v>
      </c>
      <c r="BJ24" t="s">
        <v>156</v>
      </c>
      <c r="BK24" t="s">
        <v>635</v>
      </c>
      <c r="BL24">
        <v>213.87</v>
      </c>
      <c r="BM24">
        <v>36494.74</v>
      </c>
      <c r="BN24">
        <v>-36281</v>
      </c>
      <c r="BO24" t="s">
        <v>154</v>
      </c>
      <c r="BP24">
        <v>9174963</v>
      </c>
      <c r="BQ24" t="s">
        <v>271</v>
      </c>
      <c r="BR24" t="s">
        <v>630</v>
      </c>
      <c r="BS24">
        <v>36</v>
      </c>
    </row>
    <row r="25" spans="1:71" s="0" customFormat="1" ht="14.5">
      <c r="A25" s="148" t="s">
        <v>157</v>
      </c>
      <c r="B25" s="149" t="s">
        <v>625</v>
      </c>
      <c r="C25" s="149">
        <v>107</v>
      </c>
      <c r="D25" s="149" t="s">
        <v>97</v>
      </c>
      <c r="E25" s="149" t="s">
        <v>98</v>
      </c>
      <c r="F25" s="84"/>
      <c r="G25" s="149" t="s">
        <v>106</v>
      </c>
      <c r="H25" s="149" t="s">
        <v>48</v>
      </c>
      <c r="I25" s="149" t="s">
        <v>158</v>
      </c>
      <c r="J25" s="149" t="s">
        <v>165</v>
      </c>
      <c r="K25" s="149" t="s">
        <v>166</v>
      </c>
      <c r="L25" s="149" t="s">
        <v>160</v>
      </c>
      <c r="M25" s="150">
        <v>46140</v>
      </c>
      <c r="N25" s="149" t="s">
        <v>632</v>
      </c>
      <c r="O25" s="149">
        <v>9174963</v>
      </c>
      <c r="P25" s="151">
        <v>46129</v>
      </c>
      <c r="Q25" s="149" t="s">
        <v>161</v>
      </c>
      <c r="R25" s="149">
        <v>35671</v>
      </c>
      <c r="S25" s="149" t="s">
        <v>424</v>
      </c>
      <c r="T25" s="149" t="s">
        <v>425</v>
      </c>
      <c r="U25" s="149" t="s">
        <v>426</v>
      </c>
      <c r="V25" s="149" t="s">
        <v>162</v>
      </c>
      <c r="W25" s="84"/>
      <c r="X25" s="149">
        <v>275</v>
      </c>
      <c r="Y25" s="148">
        <v>14</v>
      </c>
      <c r="Z25" s="149">
        <v>3850</v>
      </c>
      <c r="AA25" s="149" t="s">
        <v>99</v>
      </c>
      <c r="AB25" s="149" t="s">
        <v>632</v>
      </c>
      <c r="AC25" s="150">
        <v>46129</v>
      </c>
      <c r="AD25" s="149" t="s">
        <v>164</v>
      </c>
      <c r="AE25" s="149">
        <v>998729</v>
      </c>
      <c r="AF25" s="149" t="s">
        <v>677</v>
      </c>
      <c r="AG25" s="84"/>
      <c r="AH25" s="84"/>
      <c r="AI25" s="149">
        <v>3850</v>
      </c>
      <c r="AJ25" s="149" t="s">
        <v>368</v>
      </c>
      <c r="AK25" s="149">
        <v>18</v>
      </c>
      <c r="AL25" s="148">
        <v>0</v>
      </c>
      <c r="AM25" s="149">
        <v>0</v>
      </c>
      <c r="AN25" s="148">
        <v>693</v>
      </c>
      <c r="AO25" s="149">
        <v>0</v>
      </c>
      <c r="AP25" s="149">
        <v>0</v>
      </c>
      <c r="AQ25" s="149">
        <v>0</v>
      </c>
      <c r="AR25" s="149">
        <v>0</v>
      </c>
      <c r="AS25" s="149">
        <v>0</v>
      </c>
      <c r="AT25" s="149">
        <v>0</v>
      </c>
      <c r="AU25" s="84"/>
      <c r="AV25" s="84"/>
      <c r="AW25" s="149">
        <v>0</v>
      </c>
      <c r="AX25" s="149">
        <v>4543</v>
      </c>
      <c r="AY25" s="149" t="s">
        <v>101</v>
      </c>
      <c r="AZ25" s="149" t="s">
        <v>101</v>
      </c>
      <c r="BA25" s="149" t="s">
        <v>634</v>
      </c>
      <c r="BB25" s="149">
        <v>1126100446</v>
      </c>
      <c r="BC25" s="149" t="s">
        <v>168</v>
      </c>
      <c r="BD25" s="149" t="s">
        <v>272</v>
      </c>
      <c r="BE25" s="84"/>
      <c r="BF25" s="84" t="s">
        <v>271</v>
      </c>
      <c r="BG25" s="84" t="s">
        <v>281</v>
      </c>
      <c r="BH25" s="148" t="s">
        <v>290</v>
      </c>
      <c r="BI25" t="s">
        <v>155</v>
      </c>
      <c r="BJ25" t="s">
        <v>156</v>
      </c>
      <c r="BK25" t="s">
        <v>635</v>
      </c>
      <c r="BL25">
        <v>693</v>
      </c>
      <c r="BM25">
        <v>36494.74</v>
      </c>
      <c r="BN25">
        <v>-35802</v>
      </c>
      <c r="BO25" t="s">
        <v>154</v>
      </c>
      <c r="BP25">
        <v>9174963</v>
      </c>
      <c r="BQ25" t="s">
        <v>271</v>
      </c>
      <c r="BR25" t="s">
        <v>630</v>
      </c>
      <c r="BS25">
        <v>36</v>
      </c>
    </row>
    <row r="26" spans="1:71" s="0" customFormat="1" ht="14.5">
      <c r="A26" s="148" t="s">
        <v>157</v>
      </c>
      <c r="B26" s="149" t="s">
        <v>625</v>
      </c>
      <c r="C26" s="149">
        <v>107</v>
      </c>
      <c r="D26" s="149" t="s">
        <v>97</v>
      </c>
      <c r="E26" s="149" t="s">
        <v>98</v>
      </c>
      <c r="F26" s="84"/>
      <c r="G26" s="84"/>
      <c r="H26" s="149" t="s">
        <v>48</v>
      </c>
      <c r="I26" s="149" t="s">
        <v>158</v>
      </c>
      <c r="J26" s="149" t="s">
        <v>159</v>
      </c>
      <c r="K26" s="149" t="s">
        <v>163</v>
      </c>
      <c r="L26" s="149" t="s">
        <v>160</v>
      </c>
      <c r="M26" s="150">
        <v>46133</v>
      </c>
      <c r="N26" s="149" t="s">
        <v>678</v>
      </c>
      <c r="O26" s="149">
        <v>9167056</v>
      </c>
      <c r="P26" s="151">
        <v>46123</v>
      </c>
      <c r="Q26" s="149" t="s">
        <v>161</v>
      </c>
      <c r="R26" s="149">
        <v>42255</v>
      </c>
      <c r="S26" s="149" t="s">
        <v>436</v>
      </c>
      <c r="T26" s="149" t="s">
        <v>437</v>
      </c>
      <c r="U26" s="84"/>
      <c r="V26" s="149" t="s">
        <v>162</v>
      </c>
      <c r="W26" s="84"/>
      <c r="X26" s="149">
        <v>15000</v>
      </c>
      <c r="Y26" s="148">
        <v>1</v>
      </c>
      <c r="Z26" s="149">
        <v>15000</v>
      </c>
      <c r="AA26" s="149" t="s">
        <v>99</v>
      </c>
      <c r="AB26" s="149" t="s">
        <v>679</v>
      </c>
      <c r="AC26" s="150">
        <v>46123</v>
      </c>
      <c r="AD26" s="84"/>
      <c r="AE26" s="149">
        <v>998216</v>
      </c>
      <c r="AF26" s="149" t="s">
        <v>680</v>
      </c>
      <c r="AG26" s="84"/>
      <c r="AH26" s="84"/>
      <c r="AI26" s="149">
        <v>15000</v>
      </c>
      <c r="AJ26" s="149" t="s">
        <v>368</v>
      </c>
      <c r="AK26" s="149">
        <v>18</v>
      </c>
      <c r="AL26" s="148">
        <v>0</v>
      </c>
      <c r="AM26" s="149">
        <v>0</v>
      </c>
      <c r="AN26" s="148">
        <v>2700</v>
      </c>
      <c r="AO26" s="149">
        <v>0</v>
      </c>
      <c r="AP26" s="149">
        <v>0</v>
      </c>
      <c r="AQ26" s="149">
        <v>0</v>
      </c>
      <c r="AR26" s="149">
        <v>0</v>
      </c>
      <c r="AS26" s="149">
        <v>0</v>
      </c>
      <c r="AT26" s="149">
        <v>0</v>
      </c>
      <c r="AU26" s="84"/>
      <c r="AV26" s="84"/>
      <c r="AW26" s="149">
        <v>0</v>
      </c>
      <c r="AX26" s="149">
        <v>17700</v>
      </c>
      <c r="AY26" s="149" t="s">
        <v>100</v>
      </c>
      <c r="AZ26" s="149" t="s">
        <v>100</v>
      </c>
      <c r="BA26" s="149" t="s">
        <v>200</v>
      </c>
      <c r="BB26" s="149">
        <v>1126100300</v>
      </c>
      <c r="BC26" s="149" t="s">
        <v>211</v>
      </c>
      <c r="BD26" s="149" t="s">
        <v>103</v>
      </c>
      <c r="BE26" s="84"/>
      <c r="BF26" s="84" t="s">
        <v>210</v>
      </c>
      <c r="BG26" s="84" t="s">
        <v>280</v>
      </c>
      <c r="BH26" s="148" t="s">
        <v>289</v>
      </c>
      <c r="BI26" t="s">
        <v>155</v>
      </c>
      <c r="BJ26" t="s">
        <v>156</v>
      </c>
      <c r="BK26" t="s">
        <v>679</v>
      </c>
      <c r="BL26">
        <v>2700</v>
      </c>
      <c r="BM26" t="e">
        <v>#N/A</v>
      </c>
      <c r="BN26" t="e">
        <v>#N/A</v>
      </c>
      <c r="BO26" t="s">
        <v>199</v>
      </c>
      <c r="BP26">
        <v>9167056</v>
      </c>
      <c r="BQ26" t="s">
        <v>210</v>
      </c>
      <c r="BR26" t="s">
        <v>199</v>
      </c>
      <c r="BS26">
        <v>3</v>
      </c>
    </row>
    <row r="27" spans="1:71" s="0" customFormat="1" ht="14.5">
      <c r="A27" s="148" t="s">
        <v>157</v>
      </c>
      <c r="B27" s="149" t="s">
        <v>625</v>
      </c>
      <c r="C27" s="149">
        <v>107</v>
      </c>
      <c r="D27" s="149" t="s">
        <v>97</v>
      </c>
      <c r="E27" s="149" t="s">
        <v>98</v>
      </c>
      <c r="F27" s="84"/>
      <c r="G27" s="84"/>
      <c r="H27" s="149" t="s">
        <v>48</v>
      </c>
      <c r="I27" s="149" t="s">
        <v>158</v>
      </c>
      <c r="J27" s="149" t="s">
        <v>159</v>
      </c>
      <c r="K27" s="149" t="s">
        <v>163</v>
      </c>
      <c r="L27" s="149" t="s">
        <v>160</v>
      </c>
      <c r="M27" s="150">
        <v>46142</v>
      </c>
      <c r="N27" s="149" t="s">
        <v>681</v>
      </c>
      <c r="O27" s="149">
        <v>9178273</v>
      </c>
      <c r="P27" s="151">
        <v>46129</v>
      </c>
      <c r="Q27" s="149" t="s">
        <v>161</v>
      </c>
      <c r="R27" s="149">
        <v>38296</v>
      </c>
      <c r="S27" s="149" t="s">
        <v>682</v>
      </c>
      <c r="T27" s="149" t="s">
        <v>169</v>
      </c>
      <c r="U27" s="149" t="s">
        <v>683</v>
      </c>
      <c r="V27" s="149" t="s">
        <v>162</v>
      </c>
      <c r="W27" s="84"/>
      <c r="X27" s="149">
        <v>1</v>
      </c>
      <c r="Y27" s="148">
        <v>2237.2800000000002</v>
      </c>
      <c r="Z27" s="149">
        <v>2237.2800000000002</v>
      </c>
      <c r="AA27" s="149" t="s">
        <v>99</v>
      </c>
      <c r="AB27" s="149" t="s">
        <v>681</v>
      </c>
      <c r="AC27" s="150">
        <v>46129</v>
      </c>
      <c r="AD27" s="149" t="s">
        <v>173</v>
      </c>
      <c r="AE27" s="149">
        <v>84733099</v>
      </c>
      <c r="AF27" s="149" t="s">
        <v>684</v>
      </c>
      <c r="AG27" s="84"/>
      <c r="AH27" s="84"/>
      <c r="AI27" s="149">
        <v>2237.2800000000002</v>
      </c>
      <c r="AJ27" s="149" t="s">
        <v>368</v>
      </c>
      <c r="AK27" s="149">
        <v>18</v>
      </c>
      <c r="AL27" s="148">
        <v>201.36</v>
      </c>
      <c r="AM27" s="149">
        <v>201.36</v>
      </c>
      <c r="AN27" s="148">
        <v>0</v>
      </c>
      <c r="AO27" s="149">
        <v>0</v>
      </c>
      <c r="AP27" s="149">
        <v>0</v>
      </c>
      <c r="AQ27" s="149">
        <v>0</v>
      </c>
      <c r="AR27" s="149">
        <v>0</v>
      </c>
      <c r="AS27" s="149">
        <v>0</v>
      </c>
      <c r="AT27" s="149">
        <v>0</v>
      </c>
      <c r="AU27" s="84"/>
      <c r="AV27" s="84"/>
      <c r="AW27" s="149">
        <v>0</v>
      </c>
      <c r="AX27" s="149">
        <v>2640</v>
      </c>
      <c r="AY27" s="149" t="s">
        <v>100</v>
      </c>
      <c r="AZ27" s="149" t="s">
        <v>101</v>
      </c>
      <c r="BA27" s="149" t="s">
        <v>356</v>
      </c>
      <c r="BB27" s="149">
        <v>1126100490</v>
      </c>
      <c r="BC27" s="149" t="s">
        <v>105</v>
      </c>
      <c r="BD27" s="149" t="s">
        <v>104</v>
      </c>
      <c r="BE27" s="84"/>
      <c r="BF27" s="84" t="s">
        <v>270</v>
      </c>
      <c r="BG27" s="84" t="s">
        <v>281</v>
      </c>
      <c r="BH27" s="148" t="s">
        <v>289</v>
      </c>
      <c r="BI27" t="s">
        <v>155</v>
      </c>
      <c r="BJ27" t="s">
        <v>156</v>
      </c>
      <c r="BK27" t="s">
        <v>685</v>
      </c>
      <c r="BL27">
        <v>402.72</v>
      </c>
      <c r="BM27">
        <v>665.86</v>
      </c>
      <c r="BN27">
        <v>-263</v>
      </c>
      <c r="BO27" t="s">
        <v>154</v>
      </c>
      <c r="BP27">
        <v>9178273</v>
      </c>
      <c r="BQ27" t="s">
        <v>270</v>
      </c>
      <c r="BR27" t="s">
        <v>630</v>
      </c>
      <c r="BS27">
        <v>2</v>
      </c>
    </row>
    <row r="28" spans="1:71" s="0" customFormat="1" ht="14.5">
      <c r="A28" s="148" t="s">
        <v>157</v>
      </c>
      <c r="B28" s="149" t="s">
        <v>625</v>
      </c>
      <c r="C28" s="149">
        <v>107</v>
      </c>
      <c r="D28" s="149" t="s">
        <v>97</v>
      </c>
      <c r="E28" s="149" t="s">
        <v>98</v>
      </c>
      <c r="F28" s="84"/>
      <c r="G28" s="149" t="s">
        <v>106</v>
      </c>
      <c r="H28" s="149" t="s">
        <v>48</v>
      </c>
      <c r="I28" s="149" t="s">
        <v>158</v>
      </c>
      <c r="J28" s="149" t="s">
        <v>165</v>
      </c>
      <c r="K28" s="149" t="s">
        <v>166</v>
      </c>
      <c r="L28" s="149" t="s">
        <v>160</v>
      </c>
      <c r="M28" s="150">
        <v>46126</v>
      </c>
      <c r="N28" s="149">
        <v>612</v>
      </c>
      <c r="O28" s="149">
        <v>9151235</v>
      </c>
      <c r="P28" s="151">
        <v>46116</v>
      </c>
      <c r="Q28" s="149" t="s">
        <v>161</v>
      </c>
      <c r="R28" s="149">
        <v>40631</v>
      </c>
      <c r="S28" s="149" t="s">
        <v>375</v>
      </c>
      <c r="T28" s="149" t="s">
        <v>169</v>
      </c>
      <c r="U28" s="149" t="s">
        <v>376</v>
      </c>
      <c r="V28" s="149" t="s">
        <v>162</v>
      </c>
      <c r="W28" s="84"/>
      <c r="X28" s="149">
        <v>1200</v>
      </c>
      <c r="Y28" s="148">
        <v>9</v>
      </c>
      <c r="Z28" s="149">
        <v>10800</v>
      </c>
      <c r="AA28" s="149" t="s">
        <v>99</v>
      </c>
      <c r="AB28" s="149">
        <v>612</v>
      </c>
      <c r="AC28" s="150">
        <v>46116</v>
      </c>
      <c r="AD28" s="149" t="s">
        <v>164</v>
      </c>
      <c r="AE28" s="149">
        <v>995400</v>
      </c>
      <c r="AF28" s="149" t="s">
        <v>686</v>
      </c>
      <c r="AG28" s="84"/>
      <c r="AH28" s="84"/>
      <c r="AI28" s="149">
        <v>10800</v>
      </c>
      <c r="AJ28" s="149" t="s">
        <v>368</v>
      </c>
      <c r="AK28" s="149">
        <v>18</v>
      </c>
      <c r="AL28" s="148">
        <v>972</v>
      </c>
      <c r="AM28" s="149">
        <v>972</v>
      </c>
      <c r="AN28" s="148">
        <v>0</v>
      </c>
      <c r="AO28" s="149">
        <v>0</v>
      </c>
      <c r="AP28" s="149">
        <v>0</v>
      </c>
      <c r="AQ28" s="149">
        <v>0</v>
      </c>
      <c r="AR28" s="149">
        <v>0</v>
      </c>
      <c r="AS28" s="149">
        <v>0</v>
      </c>
      <c r="AT28" s="149">
        <v>0</v>
      </c>
      <c r="AU28" s="84"/>
      <c r="AV28" s="84"/>
      <c r="AW28" s="149">
        <v>0</v>
      </c>
      <c r="AX28" s="149">
        <v>12744</v>
      </c>
      <c r="AY28" s="149" t="s">
        <v>101</v>
      </c>
      <c r="AZ28" s="149" t="s">
        <v>101</v>
      </c>
      <c r="BA28" s="149" t="s">
        <v>298</v>
      </c>
      <c r="BB28" s="149">
        <v>1126100056</v>
      </c>
      <c r="BC28" s="149" t="s">
        <v>172</v>
      </c>
      <c r="BD28" s="149" t="s">
        <v>103</v>
      </c>
      <c r="BE28" s="84"/>
      <c r="BF28" s="84" t="s">
        <v>271</v>
      </c>
      <c r="BG28" s="84" t="s">
        <v>281</v>
      </c>
      <c r="BH28" s="148" t="s">
        <v>289</v>
      </c>
      <c r="BI28" t="s">
        <v>155</v>
      </c>
      <c r="BJ28" t="s">
        <v>156</v>
      </c>
      <c r="BK28" t="s">
        <v>687</v>
      </c>
      <c r="BL28">
        <v>1944</v>
      </c>
      <c r="BM28">
        <v>4734</v>
      </c>
      <c r="BN28">
        <v>-2790</v>
      </c>
      <c r="BO28" t="s">
        <v>154</v>
      </c>
      <c r="BP28">
        <v>9151235</v>
      </c>
      <c r="BQ28" t="s">
        <v>271</v>
      </c>
      <c r="BR28" t="s">
        <v>630</v>
      </c>
      <c r="BS28">
        <v>3</v>
      </c>
    </row>
    <row r="29" spans="1:71" s="0" customFormat="1" ht="14.5">
      <c r="A29" s="148" t="s">
        <v>157</v>
      </c>
      <c r="B29" s="149" t="s">
        <v>625</v>
      </c>
      <c r="C29" s="149">
        <v>107</v>
      </c>
      <c r="D29" s="149" t="s">
        <v>97</v>
      </c>
      <c r="E29" s="149" t="s">
        <v>98</v>
      </c>
      <c r="F29" s="84"/>
      <c r="G29" s="149" t="s">
        <v>106</v>
      </c>
      <c r="H29" s="149" t="s">
        <v>48</v>
      </c>
      <c r="I29" s="149" t="s">
        <v>158</v>
      </c>
      <c r="J29" s="149" t="s">
        <v>165</v>
      </c>
      <c r="K29" s="149" t="s">
        <v>166</v>
      </c>
      <c r="L29" s="149" t="s">
        <v>160</v>
      </c>
      <c r="M29" s="150">
        <v>46127</v>
      </c>
      <c r="N29" s="149" t="s">
        <v>626</v>
      </c>
      <c r="O29" s="149">
        <v>9158398</v>
      </c>
      <c r="P29" s="151">
        <v>46090</v>
      </c>
      <c r="Q29" s="149" t="s">
        <v>161</v>
      </c>
      <c r="R29" s="149">
        <v>35671</v>
      </c>
      <c r="S29" s="149" t="s">
        <v>424</v>
      </c>
      <c r="T29" s="149" t="s">
        <v>425</v>
      </c>
      <c r="U29" s="149" t="s">
        <v>426</v>
      </c>
      <c r="V29" s="149" t="s">
        <v>162</v>
      </c>
      <c r="W29" s="84"/>
      <c r="X29" s="149">
        <v>7755.51</v>
      </c>
      <c r="Y29" s="148">
        <v>1</v>
      </c>
      <c r="Z29" s="149">
        <v>7755.51</v>
      </c>
      <c r="AA29" s="149" t="s">
        <v>99</v>
      </c>
      <c r="AB29" s="149" t="s">
        <v>626</v>
      </c>
      <c r="AC29" s="150">
        <v>46121</v>
      </c>
      <c r="AD29" s="149" t="s">
        <v>164</v>
      </c>
      <c r="AE29" s="149">
        <v>85129000</v>
      </c>
      <c r="AF29" s="149" t="s">
        <v>688</v>
      </c>
      <c r="AG29" s="84"/>
      <c r="AH29" s="84"/>
      <c r="AI29" s="149">
        <v>7755.51</v>
      </c>
      <c r="AJ29" s="149" t="s">
        <v>368</v>
      </c>
      <c r="AK29" s="149">
        <v>18</v>
      </c>
      <c r="AL29" s="148">
        <v>0</v>
      </c>
      <c r="AM29" s="149">
        <v>0</v>
      </c>
      <c r="AN29" s="148">
        <v>1395.99</v>
      </c>
      <c r="AO29" s="149">
        <v>0</v>
      </c>
      <c r="AP29" s="149">
        <v>0</v>
      </c>
      <c r="AQ29" s="149">
        <v>0</v>
      </c>
      <c r="AR29" s="149">
        <v>0</v>
      </c>
      <c r="AS29" s="149">
        <v>0</v>
      </c>
      <c r="AT29" s="149">
        <v>0</v>
      </c>
      <c r="AU29" s="84"/>
      <c r="AV29" s="84"/>
      <c r="AW29" s="149">
        <v>0</v>
      </c>
      <c r="AX29" s="149">
        <v>9151.5</v>
      </c>
      <c r="AY29" s="149" t="s">
        <v>101</v>
      </c>
      <c r="AZ29" s="149" t="s">
        <v>101</v>
      </c>
      <c r="BA29" s="149" t="s">
        <v>628</v>
      </c>
      <c r="BB29" s="149">
        <v>1126100105</v>
      </c>
      <c r="BC29" s="149" t="s">
        <v>168</v>
      </c>
      <c r="BD29" s="149" t="s">
        <v>272</v>
      </c>
      <c r="BE29" s="84"/>
      <c r="BF29" s="84" t="s">
        <v>271</v>
      </c>
      <c r="BG29" s="84" t="s">
        <v>281</v>
      </c>
      <c r="BH29" s="148" t="s">
        <v>290</v>
      </c>
      <c r="BI29" t="s">
        <v>155</v>
      </c>
      <c r="BJ29" t="s">
        <v>156</v>
      </c>
      <c r="BK29" t="s">
        <v>629</v>
      </c>
      <c r="BL29">
        <v>1395.99</v>
      </c>
      <c r="BM29">
        <v>38182.879999999997</v>
      </c>
      <c r="BN29">
        <v>-36787</v>
      </c>
      <c r="BO29" t="s">
        <v>154</v>
      </c>
      <c r="BP29">
        <v>9158398</v>
      </c>
      <c r="BQ29" t="s">
        <v>271</v>
      </c>
      <c r="BR29" t="s">
        <v>630</v>
      </c>
      <c r="BS29">
        <v>37</v>
      </c>
    </row>
    <row r="30" spans="1:71" s="0" customFormat="1" ht="14.5">
      <c r="A30" s="148" t="s">
        <v>157</v>
      </c>
      <c r="B30" s="149" t="s">
        <v>625</v>
      </c>
      <c r="C30" s="149">
        <v>107</v>
      </c>
      <c r="D30" s="149" t="s">
        <v>97</v>
      </c>
      <c r="E30" s="149" t="s">
        <v>98</v>
      </c>
      <c r="F30" s="84"/>
      <c r="G30" s="149" t="s">
        <v>106</v>
      </c>
      <c r="H30" s="149" t="s">
        <v>48</v>
      </c>
      <c r="I30" s="149" t="s">
        <v>158</v>
      </c>
      <c r="J30" s="149" t="s">
        <v>165</v>
      </c>
      <c r="K30" s="149" t="s">
        <v>166</v>
      </c>
      <c r="L30" s="149" t="s">
        <v>160</v>
      </c>
      <c r="M30" s="150">
        <v>46140</v>
      </c>
      <c r="N30" s="149" t="s">
        <v>632</v>
      </c>
      <c r="O30" s="149">
        <v>9174963</v>
      </c>
      <c r="P30" s="151">
        <v>46129</v>
      </c>
      <c r="Q30" s="149" t="s">
        <v>161</v>
      </c>
      <c r="R30" s="149">
        <v>35671</v>
      </c>
      <c r="S30" s="149" t="s">
        <v>424</v>
      </c>
      <c r="T30" s="149" t="s">
        <v>425</v>
      </c>
      <c r="U30" s="149" t="s">
        <v>426</v>
      </c>
      <c r="V30" s="149" t="s">
        <v>162</v>
      </c>
      <c r="W30" s="84"/>
      <c r="X30" s="149">
        <v>9315.94</v>
      </c>
      <c r="Y30" s="148">
        <v>1</v>
      </c>
      <c r="Z30" s="149">
        <v>9315.94</v>
      </c>
      <c r="AA30" s="149" t="s">
        <v>99</v>
      </c>
      <c r="AB30" s="149" t="s">
        <v>632</v>
      </c>
      <c r="AC30" s="150">
        <v>46129</v>
      </c>
      <c r="AD30" s="149" t="s">
        <v>164</v>
      </c>
      <c r="AE30" s="149">
        <v>84219900</v>
      </c>
      <c r="AF30" s="149" t="s">
        <v>689</v>
      </c>
      <c r="AG30" s="84"/>
      <c r="AH30" s="84"/>
      <c r="AI30" s="149">
        <v>9315.94</v>
      </c>
      <c r="AJ30" s="149" t="s">
        <v>368</v>
      </c>
      <c r="AK30" s="149">
        <v>18</v>
      </c>
      <c r="AL30" s="148">
        <v>0</v>
      </c>
      <c r="AM30" s="149">
        <v>0</v>
      </c>
      <c r="AN30" s="148">
        <v>1676.87</v>
      </c>
      <c r="AO30" s="149">
        <v>0</v>
      </c>
      <c r="AP30" s="149">
        <v>0</v>
      </c>
      <c r="AQ30" s="149">
        <v>0</v>
      </c>
      <c r="AR30" s="149">
        <v>0</v>
      </c>
      <c r="AS30" s="149">
        <v>0</v>
      </c>
      <c r="AT30" s="149">
        <v>0</v>
      </c>
      <c r="AU30" s="84"/>
      <c r="AV30" s="84"/>
      <c r="AW30" s="149">
        <v>0</v>
      </c>
      <c r="AX30" s="149">
        <v>10992.81</v>
      </c>
      <c r="AY30" s="149" t="s">
        <v>101</v>
      </c>
      <c r="AZ30" s="149" t="s">
        <v>101</v>
      </c>
      <c r="BA30" s="149" t="s">
        <v>634</v>
      </c>
      <c r="BB30" s="149">
        <v>1126100446</v>
      </c>
      <c r="BC30" s="149" t="s">
        <v>168</v>
      </c>
      <c r="BD30" s="149" t="s">
        <v>272</v>
      </c>
      <c r="BE30" s="84"/>
      <c r="BF30" s="84" t="s">
        <v>271</v>
      </c>
      <c r="BG30" s="84" t="s">
        <v>281</v>
      </c>
      <c r="BH30" s="148" t="s">
        <v>290</v>
      </c>
      <c r="BI30" t="s">
        <v>155</v>
      </c>
      <c r="BJ30" t="s">
        <v>156</v>
      </c>
      <c r="BK30" t="s">
        <v>635</v>
      </c>
      <c r="BL30">
        <v>1676.87</v>
      </c>
      <c r="BM30">
        <v>36494.74</v>
      </c>
      <c r="BN30">
        <v>-34818</v>
      </c>
      <c r="BO30" t="s">
        <v>154</v>
      </c>
      <c r="BP30">
        <v>9174963</v>
      </c>
      <c r="BQ30" t="s">
        <v>271</v>
      </c>
      <c r="BR30" t="s">
        <v>630</v>
      </c>
      <c r="BS30">
        <v>36</v>
      </c>
    </row>
    <row r="31" spans="1:71" s="0" customFormat="1" ht="14.5">
      <c r="A31" s="148" t="s">
        <v>157</v>
      </c>
      <c r="B31" s="149" t="s">
        <v>625</v>
      </c>
      <c r="C31" s="149">
        <v>107</v>
      </c>
      <c r="D31" s="149" t="s">
        <v>97</v>
      </c>
      <c r="E31" s="149" t="s">
        <v>98</v>
      </c>
      <c r="F31" s="84"/>
      <c r="G31" s="149" t="s">
        <v>106</v>
      </c>
      <c r="H31" s="149" t="s">
        <v>48</v>
      </c>
      <c r="I31" s="149" t="s">
        <v>158</v>
      </c>
      <c r="J31" s="149" t="s">
        <v>165</v>
      </c>
      <c r="K31" s="149" t="s">
        <v>166</v>
      </c>
      <c r="L31" s="149" t="s">
        <v>160</v>
      </c>
      <c r="M31" s="150">
        <v>46127</v>
      </c>
      <c r="N31" s="149" t="s">
        <v>690</v>
      </c>
      <c r="O31" s="149">
        <v>9156758</v>
      </c>
      <c r="P31" s="151">
        <v>46113</v>
      </c>
      <c r="Q31" s="149" t="s">
        <v>161</v>
      </c>
      <c r="R31" s="149">
        <v>33841</v>
      </c>
      <c r="S31" s="149" t="s">
        <v>179</v>
      </c>
      <c r="T31" s="149" t="s">
        <v>169</v>
      </c>
      <c r="U31" s="149" t="s">
        <v>180</v>
      </c>
      <c r="V31" s="149" t="s">
        <v>162</v>
      </c>
      <c r="W31" s="84"/>
      <c r="X31" s="149">
        <v>1</v>
      </c>
      <c r="Y31" s="148">
        <v>509</v>
      </c>
      <c r="Z31" s="149">
        <v>509</v>
      </c>
      <c r="AA31" s="149" t="s">
        <v>99</v>
      </c>
      <c r="AB31" s="149" t="s">
        <v>690</v>
      </c>
      <c r="AC31" s="150">
        <v>46113</v>
      </c>
      <c r="AD31" s="149" t="s">
        <v>171</v>
      </c>
      <c r="AE31" s="149">
        <v>998400</v>
      </c>
      <c r="AF31" s="149" t="s">
        <v>691</v>
      </c>
      <c r="AG31" s="84"/>
      <c r="AH31" s="84"/>
      <c r="AI31" s="149">
        <v>509</v>
      </c>
      <c r="AJ31" s="149" t="s">
        <v>368</v>
      </c>
      <c r="AK31" s="149">
        <v>18</v>
      </c>
      <c r="AL31" s="148">
        <v>45.81</v>
      </c>
      <c r="AM31" s="149">
        <v>45.81</v>
      </c>
      <c r="AN31" s="148">
        <v>0</v>
      </c>
      <c r="AO31" s="149">
        <v>0</v>
      </c>
      <c r="AP31" s="149">
        <v>0</v>
      </c>
      <c r="AQ31" s="149">
        <v>0</v>
      </c>
      <c r="AR31" s="149">
        <v>0</v>
      </c>
      <c r="AS31" s="149">
        <v>0</v>
      </c>
      <c r="AT31" s="149">
        <v>0</v>
      </c>
      <c r="AU31" s="84"/>
      <c r="AV31" s="84"/>
      <c r="AW31" s="149">
        <v>0</v>
      </c>
      <c r="AX31" s="149">
        <v>600.62</v>
      </c>
      <c r="AY31" s="149" t="s">
        <v>100</v>
      </c>
      <c r="AZ31" s="149" t="s">
        <v>101</v>
      </c>
      <c r="BA31" s="149" t="s">
        <v>311</v>
      </c>
      <c r="BB31" s="149">
        <v>1126100082</v>
      </c>
      <c r="BC31" s="149" t="s">
        <v>105</v>
      </c>
      <c r="BD31" s="149" t="s">
        <v>103</v>
      </c>
      <c r="BE31" s="84"/>
      <c r="BF31" s="84" t="s">
        <v>270</v>
      </c>
      <c r="BG31" s="84" t="s">
        <v>281</v>
      </c>
      <c r="BH31" s="148" t="s">
        <v>290</v>
      </c>
      <c r="BI31" t="s">
        <v>155</v>
      </c>
      <c r="BJ31" t="s">
        <v>156</v>
      </c>
      <c r="BK31" t="s">
        <v>692</v>
      </c>
      <c r="BL31">
        <v>91.62</v>
      </c>
      <c r="BM31">
        <v>369.72</v>
      </c>
      <c r="BN31">
        <v>-278</v>
      </c>
      <c r="BO31" t="s">
        <v>154</v>
      </c>
      <c r="BP31">
        <v>9156758</v>
      </c>
      <c r="BQ31" t="s">
        <v>270</v>
      </c>
      <c r="BR31" t="s">
        <v>630</v>
      </c>
      <c r="BS31">
        <v>2</v>
      </c>
    </row>
    <row r="32" spans="1:71" s="0" customFormat="1" ht="14.5">
      <c r="A32" s="148" t="s">
        <v>157</v>
      </c>
      <c r="B32" s="149" t="s">
        <v>625</v>
      </c>
      <c r="C32" s="149">
        <v>107</v>
      </c>
      <c r="D32" s="149" t="s">
        <v>97</v>
      </c>
      <c r="E32" s="149" t="s">
        <v>98</v>
      </c>
      <c r="F32" s="84"/>
      <c r="G32" s="149" t="s">
        <v>106</v>
      </c>
      <c r="H32" s="149" t="s">
        <v>48</v>
      </c>
      <c r="I32" s="149" t="s">
        <v>158</v>
      </c>
      <c r="J32" s="149" t="s">
        <v>165</v>
      </c>
      <c r="K32" s="149" t="s">
        <v>166</v>
      </c>
      <c r="L32" s="149" t="s">
        <v>160</v>
      </c>
      <c r="M32" s="150">
        <v>46135</v>
      </c>
      <c r="N32" s="149">
        <v>3473457367</v>
      </c>
      <c r="O32" s="149">
        <v>9167995</v>
      </c>
      <c r="P32" s="151">
        <v>46127</v>
      </c>
      <c r="Q32" s="149" t="s">
        <v>161</v>
      </c>
      <c r="R32" s="149">
        <v>39705</v>
      </c>
      <c r="S32" s="149" t="s">
        <v>434</v>
      </c>
      <c r="T32" s="149" t="s">
        <v>169</v>
      </c>
      <c r="U32" s="149" t="s">
        <v>435</v>
      </c>
      <c r="V32" s="149" t="s">
        <v>162</v>
      </c>
      <c r="W32" s="84"/>
      <c r="X32" s="149">
        <v>1</v>
      </c>
      <c r="Y32" s="148">
        <v>7500</v>
      </c>
      <c r="Z32" s="149">
        <v>7500</v>
      </c>
      <c r="AA32" s="149" t="s">
        <v>99</v>
      </c>
      <c r="AB32" s="149">
        <v>3473457367</v>
      </c>
      <c r="AC32" s="150">
        <v>46127</v>
      </c>
      <c r="AD32" s="149" t="s">
        <v>164</v>
      </c>
      <c r="AE32" s="149">
        <v>998412</v>
      </c>
      <c r="AF32" s="149" t="s">
        <v>693</v>
      </c>
      <c r="AG32" s="84"/>
      <c r="AH32" s="84"/>
      <c r="AI32" s="149">
        <v>7500</v>
      </c>
      <c r="AJ32" s="149" t="s">
        <v>368</v>
      </c>
      <c r="AK32" s="149">
        <v>18</v>
      </c>
      <c r="AL32" s="148">
        <v>675</v>
      </c>
      <c r="AM32" s="149">
        <v>675</v>
      </c>
      <c r="AN32" s="148">
        <v>0</v>
      </c>
      <c r="AO32" s="149">
        <v>0</v>
      </c>
      <c r="AP32" s="149">
        <v>0</v>
      </c>
      <c r="AQ32" s="149">
        <v>0</v>
      </c>
      <c r="AR32" s="149">
        <v>0</v>
      </c>
      <c r="AS32" s="149">
        <v>0</v>
      </c>
      <c r="AT32" s="149">
        <v>0</v>
      </c>
      <c r="AU32" s="84"/>
      <c r="AV32" s="84"/>
      <c r="AW32" s="149">
        <v>0</v>
      </c>
      <c r="AX32" s="149">
        <v>8850</v>
      </c>
      <c r="AY32" s="149" t="s">
        <v>100</v>
      </c>
      <c r="AZ32" s="149" t="s">
        <v>101</v>
      </c>
      <c r="BA32" s="149" t="s">
        <v>422</v>
      </c>
      <c r="BB32" s="149">
        <v>1126100348</v>
      </c>
      <c r="BC32" s="149" t="s">
        <v>105</v>
      </c>
      <c r="BD32" s="149" t="s">
        <v>103</v>
      </c>
      <c r="BE32" s="84"/>
      <c r="BF32" s="84" t="s">
        <v>270</v>
      </c>
      <c r="BG32" s="84" t="s">
        <v>281</v>
      </c>
      <c r="BH32" s="148" t="s">
        <v>290</v>
      </c>
      <c r="BI32" t="s">
        <v>155</v>
      </c>
      <c r="BJ32" t="s">
        <v>156</v>
      </c>
      <c r="BK32" t="s">
        <v>694</v>
      </c>
      <c r="BL32">
        <v>1350</v>
      </c>
      <c r="BM32">
        <v>1350</v>
      </c>
      <c r="BN32">
        <v>0</v>
      </c>
      <c r="BO32" t="s">
        <v>154</v>
      </c>
      <c r="BP32">
        <v>9167995</v>
      </c>
      <c r="BQ32" t="s">
        <v>270</v>
      </c>
      <c r="BR32" t="s">
        <v>630</v>
      </c>
      <c r="BS32">
        <v>1</v>
      </c>
    </row>
    <row r="33" spans="1:71" s="0" customFormat="1" ht="14.5">
      <c r="A33" s="148" t="s">
        <v>157</v>
      </c>
      <c r="B33" s="149" t="s">
        <v>625</v>
      </c>
      <c r="C33" s="149">
        <v>107</v>
      </c>
      <c r="D33" s="149" t="s">
        <v>97</v>
      </c>
      <c r="E33" s="149" t="s">
        <v>98</v>
      </c>
      <c r="F33" s="84"/>
      <c r="G33" s="149" t="s">
        <v>106</v>
      </c>
      <c r="H33" s="149" t="s">
        <v>48</v>
      </c>
      <c r="I33" s="149" t="s">
        <v>158</v>
      </c>
      <c r="J33" s="149" t="s">
        <v>165</v>
      </c>
      <c r="K33" s="149" t="s">
        <v>166</v>
      </c>
      <c r="L33" s="149" t="s">
        <v>160</v>
      </c>
      <c r="M33" s="150">
        <v>46127</v>
      </c>
      <c r="N33" s="149" t="s">
        <v>626</v>
      </c>
      <c r="O33" s="149">
        <v>9158398</v>
      </c>
      <c r="P33" s="151">
        <v>46090</v>
      </c>
      <c r="Q33" s="149" t="s">
        <v>161</v>
      </c>
      <c r="R33" s="149">
        <v>35671</v>
      </c>
      <c r="S33" s="149" t="s">
        <v>424</v>
      </c>
      <c r="T33" s="149" t="s">
        <v>425</v>
      </c>
      <c r="U33" s="149" t="s">
        <v>426</v>
      </c>
      <c r="V33" s="149" t="s">
        <v>162</v>
      </c>
      <c r="W33" s="84"/>
      <c r="X33" s="149">
        <v>163.13999999999999</v>
      </c>
      <c r="Y33" s="148">
        <v>2</v>
      </c>
      <c r="Z33" s="149">
        <v>326.27999999999997</v>
      </c>
      <c r="AA33" s="149" t="s">
        <v>99</v>
      </c>
      <c r="AB33" s="149" t="s">
        <v>626</v>
      </c>
      <c r="AC33" s="150">
        <v>46121</v>
      </c>
      <c r="AD33" s="149" t="s">
        <v>164</v>
      </c>
      <c r="AE33" s="149">
        <v>34029099</v>
      </c>
      <c r="AF33" s="149" t="s">
        <v>695</v>
      </c>
      <c r="AG33" s="84"/>
      <c r="AH33" s="84"/>
      <c r="AI33" s="149">
        <v>326.27999999999997</v>
      </c>
      <c r="AJ33" s="149" t="s">
        <v>368</v>
      </c>
      <c r="AK33" s="149">
        <v>18</v>
      </c>
      <c r="AL33" s="148">
        <v>0</v>
      </c>
      <c r="AM33" s="149">
        <v>0</v>
      </c>
      <c r="AN33" s="148">
        <v>58.73</v>
      </c>
      <c r="AO33" s="149">
        <v>0</v>
      </c>
      <c r="AP33" s="149">
        <v>0</v>
      </c>
      <c r="AQ33" s="149">
        <v>0</v>
      </c>
      <c r="AR33" s="149">
        <v>0</v>
      </c>
      <c r="AS33" s="149">
        <v>0</v>
      </c>
      <c r="AT33" s="149">
        <v>0</v>
      </c>
      <c r="AU33" s="84"/>
      <c r="AV33" s="84"/>
      <c r="AW33" s="149">
        <v>0</v>
      </c>
      <c r="AX33" s="149">
        <v>385.01</v>
      </c>
      <c r="AY33" s="149" t="s">
        <v>101</v>
      </c>
      <c r="AZ33" s="149" t="s">
        <v>101</v>
      </c>
      <c r="BA33" s="149" t="s">
        <v>628</v>
      </c>
      <c r="BB33" s="149">
        <v>1126100105</v>
      </c>
      <c r="BC33" s="149" t="s">
        <v>168</v>
      </c>
      <c r="BD33" s="149" t="s">
        <v>272</v>
      </c>
      <c r="BE33" s="84"/>
      <c r="BF33" s="84" t="s">
        <v>271</v>
      </c>
      <c r="BG33" s="84" t="s">
        <v>281</v>
      </c>
      <c r="BH33" s="148" t="s">
        <v>290</v>
      </c>
      <c r="BI33" t="s">
        <v>155</v>
      </c>
      <c r="BJ33" t="s">
        <v>156</v>
      </c>
      <c r="BK33" t="s">
        <v>629</v>
      </c>
      <c r="BL33">
        <v>58.73</v>
      </c>
      <c r="BM33">
        <v>38182.879999999997</v>
      </c>
      <c r="BN33">
        <v>-38124</v>
      </c>
      <c r="BO33" t="s">
        <v>154</v>
      </c>
      <c r="BP33">
        <v>9158398</v>
      </c>
      <c r="BQ33" t="s">
        <v>271</v>
      </c>
      <c r="BR33" t="s">
        <v>630</v>
      </c>
      <c r="BS33">
        <v>37</v>
      </c>
    </row>
    <row r="34" spans="1:71" s="0" customFormat="1" ht="14.5">
      <c r="A34" s="148" t="s">
        <v>157</v>
      </c>
      <c r="B34" s="149" t="s">
        <v>625</v>
      </c>
      <c r="C34" s="149">
        <v>107</v>
      </c>
      <c r="D34" s="149" t="s">
        <v>97</v>
      </c>
      <c r="E34" s="149" t="s">
        <v>98</v>
      </c>
      <c r="F34" s="84"/>
      <c r="G34" s="149" t="s">
        <v>106</v>
      </c>
      <c r="H34" s="149" t="s">
        <v>48</v>
      </c>
      <c r="I34" s="149" t="s">
        <v>158</v>
      </c>
      <c r="J34" s="149" t="s">
        <v>165</v>
      </c>
      <c r="K34" s="149" t="s">
        <v>166</v>
      </c>
      <c r="L34" s="149" t="s">
        <v>160</v>
      </c>
      <c r="M34" s="150">
        <v>46127</v>
      </c>
      <c r="N34" s="149" t="s">
        <v>626</v>
      </c>
      <c r="O34" s="149">
        <v>9158398</v>
      </c>
      <c r="P34" s="151">
        <v>46090</v>
      </c>
      <c r="Q34" s="149" t="s">
        <v>161</v>
      </c>
      <c r="R34" s="149">
        <v>35671</v>
      </c>
      <c r="S34" s="149" t="s">
        <v>424</v>
      </c>
      <c r="T34" s="149" t="s">
        <v>425</v>
      </c>
      <c r="U34" s="149" t="s">
        <v>426</v>
      </c>
      <c r="V34" s="149" t="s">
        <v>162</v>
      </c>
      <c r="W34" s="84"/>
      <c r="X34" s="149">
        <v>2155.5100000000002</v>
      </c>
      <c r="Y34" s="148">
        <v>4</v>
      </c>
      <c r="Z34" s="149">
        <v>8622.0400000000009</v>
      </c>
      <c r="AA34" s="149" t="s">
        <v>99</v>
      </c>
      <c r="AB34" s="149" t="s">
        <v>626</v>
      </c>
      <c r="AC34" s="150">
        <v>46121</v>
      </c>
      <c r="AD34" s="149" t="s">
        <v>164</v>
      </c>
      <c r="AE34" s="149">
        <v>85111000</v>
      </c>
      <c r="AF34" s="149" t="s">
        <v>696</v>
      </c>
      <c r="AG34" s="84"/>
      <c r="AH34" s="84"/>
      <c r="AI34" s="149">
        <v>8622.0400000000009</v>
      </c>
      <c r="AJ34" s="149" t="s">
        <v>368</v>
      </c>
      <c r="AK34" s="149">
        <v>18</v>
      </c>
      <c r="AL34" s="148">
        <v>0</v>
      </c>
      <c r="AM34" s="149">
        <v>0</v>
      </c>
      <c r="AN34" s="148">
        <v>1551.97</v>
      </c>
      <c r="AO34" s="149">
        <v>0</v>
      </c>
      <c r="AP34" s="149">
        <v>0</v>
      </c>
      <c r="AQ34" s="149">
        <v>0</v>
      </c>
      <c r="AR34" s="149">
        <v>0</v>
      </c>
      <c r="AS34" s="149">
        <v>0</v>
      </c>
      <c r="AT34" s="149">
        <v>0</v>
      </c>
      <c r="AU34" s="84"/>
      <c r="AV34" s="84"/>
      <c r="AW34" s="149">
        <v>0</v>
      </c>
      <c r="AX34" s="149">
        <v>10174.01</v>
      </c>
      <c r="AY34" s="149" t="s">
        <v>101</v>
      </c>
      <c r="AZ34" s="149" t="s">
        <v>101</v>
      </c>
      <c r="BA34" s="149" t="s">
        <v>628</v>
      </c>
      <c r="BB34" s="149">
        <v>1126100105</v>
      </c>
      <c r="BC34" s="149" t="s">
        <v>168</v>
      </c>
      <c r="BD34" s="149" t="s">
        <v>272</v>
      </c>
      <c r="BE34" s="84"/>
      <c r="BF34" s="84" t="s">
        <v>271</v>
      </c>
      <c r="BG34" s="84" t="s">
        <v>281</v>
      </c>
      <c r="BH34" s="148" t="s">
        <v>290</v>
      </c>
      <c r="BI34" t="s">
        <v>155</v>
      </c>
      <c r="BJ34" t="s">
        <v>156</v>
      </c>
      <c r="BK34" t="s">
        <v>629</v>
      </c>
      <c r="BL34">
        <v>1551.97</v>
      </c>
      <c r="BM34">
        <v>38182.879999999997</v>
      </c>
      <c r="BN34">
        <v>-36631</v>
      </c>
      <c r="BO34" t="s">
        <v>154</v>
      </c>
      <c r="BP34">
        <v>9158398</v>
      </c>
      <c r="BQ34" t="s">
        <v>271</v>
      </c>
      <c r="BR34" t="s">
        <v>630</v>
      </c>
      <c r="BS34">
        <v>37</v>
      </c>
    </row>
    <row r="35" spans="1:71" s="0" customFormat="1" ht="14.5">
      <c r="A35" s="148" t="s">
        <v>157</v>
      </c>
      <c r="B35" s="149" t="s">
        <v>625</v>
      </c>
      <c r="C35" s="149">
        <v>107</v>
      </c>
      <c r="D35" s="149" t="s">
        <v>97</v>
      </c>
      <c r="E35" s="149" t="s">
        <v>98</v>
      </c>
      <c r="F35" s="84"/>
      <c r="G35" s="149" t="s">
        <v>106</v>
      </c>
      <c r="H35" s="149" t="s">
        <v>48</v>
      </c>
      <c r="I35" s="149" t="s">
        <v>158</v>
      </c>
      <c r="J35" s="149" t="s">
        <v>165</v>
      </c>
      <c r="K35" s="149" t="s">
        <v>166</v>
      </c>
      <c r="L35" s="149" t="s">
        <v>160</v>
      </c>
      <c r="M35" s="150">
        <v>46140</v>
      </c>
      <c r="N35" s="149" t="s">
        <v>632</v>
      </c>
      <c r="O35" s="149">
        <v>9174963</v>
      </c>
      <c r="P35" s="151">
        <v>46129</v>
      </c>
      <c r="Q35" s="149" t="s">
        <v>161</v>
      </c>
      <c r="R35" s="149">
        <v>35671</v>
      </c>
      <c r="S35" s="149" t="s">
        <v>424</v>
      </c>
      <c r="T35" s="149" t="s">
        <v>425</v>
      </c>
      <c r="U35" s="149" t="s">
        <v>426</v>
      </c>
      <c r="V35" s="149" t="s">
        <v>162</v>
      </c>
      <c r="W35" s="84"/>
      <c r="X35" s="149">
        <v>275</v>
      </c>
      <c r="Y35" s="148">
        <v>0.001</v>
      </c>
      <c r="Z35" s="149">
        <v>0.28000000000000003</v>
      </c>
      <c r="AA35" s="149" t="s">
        <v>99</v>
      </c>
      <c r="AB35" s="149" t="s">
        <v>632</v>
      </c>
      <c r="AC35" s="150">
        <v>46129</v>
      </c>
      <c r="AD35" s="149" t="s">
        <v>164</v>
      </c>
      <c r="AE35" s="149">
        <v>998729</v>
      </c>
      <c r="AF35" s="149" t="s">
        <v>454</v>
      </c>
      <c r="AG35" s="84"/>
      <c r="AH35" s="84"/>
      <c r="AI35" s="149">
        <v>0.28000000000000003</v>
      </c>
      <c r="AJ35" s="149" t="s">
        <v>368</v>
      </c>
      <c r="AK35" s="149">
        <v>18</v>
      </c>
      <c r="AL35" s="148">
        <v>0</v>
      </c>
      <c r="AM35" s="149">
        <v>0</v>
      </c>
      <c r="AN35" s="148">
        <v>0.05</v>
      </c>
      <c r="AO35" s="149">
        <v>0</v>
      </c>
      <c r="AP35" s="149">
        <v>0</v>
      </c>
      <c r="AQ35" s="149">
        <v>0</v>
      </c>
      <c r="AR35" s="149">
        <v>0</v>
      </c>
      <c r="AS35" s="149">
        <v>0</v>
      </c>
      <c r="AT35" s="149">
        <v>0</v>
      </c>
      <c r="AU35" s="84"/>
      <c r="AV35" s="84"/>
      <c r="AW35" s="149">
        <v>0</v>
      </c>
      <c r="AX35" s="149">
        <v>0.33</v>
      </c>
      <c r="AY35" s="149" t="s">
        <v>101</v>
      </c>
      <c r="AZ35" s="149" t="s">
        <v>101</v>
      </c>
      <c r="BA35" s="149" t="s">
        <v>634</v>
      </c>
      <c r="BB35" s="149">
        <v>1126100446</v>
      </c>
      <c r="BC35" s="149" t="s">
        <v>168</v>
      </c>
      <c r="BD35" s="149" t="s">
        <v>272</v>
      </c>
      <c r="BE35" s="84"/>
      <c r="BF35" s="84" t="s">
        <v>271</v>
      </c>
      <c r="BG35" s="84" t="s">
        <v>281</v>
      </c>
      <c r="BH35" s="148" t="s">
        <v>290</v>
      </c>
      <c r="BI35" t="s">
        <v>155</v>
      </c>
      <c r="BJ35" t="s">
        <v>156</v>
      </c>
      <c r="BK35" t="s">
        <v>635</v>
      </c>
      <c r="BL35">
        <v>0.05</v>
      </c>
      <c r="BM35">
        <v>36494.74</v>
      </c>
      <c r="BN35">
        <v>-36495</v>
      </c>
      <c r="BO35" t="s">
        <v>154</v>
      </c>
      <c r="BP35">
        <v>9174963</v>
      </c>
      <c r="BQ35" t="s">
        <v>271</v>
      </c>
      <c r="BR35" t="s">
        <v>630</v>
      </c>
      <c r="BS35">
        <v>36</v>
      </c>
    </row>
    <row r="36" spans="1:71" s="0" customFormat="1" ht="14.5">
      <c r="A36" s="148" t="s">
        <v>157</v>
      </c>
      <c r="B36" s="149" t="s">
        <v>625</v>
      </c>
      <c r="C36" s="149">
        <v>107</v>
      </c>
      <c r="D36" s="149" t="s">
        <v>97</v>
      </c>
      <c r="E36" s="149" t="s">
        <v>98</v>
      </c>
      <c r="F36" s="84"/>
      <c r="G36" s="84"/>
      <c r="H36" s="149" t="s">
        <v>48</v>
      </c>
      <c r="I36" s="149" t="s">
        <v>158</v>
      </c>
      <c r="J36" s="149" t="s">
        <v>159</v>
      </c>
      <c r="K36" s="149" t="s">
        <v>163</v>
      </c>
      <c r="L36" s="149" t="s">
        <v>160</v>
      </c>
      <c r="M36" s="150">
        <v>46141</v>
      </c>
      <c r="N36" s="157">
        <v>46082</v>
      </c>
      <c r="O36" s="149">
        <v>9178114</v>
      </c>
      <c r="P36" s="151">
        <v>46127</v>
      </c>
      <c r="Q36" s="149" t="s">
        <v>161</v>
      </c>
      <c r="R36" s="149">
        <v>5093</v>
      </c>
      <c r="S36" s="149" t="s">
        <v>358</v>
      </c>
      <c r="T36" s="149" t="s">
        <v>153</v>
      </c>
      <c r="U36" s="149" t="s">
        <v>359</v>
      </c>
      <c r="V36" s="149" t="s">
        <v>162</v>
      </c>
      <c r="W36" s="84"/>
      <c r="X36" s="149">
        <v>1</v>
      </c>
      <c r="Y36" s="148">
        <v>450</v>
      </c>
      <c r="Z36" s="149">
        <v>450</v>
      </c>
      <c r="AA36" s="149" t="s">
        <v>99</v>
      </c>
      <c r="AB36" s="149">
        <v>3</v>
      </c>
      <c r="AC36" s="150">
        <v>46127</v>
      </c>
      <c r="AD36" s="149" t="s">
        <v>173</v>
      </c>
      <c r="AE36" s="149">
        <v>8536</v>
      </c>
      <c r="AF36" s="149" t="s">
        <v>697</v>
      </c>
      <c r="AG36" s="84"/>
      <c r="AH36" s="84"/>
      <c r="AI36" s="149">
        <v>450</v>
      </c>
      <c r="AJ36" s="149" t="s">
        <v>368</v>
      </c>
      <c r="AK36" s="149">
        <v>18</v>
      </c>
      <c r="AL36" s="148">
        <v>40.5</v>
      </c>
      <c r="AM36" s="149">
        <v>40.5</v>
      </c>
      <c r="AN36" s="148">
        <v>0</v>
      </c>
      <c r="AO36" s="149">
        <v>0</v>
      </c>
      <c r="AP36" s="149">
        <v>0</v>
      </c>
      <c r="AQ36" s="149">
        <v>0</v>
      </c>
      <c r="AR36" s="149">
        <v>0</v>
      </c>
      <c r="AS36" s="149">
        <v>0</v>
      </c>
      <c r="AT36" s="149">
        <v>0</v>
      </c>
      <c r="AU36" s="84"/>
      <c r="AV36" s="84"/>
      <c r="AW36" s="149">
        <v>0</v>
      </c>
      <c r="AX36" s="149">
        <v>531</v>
      </c>
      <c r="AY36" s="149" t="s">
        <v>100</v>
      </c>
      <c r="AZ36" s="149" t="s">
        <v>101</v>
      </c>
      <c r="BA36" s="149" t="s">
        <v>356</v>
      </c>
      <c r="BB36" s="149">
        <v>1126100466</v>
      </c>
      <c r="BC36" s="149" t="s">
        <v>105</v>
      </c>
      <c r="BD36" s="149" t="s">
        <v>104</v>
      </c>
      <c r="BE36" s="84"/>
      <c r="BF36" s="84" t="s">
        <v>270</v>
      </c>
      <c r="BG36" s="84" t="s">
        <v>281</v>
      </c>
      <c r="BH36" s="148" t="s">
        <v>289</v>
      </c>
      <c r="BI36" t="s">
        <v>155</v>
      </c>
      <c r="BJ36" t="s">
        <v>156</v>
      </c>
      <c r="BK36" t="s">
        <v>698</v>
      </c>
      <c r="BL36">
        <v>81</v>
      </c>
      <c r="BM36">
        <v>1584</v>
      </c>
      <c r="BN36">
        <v>-1503</v>
      </c>
      <c r="BO36" t="s">
        <v>154</v>
      </c>
      <c r="BP36">
        <v>9178114</v>
      </c>
      <c r="BQ36" t="s">
        <v>270</v>
      </c>
      <c r="BR36" t="s">
        <v>630</v>
      </c>
      <c r="BS36">
        <v>3</v>
      </c>
    </row>
    <row r="37" spans="1:71" s="0" customFormat="1" ht="14.5">
      <c r="A37" s="148" t="s">
        <v>157</v>
      </c>
      <c r="B37" s="149" t="s">
        <v>625</v>
      </c>
      <c r="C37" s="149">
        <v>107</v>
      </c>
      <c r="D37" s="149" t="s">
        <v>97</v>
      </c>
      <c r="E37" s="149" t="s">
        <v>98</v>
      </c>
      <c r="F37" s="84"/>
      <c r="G37" s="84"/>
      <c r="H37" s="149" t="s">
        <v>48</v>
      </c>
      <c r="I37" s="149" t="s">
        <v>158</v>
      </c>
      <c r="J37" s="149" t="s">
        <v>159</v>
      </c>
      <c r="K37" s="149" t="s">
        <v>163</v>
      </c>
      <c r="L37" s="149" t="s">
        <v>160</v>
      </c>
      <c r="M37" s="150">
        <v>46133</v>
      </c>
      <c r="N37" s="149" t="s">
        <v>699</v>
      </c>
      <c r="O37" s="149">
        <v>9164022</v>
      </c>
      <c r="P37" s="151">
        <v>46108</v>
      </c>
      <c r="Q37" s="149" t="s">
        <v>161</v>
      </c>
      <c r="R37" s="149">
        <v>45456</v>
      </c>
      <c r="S37" s="149" t="s">
        <v>418</v>
      </c>
      <c r="T37" s="149" t="s">
        <v>419</v>
      </c>
      <c r="U37" s="84"/>
      <c r="V37" s="84"/>
      <c r="W37" s="84"/>
      <c r="X37" s="149">
        <v>15000</v>
      </c>
      <c r="Y37" s="148">
        <v>1</v>
      </c>
      <c r="Z37" s="149">
        <v>15000</v>
      </c>
      <c r="AA37" s="149" t="s">
        <v>99</v>
      </c>
      <c r="AB37" s="149" t="s">
        <v>699</v>
      </c>
      <c r="AC37" s="150">
        <v>46108</v>
      </c>
      <c r="AD37" s="84"/>
      <c r="AE37" s="149">
        <v>998216</v>
      </c>
      <c r="AF37" s="149" t="s">
        <v>461</v>
      </c>
      <c r="AG37" s="84"/>
      <c r="AH37" s="84"/>
      <c r="AI37" s="149">
        <v>15000</v>
      </c>
      <c r="AJ37" s="149" t="s">
        <v>368</v>
      </c>
      <c r="AK37" s="149">
        <v>18</v>
      </c>
      <c r="AL37" s="148">
        <v>1350</v>
      </c>
      <c r="AM37" s="149">
        <v>1350</v>
      </c>
      <c r="AN37" s="148">
        <v>0</v>
      </c>
      <c r="AO37" s="149">
        <v>0</v>
      </c>
      <c r="AP37" s="149">
        <v>0</v>
      </c>
      <c r="AQ37" s="149">
        <v>0</v>
      </c>
      <c r="AR37" s="149">
        <v>0</v>
      </c>
      <c r="AS37" s="149">
        <v>0</v>
      </c>
      <c r="AT37" s="149">
        <v>0</v>
      </c>
      <c r="AU37" s="84"/>
      <c r="AV37" s="84"/>
      <c r="AW37" s="149">
        <v>0</v>
      </c>
      <c r="AX37" s="149">
        <v>17700</v>
      </c>
      <c r="AY37" s="149" t="s">
        <v>100</v>
      </c>
      <c r="AZ37" s="149" t="s">
        <v>100</v>
      </c>
      <c r="BA37" s="149" t="s">
        <v>642</v>
      </c>
      <c r="BB37" s="149">
        <v>1125113945</v>
      </c>
      <c r="BC37" s="149" t="s">
        <v>188</v>
      </c>
      <c r="BD37" s="149" t="s">
        <v>103</v>
      </c>
      <c r="BE37" s="84"/>
      <c r="BF37" s="84" t="s">
        <v>210</v>
      </c>
      <c r="BG37" s="84" t="s">
        <v>280</v>
      </c>
      <c r="BH37" s="148" t="s">
        <v>289</v>
      </c>
      <c r="BI37" t="s">
        <v>155</v>
      </c>
      <c r="BJ37" t="s">
        <v>156</v>
      </c>
      <c r="BK37" t="s">
        <v>699</v>
      </c>
      <c r="BL37">
        <v>2700</v>
      </c>
      <c r="BM37" t="e">
        <v>#N/A</v>
      </c>
      <c r="BN37" t="e">
        <v>#N/A</v>
      </c>
      <c r="BO37" t="s">
        <v>199</v>
      </c>
      <c r="BP37">
        <v>9164022</v>
      </c>
      <c r="BQ37" t="s">
        <v>210</v>
      </c>
      <c r="BR37" t="s">
        <v>199</v>
      </c>
      <c r="BS37">
        <v>3</v>
      </c>
    </row>
    <row r="38" spans="1:71" s="0" customFormat="1" ht="14.5">
      <c r="A38" s="148" t="s">
        <v>157</v>
      </c>
      <c r="B38" s="149" t="s">
        <v>625</v>
      </c>
      <c r="C38" s="149">
        <v>107</v>
      </c>
      <c r="D38" s="149" t="s">
        <v>97</v>
      </c>
      <c r="E38" s="149" t="s">
        <v>98</v>
      </c>
      <c r="F38" s="84"/>
      <c r="G38" s="149" t="s">
        <v>106</v>
      </c>
      <c r="H38" s="149" t="s">
        <v>48</v>
      </c>
      <c r="I38" s="149" t="s">
        <v>158</v>
      </c>
      <c r="J38" s="149" t="s">
        <v>165</v>
      </c>
      <c r="K38" s="149" t="s">
        <v>166</v>
      </c>
      <c r="L38" s="149" t="s">
        <v>160</v>
      </c>
      <c r="M38" s="150">
        <v>46127</v>
      </c>
      <c r="N38" s="149" t="s">
        <v>626</v>
      </c>
      <c r="O38" s="149">
        <v>9158398</v>
      </c>
      <c r="P38" s="151">
        <v>46090</v>
      </c>
      <c r="Q38" s="149" t="s">
        <v>161</v>
      </c>
      <c r="R38" s="149">
        <v>35671</v>
      </c>
      <c r="S38" s="149" t="s">
        <v>424</v>
      </c>
      <c r="T38" s="149" t="s">
        <v>425</v>
      </c>
      <c r="U38" s="149" t="s">
        <v>426</v>
      </c>
      <c r="V38" s="149" t="s">
        <v>162</v>
      </c>
      <c r="W38" s="84"/>
      <c r="X38" s="149">
        <v>3507.20</v>
      </c>
      <c r="Y38" s="148">
        <v>1</v>
      </c>
      <c r="Z38" s="149">
        <v>3507.20</v>
      </c>
      <c r="AA38" s="149" t="s">
        <v>99</v>
      </c>
      <c r="AB38" s="149" t="s">
        <v>626</v>
      </c>
      <c r="AC38" s="150">
        <v>46121</v>
      </c>
      <c r="AD38" s="149" t="s">
        <v>164</v>
      </c>
      <c r="AE38" s="149">
        <v>84213100</v>
      </c>
      <c r="AF38" s="149" t="s">
        <v>700</v>
      </c>
      <c r="AG38" s="84"/>
      <c r="AH38" s="84"/>
      <c r="AI38" s="149">
        <v>3507.20</v>
      </c>
      <c r="AJ38" s="149" t="s">
        <v>368</v>
      </c>
      <c r="AK38" s="149">
        <v>18</v>
      </c>
      <c r="AL38" s="148">
        <v>0</v>
      </c>
      <c r="AM38" s="149">
        <v>0</v>
      </c>
      <c r="AN38" s="148">
        <v>631.29999999999995</v>
      </c>
      <c r="AO38" s="149">
        <v>0</v>
      </c>
      <c r="AP38" s="149">
        <v>0</v>
      </c>
      <c r="AQ38" s="149">
        <v>0</v>
      </c>
      <c r="AR38" s="149">
        <v>0</v>
      </c>
      <c r="AS38" s="149">
        <v>0</v>
      </c>
      <c r="AT38" s="149">
        <v>0</v>
      </c>
      <c r="AU38" s="84"/>
      <c r="AV38" s="84"/>
      <c r="AW38" s="149">
        <v>0</v>
      </c>
      <c r="AX38" s="149">
        <v>4138.5</v>
      </c>
      <c r="AY38" s="149" t="s">
        <v>101</v>
      </c>
      <c r="AZ38" s="149" t="s">
        <v>101</v>
      </c>
      <c r="BA38" s="149" t="s">
        <v>628</v>
      </c>
      <c r="BB38" s="149">
        <v>1126100105</v>
      </c>
      <c r="BC38" s="149" t="s">
        <v>168</v>
      </c>
      <c r="BD38" s="149" t="s">
        <v>272</v>
      </c>
      <c r="BE38" s="84"/>
      <c r="BF38" s="84" t="s">
        <v>271</v>
      </c>
      <c r="BG38" s="84" t="s">
        <v>281</v>
      </c>
      <c r="BH38" s="148" t="s">
        <v>290</v>
      </c>
      <c r="BI38" t="s">
        <v>155</v>
      </c>
      <c r="BJ38" t="s">
        <v>156</v>
      </c>
      <c r="BK38" t="s">
        <v>629</v>
      </c>
      <c r="BL38">
        <v>631.29999999999995</v>
      </c>
      <c r="BM38">
        <v>38182.879999999997</v>
      </c>
      <c r="BN38">
        <v>-37552</v>
      </c>
      <c r="BO38" t="s">
        <v>154</v>
      </c>
      <c r="BP38">
        <v>9158398</v>
      </c>
      <c r="BQ38" t="s">
        <v>271</v>
      </c>
      <c r="BR38" t="s">
        <v>630</v>
      </c>
      <c r="BS38">
        <v>37</v>
      </c>
    </row>
    <row r="39" spans="1:71" s="0" customFormat="1" ht="14.5">
      <c r="A39" s="148" t="s">
        <v>157</v>
      </c>
      <c r="B39" s="149" t="s">
        <v>625</v>
      </c>
      <c r="C39" s="149">
        <v>107</v>
      </c>
      <c r="D39" s="149" t="s">
        <v>97</v>
      </c>
      <c r="E39" s="149" t="s">
        <v>98</v>
      </c>
      <c r="F39" s="84"/>
      <c r="G39" s="149" t="s">
        <v>106</v>
      </c>
      <c r="H39" s="149" t="s">
        <v>48</v>
      </c>
      <c r="I39" s="149" t="s">
        <v>158</v>
      </c>
      <c r="J39" s="149" t="s">
        <v>165</v>
      </c>
      <c r="K39" s="149" t="s">
        <v>166</v>
      </c>
      <c r="L39" s="149" t="s">
        <v>160</v>
      </c>
      <c r="M39" s="150">
        <v>46127</v>
      </c>
      <c r="N39" s="149" t="s">
        <v>636</v>
      </c>
      <c r="O39" s="149">
        <v>9156749</v>
      </c>
      <c r="P39" s="151">
        <v>46115</v>
      </c>
      <c r="Q39" s="149" t="s">
        <v>161</v>
      </c>
      <c r="R39" s="149">
        <v>6262</v>
      </c>
      <c r="S39" s="149" t="s">
        <v>183</v>
      </c>
      <c r="T39" s="149" t="s">
        <v>182</v>
      </c>
      <c r="U39" s="149" t="s">
        <v>184</v>
      </c>
      <c r="V39" s="149" t="s">
        <v>162</v>
      </c>
      <c r="W39" s="84"/>
      <c r="X39" s="149">
        <v>1</v>
      </c>
      <c r="Y39" s="148">
        <v>1570</v>
      </c>
      <c r="Z39" s="149">
        <v>1570</v>
      </c>
      <c r="AA39" s="149" t="s">
        <v>99</v>
      </c>
      <c r="AB39" s="149" t="s">
        <v>637</v>
      </c>
      <c r="AC39" s="150">
        <v>46115</v>
      </c>
      <c r="AD39" s="149" t="s">
        <v>171</v>
      </c>
      <c r="AE39" s="149">
        <v>998413</v>
      </c>
      <c r="AF39" s="149" t="s">
        <v>638</v>
      </c>
      <c r="AG39" s="84"/>
      <c r="AH39" s="84"/>
      <c r="AI39" s="149">
        <v>1570</v>
      </c>
      <c r="AJ39" s="149" t="s">
        <v>368</v>
      </c>
      <c r="AK39" s="149">
        <v>18</v>
      </c>
      <c r="AL39" s="148">
        <v>141.30000000000001</v>
      </c>
      <c r="AM39" s="149">
        <v>141.30000000000001</v>
      </c>
      <c r="AN39" s="148">
        <v>0</v>
      </c>
      <c r="AO39" s="149">
        <v>0</v>
      </c>
      <c r="AP39" s="149">
        <v>0</v>
      </c>
      <c r="AQ39" s="149">
        <v>0</v>
      </c>
      <c r="AR39" s="149">
        <v>0</v>
      </c>
      <c r="AS39" s="149">
        <v>0</v>
      </c>
      <c r="AT39" s="149">
        <v>0</v>
      </c>
      <c r="AU39" s="84"/>
      <c r="AV39" s="84"/>
      <c r="AW39" s="149">
        <v>0</v>
      </c>
      <c r="AX39" s="149">
        <v>1852.60</v>
      </c>
      <c r="AY39" s="149" t="s">
        <v>100</v>
      </c>
      <c r="AZ39" s="149" t="s">
        <v>101</v>
      </c>
      <c r="BA39" s="149" t="s">
        <v>311</v>
      </c>
      <c r="BB39" s="149">
        <v>1126100078</v>
      </c>
      <c r="BC39" s="149" t="s">
        <v>105</v>
      </c>
      <c r="BD39" s="149" t="s">
        <v>103</v>
      </c>
      <c r="BE39" s="84"/>
      <c r="BF39" s="84" t="s">
        <v>270</v>
      </c>
      <c r="BG39" s="84" t="s">
        <v>281</v>
      </c>
      <c r="BH39" s="148" t="s">
        <v>290</v>
      </c>
      <c r="BI39" t="s">
        <v>155</v>
      </c>
      <c r="BJ39" t="s">
        <v>156</v>
      </c>
      <c r="BK39" t="s">
        <v>639</v>
      </c>
      <c r="BL39">
        <v>282.60000000000002</v>
      </c>
      <c r="BM39">
        <v>8534.42</v>
      </c>
      <c r="BN39">
        <v>-8252</v>
      </c>
      <c r="BO39" t="s">
        <v>154</v>
      </c>
      <c r="BP39">
        <v>9156749</v>
      </c>
      <c r="BQ39" t="s">
        <v>270</v>
      </c>
      <c r="BR39" t="s">
        <v>630</v>
      </c>
      <c r="BS39">
        <v>17</v>
      </c>
    </row>
    <row r="40" spans="1:71" s="0" customFormat="1" ht="14.5">
      <c r="A40" s="148" t="s">
        <v>157</v>
      </c>
      <c r="B40" s="149" t="s">
        <v>625</v>
      </c>
      <c r="C40" s="149">
        <v>107</v>
      </c>
      <c r="D40" s="149" t="s">
        <v>97</v>
      </c>
      <c r="E40" s="149" t="s">
        <v>98</v>
      </c>
      <c r="F40" s="84"/>
      <c r="G40" s="149" t="s">
        <v>106</v>
      </c>
      <c r="H40" s="149" t="s">
        <v>48</v>
      </c>
      <c r="I40" s="149" t="s">
        <v>158</v>
      </c>
      <c r="J40" s="149" t="s">
        <v>165</v>
      </c>
      <c r="K40" s="149" t="s">
        <v>166</v>
      </c>
      <c r="L40" s="149" t="s">
        <v>160</v>
      </c>
      <c r="M40" s="150">
        <v>46140</v>
      </c>
      <c r="N40" s="149" t="s">
        <v>660</v>
      </c>
      <c r="O40" s="149">
        <v>9175014</v>
      </c>
      <c r="P40" s="151">
        <v>46129</v>
      </c>
      <c r="Q40" s="149" t="s">
        <v>161</v>
      </c>
      <c r="R40" s="149">
        <v>15979</v>
      </c>
      <c r="S40" s="149" t="s">
        <v>369</v>
      </c>
      <c r="T40" s="149" t="s">
        <v>169</v>
      </c>
      <c r="U40" s="149" t="s">
        <v>370</v>
      </c>
      <c r="V40" s="149" t="s">
        <v>162</v>
      </c>
      <c r="W40" s="84"/>
      <c r="X40" s="149">
        <v>42</v>
      </c>
      <c r="Y40" s="148">
        <v>3</v>
      </c>
      <c r="Z40" s="149">
        <v>126</v>
      </c>
      <c r="AA40" s="149" t="s">
        <v>99</v>
      </c>
      <c r="AB40" s="149" t="s">
        <v>660</v>
      </c>
      <c r="AC40" s="150">
        <v>46129</v>
      </c>
      <c r="AD40" s="149" t="s">
        <v>164</v>
      </c>
      <c r="AE40" s="149">
        <v>34029099</v>
      </c>
      <c r="AF40" s="149" t="s">
        <v>380</v>
      </c>
      <c r="AG40" s="84"/>
      <c r="AH40" s="84"/>
      <c r="AI40" s="149">
        <v>126</v>
      </c>
      <c r="AJ40" s="149" t="s">
        <v>368</v>
      </c>
      <c r="AK40" s="149">
        <v>18</v>
      </c>
      <c r="AL40" s="148">
        <v>11.34</v>
      </c>
      <c r="AM40" s="149">
        <v>11.34</v>
      </c>
      <c r="AN40" s="148">
        <v>0</v>
      </c>
      <c r="AO40" s="149">
        <v>0</v>
      </c>
      <c r="AP40" s="149">
        <v>0</v>
      </c>
      <c r="AQ40" s="149">
        <v>0</v>
      </c>
      <c r="AR40" s="149">
        <v>0</v>
      </c>
      <c r="AS40" s="149">
        <v>0</v>
      </c>
      <c r="AT40" s="149">
        <v>0</v>
      </c>
      <c r="AU40" s="84"/>
      <c r="AV40" s="84"/>
      <c r="AW40" s="149">
        <v>0</v>
      </c>
      <c r="AX40" s="149">
        <v>148.68</v>
      </c>
      <c r="AY40" s="149" t="s">
        <v>101</v>
      </c>
      <c r="AZ40" s="149" t="s">
        <v>101</v>
      </c>
      <c r="BA40" s="149" t="s">
        <v>662</v>
      </c>
      <c r="BB40" s="149">
        <v>1126100447</v>
      </c>
      <c r="BC40" s="149" t="s">
        <v>172</v>
      </c>
      <c r="BD40" s="149" t="s">
        <v>272</v>
      </c>
      <c r="BE40" s="84"/>
      <c r="BF40" s="84" t="s">
        <v>271</v>
      </c>
      <c r="BG40" s="84" t="s">
        <v>281</v>
      </c>
      <c r="BH40" s="148" t="s">
        <v>290</v>
      </c>
      <c r="BI40" t="s">
        <v>155</v>
      </c>
      <c r="BJ40" t="s">
        <v>156</v>
      </c>
      <c r="BK40" t="s">
        <v>663</v>
      </c>
      <c r="BL40">
        <v>22.68</v>
      </c>
      <c r="BM40">
        <v>2435.38</v>
      </c>
      <c r="BN40">
        <v>-2413</v>
      </c>
      <c r="BO40" t="s">
        <v>154</v>
      </c>
      <c r="BP40">
        <v>9175014</v>
      </c>
      <c r="BQ40" t="s">
        <v>271</v>
      </c>
      <c r="BR40" t="s">
        <v>630</v>
      </c>
      <c r="BS40">
        <v>18</v>
      </c>
    </row>
    <row r="41" spans="1:71" s="0" customFormat="1" ht="14.5">
      <c r="A41" s="148" t="s">
        <v>157</v>
      </c>
      <c r="B41" s="149" t="s">
        <v>625</v>
      </c>
      <c r="C41" s="149">
        <v>107</v>
      </c>
      <c r="D41" s="149" t="s">
        <v>97</v>
      </c>
      <c r="E41" s="149" t="s">
        <v>98</v>
      </c>
      <c r="F41" s="84"/>
      <c r="G41" s="84"/>
      <c r="H41" s="149" t="s">
        <v>48</v>
      </c>
      <c r="I41" s="149" t="s">
        <v>158</v>
      </c>
      <c r="J41" s="149" t="s">
        <v>159</v>
      </c>
      <c r="K41" s="149" t="s">
        <v>421</v>
      </c>
      <c r="L41" s="149" t="s">
        <v>160</v>
      </c>
      <c r="M41" s="150">
        <v>46133</v>
      </c>
      <c r="N41" s="149" t="s">
        <v>701</v>
      </c>
      <c r="O41" s="149">
        <v>9164386</v>
      </c>
      <c r="P41" s="151">
        <v>46115</v>
      </c>
      <c r="Q41" s="149" t="s">
        <v>161</v>
      </c>
      <c r="R41" s="149">
        <v>6262</v>
      </c>
      <c r="S41" s="149" t="s">
        <v>183</v>
      </c>
      <c r="T41" s="149" t="s">
        <v>182</v>
      </c>
      <c r="U41" s="149" t="s">
        <v>184</v>
      </c>
      <c r="V41" s="149" t="s">
        <v>162</v>
      </c>
      <c r="W41" s="84"/>
      <c r="X41" s="149">
        <v>1</v>
      </c>
      <c r="Y41" s="148">
        <v>399</v>
      </c>
      <c r="Z41" s="149">
        <v>399</v>
      </c>
      <c r="AA41" s="149" t="s">
        <v>99</v>
      </c>
      <c r="AB41" s="149" t="s">
        <v>701</v>
      </c>
      <c r="AC41" s="150">
        <v>46115</v>
      </c>
      <c r="AD41" s="149" t="s">
        <v>171</v>
      </c>
      <c r="AE41" s="149">
        <v>998412</v>
      </c>
      <c r="AF41" s="149" t="s">
        <v>702</v>
      </c>
      <c r="AG41" s="84"/>
      <c r="AH41" s="84"/>
      <c r="AI41" s="149">
        <v>399</v>
      </c>
      <c r="AJ41" s="149" t="s">
        <v>368</v>
      </c>
      <c r="AK41" s="149">
        <v>18</v>
      </c>
      <c r="AL41" s="148">
        <v>35.909999999999997</v>
      </c>
      <c r="AM41" s="149">
        <v>35.909999999999997</v>
      </c>
      <c r="AN41" s="148">
        <v>0</v>
      </c>
      <c r="AO41" s="149">
        <v>0</v>
      </c>
      <c r="AP41" s="149">
        <v>0</v>
      </c>
      <c r="AQ41" s="149">
        <v>0</v>
      </c>
      <c r="AR41" s="149">
        <v>0</v>
      </c>
      <c r="AS41" s="149">
        <v>0</v>
      </c>
      <c r="AT41" s="149">
        <v>0</v>
      </c>
      <c r="AU41" s="84"/>
      <c r="AV41" s="84"/>
      <c r="AW41" s="149">
        <v>0</v>
      </c>
      <c r="AX41" s="149">
        <v>470.82</v>
      </c>
      <c r="AY41" s="149" t="s">
        <v>100</v>
      </c>
      <c r="AZ41" s="149" t="s">
        <v>101</v>
      </c>
      <c r="BA41" s="149" t="s">
        <v>422</v>
      </c>
      <c r="BB41" s="149">
        <v>1126100282</v>
      </c>
      <c r="BC41" s="149" t="s">
        <v>105</v>
      </c>
      <c r="BD41" s="149" t="s">
        <v>103</v>
      </c>
      <c r="BE41" s="84"/>
      <c r="BF41" s="84" t="s">
        <v>270</v>
      </c>
      <c r="BG41" s="84" t="s">
        <v>281</v>
      </c>
      <c r="BH41" s="148" t="s">
        <v>290</v>
      </c>
      <c r="BI41" t="s">
        <v>155</v>
      </c>
      <c r="BJ41" t="s">
        <v>156</v>
      </c>
      <c r="BK41" t="s">
        <v>703</v>
      </c>
      <c r="BL41">
        <v>71.819999999999993</v>
      </c>
      <c r="BM41">
        <v>71.819999999999993</v>
      </c>
      <c r="BN41">
        <v>0</v>
      </c>
      <c r="BO41" t="s">
        <v>154</v>
      </c>
      <c r="BP41">
        <v>9164386</v>
      </c>
      <c r="BQ41" t="s">
        <v>270</v>
      </c>
      <c r="BR41" t="s">
        <v>630</v>
      </c>
      <c r="BS41">
        <v>1</v>
      </c>
    </row>
    <row r="42" spans="1:71" s="0" customFormat="1" ht="14.5">
      <c r="A42" s="148" t="s">
        <v>157</v>
      </c>
      <c r="B42" s="149" t="s">
        <v>625</v>
      </c>
      <c r="C42" s="149">
        <v>107</v>
      </c>
      <c r="D42" s="149" t="s">
        <v>97</v>
      </c>
      <c r="E42" s="149" t="s">
        <v>98</v>
      </c>
      <c r="F42" s="84"/>
      <c r="G42" s="84"/>
      <c r="H42" s="149" t="s">
        <v>48</v>
      </c>
      <c r="I42" s="149" t="s">
        <v>158</v>
      </c>
      <c r="J42" s="149" t="s">
        <v>159</v>
      </c>
      <c r="K42" s="149" t="s">
        <v>163</v>
      </c>
      <c r="L42" s="149" t="s">
        <v>160</v>
      </c>
      <c r="M42" s="150">
        <v>46134</v>
      </c>
      <c r="N42" s="149" t="s">
        <v>704</v>
      </c>
      <c r="O42" s="149">
        <v>9164740</v>
      </c>
      <c r="P42" s="151">
        <v>46121</v>
      </c>
      <c r="Q42" s="149" t="s">
        <v>161</v>
      </c>
      <c r="R42" s="149">
        <v>3615</v>
      </c>
      <c r="S42" s="149" t="s">
        <v>705</v>
      </c>
      <c r="T42" s="149" t="s">
        <v>169</v>
      </c>
      <c r="U42" s="149" t="s">
        <v>706</v>
      </c>
      <c r="V42" s="149" t="s">
        <v>162</v>
      </c>
      <c r="W42" s="84"/>
      <c r="X42" s="149">
        <v>30</v>
      </c>
      <c r="Y42" s="148">
        <v>400</v>
      </c>
      <c r="Z42" s="149">
        <v>12000</v>
      </c>
      <c r="AA42" s="149" t="s">
        <v>99</v>
      </c>
      <c r="AB42" s="149" t="s">
        <v>704</v>
      </c>
      <c r="AC42" s="150">
        <v>46121</v>
      </c>
      <c r="AD42" s="149" t="s">
        <v>171</v>
      </c>
      <c r="AE42" s="149">
        <v>998900</v>
      </c>
      <c r="AF42" s="149" t="s">
        <v>707</v>
      </c>
      <c r="AG42" s="84"/>
      <c r="AH42" s="84"/>
      <c r="AI42" s="149">
        <v>12000</v>
      </c>
      <c r="AJ42" s="149" t="s">
        <v>368</v>
      </c>
      <c r="AK42" s="149">
        <v>18</v>
      </c>
      <c r="AL42" s="148">
        <v>1080</v>
      </c>
      <c r="AM42" s="149">
        <v>1080</v>
      </c>
      <c r="AN42" s="148">
        <v>0</v>
      </c>
      <c r="AO42" s="149">
        <v>0</v>
      </c>
      <c r="AP42" s="149">
        <v>0</v>
      </c>
      <c r="AQ42" s="149">
        <v>0</v>
      </c>
      <c r="AR42" s="149">
        <v>0</v>
      </c>
      <c r="AS42" s="149">
        <v>0</v>
      </c>
      <c r="AT42" s="149">
        <v>0</v>
      </c>
      <c r="AU42" s="84"/>
      <c r="AV42" s="84"/>
      <c r="AW42" s="149">
        <v>0</v>
      </c>
      <c r="AX42" s="149">
        <v>14160</v>
      </c>
      <c r="AY42" s="149" t="s">
        <v>101</v>
      </c>
      <c r="AZ42" s="149" t="s">
        <v>101</v>
      </c>
      <c r="BA42" s="149" t="s">
        <v>708</v>
      </c>
      <c r="BB42" s="149">
        <v>1126100334</v>
      </c>
      <c r="BC42" s="149" t="s">
        <v>172</v>
      </c>
      <c r="BD42" s="149" t="s">
        <v>103</v>
      </c>
      <c r="BE42" s="84"/>
      <c r="BF42" s="84" t="s">
        <v>271</v>
      </c>
      <c r="BG42" s="84" t="s">
        <v>281</v>
      </c>
      <c r="BH42" s="148" t="s">
        <v>290</v>
      </c>
      <c r="BI42" t="s">
        <v>155</v>
      </c>
      <c r="BJ42" t="s">
        <v>156</v>
      </c>
      <c r="BK42" t="s">
        <v>709</v>
      </c>
      <c r="BL42">
        <v>2160</v>
      </c>
      <c r="BM42">
        <v>6014.70</v>
      </c>
      <c r="BN42">
        <v>-3855</v>
      </c>
      <c r="BO42" t="s">
        <v>154</v>
      </c>
      <c r="BP42">
        <v>9164740</v>
      </c>
      <c r="BQ42" t="s">
        <v>271</v>
      </c>
      <c r="BR42" t="s">
        <v>630</v>
      </c>
      <c r="BS42">
        <v>6</v>
      </c>
    </row>
    <row r="43" spans="1:71" s="0" customFormat="1" ht="14.5">
      <c r="A43" s="148" t="s">
        <v>157</v>
      </c>
      <c r="B43" s="149" t="s">
        <v>625</v>
      </c>
      <c r="C43" s="149">
        <v>107</v>
      </c>
      <c r="D43" s="149" t="s">
        <v>97</v>
      </c>
      <c r="E43" s="149" t="s">
        <v>98</v>
      </c>
      <c r="F43" s="84"/>
      <c r="G43" s="84"/>
      <c r="H43" s="149" t="s">
        <v>48</v>
      </c>
      <c r="I43" s="149" t="s">
        <v>158</v>
      </c>
      <c r="J43" s="149" t="s">
        <v>159</v>
      </c>
      <c r="K43" s="149" t="s">
        <v>163</v>
      </c>
      <c r="L43" s="149" t="s">
        <v>160</v>
      </c>
      <c r="M43" s="150">
        <v>46133</v>
      </c>
      <c r="N43" s="149">
        <v>76</v>
      </c>
      <c r="O43" s="149">
        <v>9164654</v>
      </c>
      <c r="P43" s="151">
        <v>46120</v>
      </c>
      <c r="Q43" s="149" t="s">
        <v>161</v>
      </c>
      <c r="R43" s="149">
        <v>43295</v>
      </c>
      <c r="S43" s="149" t="s">
        <v>352</v>
      </c>
      <c r="T43" s="149" t="s">
        <v>181</v>
      </c>
      <c r="U43" s="149" t="s">
        <v>353</v>
      </c>
      <c r="V43" s="149" t="s">
        <v>162</v>
      </c>
      <c r="W43" s="84"/>
      <c r="X43" s="149">
        <v>1</v>
      </c>
      <c r="Y43" s="148">
        <v>6000</v>
      </c>
      <c r="Z43" s="149">
        <v>6000</v>
      </c>
      <c r="AA43" s="149" t="s">
        <v>99</v>
      </c>
      <c r="AB43" s="149">
        <v>76</v>
      </c>
      <c r="AC43" s="150">
        <v>46120</v>
      </c>
      <c r="AD43" s="149" t="s">
        <v>171</v>
      </c>
      <c r="AE43" s="149">
        <v>998719</v>
      </c>
      <c r="AF43" s="149" t="s">
        <v>710</v>
      </c>
      <c r="AG43" s="84"/>
      <c r="AH43" s="84"/>
      <c r="AI43" s="149">
        <v>6000</v>
      </c>
      <c r="AJ43" s="149" t="s">
        <v>368</v>
      </c>
      <c r="AK43" s="149">
        <v>18</v>
      </c>
      <c r="AL43" s="148">
        <v>540</v>
      </c>
      <c r="AM43" s="149">
        <v>540</v>
      </c>
      <c r="AN43" s="148">
        <v>0</v>
      </c>
      <c r="AO43" s="149">
        <v>0</v>
      </c>
      <c r="AP43" s="149">
        <v>0</v>
      </c>
      <c r="AQ43" s="149">
        <v>0</v>
      </c>
      <c r="AR43" s="149">
        <v>0</v>
      </c>
      <c r="AS43" s="149">
        <v>0</v>
      </c>
      <c r="AT43" s="149">
        <v>0</v>
      </c>
      <c r="AU43" s="84"/>
      <c r="AV43" s="84"/>
      <c r="AW43" s="149">
        <v>0</v>
      </c>
      <c r="AX43" s="149">
        <v>7080</v>
      </c>
      <c r="AY43" s="149" t="s">
        <v>101</v>
      </c>
      <c r="AZ43" s="149" t="s">
        <v>101</v>
      </c>
      <c r="BA43" s="149" t="s">
        <v>167</v>
      </c>
      <c r="BB43" s="149">
        <v>1126100309</v>
      </c>
      <c r="BC43" s="149" t="s">
        <v>172</v>
      </c>
      <c r="BD43" s="149" t="s">
        <v>103</v>
      </c>
      <c r="BE43" s="84"/>
      <c r="BF43" s="84" t="s">
        <v>271</v>
      </c>
      <c r="BG43" s="84" t="s">
        <v>281</v>
      </c>
      <c r="BH43" s="148" t="s">
        <v>289</v>
      </c>
      <c r="BI43" t="s">
        <v>155</v>
      </c>
      <c r="BJ43" t="s">
        <v>156</v>
      </c>
      <c r="BK43" t="s">
        <v>711</v>
      </c>
      <c r="BL43">
        <v>1080</v>
      </c>
      <c r="BM43">
        <v>1080</v>
      </c>
      <c r="BN43">
        <v>0</v>
      </c>
      <c r="BO43" t="s">
        <v>154</v>
      </c>
      <c r="BP43">
        <v>9164654</v>
      </c>
      <c r="BQ43" t="s">
        <v>271</v>
      </c>
      <c r="BR43" t="s">
        <v>630</v>
      </c>
      <c r="BS43">
        <v>1</v>
      </c>
    </row>
    <row r="44" spans="1:71" s="0" customFormat="1" ht="14.5">
      <c r="A44" s="148" t="s">
        <v>157</v>
      </c>
      <c r="B44" s="149" t="s">
        <v>625</v>
      </c>
      <c r="C44" s="149">
        <v>107</v>
      </c>
      <c r="D44" s="149" t="s">
        <v>97</v>
      </c>
      <c r="E44" s="149" t="s">
        <v>98</v>
      </c>
      <c r="F44" s="84"/>
      <c r="G44" s="84"/>
      <c r="H44" s="149" t="s">
        <v>48</v>
      </c>
      <c r="I44" s="149" t="s">
        <v>158</v>
      </c>
      <c r="J44" s="149" t="s">
        <v>159</v>
      </c>
      <c r="K44" s="149" t="s">
        <v>166</v>
      </c>
      <c r="L44" s="149" t="s">
        <v>160</v>
      </c>
      <c r="M44" s="150">
        <v>46136</v>
      </c>
      <c r="N44" s="149" t="s">
        <v>712</v>
      </c>
      <c r="O44" s="149">
        <v>9171115</v>
      </c>
      <c r="P44" s="151">
        <v>46113</v>
      </c>
      <c r="Q44" s="149" t="s">
        <v>161</v>
      </c>
      <c r="R44" s="149">
        <v>3734</v>
      </c>
      <c r="S44" s="149" t="s">
        <v>713</v>
      </c>
      <c r="T44" s="149" t="s">
        <v>169</v>
      </c>
      <c r="U44" s="149" t="s">
        <v>714</v>
      </c>
      <c r="V44" s="84"/>
      <c r="W44" s="84"/>
      <c r="X44" s="149">
        <v>0</v>
      </c>
      <c r="Y44" s="148">
        <v>0</v>
      </c>
      <c r="Z44" s="149">
        <v>125000</v>
      </c>
      <c r="AA44" s="149" t="s">
        <v>99</v>
      </c>
      <c r="AB44" s="149" t="s">
        <v>712</v>
      </c>
      <c r="AC44" s="150">
        <v>46113</v>
      </c>
      <c r="AD44" s="84"/>
      <c r="AE44" s="149">
        <v>998599</v>
      </c>
      <c r="AF44" s="149" t="s">
        <v>715</v>
      </c>
      <c r="AG44" s="84"/>
      <c r="AH44" s="84"/>
      <c r="AI44" s="149">
        <v>125000</v>
      </c>
      <c r="AJ44" s="149" t="s">
        <v>368</v>
      </c>
      <c r="AK44" s="149">
        <v>18</v>
      </c>
      <c r="AL44" s="148">
        <v>11250</v>
      </c>
      <c r="AM44" s="149">
        <v>11250</v>
      </c>
      <c r="AN44" s="148">
        <v>0</v>
      </c>
      <c r="AO44" s="149">
        <v>0</v>
      </c>
      <c r="AP44" s="149">
        <v>0</v>
      </c>
      <c r="AQ44" s="149">
        <v>0</v>
      </c>
      <c r="AR44" s="149">
        <v>0</v>
      </c>
      <c r="AS44" s="149">
        <v>0</v>
      </c>
      <c r="AT44" s="149">
        <v>0</v>
      </c>
      <c r="AU44" s="84"/>
      <c r="AV44" s="84"/>
      <c r="AW44" s="149">
        <v>0</v>
      </c>
      <c r="AX44" s="149">
        <v>147500</v>
      </c>
      <c r="AY44" s="149" t="s">
        <v>101</v>
      </c>
      <c r="AZ44" s="149" t="s">
        <v>101</v>
      </c>
      <c r="BA44" s="149" t="s">
        <v>716</v>
      </c>
      <c r="BB44" s="149">
        <v>1126100388</v>
      </c>
      <c r="BC44" s="149" t="s">
        <v>172</v>
      </c>
      <c r="BD44" s="149" t="s">
        <v>103</v>
      </c>
      <c r="BE44" s="84"/>
      <c r="BF44" s="84" t="s">
        <v>271</v>
      </c>
      <c r="BG44" s="84" t="s">
        <v>281</v>
      </c>
      <c r="BH44" s="148" t="s">
        <v>290</v>
      </c>
      <c r="BI44" t="s">
        <v>155</v>
      </c>
      <c r="BJ44" t="s">
        <v>156</v>
      </c>
      <c r="BK44" t="s">
        <v>717</v>
      </c>
      <c r="BL44">
        <v>22500</v>
      </c>
      <c r="BM44">
        <v>22500</v>
      </c>
      <c r="BN44">
        <v>0</v>
      </c>
      <c r="BO44" t="s">
        <v>154</v>
      </c>
      <c r="BP44">
        <v>9171115</v>
      </c>
      <c r="BQ44" t="s">
        <v>271</v>
      </c>
      <c r="BR44" t="s">
        <v>630</v>
      </c>
      <c r="BS44">
        <v>1</v>
      </c>
    </row>
    <row r="45" spans="1:71" s="0" customFormat="1" ht="14.5">
      <c r="A45" s="148" t="s">
        <v>157</v>
      </c>
      <c r="B45" s="149" t="s">
        <v>625</v>
      </c>
      <c r="C45" s="149">
        <v>107</v>
      </c>
      <c r="D45" s="149" t="s">
        <v>97</v>
      </c>
      <c r="E45" s="149" t="s">
        <v>98</v>
      </c>
      <c r="F45" s="84"/>
      <c r="G45" s="149" t="s">
        <v>106</v>
      </c>
      <c r="H45" s="149" t="s">
        <v>48</v>
      </c>
      <c r="I45" s="149" t="s">
        <v>158</v>
      </c>
      <c r="J45" s="149" t="s">
        <v>165</v>
      </c>
      <c r="K45" s="149" t="s">
        <v>166</v>
      </c>
      <c r="L45" s="149" t="s">
        <v>160</v>
      </c>
      <c r="M45" s="150">
        <v>46127</v>
      </c>
      <c r="N45" s="149" t="s">
        <v>718</v>
      </c>
      <c r="O45" s="149">
        <v>9156752</v>
      </c>
      <c r="P45" s="150">
        <v>46115</v>
      </c>
      <c r="Q45" s="149" t="s">
        <v>161</v>
      </c>
      <c r="R45" s="149">
        <v>6262</v>
      </c>
      <c r="S45" s="149" t="s">
        <v>183</v>
      </c>
      <c r="T45" s="149" t="s">
        <v>182</v>
      </c>
      <c r="U45" s="149" t="s">
        <v>184</v>
      </c>
      <c r="V45" s="148" t="s">
        <v>162</v>
      </c>
      <c r="W45" s="84"/>
      <c r="X45" s="149">
        <v>1</v>
      </c>
      <c r="Y45" s="149">
        <v>399</v>
      </c>
      <c r="Z45" s="149">
        <v>399</v>
      </c>
      <c r="AA45" s="148" t="s">
        <v>99</v>
      </c>
      <c r="AB45" s="149" t="s">
        <v>718</v>
      </c>
      <c r="AC45" s="150">
        <v>46115</v>
      </c>
      <c r="AD45" s="149" t="s">
        <v>171</v>
      </c>
      <c r="AE45" s="149">
        <v>998413</v>
      </c>
      <c r="AF45" s="149" t="s">
        <v>719</v>
      </c>
      <c r="AG45" s="84"/>
      <c r="AH45" s="84"/>
      <c r="AI45" s="149">
        <v>399</v>
      </c>
      <c r="AJ45" s="149" t="s">
        <v>368</v>
      </c>
      <c r="AK45" s="149">
        <v>18</v>
      </c>
      <c r="AL45" s="149">
        <v>35.909999999999997</v>
      </c>
      <c r="AM45" s="149">
        <v>35.909999999999997</v>
      </c>
      <c r="AN45" s="149">
        <v>0</v>
      </c>
      <c r="AO45" s="149">
        <v>0</v>
      </c>
      <c r="AP45" s="149">
        <v>0</v>
      </c>
      <c r="AQ45" s="149">
        <v>0</v>
      </c>
      <c r="AR45" s="148">
        <v>0</v>
      </c>
      <c r="AS45" s="149">
        <v>0</v>
      </c>
      <c r="AT45" s="148">
        <v>0</v>
      </c>
      <c r="AU45" s="84"/>
      <c r="AV45" s="84"/>
      <c r="AW45" s="149">
        <v>0</v>
      </c>
      <c r="AX45" s="149">
        <v>470.82</v>
      </c>
      <c r="AY45" s="149" t="s">
        <v>100</v>
      </c>
      <c r="AZ45" s="149" t="s">
        <v>101</v>
      </c>
      <c r="BA45" s="149" t="s">
        <v>449</v>
      </c>
      <c r="BB45" s="149">
        <v>1126100080</v>
      </c>
      <c r="BC45" s="149" t="s">
        <v>105</v>
      </c>
      <c r="BD45" s="149" t="s">
        <v>103</v>
      </c>
      <c r="BE45" s="84"/>
      <c r="BF45" s="84" t="s">
        <v>270</v>
      </c>
      <c r="BG45" s="84" t="s">
        <v>281</v>
      </c>
      <c r="BH45" s="149" t="s">
        <v>290</v>
      </c>
      <c r="BI45" t="s">
        <v>155</v>
      </c>
      <c r="BJ45" t="s">
        <v>156</v>
      </c>
      <c r="BK45" t="s">
        <v>720</v>
      </c>
      <c r="BL45">
        <v>71.819999999999993</v>
      </c>
      <c r="BM45">
        <v>385.92</v>
      </c>
      <c r="BN45">
        <v>-314</v>
      </c>
      <c r="BO45" t="s">
        <v>154</v>
      </c>
      <c r="BP45">
        <v>9156752</v>
      </c>
      <c r="BQ45" t="s">
        <v>270</v>
      </c>
      <c r="BR45" t="s">
        <v>630</v>
      </c>
      <c r="BS45">
        <v>2</v>
      </c>
    </row>
    <row r="46" spans="1:71" s="0" customFormat="1" ht="14.5">
      <c r="A46" s="148" t="s">
        <v>157</v>
      </c>
      <c r="B46" s="149" t="s">
        <v>625</v>
      </c>
      <c r="C46" s="149">
        <v>107</v>
      </c>
      <c r="D46" s="149" t="s">
        <v>97</v>
      </c>
      <c r="E46" s="149" t="s">
        <v>98</v>
      </c>
      <c r="F46" s="84"/>
      <c r="G46" s="149" t="s">
        <v>106</v>
      </c>
      <c r="H46" s="149" t="s">
        <v>48</v>
      </c>
      <c r="I46" s="149" t="s">
        <v>158</v>
      </c>
      <c r="J46" s="149" t="s">
        <v>165</v>
      </c>
      <c r="K46" s="149" t="s">
        <v>166</v>
      </c>
      <c r="L46" s="149" t="s">
        <v>160</v>
      </c>
      <c r="M46" s="150">
        <v>46140</v>
      </c>
      <c r="N46" s="149" t="s">
        <v>660</v>
      </c>
      <c r="O46" s="149">
        <v>9175014</v>
      </c>
      <c r="P46" s="150">
        <v>46129</v>
      </c>
      <c r="Q46" s="149" t="s">
        <v>161</v>
      </c>
      <c r="R46" s="149">
        <v>15979</v>
      </c>
      <c r="S46" s="149" t="s">
        <v>369</v>
      </c>
      <c r="T46" s="149" t="s">
        <v>169</v>
      </c>
      <c r="U46" s="149" t="s">
        <v>370</v>
      </c>
      <c r="V46" s="148" t="s">
        <v>162</v>
      </c>
      <c r="W46" s="84"/>
      <c r="X46" s="149">
        <v>1249</v>
      </c>
      <c r="Y46" s="149">
        <v>1</v>
      </c>
      <c r="Z46" s="149">
        <v>1249</v>
      </c>
      <c r="AA46" s="148" t="s">
        <v>99</v>
      </c>
      <c r="AB46" s="149" t="s">
        <v>660</v>
      </c>
      <c r="AC46" s="150">
        <v>46129</v>
      </c>
      <c r="AD46" s="149" t="s">
        <v>164</v>
      </c>
      <c r="AE46" s="149">
        <v>38119000</v>
      </c>
      <c r="AF46" s="149" t="s">
        <v>385</v>
      </c>
      <c r="AG46" s="84"/>
      <c r="AH46" s="84"/>
      <c r="AI46" s="149">
        <v>1249</v>
      </c>
      <c r="AJ46" s="149" t="s">
        <v>368</v>
      </c>
      <c r="AK46" s="149">
        <v>18</v>
      </c>
      <c r="AL46" s="149">
        <v>112.41</v>
      </c>
      <c r="AM46" s="149">
        <v>112.41</v>
      </c>
      <c r="AN46" s="149">
        <v>0</v>
      </c>
      <c r="AO46" s="149">
        <v>0</v>
      </c>
      <c r="AP46" s="149">
        <v>0</v>
      </c>
      <c r="AQ46" s="149">
        <v>0</v>
      </c>
      <c r="AR46" s="148">
        <v>0</v>
      </c>
      <c r="AS46" s="149">
        <v>0</v>
      </c>
      <c r="AT46" s="148">
        <v>0</v>
      </c>
      <c r="AU46" s="84"/>
      <c r="AV46" s="84"/>
      <c r="AW46" s="149">
        <v>0</v>
      </c>
      <c r="AX46" s="149">
        <v>1473.82</v>
      </c>
      <c r="AY46" s="149" t="s">
        <v>101</v>
      </c>
      <c r="AZ46" s="149" t="s">
        <v>101</v>
      </c>
      <c r="BA46" s="149" t="s">
        <v>662</v>
      </c>
      <c r="BB46" s="149">
        <v>1126100447</v>
      </c>
      <c r="BC46" s="149" t="s">
        <v>172</v>
      </c>
      <c r="BD46" s="149" t="s">
        <v>272</v>
      </c>
      <c r="BE46" s="84"/>
      <c r="BF46" s="84" t="s">
        <v>271</v>
      </c>
      <c r="BG46" s="84" t="s">
        <v>281</v>
      </c>
      <c r="BH46" s="149" t="s">
        <v>290</v>
      </c>
      <c r="BI46" t="s">
        <v>155</v>
      </c>
      <c r="BJ46" t="s">
        <v>156</v>
      </c>
      <c r="BK46" t="s">
        <v>663</v>
      </c>
      <c r="BL46">
        <v>224.82</v>
      </c>
      <c r="BM46">
        <v>2435.38</v>
      </c>
      <c r="BN46">
        <v>-2211</v>
      </c>
      <c r="BO46" t="s">
        <v>154</v>
      </c>
      <c r="BP46">
        <v>9175014</v>
      </c>
      <c r="BQ46" t="s">
        <v>271</v>
      </c>
      <c r="BR46" t="s">
        <v>630</v>
      </c>
      <c r="BS46">
        <v>18</v>
      </c>
    </row>
    <row r="47" spans="1:71" s="0" customFormat="1" ht="14.5">
      <c r="A47" s="148" t="s">
        <v>157</v>
      </c>
      <c r="B47" s="149" t="s">
        <v>625</v>
      </c>
      <c r="C47" s="149">
        <v>107</v>
      </c>
      <c r="D47" s="149" t="s">
        <v>97</v>
      </c>
      <c r="E47" s="149" t="s">
        <v>98</v>
      </c>
      <c r="F47" s="84"/>
      <c r="G47" s="84"/>
      <c r="H47" s="149" t="s">
        <v>48</v>
      </c>
      <c r="I47" s="149" t="s">
        <v>158</v>
      </c>
      <c r="J47" s="149" t="s">
        <v>159</v>
      </c>
      <c r="K47" s="149" t="s">
        <v>421</v>
      </c>
      <c r="L47" s="149" t="s">
        <v>160</v>
      </c>
      <c r="M47" s="150">
        <v>46133</v>
      </c>
      <c r="N47" s="149" t="s">
        <v>721</v>
      </c>
      <c r="O47" s="149">
        <v>9164393</v>
      </c>
      <c r="P47" s="150">
        <v>46115</v>
      </c>
      <c r="Q47" s="149" t="s">
        <v>161</v>
      </c>
      <c r="R47" s="149">
        <v>6262</v>
      </c>
      <c r="S47" s="149" t="s">
        <v>183</v>
      </c>
      <c r="T47" s="149" t="s">
        <v>182</v>
      </c>
      <c r="U47" s="149" t="s">
        <v>184</v>
      </c>
      <c r="V47" s="148" t="s">
        <v>162</v>
      </c>
      <c r="W47" s="84"/>
      <c r="X47" s="149">
        <v>1</v>
      </c>
      <c r="Y47" s="149">
        <v>999</v>
      </c>
      <c r="Z47" s="149">
        <v>999</v>
      </c>
      <c r="AA47" s="148" t="s">
        <v>99</v>
      </c>
      <c r="AB47" s="149" t="s">
        <v>721</v>
      </c>
      <c r="AC47" s="150">
        <v>46115</v>
      </c>
      <c r="AD47" s="149" t="s">
        <v>171</v>
      </c>
      <c r="AE47" s="149">
        <v>998412</v>
      </c>
      <c r="AF47" s="149" t="s">
        <v>722</v>
      </c>
      <c r="AG47" s="84"/>
      <c r="AH47" s="84"/>
      <c r="AI47" s="149">
        <v>999</v>
      </c>
      <c r="AJ47" s="149" t="s">
        <v>368</v>
      </c>
      <c r="AK47" s="149">
        <v>18</v>
      </c>
      <c r="AL47" s="149">
        <v>89.91</v>
      </c>
      <c r="AM47" s="149">
        <v>89.91</v>
      </c>
      <c r="AN47" s="149">
        <v>0</v>
      </c>
      <c r="AO47" s="149">
        <v>0</v>
      </c>
      <c r="AP47" s="149">
        <v>0</v>
      </c>
      <c r="AQ47" s="149">
        <v>0</v>
      </c>
      <c r="AR47" s="148">
        <v>0</v>
      </c>
      <c r="AS47" s="149">
        <v>0</v>
      </c>
      <c r="AT47" s="148">
        <v>0</v>
      </c>
      <c r="AU47" s="84"/>
      <c r="AV47" s="84"/>
      <c r="AW47" s="149">
        <v>0</v>
      </c>
      <c r="AX47" s="149">
        <v>1178.82</v>
      </c>
      <c r="AY47" s="149" t="s">
        <v>101</v>
      </c>
      <c r="AZ47" s="149" t="s">
        <v>101</v>
      </c>
      <c r="BA47" s="149" t="s">
        <v>423</v>
      </c>
      <c r="BB47" s="149">
        <v>1126100289</v>
      </c>
      <c r="BC47" s="149" t="s">
        <v>172</v>
      </c>
      <c r="BD47" s="149" t="s">
        <v>103</v>
      </c>
      <c r="BE47" s="84"/>
      <c r="BF47" s="84" t="s">
        <v>271</v>
      </c>
      <c r="BG47" s="84" t="s">
        <v>281</v>
      </c>
      <c r="BH47" s="149" t="s">
        <v>290</v>
      </c>
      <c r="BI47" t="s">
        <v>155</v>
      </c>
      <c r="BJ47" t="s">
        <v>156</v>
      </c>
      <c r="BK47" t="s">
        <v>723</v>
      </c>
      <c r="BL47">
        <v>179.82</v>
      </c>
      <c r="BM47">
        <v>179.82</v>
      </c>
      <c r="BN47">
        <v>0</v>
      </c>
      <c r="BO47" t="s">
        <v>154</v>
      </c>
      <c r="BP47">
        <v>9164393</v>
      </c>
      <c r="BQ47" t="s">
        <v>271</v>
      </c>
      <c r="BR47" t="s">
        <v>630</v>
      </c>
      <c r="BS47">
        <v>1</v>
      </c>
    </row>
    <row r="48" spans="1:71" s="0" customFormat="1" ht="14.5">
      <c r="A48" s="148" t="s">
        <v>157</v>
      </c>
      <c r="B48" s="149" t="s">
        <v>625</v>
      </c>
      <c r="C48" s="149">
        <v>107</v>
      </c>
      <c r="D48" s="149" t="s">
        <v>97</v>
      </c>
      <c r="E48" s="149" t="s">
        <v>98</v>
      </c>
      <c r="F48" s="84"/>
      <c r="G48" s="84"/>
      <c r="H48" s="149" t="s">
        <v>48</v>
      </c>
      <c r="I48" s="149" t="s">
        <v>158</v>
      </c>
      <c r="J48" s="149" t="s">
        <v>159</v>
      </c>
      <c r="K48" s="149" t="s">
        <v>163</v>
      </c>
      <c r="L48" s="149" t="s">
        <v>160</v>
      </c>
      <c r="M48" s="150">
        <v>46126</v>
      </c>
      <c r="N48" s="149" t="s">
        <v>724</v>
      </c>
      <c r="O48" s="149">
        <v>9155607</v>
      </c>
      <c r="P48" s="150">
        <v>46114</v>
      </c>
      <c r="Q48" s="149" t="s">
        <v>161</v>
      </c>
      <c r="R48" s="149">
        <v>2770</v>
      </c>
      <c r="S48" s="149" t="s">
        <v>299</v>
      </c>
      <c r="T48" s="149" t="s">
        <v>174</v>
      </c>
      <c r="U48" s="149" t="s">
        <v>175</v>
      </c>
      <c r="V48" s="148" t="s">
        <v>162</v>
      </c>
      <c r="W48" s="84"/>
      <c r="X48" s="149">
        <v>1</v>
      </c>
      <c r="Y48" s="149">
        <v>1.60</v>
      </c>
      <c r="Z48" s="149">
        <v>1.60</v>
      </c>
      <c r="AA48" s="148" t="s">
        <v>99</v>
      </c>
      <c r="AB48" s="149" t="s">
        <v>724</v>
      </c>
      <c r="AC48" s="150">
        <v>46114</v>
      </c>
      <c r="AD48" s="149" t="s">
        <v>171</v>
      </c>
      <c r="AE48" s="149">
        <v>84439952</v>
      </c>
      <c r="AF48" s="149" t="s">
        <v>725</v>
      </c>
      <c r="AG48" s="84"/>
      <c r="AH48" s="84"/>
      <c r="AI48" s="149">
        <v>1.60</v>
      </c>
      <c r="AJ48" s="149" t="s">
        <v>368</v>
      </c>
      <c r="AK48" s="149">
        <v>18</v>
      </c>
      <c r="AL48" s="149">
        <v>0.14000000000000001</v>
      </c>
      <c r="AM48" s="149">
        <v>0.14000000000000001</v>
      </c>
      <c r="AN48" s="149">
        <v>0</v>
      </c>
      <c r="AO48" s="149">
        <v>0</v>
      </c>
      <c r="AP48" s="149">
        <v>0</v>
      </c>
      <c r="AQ48" s="149">
        <v>0</v>
      </c>
      <c r="AR48" s="148">
        <v>0</v>
      </c>
      <c r="AS48" s="149">
        <v>0</v>
      </c>
      <c r="AT48" s="148">
        <v>0</v>
      </c>
      <c r="AU48" s="84"/>
      <c r="AV48" s="84"/>
      <c r="AW48" s="149">
        <v>0</v>
      </c>
      <c r="AX48" s="149">
        <v>1.88</v>
      </c>
      <c r="AY48" s="149" t="s">
        <v>100</v>
      </c>
      <c r="AZ48" s="149" t="s">
        <v>101</v>
      </c>
      <c r="BA48" s="149" t="s">
        <v>642</v>
      </c>
      <c r="BB48" s="149">
        <v>1126100057</v>
      </c>
      <c r="BC48" s="149" t="s">
        <v>105</v>
      </c>
      <c r="BD48" s="149" t="s">
        <v>103</v>
      </c>
      <c r="BE48" s="84"/>
      <c r="BF48" s="84" t="s">
        <v>270</v>
      </c>
      <c r="BG48" s="84" t="s">
        <v>281</v>
      </c>
      <c r="BH48" s="149" t="s">
        <v>290</v>
      </c>
      <c r="BI48" t="s">
        <v>155</v>
      </c>
      <c r="BJ48" t="s">
        <v>156</v>
      </c>
      <c r="BK48" t="s">
        <v>726</v>
      </c>
      <c r="BL48">
        <v>0.28000000000000003</v>
      </c>
      <c r="BM48">
        <v>2568.60</v>
      </c>
      <c r="BN48">
        <v>-2568</v>
      </c>
      <c r="BO48" t="s">
        <v>154</v>
      </c>
      <c r="BP48">
        <v>9155607</v>
      </c>
      <c r="BQ48" t="s">
        <v>270</v>
      </c>
      <c r="BR48" t="s">
        <v>630</v>
      </c>
      <c r="BS48">
        <v>4</v>
      </c>
    </row>
    <row r="49" spans="1:71" s="0" customFormat="1" ht="14.5">
      <c r="A49" s="148" t="s">
        <v>157</v>
      </c>
      <c r="B49" s="149" t="s">
        <v>625</v>
      </c>
      <c r="C49" s="149">
        <v>107</v>
      </c>
      <c r="D49" s="149" t="s">
        <v>97</v>
      </c>
      <c r="E49" s="149" t="s">
        <v>98</v>
      </c>
      <c r="F49" s="84"/>
      <c r="G49" s="84"/>
      <c r="H49" s="149" t="s">
        <v>48</v>
      </c>
      <c r="I49" s="149" t="s">
        <v>158</v>
      </c>
      <c r="J49" s="149" t="s">
        <v>159</v>
      </c>
      <c r="K49" s="149" t="s">
        <v>163</v>
      </c>
      <c r="L49" s="149" t="s">
        <v>160</v>
      </c>
      <c r="M49" s="150">
        <v>46141</v>
      </c>
      <c r="N49" s="149">
        <v>4</v>
      </c>
      <c r="O49" s="149">
        <v>9177498</v>
      </c>
      <c r="P49" s="150">
        <v>46129</v>
      </c>
      <c r="Q49" s="149" t="s">
        <v>161</v>
      </c>
      <c r="R49" s="149">
        <v>5093</v>
      </c>
      <c r="S49" s="149" t="s">
        <v>358</v>
      </c>
      <c r="T49" s="149" t="s">
        <v>153</v>
      </c>
      <c r="U49" s="149" t="s">
        <v>359</v>
      </c>
      <c r="V49" s="148" t="s">
        <v>162</v>
      </c>
      <c r="W49" s="84"/>
      <c r="X49" s="149">
        <v>1</v>
      </c>
      <c r="Y49" s="149">
        <v>14740</v>
      </c>
      <c r="Z49" s="149">
        <v>14740</v>
      </c>
      <c r="AA49" s="148" t="s">
        <v>99</v>
      </c>
      <c r="AB49" s="149">
        <v>4</v>
      </c>
      <c r="AC49" s="150">
        <v>46129</v>
      </c>
      <c r="AD49" s="149" t="s">
        <v>173</v>
      </c>
      <c r="AE49" s="149">
        <v>8544</v>
      </c>
      <c r="AF49" s="149" t="s">
        <v>727</v>
      </c>
      <c r="AG49" s="84"/>
      <c r="AH49" s="84"/>
      <c r="AI49" s="149">
        <v>14740</v>
      </c>
      <c r="AJ49" s="149" t="s">
        <v>368</v>
      </c>
      <c r="AK49" s="149">
        <v>18</v>
      </c>
      <c r="AL49" s="149">
        <v>1326.60</v>
      </c>
      <c r="AM49" s="149">
        <v>1326.60</v>
      </c>
      <c r="AN49" s="149">
        <v>0</v>
      </c>
      <c r="AO49" s="149">
        <v>0</v>
      </c>
      <c r="AP49" s="149">
        <v>0</v>
      </c>
      <c r="AQ49" s="149">
        <v>0</v>
      </c>
      <c r="AR49" s="148">
        <v>0</v>
      </c>
      <c r="AS49" s="149">
        <v>0</v>
      </c>
      <c r="AT49" s="148">
        <v>0</v>
      </c>
      <c r="AU49" s="84"/>
      <c r="AV49" s="84"/>
      <c r="AW49" s="149">
        <v>0</v>
      </c>
      <c r="AX49" s="149">
        <v>17393.20</v>
      </c>
      <c r="AY49" s="149" t="s">
        <v>100</v>
      </c>
      <c r="AZ49" s="149" t="s">
        <v>101</v>
      </c>
      <c r="BA49" s="149" t="s">
        <v>356</v>
      </c>
      <c r="BB49" s="149">
        <v>1126100464</v>
      </c>
      <c r="BC49" s="149" t="s">
        <v>105</v>
      </c>
      <c r="BD49" s="149" t="s">
        <v>104</v>
      </c>
      <c r="BE49" s="84"/>
      <c r="BF49" s="84" t="s">
        <v>270</v>
      </c>
      <c r="BG49" s="84" t="s">
        <v>281</v>
      </c>
      <c r="BH49" s="149" t="s">
        <v>289</v>
      </c>
      <c r="BI49" t="s">
        <v>155</v>
      </c>
      <c r="BJ49" t="s">
        <v>156</v>
      </c>
      <c r="BK49" t="s">
        <v>728</v>
      </c>
      <c r="BL49">
        <v>2653.20</v>
      </c>
      <c r="BM49">
        <v>6033.60</v>
      </c>
      <c r="BN49">
        <v>-3380</v>
      </c>
      <c r="BO49" t="s">
        <v>154</v>
      </c>
      <c r="BP49">
        <v>9177498</v>
      </c>
      <c r="BQ49" t="s">
        <v>270</v>
      </c>
      <c r="BR49" t="s">
        <v>630</v>
      </c>
      <c r="BS49">
        <v>3</v>
      </c>
    </row>
    <row r="50" spans="1:71" s="0" customFormat="1" ht="14.5">
      <c r="A50" s="148" t="s">
        <v>157</v>
      </c>
      <c r="B50" s="149" t="s">
        <v>625</v>
      </c>
      <c r="C50" s="149">
        <v>107</v>
      </c>
      <c r="D50" s="149" t="s">
        <v>97</v>
      </c>
      <c r="E50" s="149" t="s">
        <v>98</v>
      </c>
      <c r="F50" s="84"/>
      <c r="G50" s="84"/>
      <c r="H50" s="149" t="s">
        <v>48</v>
      </c>
      <c r="I50" s="149" t="s">
        <v>158</v>
      </c>
      <c r="J50" s="149" t="s">
        <v>159</v>
      </c>
      <c r="K50" s="149" t="s">
        <v>163</v>
      </c>
      <c r="L50" s="149" t="s">
        <v>160</v>
      </c>
      <c r="M50" s="150">
        <v>46125</v>
      </c>
      <c r="N50" s="149" t="s">
        <v>729</v>
      </c>
      <c r="O50" s="149">
        <v>9151134</v>
      </c>
      <c r="P50" s="150">
        <v>46112</v>
      </c>
      <c r="Q50" s="149" t="s">
        <v>161</v>
      </c>
      <c r="R50" s="149">
        <v>7826</v>
      </c>
      <c r="S50" s="149" t="s">
        <v>416</v>
      </c>
      <c r="T50" s="149" t="s">
        <v>169</v>
      </c>
      <c r="U50" s="149" t="s">
        <v>407</v>
      </c>
      <c r="V50" s="148" t="s">
        <v>162</v>
      </c>
      <c r="W50" s="84"/>
      <c r="X50" s="149">
        <v>1</v>
      </c>
      <c r="Y50" s="149">
        <v>697701</v>
      </c>
      <c r="Z50" s="149">
        <v>697701</v>
      </c>
      <c r="AA50" s="148" t="s">
        <v>99</v>
      </c>
      <c r="AB50" s="149" t="s">
        <v>729</v>
      </c>
      <c r="AC50" s="150">
        <v>46112</v>
      </c>
      <c r="AD50" s="149" t="s">
        <v>171</v>
      </c>
      <c r="AE50" s="149">
        <v>998515</v>
      </c>
      <c r="AF50" s="149" t="s">
        <v>417</v>
      </c>
      <c r="AG50" s="84"/>
      <c r="AH50" s="84"/>
      <c r="AI50" s="149">
        <v>697701</v>
      </c>
      <c r="AJ50" s="149" t="s">
        <v>368</v>
      </c>
      <c r="AK50" s="149">
        <v>18</v>
      </c>
      <c r="AL50" s="149">
        <v>62793.09</v>
      </c>
      <c r="AM50" s="149">
        <v>62793.09</v>
      </c>
      <c r="AN50" s="149">
        <v>0</v>
      </c>
      <c r="AO50" s="149">
        <v>0</v>
      </c>
      <c r="AP50" s="149">
        <v>0</v>
      </c>
      <c r="AQ50" s="149">
        <v>0</v>
      </c>
      <c r="AR50" s="148">
        <v>0</v>
      </c>
      <c r="AS50" s="149">
        <v>0</v>
      </c>
      <c r="AT50" s="148">
        <v>0</v>
      </c>
      <c r="AU50" s="84"/>
      <c r="AV50" s="84"/>
      <c r="AW50" s="149">
        <v>0</v>
      </c>
      <c r="AX50" s="149">
        <v>823287.18</v>
      </c>
      <c r="AY50" s="149" t="s">
        <v>100</v>
      </c>
      <c r="AZ50" s="149" t="s">
        <v>101</v>
      </c>
      <c r="BA50" s="149" t="s">
        <v>730</v>
      </c>
      <c r="BB50" s="149">
        <v>1126100024</v>
      </c>
      <c r="BC50" s="149" t="s">
        <v>105</v>
      </c>
      <c r="BD50" s="149" t="s">
        <v>103</v>
      </c>
      <c r="BE50" s="84"/>
      <c r="BF50" s="84" t="s">
        <v>270</v>
      </c>
      <c r="BG50" s="84" t="s">
        <v>281</v>
      </c>
      <c r="BH50" s="149" t="s">
        <v>290</v>
      </c>
      <c r="BI50" t="s">
        <v>155</v>
      </c>
      <c r="BJ50" t="s">
        <v>156</v>
      </c>
      <c r="BK50" t="s">
        <v>731</v>
      </c>
      <c r="BL50">
        <v>125586.18</v>
      </c>
      <c r="BM50">
        <v>125586.18</v>
      </c>
      <c r="BN50">
        <v>0</v>
      </c>
      <c r="BO50" t="s">
        <v>154</v>
      </c>
      <c r="BP50">
        <v>9151134</v>
      </c>
      <c r="BQ50" t="s">
        <v>270</v>
      </c>
      <c r="BR50" t="s">
        <v>307</v>
      </c>
      <c r="BS50">
        <v>1</v>
      </c>
    </row>
    <row r="51" spans="1:71" s="0" customFormat="1" ht="14.5">
      <c r="A51" s="148" t="s">
        <v>157</v>
      </c>
      <c r="B51" s="149" t="s">
        <v>625</v>
      </c>
      <c r="C51" s="149">
        <v>107</v>
      </c>
      <c r="D51" s="149" t="s">
        <v>97</v>
      </c>
      <c r="E51" s="149" t="s">
        <v>98</v>
      </c>
      <c r="F51" s="84"/>
      <c r="G51" s="84"/>
      <c r="H51" s="149" t="s">
        <v>48</v>
      </c>
      <c r="I51" s="149" t="s">
        <v>158</v>
      </c>
      <c r="J51" s="149" t="s">
        <v>159</v>
      </c>
      <c r="K51" s="149" t="s">
        <v>163</v>
      </c>
      <c r="L51" s="149" t="s">
        <v>160</v>
      </c>
      <c r="M51" s="150">
        <v>46126</v>
      </c>
      <c r="N51" s="149" t="s">
        <v>670</v>
      </c>
      <c r="O51" s="149">
        <v>9155615</v>
      </c>
      <c r="P51" s="150">
        <v>46114</v>
      </c>
      <c r="Q51" s="149" t="s">
        <v>161</v>
      </c>
      <c r="R51" s="149">
        <v>2770</v>
      </c>
      <c r="S51" s="149" t="s">
        <v>299</v>
      </c>
      <c r="T51" s="149" t="s">
        <v>174</v>
      </c>
      <c r="U51" s="149" t="s">
        <v>175</v>
      </c>
      <c r="V51" s="148" t="s">
        <v>162</v>
      </c>
      <c r="W51" s="84"/>
      <c r="X51" s="149">
        <v>1</v>
      </c>
      <c r="Y51" s="149">
        <v>2137.98</v>
      </c>
      <c r="Z51" s="149">
        <v>2137.98</v>
      </c>
      <c r="AA51" s="148" t="s">
        <v>99</v>
      </c>
      <c r="AB51" s="149" t="s">
        <v>670</v>
      </c>
      <c r="AC51" s="150">
        <v>46114</v>
      </c>
      <c r="AD51" s="149" t="s">
        <v>171</v>
      </c>
      <c r="AE51" s="149">
        <v>84439952</v>
      </c>
      <c r="AF51" s="149" t="s">
        <v>453</v>
      </c>
      <c r="AG51" s="84"/>
      <c r="AH51" s="84"/>
      <c r="AI51" s="149">
        <v>2137.98</v>
      </c>
      <c r="AJ51" s="149" t="s">
        <v>368</v>
      </c>
      <c r="AK51" s="149">
        <v>18</v>
      </c>
      <c r="AL51" s="149">
        <v>192.42</v>
      </c>
      <c r="AM51" s="149">
        <v>192.42</v>
      </c>
      <c r="AN51" s="149">
        <v>0</v>
      </c>
      <c r="AO51" s="149">
        <v>0</v>
      </c>
      <c r="AP51" s="149">
        <v>0</v>
      </c>
      <c r="AQ51" s="149">
        <v>0</v>
      </c>
      <c r="AR51" s="148">
        <v>0</v>
      </c>
      <c r="AS51" s="149">
        <v>0</v>
      </c>
      <c r="AT51" s="148">
        <v>0</v>
      </c>
      <c r="AU51" s="84"/>
      <c r="AV51" s="84"/>
      <c r="AW51" s="149">
        <v>0</v>
      </c>
      <c r="AX51" s="149">
        <v>2522.8200000000002</v>
      </c>
      <c r="AY51" s="149" t="s">
        <v>100</v>
      </c>
      <c r="AZ51" s="149" t="s">
        <v>101</v>
      </c>
      <c r="BA51" s="149" t="s">
        <v>642</v>
      </c>
      <c r="BB51" s="149">
        <v>1126100065</v>
      </c>
      <c r="BC51" s="149" t="s">
        <v>105</v>
      </c>
      <c r="BD51" s="149" t="s">
        <v>103</v>
      </c>
      <c r="BE51" s="84"/>
      <c r="BF51" s="84" t="s">
        <v>270</v>
      </c>
      <c r="BG51" s="84" t="s">
        <v>281</v>
      </c>
      <c r="BH51" s="149" t="s">
        <v>290</v>
      </c>
      <c r="BI51" t="s">
        <v>155</v>
      </c>
      <c r="BJ51" t="s">
        <v>156</v>
      </c>
      <c r="BK51" t="s">
        <v>671</v>
      </c>
      <c r="BL51">
        <v>384.84</v>
      </c>
      <c r="BM51">
        <v>1123.8399999999999</v>
      </c>
      <c r="BN51">
        <v>-739</v>
      </c>
      <c r="BO51" t="s">
        <v>154</v>
      </c>
      <c r="BP51">
        <v>9155615</v>
      </c>
      <c r="BQ51" t="s">
        <v>270</v>
      </c>
      <c r="BR51" t="s">
        <v>630</v>
      </c>
      <c r="BS51">
        <v>4</v>
      </c>
    </row>
    <row r="52" spans="1:71" s="0" customFormat="1" ht="14.5">
      <c r="A52" s="148" t="s">
        <v>157</v>
      </c>
      <c r="B52" s="149" t="s">
        <v>625</v>
      </c>
      <c r="C52" s="149">
        <v>107</v>
      </c>
      <c r="D52" s="149" t="s">
        <v>97</v>
      </c>
      <c r="E52" s="149" t="s">
        <v>98</v>
      </c>
      <c r="F52" s="84"/>
      <c r="G52" s="84"/>
      <c r="H52" s="149" t="s">
        <v>48</v>
      </c>
      <c r="I52" s="149" t="s">
        <v>158</v>
      </c>
      <c r="J52" s="149" t="s">
        <v>159</v>
      </c>
      <c r="K52" s="149" t="s">
        <v>166</v>
      </c>
      <c r="L52" s="149" t="s">
        <v>160</v>
      </c>
      <c r="M52" s="150">
        <v>46142</v>
      </c>
      <c r="N52" s="149" t="s">
        <v>732</v>
      </c>
      <c r="O52" s="149">
        <v>9178796</v>
      </c>
      <c r="P52" s="150">
        <v>46090</v>
      </c>
      <c r="Q52" s="149" t="s">
        <v>161</v>
      </c>
      <c r="R52" s="149">
        <v>11570</v>
      </c>
      <c r="S52" s="149" t="s">
        <v>343</v>
      </c>
      <c r="T52" s="149" t="s">
        <v>349</v>
      </c>
      <c r="U52" s="149" t="s">
        <v>350</v>
      </c>
      <c r="V52" s="84"/>
      <c r="W52" s="84"/>
      <c r="X52" s="149">
        <v>0</v>
      </c>
      <c r="Y52" s="149">
        <v>0</v>
      </c>
      <c r="Z52" s="149">
        <v>9270</v>
      </c>
      <c r="AA52" s="148" t="s">
        <v>99</v>
      </c>
      <c r="AB52" s="149" t="s">
        <v>732</v>
      </c>
      <c r="AC52" s="150">
        <v>46090</v>
      </c>
      <c r="AD52" s="84"/>
      <c r="AE52" s="149">
        <v>9971</v>
      </c>
      <c r="AF52" s="149" t="s">
        <v>733</v>
      </c>
      <c r="AG52" s="84"/>
      <c r="AH52" s="84"/>
      <c r="AI52" s="149">
        <v>9270</v>
      </c>
      <c r="AJ52" s="149" t="s">
        <v>368</v>
      </c>
      <c r="AK52" s="149">
        <v>18</v>
      </c>
      <c r="AL52" s="149">
        <v>0</v>
      </c>
      <c r="AM52" s="149">
        <v>0</v>
      </c>
      <c r="AN52" s="149">
        <v>1668.60</v>
      </c>
      <c r="AO52" s="149">
        <v>0</v>
      </c>
      <c r="AP52" s="149">
        <v>0</v>
      </c>
      <c r="AQ52" s="149">
        <v>0</v>
      </c>
      <c r="AR52" s="148">
        <v>0</v>
      </c>
      <c r="AS52" s="149">
        <v>0</v>
      </c>
      <c r="AT52" s="148">
        <v>0</v>
      </c>
      <c r="AU52" s="84"/>
      <c r="AV52" s="84"/>
      <c r="AW52" s="149">
        <v>0</v>
      </c>
      <c r="AX52" s="149">
        <v>10938.60</v>
      </c>
      <c r="AY52" s="149" t="s">
        <v>101</v>
      </c>
      <c r="AZ52" s="149" t="s">
        <v>101</v>
      </c>
      <c r="BA52" s="149" t="s">
        <v>642</v>
      </c>
      <c r="BB52" s="149">
        <v>1126100478</v>
      </c>
      <c r="BC52" s="149" t="s">
        <v>168</v>
      </c>
      <c r="BD52" s="149" t="s">
        <v>103</v>
      </c>
      <c r="BE52" s="84"/>
      <c r="BF52" s="84" t="s">
        <v>271</v>
      </c>
      <c r="BG52" s="84" t="s">
        <v>281</v>
      </c>
      <c r="BH52" s="149" t="s">
        <v>290</v>
      </c>
      <c r="BI52" t="s">
        <v>155</v>
      </c>
      <c r="BJ52" t="s">
        <v>156</v>
      </c>
      <c r="BK52" t="s">
        <v>734</v>
      </c>
      <c r="BL52">
        <v>1668.60</v>
      </c>
      <c r="BM52">
        <v>1669</v>
      </c>
      <c r="BN52">
        <v>0</v>
      </c>
      <c r="BO52" t="s">
        <v>154</v>
      </c>
      <c r="BP52">
        <v>9178796</v>
      </c>
      <c r="BQ52" t="s">
        <v>271</v>
      </c>
      <c r="BR52" t="s">
        <v>307</v>
      </c>
      <c r="BS52">
        <v>1</v>
      </c>
    </row>
    <row r="53" spans="1:71" s="0" customFormat="1" ht="14.5">
      <c r="A53" s="148" t="s">
        <v>157</v>
      </c>
      <c r="B53" s="149" t="s">
        <v>625</v>
      </c>
      <c r="C53" s="149">
        <v>107</v>
      </c>
      <c r="D53" s="149" t="s">
        <v>97</v>
      </c>
      <c r="E53" s="149" t="s">
        <v>98</v>
      </c>
      <c r="F53" s="84"/>
      <c r="G53" s="149" t="s">
        <v>106</v>
      </c>
      <c r="H53" s="149" t="s">
        <v>48</v>
      </c>
      <c r="I53" s="149" t="s">
        <v>158</v>
      </c>
      <c r="J53" s="149" t="s">
        <v>165</v>
      </c>
      <c r="K53" s="149" t="s">
        <v>166</v>
      </c>
      <c r="L53" s="149" t="s">
        <v>160</v>
      </c>
      <c r="M53" s="150">
        <v>46127</v>
      </c>
      <c r="N53" s="149" t="s">
        <v>626</v>
      </c>
      <c r="O53" s="149">
        <v>9158398</v>
      </c>
      <c r="P53" s="150">
        <v>46090</v>
      </c>
      <c r="Q53" s="149" t="s">
        <v>161</v>
      </c>
      <c r="R53" s="149">
        <v>35671</v>
      </c>
      <c r="S53" s="149" t="s">
        <v>424</v>
      </c>
      <c r="T53" s="149" t="s">
        <v>425</v>
      </c>
      <c r="U53" s="149" t="s">
        <v>426</v>
      </c>
      <c r="V53" s="148" t="s">
        <v>162</v>
      </c>
      <c r="W53" s="84"/>
      <c r="X53" s="149">
        <v>275</v>
      </c>
      <c r="Y53" s="149">
        <v>24</v>
      </c>
      <c r="Z53" s="149">
        <v>6600</v>
      </c>
      <c r="AA53" s="148" t="s">
        <v>99</v>
      </c>
      <c r="AB53" s="149" t="s">
        <v>626</v>
      </c>
      <c r="AC53" s="150">
        <v>46121</v>
      </c>
      <c r="AD53" s="149" t="s">
        <v>164</v>
      </c>
      <c r="AE53" s="149">
        <v>998729</v>
      </c>
      <c r="AF53" s="149" t="s">
        <v>735</v>
      </c>
      <c r="AG53" s="84"/>
      <c r="AH53" s="84"/>
      <c r="AI53" s="149">
        <v>6600</v>
      </c>
      <c r="AJ53" s="149" t="s">
        <v>368</v>
      </c>
      <c r="AK53" s="149">
        <v>18</v>
      </c>
      <c r="AL53" s="149">
        <v>0</v>
      </c>
      <c r="AM53" s="149">
        <v>0</v>
      </c>
      <c r="AN53" s="149">
        <v>1188</v>
      </c>
      <c r="AO53" s="149">
        <v>0</v>
      </c>
      <c r="AP53" s="149">
        <v>0</v>
      </c>
      <c r="AQ53" s="149">
        <v>0</v>
      </c>
      <c r="AR53" s="148">
        <v>0</v>
      </c>
      <c r="AS53" s="149">
        <v>0</v>
      </c>
      <c r="AT53" s="148">
        <v>0</v>
      </c>
      <c r="AU53" s="84"/>
      <c r="AV53" s="84"/>
      <c r="AW53" s="149">
        <v>0</v>
      </c>
      <c r="AX53" s="149">
        <v>7788</v>
      </c>
      <c r="AY53" s="149" t="s">
        <v>101</v>
      </c>
      <c r="AZ53" s="149" t="s">
        <v>101</v>
      </c>
      <c r="BA53" s="149" t="s">
        <v>628</v>
      </c>
      <c r="BB53" s="149">
        <v>1126100105</v>
      </c>
      <c r="BC53" s="149" t="s">
        <v>168</v>
      </c>
      <c r="BD53" s="149" t="s">
        <v>272</v>
      </c>
      <c r="BE53" s="84"/>
      <c r="BF53" s="84" t="s">
        <v>271</v>
      </c>
      <c r="BG53" s="84" t="s">
        <v>281</v>
      </c>
      <c r="BH53" s="149" t="s">
        <v>290</v>
      </c>
      <c r="BI53" t="s">
        <v>155</v>
      </c>
      <c r="BJ53" t="s">
        <v>156</v>
      </c>
      <c r="BK53" t="s">
        <v>629</v>
      </c>
      <c r="BL53">
        <v>1188</v>
      </c>
      <c r="BM53">
        <v>38182.879999999997</v>
      </c>
      <c r="BN53">
        <v>-36995</v>
      </c>
      <c r="BO53" t="s">
        <v>154</v>
      </c>
      <c r="BP53">
        <v>9158398</v>
      </c>
      <c r="BQ53" t="s">
        <v>271</v>
      </c>
      <c r="BR53" t="s">
        <v>630</v>
      </c>
      <c r="BS53">
        <v>37</v>
      </c>
    </row>
    <row r="54" spans="1:71" s="0" customFormat="1" ht="14.5">
      <c r="A54" s="148" t="s">
        <v>157</v>
      </c>
      <c r="B54" s="149" t="s">
        <v>625</v>
      </c>
      <c r="C54" s="149">
        <v>107</v>
      </c>
      <c r="D54" s="149" t="s">
        <v>97</v>
      </c>
      <c r="E54" s="149" t="s">
        <v>98</v>
      </c>
      <c r="F54" s="84"/>
      <c r="G54" s="149" t="s">
        <v>106</v>
      </c>
      <c r="H54" s="149" t="s">
        <v>48</v>
      </c>
      <c r="I54" s="149" t="s">
        <v>158</v>
      </c>
      <c r="J54" s="149" t="s">
        <v>165</v>
      </c>
      <c r="K54" s="149" t="s">
        <v>166</v>
      </c>
      <c r="L54" s="149" t="s">
        <v>160</v>
      </c>
      <c r="M54" s="150">
        <v>46140</v>
      </c>
      <c r="N54" s="149" t="s">
        <v>632</v>
      </c>
      <c r="O54" s="149">
        <v>9174963</v>
      </c>
      <c r="P54" s="150">
        <v>46129</v>
      </c>
      <c r="Q54" s="149" t="s">
        <v>161</v>
      </c>
      <c r="R54" s="149">
        <v>35671</v>
      </c>
      <c r="S54" s="149" t="s">
        <v>424</v>
      </c>
      <c r="T54" s="149" t="s">
        <v>425</v>
      </c>
      <c r="U54" s="149" t="s">
        <v>426</v>
      </c>
      <c r="V54" s="148" t="s">
        <v>162</v>
      </c>
      <c r="W54" s="84"/>
      <c r="X54" s="149">
        <v>7839.83</v>
      </c>
      <c r="Y54" s="149">
        <v>2</v>
      </c>
      <c r="Z54" s="149">
        <v>15679.66</v>
      </c>
      <c r="AA54" s="148" t="s">
        <v>99</v>
      </c>
      <c r="AB54" s="149" t="s">
        <v>632</v>
      </c>
      <c r="AC54" s="150">
        <v>46129</v>
      </c>
      <c r="AD54" s="149" t="s">
        <v>164</v>
      </c>
      <c r="AE54" s="149">
        <v>34053000</v>
      </c>
      <c r="AF54" s="149" t="s">
        <v>736</v>
      </c>
      <c r="AG54" s="84"/>
      <c r="AH54" s="84"/>
      <c r="AI54" s="149">
        <v>15679.66</v>
      </c>
      <c r="AJ54" s="149" t="s">
        <v>368</v>
      </c>
      <c r="AK54" s="149">
        <v>18</v>
      </c>
      <c r="AL54" s="149">
        <v>0</v>
      </c>
      <c r="AM54" s="149">
        <v>0</v>
      </c>
      <c r="AN54" s="149">
        <v>2822.34</v>
      </c>
      <c r="AO54" s="149">
        <v>0</v>
      </c>
      <c r="AP54" s="149">
        <v>0</v>
      </c>
      <c r="AQ54" s="149">
        <v>0</v>
      </c>
      <c r="AR54" s="148">
        <v>0</v>
      </c>
      <c r="AS54" s="149">
        <v>0</v>
      </c>
      <c r="AT54" s="148">
        <v>0</v>
      </c>
      <c r="AU54" s="84"/>
      <c r="AV54" s="84"/>
      <c r="AW54" s="149">
        <v>0</v>
      </c>
      <c r="AX54" s="149">
        <v>18502</v>
      </c>
      <c r="AY54" s="149" t="s">
        <v>101</v>
      </c>
      <c r="AZ54" s="149" t="s">
        <v>101</v>
      </c>
      <c r="BA54" s="149" t="s">
        <v>634</v>
      </c>
      <c r="BB54" s="149">
        <v>1126100446</v>
      </c>
      <c r="BC54" s="149" t="s">
        <v>168</v>
      </c>
      <c r="BD54" s="149" t="s">
        <v>272</v>
      </c>
      <c r="BE54" s="84"/>
      <c r="BF54" s="84" t="s">
        <v>271</v>
      </c>
      <c r="BG54" s="84" t="s">
        <v>281</v>
      </c>
      <c r="BH54" s="149" t="s">
        <v>290</v>
      </c>
      <c r="BI54" t="s">
        <v>155</v>
      </c>
      <c r="BJ54" t="s">
        <v>156</v>
      </c>
      <c r="BK54" t="s">
        <v>635</v>
      </c>
      <c r="BL54">
        <v>2822.34</v>
      </c>
      <c r="BM54">
        <v>36494.74</v>
      </c>
      <c r="BN54">
        <v>-33672</v>
      </c>
      <c r="BO54" t="s">
        <v>154</v>
      </c>
      <c r="BP54">
        <v>9174963</v>
      </c>
      <c r="BQ54" t="s">
        <v>271</v>
      </c>
      <c r="BR54" t="s">
        <v>630</v>
      </c>
      <c r="BS54">
        <v>36</v>
      </c>
    </row>
    <row r="55" spans="1:71" s="0" customFormat="1" ht="14.5">
      <c r="A55" s="148" t="s">
        <v>157</v>
      </c>
      <c r="B55" s="149" t="s">
        <v>625</v>
      </c>
      <c r="C55" s="149">
        <v>107</v>
      </c>
      <c r="D55" s="149" t="s">
        <v>97</v>
      </c>
      <c r="E55" s="149" t="s">
        <v>98</v>
      </c>
      <c r="F55" s="84"/>
      <c r="G55" s="149" t="s">
        <v>106</v>
      </c>
      <c r="H55" s="149" t="s">
        <v>48</v>
      </c>
      <c r="I55" s="149" t="s">
        <v>158</v>
      </c>
      <c r="J55" s="149" t="s">
        <v>165</v>
      </c>
      <c r="K55" s="149" t="s">
        <v>166</v>
      </c>
      <c r="L55" s="149" t="s">
        <v>160</v>
      </c>
      <c r="M55" s="150">
        <v>46140</v>
      </c>
      <c r="N55" s="149" t="s">
        <v>632</v>
      </c>
      <c r="O55" s="149">
        <v>9174963</v>
      </c>
      <c r="P55" s="150">
        <v>46129</v>
      </c>
      <c r="Q55" s="149" t="s">
        <v>161</v>
      </c>
      <c r="R55" s="149">
        <v>35671</v>
      </c>
      <c r="S55" s="149" t="s">
        <v>424</v>
      </c>
      <c r="T55" s="149" t="s">
        <v>425</v>
      </c>
      <c r="U55" s="149" t="s">
        <v>426</v>
      </c>
      <c r="V55" s="148" t="s">
        <v>162</v>
      </c>
      <c r="W55" s="84"/>
      <c r="X55" s="149">
        <v>220</v>
      </c>
      <c r="Y55" s="149">
        <v>3</v>
      </c>
      <c r="Z55" s="149">
        <v>660</v>
      </c>
      <c r="AA55" s="148" t="s">
        <v>99</v>
      </c>
      <c r="AB55" s="149" t="s">
        <v>632</v>
      </c>
      <c r="AC55" s="150">
        <v>46129</v>
      </c>
      <c r="AD55" s="149" t="s">
        <v>164</v>
      </c>
      <c r="AE55" s="149">
        <v>998729</v>
      </c>
      <c r="AF55" s="149" t="s">
        <v>737</v>
      </c>
      <c r="AG55" s="84"/>
      <c r="AH55" s="84"/>
      <c r="AI55" s="149">
        <v>660</v>
      </c>
      <c r="AJ55" s="149" t="s">
        <v>368</v>
      </c>
      <c r="AK55" s="149">
        <v>18</v>
      </c>
      <c r="AL55" s="149">
        <v>0</v>
      </c>
      <c r="AM55" s="149">
        <v>0</v>
      </c>
      <c r="AN55" s="149">
        <v>118.80</v>
      </c>
      <c r="AO55" s="149">
        <v>0</v>
      </c>
      <c r="AP55" s="149">
        <v>0</v>
      </c>
      <c r="AQ55" s="149">
        <v>0</v>
      </c>
      <c r="AR55" s="148">
        <v>0</v>
      </c>
      <c r="AS55" s="149">
        <v>0</v>
      </c>
      <c r="AT55" s="148">
        <v>0</v>
      </c>
      <c r="AU55" s="84"/>
      <c r="AV55" s="84"/>
      <c r="AW55" s="149">
        <v>0</v>
      </c>
      <c r="AX55" s="149">
        <v>778.80</v>
      </c>
      <c r="AY55" s="149" t="s">
        <v>101</v>
      </c>
      <c r="AZ55" s="149" t="s">
        <v>101</v>
      </c>
      <c r="BA55" s="149" t="s">
        <v>634</v>
      </c>
      <c r="BB55" s="149">
        <v>1126100446</v>
      </c>
      <c r="BC55" s="149" t="s">
        <v>168</v>
      </c>
      <c r="BD55" s="149" t="s">
        <v>272</v>
      </c>
      <c r="BE55" s="84"/>
      <c r="BF55" s="84" t="s">
        <v>271</v>
      </c>
      <c r="BG55" s="84" t="s">
        <v>281</v>
      </c>
      <c r="BH55" s="149" t="s">
        <v>290</v>
      </c>
      <c r="BI55" t="s">
        <v>155</v>
      </c>
      <c r="BJ55" t="s">
        <v>156</v>
      </c>
      <c r="BK55" t="s">
        <v>635</v>
      </c>
      <c r="BL55">
        <v>118.80</v>
      </c>
      <c r="BM55">
        <v>36494.74</v>
      </c>
      <c r="BN55">
        <v>-36376</v>
      </c>
      <c r="BO55" t="s">
        <v>154</v>
      </c>
      <c r="BP55">
        <v>9174963</v>
      </c>
      <c r="BQ55" t="s">
        <v>271</v>
      </c>
      <c r="BR55" t="s">
        <v>630</v>
      </c>
      <c r="BS55">
        <v>36</v>
      </c>
    </row>
    <row r="56" spans="1:71" s="0" customFormat="1" ht="14.5">
      <c r="A56" s="148" t="s">
        <v>157</v>
      </c>
      <c r="B56" s="149" t="s">
        <v>625</v>
      </c>
      <c r="C56" s="149">
        <v>107</v>
      </c>
      <c r="D56" s="149" t="s">
        <v>97</v>
      </c>
      <c r="E56" s="149" t="s">
        <v>98</v>
      </c>
      <c r="F56" s="84"/>
      <c r="G56" s="149" t="s">
        <v>106</v>
      </c>
      <c r="H56" s="149" t="s">
        <v>48</v>
      </c>
      <c r="I56" s="149" t="s">
        <v>158</v>
      </c>
      <c r="J56" s="149" t="s">
        <v>165</v>
      </c>
      <c r="K56" s="149" t="s">
        <v>166</v>
      </c>
      <c r="L56" s="149" t="s">
        <v>160</v>
      </c>
      <c r="M56" s="150">
        <v>46127</v>
      </c>
      <c r="N56" s="149" t="s">
        <v>738</v>
      </c>
      <c r="O56" s="149">
        <v>9156751</v>
      </c>
      <c r="P56" s="150">
        <v>46115</v>
      </c>
      <c r="Q56" s="149" t="s">
        <v>161</v>
      </c>
      <c r="R56" s="149">
        <v>6262</v>
      </c>
      <c r="S56" s="149" t="s">
        <v>183</v>
      </c>
      <c r="T56" s="149" t="s">
        <v>182</v>
      </c>
      <c r="U56" s="149" t="s">
        <v>184</v>
      </c>
      <c r="V56" s="148" t="s">
        <v>162</v>
      </c>
      <c r="W56" s="84"/>
      <c r="X56" s="149">
        <v>1</v>
      </c>
      <c r="Y56" s="149">
        <v>565</v>
      </c>
      <c r="Z56" s="149">
        <v>565</v>
      </c>
      <c r="AA56" s="148" t="s">
        <v>99</v>
      </c>
      <c r="AB56" s="149" t="s">
        <v>738</v>
      </c>
      <c r="AC56" s="150">
        <v>46115</v>
      </c>
      <c r="AD56" s="149" t="s">
        <v>171</v>
      </c>
      <c r="AE56" s="149">
        <v>998413</v>
      </c>
      <c r="AF56" s="149" t="s">
        <v>739</v>
      </c>
      <c r="AG56" s="84"/>
      <c r="AH56" s="84"/>
      <c r="AI56" s="149">
        <v>565</v>
      </c>
      <c r="AJ56" s="149" t="s">
        <v>368</v>
      </c>
      <c r="AK56" s="149">
        <v>18</v>
      </c>
      <c r="AL56" s="149">
        <v>50.85</v>
      </c>
      <c r="AM56" s="149">
        <v>50.85</v>
      </c>
      <c r="AN56" s="149">
        <v>0</v>
      </c>
      <c r="AO56" s="149">
        <v>0</v>
      </c>
      <c r="AP56" s="149">
        <v>0</v>
      </c>
      <c r="AQ56" s="149">
        <v>0</v>
      </c>
      <c r="AR56" s="148">
        <v>0</v>
      </c>
      <c r="AS56" s="149">
        <v>0</v>
      </c>
      <c r="AT56" s="148">
        <v>0</v>
      </c>
      <c r="AU56" s="84"/>
      <c r="AV56" s="84"/>
      <c r="AW56" s="149">
        <v>0</v>
      </c>
      <c r="AX56" s="149">
        <v>666.70</v>
      </c>
      <c r="AY56" s="149" t="s">
        <v>100</v>
      </c>
      <c r="AZ56" s="149" t="s">
        <v>101</v>
      </c>
      <c r="BA56" s="149" t="s">
        <v>427</v>
      </c>
      <c r="BB56" s="149">
        <v>1126100079</v>
      </c>
      <c r="BC56" s="149" t="s">
        <v>105</v>
      </c>
      <c r="BD56" s="149" t="s">
        <v>103</v>
      </c>
      <c r="BE56" s="84"/>
      <c r="BF56" s="84" t="s">
        <v>270</v>
      </c>
      <c r="BG56" s="84" t="s">
        <v>281</v>
      </c>
      <c r="BH56" s="149" t="s">
        <v>290</v>
      </c>
      <c r="BI56" t="s">
        <v>155</v>
      </c>
      <c r="BJ56" t="s">
        <v>156</v>
      </c>
      <c r="BK56" t="s">
        <v>740</v>
      </c>
      <c r="BL56">
        <v>101.70</v>
      </c>
      <c r="BM56">
        <v>101.70</v>
      </c>
      <c r="BN56">
        <v>0</v>
      </c>
      <c r="BO56" t="s">
        <v>154</v>
      </c>
      <c r="BP56">
        <v>9156751</v>
      </c>
      <c r="BQ56" t="s">
        <v>270</v>
      </c>
      <c r="BR56" t="s">
        <v>630</v>
      </c>
      <c r="BS56">
        <v>1</v>
      </c>
    </row>
    <row r="57" spans="1:71" s="0" customFormat="1" ht="14.5">
      <c r="A57" s="148" t="s">
        <v>157</v>
      </c>
      <c r="B57" s="149" t="s">
        <v>625</v>
      </c>
      <c r="C57" s="149">
        <v>107</v>
      </c>
      <c r="D57" s="149" t="s">
        <v>97</v>
      </c>
      <c r="E57" s="149" t="s">
        <v>98</v>
      </c>
      <c r="F57" s="84"/>
      <c r="G57" s="149" t="s">
        <v>106</v>
      </c>
      <c r="H57" s="149" t="s">
        <v>48</v>
      </c>
      <c r="I57" s="149" t="s">
        <v>158</v>
      </c>
      <c r="J57" s="149" t="s">
        <v>165</v>
      </c>
      <c r="K57" s="149" t="s">
        <v>166</v>
      </c>
      <c r="L57" s="149" t="s">
        <v>160</v>
      </c>
      <c r="M57" s="150">
        <v>46127</v>
      </c>
      <c r="N57" s="149" t="s">
        <v>636</v>
      </c>
      <c r="O57" s="149">
        <v>9156749</v>
      </c>
      <c r="P57" s="150">
        <v>46115</v>
      </c>
      <c r="Q57" s="149" t="s">
        <v>161</v>
      </c>
      <c r="R57" s="149">
        <v>6262</v>
      </c>
      <c r="S57" s="149" t="s">
        <v>183</v>
      </c>
      <c r="T57" s="149" t="s">
        <v>182</v>
      </c>
      <c r="U57" s="149" t="s">
        <v>184</v>
      </c>
      <c r="V57" s="148" t="s">
        <v>162</v>
      </c>
      <c r="W57" s="84"/>
      <c r="X57" s="149">
        <v>1</v>
      </c>
      <c r="Y57" s="149">
        <v>2431</v>
      </c>
      <c r="Z57" s="149">
        <v>2431</v>
      </c>
      <c r="AA57" s="148" t="s">
        <v>99</v>
      </c>
      <c r="AB57" s="149" t="s">
        <v>637</v>
      </c>
      <c r="AC57" s="150">
        <v>46115</v>
      </c>
      <c r="AD57" s="149" t="s">
        <v>171</v>
      </c>
      <c r="AE57" s="149">
        <v>998413</v>
      </c>
      <c r="AF57" s="149" t="s">
        <v>638</v>
      </c>
      <c r="AG57" s="84"/>
      <c r="AH57" s="84"/>
      <c r="AI57" s="149">
        <v>2431</v>
      </c>
      <c r="AJ57" s="149" t="s">
        <v>368</v>
      </c>
      <c r="AK57" s="149">
        <v>18</v>
      </c>
      <c r="AL57" s="149">
        <v>218.79</v>
      </c>
      <c r="AM57" s="149">
        <v>218.79</v>
      </c>
      <c r="AN57" s="149">
        <v>0</v>
      </c>
      <c r="AO57" s="149">
        <v>0</v>
      </c>
      <c r="AP57" s="149">
        <v>0</v>
      </c>
      <c r="AQ57" s="149">
        <v>0</v>
      </c>
      <c r="AR57" s="148">
        <v>0</v>
      </c>
      <c r="AS57" s="149">
        <v>0</v>
      </c>
      <c r="AT57" s="148">
        <v>0</v>
      </c>
      <c r="AU57" s="84"/>
      <c r="AV57" s="84"/>
      <c r="AW57" s="149">
        <v>0</v>
      </c>
      <c r="AX57" s="149">
        <v>2868.58</v>
      </c>
      <c r="AY57" s="149" t="s">
        <v>100</v>
      </c>
      <c r="AZ57" s="149" t="s">
        <v>101</v>
      </c>
      <c r="BA57" s="149" t="s">
        <v>311</v>
      </c>
      <c r="BB57" s="149">
        <v>1126100078</v>
      </c>
      <c r="BC57" s="149" t="s">
        <v>105</v>
      </c>
      <c r="BD57" s="149" t="s">
        <v>103</v>
      </c>
      <c r="BE57" s="84"/>
      <c r="BF57" s="84" t="s">
        <v>270</v>
      </c>
      <c r="BG57" s="84" t="s">
        <v>281</v>
      </c>
      <c r="BH57" s="149" t="s">
        <v>290</v>
      </c>
      <c r="BI57" t="s">
        <v>155</v>
      </c>
      <c r="BJ57" t="s">
        <v>156</v>
      </c>
      <c r="BK57" t="s">
        <v>639</v>
      </c>
      <c r="BL57">
        <v>437.58</v>
      </c>
      <c r="BM57">
        <v>8534.42</v>
      </c>
      <c r="BN57">
        <v>-8097</v>
      </c>
      <c r="BO57" t="s">
        <v>154</v>
      </c>
      <c r="BP57">
        <v>9156749</v>
      </c>
      <c r="BQ57" t="s">
        <v>270</v>
      </c>
      <c r="BR57" t="s">
        <v>630</v>
      </c>
      <c r="BS57">
        <v>17</v>
      </c>
    </row>
    <row r="58" spans="1:71" s="0" customFormat="1" ht="14.5">
      <c r="A58" s="148" t="s">
        <v>157</v>
      </c>
      <c r="B58" s="149" t="s">
        <v>625</v>
      </c>
      <c r="C58" s="149">
        <v>107</v>
      </c>
      <c r="D58" s="149" t="s">
        <v>97</v>
      </c>
      <c r="E58" s="149" t="s">
        <v>98</v>
      </c>
      <c r="F58" s="84"/>
      <c r="G58" s="149" t="s">
        <v>106</v>
      </c>
      <c r="H58" s="149" t="s">
        <v>48</v>
      </c>
      <c r="I58" s="149" t="s">
        <v>158</v>
      </c>
      <c r="J58" s="149" t="s">
        <v>165</v>
      </c>
      <c r="K58" s="149" t="s">
        <v>166</v>
      </c>
      <c r="L58" s="149" t="s">
        <v>160</v>
      </c>
      <c r="M58" s="150">
        <v>46140</v>
      </c>
      <c r="N58" s="149" t="s">
        <v>660</v>
      </c>
      <c r="O58" s="149">
        <v>9175014</v>
      </c>
      <c r="P58" s="150">
        <v>46129</v>
      </c>
      <c r="Q58" s="149" t="s">
        <v>161</v>
      </c>
      <c r="R58" s="149">
        <v>15979</v>
      </c>
      <c r="S58" s="149" t="s">
        <v>369</v>
      </c>
      <c r="T58" s="149" t="s">
        <v>169</v>
      </c>
      <c r="U58" s="149" t="s">
        <v>370</v>
      </c>
      <c r="V58" s="148" t="s">
        <v>162</v>
      </c>
      <c r="W58" s="84"/>
      <c r="X58" s="149">
        <v>1074.5999999999999</v>
      </c>
      <c r="Y58" s="149">
        <v>1</v>
      </c>
      <c r="Z58" s="149">
        <v>1074.5999999999999</v>
      </c>
      <c r="AA58" s="148" t="s">
        <v>99</v>
      </c>
      <c r="AB58" s="149" t="s">
        <v>660</v>
      </c>
      <c r="AC58" s="150">
        <v>46129</v>
      </c>
      <c r="AD58" s="149" t="s">
        <v>164</v>
      </c>
      <c r="AE58" s="149">
        <v>998729</v>
      </c>
      <c r="AF58" s="149" t="s">
        <v>382</v>
      </c>
      <c r="AG58" s="84"/>
      <c r="AH58" s="84"/>
      <c r="AI58" s="149">
        <v>1074.5999999999999</v>
      </c>
      <c r="AJ58" s="149" t="s">
        <v>368</v>
      </c>
      <c r="AK58" s="149">
        <v>18</v>
      </c>
      <c r="AL58" s="149">
        <v>96.71</v>
      </c>
      <c r="AM58" s="149">
        <v>96.71</v>
      </c>
      <c r="AN58" s="149">
        <v>0</v>
      </c>
      <c r="AO58" s="149">
        <v>0</v>
      </c>
      <c r="AP58" s="149">
        <v>0</v>
      </c>
      <c r="AQ58" s="149">
        <v>0</v>
      </c>
      <c r="AR58" s="148">
        <v>0</v>
      </c>
      <c r="AS58" s="149">
        <v>0</v>
      </c>
      <c r="AT58" s="148">
        <v>0</v>
      </c>
      <c r="AU58" s="84"/>
      <c r="AV58" s="84"/>
      <c r="AW58" s="149">
        <v>0</v>
      </c>
      <c r="AX58" s="149">
        <v>1268.02</v>
      </c>
      <c r="AY58" s="149" t="s">
        <v>101</v>
      </c>
      <c r="AZ58" s="149" t="s">
        <v>101</v>
      </c>
      <c r="BA58" s="149" t="s">
        <v>662</v>
      </c>
      <c r="BB58" s="149">
        <v>1126100447</v>
      </c>
      <c r="BC58" s="149" t="s">
        <v>172</v>
      </c>
      <c r="BD58" s="149" t="s">
        <v>272</v>
      </c>
      <c r="BE58" s="84"/>
      <c r="BF58" s="84" t="s">
        <v>271</v>
      </c>
      <c r="BG58" s="84" t="s">
        <v>281</v>
      </c>
      <c r="BH58" s="149" t="s">
        <v>290</v>
      </c>
      <c r="BI58" t="s">
        <v>155</v>
      </c>
      <c r="BJ58" t="s">
        <v>156</v>
      </c>
      <c r="BK58" t="s">
        <v>663</v>
      </c>
      <c r="BL58">
        <v>193.42</v>
      </c>
      <c r="BM58">
        <v>2435.38</v>
      </c>
      <c r="BN58">
        <v>-2242</v>
      </c>
      <c r="BO58" t="s">
        <v>154</v>
      </c>
      <c r="BP58">
        <v>9175014</v>
      </c>
      <c r="BQ58" t="s">
        <v>271</v>
      </c>
      <c r="BR58" t="s">
        <v>630</v>
      </c>
      <c r="BS58">
        <v>18</v>
      </c>
    </row>
    <row r="59" spans="1:71" s="0" customFormat="1" ht="14.5">
      <c r="A59" s="148" t="s">
        <v>157</v>
      </c>
      <c r="B59" s="149" t="s">
        <v>625</v>
      </c>
      <c r="C59" s="149">
        <v>107</v>
      </c>
      <c r="D59" s="149" t="s">
        <v>97</v>
      </c>
      <c r="E59" s="149" t="s">
        <v>98</v>
      </c>
      <c r="F59" s="84"/>
      <c r="G59" s="149" t="s">
        <v>106</v>
      </c>
      <c r="H59" s="149" t="s">
        <v>48</v>
      </c>
      <c r="I59" s="149" t="s">
        <v>158</v>
      </c>
      <c r="J59" s="149" t="s">
        <v>165</v>
      </c>
      <c r="K59" s="149" t="s">
        <v>166</v>
      </c>
      <c r="L59" s="149" t="s">
        <v>160</v>
      </c>
      <c r="M59" s="150">
        <v>46140</v>
      </c>
      <c r="N59" s="149" t="s">
        <v>632</v>
      </c>
      <c r="O59" s="149">
        <v>9174963</v>
      </c>
      <c r="P59" s="150">
        <v>46129</v>
      </c>
      <c r="Q59" s="149" t="s">
        <v>161</v>
      </c>
      <c r="R59" s="149">
        <v>35671</v>
      </c>
      <c r="S59" s="149" t="s">
        <v>424</v>
      </c>
      <c r="T59" s="149" t="s">
        <v>425</v>
      </c>
      <c r="U59" s="149" t="s">
        <v>426</v>
      </c>
      <c r="V59" s="148" t="s">
        <v>162</v>
      </c>
      <c r="W59" s="84"/>
      <c r="X59" s="149">
        <v>275</v>
      </c>
      <c r="Y59" s="149">
        <v>10</v>
      </c>
      <c r="Z59" s="149">
        <v>2750</v>
      </c>
      <c r="AA59" s="148" t="s">
        <v>99</v>
      </c>
      <c r="AB59" s="149" t="s">
        <v>632</v>
      </c>
      <c r="AC59" s="150">
        <v>46129</v>
      </c>
      <c r="AD59" s="149" t="s">
        <v>164</v>
      </c>
      <c r="AE59" s="149">
        <v>998729</v>
      </c>
      <c r="AF59" s="149" t="s">
        <v>741</v>
      </c>
      <c r="AG59" s="84"/>
      <c r="AH59" s="84"/>
      <c r="AI59" s="149">
        <v>2750</v>
      </c>
      <c r="AJ59" s="149" t="s">
        <v>368</v>
      </c>
      <c r="AK59" s="149">
        <v>18</v>
      </c>
      <c r="AL59" s="149">
        <v>0</v>
      </c>
      <c r="AM59" s="149">
        <v>0</v>
      </c>
      <c r="AN59" s="149">
        <v>495</v>
      </c>
      <c r="AO59" s="149">
        <v>0</v>
      </c>
      <c r="AP59" s="149">
        <v>0</v>
      </c>
      <c r="AQ59" s="149">
        <v>0</v>
      </c>
      <c r="AR59" s="148">
        <v>0</v>
      </c>
      <c r="AS59" s="149">
        <v>0</v>
      </c>
      <c r="AT59" s="148">
        <v>0</v>
      </c>
      <c r="AU59" s="84"/>
      <c r="AV59" s="84"/>
      <c r="AW59" s="149">
        <v>0</v>
      </c>
      <c r="AX59" s="149">
        <v>3245</v>
      </c>
      <c r="AY59" s="149" t="s">
        <v>101</v>
      </c>
      <c r="AZ59" s="149" t="s">
        <v>101</v>
      </c>
      <c r="BA59" s="149" t="s">
        <v>634</v>
      </c>
      <c r="BB59" s="149">
        <v>1126100446</v>
      </c>
      <c r="BC59" s="149" t="s">
        <v>168</v>
      </c>
      <c r="BD59" s="149" t="s">
        <v>272</v>
      </c>
      <c r="BE59" s="84"/>
      <c r="BF59" s="84" t="s">
        <v>271</v>
      </c>
      <c r="BG59" s="84" t="s">
        <v>281</v>
      </c>
      <c r="BH59" s="149" t="s">
        <v>290</v>
      </c>
      <c r="BI59" t="s">
        <v>155</v>
      </c>
      <c r="BJ59" t="s">
        <v>156</v>
      </c>
      <c r="BK59" t="s">
        <v>635</v>
      </c>
      <c r="BL59">
        <v>495</v>
      </c>
      <c r="BM59">
        <v>36494.74</v>
      </c>
      <c r="BN59">
        <v>-36000</v>
      </c>
      <c r="BO59" t="s">
        <v>154</v>
      </c>
      <c r="BP59">
        <v>9174963</v>
      </c>
      <c r="BQ59" t="s">
        <v>271</v>
      </c>
      <c r="BR59" t="s">
        <v>630</v>
      </c>
      <c r="BS59">
        <v>36</v>
      </c>
    </row>
    <row r="60" spans="1:71" s="0" customFormat="1" ht="14.5">
      <c r="A60" s="148" t="s">
        <v>157</v>
      </c>
      <c r="B60" s="149" t="s">
        <v>625</v>
      </c>
      <c r="C60" s="149">
        <v>107</v>
      </c>
      <c r="D60" s="149" t="s">
        <v>97</v>
      </c>
      <c r="E60" s="149" t="s">
        <v>98</v>
      </c>
      <c r="F60" s="84"/>
      <c r="G60" s="149" t="s">
        <v>106</v>
      </c>
      <c r="H60" s="149" t="s">
        <v>48</v>
      </c>
      <c r="I60" s="149" t="s">
        <v>158</v>
      </c>
      <c r="J60" s="149" t="s">
        <v>165</v>
      </c>
      <c r="K60" s="149" t="s">
        <v>166</v>
      </c>
      <c r="L60" s="149" t="s">
        <v>160</v>
      </c>
      <c r="M60" s="150">
        <v>46127</v>
      </c>
      <c r="N60" s="149" t="s">
        <v>636</v>
      </c>
      <c r="O60" s="149">
        <v>9156749</v>
      </c>
      <c r="P60" s="150">
        <v>46115</v>
      </c>
      <c r="Q60" s="149" t="s">
        <v>161</v>
      </c>
      <c r="R60" s="149">
        <v>6262</v>
      </c>
      <c r="S60" s="149" t="s">
        <v>183</v>
      </c>
      <c r="T60" s="149" t="s">
        <v>182</v>
      </c>
      <c r="U60" s="149" t="s">
        <v>184</v>
      </c>
      <c r="V60" s="148" t="s">
        <v>162</v>
      </c>
      <c r="W60" s="84"/>
      <c r="X60" s="149">
        <v>1</v>
      </c>
      <c r="Y60" s="149">
        <v>400</v>
      </c>
      <c r="Z60" s="149">
        <v>400</v>
      </c>
      <c r="AA60" s="148" t="s">
        <v>99</v>
      </c>
      <c r="AB60" s="149" t="s">
        <v>637</v>
      </c>
      <c r="AC60" s="150">
        <v>46115</v>
      </c>
      <c r="AD60" s="149" t="s">
        <v>171</v>
      </c>
      <c r="AE60" s="149">
        <v>998413</v>
      </c>
      <c r="AF60" s="149" t="s">
        <v>638</v>
      </c>
      <c r="AG60" s="84"/>
      <c r="AH60" s="84"/>
      <c r="AI60" s="149">
        <v>400</v>
      </c>
      <c r="AJ60" s="149" t="s">
        <v>368</v>
      </c>
      <c r="AK60" s="149">
        <v>18</v>
      </c>
      <c r="AL60" s="149">
        <v>36</v>
      </c>
      <c r="AM60" s="149">
        <v>36</v>
      </c>
      <c r="AN60" s="149">
        <v>0</v>
      </c>
      <c r="AO60" s="149">
        <v>0</v>
      </c>
      <c r="AP60" s="149">
        <v>0</v>
      </c>
      <c r="AQ60" s="149">
        <v>0</v>
      </c>
      <c r="AR60" s="148">
        <v>0</v>
      </c>
      <c r="AS60" s="149">
        <v>0</v>
      </c>
      <c r="AT60" s="148">
        <v>0</v>
      </c>
      <c r="AU60" s="84"/>
      <c r="AV60" s="84"/>
      <c r="AW60" s="149">
        <v>0</v>
      </c>
      <c r="AX60" s="149">
        <v>472</v>
      </c>
      <c r="AY60" s="149" t="s">
        <v>100</v>
      </c>
      <c r="AZ60" s="149" t="s">
        <v>101</v>
      </c>
      <c r="BA60" s="149" t="s">
        <v>311</v>
      </c>
      <c r="BB60" s="149">
        <v>1126100078</v>
      </c>
      <c r="BC60" s="149" t="s">
        <v>105</v>
      </c>
      <c r="BD60" s="149" t="s">
        <v>103</v>
      </c>
      <c r="BE60" s="84"/>
      <c r="BF60" s="84" t="s">
        <v>270</v>
      </c>
      <c r="BG60" s="84" t="s">
        <v>281</v>
      </c>
      <c r="BH60" s="149" t="s">
        <v>290</v>
      </c>
      <c r="BI60" t="s">
        <v>155</v>
      </c>
      <c r="BJ60" t="s">
        <v>156</v>
      </c>
      <c r="BK60" t="s">
        <v>639</v>
      </c>
      <c r="BL60">
        <v>72</v>
      </c>
      <c r="BM60">
        <v>8534.42</v>
      </c>
      <c r="BN60">
        <v>-8462</v>
      </c>
      <c r="BO60" t="s">
        <v>154</v>
      </c>
      <c r="BP60">
        <v>9156749</v>
      </c>
      <c r="BQ60" t="s">
        <v>270</v>
      </c>
      <c r="BR60" t="s">
        <v>630</v>
      </c>
      <c r="BS60">
        <v>17</v>
      </c>
    </row>
    <row r="61" spans="1:71" s="0" customFormat="1" ht="14.5">
      <c r="A61" s="148" t="s">
        <v>157</v>
      </c>
      <c r="B61" s="149" t="s">
        <v>625</v>
      </c>
      <c r="C61" s="149">
        <v>107</v>
      </c>
      <c r="D61" s="149" t="s">
        <v>97</v>
      </c>
      <c r="E61" s="149" t="s">
        <v>98</v>
      </c>
      <c r="F61" s="84"/>
      <c r="G61" s="84"/>
      <c r="H61" s="149" t="s">
        <v>48</v>
      </c>
      <c r="I61" s="149" t="s">
        <v>158</v>
      </c>
      <c r="J61" s="149" t="s">
        <v>159</v>
      </c>
      <c r="K61" s="149" t="s">
        <v>163</v>
      </c>
      <c r="L61" s="149" t="s">
        <v>160</v>
      </c>
      <c r="M61" s="150">
        <v>46126</v>
      </c>
      <c r="N61" s="149" t="s">
        <v>742</v>
      </c>
      <c r="O61" s="149">
        <v>9155612</v>
      </c>
      <c r="P61" s="150">
        <v>45749</v>
      </c>
      <c r="Q61" s="149" t="s">
        <v>161</v>
      </c>
      <c r="R61" s="149">
        <v>2770</v>
      </c>
      <c r="S61" s="149" t="s">
        <v>299</v>
      </c>
      <c r="T61" s="149" t="s">
        <v>174</v>
      </c>
      <c r="U61" s="149" t="s">
        <v>175</v>
      </c>
      <c r="V61" s="148" t="s">
        <v>162</v>
      </c>
      <c r="W61" s="84"/>
      <c r="X61" s="149">
        <v>1</v>
      </c>
      <c r="Y61" s="149">
        <v>1937.42</v>
      </c>
      <c r="Z61" s="149">
        <v>1937.42</v>
      </c>
      <c r="AA61" s="148" t="s">
        <v>99</v>
      </c>
      <c r="AB61" s="149" t="s">
        <v>742</v>
      </c>
      <c r="AC61" s="150">
        <v>45749</v>
      </c>
      <c r="AD61" s="149" t="s">
        <v>171</v>
      </c>
      <c r="AE61" s="149">
        <v>84439952</v>
      </c>
      <c r="AF61" s="149" t="s">
        <v>413</v>
      </c>
      <c r="AG61" s="84"/>
      <c r="AH61" s="84"/>
      <c r="AI61" s="149">
        <v>1937.42</v>
      </c>
      <c r="AJ61" s="149" t="s">
        <v>368</v>
      </c>
      <c r="AK61" s="149">
        <v>18</v>
      </c>
      <c r="AL61" s="149">
        <v>174.37</v>
      </c>
      <c r="AM61" s="149">
        <v>174.37</v>
      </c>
      <c r="AN61" s="149">
        <v>0</v>
      </c>
      <c r="AO61" s="149">
        <v>0</v>
      </c>
      <c r="AP61" s="149">
        <v>0</v>
      </c>
      <c r="AQ61" s="149">
        <v>0</v>
      </c>
      <c r="AR61" s="148">
        <v>0</v>
      </c>
      <c r="AS61" s="149">
        <v>0</v>
      </c>
      <c r="AT61" s="148">
        <v>0</v>
      </c>
      <c r="AU61" s="84"/>
      <c r="AV61" s="84"/>
      <c r="AW61" s="149">
        <v>0</v>
      </c>
      <c r="AX61" s="149">
        <v>2286.16</v>
      </c>
      <c r="AY61" s="149" t="s">
        <v>100</v>
      </c>
      <c r="AZ61" s="149" t="s">
        <v>101</v>
      </c>
      <c r="BA61" s="149" t="s">
        <v>642</v>
      </c>
      <c r="BB61" s="149">
        <v>1126100062</v>
      </c>
      <c r="BC61" s="149" t="s">
        <v>105</v>
      </c>
      <c r="BD61" s="149" t="s">
        <v>103</v>
      </c>
      <c r="BE61" s="84"/>
      <c r="BF61" s="84" t="s">
        <v>270</v>
      </c>
      <c r="BG61" s="84" t="s">
        <v>281</v>
      </c>
      <c r="BH61" s="149" t="s">
        <v>290</v>
      </c>
      <c r="BI61" t="s">
        <v>155</v>
      </c>
      <c r="BJ61" t="s">
        <v>156</v>
      </c>
      <c r="BK61" t="s">
        <v>743</v>
      </c>
      <c r="BL61">
        <v>348.74</v>
      </c>
      <c r="BM61">
        <v>348.74</v>
      </c>
      <c r="BN61">
        <v>0</v>
      </c>
      <c r="BO61" t="s">
        <v>154</v>
      </c>
      <c r="BP61">
        <v>9155612</v>
      </c>
      <c r="BQ61" t="s">
        <v>270</v>
      </c>
      <c r="BR61" t="s">
        <v>630</v>
      </c>
      <c r="BS61">
        <v>1</v>
      </c>
    </row>
    <row r="62" spans="1:71" s="0" customFormat="1" ht="14.5">
      <c r="A62" s="148" t="s">
        <v>157</v>
      </c>
      <c r="B62" s="149" t="s">
        <v>625</v>
      </c>
      <c r="C62" s="149">
        <v>107</v>
      </c>
      <c r="D62" s="149" t="s">
        <v>97</v>
      </c>
      <c r="E62" s="149" t="s">
        <v>98</v>
      </c>
      <c r="F62" s="84"/>
      <c r="G62" s="84"/>
      <c r="H62" s="149" t="s">
        <v>48</v>
      </c>
      <c r="I62" s="149" t="s">
        <v>158</v>
      </c>
      <c r="J62" s="149" t="s">
        <v>159</v>
      </c>
      <c r="K62" s="149" t="s">
        <v>163</v>
      </c>
      <c r="L62" s="149" t="s">
        <v>160</v>
      </c>
      <c r="M62" s="150">
        <v>46126</v>
      </c>
      <c r="N62" s="149" t="s">
        <v>744</v>
      </c>
      <c r="O62" s="149">
        <v>9155618</v>
      </c>
      <c r="P62" s="150">
        <v>46114</v>
      </c>
      <c r="Q62" s="149" t="s">
        <v>161</v>
      </c>
      <c r="R62" s="149">
        <v>2770</v>
      </c>
      <c r="S62" s="149" t="s">
        <v>299</v>
      </c>
      <c r="T62" s="149" t="s">
        <v>174</v>
      </c>
      <c r="U62" s="149" t="s">
        <v>175</v>
      </c>
      <c r="V62" s="148" t="s">
        <v>162</v>
      </c>
      <c r="W62" s="84"/>
      <c r="X62" s="149">
        <v>1</v>
      </c>
      <c r="Y62" s="149">
        <v>40</v>
      </c>
      <c r="Z62" s="149">
        <v>40</v>
      </c>
      <c r="AA62" s="148" t="s">
        <v>99</v>
      </c>
      <c r="AB62" s="149" t="s">
        <v>744</v>
      </c>
      <c r="AC62" s="150">
        <v>46114</v>
      </c>
      <c r="AD62" s="149" t="s">
        <v>171</v>
      </c>
      <c r="AE62" s="149">
        <v>84439952</v>
      </c>
      <c r="AF62" s="149" t="s">
        <v>413</v>
      </c>
      <c r="AG62" s="84"/>
      <c r="AH62" s="84"/>
      <c r="AI62" s="149">
        <v>40</v>
      </c>
      <c r="AJ62" s="149" t="s">
        <v>368</v>
      </c>
      <c r="AK62" s="149">
        <v>18</v>
      </c>
      <c r="AL62" s="149">
        <v>3.60</v>
      </c>
      <c r="AM62" s="149">
        <v>3.60</v>
      </c>
      <c r="AN62" s="149">
        <v>0</v>
      </c>
      <c r="AO62" s="149">
        <v>0</v>
      </c>
      <c r="AP62" s="149">
        <v>0</v>
      </c>
      <c r="AQ62" s="149">
        <v>0</v>
      </c>
      <c r="AR62" s="148">
        <v>0</v>
      </c>
      <c r="AS62" s="149">
        <v>0</v>
      </c>
      <c r="AT62" s="148">
        <v>0</v>
      </c>
      <c r="AU62" s="84"/>
      <c r="AV62" s="84"/>
      <c r="AW62" s="149">
        <v>0</v>
      </c>
      <c r="AX62" s="149">
        <v>47.20</v>
      </c>
      <c r="AY62" s="149" t="s">
        <v>100</v>
      </c>
      <c r="AZ62" s="149" t="s">
        <v>101</v>
      </c>
      <c r="BA62" s="149" t="s">
        <v>642</v>
      </c>
      <c r="BB62" s="149">
        <v>1126100068</v>
      </c>
      <c r="BC62" s="149" t="s">
        <v>105</v>
      </c>
      <c r="BD62" s="149" t="s">
        <v>103</v>
      </c>
      <c r="BE62" s="84"/>
      <c r="BF62" s="84" t="s">
        <v>270</v>
      </c>
      <c r="BG62" s="84" t="s">
        <v>281</v>
      </c>
      <c r="BH62" s="149" t="s">
        <v>290</v>
      </c>
      <c r="BI62" t="s">
        <v>155</v>
      </c>
      <c r="BJ62" t="s">
        <v>156</v>
      </c>
      <c r="BK62" t="s">
        <v>745</v>
      </c>
      <c r="BL62">
        <v>7.20</v>
      </c>
      <c r="BM62">
        <v>840.10</v>
      </c>
      <c r="BN62">
        <v>-833</v>
      </c>
      <c r="BO62" t="s">
        <v>154</v>
      </c>
      <c r="BP62">
        <v>9155618</v>
      </c>
      <c r="BQ62" t="s">
        <v>270</v>
      </c>
      <c r="BR62" t="s">
        <v>630</v>
      </c>
      <c r="BS62">
        <v>3</v>
      </c>
    </row>
    <row r="63" spans="1:71" s="0" customFormat="1" ht="14.5">
      <c r="A63" s="148" t="s">
        <v>157</v>
      </c>
      <c r="B63" s="149" t="s">
        <v>625</v>
      </c>
      <c r="C63" s="149">
        <v>107</v>
      </c>
      <c r="D63" s="149" t="s">
        <v>97</v>
      </c>
      <c r="E63" s="149" t="s">
        <v>98</v>
      </c>
      <c r="F63" s="84"/>
      <c r="G63" s="84"/>
      <c r="H63" s="149" t="s">
        <v>48</v>
      </c>
      <c r="I63" s="149" t="s">
        <v>158</v>
      </c>
      <c r="J63" s="149" t="s">
        <v>159</v>
      </c>
      <c r="K63" s="149" t="s">
        <v>163</v>
      </c>
      <c r="L63" s="149" t="s">
        <v>160</v>
      </c>
      <c r="M63" s="150">
        <v>46126</v>
      </c>
      <c r="N63" s="149" t="s">
        <v>746</v>
      </c>
      <c r="O63" s="149">
        <v>9155608</v>
      </c>
      <c r="P63" s="150">
        <v>46114</v>
      </c>
      <c r="Q63" s="149" t="s">
        <v>161</v>
      </c>
      <c r="R63" s="149">
        <v>2770</v>
      </c>
      <c r="S63" s="149" t="s">
        <v>299</v>
      </c>
      <c r="T63" s="149" t="s">
        <v>174</v>
      </c>
      <c r="U63" s="149" t="s">
        <v>175</v>
      </c>
      <c r="V63" s="148" t="s">
        <v>162</v>
      </c>
      <c r="W63" s="84"/>
      <c r="X63" s="149">
        <v>1</v>
      </c>
      <c r="Y63" s="149">
        <v>10</v>
      </c>
      <c r="Z63" s="149">
        <v>10</v>
      </c>
      <c r="AA63" s="148" t="s">
        <v>99</v>
      </c>
      <c r="AB63" s="149" t="s">
        <v>746</v>
      </c>
      <c r="AC63" s="150">
        <v>46114</v>
      </c>
      <c r="AD63" s="149" t="s">
        <v>171</v>
      </c>
      <c r="AE63" s="149">
        <v>84439952</v>
      </c>
      <c r="AF63" s="149" t="s">
        <v>452</v>
      </c>
      <c r="AG63" s="84"/>
      <c r="AH63" s="84"/>
      <c r="AI63" s="149">
        <v>10</v>
      </c>
      <c r="AJ63" s="149" t="s">
        <v>368</v>
      </c>
      <c r="AK63" s="149">
        <v>18</v>
      </c>
      <c r="AL63" s="149">
        <v>0.90</v>
      </c>
      <c r="AM63" s="149">
        <v>0.90</v>
      </c>
      <c r="AN63" s="149">
        <v>0</v>
      </c>
      <c r="AO63" s="149">
        <v>0</v>
      </c>
      <c r="AP63" s="149">
        <v>0</v>
      </c>
      <c r="AQ63" s="149">
        <v>0</v>
      </c>
      <c r="AR63" s="148">
        <v>0</v>
      </c>
      <c r="AS63" s="149">
        <v>0</v>
      </c>
      <c r="AT63" s="148">
        <v>0</v>
      </c>
      <c r="AU63" s="84"/>
      <c r="AV63" s="84"/>
      <c r="AW63" s="149">
        <v>0</v>
      </c>
      <c r="AX63" s="149">
        <v>11.80</v>
      </c>
      <c r="AY63" s="149" t="s">
        <v>100</v>
      </c>
      <c r="AZ63" s="149" t="s">
        <v>101</v>
      </c>
      <c r="BA63" s="149" t="s">
        <v>642</v>
      </c>
      <c r="BB63" s="149">
        <v>1126100058</v>
      </c>
      <c r="BC63" s="149" t="s">
        <v>105</v>
      </c>
      <c r="BD63" s="149" t="s">
        <v>103</v>
      </c>
      <c r="BE63" s="84"/>
      <c r="BF63" s="84" t="s">
        <v>270</v>
      </c>
      <c r="BG63" s="84" t="s">
        <v>281</v>
      </c>
      <c r="BH63" s="149" t="s">
        <v>290</v>
      </c>
      <c r="BI63" t="s">
        <v>155</v>
      </c>
      <c r="BJ63" t="s">
        <v>156</v>
      </c>
      <c r="BK63" t="s">
        <v>747</v>
      </c>
      <c r="BL63">
        <v>1.80</v>
      </c>
      <c r="BM63">
        <v>1873.72</v>
      </c>
      <c r="BN63">
        <v>-1872</v>
      </c>
      <c r="BO63" t="s">
        <v>154</v>
      </c>
      <c r="BP63">
        <v>9155608</v>
      </c>
      <c r="BQ63" t="s">
        <v>270</v>
      </c>
      <c r="BR63" t="s">
        <v>630</v>
      </c>
      <c r="BS63">
        <v>4</v>
      </c>
    </row>
    <row r="64" spans="1:71" s="0" customFormat="1" ht="14.5">
      <c r="A64" s="148" t="s">
        <v>157</v>
      </c>
      <c r="B64" s="149" t="s">
        <v>625</v>
      </c>
      <c r="C64" s="149">
        <v>107</v>
      </c>
      <c r="D64" s="149" t="s">
        <v>97</v>
      </c>
      <c r="E64" s="149" t="s">
        <v>98</v>
      </c>
      <c r="F64" s="84"/>
      <c r="G64" s="84"/>
      <c r="H64" s="149" t="s">
        <v>48</v>
      </c>
      <c r="I64" s="149" t="s">
        <v>158</v>
      </c>
      <c r="J64" s="149" t="s">
        <v>159</v>
      </c>
      <c r="K64" s="149" t="s">
        <v>163</v>
      </c>
      <c r="L64" s="149" t="s">
        <v>160</v>
      </c>
      <c r="M64" s="150">
        <v>46127</v>
      </c>
      <c r="N64" s="149" t="s">
        <v>748</v>
      </c>
      <c r="O64" s="149">
        <v>9156860</v>
      </c>
      <c r="P64" s="150">
        <v>46113</v>
      </c>
      <c r="Q64" s="149" t="s">
        <v>161</v>
      </c>
      <c r="R64" s="149">
        <v>2770</v>
      </c>
      <c r="S64" s="149" t="s">
        <v>299</v>
      </c>
      <c r="T64" s="149" t="s">
        <v>176</v>
      </c>
      <c r="U64" s="149" t="s">
        <v>177</v>
      </c>
      <c r="V64" s="148" t="s">
        <v>162</v>
      </c>
      <c r="W64" s="84"/>
      <c r="X64" s="149">
        <v>1</v>
      </c>
      <c r="Y64" s="149">
        <v>4365</v>
      </c>
      <c r="Z64" s="149">
        <v>4365</v>
      </c>
      <c r="AA64" s="148" t="s">
        <v>99</v>
      </c>
      <c r="AB64" s="149" t="s">
        <v>748</v>
      </c>
      <c r="AC64" s="150">
        <v>46113</v>
      </c>
      <c r="AD64" s="149" t="s">
        <v>164</v>
      </c>
      <c r="AE64" s="149">
        <v>997314</v>
      </c>
      <c r="AF64" s="149" t="s">
        <v>322</v>
      </c>
      <c r="AG64" s="84"/>
      <c r="AH64" s="84"/>
      <c r="AI64" s="149">
        <v>4365</v>
      </c>
      <c r="AJ64" s="149" t="s">
        <v>368</v>
      </c>
      <c r="AK64" s="149">
        <v>18</v>
      </c>
      <c r="AL64" s="149">
        <v>0</v>
      </c>
      <c r="AM64" s="149">
        <v>0</v>
      </c>
      <c r="AN64" s="149">
        <v>785.70</v>
      </c>
      <c r="AO64" s="149">
        <v>0</v>
      </c>
      <c r="AP64" s="149">
        <v>0</v>
      </c>
      <c r="AQ64" s="149">
        <v>0</v>
      </c>
      <c r="AR64" s="148">
        <v>0</v>
      </c>
      <c r="AS64" s="149">
        <v>0</v>
      </c>
      <c r="AT64" s="148">
        <v>0</v>
      </c>
      <c r="AU64" s="84"/>
      <c r="AV64" s="84"/>
      <c r="AW64" s="149">
        <v>0</v>
      </c>
      <c r="AX64" s="149">
        <v>5150.70</v>
      </c>
      <c r="AY64" s="149" t="s">
        <v>100</v>
      </c>
      <c r="AZ64" s="149" t="s">
        <v>101</v>
      </c>
      <c r="BA64" s="149" t="s">
        <v>430</v>
      </c>
      <c r="BB64" s="149">
        <v>1126100089</v>
      </c>
      <c r="BC64" s="149" t="s">
        <v>102</v>
      </c>
      <c r="BD64" s="149" t="s">
        <v>103</v>
      </c>
      <c r="BE64" s="84"/>
      <c r="BF64" s="84" t="s">
        <v>270</v>
      </c>
      <c r="BG64" s="84" t="s">
        <v>281</v>
      </c>
      <c r="BH64" s="149" t="s">
        <v>290</v>
      </c>
      <c r="BI64" t="s">
        <v>155</v>
      </c>
      <c r="BJ64" t="s">
        <v>156</v>
      </c>
      <c r="BK64" t="s">
        <v>749</v>
      </c>
      <c r="BL64">
        <v>785.70</v>
      </c>
      <c r="BM64">
        <v>785.70</v>
      </c>
      <c r="BN64">
        <v>0</v>
      </c>
      <c r="BO64" t="s">
        <v>154</v>
      </c>
      <c r="BP64">
        <v>9156860</v>
      </c>
      <c r="BQ64" t="s">
        <v>270</v>
      </c>
      <c r="BR64" t="s">
        <v>630</v>
      </c>
      <c r="BS64">
        <v>1</v>
      </c>
    </row>
    <row r="65" spans="1:71" s="0" customFormat="1" ht="14.5">
      <c r="A65" s="148" t="s">
        <v>157</v>
      </c>
      <c r="B65" s="149" t="s">
        <v>625</v>
      </c>
      <c r="C65" s="149">
        <v>107</v>
      </c>
      <c r="D65" s="149" t="s">
        <v>97</v>
      </c>
      <c r="E65" s="149" t="s">
        <v>98</v>
      </c>
      <c r="F65" s="84"/>
      <c r="G65" s="149" t="s">
        <v>106</v>
      </c>
      <c r="H65" s="149" t="s">
        <v>48</v>
      </c>
      <c r="I65" s="149" t="s">
        <v>158</v>
      </c>
      <c r="J65" s="149" t="s">
        <v>165</v>
      </c>
      <c r="K65" s="149" t="s">
        <v>166</v>
      </c>
      <c r="L65" s="149" t="s">
        <v>160</v>
      </c>
      <c r="M65" s="150">
        <v>46135</v>
      </c>
      <c r="N65" s="149">
        <v>3473455437</v>
      </c>
      <c r="O65" s="149">
        <v>9167997</v>
      </c>
      <c r="P65" s="150">
        <v>46127</v>
      </c>
      <c r="Q65" s="149" t="s">
        <v>161</v>
      </c>
      <c r="R65" s="149">
        <v>39705</v>
      </c>
      <c r="S65" s="149" t="s">
        <v>434</v>
      </c>
      <c r="T65" s="149" t="s">
        <v>169</v>
      </c>
      <c r="U65" s="149" t="s">
        <v>435</v>
      </c>
      <c r="V65" s="148" t="s">
        <v>162</v>
      </c>
      <c r="W65" s="84"/>
      <c r="X65" s="149">
        <v>1</v>
      </c>
      <c r="Y65" s="149">
        <v>31750</v>
      </c>
      <c r="Z65" s="149">
        <v>31750</v>
      </c>
      <c r="AA65" s="148" t="s">
        <v>99</v>
      </c>
      <c r="AB65" s="149">
        <v>3473455437</v>
      </c>
      <c r="AC65" s="150">
        <v>46127</v>
      </c>
      <c r="AD65" s="149" t="s">
        <v>164</v>
      </c>
      <c r="AE65" s="149">
        <v>998412</v>
      </c>
      <c r="AF65" s="149" t="s">
        <v>693</v>
      </c>
      <c r="AG65" s="84"/>
      <c r="AH65" s="84"/>
      <c r="AI65" s="149">
        <v>31750</v>
      </c>
      <c r="AJ65" s="149" t="s">
        <v>368</v>
      </c>
      <c r="AK65" s="149">
        <v>18</v>
      </c>
      <c r="AL65" s="149">
        <v>2857.5</v>
      </c>
      <c r="AM65" s="149">
        <v>2857.5</v>
      </c>
      <c r="AN65" s="149">
        <v>0</v>
      </c>
      <c r="AO65" s="149">
        <v>0</v>
      </c>
      <c r="AP65" s="149">
        <v>0</v>
      </c>
      <c r="AQ65" s="149">
        <v>0</v>
      </c>
      <c r="AR65" s="148">
        <v>0</v>
      </c>
      <c r="AS65" s="149">
        <v>0</v>
      </c>
      <c r="AT65" s="148">
        <v>0</v>
      </c>
      <c r="AU65" s="84"/>
      <c r="AV65" s="84"/>
      <c r="AW65" s="149">
        <v>0</v>
      </c>
      <c r="AX65" s="149">
        <v>37465</v>
      </c>
      <c r="AY65" s="149" t="s">
        <v>100</v>
      </c>
      <c r="AZ65" s="149" t="s">
        <v>101</v>
      </c>
      <c r="BA65" s="149" t="s">
        <v>422</v>
      </c>
      <c r="BB65" s="149">
        <v>1126100350</v>
      </c>
      <c r="BC65" s="149" t="s">
        <v>105</v>
      </c>
      <c r="BD65" s="149" t="s">
        <v>103</v>
      </c>
      <c r="BE65" s="84"/>
      <c r="BF65" s="84" t="s">
        <v>270</v>
      </c>
      <c r="BG65" s="84" t="s">
        <v>281</v>
      </c>
      <c r="BH65" s="149" t="s">
        <v>290</v>
      </c>
      <c r="BI65" t="s">
        <v>155</v>
      </c>
      <c r="BJ65" t="s">
        <v>156</v>
      </c>
      <c r="BK65" t="s">
        <v>750</v>
      </c>
      <c r="BL65">
        <v>5715</v>
      </c>
      <c r="BM65">
        <v>5715</v>
      </c>
      <c r="BN65">
        <v>0</v>
      </c>
      <c r="BO65" t="s">
        <v>154</v>
      </c>
      <c r="BP65">
        <v>9167997</v>
      </c>
      <c r="BQ65" t="s">
        <v>270</v>
      </c>
      <c r="BR65" t="s">
        <v>630</v>
      </c>
      <c r="BS65">
        <v>1</v>
      </c>
    </row>
    <row r="66" spans="1:71" s="0" customFormat="1" ht="14.5">
      <c r="A66" s="148" t="s">
        <v>157</v>
      </c>
      <c r="B66" s="149" t="s">
        <v>625</v>
      </c>
      <c r="C66" s="149">
        <v>107</v>
      </c>
      <c r="D66" s="149" t="s">
        <v>97</v>
      </c>
      <c r="E66" s="149" t="s">
        <v>98</v>
      </c>
      <c r="F66" s="84"/>
      <c r="G66" s="149" t="s">
        <v>106</v>
      </c>
      <c r="H66" s="149" t="s">
        <v>48</v>
      </c>
      <c r="I66" s="149" t="s">
        <v>158</v>
      </c>
      <c r="J66" s="149" t="s">
        <v>165</v>
      </c>
      <c r="K66" s="149" t="s">
        <v>166</v>
      </c>
      <c r="L66" s="149" t="s">
        <v>160</v>
      </c>
      <c r="M66" s="150">
        <v>46140</v>
      </c>
      <c r="N66" s="149" t="s">
        <v>632</v>
      </c>
      <c r="O66" s="149">
        <v>9174963</v>
      </c>
      <c r="P66" s="150">
        <v>46129</v>
      </c>
      <c r="Q66" s="149" t="s">
        <v>161</v>
      </c>
      <c r="R66" s="149">
        <v>35671</v>
      </c>
      <c r="S66" s="149" t="s">
        <v>424</v>
      </c>
      <c r="T66" s="149" t="s">
        <v>425</v>
      </c>
      <c r="U66" s="149" t="s">
        <v>426</v>
      </c>
      <c r="V66" s="148" t="s">
        <v>162</v>
      </c>
      <c r="W66" s="84"/>
      <c r="X66" s="149">
        <v>2717.37</v>
      </c>
      <c r="Y66" s="149">
        <v>1</v>
      </c>
      <c r="Z66" s="149">
        <v>2717.37</v>
      </c>
      <c r="AA66" s="148" t="s">
        <v>99</v>
      </c>
      <c r="AB66" s="149" t="s">
        <v>632</v>
      </c>
      <c r="AC66" s="150">
        <v>46129</v>
      </c>
      <c r="AD66" s="149" t="s">
        <v>164</v>
      </c>
      <c r="AE66" s="149">
        <v>34029099</v>
      </c>
      <c r="AF66" s="149" t="s">
        <v>751</v>
      </c>
      <c r="AG66" s="84"/>
      <c r="AH66" s="84"/>
      <c r="AI66" s="149">
        <v>2717.37</v>
      </c>
      <c r="AJ66" s="149" t="s">
        <v>368</v>
      </c>
      <c r="AK66" s="149">
        <v>18</v>
      </c>
      <c r="AL66" s="149">
        <v>0</v>
      </c>
      <c r="AM66" s="149">
        <v>0</v>
      </c>
      <c r="AN66" s="149">
        <v>489.13</v>
      </c>
      <c r="AO66" s="149">
        <v>0</v>
      </c>
      <c r="AP66" s="149">
        <v>0</v>
      </c>
      <c r="AQ66" s="149">
        <v>0</v>
      </c>
      <c r="AR66" s="148">
        <v>0</v>
      </c>
      <c r="AS66" s="149">
        <v>0</v>
      </c>
      <c r="AT66" s="148">
        <v>0</v>
      </c>
      <c r="AU66" s="84"/>
      <c r="AV66" s="84"/>
      <c r="AW66" s="149">
        <v>0</v>
      </c>
      <c r="AX66" s="149">
        <v>3206.5</v>
      </c>
      <c r="AY66" s="149" t="s">
        <v>101</v>
      </c>
      <c r="AZ66" s="149" t="s">
        <v>101</v>
      </c>
      <c r="BA66" s="149" t="s">
        <v>634</v>
      </c>
      <c r="BB66" s="149">
        <v>1126100446</v>
      </c>
      <c r="BC66" s="149" t="s">
        <v>168</v>
      </c>
      <c r="BD66" s="149" t="s">
        <v>272</v>
      </c>
      <c r="BE66" s="84"/>
      <c r="BF66" s="84" t="s">
        <v>271</v>
      </c>
      <c r="BG66" s="84" t="s">
        <v>281</v>
      </c>
      <c r="BH66" s="149" t="s">
        <v>290</v>
      </c>
      <c r="BI66" t="s">
        <v>155</v>
      </c>
      <c r="BJ66" t="s">
        <v>156</v>
      </c>
      <c r="BK66" t="s">
        <v>635</v>
      </c>
      <c r="BL66">
        <v>489.13</v>
      </c>
      <c r="BM66">
        <v>36494.74</v>
      </c>
      <c r="BN66">
        <v>-36006</v>
      </c>
      <c r="BO66" t="s">
        <v>154</v>
      </c>
      <c r="BP66">
        <v>9174963</v>
      </c>
      <c r="BQ66" t="s">
        <v>271</v>
      </c>
      <c r="BR66" t="s">
        <v>630</v>
      </c>
      <c r="BS66">
        <v>36</v>
      </c>
    </row>
    <row r="67" spans="1:71" s="0" customFormat="1" ht="14.5">
      <c r="A67" s="148" t="s">
        <v>157</v>
      </c>
      <c r="B67" s="149" t="s">
        <v>625</v>
      </c>
      <c r="C67" s="149">
        <v>107</v>
      </c>
      <c r="D67" s="149" t="s">
        <v>97</v>
      </c>
      <c r="E67" s="149" t="s">
        <v>98</v>
      </c>
      <c r="F67" s="84"/>
      <c r="G67" s="149" t="s">
        <v>106</v>
      </c>
      <c r="H67" s="149" t="s">
        <v>48</v>
      </c>
      <c r="I67" s="149" t="s">
        <v>158</v>
      </c>
      <c r="J67" s="149" t="s">
        <v>165</v>
      </c>
      <c r="K67" s="149" t="s">
        <v>166</v>
      </c>
      <c r="L67" s="149" t="s">
        <v>160</v>
      </c>
      <c r="M67" s="150">
        <v>46140</v>
      </c>
      <c r="N67" s="149" t="s">
        <v>632</v>
      </c>
      <c r="O67" s="149">
        <v>9174963</v>
      </c>
      <c r="P67" s="150">
        <v>46129</v>
      </c>
      <c r="Q67" s="149" t="s">
        <v>161</v>
      </c>
      <c r="R67" s="149">
        <v>35671</v>
      </c>
      <c r="S67" s="149" t="s">
        <v>424</v>
      </c>
      <c r="T67" s="149" t="s">
        <v>425</v>
      </c>
      <c r="U67" s="149" t="s">
        <v>426</v>
      </c>
      <c r="V67" s="148" t="s">
        <v>162</v>
      </c>
      <c r="W67" s="84"/>
      <c r="X67" s="149">
        <v>275</v>
      </c>
      <c r="Y67" s="149">
        <v>0.001</v>
      </c>
      <c r="Z67" s="149">
        <v>0.28000000000000003</v>
      </c>
      <c r="AA67" s="148" t="s">
        <v>99</v>
      </c>
      <c r="AB67" s="149" t="s">
        <v>632</v>
      </c>
      <c r="AC67" s="150">
        <v>46129</v>
      </c>
      <c r="AD67" s="149" t="s">
        <v>164</v>
      </c>
      <c r="AE67" s="149">
        <v>998729</v>
      </c>
      <c r="AF67" s="149" t="s">
        <v>752</v>
      </c>
      <c r="AG67" s="84"/>
      <c r="AH67" s="84"/>
      <c r="AI67" s="149">
        <v>0.28000000000000003</v>
      </c>
      <c r="AJ67" s="149" t="s">
        <v>368</v>
      </c>
      <c r="AK67" s="149">
        <v>18</v>
      </c>
      <c r="AL67" s="149">
        <v>0</v>
      </c>
      <c r="AM67" s="149">
        <v>0</v>
      </c>
      <c r="AN67" s="149">
        <v>0.05</v>
      </c>
      <c r="AO67" s="149">
        <v>0</v>
      </c>
      <c r="AP67" s="149">
        <v>0</v>
      </c>
      <c r="AQ67" s="149">
        <v>0</v>
      </c>
      <c r="AR67" s="148">
        <v>0</v>
      </c>
      <c r="AS67" s="149">
        <v>0</v>
      </c>
      <c r="AT67" s="148">
        <v>0</v>
      </c>
      <c r="AU67" s="84"/>
      <c r="AV67" s="84"/>
      <c r="AW67" s="149">
        <v>0</v>
      </c>
      <c r="AX67" s="149">
        <v>0.33</v>
      </c>
      <c r="AY67" s="149" t="s">
        <v>101</v>
      </c>
      <c r="AZ67" s="149" t="s">
        <v>101</v>
      </c>
      <c r="BA67" s="149" t="s">
        <v>634</v>
      </c>
      <c r="BB67" s="149">
        <v>1126100446</v>
      </c>
      <c r="BC67" s="149" t="s">
        <v>168</v>
      </c>
      <c r="BD67" s="149" t="s">
        <v>272</v>
      </c>
      <c r="BE67" s="84"/>
      <c r="BF67" s="84" t="s">
        <v>271</v>
      </c>
      <c r="BG67" s="84" t="s">
        <v>281</v>
      </c>
      <c r="BH67" s="149" t="s">
        <v>290</v>
      </c>
      <c r="BI67" t="s">
        <v>155</v>
      </c>
      <c r="BJ67" t="s">
        <v>156</v>
      </c>
      <c r="BK67" t="s">
        <v>635</v>
      </c>
      <c r="BL67">
        <v>0.05</v>
      </c>
      <c r="BM67">
        <v>36494.74</v>
      </c>
      <c r="BN67">
        <v>-36495</v>
      </c>
      <c r="BO67" t="s">
        <v>154</v>
      </c>
      <c r="BP67">
        <v>9174963</v>
      </c>
      <c r="BQ67" t="s">
        <v>271</v>
      </c>
      <c r="BR67" t="s">
        <v>630</v>
      </c>
      <c r="BS67">
        <v>36</v>
      </c>
    </row>
    <row r="68" spans="1:71" s="0" customFormat="1" ht="14.5">
      <c r="A68" s="148" t="s">
        <v>157</v>
      </c>
      <c r="B68" s="149" t="s">
        <v>625</v>
      </c>
      <c r="C68" s="149">
        <v>107</v>
      </c>
      <c r="D68" s="149" t="s">
        <v>97</v>
      </c>
      <c r="E68" s="149" t="s">
        <v>98</v>
      </c>
      <c r="F68" s="84"/>
      <c r="G68" s="149" t="s">
        <v>106</v>
      </c>
      <c r="H68" s="149" t="s">
        <v>48</v>
      </c>
      <c r="I68" s="149" t="s">
        <v>158</v>
      </c>
      <c r="J68" s="149" t="s">
        <v>165</v>
      </c>
      <c r="K68" s="149" t="s">
        <v>166</v>
      </c>
      <c r="L68" s="149" t="s">
        <v>160</v>
      </c>
      <c r="M68" s="150">
        <v>46140</v>
      </c>
      <c r="N68" s="149" t="s">
        <v>632</v>
      </c>
      <c r="O68" s="149">
        <v>9174963</v>
      </c>
      <c r="P68" s="150">
        <v>46129</v>
      </c>
      <c r="Q68" s="149" t="s">
        <v>161</v>
      </c>
      <c r="R68" s="149">
        <v>35671</v>
      </c>
      <c r="S68" s="149" t="s">
        <v>424</v>
      </c>
      <c r="T68" s="149" t="s">
        <v>425</v>
      </c>
      <c r="U68" s="149" t="s">
        <v>426</v>
      </c>
      <c r="V68" s="148" t="s">
        <v>162</v>
      </c>
      <c r="W68" s="84"/>
      <c r="X68" s="149">
        <v>275</v>
      </c>
      <c r="Y68" s="149">
        <v>35</v>
      </c>
      <c r="Z68" s="149">
        <v>9625</v>
      </c>
      <c r="AA68" s="148" t="s">
        <v>99</v>
      </c>
      <c r="AB68" s="149" t="s">
        <v>632</v>
      </c>
      <c r="AC68" s="150">
        <v>46129</v>
      </c>
      <c r="AD68" s="149" t="s">
        <v>164</v>
      </c>
      <c r="AE68" s="149">
        <v>998729</v>
      </c>
      <c r="AF68" s="149" t="s">
        <v>753</v>
      </c>
      <c r="AG68" s="84"/>
      <c r="AH68" s="84"/>
      <c r="AI68" s="149">
        <v>9625</v>
      </c>
      <c r="AJ68" s="149" t="s">
        <v>368</v>
      </c>
      <c r="AK68" s="149">
        <v>18</v>
      </c>
      <c r="AL68" s="149">
        <v>0</v>
      </c>
      <c r="AM68" s="149">
        <v>0</v>
      </c>
      <c r="AN68" s="149">
        <v>1732.5</v>
      </c>
      <c r="AO68" s="149">
        <v>0</v>
      </c>
      <c r="AP68" s="149">
        <v>0</v>
      </c>
      <c r="AQ68" s="149">
        <v>0</v>
      </c>
      <c r="AR68" s="148">
        <v>0</v>
      </c>
      <c r="AS68" s="149">
        <v>0</v>
      </c>
      <c r="AT68" s="148">
        <v>0</v>
      </c>
      <c r="AU68" s="84"/>
      <c r="AV68" s="84"/>
      <c r="AW68" s="149">
        <v>0</v>
      </c>
      <c r="AX68" s="149">
        <v>11357.5</v>
      </c>
      <c r="AY68" s="149" t="s">
        <v>101</v>
      </c>
      <c r="AZ68" s="149" t="s">
        <v>101</v>
      </c>
      <c r="BA68" s="149" t="s">
        <v>634</v>
      </c>
      <c r="BB68" s="149">
        <v>1126100446</v>
      </c>
      <c r="BC68" s="149" t="s">
        <v>168</v>
      </c>
      <c r="BD68" s="149" t="s">
        <v>272</v>
      </c>
      <c r="BE68" s="84"/>
      <c r="BF68" s="84" t="s">
        <v>271</v>
      </c>
      <c r="BG68" s="84" t="s">
        <v>281</v>
      </c>
      <c r="BH68" s="149" t="s">
        <v>290</v>
      </c>
      <c r="BI68" t="s">
        <v>155</v>
      </c>
      <c r="BJ68" t="s">
        <v>156</v>
      </c>
      <c r="BK68" t="s">
        <v>635</v>
      </c>
      <c r="BL68">
        <v>1732.5</v>
      </c>
      <c r="BM68">
        <v>36494.74</v>
      </c>
      <c r="BN68">
        <v>-34762</v>
      </c>
      <c r="BO68" t="s">
        <v>154</v>
      </c>
      <c r="BP68">
        <v>9174963</v>
      </c>
      <c r="BQ68" t="s">
        <v>271</v>
      </c>
      <c r="BR68" t="s">
        <v>630</v>
      </c>
      <c r="BS68">
        <v>36</v>
      </c>
    </row>
    <row r="69" spans="1:71" s="0" customFormat="1" ht="14.5">
      <c r="A69" s="148" t="s">
        <v>157</v>
      </c>
      <c r="B69" s="149" t="s">
        <v>625</v>
      </c>
      <c r="C69" s="149">
        <v>107</v>
      </c>
      <c r="D69" s="149" t="s">
        <v>97</v>
      </c>
      <c r="E69" s="149" t="s">
        <v>98</v>
      </c>
      <c r="F69" s="84"/>
      <c r="G69" s="84"/>
      <c r="H69" s="149" t="s">
        <v>48</v>
      </c>
      <c r="I69" s="149" t="s">
        <v>158</v>
      </c>
      <c r="J69" s="149" t="s">
        <v>159</v>
      </c>
      <c r="K69" s="149" t="s">
        <v>163</v>
      </c>
      <c r="L69" s="149" t="s">
        <v>160</v>
      </c>
      <c r="M69" s="150">
        <v>46141</v>
      </c>
      <c r="N69" s="149" t="s">
        <v>754</v>
      </c>
      <c r="O69" s="149">
        <v>9177454</v>
      </c>
      <c r="P69" s="150">
        <v>45990</v>
      </c>
      <c r="Q69" s="149" t="s">
        <v>161</v>
      </c>
      <c r="R69" s="149">
        <v>36105</v>
      </c>
      <c r="S69" s="149" t="s">
        <v>342</v>
      </c>
      <c r="T69" s="149" t="s">
        <v>169</v>
      </c>
      <c r="U69" s="84"/>
      <c r="V69" s="148" t="s">
        <v>162</v>
      </c>
      <c r="W69" s="84"/>
      <c r="X69" s="149">
        <v>3280</v>
      </c>
      <c r="Y69" s="149">
        <v>1</v>
      </c>
      <c r="Z69" s="149">
        <v>3280</v>
      </c>
      <c r="AA69" s="148" t="s">
        <v>99</v>
      </c>
      <c r="AB69" s="149" t="s">
        <v>755</v>
      </c>
      <c r="AC69" s="150">
        <v>45990</v>
      </c>
      <c r="AD69" s="84"/>
      <c r="AE69" s="149">
        <v>998213</v>
      </c>
      <c r="AF69" s="149" t="s">
        <v>393</v>
      </c>
      <c r="AG69" s="84"/>
      <c r="AH69" s="84"/>
      <c r="AI69" s="149">
        <v>3280</v>
      </c>
      <c r="AJ69" s="149" t="s">
        <v>368</v>
      </c>
      <c r="AK69" s="149">
        <v>18</v>
      </c>
      <c r="AL69" s="149">
        <v>295.20</v>
      </c>
      <c r="AM69" s="149">
        <v>295.20</v>
      </c>
      <c r="AN69" s="149">
        <v>0</v>
      </c>
      <c r="AO69" s="149">
        <v>0</v>
      </c>
      <c r="AP69" s="149">
        <v>0</v>
      </c>
      <c r="AQ69" s="149">
        <v>0</v>
      </c>
      <c r="AR69" s="148">
        <v>0</v>
      </c>
      <c r="AS69" s="149">
        <v>0</v>
      </c>
      <c r="AT69" s="148">
        <v>0</v>
      </c>
      <c r="AU69" s="84"/>
      <c r="AV69" s="84"/>
      <c r="AW69" s="149">
        <v>0</v>
      </c>
      <c r="AX69" s="149">
        <v>3870.40</v>
      </c>
      <c r="AY69" s="149" t="s">
        <v>100</v>
      </c>
      <c r="AZ69" s="149" t="s">
        <v>100</v>
      </c>
      <c r="BA69" s="149" t="s">
        <v>642</v>
      </c>
      <c r="BB69" s="149">
        <v>1126100459</v>
      </c>
      <c r="BC69" s="149" t="s">
        <v>188</v>
      </c>
      <c r="BD69" s="149" t="s">
        <v>103</v>
      </c>
      <c r="BE69" s="84"/>
      <c r="BF69" s="84" t="s">
        <v>210</v>
      </c>
      <c r="BG69" s="84" t="s">
        <v>280</v>
      </c>
      <c r="BH69" s="149" t="s">
        <v>289</v>
      </c>
      <c r="BI69" t="s">
        <v>155</v>
      </c>
      <c r="BJ69" t="s">
        <v>156</v>
      </c>
      <c r="BK69" t="s">
        <v>755</v>
      </c>
      <c r="BL69">
        <v>590.40</v>
      </c>
      <c r="BM69" t="e">
        <v>#N/A</v>
      </c>
      <c r="BN69" t="e">
        <v>#N/A</v>
      </c>
      <c r="BO69" t="s">
        <v>199</v>
      </c>
      <c r="BP69">
        <v>9177454</v>
      </c>
      <c r="BQ69" t="s">
        <v>210</v>
      </c>
      <c r="BR69" t="s">
        <v>199</v>
      </c>
      <c r="BS69">
        <v>6</v>
      </c>
    </row>
    <row r="70" spans="1:71" s="0" customFormat="1" ht="14.5">
      <c r="A70" s="148" t="s">
        <v>157</v>
      </c>
      <c r="B70" s="149" t="s">
        <v>625</v>
      </c>
      <c r="C70" s="149">
        <v>107</v>
      </c>
      <c r="D70" s="149" t="s">
        <v>97</v>
      </c>
      <c r="E70" s="149" t="s">
        <v>98</v>
      </c>
      <c r="F70" s="84"/>
      <c r="G70" s="84"/>
      <c r="H70" s="149" t="s">
        <v>48</v>
      </c>
      <c r="I70" s="149" t="s">
        <v>158</v>
      </c>
      <c r="J70" s="149" t="s">
        <v>159</v>
      </c>
      <c r="K70" s="149" t="s">
        <v>163</v>
      </c>
      <c r="L70" s="149" t="s">
        <v>160</v>
      </c>
      <c r="M70" s="150">
        <v>46133</v>
      </c>
      <c r="N70" s="149" t="s">
        <v>756</v>
      </c>
      <c r="O70" s="149">
        <v>9164023</v>
      </c>
      <c r="P70" s="150">
        <v>46108</v>
      </c>
      <c r="Q70" s="149" t="s">
        <v>161</v>
      </c>
      <c r="R70" s="149">
        <v>45456</v>
      </c>
      <c r="S70" s="149" t="s">
        <v>418</v>
      </c>
      <c r="T70" s="149" t="s">
        <v>419</v>
      </c>
      <c r="U70" s="84"/>
      <c r="V70" s="84"/>
      <c r="W70" s="84"/>
      <c r="X70" s="149">
        <v>650</v>
      </c>
      <c r="Y70" s="149">
        <v>1</v>
      </c>
      <c r="Z70" s="149">
        <v>650</v>
      </c>
      <c r="AA70" s="148" t="s">
        <v>99</v>
      </c>
      <c r="AB70" s="149" t="s">
        <v>756</v>
      </c>
      <c r="AC70" s="150">
        <v>46108</v>
      </c>
      <c r="AD70" s="84"/>
      <c r="AE70" s="149">
        <v>998216</v>
      </c>
      <c r="AF70" s="149" t="s">
        <v>757</v>
      </c>
      <c r="AG70" s="84"/>
      <c r="AH70" s="84"/>
      <c r="AI70" s="149">
        <v>650</v>
      </c>
      <c r="AJ70" s="149" t="s">
        <v>368</v>
      </c>
      <c r="AK70" s="149">
        <v>18</v>
      </c>
      <c r="AL70" s="149">
        <v>58.5</v>
      </c>
      <c r="AM70" s="149">
        <v>58.5</v>
      </c>
      <c r="AN70" s="149">
        <v>0</v>
      </c>
      <c r="AO70" s="149">
        <v>0</v>
      </c>
      <c r="AP70" s="149">
        <v>0</v>
      </c>
      <c r="AQ70" s="149">
        <v>0</v>
      </c>
      <c r="AR70" s="148">
        <v>0</v>
      </c>
      <c r="AS70" s="149">
        <v>0</v>
      </c>
      <c r="AT70" s="148">
        <v>0</v>
      </c>
      <c r="AU70" s="84"/>
      <c r="AV70" s="84"/>
      <c r="AW70" s="149">
        <v>0</v>
      </c>
      <c r="AX70" s="149">
        <v>767</v>
      </c>
      <c r="AY70" s="149" t="s">
        <v>100</v>
      </c>
      <c r="AZ70" s="149" t="s">
        <v>100</v>
      </c>
      <c r="BA70" s="149" t="s">
        <v>642</v>
      </c>
      <c r="BB70" s="149">
        <v>1125113946</v>
      </c>
      <c r="BC70" s="149" t="s">
        <v>188</v>
      </c>
      <c r="BD70" s="149" t="s">
        <v>103</v>
      </c>
      <c r="BE70" s="84"/>
      <c r="BF70" s="84" t="s">
        <v>210</v>
      </c>
      <c r="BG70" s="84" t="s">
        <v>280</v>
      </c>
      <c r="BH70" s="149" t="s">
        <v>289</v>
      </c>
      <c r="BI70" t="s">
        <v>155</v>
      </c>
      <c r="BJ70" t="s">
        <v>156</v>
      </c>
      <c r="BK70" t="s">
        <v>756</v>
      </c>
      <c r="BL70">
        <v>117</v>
      </c>
      <c r="BM70" t="e">
        <v>#N/A</v>
      </c>
      <c r="BN70" t="e">
        <v>#N/A</v>
      </c>
      <c r="BO70" t="s">
        <v>199</v>
      </c>
      <c r="BP70">
        <v>9164023</v>
      </c>
      <c r="BQ70" t="s">
        <v>210</v>
      </c>
      <c r="BR70" t="s">
        <v>199</v>
      </c>
      <c r="BS70">
        <v>2</v>
      </c>
    </row>
    <row r="71" spans="1:71" s="0" customFormat="1" ht="14.5">
      <c r="A71" s="148" t="s">
        <v>157</v>
      </c>
      <c r="B71" s="149" t="s">
        <v>625</v>
      </c>
      <c r="C71" s="149">
        <v>107</v>
      </c>
      <c r="D71" s="149" t="s">
        <v>97</v>
      </c>
      <c r="E71" s="149" t="s">
        <v>98</v>
      </c>
      <c r="F71" s="84"/>
      <c r="G71" s="84"/>
      <c r="H71" s="149" t="s">
        <v>48</v>
      </c>
      <c r="I71" s="149" t="s">
        <v>158</v>
      </c>
      <c r="J71" s="149" t="s">
        <v>159</v>
      </c>
      <c r="K71" s="149" t="s">
        <v>163</v>
      </c>
      <c r="L71" s="149" t="s">
        <v>160</v>
      </c>
      <c r="M71" s="150">
        <v>46126</v>
      </c>
      <c r="N71" s="149" t="s">
        <v>758</v>
      </c>
      <c r="O71" s="149">
        <v>9155614</v>
      </c>
      <c r="P71" s="150">
        <v>46114</v>
      </c>
      <c r="Q71" s="149" t="s">
        <v>161</v>
      </c>
      <c r="R71" s="149">
        <v>2770</v>
      </c>
      <c r="S71" s="149" t="s">
        <v>299</v>
      </c>
      <c r="T71" s="149" t="s">
        <v>174</v>
      </c>
      <c r="U71" s="149" t="s">
        <v>175</v>
      </c>
      <c r="V71" s="148" t="s">
        <v>162</v>
      </c>
      <c r="W71" s="84"/>
      <c r="X71" s="149">
        <v>1</v>
      </c>
      <c r="Y71" s="149">
        <v>1476.96</v>
      </c>
      <c r="Z71" s="149">
        <v>1476.96</v>
      </c>
      <c r="AA71" s="148" t="s">
        <v>99</v>
      </c>
      <c r="AB71" s="149" t="s">
        <v>758</v>
      </c>
      <c r="AC71" s="150">
        <v>46114</v>
      </c>
      <c r="AD71" s="149" t="s">
        <v>171</v>
      </c>
      <c r="AE71" s="149">
        <v>84439952</v>
      </c>
      <c r="AF71" s="149" t="s">
        <v>413</v>
      </c>
      <c r="AG71" s="84"/>
      <c r="AH71" s="84"/>
      <c r="AI71" s="149">
        <v>1476.96</v>
      </c>
      <c r="AJ71" s="149" t="s">
        <v>368</v>
      </c>
      <c r="AK71" s="149">
        <v>18</v>
      </c>
      <c r="AL71" s="149">
        <v>132.93</v>
      </c>
      <c r="AM71" s="149">
        <v>132.93</v>
      </c>
      <c r="AN71" s="149">
        <v>0</v>
      </c>
      <c r="AO71" s="149">
        <v>0</v>
      </c>
      <c r="AP71" s="149">
        <v>0</v>
      </c>
      <c r="AQ71" s="149">
        <v>0</v>
      </c>
      <c r="AR71" s="148">
        <v>0</v>
      </c>
      <c r="AS71" s="149">
        <v>0</v>
      </c>
      <c r="AT71" s="148">
        <v>0</v>
      </c>
      <c r="AU71" s="84"/>
      <c r="AV71" s="84"/>
      <c r="AW71" s="149">
        <v>0</v>
      </c>
      <c r="AX71" s="149">
        <v>1742.82</v>
      </c>
      <c r="AY71" s="149" t="s">
        <v>100</v>
      </c>
      <c r="AZ71" s="149" t="s">
        <v>101</v>
      </c>
      <c r="BA71" s="149" t="s">
        <v>642</v>
      </c>
      <c r="BB71" s="149">
        <v>1126100064</v>
      </c>
      <c r="BC71" s="149" t="s">
        <v>105</v>
      </c>
      <c r="BD71" s="149" t="s">
        <v>103</v>
      </c>
      <c r="BE71" s="84"/>
      <c r="BF71" s="84" t="s">
        <v>270</v>
      </c>
      <c r="BG71" s="84" t="s">
        <v>281</v>
      </c>
      <c r="BH71" s="149" t="s">
        <v>290</v>
      </c>
      <c r="BI71" t="s">
        <v>155</v>
      </c>
      <c r="BJ71" t="s">
        <v>156</v>
      </c>
      <c r="BK71" t="s">
        <v>759</v>
      </c>
      <c r="BL71">
        <v>265.86</v>
      </c>
      <c r="BM71">
        <v>265.86</v>
      </c>
      <c r="BN71">
        <v>0</v>
      </c>
      <c r="BO71" t="s">
        <v>154</v>
      </c>
      <c r="BP71">
        <v>9155614</v>
      </c>
      <c r="BQ71" t="s">
        <v>270</v>
      </c>
      <c r="BR71" t="s">
        <v>630</v>
      </c>
      <c r="BS71">
        <v>1</v>
      </c>
    </row>
    <row r="72" spans="1:71" s="0" customFormat="1" ht="14.5">
      <c r="A72" s="148" t="s">
        <v>157</v>
      </c>
      <c r="B72" s="149" t="s">
        <v>625</v>
      </c>
      <c r="C72" s="149">
        <v>107</v>
      </c>
      <c r="D72" s="149" t="s">
        <v>97</v>
      </c>
      <c r="E72" s="149" t="s">
        <v>98</v>
      </c>
      <c r="F72" s="84"/>
      <c r="G72" s="84"/>
      <c r="H72" s="149" t="s">
        <v>48</v>
      </c>
      <c r="I72" s="149" t="s">
        <v>158</v>
      </c>
      <c r="J72" s="149" t="s">
        <v>159</v>
      </c>
      <c r="K72" s="149" t="s">
        <v>163</v>
      </c>
      <c r="L72" s="149" t="s">
        <v>160</v>
      </c>
      <c r="M72" s="150">
        <v>46126</v>
      </c>
      <c r="N72" s="149" t="s">
        <v>640</v>
      </c>
      <c r="O72" s="149">
        <v>9155613</v>
      </c>
      <c r="P72" s="150">
        <v>46114</v>
      </c>
      <c r="Q72" s="149" t="s">
        <v>161</v>
      </c>
      <c r="R72" s="149">
        <v>2770</v>
      </c>
      <c r="S72" s="149" t="s">
        <v>299</v>
      </c>
      <c r="T72" s="149" t="s">
        <v>174</v>
      </c>
      <c r="U72" s="149" t="s">
        <v>175</v>
      </c>
      <c r="V72" s="148" t="s">
        <v>162</v>
      </c>
      <c r="W72" s="84"/>
      <c r="X72" s="149">
        <v>1</v>
      </c>
      <c r="Y72" s="149">
        <v>27437.85</v>
      </c>
      <c r="Z72" s="149">
        <v>27437.85</v>
      </c>
      <c r="AA72" s="148" t="s">
        <v>99</v>
      </c>
      <c r="AB72" s="149" t="s">
        <v>640</v>
      </c>
      <c r="AC72" s="150">
        <v>46114</v>
      </c>
      <c r="AD72" s="149" t="s">
        <v>171</v>
      </c>
      <c r="AE72" s="149">
        <v>84439952</v>
      </c>
      <c r="AF72" s="149" t="s">
        <v>760</v>
      </c>
      <c r="AG72" s="84"/>
      <c r="AH72" s="84"/>
      <c r="AI72" s="149">
        <v>27437.85</v>
      </c>
      <c r="AJ72" s="149" t="s">
        <v>368</v>
      </c>
      <c r="AK72" s="149">
        <v>18</v>
      </c>
      <c r="AL72" s="149">
        <v>2469.41</v>
      </c>
      <c r="AM72" s="149">
        <v>2469.41</v>
      </c>
      <c r="AN72" s="149">
        <v>0</v>
      </c>
      <c r="AO72" s="149">
        <v>0</v>
      </c>
      <c r="AP72" s="149">
        <v>0</v>
      </c>
      <c r="AQ72" s="149">
        <v>0</v>
      </c>
      <c r="AR72" s="148">
        <v>0</v>
      </c>
      <c r="AS72" s="149">
        <v>0</v>
      </c>
      <c r="AT72" s="148">
        <v>0</v>
      </c>
      <c r="AU72" s="84"/>
      <c r="AV72" s="84"/>
      <c r="AW72" s="149">
        <v>0</v>
      </c>
      <c r="AX72" s="149">
        <v>32376.67</v>
      </c>
      <c r="AY72" s="149" t="s">
        <v>100</v>
      </c>
      <c r="AZ72" s="149" t="s">
        <v>101</v>
      </c>
      <c r="BA72" s="149" t="s">
        <v>642</v>
      </c>
      <c r="BB72" s="149">
        <v>1126100063</v>
      </c>
      <c r="BC72" s="149" t="s">
        <v>105</v>
      </c>
      <c r="BD72" s="149" t="s">
        <v>103</v>
      </c>
      <c r="BE72" s="84"/>
      <c r="BF72" s="84" t="s">
        <v>270</v>
      </c>
      <c r="BG72" s="84" t="s">
        <v>281</v>
      </c>
      <c r="BH72" s="149" t="s">
        <v>290</v>
      </c>
      <c r="BI72" t="s">
        <v>155</v>
      </c>
      <c r="BJ72" t="s">
        <v>156</v>
      </c>
      <c r="BK72" t="s">
        <v>643</v>
      </c>
      <c r="BL72">
        <v>4938.82</v>
      </c>
      <c r="BM72">
        <v>5381.62</v>
      </c>
      <c r="BN72">
        <v>-443</v>
      </c>
      <c r="BO72" t="s">
        <v>154</v>
      </c>
      <c r="BP72">
        <v>9155613</v>
      </c>
      <c r="BQ72" t="s">
        <v>270</v>
      </c>
      <c r="BR72" t="s">
        <v>630</v>
      </c>
      <c r="BS72">
        <v>4</v>
      </c>
    </row>
    <row r="73" spans="1:71" s="0" customFormat="1" ht="14.5">
      <c r="A73" s="148" t="s">
        <v>157</v>
      </c>
      <c r="B73" s="149" t="s">
        <v>625</v>
      </c>
      <c r="C73" s="149">
        <v>107</v>
      </c>
      <c r="D73" s="149" t="s">
        <v>97</v>
      </c>
      <c r="E73" s="149" t="s">
        <v>98</v>
      </c>
      <c r="F73" s="84"/>
      <c r="G73" s="84"/>
      <c r="H73" s="149" t="s">
        <v>48</v>
      </c>
      <c r="I73" s="149" t="s">
        <v>158</v>
      </c>
      <c r="J73" s="149" t="s">
        <v>159</v>
      </c>
      <c r="K73" s="149" t="s">
        <v>163</v>
      </c>
      <c r="L73" s="149" t="s">
        <v>160</v>
      </c>
      <c r="M73" s="150">
        <v>46126</v>
      </c>
      <c r="N73" s="149" t="s">
        <v>746</v>
      </c>
      <c r="O73" s="149">
        <v>9155608</v>
      </c>
      <c r="P73" s="150">
        <v>46114</v>
      </c>
      <c r="Q73" s="149" t="s">
        <v>161</v>
      </c>
      <c r="R73" s="149">
        <v>2770</v>
      </c>
      <c r="S73" s="149" t="s">
        <v>299</v>
      </c>
      <c r="T73" s="149" t="s">
        <v>174</v>
      </c>
      <c r="U73" s="149" t="s">
        <v>175</v>
      </c>
      <c r="V73" s="148" t="s">
        <v>162</v>
      </c>
      <c r="W73" s="84"/>
      <c r="X73" s="149">
        <v>1</v>
      </c>
      <c r="Y73" s="149">
        <v>6910.20</v>
      </c>
      <c r="Z73" s="149">
        <v>6910.20</v>
      </c>
      <c r="AA73" s="148" t="s">
        <v>99</v>
      </c>
      <c r="AB73" s="149" t="s">
        <v>746</v>
      </c>
      <c r="AC73" s="150">
        <v>46114</v>
      </c>
      <c r="AD73" s="149" t="s">
        <v>171</v>
      </c>
      <c r="AE73" s="149">
        <v>84439952</v>
      </c>
      <c r="AF73" s="149" t="s">
        <v>761</v>
      </c>
      <c r="AG73" s="84"/>
      <c r="AH73" s="84"/>
      <c r="AI73" s="149">
        <v>6910.20</v>
      </c>
      <c r="AJ73" s="149" t="s">
        <v>368</v>
      </c>
      <c r="AK73" s="149">
        <v>18</v>
      </c>
      <c r="AL73" s="149">
        <v>621.91999999999996</v>
      </c>
      <c r="AM73" s="149">
        <v>621.91999999999996</v>
      </c>
      <c r="AN73" s="149">
        <v>0</v>
      </c>
      <c r="AO73" s="149">
        <v>0</v>
      </c>
      <c r="AP73" s="149">
        <v>0</v>
      </c>
      <c r="AQ73" s="149">
        <v>0</v>
      </c>
      <c r="AR73" s="148">
        <v>0</v>
      </c>
      <c r="AS73" s="149">
        <v>0</v>
      </c>
      <c r="AT73" s="148">
        <v>0</v>
      </c>
      <c r="AU73" s="84"/>
      <c r="AV73" s="84"/>
      <c r="AW73" s="149">
        <v>0</v>
      </c>
      <c r="AX73" s="149">
        <v>8154.04</v>
      </c>
      <c r="AY73" s="149" t="s">
        <v>100</v>
      </c>
      <c r="AZ73" s="149" t="s">
        <v>101</v>
      </c>
      <c r="BA73" s="149" t="s">
        <v>642</v>
      </c>
      <c r="BB73" s="149">
        <v>1126100058</v>
      </c>
      <c r="BC73" s="149" t="s">
        <v>105</v>
      </c>
      <c r="BD73" s="149" t="s">
        <v>103</v>
      </c>
      <c r="BE73" s="84"/>
      <c r="BF73" s="84" t="s">
        <v>270</v>
      </c>
      <c r="BG73" s="84" t="s">
        <v>281</v>
      </c>
      <c r="BH73" s="149" t="s">
        <v>290</v>
      </c>
      <c r="BI73" t="s">
        <v>155</v>
      </c>
      <c r="BJ73" t="s">
        <v>156</v>
      </c>
      <c r="BK73" t="s">
        <v>747</v>
      </c>
      <c r="BL73">
        <v>1243.8399999999999</v>
      </c>
      <c r="BM73">
        <v>1873.72</v>
      </c>
      <c r="BN73">
        <v>-630</v>
      </c>
      <c r="BO73" t="s">
        <v>154</v>
      </c>
      <c r="BP73">
        <v>9155608</v>
      </c>
      <c r="BQ73" t="s">
        <v>270</v>
      </c>
      <c r="BR73" t="s">
        <v>630</v>
      </c>
      <c r="BS73">
        <v>4</v>
      </c>
    </row>
    <row r="74" spans="1:71" s="0" customFormat="1" ht="14.5">
      <c r="A74" s="148" t="s">
        <v>157</v>
      </c>
      <c r="B74" s="149" t="s">
        <v>625</v>
      </c>
      <c r="C74" s="149">
        <v>107</v>
      </c>
      <c r="D74" s="149" t="s">
        <v>97</v>
      </c>
      <c r="E74" s="149" t="s">
        <v>98</v>
      </c>
      <c r="F74" s="84"/>
      <c r="G74" s="149" t="s">
        <v>106</v>
      </c>
      <c r="H74" s="149" t="s">
        <v>48</v>
      </c>
      <c r="I74" s="149" t="s">
        <v>158</v>
      </c>
      <c r="J74" s="149" t="s">
        <v>165</v>
      </c>
      <c r="K74" s="149" t="s">
        <v>163</v>
      </c>
      <c r="L74" s="149" t="s">
        <v>160</v>
      </c>
      <c r="M74" s="150">
        <v>46139</v>
      </c>
      <c r="N74" s="149" t="s">
        <v>762</v>
      </c>
      <c r="O74" s="149">
        <v>9173789</v>
      </c>
      <c r="P74" s="150">
        <v>46125</v>
      </c>
      <c r="Q74" s="149" t="s">
        <v>161</v>
      </c>
      <c r="R74" s="149">
        <v>35005</v>
      </c>
      <c r="S74" s="149" t="s">
        <v>763</v>
      </c>
      <c r="T74" s="149" t="s">
        <v>764</v>
      </c>
      <c r="U74" s="149" t="s">
        <v>765</v>
      </c>
      <c r="V74" s="148" t="s">
        <v>162</v>
      </c>
      <c r="W74" s="84"/>
      <c r="X74" s="149">
        <v>4</v>
      </c>
      <c r="Y74" s="149">
        <v>5625</v>
      </c>
      <c r="Z74" s="149">
        <v>22500</v>
      </c>
      <c r="AA74" s="148" t="s">
        <v>99</v>
      </c>
      <c r="AB74" s="149" t="s">
        <v>762</v>
      </c>
      <c r="AC74" s="150">
        <v>46125</v>
      </c>
      <c r="AD74" s="149" t="s">
        <v>173</v>
      </c>
      <c r="AE74" s="149">
        <v>998422</v>
      </c>
      <c r="AF74" s="149" t="s">
        <v>766</v>
      </c>
      <c r="AG74" s="84"/>
      <c r="AH74" s="84"/>
      <c r="AI74" s="149">
        <v>22500</v>
      </c>
      <c r="AJ74" s="149" t="s">
        <v>368</v>
      </c>
      <c r="AK74" s="149">
        <v>18</v>
      </c>
      <c r="AL74" s="149">
        <v>2025</v>
      </c>
      <c r="AM74" s="149">
        <v>2025</v>
      </c>
      <c r="AN74" s="149">
        <v>0</v>
      </c>
      <c r="AO74" s="149">
        <v>0</v>
      </c>
      <c r="AP74" s="149">
        <v>0</v>
      </c>
      <c r="AQ74" s="149">
        <v>0</v>
      </c>
      <c r="AR74" s="148">
        <v>0</v>
      </c>
      <c r="AS74" s="149">
        <v>0</v>
      </c>
      <c r="AT74" s="148">
        <v>0</v>
      </c>
      <c r="AU74" s="84"/>
      <c r="AV74" s="84"/>
      <c r="AW74" s="149">
        <v>0</v>
      </c>
      <c r="AX74" s="149">
        <v>26550</v>
      </c>
      <c r="AY74" s="149" t="s">
        <v>100</v>
      </c>
      <c r="AZ74" s="149" t="s">
        <v>101</v>
      </c>
      <c r="BA74" s="149" t="s">
        <v>357</v>
      </c>
      <c r="BB74" s="149">
        <v>1126100440</v>
      </c>
      <c r="BC74" s="149" t="s">
        <v>105</v>
      </c>
      <c r="BD74" s="149" t="s">
        <v>103</v>
      </c>
      <c r="BE74" s="84"/>
      <c r="BF74" s="84" t="s">
        <v>270</v>
      </c>
      <c r="BG74" s="84" t="s">
        <v>281</v>
      </c>
      <c r="BH74" s="149" t="s">
        <v>290</v>
      </c>
      <c r="BI74" t="s">
        <v>155</v>
      </c>
      <c r="BJ74" t="s">
        <v>156</v>
      </c>
      <c r="BK74" t="s">
        <v>767</v>
      </c>
      <c r="BL74">
        <v>4050</v>
      </c>
      <c r="BM74">
        <v>4050</v>
      </c>
      <c r="BN74">
        <v>0</v>
      </c>
      <c r="BO74" t="s">
        <v>154</v>
      </c>
      <c r="BP74">
        <v>9173789</v>
      </c>
      <c r="BQ74" t="s">
        <v>270</v>
      </c>
      <c r="BR74" t="s">
        <v>630</v>
      </c>
      <c r="BS74">
        <v>1</v>
      </c>
    </row>
    <row r="75" spans="1:71" s="0" customFormat="1" ht="14.5">
      <c r="A75" s="148" t="s">
        <v>157</v>
      </c>
      <c r="B75" s="149" t="s">
        <v>625</v>
      </c>
      <c r="C75" s="149">
        <v>107</v>
      </c>
      <c r="D75" s="149" t="s">
        <v>97</v>
      </c>
      <c r="E75" s="149" t="s">
        <v>98</v>
      </c>
      <c r="F75" s="84"/>
      <c r="G75" s="149" t="s">
        <v>106</v>
      </c>
      <c r="H75" s="149" t="s">
        <v>48</v>
      </c>
      <c r="I75" s="149" t="s">
        <v>158</v>
      </c>
      <c r="J75" s="149" t="s">
        <v>165</v>
      </c>
      <c r="K75" s="149" t="s">
        <v>166</v>
      </c>
      <c r="L75" s="149" t="s">
        <v>160</v>
      </c>
      <c r="M75" s="150">
        <v>46140</v>
      </c>
      <c r="N75" s="149" t="s">
        <v>632</v>
      </c>
      <c r="O75" s="149">
        <v>9174963</v>
      </c>
      <c r="P75" s="150">
        <v>46129</v>
      </c>
      <c r="Q75" s="149" t="s">
        <v>161</v>
      </c>
      <c r="R75" s="149">
        <v>35671</v>
      </c>
      <c r="S75" s="149" t="s">
        <v>424</v>
      </c>
      <c r="T75" s="149" t="s">
        <v>425</v>
      </c>
      <c r="U75" s="149" t="s">
        <v>426</v>
      </c>
      <c r="V75" s="148" t="s">
        <v>162</v>
      </c>
      <c r="W75" s="84"/>
      <c r="X75" s="149">
        <v>2721.70</v>
      </c>
      <c r="Y75" s="149">
        <v>1</v>
      </c>
      <c r="Z75" s="149">
        <v>2721.70</v>
      </c>
      <c r="AA75" s="148" t="s">
        <v>99</v>
      </c>
      <c r="AB75" s="149" t="s">
        <v>632</v>
      </c>
      <c r="AC75" s="150">
        <v>46129</v>
      </c>
      <c r="AD75" s="149" t="s">
        <v>164</v>
      </c>
      <c r="AE75" s="149">
        <v>84213100</v>
      </c>
      <c r="AF75" s="149" t="s">
        <v>700</v>
      </c>
      <c r="AG75" s="84"/>
      <c r="AH75" s="84"/>
      <c r="AI75" s="149">
        <v>2721.70</v>
      </c>
      <c r="AJ75" s="149" t="s">
        <v>368</v>
      </c>
      <c r="AK75" s="149">
        <v>18</v>
      </c>
      <c r="AL75" s="149">
        <v>0</v>
      </c>
      <c r="AM75" s="149">
        <v>0</v>
      </c>
      <c r="AN75" s="149">
        <v>489.91</v>
      </c>
      <c r="AO75" s="149">
        <v>0</v>
      </c>
      <c r="AP75" s="149">
        <v>0</v>
      </c>
      <c r="AQ75" s="149">
        <v>0</v>
      </c>
      <c r="AR75" s="148">
        <v>0</v>
      </c>
      <c r="AS75" s="149">
        <v>0</v>
      </c>
      <c r="AT75" s="148">
        <v>0</v>
      </c>
      <c r="AU75" s="84"/>
      <c r="AV75" s="84"/>
      <c r="AW75" s="149">
        <v>0</v>
      </c>
      <c r="AX75" s="149">
        <v>3211.61</v>
      </c>
      <c r="AY75" s="149" t="s">
        <v>101</v>
      </c>
      <c r="AZ75" s="149" t="s">
        <v>101</v>
      </c>
      <c r="BA75" s="149" t="s">
        <v>634</v>
      </c>
      <c r="BB75" s="149">
        <v>1126100446</v>
      </c>
      <c r="BC75" s="149" t="s">
        <v>168</v>
      </c>
      <c r="BD75" s="149" t="s">
        <v>272</v>
      </c>
      <c r="BE75" s="84"/>
      <c r="BF75" s="84" t="s">
        <v>271</v>
      </c>
      <c r="BG75" s="84" t="s">
        <v>281</v>
      </c>
      <c r="BH75" s="149" t="s">
        <v>290</v>
      </c>
      <c r="BI75" t="s">
        <v>155</v>
      </c>
      <c r="BJ75" t="s">
        <v>156</v>
      </c>
      <c r="BK75" t="s">
        <v>635</v>
      </c>
      <c r="BL75">
        <v>489.91</v>
      </c>
      <c r="BM75">
        <v>36494.74</v>
      </c>
      <c r="BN75">
        <v>-36005</v>
      </c>
      <c r="BO75" t="s">
        <v>154</v>
      </c>
      <c r="BP75">
        <v>9174963</v>
      </c>
      <c r="BQ75" t="s">
        <v>271</v>
      </c>
      <c r="BR75" t="s">
        <v>630</v>
      </c>
      <c r="BS75">
        <v>36</v>
      </c>
    </row>
    <row r="76" spans="1:71" s="0" customFormat="1" ht="14.5">
      <c r="A76" s="148" t="s">
        <v>157</v>
      </c>
      <c r="B76" s="149" t="s">
        <v>625</v>
      </c>
      <c r="C76" s="149">
        <v>107</v>
      </c>
      <c r="D76" s="149" t="s">
        <v>97</v>
      </c>
      <c r="E76" s="149" t="s">
        <v>98</v>
      </c>
      <c r="F76" s="84"/>
      <c r="G76" s="149" t="s">
        <v>106</v>
      </c>
      <c r="H76" s="149" t="s">
        <v>48</v>
      </c>
      <c r="I76" s="149" t="s">
        <v>158</v>
      </c>
      <c r="J76" s="149" t="s">
        <v>165</v>
      </c>
      <c r="K76" s="149" t="s">
        <v>166</v>
      </c>
      <c r="L76" s="149" t="s">
        <v>160</v>
      </c>
      <c r="M76" s="150">
        <v>46140</v>
      </c>
      <c r="N76" s="149" t="s">
        <v>632</v>
      </c>
      <c r="O76" s="149">
        <v>9174963</v>
      </c>
      <c r="P76" s="150">
        <v>46129</v>
      </c>
      <c r="Q76" s="149" t="s">
        <v>161</v>
      </c>
      <c r="R76" s="149">
        <v>35671</v>
      </c>
      <c r="S76" s="149" t="s">
        <v>424</v>
      </c>
      <c r="T76" s="149" t="s">
        <v>425</v>
      </c>
      <c r="U76" s="149" t="s">
        <v>426</v>
      </c>
      <c r="V76" s="148" t="s">
        <v>162</v>
      </c>
      <c r="W76" s="84"/>
      <c r="X76" s="149">
        <v>1409.49</v>
      </c>
      <c r="Y76" s="149">
        <v>1</v>
      </c>
      <c r="Z76" s="149">
        <v>1409.49</v>
      </c>
      <c r="AA76" s="148" t="s">
        <v>99</v>
      </c>
      <c r="AB76" s="149" t="s">
        <v>632</v>
      </c>
      <c r="AC76" s="150">
        <v>46129</v>
      </c>
      <c r="AD76" s="149" t="s">
        <v>164</v>
      </c>
      <c r="AE76" s="149">
        <v>84212300</v>
      </c>
      <c r="AF76" s="149" t="s">
        <v>768</v>
      </c>
      <c r="AG76" s="84"/>
      <c r="AH76" s="84"/>
      <c r="AI76" s="149">
        <v>1409.49</v>
      </c>
      <c r="AJ76" s="149" t="s">
        <v>368</v>
      </c>
      <c r="AK76" s="149">
        <v>18</v>
      </c>
      <c r="AL76" s="149">
        <v>0</v>
      </c>
      <c r="AM76" s="149">
        <v>0</v>
      </c>
      <c r="AN76" s="149">
        <v>253.71</v>
      </c>
      <c r="AO76" s="149">
        <v>0</v>
      </c>
      <c r="AP76" s="149">
        <v>0</v>
      </c>
      <c r="AQ76" s="149">
        <v>0</v>
      </c>
      <c r="AR76" s="148">
        <v>0</v>
      </c>
      <c r="AS76" s="149">
        <v>0</v>
      </c>
      <c r="AT76" s="148">
        <v>0</v>
      </c>
      <c r="AU76" s="84"/>
      <c r="AV76" s="84"/>
      <c r="AW76" s="149">
        <v>0</v>
      </c>
      <c r="AX76" s="149">
        <v>1663.20</v>
      </c>
      <c r="AY76" s="149" t="s">
        <v>101</v>
      </c>
      <c r="AZ76" s="149" t="s">
        <v>101</v>
      </c>
      <c r="BA76" s="149" t="s">
        <v>634</v>
      </c>
      <c r="BB76" s="149">
        <v>1126100446</v>
      </c>
      <c r="BC76" s="149" t="s">
        <v>168</v>
      </c>
      <c r="BD76" s="149" t="s">
        <v>272</v>
      </c>
      <c r="BE76" s="84"/>
      <c r="BF76" s="84" t="s">
        <v>271</v>
      </c>
      <c r="BG76" s="84" t="s">
        <v>281</v>
      </c>
      <c r="BH76" s="149" t="s">
        <v>290</v>
      </c>
      <c r="BI76" t="s">
        <v>155</v>
      </c>
      <c r="BJ76" t="s">
        <v>156</v>
      </c>
      <c r="BK76" t="s">
        <v>635</v>
      </c>
      <c r="BL76">
        <v>253.71</v>
      </c>
      <c r="BM76">
        <v>36494.74</v>
      </c>
      <c r="BN76">
        <v>-36241</v>
      </c>
      <c r="BO76" t="s">
        <v>154</v>
      </c>
      <c r="BP76">
        <v>9174963</v>
      </c>
      <c r="BQ76" t="s">
        <v>271</v>
      </c>
      <c r="BR76" t="s">
        <v>630</v>
      </c>
      <c r="BS76">
        <v>36</v>
      </c>
    </row>
    <row r="77" spans="1:71" s="0" customFormat="1" ht="14.5">
      <c r="A77" s="148" t="s">
        <v>157</v>
      </c>
      <c r="B77" s="149" t="s">
        <v>625</v>
      </c>
      <c r="C77" s="149">
        <v>107</v>
      </c>
      <c r="D77" s="149" t="s">
        <v>97</v>
      </c>
      <c r="E77" s="149" t="s">
        <v>98</v>
      </c>
      <c r="F77" s="84"/>
      <c r="G77" s="149" t="s">
        <v>106</v>
      </c>
      <c r="H77" s="149" t="s">
        <v>48</v>
      </c>
      <c r="I77" s="149" t="s">
        <v>158</v>
      </c>
      <c r="J77" s="149" t="s">
        <v>165</v>
      </c>
      <c r="K77" s="149" t="s">
        <v>166</v>
      </c>
      <c r="L77" s="149" t="s">
        <v>160</v>
      </c>
      <c r="M77" s="150">
        <v>46140</v>
      </c>
      <c r="N77" s="149" t="s">
        <v>660</v>
      </c>
      <c r="O77" s="149">
        <v>9175014</v>
      </c>
      <c r="P77" s="150">
        <v>46129</v>
      </c>
      <c r="Q77" s="149" t="s">
        <v>161</v>
      </c>
      <c r="R77" s="149">
        <v>15979</v>
      </c>
      <c r="S77" s="149" t="s">
        <v>369</v>
      </c>
      <c r="T77" s="149" t="s">
        <v>169</v>
      </c>
      <c r="U77" s="149" t="s">
        <v>370</v>
      </c>
      <c r="V77" s="148" t="s">
        <v>162</v>
      </c>
      <c r="W77" s="84"/>
      <c r="X77" s="149">
        <v>30.60</v>
      </c>
      <c r="Y77" s="149">
        <v>15</v>
      </c>
      <c r="Z77" s="149">
        <v>459</v>
      </c>
      <c r="AA77" s="148" t="s">
        <v>99</v>
      </c>
      <c r="AB77" s="149" t="s">
        <v>660</v>
      </c>
      <c r="AC77" s="150">
        <v>46129</v>
      </c>
      <c r="AD77" s="149" t="s">
        <v>164</v>
      </c>
      <c r="AE77" s="149">
        <v>38190010</v>
      </c>
      <c r="AF77" s="149" t="s">
        <v>769</v>
      </c>
      <c r="AG77" s="84"/>
      <c r="AH77" s="84"/>
      <c r="AI77" s="149">
        <v>459</v>
      </c>
      <c r="AJ77" s="149" t="s">
        <v>368</v>
      </c>
      <c r="AK77" s="149">
        <v>18</v>
      </c>
      <c r="AL77" s="149">
        <v>41.31</v>
      </c>
      <c r="AM77" s="149">
        <v>41.31</v>
      </c>
      <c r="AN77" s="149">
        <v>0</v>
      </c>
      <c r="AO77" s="149">
        <v>0</v>
      </c>
      <c r="AP77" s="149">
        <v>0</v>
      </c>
      <c r="AQ77" s="149">
        <v>0</v>
      </c>
      <c r="AR77" s="148">
        <v>0</v>
      </c>
      <c r="AS77" s="149">
        <v>0</v>
      </c>
      <c r="AT77" s="148">
        <v>0</v>
      </c>
      <c r="AU77" s="84"/>
      <c r="AV77" s="84"/>
      <c r="AW77" s="149">
        <v>0</v>
      </c>
      <c r="AX77" s="149">
        <v>541.62</v>
      </c>
      <c r="AY77" s="149" t="s">
        <v>101</v>
      </c>
      <c r="AZ77" s="149" t="s">
        <v>101</v>
      </c>
      <c r="BA77" s="149" t="s">
        <v>662</v>
      </c>
      <c r="BB77" s="149">
        <v>1126100447</v>
      </c>
      <c r="BC77" s="149" t="s">
        <v>172</v>
      </c>
      <c r="BD77" s="149" t="s">
        <v>272</v>
      </c>
      <c r="BE77" s="84"/>
      <c r="BF77" s="84" t="s">
        <v>271</v>
      </c>
      <c r="BG77" s="84" t="s">
        <v>281</v>
      </c>
      <c r="BH77" s="149" t="s">
        <v>290</v>
      </c>
      <c r="BI77" t="s">
        <v>155</v>
      </c>
      <c r="BJ77" t="s">
        <v>156</v>
      </c>
      <c r="BK77" t="s">
        <v>663</v>
      </c>
      <c r="BL77">
        <v>82.62</v>
      </c>
      <c r="BM77">
        <v>2435.38</v>
      </c>
      <c r="BN77">
        <v>-2353</v>
      </c>
      <c r="BO77" t="s">
        <v>154</v>
      </c>
      <c r="BP77">
        <v>9175014</v>
      </c>
      <c r="BQ77" t="s">
        <v>271</v>
      </c>
      <c r="BR77" t="s">
        <v>630</v>
      </c>
      <c r="BS77">
        <v>18</v>
      </c>
    </row>
    <row r="78" spans="1:71" s="0" customFormat="1" ht="14.5">
      <c r="A78" s="148" t="s">
        <v>157</v>
      </c>
      <c r="B78" s="149" t="s">
        <v>625</v>
      </c>
      <c r="C78" s="149">
        <v>107</v>
      </c>
      <c r="D78" s="149" t="s">
        <v>97</v>
      </c>
      <c r="E78" s="149" t="s">
        <v>98</v>
      </c>
      <c r="F78" s="84"/>
      <c r="G78" s="149" t="s">
        <v>106</v>
      </c>
      <c r="H78" s="149" t="s">
        <v>48</v>
      </c>
      <c r="I78" s="149" t="s">
        <v>158</v>
      </c>
      <c r="J78" s="149" t="s">
        <v>159</v>
      </c>
      <c r="K78" s="149" t="s">
        <v>166</v>
      </c>
      <c r="L78" s="149" t="s">
        <v>160</v>
      </c>
      <c r="M78" s="150">
        <v>46140</v>
      </c>
      <c r="N78" s="149">
        <v>446</v>
      </c>
      <c r="O78" s="149">
        <v>9175031</v>
      </c>
      <c r="P78" s="150">
        <v>46129</v>
      </c>
      <c r="Q78" s="149" t="s">
        <v>161</v>
      </c>
      <c r="R78" s="149">
        <v>18837</v>
      </c>
      <c r="S78" s="149" t="s">
        <v>445</v>
      </c>
      <c r="T78" s="149" t="s">
        <v>446</v>
      </c>
      <c r="U78" s="149" t="s">
        <v>447</v>
      </c>
      <c r="V78" s="148" t="s">
        <v>312</v>
      </c>
      <c r="W78" s="84"/>
      <c r="X78" s="149">
        <v>11000</v>
      </c>
      <c r="Y78" s="149">
        <v>1</v>
      </c>
      <c r="Z78" s="149">
        <v>11000</v>
      </c>
      <c r="AA78" s="148" t="s">
        <v>99</v>
      </c>
      <c r="AB78" s="149">
        <v>446</v>
      </c>
      <c r="AC78" s="150">
        <v>46129</v>
      </c>
      <c r="AD78" s="149" t="s">
        <v>164</v>
      </c>
      <c r="AE78" s="149">
        <v>995400</v>
      </c>
      <c r="AF78" s="149" t="s">
        <v>770</v>
      </c>
      <c r="AG78" s="84"/>
      <c r="AH78" s="84"/>
      <c r="AI78" s="149">
        <v>11000</v>
      </c>
      <c r="AJ78" s="149" t="s">
        <v>368</v>
      </c>
      <c r="AK78" s="149">
        <v>18</v>
      </c>
      <c r="AL78" s="149">
        <v>990</v>
      </c>
      <c r="AM78" s="149">
        <v>990</v>
      </c>
      <c r="AN78" s="149">
        <v>0</v>
      </c>
      <c r="AO78" s="149">
        <v>0</v>
      </c>
      <c r="AP78" s="149">
        <v>0</v>
      </c>
      <c r="AQ78" s="149">
        <v>0</v>
      </c>
      <c r="AR78" s="148">
        <v>0</v>
      </c>
      <c r="AS78" s="149">
        <v>0</v>
      </c>
      <c r="AT78" s="148">
        <v>0</v>
      </c>
      <c r="AU78" s="84"/>
      <c r="AV78" s="84"/>
      <c r="AW78" s="149">
        <v>0</v>
      </c>
      <c r="AX78" s="149">
        <v>12980</v>
      </c>
      <c r="AY78" s="149" t="s">
        <v>100</v>
      </c>
      <c r="AZ78" s="149" t="s">
        <v>101</v>
      </c>
      <c r="BA78" s="149" t="s">
        <v>274</v>
      </c>
      <c r="BB78" s="149">
        <v>1126100448</v>
      </c>
      <c r="BC78" s="149" t="s">
        <v>105</v>
      </c>
      <c r="BD78" s="149" t="s">
        <v>103</v>
      </c>
      <c r="BE78" s="84"/>
      <c r="BF78" s="84" t="s">
        <v>270</v>
      </c>
      <c r="BG78" s="84" t="s">
        <v>281</v>
      </c>
      <c r="BH78" s="149" t="s">
        <v>289</v>
      </c>
      <c r="BI78" t="s">
        <v>155</v>
      </c>
      <c r="BJ78" t="s">
        <v>156</v>
      </c>
      <c r="BK78" t="s">
        <v>771</v>
      </c>
      <c r="BL78">
        <v>1980</v>
      </c>
      <c r="BM78">
        <v>1980</v>
      </c>
      <c r="BN78">
        <v>0</v>
      </c>
      <c r="BO78" t="s">
        <v>154</v>
      </c>
      <c r="BP78">
        <v>9175031</v>
      </c>
      <c r="BQ78" t="s">
        <v>270</v>
      </c>
      <c r="BR78" t="s">
        <v>630</v>
      </c>
      <c r="BS78">
        <v>1</v>
      </c>
    </row>
    <row r="79" spans="1:71" s="0" customFormat="1" ht="14.5">
      <c r="A79" s="148" t="s">
        <v>157</v>
      </c>
      <c r="B79" s="149" t="s">
        <v>625</v>
      </c>
      <c r="C79" s="149">
        <v>107</v>
      </c>
      <c r="D79" s="149" t="s">
        <v>97</v>
      </c>
      <c r="E79" s="149" t="s">
        <v>98</v>
      </c>
      <c r="F79" s="84"/>
      <c r="G79" s="84"/>
      <c r="H79" s="149" t="s">
        <v>48</v>
      </c>
      <c r="I79" s="149" t="s">
        <v>158</v>
      </c>
      <c r="J79" s="149" t="s">
        <v>159</v>
      </c>
      <c r="K79" s="149" t="s">
        <v>163</v>
      </c>
      <c r="L79" s="149" t="s">
        <v>160</v>
      </c>
      <c r="M79" s="150">
        <v>46133</v>
      </c>
      <c r="N79" s="149" t="s">
        <v>772</v>
      </c>
      <c r="O79" s="149">
        <v>9164653</v>
      </c>
      <c r="P79" s="150">
        <v>46127</v>
      </c>
      <c r="Q79" s="149" t="s">
        <v>161</v>
      </c>
      <c r="R79" s="149">
        <v>39845</v>
      </c>
      <c r="S79" s="149" t="s">
        <v>377</v>
      </c>
      <c r="T79" s="149" t="s">
        <v>170</v>
      </c>
      <c r="U79" s="149" t="s">
        <v>378</v>
      </c>
      <c r="V79" s="148" t="s">
        <v>162</v>
      </c>
      <c r="W79" s="84"/>
      <c r="X79" s="149">
        <v>1</v>
      </c>
      <c r="Y79" s="149">
        <v>4457.16</v>
      </c>
      <c r="Z79" s="149">
        <v>4457.16</v>
      </c>
      <c r="AA79" s="148" t="s">
        <v>99</v>
      </c>
      <c r="AB79" s="149" t="s">
        <v>772</v>
      </c>
      <c r="AC79" s="150">
        <v>46127</v>
      </c>
      <c r="AD79" s="149" t="s">
        <v>164</v>
      </c>
      <c r="AE79" s="149">
        <v>17049090</v>
      </c>
      <c r="AF79" s="149" t="s">
        <v>773</v>
      </c>
      <c r="AG79" s="84"/>
      <c r="AH79" s="84"/>
      <c r="AI79" s="149">
        <v>4457.16</v>
      </c>
      <c r="AJ79" s="149" t="s">
        <v>368</v>
      </c>
      <c r="AK79" s="149">
        <v>5</v>
      </c>
      <c r="AL79" s="149">
        <v>0</v>
      </c>
      <c r="AM79" s="149">
        <v>0</v>
      </c>
      <c r="AN79" s="149">
        <v>222.86</v>
      </c>
      <c r="AO79" s="149">
        <v>0</v>
      </c>
      <c r="AP79" s="149">
        <v>0</v>
      </c>
      <c r="AQ79" s="149">
        <v>0</v>
      </c>
      <c r="AR79" s="148">
        <v>0</v>
      </c>
      <c r="AS79" s="149">
        <v>0</v>
      </c>
      <c r="AT79" s="148">
        <v>0</v>
      </c>
      <c r="AU79" s="84"/>
      <c r="AV79" s="84"/>
      <c r="AW79" s="149">
        <v>0</v>
      </c>
      <c r="AX79" s="149">
        <v>4680.0200000000004</v>
      </c>
      <c r="AY79" s="149" t="s">
        <v>101</v>
      </c>
      <c r="AZ79" s="149" t="s">
        <v>101</v>
      </c>
      <c r="BA79" s="149" t="s">
        <v>167</v>
      </c>
      <c r="BB79" s="149">
        <v>1126100308</v>
      </c>
      <c r="BC79" s="149" t="s">
        <v>379</v>
      </c>
      <c r="BD79" s="149" t="s">
        <v>104</v>
      </c>
      <c r="BE79" s="84"/>
      <c r="BF79" s="84" t="s">
        <v>271</v>
      </c>
      <c r="BG79" s="84" t="s">
        <v>281</v>
      </c>
      <c r="BH79" s="149" t="s">
        <v>290</v>
      </c>
      <c r="BI79" t="s">
        <v>155</v>
      </c>
      <c r="BJ79" t="s">
        <v>156</v>
      </c>
      <c r="BK79" t="s">
        <v>774</v>
      </c>
      <c r="BL79">
        <v>222.86</v>
      </c>
      <c r="BM79">
        <v>1632.71</v>
      </c>
      <c r="BN79">
        <v>-1410</v>
      </c>
      <c r="BO79" t="s">
        <v>154</v>
      </c>
      <c r="BP79">
        <v>9164653</v>
      </c>
      <c r="BQ79" t="s">
        <v>271</v>
      </c>
      <c r="BR79" t="s">
        <v>630</v>
      </c>
      <c r="BS79">
        <v>3</v>
      </c>
    </row>
    <row r="80" spans="1:71" s="0" customFormat="1" ht="14.5">
      <c r="A80" s="148" t="s">
        <v>157</v>
      </c>
      <c r="B80" s="149" t="s">
        <v>625</v>
      </c>
      <c r="C80" s="149">
        <v>107</v>
      </c>
      <c r="D80" s="149" t="s">
        <v>97</v>
      </c>
      <c r="E80" s="149" t="s">
        <v>98</v>
      </c>
      <c r="F80" s="84"/>
      <c r="G80" s="149" t="s">
        <v>106</v>
      </c>
      <c r="H80" s="149" t="s">
        <v>48</v>
      </c>
      <c r="I80" s="149" t="s">
        <v>158</v>
      </c>
      <c r="J80" s="149" t="s">
        <v>165</v>
      </c>
      <c r="K80" s="149" t="s">
        <v>166</v>
      </c>
      <c r="L80" s="149" t="s">
        <v>160</v>
      </c>
      <c r="M80" s="150">
        <v>46127</v>
      </c>
      <c r="N80" s="149" t="s">
        <v>626</v>
      </c>
      <c r="O80" s="149">
        <v>9158398</v>
      </c>
      <c r="P80" s="150">
        <v>46090</v>
      </c>
      <c r="Q80" s="149" t="s">
        <v>161</v>
      </c>
      <c r="R80" s="149">
        <v>35671</v>
      </c>
      <c r="S80" s="149" t="s">
        <v>424</v>
      </c>
      <c r="T80" s="149" t="s">
        <v>425</v>
      </c>
      <c r="U80" s="149" t="s">
        <v>426</v>
      </c>
      <c r="V80" s="148" t="s">
        <v>162</v>
      </c>
      <c r="W80" s="84"/>
      <c r="X80" s="149">
        <v>275</v>
      </c>
      <c r="Y80" s="149">
        <v>14</v>
      </c>
      <c r="Z80" s="149">
        <v>3850</v>
      </c>
      <c r="AA80" s="148" t="s">
        <v>99</v>
      </c>
      <c r="AB80" s="149" t="s">
        <v>626</v>
      </c>
      <c r="AC80" s="150">
        <v>46121</v>
      </c>
      <c r="AD80" s="149" t="s">
        <v>164</v>
      </c>
      <c r="AE80" s="149">
        <v>998729</v>
      </c>
      <c r="AF80" s="149" t="s">
        <v>775</v>
      </c>
      <c r="AG80" s="84"/>
      <c r="AH80" s="84"/>
      <c r="AI80" s="149">
        <v>3850</v>
      </c>
      <c r="AJ80" s="149" t="s">
        <v>368</v>
      </c>
      <c r="AK80" s="149">
        <v>18</v>
      </c>
      <c r="AL80" s="149">
        <v>0</v>
      </c>
      <c r="AM80" s="149">
        <v>0</v>
      </c>
      <c r="AN80" s="149">
        <v>693</v>
      </c>
      <c r="AO80" s="149">
        <v>0</v>
      </c>
      <c r="AP80" s="149">
        <v>0</v>
      </c>
      <c r="AQ80" s="149">
        <v>0</v>
      </c>
      <c r="AR80" s="148">
        <v>0</v>
      </c>
      <c r="AS80" s="149">
        <v>0</v>
      </c>
      <c r="AT80" s="148">
        <v>0</v>
      </c>
      <c r="AU80" s="84"/>
      <c r="AV80" s="84"/>
      <c r="AW80" s="149">
        <v>0</v>
      </c>
      <c r="AX80" s="149">
        <v>4543</v>
      </c>
      <c r="AY80" s="149" t="s">
        <v>101</v>
      </c>
      <c r="AZ80" s="149" t="s">
        <v>101</v>
      </c>
      <c r="BA80" s="149" t="s">
        <v>628</v>
      </c>
      <c r="BB80" s="149">
        <v>1126100105</v>
      </c>
      <c r="BC80" s="149" t="s">
        <v>168</v>
      </c>
      <c r="BD80" s="149" t="s">
        <v>272</v>
      </c>
      <c r="BE80" s="84"/>
      <c r="BF80" s="84" t="s">
        <v>271</v>
      </c>
      <c r="BG80" s="84" t="s">
        <v>281</v>
      </c>
      <c r="BH80" s="149" t="s">
        <v>290</v>
      </c>
      <c r="BI80" t="s">
        <v>155</v>
      </c>
      <c r="BJ80" t="s">
        <v>156</v>
      </c>
      <c r="BK80" t="s">
        <v>629</v>
      </c>
      <c r="BL80">
        <v>693</v>
      </c>
      <c r="BM80">
        <v>38182.879999999997</v>
      </c>
      <c r="BN80">
        <v>-37490</v>
      </c>
      <c r="BO80" t="s">
        <v>154</v>
      </c>
      <c r="BP80">
        <v>9158398</v>
      </c>
      <c r="BQ80" t="s">
        <v>271</v>
      </c>
      <c r="BR80" t="s">
        <v>630</v>
      </c>
      <c r="BS80">
        <v>37</v>
      </c>
    </row>
    <row r="81" spans="1:71" s="0" customFormat="1" ht="14.5">
      <c r="A81" s="148" t="s">
        <v>157</v>
      </c>
      <c r="B81" s="149" t="s">
        <v>625</v>
      </c>
      <c r="C81" s="149">
        <v>107</v>
      </c>
      <c r="D81" s="149" t="s">
        <v>97</v>
      </c>
      <c r="E81" s="149" t="s">
        <v>98</v>
      </c>
      <c r="F81" s="84"/>
      <c r="G81" s="149" t="s">
        <v>106</v>
      </c>
      <c r="H81" s="149" t="s">
        <v>48</v>
      </c>
      <c r="I81" s="149" t="s">
        <v>158</v>
      </c>
      <c r="J81" s="149" t="s">
        <v>165</v>
      </c>
      <c r="K81" s="149" t="s">
        <v>166</v>
      </c>
      <c r="L81" s="149" t="s">
        <v>160</v>
      </c>
      <c r="M81" s="150">
        <v>46127</v>
      </c>
      <c r="N81" s="149" t="s">
        <v>626</v>
      </c>
      <c r="O81" s="149">
        <v>9158398</v>
      </c>
      <c r="P81" s="150">
        <v>46090</v>
      </c>
      <c r="Q81" s="149" t="s">
        <v>161</v>
      </c>
      <c r="R81" s="149">
        <v>35671</v>
      </c>
      <c r="S81" s="149" t="s">
        <v>424</v>
      </c>
      <c r="T81" s="149" t="s">
        <v>425</v>
      </c>
      <c r="U81" s="149" t="s">
        <v>426</v>
      </c>
      <c r="V81" s="148" t="s">
        <v>162</v>
      </c>
      <c r="W81" s="84"/>
      <c r="X81" s="149">
        <v>275</v>
      </c>
      <c r="Y81" s="149">
        <v>2</v>
      </c>
      <c r="Z81" s="149">
        <v>550</v>
      </c>
      <c r="AA81" s="148" t="s">
        <v>99</v>
      </c>
      <c r="AB81" s="149" t="s">
        <v>626</v>
      </c>
      <c r="AC81" s="150">
        <v>46121</v>
      </c>
      <c r="AD81" s="149" t="s">
        <v>164</v>
      </c>
      <c r="AE81" s="149">
        <v>998729</v>
      </c>
      <c r="AF81" s="149" t="s">
        <v>776</v>
      </c>
      <c r="AG81" s="84"/>
      <c r="AH81" s="84"/>
      <c r="AI81" s="149">
        <v>550</v>
      </c>
      <c r="AJ81" s="149" t="s">
        <v>368</v>
      </c>
      <c r="AK81" s="149">
        <v>18</v>
      </c>
      <c r="AL81" s="149">
        <v>0</v>
      </c>
      <c r="AM81" s="149">
        <v>0</v>
      </c>
      <c r="AN81" s="149">
        <v>99</v>
      </c>
      <c r="AO81" s="149">
        <v>0</v>
      </c>
      <c r="AP81" s="149">
        <v>0</v>
      </c>
      <c r="AQ81" s="149">
        <v>0</v>
      </c>
      <c r="AR81" s="148">
        <v>0</v>
      </c>
      <c r="AS81" s="149">
        <v>0</v>
      </c>
      <c r="AT81" s="148">
        <v>0</v>
      </c>
      <c r="AU81" s="84"/>
      <c r="AV81" s="84"/>
      <c r="AW81" s="149">
        <v>0</v>
      </c>
      <c r="AX81" s="149">
        <v>649</v>
      </c>
      <c r="AY81" s="149" t="s">
        <v>101</v>
      </c>
      <c r="AZ81" s="149" t="s">
        <v>101</v>
      </c>
      <c r="BA81" s="149" t="s">
        <v>628</v>
      </c>
      <c r="BB81" s="149">
        <v>1126100105</v>
      </c>
      <c r="BC81" s="149" t="s">
        <v>168</v>
      </c>
      <c r="BD81" s="149" t="s">
        <v>272</v>
      </c>
      <c r="BE81" s="84"/>
      <c r="BF81" s="84" t="s">
        <v>271</v>
      </c>
      <c r="BG81" s="84" t="s">
        <v>281</v>
      </c>
      <c r="BH81" s="149" t="s">
        <v>290</v>
      </c>
      <c r="BI81" t="s">
        <v>155</v>
      </c>
      <c r="BJ81" t="s">
        <v>156</v>
      </c>
      <c r="BK81" t="s">
        <v>629</v>
      </c>
      <c r="BL81">
        <v>99</v>
      </c>
      <c r="BM81">
        <v>38182.879999999997</v>
      </c>
      <c r="BN81">
        <v>-38084</v>
      </c>
      <c r="BO81" t="s">
        <v>154</v>
      </c>
      <c r="BP81">
        <v>9158398</v>
      </c>
      <c r="BQ81" t="s">
        <v>271</v>
      </c>
      <c r="BR81" t="s">
        <v>630</v>
      </c>
      <c r="BS81">
        <v>37</v>
      </c>
    </row>
    <row r="82" spans="1:71" s="0" customFormat="1" ht="14.5">
      <c r="A82" s="148" t="s">
        <v>157</v>
      </c>
      <c r="B82" s="149" t="s">
        <v>625</v>
      </c>
      <c r="C82" s="149">
        <v>107</v>
      </c>
      <c r="D82" s="149" t="s">
        <v>97</v>
      </c>
      <c r="E82" s="149" t="s">
        <v>98</v>
      </c>
      <c r="F82" s="84"/>
      <c r="G82" s="149" t="s">
        <v>106</v>
      </c>
      <c r="H82" s="149" t="s">
        <v>48</v>
      </c>
      <c r="I82" s="149" t="s">
        <v>158</v>
      </c>
      <c r="J82" s="149" t="s">
        <v>165</v>
      </c>
      <c r="K82" s="149" t="s">
        <v>166</v>
      </c>
      <c r="L82" s="149" t="s">
        <v>160</v>
      </c>
      <c r="M82" s="150">
        <v>46140</v>
      </c>
      <c r="N82" s="149" t="s">
        <v>632</v>
      </c>
      <c r="O82" s="149">
        <v>9174963</v>
      </c>
      <c r="P82" s="150">
        <v>46129</v>
      </c>
      <c r="Q82" s="149" t="s">
        <v>161</v>
      </c>
      <c r="R82" s="149">
        <v>35671</v>
      </c>
      <c r="S82" s="149" t="s">
        <v>424</v>
      </c>
      <c r="T82" s="149" t="s">
        <v>425</v>
      </c>
      <c r="U82" s="149" t="s">
        <v>426</v>
      </c>
      <c r="V82" s="148" t="s">
        <v>162</v>
      </c>
      <c r="W82" s="84"/>
      <c r="X82" s="149">
        <v>275</v>
      </c>
      <c r="Y82" s="149">
        <v>24</v>
      </c>
      <c r="Z82" s="149">
        <v>6600</v>
      </c>
      <c r="AA82" s="148" t="s">
        <v>99</v>
      </c>
      <c r="AB82" s="149" t="s">
        <v>632</v>
      </c>
      <c r="AC82" s="150">
        <v>46129</v>
      </c>
      <c r="AD82" s="149" t="s">
        <v>164</v>
      </c>
      <c r="AE82" s="149">
        <v>998729</v>
      </c>
      <c r="AF82" s="149" t="s">
        <v>432</v>
      </c>
      <c r="AG82" s="84"/>
      <c r="AH82" s="84"/>
      <c r="AI82" s="149">
        <v>6600</v>
      </c>
      <c r="AJ82" s="149" t="s">
        <v>368</v>
      </c>
      <c r="AK82" s="149">
        <v>18</v>
      </c>
      <c r="AL82" s="149">
        <v>0</v>
      </c>
      <c r="AM82" s="149">
        <v>0</v>
      </c>
      <c r="AN82" s="149">
        <v>1188</v>
      </c>
      <c r="AO82" s="149">
        <v>0</v>
      </c>
      <c r="AP82" s="149">
        <v>0</v>
      </c>
      <c r="AQ82" s="149">
        <v>0</v>
      </c>
      <c r="AR82" s="148">
        <v>0</v>
      </c>
      <c r="AS82" s="149">
        <v>0</v>
      </c>
      <c r="AT82" s="148">
        <v>0</v>
      </c>
      <c r="AU82" s="84"/>
      <c r="AV82" s="84"/>
      <c r="AW82" s="149">
        <v>0</v>
      </c>
      <c r="AX82" s="149">
        <v>7788</v>
      </c>
      <c r="AY82" s="149" t="s">
        <v>101</v>
      </c>
      <c r="AZ82" s="149" t="s">
        <v>101</v>
      </c>
      <c r="BA82" s="149" t="s">
        <v>634</v>
      </c>
      <c r="BB82" s="149">
        <v>1126100446</v>
      </c>
      <c r="BC82" s="149" t="s">
        <v>168</v>
      </c>
      <c r="BD82" s="149" t="s">
        <v>272</v>
      </c>
      <c r="BE82" s="84"/>
      <c r="BF82" s="84" t="s">
        <v>271</v>
      </c>
      <c r="BG82" s="84" t="s">
        <v>281</v>
      </c>
      <c r="BH82" s="149" t="s">
        <v>290</v>
      </c>
      <c r="BI82" t="s">
        <v>155</v>
      </c>
      <c r="BJ82" t="s">
        <v>156</v>
      </c>
      <c r="BK82" t="s">
        <v>635</v>
      </c>
      <c r="BL82">
        <v>1188</v>
      </c>
      <c r="BM82">
        <v>36494.74</v>
      </c>
      <c r="BN82">
        <v>-35307</v>
      </c>
      <c r="BO82" t="s">
        <v>154</v>
      </c>
      <c r="BP82">
        <v>9174963</v>
      </c>
      <c r="BQ82" t="s">
        <v>271</v>
      </c>
      <c r="BR82" t="s">
        <v>630</v>
      </c>
      <c r="BS82">
        <v>36</v>
      </c>
    </row>
    <row r="83" spans="1:71" s="0" customFormat="1" ht="14.5">
      <c r="A83" s="148" t="s">
        <v>157</v>
      </c>
      <c r="B83" s="149" t="s">
        <v>625</v>
      </c>
      <c r="C83" s="149">
        <v>107</v>
      </c>
      <c r="D83" s="149" t="s">
        <v>97</v>
      </c>
      <c r="E83" s="149" t="s">
        <v>98</v>
      </c>
      <c r="F83" s="84"/>
      <c r="G83" s="149" t="s">
        <v>106</v>
      </c>
      <c r="H83" s="149" t="s">
        <v>48</v>
      </c>
      <c r="I83" s="149" t="s">
        <v>158</v>
      </c>
      <c r="J83" s="149" t="s">
        <v>165</v>
      </c>
      <c r="K83" s="149" t="s">
        <v>166</v>
      </c>
      <c r="L83" s="149" t="s">
        <v>160</v>
      </c>
      <c r="M83" s="150">
        <v>46140</v>
      </c>
      <c r="N83" s="149" t="s">
        <v>632</v>
      </c>
      <c r="O83" s="149">
        <v>9174963</v>
      </c>
      <c r="P83" s="150">
        <v>46129</v>
      </c>
      <c r="Q83" s="149" t="s">
        <v>161</v>
      </c>
      <c r="R83" s="149">
        <v>35671</v>
      </c>
      <c r="S83" s="149" t="s">
        <v>424</v>
      </c>
      <c r="T83" s="149" t="s">
        <v>425</v>
      </c>
      <c r="U83" s="149" t="s">
        <v>426</v>
      </c>
      <c r="V83" s="148" t="s">
        <v>162</v>
      </c>
      <c r="W83" s="84"/>
      <c r="X83" s="149">
        <v>7231.78</v>
      </c>
      <c r="Y83" s="149">
        <v>2</v>
      </c>
      <c r="Z83" s="149">
        <v>14463.56</v>
      </c>
      <c r="AA83" s="148" t="s">
        <v>99</v>
      </c>
      <c r="AB83" s="149" t="s">
        <v>632</v>
      </c>
      <c r="AC83" s="150">
        <v>46129</v>
      </c>
      <c r="AD83" s="149" t="s">
        <v>164</v>
      </c>
      <c r="AE83" s="149">
        <v>34053000</v>
      </c>
      <c r="AF83" s="149" t="s">
        <v>777</v>
      </c>
      <c r="AG83" s="84"/>
      <c r="AH83" s="84"/>
      <c r="AI83" s="149">
        <v>14463.56</v>
      </c>
      <c r="AJ83" s="149" t="s">
        <v>368</v>
      </c>
      <c r="AK83" s="149">
        <v>18</v>
      </c>
      <c r="AL83" s="149">
        <v>0</v>
      </c>
      <c r="AM83" s="149">
        <v>0</v>
      </c>
      <c r="AN83" s="149">
        <v>2603.44</v>
      </c>
      <c r="AO83" s="149">
        <v>0</v>
      </c>
      <c r="AP83" s="149">
        <v>0</v>
      </c>
      <c r="AQ83" s="149">
        <v>0</v>
      </c>
      <c r="AR83" s="148">
        <v>0</v>
      </c>
      <c r="AS83" s="149">
        <v>0</v>
      </c>
      <c r="AT83" s="148">
        <v>0</v>
      </c>
      <c r="AU83" s="84"/>
      <c r="AV83" s="84"/>
      <c r="AW83" s="149">
        <v>0</v>
      </c>
      <c r="AX83" s="149">
        <v>17067</v>
      </c>
      <c r="AY83" s="149" t="s">
        <v>101</v>
      </c>
      <c r="AZ83" s="149" t="s">
        <v>101</v>
      </c>
      <c r="BA83" s="149" t="s">
        <v>634</v>
      </c>
      <c r="BB83" s="149">
        <v>1126100446</v>
      </c>
      <c r="BC83" s="149" t="s">
        <v>168</v>
      </c>
      <c r="BD83" s="149" t="s">
        <v>272</v>
      </c>
      <c r="BE83" s="84"/>
      <c r="BF83" s="84" t="s">
        <v>271</v>
      </c>
      <c r="BG83" s="84" t="s">
        <v>281</v>
      </c>
      <c r="BH83" s="149" t="s">
        <v>290</v>
      </c>
      <c r="BI83" t="s">
        <v>155</v>
      </c>
      <c r="BJ83" t="s">
        <v>156</v>
      </c>
      <c r="BK83" t="s">
        <v>635</v>
      </c>
      <c r="BL83">
        <v>2603.44</v>
      </c>
      <c r="BM83">
        <v>36494.74</v>
      </c>
      <c r="BN83">
        <v>-33891</v>
      </c>
      <c r="BO83" t="s">
        <v>154</v>
      </c>
      <c r="BP83">
        <v>9174963</v>
      </c>
      <c r="BQ83" t="s">
        <v>271</v>
      </c>
      <c r="BR83" t="s">
        <v>630</v>
      </c>
      <c r="BS83">
        <v>36</v>
      </c>
    </row>
    <row r="84" spans="1:71" s="0" customFormat="1" ht="14.5">
      <c r="A84" s="148" t="s">
        <v>157</v>
      </c>
      <c r="B84" s="149" t="s">
        <v>625</v>
      </c>
      <c r="C84" s="149">
        <v>107</v>
      </c>
      <c r="D84" s="149" t="s">
        <v>97</v>
      </c>
      <c r="E84" s="149" t="s">
        <v>98</v>
      </c>
      <c r="F84" s="84"/>
      <c r="G84" s="149" t="s">
        <v>106</v>
      </c>
      <c r="H84" s="149" t="s">
        <v>48</v>
      </c>
      <c r="I84" s="149" t="s">
        <v>158</v>
      </c>
      <c r="J84" s="149" t="s">
        <v>165</v>
      </c>
      <c r="K84" s="149" t="s">
        <v>166</v>
      </c>
      <c r="L84" s="149" t="s">
        <v>160</v>
      </c>
      <c r="M84" s="150">
        <v>46140</v>
      </c>
      <c r="N84" s="149" t="s">
        <v>660</v>
      </c>
      <c r="O84" s="149">
        <v>9175014</v>
      </c>
      <c r="P84" s="150">
        <v>46129</v>
      </c>
      <c r="Q84" s="149" t="s">
        <v>161</v>
      </c>
      <c r="R84" s="149">
        <v>15979</v>
      </c>
      <c r="S84" s="149" t="s">
        <v>369</v>
      </c>
      <c r="T84" s="149" t="s">
        <v>169</v>
      </c>
      <c r="U84" s="149" t="s">
        <v>370</v>
      </c>
      <c r="V84" s="148" t="s">
        <v>162</v>
      </c>
      <c r="W84" s="84"/>
      <c r="X84" s="149">
        <v>561.60</v>
      </c>
      <c r="Y84" s="149">
        <v>1</v>
      </c>
      <c r="Z84" s="149">
        <v>561.60</v>
      </c>
      <c r="AA84" s="148" t="s">
        <v>99</v>
      </c>
      <c r="AB84" s="149" t="s">
        <v>660</v>
      </c>
      <c r="AC84" s="150">
        <v>46129</v>
      </c>
      <c r="AD84" s="149" t="s">
        <v>164</v>
      </c>
      <c r="AE84" s="149">
        <v>998729</v>
      </c>
      <c r="AF84" s="149" t="s">
        <v>778</v>
      </c>
      <c r="AG84" s="84"/>
      <c r="AH84" s="84"/>
      <c r="AI84" s="149">
        <v>561.60</v>
      </c>
      <c r="AJ84" s="149" t="s">
        <v>368</v>
      </c>
      <c r="AK84" s="149">
        <v>18</v>
      </c>
      <c r="AL84" s="149">
        <v>50.54</v>
      </c>
      <c r="AM84" s="149">
        <v>50.54</v>
      </c>
      <c r="AN84" s="149">
        <v>0</v>
      </c>
      <c r="AO84" s="149">
        <v>0</v>
      </c>
      <c r="AP84" s="149">
        <v>0</v>
      </c>
      <c r="AQ84" s="149">
        <v>0</v>
      </c>
      <c r="AR84" s="148">
        <v>0</v>
      </c>
      <c r="AS84" s="149">
        <v>0</v>
      </c>
      <c r="AT84" s="148">
        <v>0</v>
      </c>
      <c r="AU84" s="84"/>
      <c r="AV84" s="84"/>
      <c r="AW84" s="149">
        <v>0</v>
      </c>
      <c r="AX84" s="149">
        <v>662.68</v>
      </c>
      <c r="AY84" s="149" t="s">
        <v>101</v>
      </c>
      <c r="AZ84" s="149" t="s">
        <v>101</v>
      </c>
      <c r="BA84" s="149" t="s">
        <v>662</v>
      </c>
      <c r="BB84" s="149">
        <v>1126100447</v>
      </c>
      <c r="BC84" s="149" t="s">
        <v>172</v>
      </c>
      <c r="BD84" s="149" t="s">
        <v>272</v>
      </c>
      <c r="BE84" s="84"/>
      <c r="BF84" s="84" t="s">
        <v>271</v>
      </c>
      <c r="BG84" s="84" t="s">
        <v>281</v>
      </c>
      <c r="BH84" s="149" t="s">
        <v>290</v>
      </c>
      <c r="BI84" t="s">
        <v>155</v>
      </c>
      <c r="BJ84" t="s">
        <v>156</v>
      </c>
      <c r="BK84" t="s">
        <v>663</v>
      </c>
      <c r="BL84">
        <v>101.08</v>
      </c>
      <c r="BM84">
        <v>2435.38</v>
      </c>
      <c r="BN84">
        <v>-2334</v>
      </c>
      <c r="BO84" t="s">
        <v>154</v>
      </c>
      <c r="BP84">
        <v>9175014</v>
      </c>
      <c r="BQ84" t="s">
        <v>271</v>
      </c>
      <c r="BR84" t="s">
        <v>630</v>
      </c>
      <c r="BS84">
        <v>18</v>
      </c>
    </row>
    <row r="85" spans="1:71" s="0" customFormat="1" ht="14.5">
      <c r="A85" s="148" t="s">
        <v>157</v>
      </c>
      <c r="B85" s="149" t="s">
        <v>625</v>
      </c>
      <c r="C85" s="149">
        <v>107</v>
      </c>
      <c r="D85" s="149" t="s">
        <v>97</v>
      </c>
      <c r="E85" s="149" t="s">
        <v>98</v>
      </c>
      <c r="F85" s="84"/>
      <c r="G85" s="84"/>
      <c r="H85" s="149" t="s">
        <v>48</v>
      </c>
      <c r="I85" s="149" t="s">
        <v>158</v>
      </c>
      <c r="J85" s="149" t="s">
        <v>159</v>
      </c>
      <c r="K85" s="149" t="s">
        <v>163</v>
      </c>
      <c r="L85" s="149" t="s">
        <v>160</v>
      </c>
      <c r="M85" s="150">
        <v>46141</v>
      </c>
      <c r="N85" s="149" t="s">
        <v>754</v>
      </c>
      <c r="O85" s="149">
        <v>9177454</v>
      </c>
      <c r="P85" s="150">
        <v>45990</v>
      </c>
      <c r="Q85" s="149" t="s">
        <v>161</v>
      </c>
      <c r="R85" s="149">
        <v>36105</v>
      </c>
      <c r="S85" s="149" t="s">
        <v>342</v>
      </c>
      <c r="T85" s="149" t="s">
        <v>169</v>
      </c>
      <c r="U85" s="84"/>
      <c r="V85" s="148" t="s">
        <v>162</v>
      </c>
      <c r="W85" s="84"/>
      <c r="X85" s="149">
        <v>12500</v>
      </c>
      <c r="Y85" s="149">
        <v>1</v>
      </c>
      <c r="Z85" s="149">
        <v>12500</v>
      </c>
      <c r="AA85" s="148" t="s">
        <v>99</v>
      </c>
      <c r="AB85" s="149" t="s">
        <v>755</v>
      </c>
      <c r="AC85" s="150">
        <v>45990</v>
      </c>
      <c r="AD85" s="84"/>
      <c r="AE85" s="149">
        <v>998213</v>
      </c>
      <c r="AF85" s="149" t="s">
        <v>779</v>
      </c>
      <c r="AG85" s="84"/>
      <c r="AH85" s="84"/>
      <c r="AI85" s="149">
        <v>12500</v>
      </c>
      <c r="AJ85" s="149" t="s">
        <v>368</v>
      </c>
      <c r="AK85" s="149">
        <v>18</v>
      </c>
      <c r="AL85" s="149">
        <v>1125</v>
      </c>
      <c r="AM85" s="149">
        <v>1125</v>
      </c>
      <c r="AN85" s="149">
        <v>0</v>
      </c>
      <c r="AO85" s="149">
        <v>0</v>
      </c>
      <c r="AP85" s="149">
        <v>0</v>
      </c>
      <c r="AQ85" s="149">
        <v>0</v>
      </c>
      <c r="AR85" s="148">
        <v>0</v>
      </c>
      <c r="AS85" s="149">
        <v>0</v>
      </c>
      <c r="AT85" s="148">
        <v>0</v>
      </c>
      <c r="AU85" s="84"/>
      <c r="AV85" s="84"/>
      <c r="AW85" s="149">
        <v>0</v>
      </c>
      <c r="AX85" s="149">
        <v>14750</v>
      </c>
      <c r="AY85" s="149" t="s">
        <v>100</v>
      </c>
      <c r="AZ85" s="149" t="s">
        <v>100</v>
      </c>
      <c r="BA85" s="149" t="s">
        <v>642</v>
      </c>
      <c r="BB85" s="149">
        <v>1126100459</v>
      </c>
      <c r="BC85" s="149" t="s">
        <v>188</v>
      </c>
      <c r="BD85" s="149" t="s">
        <v>103</v>
      </c>
      <c r="BE85" s="84"/>
      <c r="BF85" s="84" t="s">
        <v>210</v>
      </c>
      <c r="BG85" s="84" t="s">
        <v>280</v>
      </c>
      <c r="BH85" s="149" t="s">
        <v>289</v>
      </c>
      <c r="BI85" t="s">
        <v>155</v>
      </c>
      <c r="BJ85" t="s">
        <v>156</v>
      </c>
      <c r="BK85" t="s">
        <v>755</v>
      </c>
      <c r="BL85">
        <v>2250</v>
      </c>
      <c r="BM85" t="e">
        <v>#N/A</v>
      </c>
      <c r="BN85" t="e">
        <v>#N/A</v>
      </c>
      <c r="BO85" t="s">
        <v>199</v>
      </c>
      <c r="BP85">
        <v>9177454</v>
      </c>
      <c r="BQ85" t="s">
        <v>210</v>
      </c>
      <c r="BR85" t="s">
        <v>199</v>
      </c>
      <c r="BS85">
        <v>6</v>
      </c>
    </row>
    <row r="86" spans="1:71" s="0" customFormat="1" ht="14.5">
      <c r="A86" s="148" t="s">
        <v>157</v>
      </c>
      <c r="B86" s="149" t="s">
        <v>625</v>
      </c>
      <c r="C86" s="149">
        <v>107</v>
      </c>
      <c r="D86" s="149" t="s">
        <v>97</v>
      </c>
      <c r="E86" s="149" t="s">
        <v>98</v>
      </c>
      <c r="F86" s="84"/>
      <c r="G86" s="84"/>
      <c r="H86" s="149" t="s">
        <v>48</v>
      </c>
      <c r="I86" s="149" t="s">
        <v>158</v>
      </c>
      <c r="J86" s="149" t="s">
        <v>159</v>
      </c>
      <c r="K86" s="149" t="s">
        <v>163</v>
      </c>
      <c r="L86" s="149" t="s">
        <v>160</v>
      </c>
      <c r="M86" s="150">
        <v>46127</v>
      </c>
      <c r="N86" s="149" t="s">
        <v>780</v>
      </c>
      <c r="O86" s="149">
        <v>9156862</v>
      </c>
      <c r="P86" s="150">
        <v>46113</v>
      </c>
      <c r="Q86" s="149" t="s">
        <v>161</v>
      </c>
      <c r="R86" s="149">
        <v>2770</v>
      </c>
      <c r="S86" s="149" t="s">
        <v>299</v>
      </c>
      <c r="T86" s="149" t="s">
        <v>176</v>
      </c>
      <c r="U86" s="149" t="s">
        <v>177</v>
      </c>
      <c r="V86" s="148" t="s">
        <v>162</v>
      </c>
      <c r="W86" s="84"/>
      <c r="X86" s="149">
        <v>1</v>
      </c>
      <c r="Y86" s="149">
        <v>4365</v>
      </c>
      <c r="Z86" s="149">
        <v>4365</v>
      </c>
      <c r="AA86" s="148" t="s">
        <v>99</v>
      </c>
      <c r="AB86" s="149" t="s">
        <v>780</v>
      </c>
      <c r="AC86" s="150">
        <v>46113</v>
      </c>
      <c r="AD86" s="149" t="s">
        <v>164</v>
      </c>
      <c r="AE86" s="149">
        <v>997314</v>
      </c>
      <c r="AF86" s="149" t="s">
        <v>781</v>
      </c>
      <c r="AG86" s="84"/>
      <c r="AH86" s="84"/>
      <c r="AI86" s="149">
        <v>4365</v>
      </c>
      <c r="AJ86" s="149" t="s">
        <v>368</v>
      </c>
      <c r="AK86" s="149">
        <v>18</v>
      </c>
      <c r="AL86" s="149">
        <v>0</v>
      </c>
      <c r="AM86" s="149">
        <v>0</v>
      </c>
      <c r="AN86" s="149">
        <v>785.70</v>
      </c>
      <c r="AO86" s="149">
        <v>0</v>
      </c>
      <c r="AP86" s="149">
        <v>0</v>
      </c>
      <c r="AQ86" s="149">
        <v>0</v>
      </c>
      <c r="AR86" s="148">
        <v>0</v>
      </c>
      <c r="AS86" s="149">
        <v>0</v>
      </c>
      <c r="AT86" s="148">
        <v>0</v>
      </c>
      <c r="AU86" s="84"/>
      <c r="AV86" s="84"/>
      <c r="AW86" s="149">
        <v>0</v>
      </c>
      <c r="AX86" s="149">
        <v>5150.70</v>
      </c>
      <c r="AY86" s="149" t="s">
        <v>100</v>
      </c>
      <c r="AZ86" s="149" t="s">
        <v>101</v>
      </c>
      <c r="BA86" s="149" t="s">
        <v>321</v>
      </c>
      <c r="BB86" s="149">
        <v>1126100091</v>
      </c>
      <c r="BC86" s="149" t="s">
        <v>102</v>
      </c>
      <c r="BD86" s="149" t="s">
        <v>103</v>
      </c>
      <c r="BE86" s="84"/>
      <c r="BF86" s="84" t="s">
        <v>270</v>
      </c>
      <c r="BG86" s="84" t="s">
        <v>281</v>
      </c>
      <c r="BH86" s="149" t="s">
        <v>290</v>
      </c>
      <c r="BI86" t="s">
        <v>155</v>
      </c>
      <c r="BJ86" t="s">
        <v>156</v>
      </c>
      <c r="BK86" t="s">
        <v>782</v>
      </c>
      <c r="BL86">
        <v>785.70</v>
      </c>
      <c r="BM86">
        <v>785.70</v>
      </c>
      <c r="BN86">
        <v>0</v>
      </c>
      <c r="BO86" t="s">
        <v>154</v>
      </c>
      <c r="BP86">
        <v>9156862</v>
      </c>
      <c r="BQ86" t="s">
        <v>270</v>
      </c>
      <c r="BR86" t="s">
        <v>630</v>
      </c>
      <c r="BS86">
        <v>1</v>
      </c>
    </row>
    <row r="87" spans="1:71" s="0" customFormat="1" ht="14.5">
      <c r="A87" s="148" t="s">
        <v>157</v>
      </c>
      <c r="B87" s="149" t="s">
        <v>625</v>
      </c>
      <c r="C87" s="149">
        <v>107</v>
      </c>
      <c r="D87" s="149" t="s">
        <v>97</v>
      </c>
      <c r="E87" s="149" t="s">
        <v>98</v>
      </c>
      <c r="F87" s="84"/>
      <c r="G87" s="84"/>
      <c r="H87" s="149" t="s">
        <v>48</v>
      </c>
      <c r="I87" s="149" t="s">
        <v>158</v>
      </c>
      <c r="J87" s="149" t="s">
        <v>159</v>
      </c>
      <c r="K87" s="149" t="s">
        <v>166</v>
      </c>
      <c r="L87" s="149" t="s">
        <v>348</v>
      </c>
      <c r="M87" s="150">
        <v>46142</v>
      </c>
      <c r="N87" s="149" t="s">
        <v>783</v>
      </c>
      <c r="O87" s="149">
        <v>9178799</v>
      </c>
      <c r="P87" s="150">
        <v>46095</v>
      </c>
      <c r="Q87" s="149" t="s">
        <v>161</v>
      </c>
      <c r="R87" s="149">
        <v>11570</v>
      </c>
      <c r="S87" s="149" t="s">
        <v>343</v>
      </c>
      <c r="T87" s="149" t="s">
        <v>153</v>
      </c>
      <c r="U87" s="149" t="s">
        <v>429</v>
      </c>
      <c r="V87" s="84"/>
      <c r="W87" s="84"/>
      <c r="X87" s="149">
        <v>0</v>
      </c>
      <c r="Y87" s="149">
        <v>0</v>
      </c>
      <c r="Z87" s="149">
        <v>-262.89999999999998</v>
      </c>
      <c r="AA87" s="148" t="s">
        <v>99</v>
      </c>
      <c r="AB87" s="149" t="s">
        <v>783</v>
      </c>
      <c r="AC87" s="150">
        <v>46095</v>
      </c>
      <c r="AD87" s="84"/>
      <c r="AE87" s="149">
        <v>9971</v>
      </c>
      <c r="AF87" s="149" t="s">
        <v>784</v>
      </c>
      <c r="AG87" s="84"/>
      <c r="AH87" s="84"/>
      <c r="AI87" s="149">
        <v>-262.89999999999998</v>
      </c>
      <c r="AJ87" s="149" t="s">
        <v>368</v>
      </c>
      <c r="AK87" s="149">
        <v>18</v>
      </c>
      <c r="AL87" s="149">
        <v>-23.66</v>
      </c>
      <c r="AM87" s="149">
        <v>-23.66</v>
      </c>
      <c r="AN87" s="149">
        <v>0</v>
      </c>
      <c r="AO87" s="149">
        <v>0</v>
      </c>
      <c r="AP87" s="149">
        <v>0</v>
      </c>
      <c r="AQ87" s="149">
        <v>0</v>
      </c>
      <c r="AR87" s="148">
        <v>0</v>
      </c>
      <c r="AS87" s="149">
        <v>0</v>
      </c>
      <c r="AT87" s="148">
        <v>0</v>
      </c>
      <c r="AU87" s="84"/>
      <c r="AV87" s="84"/>
      <c r="AW87" s="149">
        <v>0</v>
      </c>
      <c r="AX87" s="149">
        <v>-310.22000000000003</v>
      </c>
      <c r="AY87" s="149" t="s">
        <v>101</v>
      </c>
      <c r="AZ87" s="149" t="s">
        <v>101</v>
      </c>
      <c r="BA87" s="149" t="s">
        <v>344</v>
      </c>
      <c r="BB87" s="149">
        <v>1126100480</v>
      </c>
      <c r="BC87" s="149" t="s">
        <v>172</v>
      </c>
      <c r="BD87" s="149" t="s">
        <v>103</v>
      </c>
      <c r="BE87" s="84"/>
      <c r="BF87" s="84" t="s">
        <v>271</v>
      </c>
      <c r="BG87" s="84" t="s">
        <v>281</v>
      </c>
      <c r="BH87" s="149" t="s">
        <v>289</v>
      </c>
      <c r="BI87" t="s">
        <v>155</v>
      </c>
      <c r="BJ87" t="s">
        <v>156</v>
      </c>
      <c r="BK87" t="s">
        <v>785</v>
      </c>
      <c r="BL87">
        <v>-47.32</v>
      </c>
      <c r="BM87">
        <v>-47.32</v>
      </c>
      <c r="BN87">
        <v>0</v>
      </c>
      <c r="BO87" t="s">
        <v>154</v>
      </c>
      <c r="BP87">
        <v>9178799</v>
      </c>
      <c r="BQ87" t="s">
        <v>271</v>
      </c>
      <c r="BR87" t="s">
        <v>307</v>
      </c>
      <c r="BS87">
        <v>1</v>
      </c>
    </row>
    <row r="88" spans="1:71" s="0" customFormat="1" ht="14.5">
      <c r="A88" s="148" t="s">
        <v>157</v>
      </c>
      <c r="B88" s="149" t="s">
        <v>625</v>
      </c>
      <c r="C88" s="149">
        <v>107</v>
      </c>
      <c r="D88" s="149" t="s">
        <v>97</v>
      </c>
      <c r="E88" s="149" t="s">
        <v>98</v>
      </c>
      <c r="F88" s="84"/>
      <c r="G88" s="84"/>
      <c r="H88" s="149" t="s">
        <v>48</v>
      </c>
      <c r="I88" s="149" t="s">
        <v>158</v>
      </c>
      <c r="J88" s="149" t="s">
        <v>159</v>
      </c>
      <c r="K88" s="149" t="s">
        <v>166</v>
      </c>
      <c r="L88" s="149" t="s">
        <v>160</v>
      </c>
      <c r="M88" s="150">
        <v>46141</v>
      </c>
      <c r="N88" s="149" t="s">
        <v>786</v>
      </c>
      <c r="O88" s="149">
        <v>9177547</v>
      </c>
      <c r="P88" s="150">
        <v>46121</v>
      </c>
      <c r="Q88" s="149" t="s">
        <v>161</v>
      </c>
      <c r="R88" s="149">
        <v>3734</v>
      </c>
      <c r="S88" s="149" t="s">
        <v>713</v>
      </c>
      <c r="T88" s="149" t="s">
        <v>169</v>
      </c>
      <c r="U88" s="149" t="s">
        <v>714</v>
      </c>
      <c r="V88" s="84"/>
      <c r="W88" s="84"/>
      <c r="X88" s="149">
        <v>0</v>
      </c>
      <c r="Y88" s="149">
        <v>0</v>
      </c>
      <c r="Z88" s="149">
        <v>0</v>
      </c>
      <c r="AA88" s="148" t="s">
        <v>99</v>
      </c>
      <c r="AB88" s="149" t="s">
        <v>786</v>
      </c>
      <c r="AC88" s="150">
        <v>46121</v>
      </c>
      <c r="AD88" s="84"/>
      <c r="AE88" s="149">
        <v>998599</v>
      </c>
      <c r="AF88" s="149" t="s">
        <v>787</v>
      </c>
      <c r="AG88" s="84"/>
      <c r="AH88" s="84"/>
      <c r="AI88" s="149">
        <v>0</v>
      </c>
      <c r="AJ88" s="149" t="s">
        <v>368</v>
      </c>
      <c r="AK88" s="149">
        <v>18</v>
      </c>
      <c r="AL88" s="149">
        <v>1540.80</v>
      </c>
      <c r="AM88" s="149">
        <v>1540.80</v>
      </c>
      <c r="AN88" s="149">
        <v>0</v>
      </c>
      <c r="AO88" s="149">
        <v>0</v>
      </c>
      <c r="AP88" s="149">
        <v>0</v>
      </c>
      <c r="AQ88" s="149">
        <v>0</v>
      </c>
      <c r="AR88" s="148">
        <v>0</v>
      </c>
      <c r="AS88" s="149">
        <v>0</v>
      </c>
      <c r="AT88" s="148">
        <v>0</v>
      </c>
      <c r="AU88" s="84"/>
      <c r="AV88" s="84"/>
      <c r="AW88" s="149">
        <v>0</v>
      </c>
      <c r="AX88" s="149">
        <v>3081.60</v>
      </c>
      <c r="AY88" s="149" t="s">
        <v>101</v>
      </c>
      <c r="AZ88" s="149" t="s">
        <v>101</v>
      </c>
      <c r="BA88" s="149" t="s">
        <v>788</v>
      </c>
      <c r="BB88" s="149">
        <v>1126100467</v>
      </c>
      <c r="BC88" s="149" t="s">
        <v>172</v>
      </c>
      <c r="BD88" s="149" t="s">
        <v>103</v>
      </c>
      <c r="BE88" s="84"/>
      <c r="BF88" s="84" t="s">
        <v>271</v>
      </c>
      <c r="BG88" s="84" t="s">
        <v>281</v>
      </c>
      <c r="BH88" s="149" t="s">
        <v>290</v>
      </c>
      <c r="BI88" t="s">
        <v>155</v>
      </c>
      <c r="BJ88" t="s">
        <v>156</v>
      </c>
      <c r="BK88" t="s">
        <v>789</v>
      </c>
      <c r="BL88">
        <v>3081.60</v>
      </c>
      <c r="BM88">
        <v>3081.60</v>
      </c>
      <c r="BN88">
        <v>0</v>
      </c>
      <c r="BO88" t="s">
        <v>154</v>
      </c>
      <c r="BP88">
        <v>9177547</v>
      </c>
      <c r="BQ88" t="s">
        <v>271</v>
      </c>
      <c r="BR88" t="s">
        <v>630</v>
      </c>
      <c r="BS88">
        <v>1</v>
      </c>
    </row>
    <row r="89" spans="1:71" s="0" customFormat="1" ht="14.5">
      <c r="A89" s="148" t="s">
        <v>157</v>
      </c>
      <c r="B89" s="149" t="s">
        <v>625</v>
      </c>
      <c r="C89" s="149">
        <v>107</v>
      </c>
      <c r="D89" s="149" t="s">
        <v>97</v>
      </c>
      <c r="E89" s="149" t="s">
        <v>98</v>
      </c>
      <c r="F89" s="84"/>
      <c r="G89" s="84"/>
      <c r="H89" s="149" t="s">
        <v>48</v>
      </c>
      <c r="I89" s="149" t="s">
        <v>158</v>
      </c>
      <c r="J89" s="149" t="s">
        <v>159</v>
      </c>
      <c r="K89" s="149" t="s">
        <v>166</v>
      </c>
      <c r="L89" s="149" t="s">
        <v>160</v>
      </c>
      <c r="M89" s="150">
        <v>46126</v>
      </c>
      <c r="N89" s="149" t="s">
        <v>790</v>
      </c>
      <c r="O89" s="149">
        <v>9151216</v>
      </c>
      <c r="P89" s="150">
        <v>46113</v>
      </c>
      <c r="Q89" s="149" t="s">
        <v>161</v>
      </c>
      <c r="R89" s="149">
        <v>29291</v>
      </c>
      <c r="S89" s="149" t="s">
        <v>282</v>
      </c>
      <c r="T89" s="149" t="s">
        <v>153</v>
      </c>
      <c r="U89" s="84"/>
      <c r="V89" s="84"/>
      <c r="W89" s="84"/>
      <c r="X89" s="149">
        <v>0</v>
      </c>
      <c r="Y89" s="149">
        <v>0</v>
      </c>
      <c r="Z89" s="149">
        <v>169312</v>
      </c>
      <c r="AA89" s="148" t="s">
        <v>99</v>
      </c>
      <c r="AB89" s="149" t="s">
        <v>791</v>
      </c>
      <c r="AC89" s="150">
        <v>46113</v>
      </c>
      <c r="AD89" s="84"/>
      <c r="AE89" s="149">
        <v>997211</v>
      </c>
      <c r="AF89" s="149" t="s">
        <v>792</v>
      </c>
      <c r="AG89" s="84"/>
      <c r="AH89" s="84"/>
      <c r="AI89" s="149">
        <v>169312</v>
      </c>
      <c r="AJ89" s="149" t="s">
        <v>368</v>
      </c>
      <c r="AK89" s="149">
        <v>18</v>
      </c>
      <c r="AL89" s="149">
        <v>15238.08</v>
      </c>
      <c r="AM89" s="149">
        <v>15238.08</v>
      </c>
      <c r="AN89" s="149">
        <v>0</v>
      </c>
      <c r="AO89" s="149">
        <v>0</v>
      </c>
      <c r="AP89" s="149">
        <v>0</v>
      </c>
      <c r="AQ89" s="149">
        <v>0</v>
      </c>
      <c r="AR89" s="148">
        <v>0</v>
      </c>
      <c r="AS89" s="149">
        <v>0</v>
      </c>
      <c r="AT89" s="148">
        <v>0</v>
      </c>
      <c r="AU89" s="84"/>
      <c r="AV89" s="84"/>
      <c r="AW89" s="149">
        <v>0</v>
      </c>
      <c r="AX89" s="149">
        <v>199788.16</v>
      </c>
      <c r="AY89" s="149" t="s">
        <v>100</v>
      </c>
      <c r="AZ89" s="149" t="s">
        <v>100</v>
      </c>
      <c r="BA89" s="149" t="s">
        <v>283</v>
      </c>
      <c r="BB89" s="149">
        <v>1126100053</v>
      </c>
      <c r="BC89" s="149" t="s">
        <v>188</v>
      </c>
      <c r="BD89" s="149" t="s">
        <v>103</v>
      </c>
      <c r="BE89" s="84"/>
      <c r="BF89" s="84" t="s">
        <v>210</v>
      </c>
      <c r="BG89" s="84" t="s">
        <v>280</v>
      </c>
      <c r="BH89" s="149" t="s">
        <v>289</v>
      </c>
      <c r="BI89" t="s">
        <v>155</v>
      </c>
      <c r="BJ89" t="s">
        <v>156</v>
      </c>
      <c r="BK89" t="s">
        <v>791</v>
      </c>
      <c r="BL89">
        <v>30476.16</v>
      </c>
      <c r="BM89" t="e">
        <v>#N/A</v>
      </c>
      <c r="BN89" t="e">
        <v>#N/A</v>
      </c>
      <c r="BO89" t="s">
        <v>199</v>
      </c>
      <c r="BP89">
        <v>9151216</v>
      </c>
      <c r="BQ89" t="s">
        <v>210</v>
      </c>
      <c r="BR89" t="s">
        <v>199</v>
      </c>
      <c r="BS89">
        <v>1</v>
      </c>
    </row>
    <row r="90" spans="1:71" s="0" customFormat="1" ht="14.5">
      <c r="A90" s="148" t="s">
        <v>157</v>
      </c>
      <c r="B90" s="149" t="s">
        <v>625</v>
      </c>
      <c r="C90" s="149">
        <v>107</v>
      </c>
      <c r="D90" s="149" t="s">
        <v>97</v>
      </c>
      <c r="E90" s="149" t="s">
        <v>98</v>
      </c>
      <c r="F90" s="84"/>
      <c r="G90" s="149" t="s">
        <v>106</v>
      </c>
      <c r="H90" s="149" t="s">
        <v>48</v>
      </c>
      <c r="I90" s="149" t="s">
        <v>158</v>
      </c>
      <c r="J90" s="149" t="s">
        <v>165</v>
      </c>
      <c r="K90" s="149" t="s">
        <v>166</v>
      </c>
      <c r="L90" s="149" t="s">
        <v>160</v>
      </c>
      <c r="M90" s="150">
        <v>46127</v>
      </c>
      <c r="N90" s="149" t="s">
        <v>626</v>
      </c>
      <c r="O90" s="149">
        <v>9158398</v>
      </c>
      <c r="P90" s="150">
        <v>46090</v>
      </c>
      <c r="Q90" s="149" t="s">
        <v>161</v>
      </c>
      <c r="R90" s="149">
        <v>35671</v>
      </c>
      <c r="S90" s="149" t="s">
        <v>424</v>
      </c>
      <c r="T90" s="149" t="s">
        <v>425</v>
      </c>
      <c r="U90" s="149" t="s">
        <v>426</v>
      </c>
      <c r="V90" s="148" t="s">
        <v>162</v>
      </c>
      <c r="W90" s="84"/>
      <c r="X90" s="149">
        <v>253.81</v>
      </c>
      <c r="Y90" s="149">
        <v>2</v>
      </c>
      <c r="Z90" s="149">
        <v>507.62</v>
      </c>
      <c r="AA90" s="148" t="s">
        <v>99</v>
      </c>
      <c r="AB90" s="149" t="s">
        <v>626</v>
      </c>
      <c r="AC90" s="150">
        <v>46121</v>
      </c>
      <c r="AD90" s="149" t="s">
        <v>164</v>
      </c>
      <c r="AE90" s="149">
        <v>28539010</v>
      </c>
      <c r="AF90" s="149" t="s">
        <v>793</v>
      </c>
      <c r="AG90" s="84"/>
      <c r="AH90" s="84"/>
      <c r="AI90" s="149">
        <v>507.62</v>
      </c>
      <c r="AJ90" s="149" t="s">
        <v>368</v>
      </c>
      <c r="AK90" s="149">
        <v>18</v>
      </c>
      <c r="AL90" s="149">
        <v>0</v>
      </c>
      <c r="AM90" s="149">
        <v>0</v>
      </c>
      <c r="AN90" s="149">
        <v>91.37</v>
      </c>
      <c r="AO90" s="149">
        <v>0</v>
      </c>
      <c r="AP90" s="149">
        <v>0</v>
      </c>
      <c r="AQ90" s="149">
        <v>0</v>
      </c>
      <c r="AR90" s="148">
        <v>0</v>
      </c>
      <c r="AS90" s="149">
        <v>0</v>
      </c>
      <c r="AT90" s="148">
        <v>0</v>
      </c>
      <c r="AU90" s="84"/>
      <c r="AV90" s="84"/>
      <c r="AW90" s="149">
        <v>0</v>
      </c>
      <c r="AX90" s="149">
        <v>598.99</v>
      </c>
      <c r="AY90" s="149" t="s">
        <v>101</v>
      </c>
      <c r="AZ90" s="149" t="s">
        <v>101</v>
      </c>
      <c r="BA90" s="149" t="s">
        <v>628</v>
      </c>
      <c r="BB90" s="149">
        <v>1126100105</v>
      </c>
      <c r="BC90" s="149" t="s">
        <v>168</v>
      </c>
      <c r="BD90" s="149" t="s">
        <v>272</v>
      </c>
      <c r="BE90" s="84"/>
      <c r="BF90" s="84" t="s">
        <v>271</v>
      </c>
      <c r="BG90" s="84" t="s">
        <v>281</v>
      </c>
      <c r="BH90" s="149" t="s">
        <v>290</v>
      </c>
      <c r="BI90" t="s">
        <v>155</v>
      </c>
      <c r="BJ90" t="s">
        <v>156</v>
      </c>
      <c r="BK90" t="s">
        <v>629</v>
      </c>
      <c r="BL90">
        <v>91.37</v>
      </c>
      <c r="BM90">
        <v>38182.879999999997</v>
      </c>
      <c r="BN90">
        <v>-38092</v>
      </c>
      <c r="BO90" t="s">
        <v>154</v>
      </c>
      <c r="BP90">
        <v>9158398</v>
      </c>
      <c r="BQ90" t="s">
        <v>271</v>
      </c>
      <c r="BR90" t="s">
        <v>630</v>
      </c>
      <c r="BS90">
        <v>37</v>
      </c>
    </row>
    <row r="91" spans="1:71" s="0" customFormat="1" ht="14.5">
      <c r="A91" s="148" t="s">
        <v>157</v>
      </c>
      <c r="B91" s="149" t="s">
        <v>625</v>
      </c>
      <c r="C91" s="149">
        <v>107</v>
      </c>
      <c r="D91" s="149" t="s">
        <v>97</v>
      </c>
      <c r="E91" s="149" t="s">
        <v>98</v>
      </c>
      <c r="F91" s="84"/>
      <c r="G91" s="84"/>
      <c r="H91" s="149" t="s">
        <v>48</v>
      </c>
      <c r="I91" s="149" t="s">
        <v>158</v>
      </c>
      <c r="J91" s="149" t="s">
        <v>159</v>
      </c>
      <c r="K91" s="149" t="s">
        <v>421</v>
      </c>
      <c r="L91" s="149" t="s">
        <v>160</v>
      </c>
      <c r="M91" s="150">
        <v>46133</v>
      </c>
      <c r="N91" s="149" t="s">
        <v>794</v>
      </c>
      <c r="O91" s="149">
        <v>9164380</v>
      </c>
      <c r="P91" s="150">
        <v>46115</v>
      </c>
      <c r="Q91" s="149" t="s">
        <v>161</v>
      </c>
      <c r="R91" s="149">
        <v>6262</v>
      </c>
      <c r="S91" s="149" t="s">
        <v>183</v>
      </c>
      <c r="T91" s="149" t="s">
        <v>182</v>
      </c>
      <c r="U91" s="149" t="s">
        <v>184</v>
      </c>
      <c r="V91" s="148" t="s">
        <v>162</v>
      </c>
      <c r="W91" s="84"/>
      <c r="X91" s="149">
        <v>1</v>
      </c>
      <c r="Y91" s="149">
        <v>399</v>
      </c>
      <c r="Z91" s="149">
        <v>399</v>
      </c>
      <c r="AA91" s="148" t="s">
        <v>99</v>
      </c>
      <c r="AB91" s="149" t="s">
        <v>794</v>
      </c>
      <c r="AC91" s="150">
        <v>46115</v>
      </c>
      <c r="AD91" s="149" t="s">
        <v>171</v>
      </c>
      <c r="AE91" s="149">
        <v>998412</v>
      </c>
      <c r="AF91" s="149" t="s">
        <v>702</v>
      </c>
      <c r="AG91" s="84"/>
      <c r="AH91" s="84"/>
      <c r="AI91" s="149">
        <v>399</v>
      </c>
      <c r="AJ91" s="149" t="s">
        <v>368</v>
      </c>
      <c r="AK91" s="149">
        <v>18</v>
      </c>
      <c r="AL91" s="149">
        <v>35.909999999999997</v>
      </c>
      <c r="AM91" s="149">
        <v>35.909999999999997</v>
      </c>
      <c r="AN91" s="149">
        <v>0</v>
      </c>
      <c r="AO91" s="149">
        <v>0</v>
      </c>
      <c r="AP91" s="149">
        <v>0</v>
      </c>
      <c r="AQ91" s="149">
        <v>0</v>
      </c>
      <c r="AR91" s="148">
        <v>0</v>
      </c>
      <c r="AS91" s="149">
        <v>0</v>
      </c>
      <c r="AT91" s="148">
        <v>0</v>
      </c>
      <c r="AU91" s="84"/>
      <c r="AV91" s="84"/>
      <c r="AW91" s="149">
        <v>0</v>
      </c>
      <c r="AX91" s="149">
        <v>470.82</v>
      </c>
      <c r="AY91" s="149" t="s">
        <v>100</v>
      </c>
      <c r="AZ91" s="149" t="s">
        <v>101</v>
      </c>
      <c r="BA91" s="149" t="s">
        <v>422</v>
      </c>
      <c r="BB91" s="149">
        <v>1126100276</v>
      </c>
      <c r="BC91" s="149" t="s">
        <v>105</v>
      </c>
      <c r="BD91" s="149" t="s">
        <v>103</v>
      </c>
      <c r="BE91" s="84"/>
      <c r="BF91" s="84" t="s">
        <v>270</v>
      </c>
      <c r="BG91" s="84" t="s">
        <v>281</v>
      </c>
      <c r="BH91" s="149" t="s">
        <v>290</v>
      </c>
      <c r="BI91" t="s">
        <v>155</v>
      </c>
      <c r="BJ91" t="s">
        <v>156</v>
      </c>
      <c r="BK91" t="s">
        <v>795</v>
      </c>
      <c r="BL91">
        <v>71.819999999999993</v>
      </c>
      <c r="BM91">
        <v>71.819999999999993</v>
      </c>
      <c r="BN91">
        <v>0</v>
      </c>
      <c r="BO91" t="s">
        <v>154</v>
      </c>
      <c r="BP91">
        <v>9164380</v>
      </c>
      <c r="BQ91" t="s">
        <v>270</v>
      </c>
      <c r="BR91" t="s">
        <v>630</v>
      </c>
      <c r="BS91">
        <v>1</v>
      </c>
    </row>
    <row r="92" spans="1:71" s="0" customFormat="1" ht="14.5">
      <c r="A92" s="148" t="s">
        <v>157</v>
      </c>
      <c r="B92" s="149" t="s">
        <v>625</v>
      </c>
      <c r="C92" s="149">
        <v>107</v>
      </c>
      <c r="D92" s="149" t="s">
        <v>97</v>
      </c>
      <c r="E92" s="149" t="s">
        <v>98</v>
      </c>
      <c r="F92" s="84"/>
      <c r="G92" s="84"/>
      <c r="H92" s="149" t="s">
        <v>48</v>
      </c>
      <c r="I92" s="149" t="s">
        <v>158</v>
      </c>
      <c r="J92" s="149" t="s">
        <v>159</v>
      </c>
      <c r="K92" s="149" t="s">
        <v>163</v>
      </c>
      <c r="L92" s="149" t="s">
        <v>160</v>
      </c>
      <c r="M92" s="150">
        <v>46141</v>
      </c>
      <c r="N92" s="157">
        <v>46082</v>
      </c>
      <c r="O92" s="149">
        <v>9178114</v>
      </c>
      <c r="P92" s="150">
        <v>46127</v>
      </c>
      <c r="Q92" s="149" t="s">
        <v>161</v>
      </c>
      <c r="R92" s="149">
        <v>5093</v>
      </c>
      <c r="S92" s="149" t="s">
        <v>358</v>
      </c>
      <c r="T92" s="149" t="s">
        <v>153</v>
      </c>
      <c r="U92" s="149" t="s">
        <v>359</v>
      </c>
      <c r="V92" s="148" t="s">
        <v>162</v>
      </c>
      <c r="W92" s="84"/>
      <c r="X92" s="149">
        <v>1</v>
      </c>
      <c r="Y92" s="149">
        <v>4750</v>
      </c>
      <c r="Z92" s="149">
        <v>4750</v>
      </c>
      <c r="AA92" s="148" t="s">
        <v>99</v>
      </c>
      <c r="AB92" s="149">
        <v>3</v>
      </c>
      <c r="AC92" s="150">
        <v>46127</v>
      </c>
      <c r="AD92" s="149" t="s">
        <v>173</v>
      </c>
      <c r="AE92" s="149">
        <v>8536</v>
      </c>
      <c r="AF92" s="149" t="s">
        <v>796</v>
      </c>
      <c r="AG92" s="84"/>
      <c r="AH92" s="84"/>
      <c r="AI92" s="149">
        <v>4750</v>
      </c>
      <c r="AJ92" s="149" t="s">
        <v>368</v>
      </c>
      <c r="AK92" s="149">
        <v>18</v>
      </c>
      <c r="AL92" s="149">
        <v>427.5</v>
      </c>
      <c r="AM92" s="149">
        <v>427.5</v>
      </c>
      <c r="AN92" s="149">
        <v>0</v>
      </c>
      <c r="AO92" s="149">
        <v>0</v>
      </c>
      <c r="AP92" s="149">
        <v>0</v>
      </c>
      <c r="AQ92" s="149">
        <v>0</v>
      </c>
      <c r="AR92" s="148">
        <v>0</v>
      </c>
      <c r="AS92" s="149">
        <v>0</v>
      </c>
      <c r="AT92" s="148">
        <v>0</v>
      </c>
      <c r="AU92" s="84"/>
      <c r="AV92" s="84"/>
      <c r="AW92" s="149">
        <v>0</v>
      </c>
      <c r="AX92" s="149">
        <v>5605</v>
      </c>
      <c r="AY92" s="149" t="s">
        <v>100</v>
      </c>
      <c r="AZ92" s="149" t="s">
        <v>101</v>
      </c>
      <c r="BA92" s="149" t="s">
        <v>356</v>
      </c>
      <c r="BB92" s="149">
        <v>1126100466</v>
      </c>
      <c r="BC92" s="149" t="s">
        <v>105</v>
      </c>
      <c r="BD92" s="149" t="s">
        <v>104</v>
      </c>
      <c r="BE92" s="84"/>
      <c r="BF92" s="84" t="s">
        <v>270</v>
      </c>
      <c r="BG92" s="84" t="s">
        <v>281</v>
      </c>
      <c r="BH92" s="149" t="s">
        <v>289</v>
      </c>
      <c r="BI92" t="s">
        <v>155</v>
      </c>
      <c r="BJ92" t="s">
        <v>156</v>
      </c>
      <c r="BK92" t="s">
        <v>698</v>
      </c>
      <c r="BL92">
        <v>855</v>
      </c>
      <c r="BM92">
        <v>1584</v>
      </c>
      <c r="BN92">
        <v>-729</v>
      </c>
      <c r="BO92" t="s">
        <v>154</v>
      </c>
      <c r="BP92">
        <v>9178114</v>
      </c>
      <c r="BQ92" t="s">
        <v>270</v>
      </c>
      <c r="BR92" t="s">
        <v>630</v>
      </c>
      <c r="BS92">
        <v>3</v>
      </c>
    </row>
    <row r="93" spans="1:71" s="0" customFormat="1" ht="14.5">
      <c r="A93" s="148" t="s">
        <v>157</v>
      </c>
      <c r="B93" s="149" t="s">
        <v>625</v>
      </c>
      <c r="C93" s="149">
        <v>107</v>
      </c>
      <c r="D93" s="149" t="s">
        <v>97</v>
      </c>
      <c r="E93" s="149" t="s">
        <v>98</v>
      </c>
      <c r="F93" s="84"/>
      <c r="G93" s="84"/>
      <c r="H93" s="149" t="s">
        <v>48</v>
      </c>
      <c r="I93" s="149" t="s">
        <v>158</v>
      </c>
      <c r="J93" s="149" t="s">
        <v>159</v>
      </c>
      <c r="K93" s="149" t="s">
        <v>163</v>
      </c>
      <c r="L93" s="149" t="s">
        <v>160</v>
      </c>
      <c r="M93" s="150">
        <v>46133</v>
      </c>
      <c r="N93" s="149" t="s">
        <v>797</v>
      </c>
      <c r="O93" s="149">
        <v>9164021</v>
      </c>
      <c r="P93" s="150">
        <v>46108</v>
      </c>
      <c r="Q93" s="149" t="s">
        <v>161</v>
      </c>
      <c r="R93" s="149">
        <v>45456</v>
      </c>
      <c r="S93" s="149" t="s">
        <v>418</v>
      </c>
      <c r="T93" s="149" t="s">
        <v>419</v>
      </c>
      <c r="U93" s="84"/>
      <c r="V93" s="84"/>
      <c r="W93" s="84"/>
      <c r="X93" s="149">
        <v>0</v>
      </c>
      <c r="Y93" s="149">
        <v>0</v>
      </c>
      <c r="Z93" s="149">
        <v>180</v>
      </c>
      <c r="AA93" s="148" t="s">
        <v>99</v>
      </c>
      <c r="AB93" s="149" t="s">
        <v>797</v>
      </c>
      <c r="AC93" s="150">
        <v>46108</v>
      </c>
      <c r="AD93" s="84"/>
      <c r="AE93" s="149">
        <v>998216</v>
      </c>
      <c r="AF93" s="149" t="s">
        <v>798</v>
      </c>
      <c r="AG93" s="84"/>
      <c r="AH93" s="84"/>
      <c r="AI93" s="149">
        <v>180</v>
      </c>
      <c r="AJ93" s="149" t="s">
        <v>368</v>
      </c>
      <c r="AK93" s="149">
        <v>18</v>
      </c>
      <c r="AL93" s="149">
        <v>16.20</v>
      </c>
      <c r="AM93" s="149">
        <v>16.20</v>
      </c>
      <c r="AN93" s="149">
        <v>0</v>
      </c>
      <c r="AO93" s="149">
        <v>0</v>
      </c>
      <c r="AP93" s="149">
        <v>0</v>
      </c>
      <c r="AQ93" s="149">
        <v>0</v>
      </c>
      <c r="AR93" s="148">
        <v>0</v>
      </c>
      <c r="AS93" s="149">
        <v>0</v>
      </c>
      <c r="AT93" s="148">
        <v>0</v>
      </c>
      <c r="AU93" s="84"/>
      <c r="AV93" s="84"/>
      <c r="AW93" s="149">
        <v>0</v>
      </c>
      <c r="AX93" s="149">
        <v>212.40</v>
      </c>
      <c r="AY93" s="149" t="s">
        <v>100</v>
      </c>
      <c r="AZ93" s="149" t="s">
        <v>100</v>
      </c>
      <c r="BA93" s="149" t="s">
        <v>642</v>
      </c>
      <c r="BB93" s="149">
        <v>1125113944</v>
      </c>
      <c r="BC93" s="149" t="s">
        <v>188</v>
      </c>
      <c r="BD93" s="149" t="s">
        <v>103</v>
      </c>
      <c r="BE93" s="84"/>
      <c r="BF93" s="84" t="s">
        <v>210</v>
      </c>
      <c r="BG93" s="84" t="s">
        <v>280</v>
      </c>
      <c r="BH93" s="149" t="s">
        <v>289</v>
      </c>
      <c r="BI93" t="s">
        <v>155</v>
      </c>
      <c r="BJ93" t="s">
        <v>156</v>
      </c>
      <c r="BK93" t="s">
        <v>797</v>
      </c>
      <c r="BL93">
        <v>32.40</v>
      </c>
      <c r="BM93" t="e">
        <v>#N/A</v>
      </c>
      <c r="BN93" t="e">
        <v>#N/A</v>
      </c>
      <c r="BO93" t="s">
        <v>199</v>
      </c>
      <c r="BP93">
        <v>9164021</v>
      </c>
      <c r="BQ93" t="s">
        <v>210</v>
      </c>
      <c r="BR93" t="s">
        <v>199</v>
      </c>
      <c r="BS93">
        <v>5</v>
      </c>
    </row>
    <row r="94" spans="1:71" s="0" customFormat="1" ht="14.5">
      <c r="A94" s="148" t="s">
        <v>157</v>
      </c>
      <c r="B94" s="149" t="s">
        <v>625</v>
      </c>
      <c r="C94" s="149">
        <v>107</v>
      </c>
      <c r="D94" s="149" t="s">
        <v>97</v>
      </c>
      <c r="E94" s="149" t="s">
        <v>98</v>
      </c>
      <c r="F94" s="84"/>
      <c r="G94" s="84"/>
      <c r="H94" s="149" t="s">
        <v>48</v>
      </c>
      <c r="I94" s="149" t="s">
        <v>158</v>
      </c>
      <c r="J94" s="149" t="s">
        <v>159</v>
      </c>
      <c r="K94" s="149" t="s">
        <v>163</v>
      </c>
      <c r="L94" s="149" t="s">
        <v>160</v>
      </c>
      <c r="M94" s="150">
        <v>46133</v>
      </c>
      <c r="N94" s="149" t="s">
        <v>699</v>
      </c>
      <c r="O94" s="149">
        <v>9164022</v>
      </c>
      <c r="P94" s="150">
        <v>46108</v>
      </c>
      <c r="Q94" s="149" t="s">
        <v>161</v>
      </c>
      <c r="R94" s="149">
        <v>45456</v>
      </c>
      <c r="S94" s="149" t="s">
        <v>418</v>
      </c>
      <c r="T94" s="149" t="s">
        <v>419</v>
      </c>
      <c r="U94" s="84"/>
      <c r="V94" s="84"/>
      <c r="W94" s="84"/>
      <c r="X94" s="149">
        <v>1500</v>
      </c>
      <c r="Y94" s="149">
        <v>1</v>
      </c>
      <c r="Z94" s="149">
        <v>1500</v>
      </c>
      <c r="AA94" s="148" t="s">
        <v>99</v>
      </c>
      <c r="AB94" s="149" t="s">
        <v>699</v>
      </c>
      <c r="AC94" s="150">
        <v>46108</v>
      </c>
      <c r="AD94" s="84"/>
      <c r="AE94" s="149">
        <v>998216</v>
      </c>
      <c r="AF94" s="149" t="s">
        <v>420</v>
      </c>
      <c r="AG94" s="84"/>
      <c r="AH94" s="84"/>
      <c r="AI94" s="149">
        <v>1500</v>
      </c>
      <c r="AJ94" s="149" t="s">
        <v>368</v>
      </c>
      <c r="AK94" s="149">
        <v>18</v>
      </c>
      <c r="AL94" s="149">
        <v>135</v>
      </c>
      <c r="AM94" s="149">
        <v>135</v>
      </c>
      <c r="AN94" s="149">
        <v>0</v>
      </c>
      <c r="AO94" s="149">
        <v>0</v>
      </c>
      <c r="AP94" s="149">
        <v>0</v>
      </c>
      <c r="AQ94" s="149">
        <v>0</v>
      </c>
      <c r="AR94" s="148">
        <v>0</v>
      </c>
      <c r="AS94" s="149">
        <v>0</v>
      </c>
      <c r="AT94" s="148">
        <v>0</v>
      </c>
      <c r="AU94" s="84"/>
      <c r="AV94" s="84"/>
      <c r="AW94" s="149">
        <v>0</v>
      </c>
      <c r="AX94" s="149">
        <v>1770</v>
      </c>
      <c r="AY94" s="149" t="s">
        <v>100</v>
      </c>
      <c r="AZ94" s="149" t="s">
        <v>100</v>
      </c>
      <c r="BA94" s="149" t="s">
        <v>642</v>
      </c>
      <c r="BB94" s="149">
        <v>1125113945</v>
      </c>
      <c r="BC94" s="149" t="s">
        <v>188</v>
      </c>
      <c r="BD94" s="149" t="s">
        <v>103</v>
      </c>
      <c r="BE94" s="84"/>
      <c r="BF94" s="84" t="s">
        <v>210</v>
      </c>
      <c r="BG94" s="84" t="s">
        <v>280</v>
      </c>
      <c r="BH94" s="149" t="s">
        <v>289</v>
      </c>
      <c r="BI94" t="s">
        <v>155</v>
      </c>
      <c r="BJ94" t="s">
        <v>156</v>
      </c>
      <c r="BK94" t="s">
        <v>699</v>
      </c>
      <c r="BL94">
        <v>270</v>
      </c>
      <c r="BM94" t="e">
        <v>#N/A</v>
      </c>
      <c r="BN94" t="e">
        <v>#N/A</v>
      </c>
      <c r="BO94" t="s">
        <v>199</v>
      </c>
      <c r="BP94">
        <v>9164022</v>
      </c>
      <c r="BQ94" t="s">
        <v>210</v>
      </c>
      <c r="BR94" t="s">
        <v>199</v>
      </c>
      <c r="BS94">
        <v>3</v>
      </c>
    </row>
    <row r="95" spans="1:71" s="0" customFormat="1" ht="14.5">
      <c r="A95" s="148" t="s">
        <v>157</v>
      </c>
      <c r="B95" s="149" t="s">
        <v>625</v>
      </c>
      <c r="C95" s="149">
        <v>107</v>
      </c>
      <c r="D95" s="149" t="s">
        <v>97</v>
      </c>
      <c r="E95" s="149" t="s">
        <v>98</v>
      </c>
      <c r="F95" s="84"/>
      <c r="G95" s="84"/>
      <c r="H95" s="149" t="s">
        <v>48</v>
      </c>
      <c r="I95" s="149" t="s">
        <v>158</v>
      </c>
      <c r="J95" s="149" t="s">
        <v>159</v>
      </c>
      <c r="K95" s="149" t="s">
        <v>163</v>
      </c>
      <c r="L95" s="149" t="s">
        <v>160</v>
      </c>
      <c r="M95" s="150">
        <v>46125</v>
      </c>
      <c r="N95" s="149" t="s">
        <v>799</v>
      </c>
      <c r="O95" s="149">
        <v>9151135</v>
      </c>
      <c r="P95" s="150">
        <v>46112</v>
      </c>
      <c r="Q95" s="149" t="s">
        <v>161</v>
      </c>
      <c r="R95" s="149">
        <v>7826</v>
      </c>
      <c r="S95" s="149" t="s">
        <v>416</v>
      </c>
      <c r="T95" s="149" t="s">
        <v>169</v>
      </c>
      <c r="U95" s="149" t="s">
        <v>407</v>
      </c>
      <c r="V95" s="148" t="s">
        <v>162</v>
      </c>
      <c r="W95" s="84"/>
      <c r="X95" s="149">
        <v>1</v>
      </c>
      <c r="Y95" s="149">
        <v>328728</v>
      </c>
      <c r="Z95" s="149">
        <v>328728</v>
      </c>
      <c r="AA95" s="148" t="s">
        <v>99</v>
      </c>
      <c r="AB95" s="149" t="s">
        <v>799</v>
      </c>
      <c r="AC95" s="150">
        <v>46112</v>
      </c>
      <c r="AD95" s="149" t="s">
        <v>171</v>
      </c>
      <c r="AE95" s="149">
        <v>998515</v>
      </c>
      <c r="AF95" s="149" t="s">
        <v>417</v>
      </c>
      <c r="AG95" s="84"/>
      <c r="AH95" s="84"/>
      <c r="AI95" s="149">
        <v>328728</v>
      </c>
      <c r="AJ95" s="149" t="s">
        <v>368</v>
      </c>
      <c r="AK95" s="149">
        <v>18</v>
      </c>
      <c r="AL95" s="149">
        <v>29585.52</v>
      </c>
      <c r="AM95" s="149">
        <v>29585.52</v>
      </c>
      <c r="AN95" s="149">
        <v>0</v>
      </c>
      <c r="AO95" s="149">
        <v>0</v>
      </c>
      <c r="AP95" s="149">
        <v>0</v>
      </c>
      <c r="AQ95" s="149">
        <v>0</v>
      </c>
      <c r="AR95" s="148">
        <v>0</v>
      </c>
      <c r="AS95" s="149">
        <v>0</v>
      </c>
      <c r="AT95" s="148">
        <v>0</v>
      </c>
      <c r="AU95" s="84"/>
      <c r="AV95" s="84"/>
      <c r="AW95" s="149">
        <v>0</v>
      </c>
      <c r="AX95" s="149">
        <v>387899.04</v>
      </c>
      <c r="AY95" s="149" t="s">
        <v>100</v>
      </c>
      <c r="AZ95" s="149" t="s">
        <v>101</v>
      </c>
      <c r="BA95" s="149" t="s">
        <v>730</v>
      </c>
      <c r="BB95" s="149">
        <v>1126100025</v>
      </c>
      <c r="BC95" s="149" t="s">
        <v>105</v>
      </c>
      <c r="BD95" s="149" t="s">
        <v>103</v>
      </c>
      <c r="BE95" s="84"/>
      <c r="BF95" s="84" t="s">
        <v>270</v>
      </c>
      <c r="BG95" s="84" t="s">
        <v>281</v>
      </c>
      <c r="BH95" s="149" t="s">
        <v>290</v>
      </c>
      <c r="BI95" t="s">
        <v>155</v>
      </c>
      <c r="BJ95" t="s">
        <v>156</v>
      </c>
      <c r="BK95" t="s">
        <v>800</v>
      </c>
      <c r="BL95">
        <v>59171.04</v>
      </c>
      <c r="BM95">
        <v>59171.04</v>
      </c>
      <c r="BN95">
        <v>0</v>
      </c>
      <c r="BO95" t="s">
        <v>154</v>
      </c>
      <c r="BP95">
        <v>9151135</v>
      </c>
      <c r="BQ95" t="s">
        <v>270</v>
      </c>
      <c r="BR95" t="s">
        <v>307</v>
      </c>
      <c r="BS95">
        <v>1</v>
      </c>
    </row>
    <row r="96" spans="1:71" s="0" customFormat="1" ht="14.5">
      <c r="A96" s="148" t="s">
        <v>157</v>
      </c>
      <c r="B96" s="149" t="s">
        <v>625</v>
      </c>
      <c r="C96" s="149">
        <v>107</v>
      </c>
      <c r="D96" s="149" t="s">
        <v>97</v>
      </c>
      <c r="E96" s="149" t="s">
        <v>98</v>
      </c>
      <c r="F96" s="84"/>
      <c r="G96" s="84"/>
      <c r="H96" s="149" t="s">
        <v>48</v>
      </c>
      <c r="I96" s="149" t="s">
        <v>158</v>
      </c>
      <c r="J96" s="148" t="s">
        <v>159</v>
      </c>
      <c r="K96" s="148" t="s">
        <v>163</v>
      </c>
      <c r="L96" s="149" t="s">
        <v>160</v>
      </c>
      <c r="M96" s="150">
        <v>46126</v>
      </c>
      <c r="N96" s="149" t="s">
        <v>801</v>
      </c>
      <c r="O96" s="149">
        <v>9155611</v>
      </c>
      <c r="P96" s="150">
        <v>46114</v>
      </c>
      <c r="Q96" s="148" t="s">
        <v>161</v>
      </c>
      <c r="R96" s="149">
        <v>2770</v>
      </c>
      <c r="S96" s="149" t="s">
        <v>299</v>
      </c>
      <c r="T96" s="149" t="s">
        <v>174</v>
      </c>
      <c r="U96" s="149" t="s">
        <v>175</v>
      </c>
      <c r="V96" s="149" t="s">
        <v>162</v>
      </c>
      <c r="W96" s="84"/>
      <c r="X96" s="148">
        <v>1</v>
      </c>
      <c r="Y96" s="149">
        <v>1817</v>
      </c>
      <c r="Z96" s="149">
        <v>1817</v>
      </c>
      <c r="AA96" s="149" t="s">
        <v>99</v>
      </c>
      <c r="AB96" s="149" t="s">
        <v>801</v>
      </c>
      <c r="AC96" s="150">
        <v>46114</v>
      </c>
      <c r="AD96" s="149" t="s">
        <v>171</v>
      </c>
      <c r="AE96" s="149">
        <v>84439952</v>
      </c>
      <c r="AF96" s="149" t="s">
        <v>802</v>
      </c>
      <c r="AG96" s="84"/>
      <c r="AH96" s="84"/>
      <c r="AI96" s="149">
        <v>1817</v>
      </c>
      <c r="AJ96" s="149" t="s">
        <v>368</v>
      </c>
      <c r="AK96" s="149">
        <v>18</v>
      </c>
      <c r="AL96" s="149">
        <v>163.53</v>
      </c>
      <c r="AM96" s="148">
        <v>163.53</v>
      </c>
      <c r="AN96" s="149">
        <v>0</v>
      </c>
      <c r="AO96" s="149">
        <v>0</v>
      </c>
      <c r="AP96" s="149">
        <v>0</v>
      </c>
      <c r="AQ96" s="149">
        <v>0</v>
      </c>
      <c r="AR96" s="149">
        <v>0</v>
      </c>
      <c r="AS96" s="149">
        <v>0</v>
      </c>
      <c r="AT96" s="149">
        <v>0</v>
      </c>
      <c r="AU96" s="84"/>
      <c r="AV96" s="84"/>
      <c r="AW96" s="148">
        <v>0</v>
      </c>
      <c r="AX96" s="149">
        <v>2144.06</v>
      </c>
      <c r="AY96" s="149" t="s">
        <v>100</v>
      </c>
      <c r="AZ96" s="149" t="s">
        <v>101</v>
      </c>
      <c r="BA96" s="149" t="s">
        <v>642</v>
      </c>
      <c r="BB96" s="149">
        <v>1126100061</v>
      </c>
      <c r="BC96" s="149" t="s">
        <v>105</v>
      </c>
      <c r="BD96" s="149" t="s">
        <v>103</v>
      </c>
      <c r="BE96" s="84"/>
      <c r="BF96" s="84" t="s">
        <v>270</v>
      </c>
      <c r="BG96" s="84" t="s">
        <v>281</v>
      </c>
      <c r="BH96" s="149" t="s">
        <v>290</v>
      </c>
      <c r="BI96" t="s">
        <v>155</v>
      </c>
      <c r="BJ96" t="s">
        <v>156</v>
      </c>
      <c r="BK96" t="s">
        <v>803</v>
      </c>
      <c r="BL96">
        <v>327.06</v>
      </c>
      <c r="BM96">
        <v>327.06</v>
      </c>
      <c r="BN96">
        <v>0</v>
      </c>
      <c r="BO96" t="s">
        <v>154</v>
      </c>
      <c r="BP96">
        <v>9155611</v>
      </c>
      <c r="BQ96" t="s">
        <v>270</v>
      </c>
      <c r="BR96" t="s">
        <v>630</v>
      </c>
      <c r="BS96">
        <v>1</v>
      </c>
    </row>
    <row r="97" spans="1:71" s="0" customFormat="1" ht="14.5">
      <c r="A97" s="148" t="s">
        <v>157</v>
      </c>
      <c r="B97" s="149" t="s">
        <v>625</v>
      </c>
      <c r="C97" s="149">
        <v>107</v>
      </c>
      <c r="D97" s="149" t="s">
        <v>97</v>
      </c>
      <c r="E97" s="149" t="s">
        <v>98</v>
      </c>
      <c r="F97" s="84"/>
      <c r="G97" s="84"/>
      <c r="H97" s="149" t="s">
        <v>48</v>
      </c>
      <c r="I97" s="149" t="s">
        <v>158</v>
      </c>
      <c r="J97" s="148" t="s">
        <v>159</v>
      </c>
      <c r="K97" s="148" t="s">
        <v>163</v>
      </c>
      <c r="L97" s="149" t="s">
        <v>160</v>
      </c>
      <c r="M97" s="150">
        <v>46142</v>
      </c>
      <c r="N97" s="149" t="s">
        <v>681</v>
      </c>
      <c r="O97" s="149">
        <v>9178273</v>
      </c>
      <c r="P97" s="150">
        <v>46129</v>
      </c>
      <c r="Q97" s="148" t="s">
        <v>161</v>
      </c>
      <c r="R97" s="149">
        <v>38296</v>
      </c>
      <c r="S97" s="149" t="s">
        <v>682</v>
      </c>
      <c r="T97" s="149" t="s">
        <v>169</v>
      </c>
      <c r="U97" s="149" t="s">
        <v>683</v>
      </c>
      <c r="V97" s="149" t="s">
        <v>162</v>
      </c>
      <c r="W97" s="84"/>
      <c r="X97" s="148">
        <v>1</v>
      </c>
      <c r="Y97" s="149">
        <v>1461.87</v>
      </c>
      <c r="Z97" s="149">
        <v>1461.87</v>
      </c>
      <c r="AA97" s="149" t="s">
        <v>99</v>
      </c>
      <c r="AB97" s="149" t="s">
        <v>681</v>
      </c>
      <c r="AC97" s="150">
        <v>46129</v>
      </c>
      <c r="AD97" s="149" t="s">
        <v>173</v>
      </c>
      <c r="AE97" s="149">
        <v>84733099</v>
      </c>
      <c r="AF97" s="149" t="s">
        <v>804</v>
      </c>
      <c r="AG97" s="84"/>
      <c r="AH97" s="84"/>
      <c r="AI97" s="149">
        <v>1461.87</v>
      </c>
      <c r="AJ97" s="149" t="s">
        <v>368</v>
      </c>
      <c r="AK97" s="149">
        <v>18</v>
      </c>
      <c r="AL97" s="149">
        <v>131.57</v>
      </c>
      <c r="AM97" s="148">
        <v>131.57</v>
      </c>
      <c r="AN97" s="149">
        <v>0</v>
      </c>
      <c r="AO97" s="149">
        <v>0</v>
      </c>
      <c r="AP97" s="149">
        <v>0</v>
      </c>
      <c r="AQ97" s="149">
        <v>0</v>
      </c>
      <c r="AR97" s="149">
        <v>0</v>
      </c>
      <c r="AS97" s="149">
        <v>0</v>
      </c>
      <c r="AT97" s="149">
        <v>0</v>
      </c>
      <c r="AU97" s="84"/>
      <c r="AV97" s="84"/>
      <c r="AW97" s="148">
        <v>0</v>
      </c>
      <c r="AX97" s="149">
        <v>1725.01</v>
      </c>
      <c r="AY97" s="149" t="s">
        <v>100</v>
      </c>
      <c r="AZ97" s="149" t="s">
        <v>101</v>
      </c>
      <c r="BA97" s="149" t="s">
        <v>356</v>
      </c>
      <c r="BB97" s="149">
        <v>1126100490</v>
      </c>
      <c r="BC97" s="149" t="s">
        <v>105</v>
      </c>
      <c r="BD97" s="149" t="s">
        <v>104</v>
      </c>
      <c r="BE97" s="84"/>
      <c r="BF97" s="84" t="s">
        <v>270</v>
      </c>
      <c r="BG97" s="84" t="s">
        <v>281</v>
      </c>
      <c r="BH97" s="149" t="s">
        <v>289</v>
      </c>
      <c r="BI97" t="s">
        <v>155</v>
      </c>
      <c r="BJ97" t="s">
        <v>156</v>
      </c>
      <c r="BK97" t="s">
        <v>685</v>
      </c>
      <c r="BL97">
        <v>263.14</v>
      </c>
      <c r="BM97">
        <v>665.86</v>
      </c>
      <c r="BN97">
        <v>-403</v>
      </c>
      <c r="BO97" t="s">
        <v>154</v>
      </c>
      <c r="BP97">
        <v>9178273</v>
      </c>
      <c r="BQ97" t="s">
        <v>270</v>
      </c>
      <c r="BR97" t="s">
        <v>630</v>
      </c>
      <c r="BS97">
        <v>2</v>
      </c>
    </row>
    <row r="98" spans="1:71" s="0" customFormat="1" ht="14.5">
      <c r="A98" s="148" t="s">
        <v>157</v>
      </c>
      <c r="B98" s="149" t="s">
        <v>625</v>
      </c>
      <c r="C98" s="149">
        <v>107</v>
      </c>
      <c r="D98" s="149" t="s">
        <v>97</v>
      </c>
      <c r="E98" s="149" t="s">
        <v>98</v>
      </c>
      <c r="F98" s="84"/>
      <c r="G98" s="84"/>
      <c r="H98" s="149" t="s">
        <v>48</v>
      </c>
      <c r="I98" s="149" t="s">
        <v>158</v>
      </c>
      <c r="J98" s="148" t="s">
        <v>159</v>
      </c>
      <c r="K98" s="148" t="s">
        <v>163</v>
      </c>
      <c r="L98" s="149" t="s">
        <v>160</v>
      </c>
      <c r="M98" s="150">
        <v>46127</v>
      </c>
      <c r="N98" s="149" t="s">
        <v>805</v>
      </c>
      <c r="O98" s="149">
        <v>9156863</v>
      </c>
      <c r="P98" s="150">
        <v>46113</v>
      </c>
      <c r="Q98" s="148" t="s">
        <v>161</v>
      </c>
      <c r="R98" s="149">
        <v>2770</v>
      </c>
      <c r="S98" s="149" t="s">
        <v>299</v>
      </c>
      <c r="T98" s="149" t="s">
        <v>176</v>
      </c>
      <c r="U98" s="149" t="s">
        <v>177</v>
      </c>
      <c r="V98" s="149" t="s">
        <v>162</v>
      </c>
      <c r="W98" s="84"/>
      <c r="X98" s="148">
        <v>1</v>
      </c>
      <c r="Y98" s="149">
        <v>3956</v>
      </c>
      <c r="Z98" s="149">
        <v>3956</v>
      </c>
      <c r="AA98" s="149" t="s">
        <v>99</v>
      </c>
      <c r="AB98" s="149" t="s">
        <v>805</v>
      </c>
      <c r="AC98" s="150">
        <v>46113</v>
      </c>
      <c r="AD98" s="149" t="s">
        <v>164</v>
      </c>
      <c r="AE98" s="149">
        <v>997314</v>
      </c>
      <c r="AF98" s="149" t="s">
        <v>781</v>
      </c>
      <c r="AG98" s="84"/>
      <c r="AH98" s="84"/>
      <c r="AI98" s="149">
        <v>3956</v>
      </c>
      <c r="AJ98" s="149" t="s">
        <v>368</v>
      </c>
      <c r="AK98" s="149">
        <v>18</v>
      </c>
      <c r="AL98" s="149">
        <v>0</v>
      </c>
      <c r="AM98" s="148">
        <v>0</v>
      </c>
      <c r="AN98" s="149">
        <v>712.08</v>
      </c>
      <c r="AO98" s="149">
        <v>0</v>
      </c>
      <c r="AP98" s="149">
        <v>0</v>
      </c>
      <c r="AQ98" s="149">
        <v>0</v>
      </c>
      <c r="AR98" s="149">
        <v>0</v>
      </c>
      <c r="AS98" s="149">
        <v>0</v>
      </c>
      <c r="AT98" s="149">
        <v>0</v>
      </c>
      <c r="AU98" s="84"/>
      <c r="AV98" s="84"/>
      <c r="AW98" s="148">
        <v>0</v>
      </c>
      <c r="AX98" s="149">
        <v>4668.08</v>
      </c>
      <c r="AY98" s="149" t="s">
        <v>100</v>
      </c>
      <c r="AZ98" s="149" t="s">
        <v>101</v>
      </c>
      <c r="BA98" s="149" t="s">
        <v>303</v>
      </c>
      <c r="BB98" s="149">
        <v>1126100092</v>
      </c>
      <c r="BC98" s="149" t="s">
        <v>102</v>
      </c>
      <c r="BD98" s="149" t="s">
        <v>103</v>
      </c>
      <c r="BE98" s="84"/>
      <c r="BF98" s="84" t="s">
        <v>270</v>
      </c>
      <c r="BG98" s="84" t="s">
        <v>281</v>
      </c>
      <c r="BH98" s="149" t="s">
        <v>290</v>
      </c>
      <c r="BI98" t="s">
        <v>155</v>
      </c>
      <c r="BJ98" t="s">
        <v>156</v>
      </c>
      <c r="BK98" t="s">
        <v>806</v>
      </c>
      <c r="BL98">
        <v>712.08</v>
      </c>
      <c r="BM98">
        <v>712.08</v>
      </c>
      <c r="BN98">
        <v>0</v>
      </c>
      <c r="BO98" t="s">
        <v>154</v>
      </c>
      <c r="BP98">
        <v>9156863</v>
      </c>
      <c r="BQ98" t="s">
        <v>270</v>
      </c>
      <c r="BR98" t="s">
        <v>630</v>
      </c>
      <c r="BS98">
        <v>1</v>
      </c>
    </row>
    <row r="99" spans="1:71" s="0" customFormat="1" ht="14.5">
      <c r="A99" s="148" t="s">
        <v>157</v>
      </c>
      <c r="B99" s="149" t="s">
        <v>625</v>
      </c>
      <c r="C99" s="149">
        <v>107</v>
      </c>
      <c r="D99" s="149" t="s">
        <v>97</v>
      </c>
      <c r="E99" s="149" t="s">
        <v>98</v>
      </c>
      <c r="F99" s="84"/>
      <c r="G99" s="84"/>
      <c r="H99" s="149" t="s">
        <v>48</v>
      </c>
      <c r="I99" s="149" t="s">
        <v>158</v>
      </c>
      <c r="J99" s="148" t="s">
        <v>159</v>
      </c>
      <c r="K99" s="148" t="s">
        <v>166</v>
      </c>
      <c r="L99" s="149" t="s">
        <v>160</v>
      </c>
      <c r="M99" s="150">
        <v>46126</v>
      </c>
      <c r="N99" s="149" t="s">
        <v>790</v>
      </c>
      <c r="O99" s="149">
        <v>9151217</v>
      </c>
      <c r="P99" s="150">
        <v>46113</v>
      </c>
      <c r="Q99" s="148" t="s">
        <v>161</v>
      </c>
      <c r="R99" s="149">
        <v>43247</v>
      </c>
      <c r="S99" s="149" t="s">
        <v>302</v>
      </c>
      <c r="T99" s="149" t="s">
        <v>181</v>
      </c>
      <c r="U99" s="84"/>
      <c r="V99" s="84"/>
      <c r="W99" s="84"/>
      <c r="X99" s="148">
        <v>0</v>
      </c>
      <c r="Y99" s="149">
        <v>0</v>
      </c>
      <c r="Z99" s="149">
        <v>200000</v>
      </c>
      <c r="AA99" s="149" t="s">
        <v>99</v>
      </c>
      <c r="AB99" s="149" t="s">
        <v>807</v>
      </c>
      <c r="AC99" s="150">
        <v>46113</v>
      </c>
      <c r="AD99" s="84"/>
      <c r="AE99" s="149">
        <v>997212</v>
      </c>
      <c r="AF99" s="149" t="s">
        <v>808</v>
      </c>
      <c r="AG99" s="84"/>
      <c r="AH99" s="84"/>
      <c r="AI99" s="149">
        <v>200000</v>
      </c>
      <c r="AJ99" s="149" t="s">
        <v>368</v>
      </c>
      <c r="AK99" s="149">
        <v>18</v>
      </c>
      <c r="AL99" s="149">
        <v>18000</v>
      </c>
      <c r="AM99" s="148">
        <v>18000</v>
      </c>
      <c r="AN99" s="149">
        <v>0</v>
      </c>
      <c r="AO99" s="149">
        <v>0</v>
      </c>
      <c r="AP99" s="149">
        <v>0</v>
      </c>
      <c r="AQ99" s="149">
        <v>0</v>
      </c>
      <c r="AR99" s="149">
        <v>0</v>
      </c>
      <c r="AS99" s="149">
        <v>0</v>
      </c>
      <c r="AT99" s="149">
        <v>0</v>
      </c>
      <c r="AU99" s="84"/>
      <c r="AV99" s="84"/>
      <c r="AW99" s="148">
        <v>0</v>
      </c>
      <c r="AX99" s="149">
        <v>236000</v>
      </c>
      <c r="AY99" s="149" t="s">
        <v>101</v>
      </c>
      <c r="AZ99" s="149" t="s">
        <v>100</v>
      </c>
      <c r="BA99" s="149" t="s">
        <v>361</v>
      </c>
      <c r="BB99" s="149">
        <v>1126100054</v>
      </c>
      <c r="BC99" s="149" t="s">
        <v>189</v>
      </c>
      <c r="BD99" s="149" t="s">
        <v>103</v>
      </c>
      <c r="BE99" s="84"/>
      <c r="BF99" s="84" t="s">
        <v>209</v>
      </c>
      <c r="BG99" s="84" t="s">
        <v>280</v>
      </c>
      <c r="BH99" s="149" t="s">
        <v>289</v>
      </c>
      <c r="BI99" t="s">
        <v>155</v>
      </c>
      <c r="BJ99" t="s">
        <v>156</v>
      </c>
      <c r="BK99" t="s">
        <v>807</v>
      </c>
      <c r="BL99">
        <v>36000</v>
      </c>
      <c r="BM99" t="e">
        <v>#N/A</v>
      </c>
      <c r="BN99" t="e">
        <v>#N/A</v>
      </c>
      <c r="BO99" t="s">
        <v>199</v>
      </c>
      <c r="BP99">
        <v>9151217</v>
      </c>
      <c r="BQ99" t="s">
        <v>209</v>
      </c>
      <c r="BR99" t="s">
        <v>199</v>
      </c>
      <c r="BS99">
        <v>1</v>
      </c>
    </row>
    <row r="100" spans="1:71" s="0" customFormat="1" ht="14.5">
      <c r="A100" s="148" t="s">
        <v>157</v>
      </c>
      <c r="B100" s="149" t="s">
        <v>625</v>
      </c>
      <c r="C100" s="149">
        <v>107</v>
      </c>
      <c r="D100" s="149" t="s">
        <v>97</v>
      </c>
      <c r="E100" s="149" t="s">
        <v>98</v>
      </c>
      <c r="F100" s="84"/>
      <c r="G100" s="149" t="s">
        <v>106</v>
      </c>
      <c r="H100" s="149" t="s">
        <v>48</v>
      </c>
      <c r="I100" s="149" t="s">
        <v>158</v>
      </c>
      <c r="J100" s="148" t="s">
        <v>165</v>
      </c>
      <c r="K100" s="148" t="s">
        <v>166</v>
      </c>
      <c r="L100" s="149" t="s">
        <v>160</v>
      </c>
      <c r="M100" s="150">
        <v>46140</v>
      </c>
      <c r="N100" s="149" t="s">
        <v>632</v>
      </c>
      <c r="O100" s="149">
        <v>9174963</v>
      </c>
      <c r="P100" s="150">
        <v>46129</v>
      </c>
      <c r="Q100" s="148" t="s">
        <v>161</v>
      </c>
      <c r="R100" s="149">
        <v>35671</v>
      </c>
      <c r="S100" s="149" t="s">
        <v>424</v>
      </c>
      <c r="T100" s="149" t="s">
        <v>425</v>
      </c>
      <c r="U100" s="149" t="s">
        <v>426</v>
      </c>
      <c r="V100" s="149" t="s">
        <v>162</v>
      </c>
      <c r="W100" s="84"/>
      <c r="X100" s="148">
        <v>275</v>
      </c>
      <c r="Y100" s="149">
        <v>7</v>
      </c>
      <c r="Z100" s="149">
        <v>1925</v>
      </c>
      <c r="AA100" s="149" t="s">
        <v>99</v>
      </c>
      <c r="AB100" s="149" t="s">
        <v>632</v>
      </c>
      <c r="AC100" s="150">
        <v>46129</v>
      </c>
      <c r="AD100" s="149" t="s">
        <v>164</v>
      </c>
      <c r="AE100" s="149">
        <v>998729</v>
      </c>
      <c r="AF100" s="149" t="s">
        <v>809</v>
      </c>
      <c r="AG100" s="84"/>
      <c r="AH100" s="84"/>
      <c r="AI100" s="149">
        <v>1925</v>
      </c>
      <c r="AJ100" s="149" t="s">
        <v>368</v>
      </c>
      <c r="AK100" s="149">
        <v>18</v>
      </c>
      <c r="AL100" s="149">
        <v>0</v>
      </c>
      <c r="AM100" s="148">
        <v>0</v>
      </c>
      <c r="AN100" s="149">
        <v>346.5</v>
      </c>
      <c r="AO100" s="149">
        <v>0</v>
      </c>
      <c r="AP100" s="149">
        <v>0</v>
      </c>
      <c r="AQ100" s="149">
        <v>0</v>
      </c>
      <c r="AR100" s="149">
        <v>0</v>
      </c>
      <c r="AS100" s="149">
        <v>0</v>
      </c>
      <c r="AT100" s="149">
        <v>0</v>
      </c>
      <c r="AU100" s="84"/>
      <c r="AV100" s="84"/>
      <c r="AW100" s="148">
        <v>0</v>
      </c>
      <c r="AX100" s="149">
        <v>2271.5</v>
      </c>
      <c r="AY100" s="149" t="s">
        <v>101</v>
      </c>
      <c r="AZ100" s="149" t="s">
        <v>101</v>
      </c>
      <c r="BA100" s="149" t="s">
        <v>634</v>
      </c>
      <c r="BB100" s="149">
        <v>1126100446</v>
      </c>
      <c r="BC100" s="149" t="s">
        <v>168</v>
      </c>
      <c r="BD100" s="149" t="s">
        <v>272</v>
      </c>
      <c r="BE100" s="84"/>
      <c r="BF100" s="84" t="s">
        <v>271</v>
      </c>
      <c r="BG100" s="84" t="s">
        <v>281</v>
      </c>
      <c r="BH100" s="149" t="s">
        <v>290</v>
      </c>
      <c r="BI100" t="s">
        <v>155</v>
      </c>
      <c r="BJ100" t="s">
        <v>156</v>
      </c>
      <c r="BK100" t="s">
        <v>635</v>
      </c>
      <c r="BL100">
        <v>346.5</v>
      </c>
      <c r="BM100">
        <v>36494.74</v>
      </c>
      <c r="BN100">
        <v>-36148</v>
      </c>
      <c r="BO100" t="s">
        <v>154</v>
      </c>
      <c r="BP100">
        <v>9174963</v>
      </c>
      <c r="BQ100" t="s">
        <v>271</v>
      </c>
      <c r="BR100" t="s">
        <v>630</v>
      </c>
      <c r="BS100">
        <v>36</v>
      </c>
    </row>
    <row r="101" spans="1:71" s="0" customFormat="1" ht="14.5">
      <c r="A101" s="148" t="s">
        <v>157</v>
      </c>
      <c r="B101" s="149" t="s">
        <v>625</v>
      </c>
      <c r="C101" s="149">
        <v>107</v>
      </c>
      <c r="D101" s="149" t="s">
        <v>97</v>
      </c>
      <c r="E101" s="149" t="s">
        <v>98</v>
      </c>
      <c r="F101" s="84"/>
      <c r="G101" s="149" t="s">
        <v>106</v>
      </c>
      <c r="H101" s="149" t="s">
        <v>48</v>
      </c>
      <c r="I101" s="149" t="s">
        <v>158</v>
      </c>
      <c r="J101" s="148" t="s">
        <v>165</v>
      </c>
      <c r="K101" s="148" t="s">
        <v>166</v>
      </c>
      <c r="L101" s="149" t="s">
        <v>160</v>
      </c>
      <c r="M101" s="150">
        <v>46140</v>
      </c>
      <c r="N101" s="149" t="s">
        <v>632</v>
      </c>
      <c r="O101" s="149">
        <v>9174963</v>
      </c>
      <c r="P101" s="150">
        <v>46129</v>
      </c>
      <c r="Q101" s="148" t="s">
        <v>161</v>
      </c>
      <c r="R101" s="149">
        <v>35671</v>
      </c>
      <c r="S101" s="149" t="s">
        <v>424</v>
      </c>
      <c r="T101" s="149" t="s">
        <v>425</v>
      </c>
      <c r="U101" s="149" t="s">
        <v>426</v>
      </c>
      <c r="V101" s="149" t="s">
        <v>162</v>
      </c>
      <c r="W101" s="84"/>
      <c r="X101" s="148">
        <v>275</v>
      </c>
      <c r="Y101" s="149">
        <v>30</v>
      </c>
      <c r="Z101" s="149">
        <v>8250</v>
      </c>
      <c r="AA101" s="149" t="s">
        <v>99</v>
      </c>
      <c r="AB101" s="149" t="s">
        <v>632</v>
      </c>
      <c r="AC101" s="150">
        <v>46129</v>
      </c>
      <c r="AD101" s="149" t="s">
        <v>164</v>
      </c>
      <c r="AE101" s="149">
        <v>998729</v>
      </c>
      <c r="AF101" s="149" t="s">
        <v>667</v>
      </c>
      <c r="AG101" s="84"/>
      <c r="AH101" s="84"/>
      <c r="AI101" s="149">
        <v>8250</v>
      </c>
      <c r="AJ101" s="149" t="s">
        <v>368</v>
      </c>
      <c r="AK101" s="149">
        <v>18</v>
      </c>
      <c r="AL101" s="149">
        <v>0</v>
      </c>
      <c r="AM101" s="148">
        <v>0</v>
      </c>
      <c r="AN101" s="149">
        <v>1485</v>
      </c>
      <c r="AO101" s="149">
        <v>0</v>
      </c>
      <c r="AP101" s="149">
        <v>0</v>
      </c>
      <c r="AQ101" s="149">
        <v>0</v>
      </c>
      <c r="AR101" s="149">
        <v>0</v>
      </c>
      <c r="AS101" s="149">
        <v>0</v>
      </c>
      <c r="AT101" s="149">
        <v>0</v>
      </c>
      <c r="AU101" s="84"/>
      <c r="AV101" s="84"/>
      <c r="AW101" s="148">
        <v>0</v>
      </c>
      <c r="AX101" s="149">
        <v>9735</v>
      </c>
      <c r="AY101" s="149" t="s">
        <v>101</v>
      </c>
      <c r="AZ101" s="149" t="s">
        <v>101</v>
      </c>
      <c r="BA101" s="149" t="s">
        <v>634</v>
      </c>
      <c r="BB101" s="149">
        <v>1126100446</v>
      </c>
      <c r="BC101" s="149" t="s">
        <v>168</v>
      </c>
      <c r="BD101" s="149" t="s">
        <v>272</v>
      </c>
      <c r="BE101" s="84"/>
      <c r="BF101" s="84" t="s">
        <v>271</v>
      </c>
      <c r="BG101" s="84" t="s">
        <v>281</v>
      </c>
      <c r="BH101" s="149" t="s">
        <v>290</v>
      </c>
      <c r="BI101" t="s">
        <v>155</v>
      </c>
      <c r="BJ101" t="s">
        <v>156</v>
      </c>
      <c r="BK101" t="s">
        <v>635</v>
      </c>
      <c r="BL101">
        <v>1485</v>
      </c>
      <c r="BM101">
        <v>36494.74</v>
      </c>
      <c r="BN101">
        <v>-35010</v>
      </c>
      <c r="BO101" t="s">
        <v>154</v>
      </c>
      <c r="BP101">
        <v>9174963</v>
      </c>
      <c r="BQ101" t="s">
        <v>271</v>
      </c>
      <c r="BR101" t="s">
        <v>630</v>
      </c>
      <c r="BS101">
        <v>36</v>
      </c>
    </row>
    <row r="102" spans="1:71" s="0" customFormat="1" ht="14.5">
      <c r="A102" s="148" t="s">
        <v>157</v>
      </c>
      <c r="B102" s="149" t="s">
        <v>625</v>
      </c>
      <c r="C102" s="149">
        <v>107</v>
      </c>
      <c r="D102" s="149" t="s">
        <v>97</v>
      </c>
      <c r="E102" s="149" t="s">
        <v>98</v>
      </c>
      <c r="F102" s="84"/>
      <c r="G102" s="149" t="s">
        <v>106</v>
      </c>
      <c r="H102" s="149" t="s">
        <v>48</v>
      </c>
      <c r="I102" s="149" t="s">
        <v>158</v>
      </c>
      <c r="J102" s="148" t="s">
        <v>165</v>
      </c>
      <c r="K102" s="148" t="s">
        <v>166</v>
      </c>
      <c r="L102" s="149" t="s">
        <v>160</v>
      </c>
      <c r="M102" s="150">
        <v>46140</v>
      </c>
      <c r="N102" s="149" t="s">
        <v>660</v>
      </c>
      <c r="O102" s="149">
        <v>9175014</v>
      </c>
      <c r="P102" s="150">
        <v>46129</v>
      </c>
      <c r="Q102" s="148" t="s">
        <v>161</v>
      </c>
      <c r="R102" s="149">
        <v>15979</v>
      </c>
      <c r="S102" s="149" t="s">
        <v>369</v>
      </c>
      <c r="T102" s="149" t="s">
        <v>169</v>
      </c>
      <c r="U102" s="149" t="s">
        <v>370</v>
      </c>
      <c r="V102" s="149" t="s">
        <v>162</v>
      </c>
      <c r="W102" s="84"/>
      <c r="X102" s="148">
        <v>546.29999999999995</v>
      </c>
      <c r="Y102" s="149">
        <v>1</v>
      </c>
      <c r="Z102" s="149">
        <v>546.29999999999995</v>
      </c>
      <c r="AA102" s="149" t="s">
        <v>99</v>
      </c>
      <c r="AB102" s="149" t="s">
        <v>660</v>
      </c>
      <c r="AC102" s="150">
        <v>46129</v>
      </c>
      <c r="AD102" s="149" t="s">
        <v>164</v>
      </c>
      <c r="AE102" s="149">
        <v>998729</v>
      </c>
      <c r="AF102" s="149" t="s">
        <v>383</v>
      </c>
      <c r="AG102" s="84"/>
      <c r="AH102" s="84"/>
      <c r="AI102" s="149">
        <v>546.29999999999995</v>
      </c>
      <c r="AJ102" s="149" t="s">
        <v>368</v>
      </c>
      <c r="AK102" s="149">
        <v>18</v>
      </c>
      <c r="AL102" s="149">
        <v>49.17</v>
      </c>
      <c r="AM102" s="148">
        <v>49.17</v>
      </c>
      <c r="AN102" s="149">
        <v>0</v>
      </c>
      <c r="AO102" s="149">
        <v>0</v>
      </c>
      <c r="AP102" s="149">
        <v>0</v>
      </c>
      <c r="AQ102" s="149">
        <v>0</v>
      </c>
      <c r="AR102" s="149">
        <v>0</v>
      </c>
      <c r="AS102" s="149">
        <v>0</v>
      </c>
      <c r="AT102" s="149">
        <v>0</v>
      </c>
      <c r="AU102" s="84"/>
      <c r="AV102" s="84"/>
      <c r="AW102" s="148">
        <v>0</v>
      </c>
      <c r="AX102" s="149">
        <v>644.64</v>
      </c>
      <c r="AY102" s="149" t="s">
        <v>101</v>
      </c>
      <c r="AZ102" s="149" t="s">
        <v>101</v>
      </c>
      <c r="BA102" s="149" t="s">
        <v>662</v>
      </c>
      <c r="BB102" s="149">
        <v>1126100447</v>
      </c>
      <c r="BC102" s="149" t="s">
        <v>172</v>
      </c>
      <c r="BD102" s="149" t="s">
        <v>272</v>
      </c>
      <c r="BE102" s="84"/>
      <c r="BF102" s="84" t="s">
        <v>271</v>
      </c>
      <c r="BG102" s="84" t="s">
        <v>281</v>
      </c>
      <c r="BH102" s="149" t="s">
        <v>290</v>
      </c>
      <c r="BI102" t="s">
        <v>155</v>
      </c>
      <c r="BJ102" t="s">
        <v>156</v>
      </c>
      <c r="BK102" t="s">
        <v>663</v>
      </c>
      <c r="BL102">
        <v>98.34</v>
      </c>
      <c r="BM102">
        <v>2435.38</v>
      </c>
      <c r="BN102">
        <v>-2337</v>
      </c>
      <c r="BO102" t="s">
        <v>154</v>
      </c>
      <c r="BP102">
        <v>9175014</v>
      </c>
      <c r="BQ102" t="s">
        <v>271</v>
      </c>
      <c r="BR102" t="s">
        <v>630</v>
      </c>
      <c r="BS102">
        <v>18</v>
      </c>
    </row>
    <row r="103" spans="1:71" s="0" customFormat="1" ht="14.5">
      <c r="A103" s="148" t="s">
        <v>157</v>
      </c>
      <c r="B103" s="149" t="s">
        <v>625</v>
      </c>
      <c r="C103" s="149">
        <v>107</v>
      </c>
      <c r="D103" s="149" t="s">
        <v>97</v>
      </c>
      <c r="E103" s="149" t="s">
        <v>98</v>
      </c>
      <c r="F103" s="84"/>
      <c r="G103" s="84"/>
      <c r="H103" s="149" t="s">
        <v>48</v>
      </c>
      <c r="I103" s="149" t="s">
        <v>158</v>
      </c>
      <c r="J103" s="148" t="s">
        <v>159</v>
      </c>
      <c r="K103" s="148" t="s">
        <v>421</v>
      </c>
      <c r="L103" s="149" t="s">
        <v>160</v>
      </c>
      <c r="M103" s="150">
        <v>46133</v>
      </c>
      <c r="N103" s="149" t="s">
        <v>810</v>
      </c>
      <c r="O103" s="149">
        <v>9164387</v>
      </c>
      <c r="P103" s="150">
        <v>46115</v>
      </c>
      <c r="Q103" s="148" t="s">
        <v>161</v>
      </c>
      <c r="R103" s="149">
        <v>6262</v>
      </c>
      <c r="S103" s="149" t="s">
        <v>183</v>
      </c>
      <c r="T103" s="149" t="s">
        <v>182</v>
      </c>
      <c r="U103" s="149" t="s">
        <v>184</v>
      </c>
      <c r="V103" s="149" t="s">
        <v>162</v>
      </c>
      <c r="W103" s="84"/>
      <c r="X103" s="148">
        <v>1</v>
      </c>
      <c r="Y103" s="149">
        <v>399</v>
      </c>
      <c r="Z103" s="149">
        <v>399</v>
      </c>
      <c r="AA103" s="149" t="s">
        <v>99</v>
      </c>
      <c r="AB103" s="149" t="s">
        <v>810</v>
      </c>
      <c r="AC103" s="150">
        <v>46115</v>
      </c>
      <c r="AD103" s="149" t="s">
        <v>171</v>
      </c>
      <c r="AE103" s="149">
        <v>998412</v>
      </c>
      <c r="AF103" s="149" t="s">
        <v>702</v>
      </c>
      <c r="AG103" s="84"/>
      <c r="AH103" s="84"/>
      <c r="AI103" s="149">
        <v>399</v>
      </c>
      <c r="AJ103" s="149" t="s">
        <v>368</v>
      </c>
      <c r="AK103" s="149">
        <v>18</v>
      </c>
      <c r="AL103" s="149">
        <v>35.909999999999997</v>
      </c>
      <c r="AM103" s="148">
        <v>35.909999999999997</v>
      </c>
      <c r="AN103" s="149">
        <v>0</v>
      </c>
      <c r="AO103" s="149">
        <v>0</v>
      </c>
      <c r="AP103" s="149">
        <v>0</v>
      </c>
      <c r="AQ103" s="149">
        <v>0</v>
      </c>
      <c r="AR103" s="149">
        <v>0</v>
      </c>
      <c r="AS103" s="149">
        <v>0</v>
      </c>
      <c r="AT103" s="149">
        <v>0</v>
      </c>
      <c r="AU103" s="84"/>
      <c r="AV103" s="84"/>
      <c r="AW103" s="148">
        <v>0</v>
      </c>
      <c r="AX103" s="149">
        <v>470.82</v>
      </c>
      <c r="AY103" s="149" t="s">
        <v>100</v>
      </c>
      <c r="AZ103" s="149" t="s">
        <v>101</v>
      </c>
      <c r="BA103" s="149" t="s">
        <v>422</v>
      </c>
      <c r="BB103" s="149">
        <v>1126100283</v>
      </c>
      <c r="BC103" s="149" t="s">
        <v>105</v>
      </c>
      <c r="BD103" s="149" t="s">
        <v>103</v>
      </c>
      <c r="BE103" s="84"/>
      <c r="BF103" s="84" t="s">
        <v>270</v>
      </c>
      <c r="BG103" s="84" t="s">
        <v>281</v>
      </c>
      <c r="BH103" s="149" t="s">
        <v>290</v>
      </c>
      <c r="BI103" t="s">
        <v>155</v>
      </c>
      <c r="BJ103" t="s">
        <v>156</v>
      </c>
      <c r="BK103" t="s">
        <v>811</v>
      </c>
      <c r="BL103">
        <v>71.819999999999993</v>
      </c>
      <c r="BM103">
        <v>71.819999999999993</v>
      </c>
      <c r="BN103">
        <v>0</v>
      </c>
      <c r="BO103" t="s">
        <v>154</v>
      </c>
      <c r="BP103">
        <v>9164387</v>
      </c>
      <c r="BQ103" t="s">
        <v>270</v>
      </c>
      <c r="BR103" t="s">
        <v>630</v>
      </c>
      <c r="BS103">
        <v>1</v>
      </c>
    </row>
    <row r="104" spans="1:71" s="0" customFormat="1" ht="14.5">
      <c r="A104" s="148" t="s">
        <v>157</v>
      </c>
      <c r="B104" s="149" t="s">
        <v>625</v>
      </c>
      <c r="C104" s="149">
        <v>107</v>
      </c>
      <c r="D104" s="149" t="s">
        <v>97</v>
      </c>
      <c r="E104" s="149" t="s">
        <v>98</v>
      </c>
      <c r="F104" s="84"/>
      <c r="G104" s="84"/>
      <c r="H104" s="149" t="s">
        <v>48</v>
      </c>
      <c r="I104" s="149" t="s">
        <v>158</v>
      </c>
      <c r="J104" s="148" t="s">
        <v>159</v>
      </c>
      <c r="K104" s="148" t="s">
        <v>163</v>
      </c>
      <c r="L104" s="149" t="s">
        <v>160</v>
      </c>
      <c r="M104" s="150">
        <v>46127</v>
      </c>
      <c r="N104" s="149" t="s">
        <v>812</v>
      </c>
      <c r="O104" s="149">
        <v>9156866</v>
      </c>
      <c r="P104" s="150">
        <v>46113</v>
      </c>
      <c r="Q104" s="148" t="s">
        <v>161</v>
      </c>
      <c r="R104" s="149">
        <v>2770</v>
      </c>
      <c r="S104" s="149" t="s">
        <v>299</v>
      </c>
      <c r="T104" s="149" t="s">
        <v>176</v>
      </c>
      <c r="U104" s="149" t="s">
        <v>177</v>
      </c>
      <c r="V104" s="149" t="s">
        <v>162</v>
      </c>
      <c r="W104" s="84"/>
      <c r="X104" s="148">
        <v>1</v>
      </c>
      <c r="Y104" s="149">
        <v>4365</v>
      </c>
      <c r="Z104" s="149">
        <v>4365</v>
      </c>
      <c r="AA104" s="149" t="s">
        <v>99</v>
      </c>
      <c r="AB104" s="149" t="s">
        <v>812</v>
      </c>
      <c r="AC104" s="150">
        <v>46113</v>
      </c>
      <c r="AD104" s="149" t="s">
        <v>164</v>
      </c>
      <c r="AE104" s="149">
        <v>997314</v>
      </c>
      <c r="AF104" s="149" t="s">
        <v>322</v>
      </c>
      <c r="AG104" s="84"/>
      <c r="AH104" s="84"/>
      <c r="AI104" s="149">
        <v>4365</v>
      </c>
      <c r="AJ104" s="149" t="s">
        <v>368</v>
      </c>
      <c r="AK104" s="149">
        <v>18</v>
      </c>
      <c r="AL104" s="149">
        <v>0</v>
      </c>
      <c r="AM104" s="148">
        <v>0</v>
      </c>
      <c r="AN104" s="149">
        <v>785.70</v>
      </c>
      <c r="AO104" s="149">
        <v>0</v>
      </c>
      <c r="AP104" s="149">
        <v>0</v>
      </c>
      <c r="AQ104" s="149">
        <v>0</v>
      </c>
      <c r="AR104" s="149">
        <v>0</v>
      </c>
      <c r="AS104" s="149">
        <v>0</v>
      </c>
      <c r="AT104" s="149">
        <v>0</v>
      </c>
      <c r="AU104" s="84"/>
      <c r="AV104" s="84"/>
      <c r="AW104" s="148">
        <v>0</v>
      </c>
      <c r="AX104" s="149">
        <v>5150.70</v>
      </c>
      <c r="AY104" s="149" t="s">
        <v>100</v>
      </c>
      <c r="AZ104" s="149" t="s">
        <v>101</v>
      </c>
      <c r="BA104" s="149" t="s">
        <v>303</v>
      </c>
      <c r="BB104" s="149">
        <v>1126100095</v>
      </c>
      <c r="BC104" s="149" t="s">
        <v>102</v>
      </c>
      <c r="BD104" s="149" t="s">
        <v>103</v>
      </c>
      <c r="BE104" s="84"/>
      <c r="BF104" s="84" t="s">
        <v>270</v>
      </c>
      <c r="BG104" s="84" t="s">
        <v>281</v>
      </c>
      <c r="BH104" s="149" t="s">
        <v>290</v>
      </c>
      <c r="BI104" t="s">
        <v>155</v>
      </c>
      <c r="BJ104" t="s">
        <v>156</v>
      </c>
      <c r="BK104" t="s">
        <v>813</v>
      </c>
      <c r="BL104">
        <v>785.70</v>
      </c>
      <c r="BM104">
        <v>785.70</v>
      </c>
      <c r="BN104">
        <v>0</v>
      </c>
      <c r="BO104" t="s">
        <v>154</v>
      </c>
      <c r="BP104">
        <v>9156866</v>
      </c>
      <c r="BQ104" t="s">
        <v>270</v>
      </c>
      <c r="BR104" t="s">
        <v>630</v>
      </c>
      <c r="BS104">
        <v>1</v>
      </c>
    </row>
    <row r="105" spans="1:71" s="0" customFormat="1" ht="14.5">
      <c r="A105" s="148" t="s">
        <v>157</v>
      </c>
      <c r="B105" s="149" t="s">
        <v>625</v>
      </c>
      <c r="C105" s="149">
        <v>107</v>
      </c>
      <c r="D105" s="149" t="s">
        <v>97</v>
      </c>
      <c r="E105" s="149" t="s">
        <v>98</v>
      </c>
      <c r="F105" s="84"/>
      <c r="G105" s="84"/>
      <c r="H105" s="149" t="s">
        <v>48</v>
      </c>
      <c r="I105" s="149" t="s">
        <v>158</v>
      </c>
      <c r="J105" s="148" t="s">
        <v>159</v>
      </c>
      <c r="K105" s="148" t="s">
        <v>163</v>
      </c>
      <c r="L105" s="149" t="s">
        <v>160</v>
      </c>
      <c r="M105" s="150">
        <v>46140</v>
      </c>
      <c r="N105" s="149" t="s">
        <v>814</v>
      </c>
      <c r="O105" s="149">
        <v>9175766</v>
      </c>
      <c r="P105" s="150">
        <v>46127</v>
      </c>
      <c r="Q105" s="148" t="s">
        <v>161</v>
      </c>
      <c r="R105" s="149">
        <v>3545</v>
      </c>
      <c r="S105" s="149" t="s">
        <v>287</v>
      </c>
      <c r="T105" s="149" t="s">
        <v>169</v>
      </c>
      <c r="U105" s="149" t="s">
        <v>288</v>
      </c>
      <c r="V105" s="149" t="s">
        <v>162</v>
      </c>
      <c r="W105" s="84"/>
      <c r="X105" s="148">
        <v>1</v>
      </c>
      <c r="Y105" s="149">
        <v>42840</v>
      </c>
      <c r="Z105" s="149">
        <v>42840</v>
      </c>
      <c r="AA105" s="149" t="s">
        <v>99</v>
      </c>
      <c r="AB105" s="149" t="s">
        <v>814</v>
      </c>
      <c r="AC105" s="150">
        <v>46127</v>
      </c>
      <c r="AD105" s="149" t="s">
        <v>310</v>
      </c>
      <c r="AE105" s="149">
        <v>48025610</v>
      </c>
      <c r="AF105" s="149" t="s">
        <v>431</v>
      </c>
      <c r="AG105" s="84"/>
      <c r="AH105" s="84"/>
      <c r="AI105" s="149">
        <v>42840</v>
      </c>
      <c r="AJ105" s="149" t="s">
        <v>368</v>
      </c>
      <c r="AK105" s="149">
        <v>18</v>
      </c>
      <c r="AL105" s="149">
        <v>3855.60</v>
      </c>
      <c r="AM105" s="148">
        <v>3855.60</v>
      </c>
      <c r="AN105" s="149">
        <v>0</v>
      </c>
      <c r="AO105" s="149">
        <v>0</v>
      </c>
      <c r="AP105" s="149">
        <v>0</v>
      </c>
      <c r="AQ105" s="149">
        <v>0</v>
      </c>
      <c r="AR105" s="149">
        <v>0</v>
      </c>
      <c r="AS105" s="149">
        <v>0</v>
      </c>
      <c r="AT105" s="149">
        <v>0</v>
      </c>
      <c r="AU105" s="84"/>
      <c r="AV105" s="84"/>
      <c r="AW105" s="148">
        <v>0</v>
      </c>
      <c r="AX105" s="149">
        <v>50551.20</v>
      </c>
      <c r="AY105" s="149" t="s">
        <v>100</v>
      </c>
      <c r="AZ105" s="149" t="s">
        <v>101</v>
      </c>
      <c r="BA105" s="149" t="s">
        <v>381</v>
      </c>
      <c r="BB105" s="149">
        <v>1126100451</v>
      </c>
      <c r="BC105" s="149" t="s">
        <v>105</v>
      </c>
      <c r="BD105" s="149" t="s">
        <v>104</v>
      </c>
      <c r="BE105" s="84"/>
      <c r="BF105" s="84" t="s">
        <v>270</v>
      </c>
      <c r="BG105" s="84" t="s">
        <v>281</v>
      </c>
      <c r="BH105" s="149" t="s">
        <v>289</v>
      </c>
      <c r="BI105" t="s">
        <v>155</v>
      </c>
      <c r="BJ105" t="s">
        <v>156</v>
      </c>
      <c r="BK105" t="s">
        <v>815</v>
      </c>
      <c r="BL105">
        <v>7711.20</v>
      </c>
      <c r="BM105">
        <v>7711.20</v>
      </c>
      <c r="BN105">
        <v>0</v>
      </c>
      <c r="BO105" t="s">
        <v>154</v>
      </c>
      <c r="BP105">
        <v>9175766</v>
      </c>
      <c r="BQ105" t="s">
        <v>270</v>
      </c>
      <c r="BR105" t="s">
        <v>630</v>
      </c>
      <c r="BS105">
        <v>1</v>
      </c>
    </row>
    <row r="106" spans="1:71" s="0" customFormat="1" ht="14.5">
      <c r="A106" s="148" t="s">
        <v>157</v>
      </c>
      <c r="B106" s="149" t="s">
        <v>625</v>
      </c>
      <c r="C106" s="149">
        <v>107</v>
      </c>
      <c r="D106" s="149" t="s">
        <v>97</v>
      </c>
      <c r="E106" s="149" t="s">
        <v>98</v>
      </c>
      <c r="F106" s="84"/>
      <c r="G106" s="84"/>
      <c r="H106" s="149" t="s">
        <v>48</v>
      </c>
      <c r="I106" s="149" t="s">
        <v>158</v>
      </c>
      <c r="J106" s="148" t="s">
        <v>159</v>
      </c>
      <c r="K106" s="148" t="s">
        <v>166</v>
      </c>
      <c r="L106" s="149" t="s">
        <v>160</v>
      </c>
      <c r="M106" s="150">
        <v>46142</v>
      </c>
      <c r="N106" s="149" t="s">
        <v>816</v>
      </c>
      <c r="O106" s="149">
        <v>9177648</v>
      </c>
      <c r="P106" s="150">
        <v>46086</v>
      </c>
      <c r="Q106" s="148" t="s">
        <v>161</v>
      </c>
      <c r="R106" s="149">
        <v>11570</v>
      </c>
      <c r="S106" s="149" t="s">
        <v>343</v>
      </c>
      <c r="T106" s="149" t="s">
        <v>153</v>
      </c>
      <c r="U106" s="149" t="s">
        <v>429</v>
      </c>
      <c r="V106" s="84"/>
      <c r="W106" s="84"/>
      <c r="X106" s="148">
        <v>0</v>
      </c>
      <c r="Y106" s="149">
        <v>0</v>
      </c>
      <c r="Z106" s="149">
        <v>3437.70</v>
      </c>
      <c r="AA106" s="149" t="s">
        <v>99</v>
      </c>
      <c r="AB106" s="149" t="s">
        <v>816</v>
      </c>
      <c r="AC106" s="150">
        <v>46086</v>
      </c>
      <c r="AD106" s="84"/>
      <c r="AE106" s="149">
        <v>9971</v>
      </c>
      <c r="AF106" s="149" t="s">
        <v>817</v>
      </c>
      <c r="AG106" s="84"/>
      <c r="AH106" s="84"/>
      <c r="AI106" s="149">
        <v>3437.70</v>
      </c>
      <c r="AJ106" s="149" t="s">
        <v>368</v>
      </c>
      <c r="AK106" s="149">
        <v>18</v>
      </c>
      <c r="AL106" s="149">
        <v>309.39</v>
      </c>
      <c r="AM106" s="148">
        <v>309.39</v>
      </c>
      <c r="AN106" s="149">
        <v>0</v>
      </c>
      <c r="AO106" s="149">
        <v>0</v>
      </c>
      <c r="AP106" s="149">
        <v>0</v>
      </c>
      <c r="AQ106" s="149">
        <v>0</v>
      </c>
      <c r="AR106" s="149">
        <v>0</v>
      </c>
      <c r="AS106" s="149">
        <v>0</v>
      </c>
      <c r="AT106" s="149">
        <v>0</v>
      </c>
      <c r="AU106" s="84"/>
      <c r="AV106" s="84"/>
      <c r="AW106" s="148">
        <v>0</v>
      </c>
      <c r="AX106" s="149">
        <v>4056.48</v>
      </c>
      <c r="AY106" s="149" t="s">
        <v>101</v>
      </c>
      <c r="AZ106" s="149" t="s">
        <v>101</v>
      </c>
      <c r="BA106" s="149" t="s">
        <v>642</v>
      </c>
      <c r="BB106" s="149">
        <v>1126100472</v>
      </c>
      <c r="BC106" s="149" t="s">
        <v>172</v>
      </c>
      <c r="BD106" s="149" t="s">
        <v>103</v>
      </c>
      <c r="BE106" s="84"/>
      <c r="BF106" s="84" t="s">
        <v>271</v>
      </c>
      <c r="BG106" s="84" t="s">
        <v>281</v>
      </c>
      <c r="BH106" s="149" t="s">
        <v>289</v>
      </c>
      <c r="BI106" t="s">
        <v>155</v>
      </c>
      <c r="BJ106" t="s">
        <v>156</v>
      </c>
      <c r="BK106" t="s">
        <v>818</v>
      </c>
      <c r="BL106">
        <v>618.78</v>
      </c>
      <c r="BM106">
        <v>618.78</v>
      </c>
      <c r="BN106">
        <v>0</v>
      </c>
      <c r="BO106" t="s">
        <v>154</v>
      </c>
      <c r="BP106">
        <v>9177648</v>
      </c>
      <c r="BQ106" t="s">
        <v>271</v>
      </c>
      <c r="BR106" t="s">
        <v>307</v>
      </c>
      <c r="BS106">
        <v>1</v>
      </c>
    </row>
    <row r="107" spans="1:71" s="0" customFormat="1" ht="14.5">
      <c r="A107" s="148" t="s">
        <v>157</v>
      </c>
      <c r="B107" s="149" t="s">
        <v>625</v>
      </c>
      <c r="C107" s="149">
        <v>107</v>
      </c>
      <c r="D107" s="149" t="s">
        <v>97</v>
      </c>
      <c r="E107" s="149" t="s">
        <v>98</v>
      </c>
      <c r="F107" s="84"/>
      <c r="G107" s="149" t="s">
        <v>106</v>
      </c>
      <c r="H107" s="149" t="s">
        <v>48</v>
      </c>
      <c r="I107" s="149" t="s">
        <v>158</v>
      </c>
      <c r="J107" s="148" t="s">
        <v>165</v>
      </c>
      <c r="K107" s="148" t="s">
        <v>166</v>
      </c>
      <c r="L107" s="149" t="s">
        <v>160</v>
      </c>
      <c r="M107" s="150">
        <v>46127</v>
      </c>
      <c r="N107" s="149" t="s">
        <v>626</v>
      </c>
      <c r="O107" s="149">
        <v>9158398</v>
      </c>
      <c r="P107" s="150">
        <v>46090</v>
      </c>
      <c r="Q107" s="148" t="s">
        <v>161</v>
      </c>
      <c r="R107" s="149">
        <v>35671</v>
      </c>
      <c r="S107" s="149" t="s">
        <v>424</v>
      </c>
      <c r="T107" s="149" t="s">
        <v>425</v>
      </c>
      <c r="U107" s="149" t="s">
        <v>426</v>
      </c>
      <c r="V107" s="149" t="s">
        <v>162</v>
      </c>
      <c r="W107" s="84"/>
      <c r="X107" s="148">
        <v>1811.02</v>
      </c>
      <c r="Y107" s="149">
        <v>1</v>
      </c>
      <c r="Z107" s="149">
        <v>1811.02</v>
      </c>
      <c r="AA107" s="149" t="s">
        <v>99</v>
      </c>
      <c r="AB107" s="149" t="s">
        <v>626</v>
      </c>
      <c r="AC107" s="150">
        <v>46121</v>
      </c>
      <c r="AD107" s="149" t="s">
        <v>164</v>
      </c>
      <c r="AE107" s="149">
        <v>84212300</v>
      </c>
      <c r="AF107" s="149" t="s">
        <v>768</v>
      </c>
      <c r="AG107" s="84"/>
      <c r="AH107" s="84"/>
      <c r="AI107" s="149">
        <v>1811.02</v>
      </c>
      <c r="AJ107" s="149" t="s">
        <v>368</v>
      </c>
      <c r="AK107" s="149">
        <v>18</v>
      </c>
      <c r="AL107" s="149">
        <v>0</v>
      </c>
      <c r="AM107" s="148">
        <v>0</v>
      </c>
      <c r="AN107" s="149">
        <v>325.98</v>
      </c>
      <c r="AO107" s="149">
        <v>0</v>
      </c>
      <c r="AP107" s="149">
        <v>0</v>
      </c>
      <c r="AQ107" s="149">
        <v>0</v>
      </c>
      <c r="AR107" s="149">
        <v>0</v>
      </c>
      <c r="AS107" s="149">
        <v>0</v>
      </c>
      <c r="AT107" s="149">
        <v>0</v>
      </c>
      <c r="AU107" s="84"/>
      <c r="AV107" s="84"/>
      <c r="AW107" s="148">
        <v>0</v>
      </c>
      <c r="AX107" s="149">
        <v>2137</v>
      </c>
      <c r="AY107" s="149" t="s">
        <v>101</v>
      </c>
      <c r="AZ107" s="149" t="s">
        <v>101</v>
      </c>
      <c r="BA107" s="149" t="s">
        <v>628</v>
      </c>
      <c r="BB107" s="149">
        <v>1126100105</v>
      </c>
      <c r="BC107" s="149" t="s">
        <v>168</v>
      </c>
      <c r="BD107" s="149" t="s">
        <v>272</v>
      </c>
      <c r="BE107" s="84"/>
      <c r="BF107" s="84" t="s">
        <v>271</v>
      </c>
      <c r="BG107" s="84" t="s">
        <v>281</v>
      </c>
      <c r="BH107" s="149" t="s">
        <v>290</v>
      </c>
      <c r="BI107" t="s">
        <v>155</v>
      </c>
      <c r="BJ107" t="s">
        <v>156</v>
      </c>
      <c r="BK107" t="s">
        <v>629</v>
      </c>
      <c r="BL107">
        <v>325.98</v>
      </c>
      <c r="BM107">
        <v>38182.879999999997</v>
      </c>
      <c r="BN107">
        <v>-37857</v>
      </c>
      <c r="BO107" t="s">
        <v>154</v>
      </c>
      <c r="BP107">
        <v>9158398</v>
      </c>
      <c r="BQ107" t="s">
        <v>271</v>
      </c>
      <c r="BR107" t="s">
        <v>630</v>
      </c>
      <c r="BS107">
        <v>37</v>
      </c>
    </row>
    <row r="108" spans="1:71" s="0" customFormat="1" ht="14.5">
      <c r="A108" s="148" t="s">
        <v>157</v>
      </c>
      <c r="B108" s="149" t="s">
        <v>625</v>
      </c>
      <c r="C108" s="149">
        <v>107</v>
      </c>
      <c r="D108" s="149" t="s">
        <v>97</v>
      </c>
      <c r="E108" s="149" t="s">
        <v>98</v>
      </c>
      <c r="F108" s="84"/>
      <c r="G108" s="149" t="s">
        <v>106</v>
      </c>
      <c r="H108" s="149" t="s">
        <v>48</v>
      </c>
      <c r="I108" s="149" t="s">
        <v>158</v>
      </c>
      <c r="J108" s="148" t="s">
        <v>165</v>
      </c>
      <c r="K108" s="148" t="s">
        <v>166</v>
      </c>
      <c r="L108" s="149" t="s">
        <v>160</v>
      </c>
      <c r="M108" s="150">
        <v>46140</v>
      </c>
      <c r="N108" s="149" t="s">
        <v>632</v>
      </c>
      <c r="O108" s="149">
        <v>9174963</v>
      </c>
      <c r="P108" s="150">
        <v>46129</v>
      </c>
      <c r="Q108" s="148" t="s">
        <v>161</v>
      </c>
      <c r="R108" s="149">
        <v>35671</v>
      </c>
      <c r="S108" s="149" t="s">
        <v>424</v>
      </c>
      <c r="T108" s="149" t="s">
        <v>425</v>
      </c>
      <c r="U108" s="149" t="s">
        <v>426</v>
      </c>
      <c r="V108" s="149" t="s">
        <v>162</v>
      </c>
      <c r="W108" s="84"/>
      <c r="X108" s="148">
        <v>275</v>
      </c>
      <c r="Y108" s="149">
        <v>28</v>
      </c>
      <c r="Z108" s="149">
        <v>7700</v>
      </c>
      <c r="AA108" s="149" t="s">
        <v>99</v>
      </c>
      <c r="AB108" s="149" t="s">
        <v>632</v>
      </c>
      <c r="AC108" s="150">
        <v>46129</v>
      </c>
      <c r="AD108" s="149" t="s">
        <v>164</v>
      </c>
      <c r="AE108" s="149">
        <v>996200</v>
      </c>
      <c r="AF108" s="149" t="s">
        <v>819</v>
      </c>
      <c r="AG108" s="84"/>
      <c r="AH108" s="84"/>
      <c r="AI108" s="149">
        <v>7700</v>
      </c>
      <c r="AJ108" s="149" t="s">
        <v>368</v>
      </c>
      <c r="AK108" s="149">
        <v>18</v>
      </c>
      <c r="AL108" s="149">
        <v>0</v>
      </c>
      <c r="AM108" s="148">
        <v>0</v>
      </c>
      <c r="AN108" s="149">
        <v>1386</v>
      </c>
      <c r="AO108" s="149">
        <v>0</v>
      </c>
      <c r="AP108" s="149">
        <v>0</v>
      </c>
      <c r="AQ108" s="149">
        <v>0</v>
      </c>
      <c r="AR108" s="149">
        <v>0</v>
      </c>
      <c r="AS108" s="149">
        <v>0</v>
      </c>
      <c r="AT108" s="149">
        <v>0</v>
      </c>
      <c r="AU108" s="84"/>
      <c r="AV108" s="84"/>
      <c r="AW108" s="148">
        <v>0</v>
      </c>
      <c r="AX108" s="149">
        <v>9086</v>
      </c>
      <c r="AY108" s="149" t="s">
        <v>101</v>
      </c>
      <c r="AZ108" s="149" t="s">
        <v>101</v>
      </c>
      <c r="BA108" s="149" t="s">
        <v>634</v>
      </c>
      <c r="BB108" s="149">
        <v>1126100446</v>
      </c>
      <c r="BC108" s="149" t="s">
        <v>168</v>
      </c>
      <c r="BD108" s="149" t="s">
        <v>272</v>
      </c>
      <c r="BE108" s="84"/>
      <c r="BF108" s="84" t="s">
        <v>271</v>
      </c>
      <c r="BG108" s="84" t="s">
        <v>281</v>
      </c>
      <c r="BH108" s="149" t="s">
        <v>290</v>
      </c>
      <c r="BI108" t="s">
        <v>155</v>
      </c>
      <c r="BJ108" t="s">
        <v>156</v>
      </c>
      <c r="BK108" t="s">
        <v>635</v>
      </c>
      <c r="BL108">
        <v>1386</v>
      </c>
      <c r="BM108">
        <v>36494.74</v>
      </c>
      <c r="BN108">
        <v>-35109</v>
      </c>
      <c r="BO108" t="s">
        <v>154</v>
      </c>
      <c r="BP108">
        <v>9174963</v>
      </c>
      <c r="BQ108" t="s">
        <v>271</v>
      </c>
      <c r="BR108" t="s">
        <v>630</v>
      </c>
      <c r="BS108">
        <v>36</v>
      </c>
    </row>
    <row r="109" spans="1:71" s="0" customFormat="1" ht="14.5">
      <c r="A109" s="148" t="s">
        <v>157</v>
      </c>
      <c r="B109" s="149" t="s">
        <v>625</v>
      </c>
      <c r="C109" s="149">
        <v>107</v>
      </c>
      <c r="D109" s="149" t="s">
        <v>97</v>
      </c>
      <c r="E109" s="149" t="s">
        <v>98</v>
      </c>
      <c r="F109" s="84"/>
      <c r="G109" s="149" t="s">
        <v>106</v>
      </c>
      <c r="H109" s="149" t="s">
        <v>48</v>
      </c>
      <c r="I109" s="149" t="s">
        <v>158</v>
      </c>
      <c r="J109" s="148" t="s">
        <v>165</v>
      </c>
      <c r="K109" s="148" t="s">
        <v>166</v>
      </c>
      <c r="L109" s="149" t="s">
        <v>160</v>
      </c>
      <c r="M109" s="150">
        <v>46140</v>
      </c>
      <c r="N109" s="149" t="s">
        <v>660</v>
      </c>
      <c r="O109" s="149">
        <v>9175014</v>
      </c>
      <c r="P109" s="150">
        <v>46129</v>
      </c>
      <c r="Q109" s="148" t="s">
        <v>161</v>
      </c>
      <c r="R109" s="149">
        <v>15979</v>
      </c>
      <c r="S109" s="149" t="s">
        <v>369</v>
      </c>
      <c r="T109" s="149" t="s">
        <v>169</v>
      </c>
      <c r="U109" s="149" t="s">
        <v>370</v>
      </c>
      <c r="V109" s="149" t="s">
        <v>162</v>
      </c>
      <c r="W109" s="84"/>
      <c r="X109" s="148">
        <v>1110.5999999999999</v>
      </c>
      <c r="Y109" s="149">
        <v>1</v>
      </c>
      <c r="Z109" s="149">
        <v>1110.5999999999999</v>
      </c>
      <c r="AA109" s="149" t="s">
        <v>99</v>
      </c>
      <c r="AB109" s="149" t="s">
        <v>660</v>
      </c>
      <c r="AC109" s="150">
        <v>46129</v>
      </c>
      <c r="AD109" s="149" t="s">
        <v>164</v>
      </c>
      <c r="AE109" s="149">
        <v>998729</v>
      </c>
      <c r="AF109" s="149" t="s">
        <v>820</v>
      </c>
      <c r="AG109" s="84"/>
      <c r="AH109" s="84"/>
      <c r="AI109" s="149">
        <v>1110.5999999999999</v>
      </c>
      <c r="AJ109" s="149" t="s">
        <v>368</v>
      </c>
      <c r="AK109" s="149">
        <v>18</v>
      </c>
      <c r="AL109" s="149">
        <v>99.95</v>
      </c>
      <c r="AM109" s="148">
        <v>99.95</v>
      </c>
      <c r="AN109" s="149">
        <v>0</v>
      </c>
      <c r="AO109" s="149">
        <v>0</v>
      </c>
      <c r="AP109" s="149">
        <v>0</v>
      </c>
      <c r="AQ109" s="149">
        <v>0</v>
      </c>
      <c r="AR109" s="149">
        <v>0</v>
      </c>
      <c r="AS109" s="149">
        <v>0</v>
      </c>
      <c r="AT109" s="149">
        <v>0</v>
      </c>
      <c r="AU109" s="84"/>
      <c r="AV109" s="84"/>
      <c r="AW109" s="148">
        <v>0</v>
      </c>
      <c r="AX109" s="149">
        <v>1310.5</v>
      </c>
      <c r="AY109" s="149" t="s">
        <v>101</v>
      </c>
      <c r="AZ109" s="149" t="s">
        <v>101</v>
      </c>
      <c r="BA109" s="149" t="s">
        <v>662</v>
      </c>
      <c r="BB109" s="149">
        <v>1126100447</v>
      </c>
      <c r="BC109" s="149" t="s">
        <v>172</v>
      </c>
      <c r="BD109" s="149" t="s">
        <v>272</v>
      </c>
      <c r="BE109" s="84"/>
      <c r="BF109" s="84" t="s">
        <v>271</v>
      </c>
      <c r="BG109" s="84" t="s">
        <v>281</v>
      </c>
      <c r="BH109" s="149" t="s">
        <v>290</v>
      </c>
      <c r="BI109" t="s">
        <v>155</v>
      </c>
      <c r="BJ109" t="s">
        <v>156</v>
      </c>
      <c r="BK109" t="s">
        <v>663</v>
      </c>
      <c r="BL109">
        <v>199.90</v>
      </c>
      <c r="BM109">
        <v>2435.38</v>
      </c>
      <c r="BN109">
        <v>-2235</v>
      </c>
      <c r="BO109" t="s">
        <v>154</v>
      </c>
      <c r="BP109">
        <v>9175014</v>
      </c>
      <c r="BQ109" t="s">
        <v>271</v>
      </c>
      <c r="BR109" t="s">
        <v>630</v>
      </c>
      <c r="BS109">
        <v>18</v>
      </c>
    </row>
    <row r="110" spans="1:71" s="0" customFormat="1" ht="14.5">
      <c r="A110" s="148" t="s">
        <v>157</v>
      </c>
      <c r="B110" s="149" t="s">
        <v>625</v>
      </c>
      <c r="C110" s="149">
        <v>107</v>
      </c>
      <c r="D110" s="149" t="s">
        <v>97</v>
      </c>
      <c r="E110" s="149" t="s">
        <v>98</v>
      </c>
      <c r="F110" s="84"/>
      <c r="G110" s="84"/>
      <c r="H110" s="149" t="s">
        <v>48</v>
      </c>
      <c r="I110" s="149" t="s">
        <v>158</v>
      </c>
      <c r="J110" s="148" t="s">
        <v>159</v>
      </c>
      <c r="K110" s="148" t="s">
        <v>163</v>
      </c>
      <c r="L110" s="149" t="s">
        <v>160</v>
      </c>
      <c r="M110" s="150">
        <v>46126</v>
      </c>
      <c r="N110" s="149" t="s">
        <v>668</v>
      </c>
      <c r="O110" s="149">
        <v>9155609</v>
      </c>
      <c r="P110" s="150">
        <v>46114</v>
      </c>
      <c r="Q110" s="148" t="s">
        <v>161</v>
      </c>
      <c r="R110" s="149">
        <v>2770</v>
      </c>
      <c r="S110" s="149" t="s">
        <v>299</v>
      </c>
      <c r="T110" s="149" t="s">
        <v>174</v>
      </c>
      <c r="U110" s="149" t="s">
        <v>175</v>
      </c>
      <c r="V110" s="149" t="s">
        <v>162</v>
      </c>
      <c r="W110" s="84"/>
      <c r="X110" s="148">
        <v>1</v>
      </c>
      <c r="Y110" s="149">
        <v>7009.20</v>
      </c>
      <c r="Z110" s="149">
        <v>7009.20</v>
      </c>
      <c r="AA110" s="149" t="s">
        <v>99</v>
      </c>
      <c r="AB110" s="149" t="s">
        <v>668</v>
      </c>
      <c r="AC110" s="150">
        <v>46114</v>
      </c>
      <c r="AD110" s="149" t="s">
        <v>171</v>
      </c>
      <c r="AE110" s="149">
        <v>84439952</v>
      </c>
      <c r="AF110" s="149" t="s">
        <v>821</v>
      </c>
      <c r="AG110" s="84"/>
      <c r="AH110" s="84"/>
      <c r="AI110" s="149">
        <v>7009.20</v>
      </c>
      <c r="AJ110" s="149" t="s">
        <v>368</v>
      </c>
      <c r="AK110" s="149">
        <v>18</v>
      </c>
      <c r="AL110" s="149">
        <v>630.83000000000004</v>
      </c>
      <c r="AM110" s="148">
        <v>630.83000000000004</v>
      </c>
      <c r="AN110" s="149">
        <v>0</v>
      </c>
      <c r="AO110" s="149">
        <v>0</v>
      </c>
      <c r="AP110" s="149">
        <v>0</v>
      </c>
      <c r="AQ110" s="149">
        <v>0</v>
      </c>
      <c r="AR110" s="149">
        <v>0</v>
      </c>
      <c r="AS110" s="149">
        <v>0</v>
      </c>
      <c r="AT110" s="149">
        <v>0</v>
      </c>
      <c r="AU110" s="84"/>
      <c r="AV110" s="84"/>
      <c r="AW110" s="148">
        <v>0</v>
      </c>
      <c r="AX110" s="149">
        <v>8270.86</v>
      </c>
      <c r="AY110" s="149" t="s">
        <v>100</v>
      </c>
      <c r="AZ110" s="149" t="s">
        <v>101</v>
      </c>
      <c r="BA110" s="149" t="s">
        <v>642</v>
      </c>
      <c r="BB110" s="149">
        <v>1126100059</v>
      </c>
      <c r="BC110" s="149" t="s">
        <v>105</v>
      </c>
      <c r="BD110" s="149" t="s">
        <v>103</v>
      </c>
      <c r="BE110" s="84"/>
      <c r="BF110" s="84" t="s">
        <v>270</v>
      </c>
      <c r="BG110" s="84" t="s">
        <v>281</v>
      </c>
      <c r="BH110" s="149" t="s">
        <v>290</v>
      </c>
      <c r="BI110" t="s">
        <v>155</v>
      </c>
      <c r="BJ110" t="s">
        <v>156</v>
      </c>
      <c r="BK110" t="s">
        <v>669</v>
      </c>
      <c r="BL110">
        <v>1261.6600000000001</v>
      </c>
      <c r="BM110">
        <v>1420.5</v>
      </c>
      <c r="BN110">
        <v>-159</v>
      </c>
      <c r="BO110" t="s">
        <v>154</v>
      </c>
      <c r="BP110">
        <v>9155609</v>
      </c>
      <c r="BQ110" t="s">
        <v>270</v>
      </c>
      <c r="BR110" t="s">
        <v>630</v>
      </c>
      <c r="BS110">
        <v>4</v>
      </c>
    </row>
    <row r="111" spans="1:71" s="0" customFormat="1" ht="14.5">
      <c r="A111" s="148" t="s">
        <v>157</v>
      </c>
      <c r="B111" s="149" t="s">
        <v>625</v>
      </c>
      <c r="C111" s="149">
        <v>107</v>
      </c>
      <c r="D111" s="149" t="s">
        <v>97</v>
      </c>
      <c r="E111" s="149" t="s">
        <v>98</v>
      </c>
      <c r="F111" s="84"/>
      <c r="G111" s="84"/>
      <c r="H111" s="149" t="s">
        <v>48</v>
      </c>
      <c r="I111" s="149" t="s">
        <v>158</v>
      </c>
      <c r="J111" s="148" t="s">
        <v>159</v>
      </c>
      <c r="K111" s="148" t="s">
        <v>163</v>
      </c>
      <c r="L111" s="149" t="s">
        <v>160</v>
      </c>
      <c r="M111" s="150">
        <v>46136</v>
      </c>
      <c r="N111" s="149">
        <v>7026000049</v>
      </c>
      <c r="O111" s="149">
        <v>9168297</v>
      </c>
      <c r="P111" s="150">
        <v>46128</v>
      </c>
      <c r="Q111" s="148" t="s">
        <v>161</v>
      </c>
      <c r="R111" s="149">
        <v>14809</v>
      </c>
      <c r="S111" s="149" t="s">
        <v>822</v>
      </c>
      <c r="T111" s="149" t="s">
        <v>169</v>
      </c>
      <c r="U111" s="149" t="s">
        <v>823</v>
      </c>
      <c r="V111" s="149" t="s">
        <v>162</v>
      </c>
      <c r="W111" s="84"/>
      <c r="X111" s="148">
        <v>3650</v>
      </c>
      <c r="Y111" s="149">
        <v>40</v>
      </c>
      <c r="Z111" s="149">
        <v>146000</v>
      </c>
      <c r="AA111" s="149" t="s">
        <v>99</v>
      </c>
      <c r="AB111" s="149">
        <v>7026000049</v>
      </c>
      <c r="AC111" s="150">
        <v>46128</v>
      </c>
      <c r="AD111" s="149" t="s">
        <v>164</v>
      </c>
      <c r="AE111" s="149">
        <v>998717</v>
      </c>
      <c r="AF111" s="149" t="s">
        <v>824</v>
      </c>
      <c r="AG111" s="84"/>
      <c r="AH111" s="84"/>
      <c r="AI111" s="149">
        <v>146000</v>
      </c>
      <c r="AJ111" s="149" t="s">
        <v>368</v>
      </c>
      <c r="AK111" s="149">
        <v>18</v>
      </c>
      <c r="AL111" s="149">
        <v>13140</v>
      </c>
      <c r="AM111" s="148">
        <v>13140</v>
      </c>
      <c r="AN111" s="149">
        <v>0</v>
      </c>
      <c r="AO111" s="149">
        <v>0</v>
      </c>
      <c r="AP111" s="149">
        <v>0</v>
      </c>
      <c r="AQ111" s="149">
        <v>0</v>
      </c>
      <c r="AR111" s="149">
        <v>0</v>
      </c>
      <c r="AS111" s="149">
        <v>0</v>
      </c>
      <c r="AT111" s="149">
        <v>0</v>
      </c>
      <c r="AU111" s="84"/>
      <c r="AV111" s="84"/>
      <c r="AW111" s="148">
        <v>0</v>
      </c>
      <c r="AX111" s="149">
        <v>172280</v>
      </c>
      <c r="AY111" s="149" t="s">
        <v>100</v>
      </c>
      <c r="AZ111" s="149" t="s">
        <v>101</v>
      </c>
      <c r="BA111" s="149" t="s">
        <v>276</v>
      </c>
      <c r="BB111" s="149">
        <v>1126100390</v>
      </c>
      <c r="BC111" s="149" t="s">
        <v>105</v>
      </c>
      <c r="BD111" s="149" t="s">
        <v>103</v>
      </c>
      <c r="BE111" s="84"/>
      <c r="BF111" s="84" t="s">
        <v>270</v>
      </c>
      <c r="BG111" s="84" t="s">
        <v>281</v>
      </c>
      <c r="BH111" s="149" t="s">
        <v>290</v>
      </c>
      <c r="BI111" t="s">
        <v>155</v>
      </c>
      <c r="BJ111" t="s">
        <v>156</v>
      </c>
      <c r="BK111" t="s">
        <v>825</v>
      </c>
      <c r="BL111">
        <v>26280</v>
      </c>
      <c r="BM111">
        <v>28440</v>
      </c>
      <c r="BN111">
        <v>-2160</v>
      </c>
      <c r="BO111" t="s">
        <v>154</v>
      </c>
      <c r="BP111">
        <v>9168297</v>
      </c>
      <c r="BQ111" t="s">
        <v>270</v>
      </c>
      <c r="BR111" t="s">
        <v>630</v>
      </c>
      <c r="BS111">
        <v>3</v>
      </c>
    </row>
    <row r="112" spans="1:71" s="0" customFormat="1" ht="14.5">
      <c r="A112" s="148" t="s">
        <v>157</v>
      </c>
      <c r="B112" s="149" t="s">
        <v>625</v>
      </c>
      <c r="C112" s="149">
        <v>107</v>
      </c>
      <c r="D112" s="149" t="s">
        <v>97</v>
      </c>
      <c r="E112" s="149" t="s">
        <v>98</v>
      </c>
      <c r="F112" s="84"/>
      <c r="G112" s="84"/>
      <c r="H112" s="149" t="s">
        <v>48</v>
      </c>
      <c r="I112" s="149" t="s">
        <v>158</v>
      </c>
      <c r="J112" s="148" t="s">
        <v>159</v>
      </c>
      <c r="K112" s="148" t="s">
        <v>163</v>
      </c>
      <c r="L112" s="149" t="s">
        <v>160</v>
      </c>
      <c r="M112" s="150">
        <v>46127</v>
      </c>
      <c r="N112" s="149" t="s">
        <v>826</v>
      </c>
      <c r="O112" s="149">
        <v>9156868</v>
      </c>
      <c r="P112" s="150">
        <v>46113</v>
      </c>
      <c r="Q112" s="148" t="s">
        <v>161</v>
      </c>
      <c r="R112" s="149">
        <v>2770</v>
      </c>
      <c r="S112" s="149" t="s">
        <v>299</v>
      </c>
      <c r="T112" s="149" t="s">
        <v>176</v>
      </c>
      <c r="U112" s="149" t="s">
        <v>177</v>
      </c>
      <c r="V112" s="149" t="s">
        <v>162</v>
      </c>
      <c r="W112" s="84"/>
      <c r="X112" s="148">
        <v>1</v>
      </c>
      <c r="Y112" s="149">
        <v>4365</v>
      </c>
      <c r="Z112" s="149">
        <v>4365</v>
      </c>
      <c r="AA112" s="149" t="s">
        <v>99</v>
      </c>
      <c r="AB112" s="149" t="s">
        <v>826</v>
      </c>
      <c r="AC112" s="150">
        <v>46113</v>
      </c>
      <c r="AD112" s="149" t="s">
        <v>164</v>
      </c>
      <c r="AE112" s="149">
        <v>997314</v>
      </c>
      <c r="AF112" s="149" t="s">
        <v>781</v>
      </c>
      <c r="AG112" s="84"/>
      <c r="AH112" s="84"/>
      <c r="AI112" s="149">
        <v>4365</v>
      </c>
      <c r="AJ112" s="149" t="s">
        <v>368</v>
      </c>
      <c r="AK112" s="149">
        <v>18</v>
      </c>
      <c r="AL112" s="149">
        <v>0</v>
      </c>
      <c r="AM112" s="148">
        <v>0</v>
      </c>
      <c r="AN112" s="149">
        <v>785.70</v>
      </c>
      <c r="AO112" s="149">
        <v>0</v>
      </c>
      <c r="AP112" s="149">
        <v>0</v>
      </c>
      <c r="AQ112" s="149">
        <v>0</v>
      </c>
      <c r="AR112" s="149">
        <v>0</v>
      </c>
      <c r="AS112" s="149">
        <v>0</v>
      </c>
      <c r="AT112" s="149">
        <v>0</v>
      </c>
      <c r="AU112" s="84"/>
      <c r="AV112" s="84"/>
      <c r="AW112" s="148">
        <v>0</v>
      </c>
      <c r="AX112" s="149">
        <v>5150.70</v>
      </c>
      <c r="AY112" s="149" t="s">
        <v>100</v>
      </c>
      <c r="AZ112" s="149" t="s">
        <v>101</v>
      </c>
      <c r="BA112" s="149" t="s">
        <v>321</v>
      </c>
      <c r="BB112" s="149">
        <v>1126100097</v>
      </c>
      <c r="BC112" s="149" t="s">
        <v>102</v>
      </c>
      <c r="BD112" s="149" t="s">
        <v>103</v>
      </c>
      <c r="BE112" s="84"/>
      <c r="BF112" s="84" t="s">
        <v>270</v>
      </c>
      <c r="BG112" s="84" t="s">
        <v>281</v>
      </c>
      <c r="BH112" s="149" t="s">
        <v>290</v>
      </c>
      <c r="BI112" t="s">
        <v>155</v>
      </c>
      <c r="BJ112" t="s">
        <v>156</v>
      </c>
      <c r="BK112" t="s">
        <v>827</v>
      </c>
      <c r="BL112">
        <v>785.70</v>
      </c>
      <c r="BM112">
        <v>785.70</v>
      </c>
      <c r="BN112">
        <v>0</v>
      </c>
      <c r="BO112" t="s">
        <v>154</v>
      </c>
      <c r="BP112">
        <v>9156868</v>
      </c>
      <c r="BQ112" t="s">
        <v>270</v>
      </c>
      <c r="BR112" t="s">
        <v>630</v>
      </c>
      <c r="BS112">
        <v>1</v>
      </c>
    </row>
    <row r="113" spans="1:71" s="0" customFormat="1" ht="14.5">
      <c r="A113" s="148" t="s">
        <v>157</v>
      </c>
      <c r="B113" s="149" t="s">
        <v>625</v>
      </c>
      <c r="C113" s="149">
        <v>107</v>
      </c>
      <c r="D113" s="149" t="s">
        <v>97</v>
      </c>
      <c r="E113" s="149" t="s">
        <v>98</v>
      </c>
      <c r="F113" s="84"/>
      <c r="G113" s="84"/>
      <c r="H113" s="149" t="s">
        <v>48</v>
      </c>
      <c r="I113" s="149" t="s">
        <v>158</v>
      </c>
      <c r="J113" s="148" t="s">
        <v>159</v>
      </c>
      <c r="K113" s="148" t="s">
        <v>163</v>
      </c>
      <c r="L113" s="149" t="s">
        <v>160</v>
      </c>
      <c r="M113" s="150">
        <v>46142</v>
      </c>
      <c r="N113" s="149" t="s">
        <v>828</v>
      </c>
      <c r="O113" s="149">
        <v>9178276</v>
      </c>
      <c r="P113" s="150">
        <v>45975</v>
      </c>
      <c r="Q113" s="148" t="s">
        <v>161</v>
      </c>
      <c r="R113" s="149">
        <v>43607</v>
      </c>
      <c r="S113" s="149" t="s">
        <v>829</v>
      </c>
      <c r="T113" s="149" t="s">
        <v>170</v>
      </c>
      <c r="U113" s="149" t="s">
        <v>830</v>
      </c>
      <c r="V113" s="149" t="s">
        <v>162</v>
      </c>
      <c r="W113" s="84"/>
      <c r="X113" s="148">
        <v>382600</v>
      </c>
      <c r="Y113" s="149">
        <v>0.43909999999999999</v>
      </c>
      <c r="Z113" s="149">
        <v>167999.66</v>
      </c>
      <c r="AA113" s="149" t="s">
        <v>99</v>
      </c>
      <c r="AB113" s="149">
        <v>70</v>
      </c>
      <c r="AC113" s="150">
        <v>45975</v>
      </c>
      <c r="AD113" s="149" t="s">
        <v>300</v>
      </c>
      <c r="AE113" s="149">
        <v>8419</v>
      </c>
      <c r="AF113" s="149" t="s">
        <v>831</v>
      </c>
      <c r="AG113" s="84"/>
      <c r="AH113" s="84"/>
      <c r="AI113" s="149">
        <v>167999.66</v>
      </c>
      <c r="AJ113" s="149" t="s">
        <v>368</v>
      </c>
      <c r="AK113" s="149">
        <v>18</v>
      </c>
      <c r="AL113" s="149">
        <v>15119.97</v>
      </c>
      <c r="AM113" s="148">
        <v>15119.97</v>
      </c>
      <c r="AN113" s="149">
        <v>0</v>
      </c>
      <c r="AO113" s="149">
        <v>0</v>
      </c>
      <c r="AP113" s="149">
        <v>0</v>
      </c>
      <c r="AQ113" s="149">
        <v>0</v>
      </c>
      <c r="AR113" s="149">
        <v>0</v>
      </c>
      <c r="AS113" s="149">
        <v>0</v>
      </c>
      <c r="AT113" s="149">
        <v>0</v>
      </c>
      <c r="AU113" s="84"/>
      <c r="AV113" s="84"/>
      <c r="AW113" s="148">
        <v>0</v>
      </c>
      <c r="AX113" s="149">
        <v>198239.60</v>
      </c>
      <c r="AY113" s="149" t="s">
        <v>100</v>
      </c>
      <c r="AZ113" s="149" t="s">
        <v>101</v>
      </c>
      <c r="BA113" s="149" t="s">
        <v>275</v>
      </c>
      <c r="BB113" s="149">
        <v>1126100502</v>
      </c>
      <c r="BC113" s="149" t="s">
        <v>105</v>
      </c>
      <c r="BD113" s="149" t="s">
        <v>104</v>
      </c>
      <c r="BE113" s="84"/>
      <c r="BF113" s="84" t="s">
        <v>270</v>
      </c>
      <c r="BG113" s="84" t="s">
        <v>281</v>
      </c>
      <c r="BH113" s="149" t="s">
        <v>289</v>
      </c>
      <c r="BI113" t="s">
        <v>155</v>
      </c>
      <c r="BJ113" t="s">
        <v>156</v>
      </c>
      <c r="BK113" t="s">
        <v>832</v>
      </c>
      <c r="BL113">
        <v>30239.94</v>
      </c>
      <c r="BM113">
        <v>30240</v>
      </c>
      <c r="BN113">
        <v>0</v>
      </c>
      <c r="BO113" t="s">
        <v>154</v>
      </c>
      <c r="BP113">
        <v>9178276</v>
      </c>
      <c r="BQ113" t="s">
        <v>270</v>
      </c>
      <c r="BR113" t="s">
        <v>307</v>
      </c>
      <c r="BS113">
        <v>1</v>
      </c>
    </row>
    <row r="114" spans="1:71" s="0" customFormat="1" ht="14.5">
      <c r="A114" s="148" t="s">
        <v>157</v>
      </c>
      <c r="B114" s="149" t="s">
        <v>625</v>
      </c>
      <c r="C114" s="149">
        <v>107</v>
      </c>
      <c r="D114" s="149" t="s">
        <v>97</v>
      </c>
      <c r="E114" s="149" t="s">
        <v>98</v>
      </c>
      <c r="F114" s="84"/>
      <c r="G114" s="149" t="s">
        <v>106</v>
      </c>
      <c r="H114" s="149" t="s">
        <v>48</v>
      </c>
      <c r="I114" s="149" t="s">
        <v>158</v>
      </c>
      <c r="J114" s="148" t="s">
        <v>165</v>
      </c>
      <c r="K114" s="148" t="s">
        <v>166</v>
      </c>
      <c r="L114" s="149" t="s">
        <v>160</v>
      </c>
      <c r="M114" s="150">
        <v>46127</v>
      </c>
      <c r="N114" s="149" t="s">
        <v>636</v>
      </c>
      <c r="O114" s="149">
        <v>9156749</v>
      </c>
      <c r="P114" s="150">
        <v>46115</v>
      </c>
      <c r="Q114" s="148" t="s">
        <v>161</v>
      </c>
      <c r="R114" s="149">
        <v>6262</v>
      </c>
      <c r="S114" s="149" t="s">
        <v>183</v>
      </c>
      <c r="T114" s="149" t="s">
        <v>182</v>
      </c>
      <c r="U114" s="149" t="s">
        <v>184</v>
      </c>
      <c r="V114" s="149" t="s">
        <v>162</v>
      </c>
      <c r="W114" s="84"/>
      <c r="X114" s="148">
        <v>1</v>
      </c>
      <c r="Y114" s="149">
        <v>435</v>
      </c>
      <c r="Z114" s="149">
        <v>435</v>
      </c>
      <c r="AA114" s="149" t="s">
        <v>99</v>
      </c>
      <c r="AB114" s="149" t="s">
        <v>637</v>
      </c>
      <c r="AC114" s="150">
        <v>46115</v>
      </c>
      <c r="AD114" s="149" t="s">
        <v>171</v>
      </c>
      <c r="AE114" s="149">
        <v>998413</v>
      </c>
      <c r="AF114" s="149" t="s">
        <v>638</v>
      </c>
      <c r="AG114" s="84"/>
      <c r="AH114" s="84"/>
      <c r="AI114" s="149">
        <v>435</v>
      </c>
      <c r="AJ114" s="149" t="s">
        <v>368</v>
      </c>
      <c r="AK114" s="149">
        <v>18</v>
      </c>
      <c r="AL114" s="149">
        <v>39.15</v>
      </c>
      <c r="AM114" s="148">
        <v>39.15</v>
      </c>
      <c r="AN114" s="149">
        <v>0</v>
      </c>
      <c r="AO114" s="149">
        <v>0</v>
      </c>
      <c r="AP114" s="149">
        <v>0</v>
      </c>
      <c r="AQ114" s="149">
        <v>0</v>
      </c>
      <c r="AR114" s="149">
        <v>0</v>
      </c>
      <c r="AS114" s="149">
        <v>0</v>
      </c>
      <c r="AT114" s="149">
        <v>0</v>
      </c>
      <c r="AU114" s="84"/>
      <c r="AV114" s="84"/>
      <c r="AW114" s="148">
        <v>0</v>
      </c>
      <c r="AX114" s="149">
        <v>513.29999999999995</v>
      </c>
      <c r="AY114" s="149" t="s">
        <v>100</v>
      </c>
      <c r="AZ114" s="149" t="s">
        <v>101</v>
      </c>
      <c r="BA114" s="149" t="s">
        <v>311</v>
      </c>
      <c r="BB114" s="149">
        <v>1126100078</v>
      </c>
      <c r="BC114" s="149" t="s">
        <v>105</v>
      </c>
      <c r="BD114" s="149" t="s">
        <v>103</v>
      </c>
      <c r="BE114" s="84"/>
      <c r="BF114" s="84" t="s">
        <v>270</v>
      </c>
      <c r="BG114" s="84" t="s">
        <v>281</v>
      </c>
      <c r="BH114" s="149" t="s">
        <v>290</v>
      </c>
      <c r="BI114" t="s">
        <v>155</v>
      </c>
      <c r="BJ114" t="s">
        <v>156</v>
      </c>
      <c r="BK114" t="s">
        <v>639</v>
      </c>
      <c r="BL114">
        <v>78.30</v>
      </c>
      <c r="BM114">
        <v>8534.42</v>
      </c>
      <c r="BN114">
        <v>-8456</v>
      </c>
      <c r="BO114" t="s">
        <v>154</v>
      </c>
      <c r="BP114">
        <v>9156749</v>
      </c>
      <c r="BQ114" t="s">
        <v>270</v>
      </c>
      <c r="BR114" t="s">
        <v>630</v>
      </c>
      <c r="BS114">
        <v>17</v>
      </c>
    </row>
    <row r="115" spans="1:71" s="0" customFormat="1" ht="14.5">
      <c r="A115" s="148" t="s">
        <v>157</v>
      </c>
      <c r="B115" s="149" t="s">
        <v>625</v>
      </c>
      <c r="C115" s="149">
        <v>107</v>
      </c>
      <c r="D115" s="149" t="s">
        <v>97</v>
      </c>
      <c r="E115" s="149" t="s">
        <v>98</v>
      </c>
      <c r="F115" s="84"/>
      <c r="G115" s="84"/>
      <c r="H115" s="149" t="s">
        <v>48</v>
      </c>
      <c r="I115" s="149" t="s">
        <v>158</v>
      </c>
      <c r="J115" s="148" t="s">
        <v>159</v>
      </c>
      <c r="K115" s="148" t="s">
        <v>163</v>
      </c>
      <c r="L115" s="149" t="s">
        <v>160</v>
      </c>
      <c r="M115" s="150">
        <v>46134</v>
      </c>
      <c r="N115" s="149" t="s">
        <v>704</v>
      </c>
      <c r="O115" s="149">
        <v>9164740</v>
      </c>
      <c r="P115" s="150">
        <v>46121</v>
      </c>
      <c r="Q115" s="148" t="s">
        <v>161</v>
      </c>
      <c r="R115" s="149">
        <v>3615</v>
      </c>
      <c r="S115" s="149" t="s">
        <v>705</v>
      </c>
      <c r="T115" s="149" t="s">
        <v>169</v>
      </c>
      <c r="U115" s="149" t="s">
        <v>706</v>
      </c>
      <c r="V115" s="149" t="s">
        <v>162</v>
      </c>
      <c r="W115" s="84"/>
      <c r="X115" s="148">
        <v>25</v>
      </c>
      <c r="Y115" s="149">
        <v>81</v>
      </c>
      <c r="Z115" s="149">
        <v>2025</v>
      </c>
      <c r="AA115" s="149" t="s">
        <v>99</v>
      </c>
      <c r="AB115" s="149" t="s">
        <v>704</v>
      </c>
      <c r="AC115" s="150">
        <v>46121</v>
      </c>
      <c r="AD115" s="149" t="s">
        <v>171</v>
      </c>
      <c r="AE115" s="149">
        <v>998900</v>
      </c>
      <c r="AF115" s="149" t="s">
        <v>833</v>
      </c>
      <c r="AG115" s="84"/>
      <c r="AH115" s="84"/>
      <c r="AI115" s="149">
        <v>2025</v>
      </c>
      <c r="AJ115" s="149" t="s">
        <v>368</v>
      </c>
      <c r="AK115" s="149">
        <v>18</v>
      </c>
      <c r="AL115" s="149">
        <v>182.25</v>
      </c>
      <c r="AM115" s="148">
        <v>182.25</v>
      </c>
      <c r="AN115" s="149">
        <v>0</v>
      </c>
      <c r="AO115" s="149">
        <v>0</v>
      </c>
      <c r="AP115" s="149">
        <v>0</v>
      </c>
      <c r="AQ115" s="149">
        <v>0</v>
      </c>
      <c r="AR115" s="149">
        <v>0</v>
      </c>
      <c r="AS115" s="149">
        <v>0</v>
      </c>
      <c r="AT115" s="149">
        <v>0</v>
      </c>
      <c r="AU115" s="84"/>
      <c r="AV115" s="84"/>
      <c r="AW115" s="148">
        <v>0</v>
      </c>
      <c r="AX115" s="149">
        <v>2389.5</v>
      </c>
      <c r="AY115" s="149" t="s">
        <v>101</v>
      </c>
      <c r="AZ115" s="149" t="s">
        <v>101</v>
      </c>
      <c r="BA115" s="149" t="s">
        <v>708</v>
      </c>
      <c r="BB115" s="149">
        <v>1126100334</v>
      </c>
      <c r="BC115" s="149" t="s">
        <v>172</v>
      </c>
      <c r="BD115" s="149" t="s">
        <v>103</v>
      </c>
      <c r="BE115" s="84"/>
      <c r="BF115" s="84" t="s">
        <v>271</v>
      </c>
      <c r="BG115" s="84" t="s">
        <v>281</v>
      </c>
      <c r="BH115" s="149" t="s">
        <v>290</v>
      </c>
      <c r="BI115" t="s">
        <v>155</v>
      </c>
      <c r="BJ115" t="s">
        <v>156</v>
      </c>
      <c r="BK115" t="s">
        <v>709</v>
      </c>
      <c r="BL115">
        <v>364.5</v>
      </c>
      <c r="BM115">
        <v>6014.70</v>
      </c>
      <c r="BN115">
        <v>-5650</v>
      </c>
      <c r="BO115" t="s">
        <v>154</v>
      </c>
      <c r="BP115">
        <v>9164740</v>
      </c>
      <c r="BQ115" t="s">
        <v>271</v>
      </c>
      <c r="BR115" t="s">
        <v>630</v>
      </c>
      <c r="BS115">
        <v>6</v>
      </c>
    </row>
    <row r="116" spans="1:71" s="0" customFormat="1" ht="14.5">
      <c r="A116" s="148" t="s">
        <v>157</v>
      </c>
      <c r="B116" s="149" t="s">
        <v>625</v>
      </c>
      <c r="C116" s="149">
        <v>107</v>
      </c>
      <c r="D116" s="149" t="s">
        <v>97</v>
      </c>
      <c r="E116" s="149" t="s">
        <v>98</v>
      </c>
      <c r="F116" s="84"/>
      <c r="G116" s="84"/>
      <c r="H116" s="149" t="s">
        <v>48</v>
      </c>
      <c r="I116" s="149" t="s">
        <v>158</v>
      </c>
      <c r="J116" s="148" t="s">
        <v>159</v>
      </c>
      <c r="K116" s="148" t="s">
        <v>166</v>
      </c>
      <c r="L116" s="149" t="s">
        <v>160</v>
      </c>
      <c r="M116" s="150">
        <v>46125</v>
      </c>
      <c r="N116" s="149" t="s">
        <v>834</v>
      </c>
      <c r="O116" s="149">
        <v>9150866</v>
      </c>
      <c r="P116" s="150">
        <v>46118</v>
      </c>
      <c r="Q116" s="148" t="s">
        <v>161</v>
      </c>
      <c r="R116" s="149">
        <v>3734</v>
      </c>
      <c r="S116" s="149" t="s">
        <v>713</v>
      </c>
      <c r="T116" s="149" t="s">
        <v>169</v>
      </c>
      <c r="U116" s="149" t="s">
        <v>714</v>
      </c>
      <c r="V116" s="84"/>
      <c r="W116" s="84"/>
      <c r="X116" s="148">
        <v>0</v>
      </c>
      <c r="Y116" s="149">
        <v>0</v>
      </c>
      <c r="Z116" s="149">
        <v>10000</v>
      </c>
      <c r="AA116" s="149" t="s">
        <v>99</v>
      </c>
      <c r="AB116" s="149" t="s">
        <v>834</v>
      </c>
      <c r="AC116" s="150">
        <v>46118</v>
      </c>
      <c r="AD116" s="84"/>
      <c r="AE116" s="149">
        <v>997212</v>
      </c>
      <c r="AF116" s="149" t="s">
        <v>835</v>
      </c>
      <c r="AG116" s="84"/>
      <c r="AH116" s="84"/>
      <c r="AI116" s="149">
        <v>10000</v>
      </c>
      <c r="AJ116" s="149" t="s">
        <v>368</v>
      </c>
      <c r="AK116" s="149">
        <v>18</v>
      </c>
      <c r="AL116" s="149">
        <v>900</v>
      </c>
      <c r="AM116" s="148">
        <v>900</v>
      </c>
      <c r="AN116" s="149">
        <v>0</v>
      </c>
      <c r="AO116" s="149">
        <v>0</v>
      </c>
      <c r="AP116" s="149">
        <v>0</v>
      </c>
      <c r="AQ116" s="149">
        <v>0</v>
      </c>
      <c r="AR116" s="149">
        <v>0</v>
      </c>
      <c r="AS116" s="149">
        <v>0</v>
      </c>
      <c r="AT116" s="149">
        <v>0</v>
      </c>
      <c r="AU116" s="84"/>
      <c r="AV116" s="84"/>
      <c r="AW116" s="148">
        <v>0</v>
      </c>
      <c r="AX116" s="149">
        <v>11800</v>
      </c>
      <c r="AY116" s="149" t="s">
        <v>100</v>
      </c>
      <c r="AZ116" s="149" t="s">
        <v>101</v>
      </c>
      <c r="BA116" s="149" t="s">
        <v>836</v>
      </c>
      <c r="BB116" s="149">
        <v>1126100022</v>
      </c>
      <c r="BC116" s="149" t="s">
        <v>105</v>
      </c>
      <c r="BD116" s="149" t="s">
        <v>103</v>
      </c>
      <c r="BE116" s="84"/>
      <c r="BF116" s="84" t="s">
        <v>270</v>
      </c>
      <c r="BG116" s="84" t="s">
        <v>281</v>
      </c>
      <c r="BH116" s="149" t="s">
        <v>290</v>
      </c>
      <c r="BI116" t="s">
        <v>155</v>
      </c>
      <c r="BJ116" t="s">
        <v>156</v>
      </c>
      <c r="BK116" t="s">
        <v>837</v>
      </c>
      <c r="BL116">
        <v>1800</v>
      </c>
      <c r="BM116">
        <v>1800</v>
      </c>
      <c r="BN116">
        <v>0</v>
      </c>
      <c r="BO116" t="s">
        <v>154</v>
      </c>
      <c r="BP116">
        <v>9150866</v>
      </c>
      <c r="BQ116" t="s">
        <v>270</v>
      </c>
      <c r="BR116" t="s">
        <v>630</v>
      </c>
      <c r="BS116">
        <v>1</v>
      </c>
    </row>
    <row r="117" spans="1:71" s="0" customFormat="1" ht="14.5">
      <c r="A117" s="148" t="s">
        <v>157</v>
      </c>
      <c r="B117" s="149" t="s">
        <v>625</v>
      </c>
      <c r="C117" s="149">
        <v>107</v>
      </c>
      <c r="D117" s="149" t="s">
        <v>97</v>
      </c>
      <c r="E117" s="149" t="s">
        <v>98</v>
      </c>
      <c r="F117" s="84"/>
      <c r="G117" s="149" t="s">
        <v>106</v>
      </c>
      <c r="H117" s="149" t="s">
        <v>48</v>
      </c>
      <c r="I117" s="149" t="s">
        <v>158</v>
      </c>
      <c r="J117" s="148" t="s">
        <v>165</v>
      </c>
      <c r="K117" s="148" t="s">
        <v>166</v>
      </c>
      <c r="L117" s="149" t="s">
        <v>160</v>
      </c>
      <c r="M117" s="150">
        <v>46126</v>
      </c>
      <c r="N117" s="149">
        <v>612</v>
      </c>
      <c r="O117" s="149">
        <v>9151235</v>
      </c>
      <c r="P117" s="150">
        <v>46116</v>
      </c>
      <c r="Q117" s="148" t="s">
        <v>161</v>
      </c>
      <c r="R117" s="149">
        <v>40631</v>
      </c>
      <c r="S117" s="149" t="s">
        <v>375</v>
      </c>
      <c r="T117" s="149" t="s">
        <v>169</v>
      </c>
      <c r="U117" s="149" t="s">
        <v>376</v>
      </c>
      <c r="V117" s="149" t="s">
        <v>162</v>
      </c>
      <c r="W117" s="84"/>
      <c r="X117" s="148">
        <v>500</v>
      </c>
      <c r="Y117" s="149">
        <v>1</v>
      </c>
      <c r="Z117" s="149">
        <v>500</v>
      </c>
      <c r="AA117" s="149" t="s">
        <v>99</v>
      </c>
      <c r="AB117" s="149">
        <v>612</v>
      </c>
      <c r="AC117" s="150">
        <v>46116</v>
      </c>
      <c r="AD117" s="149" t="s">
        <v>164</v>
      </c>
      <c r="AE117" s="149">
        <v>995400</v>
      </c>
      <c r="AF117" s="149" t="s">
        <v>838</v>
      </c>
      <c r="AG117" s="84"/>
      <c r="AH117" s="84"/>
      <c r="AI117" s="149">
        <v>500</v>
      </c>
      <c r="AJ117" s="149" t="s">
        <v>368</v>
      </c>
      <c r="AK117" s="149">
        <v>18</v>
      </c>
      <c r="AL117" s="149">
        <v>45</v>
      </c>
      <c r="AM117" s="148">
        <v>45</v>
      </c>
      <c r="AN117" s="149">
        <v>0</v>
      </c>
      <c r="AO117" s="149">
        <v>0</v>
      </c>
      <c r="AP117" s="149">
        <v>0</v>
      </c>
      <c r="AQ117" s="149">
        <v>0</v>
      </c>
      <c r="AR117" s="149">
        <v>0</v>
      </c>
      <c r="AS117" s="149">
        <v>0</v>
      </c>
      <c r="AT117" s="149">
        <v>0</v>
      </c>
      <c r="AU117" s="84"/>
      <c r="AV117" s="84"/>
      <c r="AW117" s="148">
        <v>0</v>
      </c>
      <c r="AX117" s="149">
        <v>590</v>
      </c>
      <c r="AY117" s="149" t="s">
        <v>101</v>
      </c>
      <c r="AZ117" s="149" t="s">
        <v>101</v>
      </c>
      <c r="BA117" s="149" t="s">
        <v>298</v>
      </c>
      <c r="BB117" s="149">
        <v>1126100056</v>
      </c>
      <c r="BC117" s="149" t="s">
        <v>172</v>
      </c>
      <c r="BD117" s="149" t="s">
        <v>104</v>
      </c>
      <c r="BE117" s="84"/>
      <c r="BF117" s="84" t="s">
        <v>271</v>
      </c>
      <c r="BG117" s="84" t="s">
        <v>281</v>
      </c>
      <c r="BH117" s="149" t="s">
        <v>289</v>
      </c>
      <c r="BI117" t="s">
        <v>155</v>
      </c>
      <c r="BJ117" t="s">
        <v>156</v>
      </c>
      <c r="BK117" t="s">
        <v>687</v>
      </c>
      <c r="BL117">
        <v>90</v>
      </c>
      <c r="BM117">
        <v>4734</v>
      </c>
      <c r="BN117">
        <v>-4644</v>
      </c>
      <c r="BO117" t="s">
        <v>154</v>
      </c>
      <c r="BP117">
        <v>9151235</v>
      </c>
      <c r="BQ117" t="s">
        <v>271</v>
      </c>
      <c r="BR117" t="s">
        <v>630</v>
      </c>
      <c r="BS117">
        <v>3</v>
      </c>
    </row>
    <row r="118" spans="1:71" s="0" customFormat="1" ht="14.5">
      <c r="A118" s="148" t="s">
        <v>157</v>
      </c>
      <c r="B118" s="149" t="s">
        <v>625</v>
      </c>
      <c r="C118" s="149">
        <v>107</v>
      </c>
      <c r="D118" s="149" t="s">
        <v>97</v>
      </c>
      <c r="E118" s="149" t="s">
        <v>98</v>
      </c>
      <c r="F118" s="84"/>
      <c r="G118" s="149" t="s">
        <v>106</v>
      </c>
      <c r="H118" s="149" t="s">
        <v>48</v>
      </c>
      <c r="I118" s="149" t="s">
        <v>158</v>
      </c>
      <c r="J118" s="148" t="s">
        <v>165</v>
      </c>
      <c r="K118" s="148" t="s">
        <v>166</v>
      </c>
      <c r="L118" s="149" t="s">
        <v>160</v>
      </c>
      <c r="M118" s="150">
        <v>46127</v>
      </c>
      <c r="N118" s="149" t="s">
        <v>626</v>
      </c>
      <c r="O118" s="149">
        <v>9158398</v>
      </c>
      <c r="P118" s="150">
        <v>46090</v>
      </c>
      <c r="Q118" s="148" t="s">
        <v>161</v>
      </c>
      <c r="R118" s="149">
        <v>35671</v>
      </c>
      <c r="S118" s="149" t="s">
        <v>424</v>
      </c>
      <c r="T118" s="149" t="s">
        <v>425</v>
      </c>
      <c r="U118" s="149" t="s">
        <v>426</v>
      </c>
      <c r="V118" s="149" t="s">
        <v>162</v>
      </c>
      <c r="W118" s="84"/>
      <c r="X118" s="148">
        <v>275</v>
      </c>
      <c r="Y118" s="149">
        <v>4</v>
      </c>
      <c r="Z118" s="149">
        <v>1100</v>
      </c>
      <c r="AA118" s="149" t="s">
        <v>99</v>
      </c>
      <c r="AB118" s="149" t="s">
        <v>626</v>
      </c>
      <c r="AC118" s="150">
        <v>46121</v>
      </c>
      <c r="AD118" s="149" t="s">
        <v>164</v>
      </c>
      <c r="AE118" s="149">
        <v>998729</v>
      </c>
      <c r="AF118" s="149" t="s">
        <v>839</v>
      </c>
      <c r="AG118" s="84"/>
      <c r="AH118" s="84"/>
      <c r="AI118" s="149">
        <v>1100</v>
      </c>
      <c r="AJ118" s="149" t="s">
        <v>368</v>
      </c>
      <c r="AK118" s="149">
        <v>18</v>
      </c>
      <c r="AL118" s="149">
        <v>0</v>
      </c>
      <c r="AM118" s="148">
        <v>0</v>
      </c>
      <c r="AN118" s="149">
        <v>198</v>
      </c>
      <c r="AO118" s="149">
        <v>0</v>
      </c>
      <c r="AP118" s="149">
        <v>0</v>
      </c>
      <c r="AQ118" s="149">
        <v>0</v>
      </c>
      <c r="AR118" s="149">
        <v>0</v>
      </c>
      <c r="AS118" s="149">
        <v>0</v>
      </c>
      <c r="AT118" s="149">
        <v>0</v>
      </c>
      <c r="AU118" s="84"/>
      <c r="AV118" s="84"/>
      <c r="AW118" s="148">
        <v>0</v>
      </c>
      <c r="AX118" s="149">
        <v>1298</v>
      </c>
      <c r="AY118" s="149" t="s">
        <v>101</v>
      </c>
      <c r="AZ118" s="149" t="s">
        <v>101</v>
      </c>
      <c r="BA118" s="149" t="s">
        <v>628</v>
      </c>
      <c r="BB118" s="149">
        <v>1126100105</v>
      </c>
      <c r="BC118" s="149" t="s">
        <v>168</v>
      </c>
      <c r="BD118" s="149" t="s">
        <v>272</v>
      </c>
      <c r="BE118" s="84"/>
      <c r="BF118" s="84" t="s">
        <v>271</v>
      </c>
      <c r="BG118" s="84" t="s">
        <v>281</v>
      </c>
      <c r="BH118" s="149" t="s">
        <v>290</v>
      </c>
      <c r="BI118" t="s">
        <v>155</v>
      </c>
      <c r="BJ118" t="s">
        <v>156</v>
      </c>
      <c r="BK118" t="s">
        <v>629</v>
      </c>
      <c r="BL118">
        <v>198</v>
      </c>
      <c r="BM118">
        <v>38182.879999999997</v>
      </c>
      <c r="BN118">
        <v>-37985</v>
      </c>
      <c r="BO118" t="s">
        <v>154</v>
      </c>
      <c r="BP118">
        <v>9158398</v>
      </c>
      <c r="BQ118" t="s">
        <v>271</v>
      </c>
      <c r="BR118" t="s">
        <v>630</v>
      </c>
      <c r="BS118">
        <v>37</v>
      </c>
    </row>
    <row r="119" spans="1:71" s="0" customFormat="1" ht="14.5">
      <c r="A119" s="148" t="s">
        <v>157</v>
      </c>
      <c r="B119" s="149" t="s">
        <v>625</v>
      </c>
      <c r="C119" s="149">
        <v>107</v>
      </c>
      <c r="D119" s="149" t="s">
        <v>97</v>
      </c>
      <c r="E119" s="149" t="s">
        <v>98</v>
      </c>
      <c r="F119" s="84"/>
      <c r="G119" s="149" t="s">
        <v>106</v>
      </c>
      <c r="H119" s="149" t="s">
        <v>48</v>
      </c>
      <c r="I119" s="149" t="s">
        <v>158</v>
      </c>
      <c r="J119" s="148" t="s">
        <v>165</v>
      </c>
      <c r="K119" s="148" t="s">
        <v>166</v>
      </c>
      <c r="L119" s="149" t="s">
        <v>160</v>
      </c>
      <c r="M119" s="150">
        <v>46140</v>
      </c>
      <c r="N119" s="149" t="s">
        <v>632</v>
      </c>
      <c r="O119" s="149">
        <v>9174963</v>
      </c>
      <c r="P119" s="150">
        <v>46129</v>
      </c>
      <c r="Q119" s="148" t="s">
        <v>161</v>
      </c>
      <c r="R119" s="149">
        <v>35671</v>
      </c>
      <c r="S119" s="149" t="s">
        <v>424</v>
      </c>
      <c r="T119" s="149" t="s">
        <v>425</v>
      </c>
      <c r="U119" s="149" t="s">
        <v>426</v>
      </c>
      <c r="V119" s="149" t="s">
        <v>389</v>
      </c>
      <c r="W119" s="84"/>
      <c r="X119" s="148">
        <v>1335.5920000000001</v>
      </c>
      <c r="Y119" s="149">
        <v>6.5</v>
      </c>
      <c r="Z119" s="149">
        <v>8681.35</v>
      </c>
      <c r="AA119" s="149" t="s">
        <v>99</v>
      </c>
      <c r="AB119" s="149" t="s">
        <v>632</v>
      </c>
      <c r="AC119" s="150">
        <v>46129</v>
      </c>
      <c r="AD119" s="149" t="s">
        <v>164</v>
      </c>
      <c r="AE119" s="149">
        <v>27101972</v>
      </c>
      <c r="AF119" s="149" t="s">
        <v>840</v>
      </c>
      <c r="AG119" s="84"/>
      <c r="AH119" s="84"/>
      <c r="AI119" s="149">
        <v>8681.35</v>
      </c>
      <c r="AJ119" s="149" t="s">
        <v>368</v>
      </c>
      <c r="AK119" s="149">
        <v>18</v>
      </c>
      <c r="AL119" s="149">
        <v>0</v>
      </c>
      <c r="AM119" s="148">
        <v>0</v>
      </c>
      <c r="AN119" s="149">
        <v>1562.64</v>
      </c>
      <c r="AO119" s="149">
        <v>0</v>
      </c>
      <c r="AP119" s="149">
        <v>0</v>
      </c>
      <c r="AQ119" s="149">
        <v>0</v>
      </c>
      <c r="AR119" s="149">
        <v>0</v>
      </c>
      <c r="AS119" s="149">
        <v>0</v>
      </c>
      <c r="AT119" s="149">
        <v>0</v>
      </c>
      <c r="AU119" s="84"/>
      <c r="AV119" s="84"/>
      <c r="AW119" s="148">
        <v>0</v>
      </c>
      <c r="AX119" s="149">
        <v>10243.99</v>
      </c>
      <c r="AY119" s="149" t="s">
        <v>101</v>
      </c>
      <c r="AZ119" s="149" t="s">
        <v>101</v>
      </c>
      <c r="BA119" s="149" t="s">
        <v>634</v>
      </c>
      <c r="BB119" s="149">
        <v>1126100446</v>
      </c>
      <c r="BC119" s="149" t="s">
        <v>168</v>
      </c>
      <c r="BD119" s="149" t="s">
        <v>272</v>
      </c>
      <c r="BE119" s="84"/>
      <c r="BF119" s="84" t="s">
        <v>271</v>
      </c>
      <c r="BG119" s="84" t="s">
        <v>281</v>
      </c>
      <c r="BH119" s="149" t="s">
        <v>290</v>
      </c>
      <c r="BI119" t="s">
        <v>155</v>
      </c>
      <c r="BJ119" t="s">
        <v>156</v>
      </c>
      <c r="BK119" t="s">
        <v>635</v>
      </c>
      <c r="BL119">
        <v>1562.64</v>
      </c>
      <c r="BM119">
        <v>36494.74</v>
      </c>
      <c r="BN119">
        <v>-34932</v>
      </c>
      <c r="BO119" t="s">
        <v>154</v>
      </c>
      <c r="BP119">
        <v>9174963</v>
      </c>
      <c r="BQ119" t="s">
        <v>271</v>
      </c>
      <c r="BR119" t="s">
        <v>630</v>
      </c>
      <c r="BS119">
        <v>36</v>
      </c>
    </row>
    <row r="120" spans="1:71" s="0" customFormat="1" ht="14.5">
      <c r="A120" s="148" t="s">
        <v>157</v>
      </c>
      <c r="B120" s="149" t="s">
        <v>625</v>
      </c>
      <c r="C120" s="149">
        <v>107</v>
      </c>
      <c r="D120" s="149" t="s">
        <v>97</v>
      </c>
      <c r="E120" s="149" t="s">
        <v>98</v>
      </c>
      <c r="F120" s="84"/>
      <c r="G120" s="149" t="s">
        <v>106</v>
      </c>
      <c r="H120" s="149" t="s">
        <v>48</v>
      </c>
      <c r="I120" s="149" t="s">
        <v>158</v>
      </c>
      <c r="J120" s="148" t="s">
        <v>165</v>
      </c>
      <c r="K120" s="148" t="s">
        <v>166</v>
      </c>
      <c r="L120" s="149" t="s">
        <v>160</v>
      </c>
      <c r="M120" s="150">
        <v>46140</v>
      </c>
      <c r="N120" s="149" t="s">
        <v>632</v>
      </c>
      <c r="O120" s="149">
        <v>9174963</v>
      </c>
      <c r="P120" s="150">
        <v>46129</v>
      </c>
      <c r="Q120" s="148" t="s">
        <v>161</v>
      </c>
      <c r="R120" s="149">
        <v>35671</v>
      </c>
      <c r="S120" s="149" t="s">
        <v>424</v>
      </c>
      <c r="T120" s="149" t="s">
        <v>425</v>
      </c>
      <c r="U120" s="149" t="s">
        <v>426</v>
      </c>
      <c r="V120" s="149" t="s">
        <v>162</v>
      </c>
      <c r="W120" s="84"/>
      <c r="X120" s="148">
        <v>762.71</v>
      </c>
      <c r="Y120" s="149">
        <v>2</v>
      </c>
      <c r="Z120" s="149">
        <v>1525.42</v>
      </c>
      <c r="AA120" s="149" t="s">
        <v>99</v>
      </c>
      <c r="AB120" s="149" t="s">
        <v>632</v>
      </c>
      <c r="AC120" s="150">
        <v>46129</v>
      </c>
      <c r="AD120" s="149" t="s">
        <v>164</v>
      </c>
      <c r="AE120" s="149">
        <v>40169340</v>
      </c>
      <c r="AF120" s="149" t="s">
        <v>371</v>
      </c>
      <c r="AG120" s="84"/>
      <c r="AH120" s="84"/>
      <c r="AI120" s="149">
        <v>1525.42</v>
      </c>
      <c r="AJ120" s="149" t="s">
        <v>368</v>
      </c>
      <c r="AK120" s="149">
        <v>18</v>
      </c>
      <c r="AL120" s="149">
        <v>0</v>
      </c>
      <c r="AM120" s="148">
        <v>0</v>
      </c>
      <c r="AN120" s="149">
        <v>274.58</v>
      </c>
      <c r="AO120" s="149">
        <v>0</v>
      </c>
      <c r="AP120" s="149">
        <v>0</v>
      </c>
      <c r="AQ120" s="149">
        <v>0</v>
      </c>
      <c r="AR120" s="149">
        <v>0</v>
      </c>
      <c r="AS120" s="149">
        <v>0</v>
      </c>
      <c r="AT120" s="149">
        <v>0</v>
      </c>
      <c r="AU120" s="84"/>
      <c r="AV120" s="84"/>
      <c r="AW120" s="148">
        <v>0</v>
      </c>
      <c r="AX120" s="149">
        <v>1800</v>
      </c>
      <c r="AY120" s="149" t="s">
        <v>101</v>
      </c>
      <c r="AZ120" s="149" t="s">
        <v>101</v>
      </c>
      <c r="BA120" s="149" t="s">
        <v>634</v>
      </c>
      <c r="BB120" s="149">
        <v>1126100446</v>
      </c>
      <c r="BC120" s="149" t="s">
        <v>168</v>
      </c>
      <c r="BD120" s="149" t="s">
        <v>272</v>
      </c>
      <c r="BE120" s="84"/>
      <c r="BF120" s="84" t="s">
        <v>271</v>
      </c>
      <c r="BG120" s="84" t="s">
        <v>281</v>
      </c>
      <c r="BH120" s="149" t="s">
        <v>290</v>
      </c>
      <c r="BI120" t="s">
        <v>155</v>
      </c>
      <c r="BJ120" t="s">
        <v>156</v>
      </c>
      <c r="BK120" t="s">
        <v>635</v>
      </c>
      <c r="BL120">
        <v>274.58</v>
      </c>
      <c r="BM120">
        <v>36494.74</v>
      </c>
      <c r="BN120">
        <v>-36220</v>
      </c>
      <c r="BO120" t="s">
        <v>154</v>
      </c>
      <c r="BP120">
        <v>9174963</v>
      </c>
      <c r="BQ120" t="s">
        <v>271</v>
      </c>
      <c r="BR120" t="s">
        <v>630</v>
      </c>
      <c r="BS120">
        <v>36</v>
      </c>
    </row>
    <row r="121" spans="1:71" s="0" customFormat="1" ht="14.5">
      <c r="A121" s="148" t="s">
        <v>157</v>
      </c>
      <c r="B121" s="149" t="s">
        <v>625</v>
      </c>
      <c r="C121" s="149">
        <v>107</v>
      </c>
      <c r="D121" s="149" t="s">
        <v>97</v>
      </c>
      <c r="E121" s="149" t="s">
        <v>98</v>
      </c>
      <c r="F121" s="84"/>
      <c r="G121" s="149" t="s">
        <v>106</v>
      </c>
      <c r="H121" s="149" t="s">
        <v>48</v>
      </c>
      <c r="I121" s="149" t="s">
        <v>158</v>
      </c>
      <c r="J121" s="148" t="s">
        <v>165</v>
      </c>
      <c r="K121" s="148" t="s">
        <v>166</v>
      </c>
      <c r="L121" s="149" t="s">
        <v>160</v>
      </c>
      <c r="M121" s="150">
        <v>46140</v>
      </c>
      <c r="N121" s="149" t="s">
        <v>660</v>
      </c>
      <c r="O121" s="149">
        <v>9175014</v>
      </c>
      <c r="P121" s="150">
        <v>46129</v>
      </c>
      <c r="Q121" s="148" t="s">
        <v>161</v>
      </c>
      <c r="R121" s="149">
        <v>15979</v>
      </c>
      <c r="S121" s="149" t="s">
        <v>369</v>
      </c>
      <c r="T121" s="149" t="s">
        <v>169</v>
      </c>
      <c r="U121" s="149" t="s">
        <v>370</v>
      </c>
      <c r="V121" s="149" t="s">
        <v>162</v>
      </c>
      <c r="W121" s="84"/>
      <c r="X121" s="148">
        <v>591</v>
      </c>
      <c r="Y121" s="149">
        <v>1</v>
      </c>
      <c r="Z121" s="149">
        <v>591</v>
      </c>
      <c r="AA121" s="149" t="s">
        <v>99</v>
      </c>
      <c r="AB121" s="149" t="s">
        <v>660</v>
      </c>
      <c r="AC121" s="150">
        <v>46129</v>
      </c>
      <c r="AD121" s="149" t="s">
        <v>164</v>
      </c>
      <c r="AE121" s="149">
        <v>84213990</v>
      </c>
      <c r="AF121" s="149" t="s">
        <v>841</v>
      </c>
      <c r="AG121" s="84"/>
      <c r="AH121" s="84"/>
      <c r="AI121" s="149">
        <v>591</v>
      </c>
      <c r="AJ121" s="149" t="s">
        <v>368</v>
      </c>
      <c r="AK121" s="149">
        <v>18</v>
      </c>
      <c r="AL121" s="149">
        <v>53.19</v>
      </c>
      <c r="AM121" s="148">
        <v>53.19</v>
      </c>
      <c r="AN121" s="149">
        <v>0</v>
      </c>
      <c r="AO121" s="149">
        <v>0</v>
      </c>
      <c r="AP121" s="149">
        <v>0</v>
      </c>
      <c r="AQ121" s="149">
        <v>0</v>
      </c>
      <c r="AR121" s="149">
        <v>0</v>
      </c>
      <c r="AS121" s="149">
        <v>0</v>
      </c>
      <c r="AT121" s="149">
        <v>0</v>
      </c>
      <c r="AU121" s="84"/>
      <c r="AV121" s="84"/>
      <c r="AW121" s="148">
        <v>0</v>
      </c>
      <c r="AX121" s="149">
        <v>697.38</v>
      </c>
      <c r="AY121" s="149" t="s">
        <v>101</v>
      </c>
      <c r="AZ121" s="149" t="s">
        <v>101</v>
      </c>
      <c r="BA121" s="149" t="s">
        <v>662</v>
      </c>
      <c r="BB121" s="149">
        <v>1126100447</v>
      </c>
      <c r="BC121" s="149" t="s">
        <v>172</v>
      </c>
      <c r="BD121" s="149" t="s">
        <v>272</v>
      </c>
      <c r="BE121" s="84"/>
      <c r="BF121" s="84" t="s">
        <v>271</v>
      </c>
      <c r="BG121" s="84" t="s">
        <v>281</v>
      </c>
      <c r="BH121" s="149" t="s">
        <v>290</v>
      </c>
      <c r="BI121" t="s">
        <v>155</v>
      </c>
      <c r="BJ121" t="s">
        <v>156</v>
      </c>
      <c r="BK121" t="s">
        <v>663</v>
      </c>
      <c r="BL121">
        <v>106.38</v>
      </c>
      <c r="BM121">
        <v>2435.38</v>
      </c>
      <c r="BN121">
        <v>-2329</v>
      </c>
      <c r="BO121" t="s">
        <v>154</v>
      </c>
      <c r="BP121">
        <v>9175014</v>
      </c>
      <c r="BQ121" t="s">
        <v>271</v>
      </c>
      <c r="BR121" t="s">
        <v>630</v>
      </c>
      <c r="BS121">
        <v>18</v>
      </c>
    </row>
    <row r="122" spans="1:71" s="0" customFormat="1" ht="14.5">
      <c r="A122" s="148" t="s">
        <v>157</v>
      </c>
      <c r="B122" s="149" t="s">
        <v>625</v>
      </c>
      <c r="C122" s="149">
        <v>107</v>
      </c>
      <c r="D122" s="149" t="s">
        <v>97</v>
      </c>
      <c r="E122" s="149" t="s">
        <v>98</v>
      </c>
      <c r="F122" s="84"/>
      <c r="G122" s="149" t="s">
        <v>106</v>
      </c>
      <c r="H122" s="149" t="s">
        <v>48</v>
      </c>
      <c r="I122" s="149" t="s">
        <v>158</v>
      </c>
      <c r="J122" s="148" t="s">
        <v>165</v>
      </c>
      <c r="K122" s="148" t="s">
        <v>166</v>
      </c>
      <c r="L122" s="149" t="s">
        <v>160</v>
      </c>
      <c r="M122" s="150">
        <v>46140</v>
      </c>
      <c r="N122" s="149" t="s">
        <v>632</v>
      </c>
      <c r="O122" s="149">
        <v>9174963</v>
      </c>
      <c r="P122" s="150">
        <v>46129</v>
      </c>
      <c r="Q122" s="148" t="s">
        <v>161</v>
      </c>
      <c r="R122" s="149">
        <v>35671</v>
      </c>
      <c r="S122" s="149" t="s">
        <v>424</v>
      </c>
      <c r="T122" s="149" t="s">
        <v>425</v>
      </c>
      <c r="U122" s="149" t="s">
        <v>426</v>
      </c>
      <c r="V122" s="149" t="s">
        <v>162</v>
      </c>
      <c r="W122" s="84"/>
      <c r="X122" s="148">
        <v>17219.919999999998</v>
      </c>
      <c r="Y122" s="149">
        <v>1</v>
      </c>
      <c r="Z122" s="149">
        <v>17219.919999999998</v>
      </c>
      <c r="AA122" s="149" t="s">
        <v>99</v>
      </c>
      <c r="AB122" s="149" t="s">
        <v>632</v>
      </c>
      <c r="AC122" s="150">
        <v>46129</v>
      </c>
      <c r="AD122" s="149" t="s">
        <v>164</v>
      </c>
      <c r="AE122" s="149">
        <v>87083000</v>
      </c>
      <c r="AF122" s="149" t="s">
        <v>842</v>
      </c>
      <c r="AG122" s="84"/>
      <c r="AH122" s="84"/>
      <c r="AI122" s="149">
        <v>17219.919999999998</v>
      </c>
      <c r="AJ122" s="149" t="s">
        <v>368</v>
      </c>
      <c r="AK122" s="149">
        <v>18</v>
      </c>
      <c r="AL122" s="149">
        <v>0</v>
      </c>
      <c r="AM122" s="148">
        <v>0</v>
      </c>
      <c r="AN122" s="149">
        <v>3099.59</v>
      </c>
      <c r="AO122" s="149">
        <v>0</v>
      </c>
      <c r="AP122" s="149">
        <v>0</v>
      </c>
      <c r="AQ122" s="149">
        <v>0</v>
      </c>
      <c r="AR122" s="149">
        <v>0</v>
      </c>
      <c r="AS122" s="149">
        <v>0</v>
      </c>
      <c r="AT122" s="149">
        <v>0</v>
      </c>
      <c r="AU122" s="84"/>
      <c r="AV122" s="84"/>
      <c r="AW122" s="148">
        <v>0</v>
      </c>
      <c r="AX122" s="149">
        <v>20319.509999999998</v>
      </c>
      <c r="AY122" s="149" t="s">
        <v>101</v>
      </c>
      <c r="AZ122" s="149" t="s">
        <v>101</v>
      </c>
      <c r="BA122" s="149" t="s">
        <v>634</v>
      </c>
      <c r="BB122" s="149">
        <v>1126100446</v>
      </c>
      <c r="BC122" s="149" t="s">
        <v>168</v>
      </c>
      <c r="BD122" s="149" t="s">
        <v>272</v>
      </c>
      <c r="BE122" s="84"/>
      <c r="BF122" s="84" t="s">
        <v>271</v>
      </c>
      <c r="BG122" s="84" t="s">
        <v>281</v>
      </c>
      <c r="BH122" s="149" t="s">
        <v>290</v>
      </c>
      <c r="BI122" t="s">
        <v>155</v>
      </c>
      <c r="BJ122" t="s">
        <v>156</v>
      </c>
      <c r="BK122" t="s">
        <v>635</v>
      </c>
      <c r="BL122">
        <v>3099.59</v>
      </c>
      <c r="BM122">
        <v>36494.74</v>
      </c>
      <c r="BN122">
        <v>-33395</v>
      </c>
      <c r="BO122" t="s">
        <v>154</v>
      </c>
      <c r="BP122">
        <v>9174963</v>
      </c>
      <c r="BQ122" t="s">
        <v>271</v>
      </c>
      <c r="BR122" t="s">
        <v>630</v>
      </c>
      <c r="BS122">
        <v>36</v>
      </c>
    </row>
    <row r="123" spans="1:71" s="0" customFormat="1" ht="14.5">
      <c r="A123" s="148" t="s">
        <v>157</v>
      </c>
      <c r="B123" s="149" t="s">
        <v>625</v>
      </c>
      <c r="C123" s="149">
        <v>107</v>
      </c>
      <c r="D123" s="149" t="s">
        <v>97</v>
      </c>
      <c r="E123" s="149" t="s">
        <v>98</v>
      </c>
      <c r="F123" s="84"/>
      <c r="G123" s="149" t="s">
        <v>106</v>
      </c>
      <c r="H123" s="149" t="s">
        <v>48</v>
      </c>
      <c r="I123" s="149" t="s">
        <v>158</v>
      </c>
      <c r="J123" s="148" t="s">
        <v>165</v>
      </c>
      <c r="K123" s="148" t="s">
        <v>166</v>
      </c>
      <c r="L123" s="149" t="s">
        <v>160</v>
      </c>
      <c r="M123" s="150">
        <v>46140</v>
      </c>
      <c r="N123" s="149" t="s">
        <v>660</v>
      </c>
      <c r="O123" s="149">
        <v>9175014</v>
      </c>
      <c r="P123" s="150">
        <v>46129</v>
      </c>
      <c r="Q123" s="148" t="s">
        <v>161</v>
      </c>
      <c r="R123" s="149">
        <v>15979</v>
      </c>
      <c r="S123" s="149" t="s">
        <v>369</v>
      </c>
      <c r="T123" s="149" t="s">
        <v>169</v>
      </c>
      <c r="U123" s="149" t="s">
        <v>370</v>
      </c>
      <c r="V123" s="149" t="s">
        <v>162</v>
      </c>
      <c r="W123" s="84"/>
      <c r="X123" s="148">
        <v>406.80</v>
      </c>
      <c r="Y123" s="149">
        <v>1</v>
      </c>
      <c r="Z123" s="149">
        <v>406.80</v>
      </c>
      <c r="AA123" s="149" t="s">
        <v>99</v>
      </c>
      <c r="AB123" s="149" t="s">
        <v>660</v>
      </c>
      <c r="AC123" s="150">
        <v>46129</v>
      </c>
      <c r="AD123" s="149" t="s">
        <v>164</v>
      </c>
      <c r="AE123" s="149">
        <v>998729</v>
      </c>
      <c r="AF123" s="149" t="s">
        <v>843</v>
      </c>
      <c r="AG123" s="84"/>
      <c r="AH123" s="84"/>
      <c r="AI123" s="149">
        <v>406.80</v>
      </c>
      <c r="AJ123" s="149" t="s">
        <v>368</v>
      </c>
      <c r="AK123" s="149">
        <v>18</v>
      </c>
      <c r="AL123" s="149">
        <v>36.61</v>
      </c>
      <c r="AM123" s="148">
        <v>36.61</v>
      </c>
      <c r="AN123" s="149">
        <v>0</v>
      </c>
      <c r="AO123" s="149">
        <v>0</v>
      </c>
      <c r="AP123" s="149">
        <v>0</v>
      </c>
      <c r="AQ123" s="149">
        <v>0</v>
      </c>
      <c r="AR123" s="149">
        <v>0</v>
      </c>
      <c r="AS123" s="149">
        <v>0</v>
      </c>
      <c r="AT123" s="149">
        <v>0</v>
      </c>
      <c r="AU123" s="84"/>
      <c r="AV123" s="84"/>
      <c r="AW123" s="148">
        <v>0</v>
      </c>
      <c r="AX123" s="149">
        <v>480.02</v>
      </c>
      <c r="AY123" s="149" t="s">
        <v>101</v>
      </c>
      <c r="AZ123" s="149" t="s">
        <v>101</v>
      </c>
      <c r="BA123" s="149" t="s">
        <v>662</v>
      </c>
      <c r="BB123" s="149">
        <v>1126100447</v>
      </c>
      <c r="BC123" s="149" t="s">
        <v>172</v>
      </c>
      <c r="BD123" s="149" t="s">
        <v>272</v>
      </c>
      <c r="BE123" s="84"/>
      <c r="BF123" s="84" t="s">
        <v>271</v>
      </c>
      <c r="BG123" s="84" t="s">
        <v>281</v>
      </c>
      <c r="BH123" s="149" t="s">
        <v>290</v>
      </c>
      <c r="BI123" t="s">
        <v>155</v>
      </c>
      <c r="BJ123" t="s">
        <v>156</v>
      </c>
      <c r="BK123" t="s">
        <v>663</v>
      </c>
      <c r="BL123">
        <v>73.22</v>
      </c>
      <c r="BM123">
        <v>2435.38</v>
      </c>
      <c r="BN123">
        <v>-2362</v>
      </c>
      <c r="BO123" t="s">
        <v>154</v>
      </c>
      <c r="BP123">
        <v>9175014</v>
      </c>
      <c r="BQ123" t="s">
        <v>271</v>
      </c>
      <c r="BR123" t="s">
        <v>630</v>
      </c>
      <c r="BS123">
        <v>18</v>
      </c>
    </row>
    <row r="124" spans="1:71" s="0" customFormat="1" ht="14.5">
      <c r="A124" s="148" t="s">
        <v>157</v>
      </c>
      <c r="B124" s="149" t="s">
        <v>625</v>
      </c>
      <c r="C124" s="149">
        <v>107</v>
      </c>
      <c r="D124" s="149" t="s">
        <v>97</v>
      </c>
      <c r="E124" s="149" t="s">
        <v>98</v>
      </c>
      <c r="F124" s="84"/>
      <c r="G124" s="84"/>
      <c r="H124" s="149" t="s">
        <v>48</v>
      </c>
      <c r="I124" s="149" t="s">
        <v>158</v>
      </c>
      <c r="J124" s="148" t="s">
        <v>159</v>
      </c>
      <c r="K124" s="148" t="s">
        <v>421</v>
      </c>
      <c r="L124" s="149" t="s">
        <v>160</v>
      </c>
      <c r="M124" s="150">
        <v>46133</v>
      </c>
      <c r="N124" s="149" t="s">
        <v>844</v>
      </c>
      <c r="O124" s="149">
        <v>9164383</v>
      </c>
      <c r="P124" s="150">
        <v>46115</v>
      </c>
      <c r="Q124" s="148" t="s">
        <v>161</v>
      </c>
      <c r="R124" s="149">
        <v>6262</v>
      </c>
      <c r="S124" s="149" t="s">
        <v>183</v>
      </c>
      <c r="T124" s="149" t="s">
        <v>182</v>
      </c>
      <c r="U124" s="149" t="s">
        <v>184</v>
      </c>
      <c r="V124" s="149" t="s">
        <v>162</v>
      </c>
      <c r="W124" s="84"/>
      <c r="X124" s="148">
        <v>1</v>
      </c>
      <c r="Y124" s="149">
        <v>1183</v>
      </c>
      <c r="Z124" s="149">
        <v>1183</v>
      </c>
      <c r="AA124" s="149" t="s">
        <v>99</v>
      </c>
      <c r="AB124" s="149" t="s">
        <v>844</v>
      </c>
      <c r="AC124" s="150">
        <v>46115</v>
      </c>
      <c r="AD124" s="149" t="s">
        <v>171</v>
      </c>
      <c r="AE124" s="149">
        <v>998412</v>
      </c>
      <c r="AF124" s="149" t="s">
        <v>722</v>
      </c>
      <c r="AG124" s="84"/>
      <c r="AH124" s="84"/>
      <c r="AI124" s="149">
        <v>1183</v>
      </c>
      <c r="AJ124" s="149" t="s">
        <v>368</v>
      </c>
      <c r="AK124" s="149">
        <v>18</v>
      </c>
      <c r="AL124" s="149">
        <v>106.47</v>
      </c>
      <c r="AM124" s="148">
        <v>106.47</v>
      </c>
      <c r="AN124" s="149">
        <v>0</v>
      </c>
      <c r="AO124" s="149">
        <v>0</v>
      </c>
      <c r="AP124" s="149">
        <v>0</v>
      </c>
      <c r="AQ124" s="149">
        <v>0</v>
      </c>
      <c r="AR124" s="149">
        <v>0</v>
      </c>
      <c r="AS124" s="149">
        <v>0</v>
      </c>
      <c r="AT124" s="149">
        <v>0</v>
      </c>
      <c r="AU124" s="84"/>
      <c r="AV124" s="84"/>
      <c r="AW124" s="148">
        <v>0</v>
      </c>
      <c r="AX124" s="149">
        <v>1395.94</v>
      </c>
      <c r="AY124" s="149" t="s">
        <v>101</v>
      </c>
      <c r="AZ124" s="149" t="s">
        <v>101</v>
      </c>
      <c r="BA124" s="149" t="s">
        <v>423</v>
      </c>
      <c r="BB124" s="149">
        <v>1126100279</v>
      </c>
      <c r="BC124" s="149" t="s">
        <v>172</v>
      </c>
      <c r="BD124" s="149" t="s">
        <v>103</v>
      </c>
      <c r="BE124" s="84"/>
      <c r="BF124" s="84" t="s">
        <v>271</v>
      </c>
      <c r="BG124" s="84" t="s">
        <v>281</v>
      </c>
      <c r="BH124" s="149" t="s">
        <v>290</v>
      </c>
      <c r="BI124" t="s">
        <v>155</v>
      </c>
      <c r="BJ124" t="s">
        <v>156</v>
      </c>
      <c r="BK124" t="s">
        <v>845</v>
      </c>
      <c r="BL124">
        <v>212.94</v>
      </c>
      <c r="BM124">
        <v>212.94</v>
      </c>
      <c r="BN124">
        <v>0</v>
      </c>
      <c r="BO124" t="s">
        <v>154</v>
      </c>
      <c r="BP124">
        <v>9164383</v>
      </c>
      <c r="BQ124" t="s">
        <v>271</v>
      </c>
      <c r="BR124" t="s">
        <v>630</v>
      </c>
      <c r="BS124">
        <v>1</v>
      </c>
    </row>
    <row r="125" spans="1:71" s="0" customFormat="1" ht="14.5">
      <c r="A125" s="148" t="s">
        <v>157</v>
      </c>
      <c r="B125" s="149" t="s">
        <v>625</v>
      </c>
      <c r="C125" s="149">
        <v>107</v>
      </c>
      <c r="D125" s="149" t="s">
        <v>97</v>
      </c>
      <c r="E125" s="149" t="s">
        <v>98</v>
      </c>
      <c r="F125" s="84"/>
      <c r="G125" s="84"/>
      <c r="H125" s="149" t="s">
        <v>48</v>
      </c>
      <c r="I125" s="149" t="s">
        <v>158</v>
      </c>
      <c r="J125" s="148" t="s">
        <v>159</v>
      </c>
      <c r="K125" s="148" t="s">
        <v>421</v>
      </c>
      <c r="L125" s="149" t="s">
        <v>160</v>
      </c>
      <c r="M125" s="150">
        <v>46133</v>
      </c>
      <c r="N125" s="149" t="s">
        <v>846</v>
      </c>
      <c r="O125" s="149">
        <v>9164391</v>
      </c>
      <c r="P125" s="150">
        <v>46115</v>
      </c>
      <c r="Q125" s="148" t="s">
        <v>161</v>
      </c>
      <c r="R125" s="149">
        <v>6262</v>
      </c>
      <c r="S125" s="149" t="s">
        <v>183</v>
      </c>
      <c r="T125" s="149" t="s">
        <v>182</v>
      </c>
      <c r="U125" s="149" t="s">
        <v>184</v>
      </c>
      <c r="V125" s="149" t="s">
        <v>162</v>
      </c>
      <c r="W125" s="84"/>
      <c r="X125" s="148">
        <v>1</v>
      </c>
      <c r="Y125" s="149">
        <v>399</v>
      </c>
      <c r="Z125" s="149">
        <v>399</v>
      </c>
      <c r="AA125" s="149" t="s">
        <v>99</v>
      </c>
      <c r="AB125" s="149" t="s">
        <v>846</v>
      </c>
      <c r="AC125" s="150">
        <v>46115</v>
      </c>
      <c r="AD125" s="149" t="s">
        <v>171</v>
      </c>
      <c r="AE125" s="149">
        <v>998412</v>
      </c>
      <c r="AF125" s="149" t="s">
        <v>702</v>
      </c>
      <c r="AG125" s="84"/>
      <c r="AH125" s="84"/>
      <c r="AI125" s="149">
        <v>399</v>
      </c>
      <c r="AJ125" s="149" t="s">
        <v>368</v>
      </c>
      <c r="AK125" s="149">
        <v>18</v>
      </c>
      <c r="AL125" s="149">
        <v>35.909999999999997</v>
      </c>
      <c r="AM125" s="148">
        <v>35.909999999999997</v>
      </c>
      <c r="AN125" s="149">
        <v>0</v>
      </c>
      <c r="AO125" s="149">
        <v>0</v>
      </c>
      <c r="AP125" s="149">
        <v>0</v>
      </c>
      <c r="AQ125" s="149">
        <v>0</v>
      </c>
      <c r="AR125" s="149">
        <v>0</v>
      </c>
      <c r="AS125" s="149">
        <v>0</v>
      </c>
      <c r="AT125" s="149">
        <v>0</v>
      </c>
      <c r="AU125" s="84"/>
      <c r="AV125" s="84"/>
      <c r="AW125" s="148">
        <v>0</v>
      </c>
      <c r="AX125" s="149">
        <v>470.82</v>
      </c>
      <c r="AY125" s="149" t="s">
        <v>100</v>
      </c>
      <c r="AZ125" s="149" t="s">
        <v>101</v>
      </c>
      <c r="BA125" s="149" t="s">
        <v>422</v>
      </c>
      <c r="BB125" s="149">
        <v>1126100287</v>
      </c>
      <c r="BC125" s="149" t="s">
        <v>105</v>
      </c>
      <c r="BD125" s="149" t="s">
        <v>103</v>
      </c>
      <c r="BE125" s="84"/>
      <c r="BF125" s="84" t="s">
        <v>270</v>
      </c>
      <c r="BG125" s="84" t="s">
        <v>281</v>
      </c>
      <c r="BH125" s="149" t="s">
        <v>290</v>
      </c>
      <c r="BI125" t="s">
        <v>155</v>
      </c>
      <c r="BJ125" t="s">
        <v>156</v>
      </c>
      <c r="BK125" t="s">
        <v>847</v>
      </c>
      <c r="BL125">
        <v>71.819999999999993</v>
      </c>
      <c r="BM125">
        <v>71.819999999999993</v>
      </c>
      <c r="BN125">
        <v>0</v>
      </c>
      <c r="BO125" t="s">
        <v>154</v>
      </c>
      <c r="BP125">
        <v>9164391</v>
      </c>
      <c r="BQ125" t="s">
        <v>270</v>
      </c>
      <c r="BR125" t="s">
        <v>630</v>
      </c>
      <c r="BS125">
        <v>1</v>
      </c>
    </row>
    <row r="126" spans="1:71" s="0" customFormat="1" ht="14.5">
      <c r="A126" s="148" t="s">
        <v>157</v>
      </c>
      <c r="B126" s="149" t="s">
        <v>625</v>
      </c>
      <c r="C126" s="149">
        <v>107</v>
      </c>
      <c r="D126" s="149" t="s">
        <v>97</v>
      </c>
      <c r="E126" s="149" t="s">
        <v>98</v>
      </c>
      <c r="F126" s="84"/>
      <c r="G126" s="84"/>
      <c r="H126" s="149" t="s">
        <v>48</v>
      </c>
      <c r="I126" s="149" t="s">
        <v>158</v>
      </c>
      <c r="J126" s="148" t="s">
        <v>159</v>
      </c>
      <c r="K126" s="148" t="s">
        <v>163</v>
      </c>
      <c r="L126" s="149" t="s">
        <v>160</v>
      </c>
      <c r="M126" s="150">
        <v>46141</v>
      </c>
      <c r="N126" s="149" t="s">
        <v>754</v>
      </c>
      <c r="O126" s="149">
        <v>9177454</v>
      </c>
      <c r="P126" s="150">
        <v>45990</v>
      </c>
      <c r="Q126" s="148" t="s">
        <v>161</v>
      </c>
      <c r="R126" s="149">
        <v>36105</v>
      </c>
      <c r="S126" s="149" t="s">
        <v>342</v>
      </c>
      <c r="T126" s="149" t="s">
        <v>169</v>
      </c>
      <c r="U126" s="84"/>
      <c r="V126" s="149" t="s">
        <v>162</v>
      </c>
      <c r="W126" s="84"/>
      <c r="X126" s="148">
        <v>25000</v>
      </c>
      <c r="Y126" s="149">
        <v>1</v>
      </c>
      <c r="Z126" s="149">
        <v>25000</v>
      </c>
      <c r="AA126" s="149" t="s">
        <v>99</v>
      </c>
      <c r="AB126" s="149" t="s">
        <v>755</v>
      </c>
      <c r="AC126" s="150">
        <v>45990</v>
      </c>
      <c r="AD126" s="84"/>
      <c r="AE126" s="149">
        <v>998213</v>
      </c>
      <c r="AF126" s="149" t="s">
        <v>848</v>
      </c>
      <c r="AG126" s="84"/>
      <c r="AH126" s="84"/>
      <c r="AI126" s="149">
        <v>25000</v>
      </c>
      <c r="AJ126" s="149" t="s">
        <v>368</v>
      </c>
      <c r="AK126" s="149">
        <v>18</v>
      </c>
      <c r="AL126" s="149">
        <v>2250</v>
      </c>
      <c r="AM126" s="148">
        <v>2250</v>
      </c>
      <c r="AN126" s="149">
        <v>0</v>
      </c>
      <c r="AO126" s="149">
        <v>0</v>
      </c>
      <c r="AP126" s="149">
        <v>0</v>
      </c>
      <c r="AQ126" s="149">
        <v>0</v>
      </c>
      <c r="AR126" s="149">
        <v>0</v>
      </c>
      <c r="AS126" s="149">
        <v>0</v>
      </c>
      <c r="AT126" s="149">
        <v>0</v>
      </c>
      <c r="AU126" s="84"/>
      <c r="AV126" s="84"/>
      <c r="AW126" s="148">
        <v>0</v>
      </c>
      <c r="AX126" s="149">
        <v>29500</v>
      </c>
      <c r="AY126" s="149" t="s">
        <v>100</v>
      </c>
      <c r="AZ126" s="149" t="s">
        <v>100</v>
      </c>
      <c r="BA126" s="149" t="s">
        <v>642</v>
      </c>
      <c r="BB126" s="149">
        <v>1126100459</v>
      </c>
      <c r="BC126" s="149" t="s">
        <v>188</v>
      </c>
      <c r="BD126" s="149" t="s">
        <v>103</v>
      </c>
      <c r="BE126" s="84"/>
      <c r="BF126" s="84" t="s">
        <v>210</v>
      </c>
      <c r="BG126" s="84" t="s">
        <v>280</v>
      </c>
      <c r="BH126" s="149" t="s">
        <v>289</v>
      </c>
      <c r="BI126" t="s">
        <v>155</v>
      </c>
      <c r="BJ126" t="s">
        <v>156</v>
      </c>
      <c r="BK126" t="s">
        <v>755</v>
      </c>
      <c r="BL126">
        <v>4500</v>
      </c>
      <c r="BM126" t="e">
        <v>#N/A</v>
      </c>
      <c r="BN126" t="e">
        <v>#N/A</v>
      </c>
      <c r="BO126" t="s">
        <v>199</v>
      </c>
      <c r="BP126">
        <v>9177454</v>
      </c>
      <c r="BQ126" t="s">
        <v>210</v>
      </c>
      <c r="BR126" t="s">
        <v>199</v>
      </c>
      <c r="BS126">
        <v>6</v>
      </c>
    </row>
    <row r="127" spans="1:71" s="0" customFormat="1" ht="14.5">
      <c r="A127" s="148" t="s">
        <v>157</v>
      </c>
      <c r="B127" s="149" t="s">
        <v>625</v>
      </c>
      <c r="C127" s="149">
        <v>107</v>
      </c>
      <c r="D127" s="149" t="s">
        <v>97</v>
      </c>
      <c r="E127" s="149" t="s">
        <v>98</v>
      </c>
      <c r="F127" s="84"/>
      <c r="G127" s="84"/>
      <c r="H127" s="149" t="s">
        <v>48</v>
      </c>
      <c r="I127" s="149" t="s">
        <v>158</v>
      </c>
      <c r="J127" s="148" t="s">
        <v>159</v>
      </c>
      <c r="K127" s="148" t="s">
        <v>163</v>
      </c>
      <c r="L127" s="149" t="s">
        <v>160</v>
      </c>
      <c r="M127" s="150">
        <v>46141</v>
      </c>
      <c r="N127" s="149" t="s">
        <v>849</v>
      </c>
      <c r="O127" s="149">
        <v>9177451</v>
      </c>
      <c r="P127" s="150">
        <v>46112</v>
      </c>
      <c r="Q127" s="148" t="s">
        <v>161</v>
      </c>
      <c r="R127" s="149">
        <v>36105</v>
      </c>
      <c r="S127" s="149" t="s">
        <v>342</v>
      </c>
      <c r="T127" s="149" t="s">
        <v>169</v>
      </c>
      <c r="U127" s="84"/>
      <c r="V127" s="149" t="s">
        <v>162</v>
      </c>
      <c r="W127" s="84"/>
      <c r="X127" s="148">
        <v>27500</v>
      </c>
      <c r="Y127" s="149">
        <v>1</v>
      </c>
      <c r="Z127" s="149">
        <v>27500</v>
      </c>
      <c r="AA127" s="149" t="s">
        <v>99</v>
      </c>
      <c r="AB127" s="149" t="s">
        <v>850</v>
      </c>
      <c r="AC127" s="150">
        <v>46112</v>
      </c>
      <c r="AD127" s="84"/>
      <c r="AE127" s="149">
        <v>998213</v>
      </c>
      <c r="AF127" s="149" t="s">
        <v>851</v>
      </c>
      <c r="AG127" s="84"/>
      <c r="AH127" s="84"/>
      <c r="AI127" s="149">
        <v>27500</v>
      </c>
      <c r="AJ127" s="149" t="s">
        <v>368</v>
      </c>
      <c r="AK127" s="149">
        <v>18</v>
      </c>
      <c r="AL127" s="149">
        <v>2475</v>
      </c>
      <c r="AM127" s="148">
        <v>2475</v>
      </c>
      <c r="AN127" s="149">
        <v>0</v>
      </c>
      <c r="AO127" s="149">
        <v>0</v>
      </c>
      <c r="AP127" s="149">
        <v>0</v>
      </c>
      <c r="AQ127" s="149">
        <v>0</v>
      </c>
      <c r="AR127" s="149">
        <v>0</v>
      </c>
      <c r="AS127" s="149">
        <v>0</v>
      </c>
      <c r="AT127" s="149">
        <v>0</v>
      </c>
      <c r="AU127" s="84"/>
      <c r="AV127" s="84"/>
      <c r="AW127" s="148">
        <v>0</v>
      </c>
      <c r="AX127" s="149">
        <v>32450</v>
      </c>
      <c r="AY127" s="149" t="s">
        <v>100</v>
      </c>
      <c r="AZ127" s="149" t="s">
        <v>100</v>
      </c>
      <c r="BA127" s="149" t="s">
        <v>642</v>
      </c>
      <c r="BB127" s="149">
        <v>1126100458</v>
      </c>
      <c r="BC127" s="149" t="s">
        <v>188</v>
      </c>
      <c r="BD127" s="149" t="s">
        <v>103</v>
      </c>
      <c r="BE127" s="84"/>
      <c r="BF127" s="84" t="s">
        <v>210</v>
      </c>
      <c r="BG127" s="84" t="s">
        <v>280</v>
      </c>
      <c r="BH127" s="149" t="s">
        <v>289</v>
      </c>
      <c r="BI127" t="s">
        <v>155</v>
      </c>
      <c r="BJ127" t="s">
        <v>156</v>
      </c>
      <c r="BK127" t="s">
        <v>850</v>
      </c>
      <c r="BL127">
        <v>4950</v>
      </c>
      <c r="BM127" t="e">
        <v>#N/A</v>
      </c>
      <c r="BN127" t="e">
        <v>#N/A</v>
      </c>
      <c r="BO127" t="s">
        <v>199</v>
      </c>
      <c r="BP127">
        <v>9177451</v>
      </c>
      <c r="BQ127" t="s">
        <v>210</v>
      </c>
      <c r="BR127" t="s">
        <v>199</v>
      </c>
      <c r="BS127">
        <v>2</v>
      </c>
    </row>
    <row r="128" spans="1:71" s="0" customFormat="1" ht="14.5">
      <c r="A128" s="148" t="s">
        <v>157</v>
      </c>
      <c r="B128" s="149" t="s">
        <v>625</v>
      </c>
      <c r="C128" s="149">
        <v>107</v>
      </c>
      <c r="D128" s="149" t="s">
        <v>97</v>
      </c>
      <c r="E128" s="149" t="s">
        <v>98</v>
      </c>
      <c r="F128" s="84"/>
      <c r="G128" s="149" t="s">
        <v>106</v>
      </c>
      <c r="H128" s="149" t="s">
        <v>48</v>
      </c>
      <c r="I128" s="149" t="s">
        <v>158</v>
      </c>
      <c r="J128" s="148" t="s">
        <v>165</v>
      </c>
      <c r="K128" s="148" t="s">
        <v>166</v>
      </c>
      <c r="L128" s="149" t="s">
        <v>160</v>
      </c>
      <c r="M128" s="150">
        <v>46127</v>
      </c>
      <c r="N128" s="149" t="s">
        <v>690</v>
      </c>
      <c r="O128" s="149">
        <v>9156758</v>
      </c>
      <c r="P128" s="150">
        <v>46113</v>
      </c>
      <c r="Q128" s="148" t="s">
        <v>161</v>
      </c>
      <c r="R128" s="149">
        <v>33841</v>
      </c>
      <c r="S128" s="149" t="s">
        <v>179</v>
      </c>
      <c r="T128" s="149" t="s">
        <v>169</v>
      </c>
      <c r="U128" s="149" t="s">
        <v>180</v>
      </c>
      <c r="V128" s="149" t="s">
        <v>162</v>
      </c>
      <c r="W128" s="84"/>
      <c r="X128" s="148">
        <v>1</v>
      </c>
      <c r="Y128" s="149">
        <v>1545</v>
      </c>
      <c r="Z128" s="149">
        <v>1545</v>
      </c>
      <c r="AA128" s="149" t="s">
        <v>99</v>
      </c>
      <c r="AB128" s="149" t="s">
        <v>690</v>
      </c>
      <c r="AC128" s="150">
        <v>46113</v>
      </c>
      <c r="AD128" s="149" t="s">
        <v>171</v>
      </c>
      <c r="AE128" s="149">
        <v>998400</v>
      </c>
      <c r="AF128" s="149" t="s">
        <v>691</v>
      </c>
      <c r="AG128" s="84"/>
      <c r="AH128" s="84"/>
      <c r="AI128" s="149">
        <v>1545</v>
      </c>
      <c r="AJ128" s="149" t="s">
        <v>368</v>
      </c>
      <c r="AK128" s="149">
        <v>18</v>
      </c>
      <c r="AL128" s="149">
        <v>139.05000000000001</v>
      </c>
      <c r="AM128" s="148">
        <v>139.05000000000001</v>
      </c>
      <c r="AN128" s="149">
        <v>0</v>
      </c>
      <c r="AO128" s="149">
        <v>0</v>
      </c>
      <c r="AP128" s="149">
        <v>0</v>
      </c>
      <c r="AQ128" s="149">
        <v>0</v>
      </c>
      <c r="AR128" s="149">
        <v>0</v>
      </c>
      <c r="AS128" s="149">
        <v>0</v>
      </c>
      <c r="AT128" s="149">
        <v>0</v>
      </c>
      <c r="AU128" s="84"/>
      <c r="AV128" s="84"/>
      <c r="AW128" s="148">
        <v>0</v>
      </c>
      <c r="AX128" s="149">
        <v>1823.10</v>
      </c>
      <c r="AY128" s="149" t="s">
        <v>100</v>
      </c>
      <c r="AZ128" s="149" t="s">
        <v>101</v>
      </c>
      <c r="BA128" s="149" t="s">
        <v>311</v>
      </c>
      <c r="BB128" s="149">
        <v>1126100082</v>
      </c>
      <c r="BC128" s="149" t="s">
        <v>105</v>
      </c>
      <c r="BD128" s="149" t="s">
        <v>103</v>
      </c>
      <c r="BE128" s="84"/>
      <c r="BF128" s="84" t="s">
        <v>270</v>
      </c>
      <c r="BG128" s="84" t="s">
        <v>281</v>
      </c>
      <c r="BH128" s="149" t="s">
        <v>290</v>
      </c>
      <c r="BI128" t="s">
        <v>155</v>
      </c>
      <c r="BJ128" t="s">
        <v>156</v>
      </c>
      <c r="BK128" t="s">
        <v>692</v>
      </c>
      <c r="BL128">
        <v>278.10000000000002</v>
      </c>
      <c r="BM128">
        <v>369.72</v>
      </c>
      <c r="BN128">
        <v>-92</v>
      </c>
      <c r="BO128" t="s">
        <v>154</v>
      </c>
      <c r="BP128">
        <v>9156758</v>
      </c>
      <c r="BQ128" t="s">
        <v>270</v>
      </c>
      <c r="BR128" t="s">
        <v>630</v>
      </c>
      <c r="BS128">
        <v>2</v>
      </c>
    </row>
    <row r="129" spans="1:71" s="0" customFormat="1" ht="14.5">
      <c r="A129" s="148" t="s">
        <v>157</v>
      </c>
      <c r="B129" s="149" t="s">
        <v>625</v>
      </c>
      <c r="C129" s="149">
        <v>107</v>
      </c>
      <c r="D129" s="149" t="s">
        <v>97</v>
      </c>
      <c r="E129" s="149" t="s">
        <v>98</v>
      </c>
      <c r="F129" s="84"/>
      <c r="G129" s="149" t="s">
        <v>106</v>
      </c>
      <c r="H129" s="149" t="s">
        <v>48</v>
      </c>
      <c r="I129" s="149" t="s">
        <v>158</v>
      </c>
      <c r="J129" s="148" t="s">
        <v>165</v>
      </c>
      <c r="K129" s="148" t="s">
        <v>166</v>
      </c>
      <c r="L129" s="149" t="s">
        <v>160</v>
      </c>
      <c r="M129" s="150">
        <v>46127</v>
      </c>
      <c r="N129" s="149" t="s">
        <v>626</v>
      </c>
      <c r="O129" s="149">
        <v>9158398</v>
      </c>
      <c r="P129" s="150">
        <v>46090</v>
      </c>
      <c r="Q129" s="148" t="s">
        <v>161</v>
      </c>
      <c r="R129" s="149">
        <v>35671</v>
      </c>
      <c r="S129" s="149" t="s">
        <v>424</v>
      </c>
      <c r="T129" s="149" t="s">
        <v>425</v>
      </c>
      <c r="U129" s="149" t="s">
        <v>426</v>
      </c>
      <c r="V129" s="149" t="s">
        <v>162</v>
      </c>
      <c r="W129" s="84"/>
      <c r="X129" s="148">
        <v>910.17</v>
      </c>
      <c r="Y129" s="149">
        <v>12</v>
      </c>
      <c r="Z129" s="149">
        <v>10922.04</v>
      </c>
      <c r="AA129" s="149" t="s">
        <v>99</v>
      </c>
      <c r="AB129" s="149" t="s">
        <v>626</v>
      </c>
      <c r="AC129" s="150">
        <v>46121</v>
      </c>
      <c r="AD129" s="149" t="s">
        <v>164</v>
      </c>
      <c r="AE129" s="149">
        <v>38119000</v>
      </c>
      <c r="AF129" s="149" t="s">
        <v>852</v>
      </c>
      <c r="AG129" s="84"/>
      <c r="AH129" s="84"/>
      <c r="AI129" s="149">
        <v>10922.04</v>
      </c>
      <c r="AJ129" s="149" t="s">
        <v>368</v>
      </c>
      <c r="AK129" s="149">
        <v>18</v>
      </c>
      <c r="AL129" s="149">
        <v>0</v>
      </c>
      <c r="AM129" s="148">
        <v>0</v>
      </c>
      <c r="AN129" s="149">
        <v>1965.97</v>
      </c>
      <c r="AO129" s="149">
        <v>0</v>
      </c>
      <c r="AP129" s="149">
        <v>0</v>
      </c>
      <c r="AQ129" s="149">
        <v>0</v>
      </c>
      <c r="AR129" s="149">
        <v>0</v>
      </c>
      <c r="AS129" s="149">
        <v>0</v>
      </c>
      <c r="AT129" s="149">
        <v>0</v>
      </c>
      <c r="AU129" s="84"/>
      <c r="AV129" s="84"/>
      <c r="AW129" s="148">
        <v>0</v>
      </c>
      <c r="AX129" s="149">
        <v>12888.01</v>
      </c>
      <c r="AY129" s="149" t="s">
        <v>101</v>
      </c>
      <c r="AZ129" s="149" t="s">
        <v>101</v>
      </c>
      <c r="BA129" s="149" t="s">
        <v>628</v>
      </c>
      <c r="BB129" s="149">
        <v>1126100105</v>
      </c>
      <c r="BC129" s="149" t="s">
        <v>168</v>
      </c>
      <c r="BD129" s="149" t="s">
        <v>272</v>
      </c>
      <c r="BE129" s="84"/>
      <c r="BF129" s="84" t="s">
        <v>271</v>
      </c>
      <c r="BG129" s="84" t="s">
        <v>281</v>
      </c>
      <c r="BH129" s="149" t="s">
        <v>290</v>
      </c>
      <c r="BI129" t="s">
        <v>155</v>
      </c>
      <c r="BJ129" t="s">
        <v>156</v>
      </c>
      <c r="BK129" t="s">
        <v>629</v>
      </c>
      <c r="BL129">
        <v>1965.97</v>
      </c>
      <c r="BM129">
        <v>38182.879999999997</v>
      </c>
      <c r="BN129">
        <v>-36217</v>
      </c>
      <c r="BO129" t="s">
        <v>154</v>
      </c>
      <c r="BP129">
        <v>9158398</v>
      </c>
      <c r="BQ129" t="s">
        <v>271</v>
      </c>
      <c r="BR129" t="s">
        <v>630</v>
      </c>
      <c r="BS129">
        <v>37</v>
      </c>
    </row>
    <row r="130" spans="1:71" s="0" customFormat="1" ht="14.5">
      <c r="A130" s="148" t="s">
        <v>157</v>
      </c>
      <c r="B130" s="149" t="s">
        <v>625</v>
      </c>
      <c r="C130" s="149">
        <v>107</v>
      </c>
      <c r="D130" s="149" t="s">
        <v>97</v>
      </c>
      <c r="E130" s="149" t="s">
        <v>98</v>
      </c>
      <c r="F130" s="84"/>
      <c r="G130" s="149" t="s">
        <v>106</v>
      </c>
      <c r="H130" s="149" t="s">
        <v>48</v>
      </c>
      <c r="I130" s="149" t="s">
        <v>158</v>
      </c>
      <c r="J130" s="148" t="s">
        <v>165</v>
      </c>
      <c r="K130" s="148" t="s">
        <v>166</v>
      </c>
      <c r="L130" s="149" t="s">
        <v>160</v>
      </c>
      <c r="M130" s="150">
        <v>46140</v>
      </c>
      <c r="N130" s="149" t="s">
        <v>632</v>
      </c>
      <c r="O130" s="149">
        <v>9174963</v>
      </c>
      <c r="P130" s="150">
        <v>46129</v>
      </c>
      <c r="Q130" s="148" t="s">
        <v>161</v>
      </c>
      <c r="R130" s="149">
        <v>35671</v>
      </c>
      <c r="S130" s="149" t="s">
        <v>424</v>
      </c>
      <c r="T130" s="149" t="s">
        <v>425</v>
      </c>
      <c r="U130" s="149" t="s">
        <v>426</v>
      </c>
      <c r="V130" s="149" t="s">
        <v>162</v>
      </c>
      <c r="W130" s="84"/>
      <c r="X130" s="148">
        <v>275</v>
      </c>
      <c r="Y130" s="149">
        <v>34</v>
      </c>
      <c r="Z130" s="149">
        <v>9350</v>
      </c>
      <c r="AA130" s="149" t="s">
        <v>99</v>
      </c>
      <c r="AB130" s="149" t="s">
        <v>632</v>
      </c>
      <c r="AC130" s="150">
        <v>46129</v>
      </c>
      <c r="AD130" s="149" t="s">
        <v>164</v>
      </c>
      <c r="AE130" s="149">
        <v>996200</v>
      </c>
      <c r="AF130" s="149" t="s">
        <v>675</v>
      </c>
      <c r="AG130" s="84"/>
      <c r="AH130" s="84"/>
      <c r="AI130" s="149">
        <v>9350</v>
      </c>
      <c r="AJ130" s="149" t="s">
        <v>368</v>
      </c>
      <c r="AK130" s="149">
        <v>18</v>
      </c>
      <c r="AL130" s="149">
        <v>0</v>
      </c>
      <c r="AM130" s="148">
        <v>0</v>
      </c>
      <c r="AN130" s="149">
        <v>1683</v>
      </c>
      <c r="AO130" s="149">
        <v>0</v>
      </c>
      <c r="AP130" s="149">
        <v>0</v>
      </c>
      <c r="AQ130" s="149">
        <v>0</v>
      </c>
      <c r="AR130" s="149">
        <v>0</v>
      </c>
      <c r="AS130" s="149">
        <v>0</v>
      </c>
      <c r="AT130" s="149">
        <v>0</v>
      </c>
      <c r="AU130" s="84"/>
      <c r="AV130" s="84"/>
      <c r="AW130" s="148">
        <v>0</v>
      </c>
      <c r="AX130" s="149">
        <v>11033</v>
      </c>
      <c r="AY130" s="149" t="s">
        <v>101</v>
      </c>
      <c r="AZ130" s="149" t="s">
        <v>101</v>
      </c>
      <c r="BA130" s="149" t="s">
        <v>634</v>
      </c>
      <c r="BB130" s="149">
        <v>1126100446</v>
      </c>
      <c r="BC130" s="149" t="s">
        <v>168</v>
      </c>
      <c r="BD130" s="149" t="s">
        <v>272</v>
      </c>
      <c r="BE130" s="84"/>
      <c r="BF130" s="84" t="s">
        <v>271</v>
      </c>
      <c r="BG130" s="84" t="s">
        <v>281</v>
      </c>
      <c r="BH130" s="149" t="s">
        <v>290</v>
      </c>
      <c r="BI130" t="s">
        <v>155</v>
      </c>
      <c r="BJ130" t="s">
        <v>156</v>
      </c>
      <c r="BK130" t="s">
        <v>635</v>
      </c>
      <c r="BL130">
        <v>1683</v>
      </c>
      <c r="BM130">
        <v>36494.74</v>
      </c>
      <c r="BN130">
        <v>-34812</v>
      </c>
      <c r="BO130" t="s">
        <v>154</v>
      </c>
      <c r="BP130">
        <v>9174963</v>
      </c>
      <c r="BQ130" t="s">
        <v>271</v>
      </c>
      <c r="BR130" t="s">
        <v>630</v>
      </c>
      <c r="BS130">
        <v>36</v>
      </c>
    </row>
    <row r="131" spans="1:71" s="0" customFormat="1" ht="14.5">
      <c r="A131" s="148" t="s">
        <v>157</v>
      </c>
      <c r="B131" s="149" t="s">
        <v>625</v>
      </c>
      <c r="C131" s="149">
        <v>107</v>
      </c>
      <c r="D131" s="149" t="s">
        <v>97</v>
      </c>
      <c r="E131" s="149" t="s">
        <v>98</v>
      </c>
      <c r="F131" s="84"/>
      <c r="G131" s="149" t="s">
        <v>106</v>
      </c>
      <c r="H131" s="149" t="s">
        <v>48</v>
      </c>
      <c r="I131" s="149" t="s">
        <v>158</v>
      </c>
      <c r="J131" s="148" t="s">
        <v>165</v>
      </c>
      <c r="K131" s="148" t="s">
        <v>166</v>
      </c>
      <c r="L131" s="149" t="s">
        <v>160</v>
      </c>
      <c r="M131" s="150">
        <v>46140</v>
      </c>
      <c r="N131" s="149" t="s">
        <v>632</v>
      </c>
      <c r="O131" s="149">
        <v>9174963</v>
      </c>
      <c r="P131" s="150">
        <v>46129</v>
      </c>
      <c r="Q131" s="148" t="s">
        <v>161</v>
      </c>
      <c r="R131" s="149">
        <v>35671</v>
      </c>
      <c r="S131" s="149" t="s">
        <v>424</v>
      </c>
      <c r="T131" s="149" t="s">
        <v>425</v>
      </c>
      <c r="U131" s="149" t="s">
        <v>426</v>
      </c>
      <c r="V131" s="149" t="s">
        <v>162</v>
      </c>
      <c r="W131" s="84"/>
      <c r="X131" s="148">
        <v>275</v>
      </c>
      <c r="Y131" s="149">
        <v>11</v>
      </c>
      <c r="Z131" s="149">
        <v>3025</v>
      </c>
      <c r="AA131" s="149" t="s">
        <v>99</v>
      </c>
      <c r="AB131" s="149" t="s">
        <v>632</v>
      </c>
      <c r="AC131" s="150">
        <v>46129</v>
      </c>
      <c r="AD131" s="149" t="s">
        <v>164</v>
      </c>
      <c r="AE131" s="149">
        <v>998729</v>
      </c>
      <c r="AF131" s="149" t="s">
        <v>853</v>
      </c>
      <c r="AG131" s="84"/>
      <c r="AH131" s="84"/>
      <c r="AI131" s="149">
        <v>3025</v>
      </c>
      <c r="AJ131" s="149" t="s">
        <v>368</v>
      </c>
      <c r="AK131" s="149">
        <v>18</v>
      </c>
      <c r="AL131" s="149">
        <v>0</v>
      </c>
      <c r="AM131" s="148">
        <v>0</v>
      </c>
      <c r="AN131" s="149">
        <v>544.5</v>
      </c>
      <c r="AO131" s="149">
        <v>0</v>
      </c>
      <c r="AP131" s="149">
        <v>0</v>
      </c>
      <c r="AQ131" s="149">
        <v>0</v>
      </c>
      <c r="AR131" s="149">
        <v>0</v>
      </c>
      <c r="AS131" s="149">
        <v>0</v>
      </c>
      <c r="AT131" s="149">
        <v>0</v>
      </c>
      <c r="AU131" s="84"/>
      <c r="AV131" s="84"/>
      <c r="AW131" s="148">
        <v>0</v>
      </c>
      <c r="AX131" s="149">
        <v>3569.5</v>
      </c>
      <c r="AY131" s="149" t="s">
        <v>101</v>
      </c>
      <c r="AZ131" s="149" t="s">
        <v>101</v>
      </c>
      <c r="BA131" s="149" t="s">
        <v>634</v>
      </c>
      <c r="BB131" s="149">
        <v>1126100446</v>
      </c>
      <c r="BC131" s="149" t="s">
        <v>168</v>
      </c>
      <c r="BD131" s="149" t="s">
        <v>272</v>
      </c>
      <c r="BE131" s="84"/>
      <c r="BF131" s="84" t="s">
        <v>271</v>
      </c>
      <c r="BG131" s="84" t="s">
        <v>281</v>
      </c>
      <c r="BH131" s="149" t="s">
        <v>290</v>
      </c>
      <c r="BI131" t="s">
        <v>155</v>
      </c>
      <c r="BJ131" t="s">
        <v>156</v>
      </c>
      <c r="BK131" t="s">
        <v>635</v>
      </c>
      <c r="BL131">
        <v>544.5</v>
      </c>
      <c r="BM131">
        <v>36494.74</v>
      </c>
      <c r="BN131">
        <v>-35950</v>
      </c>
      <c r="BO131" t="s">
        <v>154</v>
      </c>
      <c r="BP131">
        <v>9174963</v>
      </c>
      <c r="BQ131" t="s">
        <v>271</v>
      </c>
      <c r="BR131" t="s">
        <v>630</v>
      </c>
      <c r="BS131">
        <v>36</v>
      </c>
    </row>
    <row r="132" spans="1:71" s="0" customFormat="1" ht="14.5">
      <c r="A132" s="148" t="s">
        <v>157</v>
      </c>
      <c r="B132" s="149" t="s">
        <v>625</v>
      </c>
      <c r="C132" s="149">
        <v>107</v>
      </c>
      <c r="D132" s="149" t="s">
        <v>97</v>
      </c>
      <c r="E132" s="149" t="s">
        <v>98</v>
      </c>
      <c r="F132" s="84"/>
      <c r="G132" s="149" t="s">
        <v>106</v>
      </c>
      <c r="H132" s="149" t="s">
        <v>48</v>
      </c>
      <c r="I132" s="149" t="s">
        <v>158</v>
      </c>
      <c r="J132" s="148" t="s">
        <v>165</v>
      </c>
      <c r="K132" s="148" t="s">
        <v>166</v>
      </c>
      <c r="L132" s="149" t="s">
        <v>160</v>
      </c>
      <c r="M132" s="150">
        <v>46127</v>
      </c>
      <c r="N132" s="149" t="s">
        <v>636</v>
      </c>
      <c r="O132" s="149">
        <v>9156749</v>
      </c>
      <c r="P132" s="150">
        <v>46115</v>
      </c>
      <c r="Q132" s="148" t="s">
        <v>161</v>
      </c>
      <c r="R132" s="149">
        <v>6262</v>
      </c>
      <c r="S132" s="149" t="s">
        <v>183</v>
      </c>
      <c r="T132" s="149" t="s">
        <v>182</v>
      </c>
      <c r="U132" s="149" t="s">
        <v>184</v>
      </c>
      <c r="V132" s="149" t="s">
        <v>162</v>
      </c>
      <c r="W132" s="84"/>
      <c r="X132" s="148">
        <v>1</v>
      </c>
      <c r="Y132" s="149">
        <v>1397</v>
      </c>
      <c r="Z132" s="149">
        <v>1397</v>
      </c>
      <c r="AA132" s="149" t="s">
        <v>99</v>
      </c>
      <c r="AB132" s="149" t="s">
        <v>637</v>
      </c>
      <c r="AC132" s="150">
        <v>46115</v>
      </c>
      <c r="AD132" s="149" t="s">
        <v>171</v>
      </c>
      <c r="AE132" s="149">
        <v>998413</v>
      </c>
      <c r="AF132" s="149" t="s">
        <v>638</v>
      </c>
      <c r="AG132" s="84"/>
      <c r="AH132" s="84"/>
      <c r="AI132" s="149">
        <v>1397</v>
      </c>
      <c r="AJ132" s="149" t="s">
        <v>368</v>
      </c>
      <c r="AK132" s="149">
        <v>18</v>
      </c>
      <c r="AL132" s="149">
        <v>125.73</v>
      </c>
      <c r="AM132" s="148">
        <v>125.73</v>
      </c>
      <c r="AN132" s="149">
        <v>0</v>
      </c>
      <c r="AO132" s="149">
        <v>0</v>
      </c>
      <c r="AP132" s="149">
        <v>0</v>
      </c>
      <c r="AQ132" s="149">
        <v>0</v>
      </c>
      <c r="AR132" s="149">
        <v>0</v>
      </c>
      <c r="AS132" s="149">
        <v>0</v>
      </c>
      <c r="AT132" s="149">
        <v>0</v>
      </c>
      <c r="AU132" s="84"/>
      <c r="AV132" s="84"/>
      <c r="AW132" s="148">
        <v>0</v>
      </c>
      <c r="AX132" s="149">
        <v>1648.46</v>
      </c>
      <c r="AY132" s="149" t="s">
        <v>100</v>
      </c>
      <c r="AZ132" s="149" t="s">
        <v>101</v>
      </c>
      <c r="BA132" s="149" t="s">
        <v>311</v>
      </c>
      <c r="BB132" s="149">
        <v>1126100078</v>
      </c>
      <c r="BC132" s="149" t="s">
        <v>105</v>
      </c>
      <c r="BD132" s="149" t="s">
        <v>103</v>
      </c>
      <c r="BE132" s="84"/>
      <c r="BF132" s="84" t="s">
        <v>270</v>
      </c>
      <c r="BG132" s="84" t="s">
        <v>281</v>
      </c>
      <c r="BH132" s="149" t="s">
        <v>290</v>
      </c>
      <c r="BI132" t="s">
        <v>155</v>
      </c>
      <c r="BJ132" t="s">
        <v>156</v>
      </c>
      <c r="BK132" t="s">
        <v>639</v>
      </c>
      <c r="BL132">
        <v>251.46</v>
      </c>
      <c r="BM132">
        <v>8534.42</v>
      </c>
      <c r="BN132">
        <v>-8283</v>
      </c>
      <c r="BO132" t="s">
        <v>154</v>
      </c>
      <c r="BP132">
        <v>9156749</v>
      </c>
      <c r="BQ132" t="s">
        <v>270</v>
      </c>
      <c r="BR132" t="s">
        <v>630</v>
      </c>
      <c r="BS132">
        <v>17</v>
      </c>
    </row>
    <row r="133" spans="1:71" s="0" customFormat="1" ht="14.5">
      <c r="A133" s="148" t="s">
        <v>157</v>
      </c>
      <c r="B133" s="149" t="s">
        <v>625</v>
      </c>
      <c r="C133" s="149">
        <v>107</v>
      </c>
      <c r="D133" s="149" t="s">
        <v>97</v>
      </c>
      <c r="E133" s="149" t="s">
        <v>98</v>
      </c>
      <c r="F133" s="84"/>
      <c r="G133" s="149" t="s">
        <v>106</v>
      </c>
      <c r="H133" s="149" t="s">
        <v>48</v>
      </c>
      <c r="I133" s="149" t="s">
        <v>158</v>
      </c>
      <c r="J133" s="149" t="s">
        <v>165</v>
      </c>
      <c r="K133" s="149" t="s">
        <v>166</v>
      </c>
      <c r="L133" s="149" t="s">
        <v>160</v>
      </c>
      <c r="M133" s="150">
        <v>46140</v>
      </c>
      <c r="N133" s="149" t="s">
        <v>660</v>
      </c>
      <c r="O133" s="148">
        <v>9175014</v>
      </c>
      <c r="P133" s="150">
        <v>46129</v>
      </c>
      <c r="Q133" s="149" t="s">
        <v>161</v>
      </c>
      <c r="R133" s="149">
        <v>15979</v>
      </c>
      <c r="S133" s="149" t="s">
        <v>369</v>
      </c>
      <c r="T133" s="149" t="s">
        <v>169</v>
      </c>
      <c r="U133" s="149" t="s">
        <v>370</v>
      </c>
      <c r="V133" s="149" t="s">
        <v>162</v>
      </c>
      <c r="W133" s="84"/>
      <c r="X133" s="149">
        <v>2713.5</v>
      </c>
      <c r="Y133" s="149">
        <v>1</v>
      </c>
      <c r="Z133" s="149">
        <v>2713.5</v>
      </c>
      <c r="AA133" s="149" t="s">
        <v>99</v>
      </c>
      <c r="AB133" s="149" t="s">
        <v>660</v>
      </c>
      <c r="AC133" s="150">
        <v>46129</v>
      </c>
      <c r="AD133" s="149" t="s">
        <v>164</v>
      </c>
      <c r="AE133" s="149">
        <v>998729</v>
      </c>
      <c r="AF133" s="149" t="s">
        <v>854</v>
      </c>
      <c r="AG133" s="84"/>
      <c r="AH133" s="84"/>
      <c r="AI133" s="149">
        <v>2713.5</v>
      </c>
      <c r="AJ133" s="149" t="s">
        <v>368</v>
      </c>
      <c r="AK133" s="149">
        <v>18</v>
      </c>
      <c r="AL133" s="149">
        <v>244.22</v>
      </c>
      <c r="AM133" s="149">
        <v>244.22</v>
      </c>
      <c r="AN133" s="149">
        <v>0</v>
      </c>
      <c r="AO133" s="149">
        <v>0</v>
      </c>
      <c r="AP133" s="149">
        <v>0</v>
      </c>
      <c r="AQ133" s="149">
        <v>0</v>
      </c>
      <c r="AR133" s="148">
        <v>0</v>
      </c>
      <c r="AS133" s="149">
        <v>0</v>
      </c>
      <c r="AT133" s="149">
        <v>0</v>
      </c>
      <c r="AU133" s="84"/>
      <c r="AV133" s="84"/>
      <c r="AW133" s="149">
        <v>0</v>
      </c>
      <c r="AX133" s="149">
        <v>3201.94</v>
      </c>
      <c r="AY133" s="149" t="s">
        <v>101</v>
      </c>
      <c r="AZ133" s="149" t="s">
        <v>101</v>
      </c>
      <c r="BA133" s="149" t="s">
        <v>662</v>
      </c>
      <c r="BB133" s="149">
        <v>1126100447</v>
      </c>
      <c r="BC133" s="149" t="s">
        <v>172</v>
      </c>
      <c r="BD133" s="149" t="s">
        <v>272</v>
      </c>
      <c r="BE133" s="84"/>
      <c r="BF133" s="84" t="s">
        <v>271</v>
      </c>
      <c r="BG133" s="84" t="s">
        <v>281</v>
      </c>
      <c r="BH133" s="149" t="s">
        <v>290</v>
      </c>
      <c r="BI133" t="s">
        <v>155</v>
      </c>
      <c r="BJ133" t="s">
        <v>156</v>
      </c>
      <c r="BK133" t="s">
        <v>663</v>
      </c>
      <c r="BL133">
        <v>488.44</v>
      </c>
      <c r="BM133">
        <v>2435.38</v>
      </c>
      <c r="BN133">
        <v>-1947</v>
      </c>
      <c r="BO133" t="s">
        <v>154</v>
      </c>
      <c r="BP133">
        <v>9175014</v>
      </c>
      <c r="BQ133" t="s">
        <v>271</v>
      </c>
      <c r="BR133" t="s">
        <v>630</v>
      </c>
      <c r="BS133">
        <v>18</v>
      </c>
    </row>
    <row r="134" spans="1:71" s="0" customFormat="1" ht="14.5">
      <c r="A134" s="148" t="s">
        <v>157</v>
      </c>
      <c r="B134" s="149" t="s">
        <v>625</v>
      </c>
      <c r="C134" s="149">
        <v>107</v>
      </c>
      <c r="D134" s="149" t="s">
        <v>97</v>
      </c>
      <c r="E134" s="149" t="s">
        <v>98</v>
      </c>
      <c r="F134" s="84"/>
      <c r="G134" s="149" t="s">
        <v>106</v>
      </c>
      <c r="H134" s="149" t="s">
        <v>48</v>
      </c>
      <c r="I134" s="149" t="s">
        <v>158</v>
      </c>
      <c r="J134" s="149" t="s">
        <v>165</v>
      </c>
      <c r="K134" s="149" t="s">
        <v>166</v>
      </c>
      <c r="L134" s="149" t="s">
        <v>160</v>
      </c>
      <c r="M134" s="150">
        <v>46140</v>
      </c>
      <c r="N134" s="149" t="s">
        <v>660</v>
      </c>
      <c r="O134" s="148">
        <v>9175014</v>
      </c>
      <c r="P134" s="150">
        <v>46129</v>
      </c>
      <c r="Q134" s="149" t="s">
        <v>161</v>
      </c>
      <c r="R134" s="149">
        <v>15979</v>
      </c>
      <c r="S134" s="149" t="s">
        <v>369</v>
      </c>
      <c r="T134" s="149" t="s">
        <v>169</v>
      </c>
      <c r="U134" s="149" t="s">
        <v>370</v>
      </c>
      <c r="V134" s="149" t="s">
        <v>162</v>
      </c>
      <c r="W134" s="84"/>
      <c r="X134" s="149">
        <v>410</v>
      </c>
      <c r="Y134" s="149">
        <v>1</v>
      </c>
      <c r="Z134" s="149">
        <v>410</v>
      </c>
      <c r="AA134" s="149" t="s">
        <v>99</v>
      </c>
      <c r="AB134" s="149" t="s">
        <v>660</v>
      </c>
      <c r="AC134" s="150">
        <v>46129</v>
      </c>
      <c r="AD134" s="149" t="s">
        <v>164</v>
      </c>
      <c r="AE134" s="149">
        <v>38140010</v>
      </c>
      <c r="AF134" s="149" t="s">
        <v>855</v>
      </c>
      <c r="AG134" s="84"/>
      <c r="AH134" s="84"/>
      <c r="AI134" s="149">
        <v>410</v>
      </c>
      <c r="AJ134" s="149" t="s">
        <v>368</v>
      </c>
      <c r="AK134" s="149">
        <v>18</v>
      </c>
      <c r="AL134" s="149">
        <v>36.90</v>
      </c>
      <c r="AM134" s="149">
        <v>36.90</v>
      </c>
      <c r="AN134" s="149">
        <v>0</v>
      </c>
      <c r="AO134" s="149">
        <v>0</v>
      </c>
      <c r="AP134" s="149">
        <v>0</v>
      </c>
      <c r="AQ134" s="149">
        <v>0</v>
      </c>
      <c r="AR134" s="148">
        <v>0</v>
      </c>
      <c r="AS134" s="149">
        <v>0</v>
      </c>
      <c r="AT134" s="149">
        <v>0</v>
      </c>
      <c r="AU134" s="84"/>
      <c r="AV134" s="84"/>
      <c r="AW134" s="149">
        <v>0</v>
      </c>
      <c r="AX134" s="149">
        <v>483.80</v>
      </c>
      <c r="AY134" s="149" t="s">
        <v>101</v>
      </c>
      <c r="AZ134" s="149" t="s">
        <v>101</v>
      </c>
      <c r="BA134" s="149" t="s">
        <v>662</v>
      </c>
      <c r="BB134" s="149">
        <v>1126100447</v>
      </c>
      <c r="BC134" s="149" t="s">
        <v>172</v>
      </c>
      <c r="BD134" s="149" t="s">
        <v>272</v>
      </c>
      <c r="BE134" s="84"/>
      <c r="BF134" s="84" t="s">
        <v>271</v>
      </c>
      <c r="BG134" s="84" t="s">
        <v>281</v>
      </c>
      <c r="BH134" s="149" t="s">
        <v>290</v>
      </c>
      <c r="BI134" t="s">
        <v>155</v>
      </c>
      <c r="BJ134" t="s">
        <v>156</v>
      </c>
      <c r="BK134" t="s">
        <v>663</v>
      </c>
      <c r="BL134">
        <v>73.80</v>
      </c>
      <c r="BM134">
        <v>2435.38</v>
      </c>
      <c r="BN134">
        <v>-2362</v>
      </c>
      <c r="BO134" t="s">
        <v>154</v>
      </c>
      <c r="BP134">
        <v>9175014</v>
      </c>
      <c r="BQ134" t="s">
        <v>271</v>
      </c>
      <c r="BR134" t="s">
        <v>630</v>
      </c>
      <c r="BS134">
        <v>18</v>
      </c>
    </row>
    <row r="135" spans="1:71" s="0" customFormat="1" ht="14.5">
      <c r="A135" s="148" t="s">
        <v>157</v>
      </c>
      <c r="B135" s="149" t="s">
        <v>625</v>
      </c>
      <c r="C135" s="149">
        <v>107</v>
      </c>
      <c r="D135" s="149" t="s">
        <v>97</v>
      </c>
      <c r="E135" s="149" t="s">
        <v>98</v>
      </c>
      <c r="F135" s="84"/>
      <c r="G135" s="149" t="s">
        <v>106</v>
      </c>
      <c r="H135" s="149" t="s">
        <v>48</v>
      </c>
      <c r="I135" s="149" t="s">
        <v>158</v>
      </c>
      <c r="J135" s="149" t="s">
        <v>165</v>
      </c>
      <c r="K135" s="149" t="s">
        <v>166</v>
      </c>
      <c r="L135" s="149" t="s">
        <v>160</v>
      </c>
      <c r="M135" s="150">
        <v>46140</v>
      </c>
      <c r="N135" s="149" t="s">
        <v>632</v>
      </c>
      <c r="O135" s="148">
        <v>9174963</v>
      </c>
      <c r="P135" s="150">
        <v>46129</v>
      </c>
      <c r="Q135" s="149" t="s">
        <v>161</v>
      </c>
      <c r="R135" s="149">
        <v>35671</v>
      </c>
      <c r="S135" s="149" t="s">
        <v>424</v>
      </c>
      <c r="T135" s="149" t="s">
        <v>425</v>
      </c>
      <c r="U135" s="149" t="s">
        <v>426</v>
      </c>
      <c r="V135" s="149" t="s">
        <v>162</v>
      </c>
      <c r="W135" s="84"/>
      <c r="X135" s="149">
        <v>220</v>
      </c>
      <c r="Y135" s="149">
        <v>2</v>
      </c>
      <c r="Z135" s="149">
        <v>440</v>
      </c>
      <c r="AA135" s="149" t="s">
        <v>99</v>
      </c>
      <c r="AB135" s="149" t="s">
        <v>632</v>
      </c>
      <c r="AC135" s="150">
        <v>46129</v>
      </c>
      <c r="AD135" s="149" t="s">
        <v>164</v>
      </c>
      <c r="AE135" s="149">
        <v>998729</v>
      </c>
      <c r="AF135" s="149" t="s">
        <v>776</v>
      </c>
      <c r="AG135" s="84"/>
      <c r="AH135" s="84"/>
      <c r="AI135" s="149">
        <v>440</v>
      </c>
      <c r="AJ135" s="149" t="s">
        <v>368</v>
      </c>
      <c r="AK135" s="149">
        <v>18</v>
      </c>
      <c r="AL135" s="149">
        <v>0</v>
      </c>
      <c r="AM135" s="149">
        <v>0</v>
      </c>
      <c r="AN135" s="149">
        <v>79.20</v>
      </c>
      <c r="AO135" s="149">
        <v>0</v>
      </c>
      <c r="AP135" s="149">
        <v>0</v>
      </c>
      <c r="AQ135" s="149">
        <v>0</v>
      </c>
      <c r="AR135" s="148">
        <v>0</v>
      </c>
      <c r="AS135" s="149">
        <v>0</v>
      </c>
      <c r="AT135" s="149">
        <v>0</v>
      </c>
      <c r="AU135" s="84"/>
      <c r="AV135" s="84"/>
      <c r="AW135" s="149">
        <v>0</v>
      </c>
      <c r="AX135" s="149">
        <v>519.20000000000005</v>
      </c>
      <c r="AY135" s="149" t="s">
        <v>101</v>
      </c>
      <c r="AZ135" s="149" t="s">
        <v>101</v>
      </c>
      <c r="BA135" s="149" t="s">
        <v>634</v>
      </c>
      <c r="BB135" s="149">
        <v>1126100446</v>
      </c>
      <c r="BC135" s="149" t="s">
        <v>168</v>
      </c>
      <c r="BD135" s="149" t="s">
        <v>272</v>
      </c>
      <c r="BE135" s="84"/>
      <c r="BF135" s="84" t="s">
        <v>271</v>
      </c>
      <c r="BG135" s="84" t="s">
        <v>281</v>
      </c>
      <c r="BH135" s="149" t="s">
        <v>290</v>
      </c>
      <c r="BI135" t="s">
        <v>155</v>
      </c>
      <c r="BJ135" t="s">
        <v>156</v>
      </c>
      <c r="BK135" t="s">
        <v>635</v>
      </c>
      <c r="BL135">
        <v>79.20</v>
      </c>
      <c r="BM135">
        <v>36494.74</v>
      </c>
      <c r="BN135">
        <v>-36416</v>
      </c>
      <c r="BO135" t="s">
        <v>154</v>
      </c>
      <c r="BP135">
        <v>9174963</v>
      </c>
      <c r="BQ135" t="s">
        <v>271</v>
      </c>
      <c r="BR135" t="s">
        <v>630</v>
      </c>
      <c r="BS135">
        <v>36</v>
      </c>
    </row>
    <row r="136" spans="1:71" s="0" customFormat="1" ht="14.5">
      <c r="A136" s="148" t="s">
        <v>157</v>
      </c>
      <c r="B136" s="149" t="s">
        <v>625</v>
      </c>
      <c r="C136" s="149">
        <v>107</v>
      </c>
      <c r="D136" s="149" t="s">
        <v>97</v>
      </c>
      <c r="E136" s="149" t="s">
        <v>98</v>
      </c>
      <c r="F136" s="84"/>
      <c r="G136" s="84"/>
      <c r="H136" s="149" t="s">
        <v>48</v>
      </c>
      <c r="I136" s="149" t="s">
        <v>158</v>
      </c>
      <c r="J136" s="149" t="s">
        <v>159</v>
      </c>
      <c r="K136" s="149" t="s">
        <v>163</v>
      </c>
      <c r="L136" s="149" t="s">
        <v>160</v>
      </c>
      <c r="M136" s="150">
        <v>46126</v>
      </c>
      <c r="N136" s="149" t="s">
        <v>668</v>
      </c>
      <c r="O136" s="148">
        <v>9155609</v>
      </c>
      <c r="P136" s="150">
        <v>46114</v>
      </c>
      <c r="Q136" s="149" t="s">
        <v>161</v>
      </c>
      <c r="R136" s="149">
        <v>2770</v>
      </c>
      <c r="S136" s="149" t="s">
        <v>299</v>
      </c>
      <c r="T136" s="149" t="s">
        <v>174</v>
      </c>
      <c r="U136" s="149" t="s">
        <v>175</v>
      </c>
      <c r="V136" s="149" t="s">
        <v>162</v>
      </c>
      <c r="W136" s="84"/>
      <c r="X136" s="149">
        <v>1</v>
      </c>
      <c r="Y136" s="149">
        <v>790.92</v>
      </c>
      <c r="Z136" s="149">
        <v>790.92</v>
      </c>
      <c r="AA136" s="149" t="s">
        <v>99</v>
      </c>
      <c r="AB136" s="149" t="s">
        <v>668</v>
      </c>
      <c r="AC136" s="150">
        <v>46114</v>
      </c>
      <c r="AD136" s="149" t="s">
        <v>171</v>
      </c>
      <c r="AE136" s="149">
        <v>84439952</v>
      </c>
      <c r="AF136" s="149" t="s">
        <v>856</v>
      </c>
      <c r="AG136" s="84"/>
      <c r="AH136" s="84"/>
      <c r="AI136" s="149">
        <v>790.92</v>
      </c>
      <c r="AJ136" s="149" t="s">
        <v>368</v>
      </c>
      <c r="AK136" s="149">
        <v>18</v>
      </c>
      <c r="AL136" s="149">
        <v>71.180000000000007</v>
      </c>
      <c r="AM136" s="149">
        <v>71.180000000000007</v>
      </c>
      <c r="AN136" s="149">
        <v>0</v>
      </c>
      <c r="AO136" s="149">
        <v>0</v>
      </c>
      <c r="AP136" s="149">
        <v>0</v>
      </c>
      <c r="AQ136" s="149">
        <v>0</v>
      </c>
      <c r="AR136" s="148">
        <v>0</v>
      </c>
      <c r="AS136" s="149">
        <v>0</v>
      </c>
      <c r="AT136" s="149">
        <v>0</v>
      </c>
      <c r="AU136" s="84"/>
      <c r="AV136" s="84"/>
      <c r="AW136" s="149">
        <v>0</v>
      </c>
      <c r="AX136" s="149">
        <v>933.28</v>
      </c>
      <c r="AY136" s="149" t="s">
        <v>100</v>
      </c>
      <c r="AZ136" s="149" t="s">
        <v>101</v>
      </c>
      <c r="BA136" s="149" t="s">
        <v>642</v>
      </c>
      <c r="BB136" s="149">
        <v>1126100059</v>
      </c>
      <c r="BC136" s="149" t="s">
        <v>105</v>
      </c>
      <c r="BD136" s="149" t="s">
        <v>103</v>
      </c>
      <c r="BE136" s="84"/>
      <c r="BF136" s="84" t="s">
        <v>270</v>
      </c>
      <c r="BG136" s="84" t="s">
        <v>281</v>
      </c>
      <c r="BH136" s="149" t="s">
        <v>290</v>
      </c>
      <c r="BI136" t="s">
        <v>155</v>
      </c>
      <c r="BJ136" t="s">
        <v>156</v>
      </c>
      <c r="BK136" t="s">
        <v>669</v>
      </c>
      <c r="BL136">
        <v>142.36000000000001</v>
      </c>
      <c r="BM136">
        <v>1420.5</v>
      </c>
      <c r="BN136">
        <v>-1278</v>
      </c>
      <c r="BO136" t="s">
        <v>154</v>
      </c>
      <c r="BP136">
        <v>9155609</v>
      </c>
      <c r="BQ136" t="s">
        <v>270</v>
      </c>
      <c r="BR136" t="s">
        <v>630</v>
      </c>
      <c r="BS136">
        <v>4</v>
      </c>
    </row>
    <row r="137" spans="1:71" s="0" customFormat="1" ht="14.5">
      <c r="A137" s="148" t="s">
        <v>157</v>
      </c>
      <c r="B137" s="149" t="s">
        <v>625</v>
      </c>
      <c r="C137" s="149">
        <v>107</v>
      </c>
      <c r="D137" s="149" t="s">
        <v>97</v>
      </c>
      <c r="E137" s="149" t="s">
        <v>98</v>
      </c>
      <c r="F137" s="84"/>
      <c r="G137" s="84"/>
      <c r="H137" s="149" t="s">
        <v>48</v>
      </c>
      <c r="I137" s="149" t="s">
        <v>158</v>
      </c>
      <c r="J137" s="149" t="s">
        <v>159</v>
      </c>
      <c r="K137" s="149" t="s">
        <v>163</v>
      </c>
      <c r="L137" s="149" t="s">
        <v>160</v>
      </c>
      <c r="M137" s="150">
        <v>46126</v>
      </c>
      <c r="N137" s="149" t="s">
        <v>668</v>
      </c>
      <c r="O137" s="148">
        <v>9155609</v>
      </c>
      <c r="P137" s="150">
        <v>46114</v>
      </c>
      <c r="Q137" s="149" t="s">
        <v>161</v>
      </c>
      <c r="R137" s="149">
        <v>2770</v>
      </c>
      <c r="S137" s="149" t="s">
        <v>299</v>
      </c>
      <c r="T137" s="149" t="s">
        <v>174</v>
      </c>
      <c r="U137" s="149" t="s">
        <v>175</v>
      </c>
      <c r="V137" s="149" t="s">
        <v>162</v>
      </c>
      <c r="W137" s="84"/>
      <c r="X137" s="149">
        <v>1</v>
      </c>
      <c r="Y137" s="149">
        <v>90</v>
      </c>
      <c r="Z137" s="149">
        <v>90</v>
      </c>
      <c r="AA137" s="149" t="s">
        <v>99</v>
      </c>
      <c r="AB137" s="149" t="s">
        <v>668</v>
      </c>
      <c r="AC137" s="150">
        <v>46114</v>
      </c>
      <c r="AD137" s="149" t="s">
        <v>171</v>
      </c>
      <c r="AE137" s="149">
        <v>84439952</v>
      </c>
      <c r="AF137" s="149" t="s">
        <v>452</v>
      </c>
      <c r="AG137" s="84"/>
      <c r="AH137" s="84"/>
      <c r="AI137" s="149">
        <v>90</v>
      </c>
      <c r="AJ137" s="149" t="s">
        <v>368</v>
      </c>
      <c r="AK137" s="149">
        <v>18</v>
      </c>
      <c r="AL137" s="149">
        <v>8.10</v>
      </c>
      <c r="AM137" s="149">
        <v>8.10</v>
      </c>
      <c r="AN137" s="149">
        <v>0</v>
      </c>
      <c r="AO137" s="149">
        <v>0</v>
      </c>
      <c r="AP137" s="149">
        <v>0</v>
      </c>
      <c r="AQ137" s="149">
        <v>0</v>
      </c>
      <c r="AR137" s="148">
        <v>0</v>
      </c>
      <c r="AS137" s="149">
        <v>0</v>
      </c>
      <c r="AT137" s="149">
        <v>0</v>
      </c>
      <c r="AU137" s="84"/>
      <c r="AV137" s="84"/>
      <c r="AW137" s="149">
        <v>0</v>
      </c>
      <c r="AX137" s="149">
        <v>106.20</v>
      </c>
      <c r="AY137" s="149" t="s">
        <v>100</v>
      </c>
      <c r="AZ137" s="149" t="s">
        <v>101</v>
      </c>
      <c r="BA137" s="149" t="s">
        <v>642</v>
      </c>
      <c r="BB137" s="149">
        <v>1126100059</v>
      </c>
      <c r="BC137" s="149" t="s">
        <v>105</v>
      </c>
      <c r="BD137" s="149" t="s">
        <v>103</v>
      </c>
      <c r="BE137" s="84"/>
      <c r="BF137" s="84" t="s">
        <v>270</v>
      </c>
      <c r="BG137" s="84" t="s">
        <v>281</v>
      </c>
      <c r="BH137" s="149" t="s">
        <v>290</v>
      </c>
      <c r="BI137" t="s">
        <v>155</v>
      </c>
      <c r="BJ137" t="s">
        <v>156</v>
      </c>
      <c r="BK137" t="s">
        <v>669</v>
      </c>
      <c r="BL137">
        <v>16.20</v>
      </c>
      <c r="BM137">
        <v>1420.5</v>
      </c>
      <c r="BN137">
        <v>-1404</v>
      </c>
      <c r="BO137" t="s">
        <v>154</v>
      </c>
      <c r="BP137">
        <v>9155609</v>
      </c>
      <c r="BQ137" t="s">
        <v>270</v>
      </c>
      <c r="BR137" t="s">
        <v>630</v>
      </c>
      <c r="BS137">
        <v>4</v>
      </c>
    </row>
    <row r="138" spans="1:71" s="0" customFormat="1" ht="14.5">
      <c r="A138" s="148" t="s">
        <v>157</v>
      </c>
      <c r="B138" s="149" t="s">
        <v>625</v>
      </c>
      <c r="C138" s="149">
        <v>107</v>
      </c>
      <c r="D138" s="149" t="s">
        <v>97</v>
      </c>
      <c r="E138" s="149" t="s">
        <v>98</v>
      </c>
      <c r="F138" s="84"/>
      <c r="G138" s="84"/>
      <c r="H138" s="149" t="s">
        <v>48</v>
      </c>
      <c r="I138" s="149" t="s">
        <v>158</v>
      </c>
      <c r="J138" s="149" t="s">
        <v>159</v>
      </c>
      <c r="K138" s="149" t="s">
        <v>163</v>
      </c>
      <c r="L138" s="149" t="s">
        <v>160</v>
      </c>
      <c r="M138" s="150">
        <v>46126</v>
      </c>
      <c r="N138" s="149" t="s">
        <v>857</v>
      </c>
      <c r="O138" s="148">
        <v>9155619</v>
      </c>
      <c r="P138" s="150">
        <v>46114</v>
      </c>
      <c r="Q138" s="149" t="s">
        <v>161</v>
      </c>
      <c r="R138" s="149">
        <v>2770</v>
      </c>
      <c r="S138" s="149" t="s">
        <v>299</v>
      </c>
      <c r="T138" s="149" t="s">
        <v>174</v>
      </c>
      <c r="U138" s="149" t="s">
        <v>175</v>
      </c>
      <c r="V138" s="149" t="s">
        <v>162</v>
      </c>
      <c r="W138" s="84"/>
      <c r="X138" s="149">
        <v>1</v>
      </c>
      <c r="Y138" s="149">
        <v>10</v>
      </c>
      <c r="Z138" s="149">
        <v>10</v>
      </c>
      <c r="AA138" s="149" t="s">
        <v>99</v>
      </c>
      <c r="AB138" s="149" t="s">
        <v>857</v>
      </c>
      <c r="AC138" s="150">
        <v>46114</v>
      </c>
      <c r="AD138" s="149" t="s">
        <v>171</v>
      </c>
      <c r="AE138" s="149">
        <v>998712</v>
      </c>
      <c r="AF138" s="149" t="s">
        <v>858</v>
      </c>
      <c r="AG138" s="84"/>
      <c r="AH138" s="84"/>
      <c r="AI138" s="149">
        <v>10</v>
      </c>
      <c r="AJ138" s="149" t="s">
        <v>368</v>
      </c>
      <c r="AK138" s="149">
        <v>18</v>
      </c>
      <c r="AL138" s="149">
        <v>0.90</v>
      </c>
      <c r="AM138" s="149">
        <v>0.90</v>
      </c>
      <c r="AN138" s="149">
        <v>0</v>
      </c>
      <c r="AO138" s="149">
        <v>0</v>
      </c>
      <c r="AP138" s="149">
        <v>0</v>
      </c>
      <c r="AQ138" s="149">
        <v>0</v>
      </c>
      <c r="AR138" s="148">
        <v>0</v>
      </c>
      <c r="AS138" s="149">
        <v>0</v>
      </c>
      <c r="AT138" s="149">
        <v>0</v>
      </c>
      <c r="AU138" s="84"/>
      <c r="AV138" s="84"/>
      <c r="AW138" s="149">
        <v>0</v>
      </c>
      <c r="AX138" s="149">
        <v>11.80</v>
      </c>
      <c r="AY138" s="149" t="s">
        <v>100</v>
      </c>
      <c r="AZ138" s="149" t="s">
        <v>101</v>
      </c>
      <c r="BA138" s="149" t="s">
        <v>642</v>
      </c>
      <c r="BB138" s="149">
        <v>1126100069</v>
      </c>
      <c r="BC138" s="149" t="s">
        <v>105</v>
      </c>
      <c r="BD138" s="149" t="s">
        <v>103</v>
      </c>
      <c r="BE138" s="84"/>
      <c r="BF138" s="84" t="s">
        <v>270</v>
      </c>
      <c r="BG138" s="84" t="s">
        <v>281</v>
      </c>
      <c r="BH138" s="149" t="s">
        <v>290</v>
      </c>
      <c r="BI138" t="s">
        <v>155</v>
      </c>
      <c r="BJ138" t="s">
        <v>156</v>
      </c>
      <c r="BK138" t="s">
        <v>859</v>
      </c>
      <c r="BL138">
        <v>1.80</v>
      </c>
      <c r="BM138">
        <v>5341.12</v>
      </c>
      <c r="BN138">
        <v>-5339</v>
      </c>
      <c r="BO138" t="s">
        <v>154</v>
      </c>
      <c r="BP138">
        <v>9155619</v>
      </c>
      <c r="BQ138" t="s">
        <v>270</v>
      </c>
      <c r="BR138" t="s">
        <v>630</v>
      </c>
      <c r="BS138">
        <v>4</v>
      </c>
    </row>
    <row r="139" spans="1:71" s="0" customFormat="1" ht="14.5">
      <c r="A139" s="148" t="s">
        <v>157</v>
      </c>
      <c r="B139" s="149" t="s">
        <v>625</v>
      </c>
      <c r="C139" s="149">
        <v>107</v>
      </c>
      <c r="D139" s="149" t="s">
        <v>97</v>
      </c>
      <c r="E139" s="149" t="s">
        <v>98</v>
      </c>
      <c r="F139" s="84"/>
      <c r="G139" s="84"/>
      <c r="H139" s="149" t="s">
        <v>48</v>
      </c>
      <c r="I139" s="149" t="s">
        <v>158</v>
      </c>
      <c r="J139" s="149" t="s">
        <v>159</v>
      </c>
      <c r="K139" s="149" t="s">
        <v>166</v>
      </c>
      <c r="L139" s="149" t="s">
        <v>160</v>
      </c>
      <c r="M139" s="150">
        <v>46139</v>
      </c>
      <c r="N139" s="149" t="s">
        <v>860</v>
      </c>
      <c r="O139" s="148">
        <v>9173874</v>
      </c>
      <c r="P139" s="150">
        <v>46113</v>
      </c>
      <c r="Q139" s="149" t="s">
        <v>161</v>
      </c>
      <c r="R139" s="149">
        <v>3734</v>
      </c>
      <c r="S139" s="149" t="s">
        <v>713</v>
      </c>
      <c r="T139" s="149" t="s">
        <v>169</v>
      </c>
      <c r="U139" s="149" t="s">
        <v>714</v>
      </c>
      <c r="V139" s="84"/>
      <c r="W139" s="84"/>
      <c r="X139" s="149">
        <v>0</v>
      </c>
      <c r="Y139" s="149">
        <v>0</v>
      </c>
      <c r="Z139" s="149">
        <v>125000</v>
      </c>
      <c r="AA139" s="149" t="s">
        <v>99</v>
      </c>
      <c r="AB139" s="149" t="s">
        <v>860</v>
      </c>
      <c r="AC139" s="150">
        <v>46113</v>
      </c>
      <c r="AD139" s="84"/>
      <c r="AE139" s="149">
        <v>999599</v>
      </c>
      <c r="AF139" s="149" t="s">
        <v>861</v>
      </c>
      <c r="AG139" s="84"/>
      <c r="AH139" s="84"/>
      <c r="AI139" s="149">
        <v>125000</v>
      </c>
      <c r="AJ139" s="149" t="s">
        <v>368</v>
      </c>
      <c r="AK139" s="149">
        <v>18</v>
      </c>
      <c r="AL139" s="149">
        <v>11250</v>
      </c>
      <c r="AM139" s="149">
        <v>11250</v>
      </c>
      <c r="AN139" s="149">
        <v>0</v>
      </c>
      <c r="AO139" s="149">
        <v>0</v>
      </c>
      <c r="AP139" s="149">
        <v>0</v>
      </c>
      <c r="AQ139" s="149">
        <v>0</v>
      </c>
      <c r="AR139" s="148">
        <v>0</v>
      </c>
      <c r="AS139" s="149">
        <v>0</v>
      </c>
      <c r="AT139" s="149">
        <v>0</v>
      </c>
      <c r="AU139" s="84"/>
      <c r="AV139" s="84"/>
      <c r="AW139" s="149">
        <v>0</v>
      </c>
      <c r="AX139" s="149">
        <v>147500</v>
      </c>
      <c r="AY139" s="149" t="s">
        <v>101</v>
      </c>
      <c r="AZ139" s="149" t="s">
        <v>101</v>
      </c>
      <c r="BA139" s="149" t="s">
        <v>862</v>
      </c>
      <c r="BB139" s="149">
        <v>1126100442</v>
      </c>
      <c r="BC139" s="149" t="s">
        <v>172</v>
      </c>
      <c r="BD139" s="149" t="s">
        <v>103</v>
      </c>
      <c r="BE139" s="84"/>
      <c r="BF139" s="84" t="s">
        <v>271</v>
      </c>
      <c r="BG139" s="84" t="s">
        <v>281</v>
      </c>
      <c r="BH139" s="149" t="s">
        <v>290</v>
      </c>
      <c r="BI139" t="s">
        <v>155</v>
      </c>
      <c r="BJ139" t="s">
        <v>156</v>
      </c>
      <c r="BK139" t="s">
        <v>863</v>
      </c>
      <c r="BL139">
        <v>22500</v>
      </c>
      <c r="BM139">
        <v>22500</v>
      </c>
      <c r="BN139">
        <v>0</v>
      </c>
      <c r="BO139" t="s">
        <v>154</v>
      </c>
      <c r="BP139">
        <v>9173874</v>
      </c>
      <c r="BQ139" t="s">
        <v>271</v>
      </c>
      <c r="BR139" t="s">
        <v>630</v>
      </c>
      <c r="BS139">
        <v>1</v>
      </c>
    </row>
    <row r="140" spans="1:71" s="0" customFormat="1" ht="14.5">
      <c r="A140" s="148" t="s">
        <v>157</v>
      </c>
      <c r="B140" s="149" t="s">
        <v>625</v>
      </c>
      <c r="C140" s="149">
        <v>107</v>
      </c>
      <c r="D140" s="149" t="s">
        <v>97</v>
      </c>
      <c r="E140" s="149" t="s">
        <v>98</v>
      </c>
      <c r="F140" s="84"/>
      <c r="G140" s="84"/>
      <c r="H140" s="149" t="s">
        <v>48</v>
      </c>
      <c r="I140" s="149" t="s">
        <v>158</v>
      </c>
      <c r="J140" s="149" t="s">
        <v>159</v>
      </c>
      <c r="K140" s="149" t="s">
        <v>163</v>
      </c>
      <c r="L140" s="149" t="s">
        <v>160</v>
      </c>
      <c r="M140" s="150">
        <v>46141</v>
      </c>
      <c r="N140" s="157">
        <v>46082</v>
      </c>
      <c r="O140" s="148">
        <v>9178114</v>
      </c>
      <c r="P140" s="150">
        <v>46127</v>
      </c>
      <c r="Q140" s="149" t="s">
        <v>161</v>
      </c>
      <c r="R140" s="149">
        <v>5093</v>
      </c>
      <c r="S140" s="149" t="s">
        <v>358</v>
      </c>
      <c r="T140" s="149" t="s">
        <v>153</v>
      </c>
      <c r="U140" s="149" t="s">
        <v>359</v>
      </c>
      <c r="V140" s="149" t="s">
        <v>162</v>
      </c>
      <c r="W140" s="84"/>
      <c r="X140" s="149">
        <v>1</v>
      </c>
      <c r="Y140" s="149">
        <v>3600</v>
      </c>
      <c r="Z140" s="149">
        <v>3600</v>
      </c>
      <c r="AA140" s="149" t="s">
        <v>99</v>
      </c>
      <c r="AB140" s="149">
        <v>3</v>
      </c>
      <c r="AC140" s="150">
        <v>46127</v>
      </c>
      <c r="AD140" s="149" t="s">
        <v>173</v>
      </c>
      <c r="AE140" s="149">
        <v>8543</v>
      </c>
      <c r="AF140" s="149" t="s">
        <v>864</v>
      </c>
      <c r="AG140" s="84"/>
      <c r="AH140" s="84"/>
      <c r="AI140" s="149">
        <v>3600</v>
      </c>
      <c r="AJ140" s="149" t="s">
        <v>368</v>
      </c>
      <c r="AK140" s="149">
        <v>18</v>
      </c>
      <c r="AL140" s="149">
        <v>324</v>
      </c>
      <c r="AM140" s="149">
        <v>324</v>
      </c>
      <c r="AN140" s="149">
        <v>0</v>
      </c>
      <c r="AO140" s="149">
        <v>0</v>
      </c>
      <c r="AP140" s="149">
        <v>0</v>
      </c>
      <c r="AQ140" s="149">
        <v>0</v>
      </c>
      <c r="AR140" s="148">
        <v>0</v>
      </c>
      <c r="AS140" s="149">
        <v>0</v>
      </c>
      <c r="AT140" s="149">
        <v>0</v>
      </c>
      <c r="AU140" s="84"/>
      <c r="AV140" s="84"/>
      <c r="AW140" s="149">
        <v>0</v>
      </c>
      <c r="AX140" s="149">
        <v>4248</v>
      </c>
      <c r="AY140" s="149" t="s">
        <v>100</v>
      </c>
      <c r="AZ140" s="149" t="s">
        <v>101</v>
      </c>
      <c r="BA140" s="149" t="s">
        <v>356</v>
      </c>
      <c r="BB140" s="149">
        <v>1126100466</v>
      </c>
      <c r="BC140" s="149" t="s">
        <v>105</v>
      </c>
      <c r="BD140" s="149" t="s">
        <v>104</v>
      </c>
      <c r="BE140" s="84"/>
      <c r="BF140" s="84" t="s">
        <v>270</v>
      </c>
      <c r="BG140" s="84" t="s">
        <v>281</v>
      </c>
      <c r="BH140" s="149" t="s">
        <v>289</v>
      </c>
      <c r="BI140" t="s">
        <v>155</v>
      </c>
      <c r="BJ140" t="s">
        <v>156</v>
      </c>
      <c r="BK140" t="s">
        <v>698</v>
      </c>
      <c r="BL140">
        <v>648</v>
      </c>
      <c r="BM140">
        <v>1584</v>
      </c>
      <c r="BN140">
        <v>-936</v>
      </c>
      <c r="BO140" t="s">
        <v>154</v>
      </c>
      <c r="BP140">
        <v>9178114</v>
      </c>
      <c r="BQ140" t="s">
        <v>270</v>
      </c>
      <c r="BR140" t="s">
        <v>630</v>
      </c>
      <c r="BS140">
        <v>3</v>
      </c>
    </row>
    <row r="141" spans="1:71" s="0" customFormat="1" ht="14.5">
      <c r="A141" s="148" t="s">
        <v>157</v>
      </c>
      <c r="B141" s="149" t="s">
        <v>625</v>
      </c>
      <c r="C141" s="149">
        <v>107</v>
      </c>
      <c r="D141" s="149" t="s">
        <v>97</v>
      </c>
      <c r="E141" s="149" t="s">
        <v>98</v>
      </c>
      <c r="F141" s="84"/>
      <c r="G141" s="84"/>
      <c r="H141" s="149" t="s">
        <v>48</v>
      </c>
      <c r="I141" s="149" t="s">
        <v>158</v>
      </c>
      <c r="J141" s="149" t="s">
        <v>159</v>
      </c>
      <c r="K141" s="149" t="s">
        <v>163</v>
      </c>
      <c r="L141" s="149" t="s">
        <v>160</v>
      </c>
      <c r="M141" s="150">
        <v>46126</v>
      </c>
      <c r="N141" s="149" t="s">
        <v>744</v>
      </c>
      <c r="O141" s="148">
        <v>9155618</v>
      </c>
      <c r="P141" s="150">
        <v>46114</v>
      </c>
      <c r="Q141" s="149" t="s">
        <v>161</v>
      </c>
      <c r="R141" s="149">
        <v>2770</v>
      </c>
      <c r="S141" s="149" t="s">
        <v>299</v>
      </c>
      <c r="T141" s="149" t="s">
        <v>174</v>
      </c>
      <c r="U141" s="149" t="s">
        <v>175</v>
      </c>
      <c r="V141" s="149" t="s">
        <v>162</v>
      </c>
      <c r="W141" s="84"/>
      <c r="X141" s="149">
        <v>1</v>
      </c>
      <c r="Y141" s="149">
        <v>4138.20</v>
      </c>
      <c r="Z141" s="149">
        <v>4138.20</v>
      </c>
      <c r="AA141" s="149" t="s">
        <v>99</v>
      </c>
      <c r="AB141" s="149" t="s">
        <v>744</v>
      </c>
      <c r="AC141" s="150">
        <v>46114</v>
      </c>
      <c r="AD141" s="149" t="s">
        <v>171</v>
      </c>
      <c r="AE141" s="149">
        <v>84439952</v>
      </c>
      <c r="AF141" s="149" t="s">
        <v>444</v>
      </c>
      <c r="AG141" s="84"/>
      <c r="AH141" s="84"/>
      <c r="AI141" s="149">
        <v>4138.20</v>
      </c>
      <c r="AJ141" s="149" t="s">
        <v>368</v>
      </c>
      <c r="AK141" s="149">
        <v>18</v>
      </c>
      <c r="AL141" s="149">
        <v>372.44</v>
      </c>
      <c r="AM141" s="149">
        <v>372.44</v>
      </c>
      <c r="AN141" s="149">
        <v>0</v>
      </c>
      <c r="AO141" s="149">
        <v>0</v>
      </c>
      <c r="AP141" s="149">
        <v>0</v>
      </c>
      <c r="AQ141" s="149">
        <v>0</v>
      </c>
      <c r="AR141" s="148">
        <v>0</v>
      </c>
      <c r="AS141" s="149">
        <v>0</v>
      </c>
      <c r="AT141" s="149">
        <v>0</v>
      </c>
      <c r="AU141" s="84"/>
      <c r="AV141" s="84"/>
      <c r="AW141" s="149">
        <v>0</v>
      </c>
      <c r="AX141" s="149">
        <v>4883.08</v>
      </c>
      <c r="AY141" s="149" t="s">
        <v>100</v>
      </c>
      <c r="AZ141" s="149" t="s">
        <v>101</v>
      </c>
      <c r="BA141" s="149" t="s">
        <v>642</v>
      </c>
      <c r="BB141" s="149">
        <v>1126100068</v>
      </c>
      <c r="BC141" s="149" t="s">
        <v>105</v>
      </c>
      <c r="BD141" s="149" t="s">
        <v>103</v>
      </c>
      <c r="BE141" s="84"/>
      <c r="BF141" s="84" t="s">
        <v>270</v>
      </c>
      <c r="BG141" s="84" t="s">
        <v>281</v>
      </c>
      <c r="BH141" s="149" t="s">
        <v>290</v>
      </c>
      <c r="BI141" t="s">
        <v>155</v>
      </c>
      <c r="BJ141" t="s">
        <v>156</v>
      </c>
      <c r="BK141" t="s">
        <v>745</v>
      </c>
      <c r="BL141">
        <v>744.88</v>
      </c>
      <c r="BM141">
        <v>840.10</v>
      </c>
      <c r="BN141">
        <v>-95</v>
      </c>
      <c r="BO141" t="s">
        <v>154</v>
      </c>
      <c r="BP141">
        <v>9155618</v>
      </c>
      <c r="BQ141" t="s">
        <v>270</v>
      </c>
      <c r="BR141" t="s">
        <v>630</v>
      </c>
      <c r="BS141">
        <v>3</v>
      </c>
    </row>
    <row r="142" spans="1:71" s="0" customFormat="1" ht="14.5">
      <c r="A142" s="148" t="s">
        <v>157</v>
      </c>
      <c r="B142" s="149" t="s">
        <v>625</v>
      </c>
      <c r="C142" s="149">
        <v>107</v>
      </c>
      <c r="D142" s="149" t="s">
        <v>97</v>
      </c>
      <c r="E142" s="149" t="s">
        <v>98</v>
      </c>
      <c r="F142" s="84"/>
      <c r="G142" s="84"/>
      <c r="H142" s="149" t="s">
        <v>48</v>
      </c>
      <c r="I142" s="149" t="s">
        <v>158</v>
      </c>
      <c r="J142" s="149" t="s">
        <v>159</v>
      </c>
      <c r="K142" s="149" t="s">
        <v>163</v>
      </c>
      <c r="L142" s="149" t="s">
        <v>160</v>
      </c>
      <c r="M142" s="150">
        <v>46136</v>
      </c>
      <c r="N142" s="149" t="s">
        <v>865</v>
      </c>
      <c r="O142" s="148">
        <v>9168299</v>
      </c>
      <c r="P142" s="150">
        <v>46127</v>
      </c>
      <c r="Q142" s="149" t="s">
        <v>161</v>
      </c>
      <c r="R142" s="149">
        <v>14097</v>
      </c>
      <c r="S142" s="149" t="s">
        <v>866</v>
      </c>
      <c r="T142" s="149" t="s">
        <v>153</v>
      </c>
      <c r="U142" s="149" t="s">
        <v>867</v>
      </c>
      <c r="V142" s="149" t="s">
        <v>162</v>
      </c>
      <c r="W142" s="84"/>
      <c r="X142" s="149">
        <v>2000</v>
      </c>
      <c r="Y142" s="149">
        <v>1</v>
      </c>
      <c r="Z142" s="149">
        <v>2000</v>
      </c>
      <c r="AA142" s="149" t="s">
        <v>99</v>
      </c>
      <c r="AB142" s="149" t="s">
        <v>865</v>
      </c>
      <c r="AC142" s="150">
        <v>46127</v>
      </c>
      <c r="AD142" s="149" t="s">
        <v>164</v>
      </c>
      <c r="AE142" s="149">
        <v>998712</v>
      </c>
      <c r="AF142" s="149" t="s">
        <v>868</v>
      </c>
      <c r="AG142" s="84"/>
      <c r="AH142" s="84"/>
      <c r="AI142" s="149">
        <v>2000</v>
      </c>
      <c r="AJ142" s="149" t="s">
        <v>368</v>
      </c>
      <c r="AK142" s="149">
        <v>18</v>
      </c>
      <c r="AL142" s="149">
        <v>180</v>
      </c>
      <c r="AM142" s="149">
        <v>180</v>
      </c>
      <c r="AN142" s="149">
        <v>0</v>
      </c>
      <c r="AO142" s="149">
        <v>0</v>
      </c>
      <c r="AP142" s="149">
        <v>0</v>
      </c>
      <c r="AQ142" s="149">
        <v>0</v>
      </c>
      <c r="AR142" s="148">
        <v>0</v>
      </c>
      <c r="AS142" s="149">
        <v>0</v>
      </c>
      <c r="AT142" s="149">
        <v>0</v>
      </c>
      <c r="AU142" s="84"/>
      <c r="AV142" s="84"/>
      <c r="AW142" s="149">
        <v>0</v>
      </c>
      <c r="AX142" s="149">
        <v>2360</v>
      </c>
      <c r="AY142" s="149" t="s">
        <v>100</v>
      </c>
      <c r="AZ142" s="149" t="s">
        <v>101</v>
      </c>
      <c r="BA142" s="149" t="s">
        <v>276</v>
      </c>
      <c r="BB142" s="149">
        <v>1126100392</v>
      </c>
      <c r="BC142" s="149" t="s">
        <v>105</v>
      </c>
      <c r="BD142" s="149" t="s">
        <v>103</v>
      </c>
      <c r="BE142" s="84"/>
      <c r="BF142" s="84" t="s">
        <v>270</v>
      </c>
      <c r="BG142" s="84" t="s">
        <v>281</v>
      </c>
      <c r="BH142" s="149" t="s">
        <v>289</v>
      </c>
      <c r="BI142" t="s">
        <v>155</v>
      </c>
      <c r="BJ142" t="s">
        <v>156</v>
      </c>
      <c r="BK142" t="s">
        <v>869</v>
      </c>
      <c r="BL142">
        <v>360</v>
      </c>
      <c r="BM142">
        <v>2952</v>
      </c>
      <c r="BN142">
        <v>-2592</v>
      </c>
      <c r="BO142" t="s">
        <v>154</v>
      </c>
      <c r="BP142">
        <v>9168299</v>
      </c>
      <c r="BQ142" t="s">
        <v>270</v>
      </c>
      <c r="BR142" t="s">
        <v>630</v>
      </c>
      <c r="BS142">
        <v>4</v>
      </c>
    </row>
    <row r="143" spans="1:71" s="0" customFormat="1" ht="14.5">
      <c r="A143" s="148" t="s">
        <v>157</v>
      </c>
      <c r="B143" s="149" t="s">
        <v>625</v>
      </c>
      <c r="C143" s="149">
        <v>107</v>
      </c>
      <c r="D143" s="149" t="s">
        <v>97</v>
      </c>
      <c r="E143" s="149" t="s">
        <v>98</v>
      </c>
      <c r="F143" s="84"/>
      <c r="G143" s="84"/>
      <c r="H143" s="149" t="s">
        <v>48</v>
      </c>
      <c r="I143" s="149" t="s">
        <v>158</v>
      </c>
      <c r="J143" s="149" t="s">
        <v>159</v>
      </c>
      <c r="K143" s="149" t="s">
        <v>166</v>
      </c>
      <c r="L143" s="149" t="s">
        <v>160</v>
      </c>
      <c r="M143" s="150">
        <v>46142</v>
      </c>
      <c r="N143" s="149" t="s">
        <v>870</v>
      </c>
      <c r="O143" s="148">
        <v>9177649</v>
      </c>
      <c r="P143" s="150">
        <v>46087</v>
      </c>
      <c r="Q143" s="149" t="s">
        <v>161</v>
      </c>
      <c r="R143" s="149">
        <v>11570</v>
      </c>
      <c r="S143" s="149" t="s">
        <v>343</v>
      </c>
      <c r="T143" s="149" t="s">
        <v>349</v>
      </c>
      <c r="U143" s="149" t="s">
        <v>350</v>
      </c>
      <c r="V143" s="84"/>
      <c r="W143" s="84"/>
      <c r="X143" s="149">
        <v>0</v>
      </c>
      <c r="Y143" s="149">
        <v>0</v>
      </c>
      <c r="Z143" s="149">
        <v>121080.20</v>
      </c>
      <c r="AA143" s="149" t="s">
        <v>99</v>
      </c>
      <c r="AB143" s="149" t="s">
        <v>870</v>
      </c>
      <c r="AC143" s="150">
        <v>46087</v>
      </c>
      <c r="AD143" s="84"/>
      <c r="AE143" s="149">
        <v>9971</v>
      </c>
      <c r="AF143" s="149" t="s">
        <v>871</v>
      </c>
      <c r="AG143" s="84"/>
      <c r="AH143" s="84"/>
      <c r="AI143" s="149">
        <v>121080.20</v>
      </c>
      <c r="AJ143" s="149" t="s">
        <v>368</v>
      </c>
      <c r="AK143" s="149">
        <v>18</v>
      </c>
      <c r="AL143" s="149">
        <v>0</v>
      </c>
      <c r="AM143" s="149">
        <v>0</v>
      </c>
      <c r="AN143" s="149">
        <v>21794.44</v>
      </c>
      <c r="AO143" s="149">
        <v>0</v>
      </c>
      <c r="AP143" s="149">
        <v>0</v>
      </c>
      <c r="AQ143" s="149">
        <v>0</v>
      </c>
      <c r="AR143" s="148">
        <v>0</v>
      </c>
      <c r="AS143" s="149">
        <v>0</v>
      </c>
      <c r="AT143" s="149">
        <v>0</v>
      </c>
      <c r="AU143" s="84"/>
      <c r="AV143" s="84"/>
      <c r="AW143" s="149">
        <v>0</v>
      </c>
      <c r="AX143" s="149">
        <v>142874.64000000001</v>
      </c>
      <c r="AY143" s="149" t="s">
        <v>101</v>
      </c>
      <c r="AZ143" s="149" t="s">
        <v>101</v>
      </c>
      <c r="BA143" s="149" t="s">
        <v>642</v>
      </c>
      <c r="BB143" s="149">
        <v>1126100473</v>
      </c>
      <c r="BC143" s="149" t="s">
        <v>168</v>
      </c>
      <c r="BD143" s="149" t="s">
        <v>103</v>
      </c>
      <c r="BE143" s="84"/>
      <c r="BF143" s="84" t="s">
        <v>271</v>
      </c>
      <c r="BG143" s="84" t="s">
        <v>281</v>
      </c>
      <c r="BH143" s="149" t="s">
        <v>290</v>
      </c>
      <c r="BI143" t="s">
        <v>155</v>
      </c>
      <c r="BJ143" t="s">
        <v>156</v>
      </c>
      <c r="BK143" t="s">
        <v>872</v>
      </c>
      <c r="BL143">
        <v>21794.44</v>
      </c>
      <c r="BM143">
        <v>21795</v>
      </c>
      <c r="BN143">
        <v>-1</v>
      </c>
      <c r="BO143" t="s">
        <v>154</v>
      </c>
      <c r="BP143">
        <v>9177649</v>
      </c>
      <c r="BQ143" t="s">
        <v>271</v>
      </c>
      <c r="BR143" t="s">
        <v>307</v>
      </c>
      <c r="BS143">
        <v>1</v>
      </c>
    </row>
    <row r="144" spans="1:71" s="0" customFormat="1" ht="14.5">
      <c r="A144" s="148" t="s">
        <v>157</v>
      </c>
      <c r="B144" s="149" t="s">
        <v>625</v>
      </c>
      <c r="C144" s="149">
        <v>107</v>
      </c>
      <c r="D144" s="149" t="s">
        <v>97</v>
      </c>
      <c r="E144" s="149" t="s">
        <v>98</v>
      </c>
      <c r="F144" s="84"/>
      <c r="G144" s="84"/>
      <c r="H144" s="149" t="s">
        <v>48</v>
      </c>
      <c r="I144" s="149" t="s">
        <v>158</v>
      </c>
      <c r="J144" s="149" t="s">
        <v>159</v>
      </c>
      <c r="K144" s="149" t="s">
        <v>163</v>
      </c>
      <c r="L144" s="149" t="s">
        <v>160</v>
      </c>
      <c r="M144" s="150">
        <v>46141</v>
      </c>
      <c r="N144" s="149" t="s">
        <v>849</v>
      </c>
      <c r="O144" s="148">
        <v>9177451</v>
      </c>
      <c r="P144" s="150">
        <v>46112</v>
      </c>
      <c r="Q144" s="149" t="s">
        <v>161</v>
      </c>
      <c r="R144" s="149">
        <v>36105</v>
      </c>
      <c r="S144" s="149" t="s">
        <v>342</v>
      </c>
      <c r="T144" s="149" t="s">
        <v>169</v>
      </c>
      <c r="U144" s="84"/>
      <c r="V144" s="149" t="s">
        <v>162</v>
      </c>
      <c r="W144" s="84"/>
      <c r="X144" s="149">
        <v>690</v>
      </c>
      <c r="Y144" s="149">
        <v>1</v>
      </c>
      <c r="Z144" s="149">
        <v>690</v>
      </c>
      <c r="AA144" s="149" t="s">
        <v>99</v>
      </c>
      <c r="AB144" s="149" t="s">
        <v>850</v>
      </c>
      <c r="AC144" s="150">
        <v>46112</v>
      </c>
      <c r="AD144" s="84"/>
      <c r="AE144" s="149">
        <v>998213</v>
      </c>
      <c r="AF144" s="149" t="s">
        <v>393</v>
      </c>
      <c r="AG144" s="84"/>
      <c r="AH144" s="84"/>
      <c r="AI144" s="149">
        <v>690</v>
      </c>
      <c r="AJ144" s="149" t="s">
        <v>368</v>
      </c>
      <c r="AK144" s="149">
        <v>18</v>
      </c>
      <c r="AL144" s="149">
        <v>62.10</v>
      </c>
      <c r="AM144" s="149">
        <v>62.10</v>
      </c>
      <c r="AN144" s="149">
        <v>0</v>
      </c>
      <c r="AO144" s="149">
        <v>0</v>
      </c>
      <c r="AP144" s="149">
        <v>0</v>
      </c>
      <c r="AQ144" s="149">
        <v>0</v>
      </c>
      <c r="AR144" s="148">
        <v>0</v>
      </c>
      <c r="AS144" s="149">
        <v>0</v>
      </c>
      <c r="AT144" s="149">
        <v>0</v>
      </c>
      <c r="AU144" s="84"/>
      <c r="AV144" s="84"/>
      <c r="AW144" s="149">
        <v>0</v>
      </c>
      <c r="AX144" s="149">
        <v>814.20</v>
      </c>
      <c r="AY144" s="149" t="s">
        <v>100</v>
      </c>
      <c r="AZ144" s="149" t="s">
        <v>100</v>
      </c>
      <c r="BA144" s="149" t="s">
        <v>642</v>
      </c>
      <c r="BB144" s="149">
        <v>1126100458</v>
      </c>
      <c r="BC144" s="149" t="s">
        <v>188</v>
      </c>
      <c r="BD144" s="149" t="s">
        <v>103</v>
      </c>
      <c r="BE144" s="84"/>
      <c r="BF144" s="84" t="s">
        <v>210</v>
      </c>
      <c r="BG144" s="84" t="s">
        <v>280</v>
      </c>
      <c r="BH144" s="149" t="s">
        <v>289</v>
      </c>
      <c r="BI144" t="s">
        <v>155</v>
      </c>
      <c r="BJ144" t="s">
        <v>156</v>
      </c>
      <c r="BK144" t="s">
        <v>850</v>
      </c>
      <c r="BL144">
        <v>124.20</v>
      </c>
      <c r="BM144" t="e">
        <v>#N/A</v>
      </c>
      <c r="BN144" t="e">
        <v>#N/A</v>
      </c>
      <c r="BO144" t="s">
        <v>199</v>
      </c>
      <c r="BP144">
        <v>9177451</v>
      </c>
      <c r="BQ144" t="s">
        <v>210</v>
      </c>
      <c r="BR144" t="s">
        <v>199</v>
      </c>
      <c r="BS144">
        <v>2</v>
      </c>
    </row>
    <row r="145" spans="1:71" s="0" customFormat="1" ht="14.5">
      <c r="A145" s="148" t="s">
        <v>157</v>
      </c>
      <c r="B145" s="149" t="s">
        <v>625</v>
      </c>
      <c r="C145" s="149">
        <v>107</v>
      </c>
      <c r="D145" s="149" t="s">
        <v>97</v>
      </c>
      <c r="E145" s="149" t="s">
        <v>98</v>
      </c>
      <c r="F145" s="84"/>
      <c r="G145" s="84"/>
      <c r="H145" s="149" t="s">
        <v>48</v>
      </c>
      <c r="I145" s="149" t="s">
        <v>158</v>
      </c>
      <c r="J145" s="149" t="s">
        <v>159</v>
      </c>
      <c r="K145" s="149" t="s">
        <v>163</v>
      </c>
      <c r="L145" s="149" t="s">
        <v>160</v>
      </c>
      <c r="M145" s="150">
        <v>46125</v>
      </c>
      <c r="N145" s="149">
        <v>252601606</v>
      </c>
      <c r="O145" s="148">
        <v>9153960</v>
      </c>
      <c r="P145" s="150">
        <v>46082</v>
      </c>
      <c r="Q145" s="149" t="s">
        <v>161</v>
      </c>
      <c r="R145" s="149">
        <v>20046</v>
      </c>
      <c r="S145" s="149" t="s">
        <v>390</v>
      </c>
      <c r="T145" s="149" t="s">
        <v>153</v>
      </c>
      <c r="U145" s="149" t="s">
        <v>391</v>
      </c>
      <c r="V145" s="149" t="s">
        <v>162</v>
      </c>
      <c r="W145" s="84"/>
      <c r="X145" s="149">
        <v>2500</v>
      </c>
      <c r="Y145" s="149">
        <v>1</v>
      </c>
      <c r="Z145" s="149">
        <v>2500</v>
      </c>
      <c r="AA145" s="149" t="s">
        <v>99</v>
      </c>
      <c r="AB145" s="149">
        <v>252601606</v>
      </c>
      <c r="AC145" s="150">
        <v>46082</v>
      </c>
      <c r="AD145" s="84"/>
      <c r="AE145" s="149">
        <v>998422</v>
      </c>
      <c r="AF145" s="149" t="s">
        <v>873</v>
      </c>
      <c r="AG145" s="84"/>
      <c r="AH145" s="84"/>
      <c r="AI145" s="149">
        <v>2500</v>
      </c>
      <c r="AJ145" s="149" t="s">
        <v>368</v>
      </c>
      <c r="AK145" s="149">
        <v>18</v>
      </c>
      <c r="AL145" s="149">
        <v>225</v>
      </c>
      <c r="AM145" s="149">
        <v>225</v>
      </c>
      <c r="AN145" s="149">
        <v>0</v>
      </c>
      <c r="AO145" s="149">
        <v>0</v>
      </c>
      <c r="AP145" s="149">
        <v>0</v>
      </c>
      <c r="AQ145" s="149">
        <v>0</v>
      </c>
      <c r="AR145" s="148">
        <v>0</v>
      </c>
      <c r="AS145" s="149">
        <v>0</v>
      </c>
      <c r="AT145" s="149">
        <v>0</v>
      </c>
      <c r="AU145" s="84"/>
      <c r="AV145" s="84"/>
      <c r="AW145" s="149">
        <v>0</v>
      </c>
      <c r="AX145" s="149">
        <v>2950</v>
      </c>
      <c r="AY145" s="149" t="s">
        <v>101</v>
      </c>
      <c r="AZ145" s="149" t="s">
        <v>101</v>
      </c>
      <c r="BA145" s="149" t="s">
        <v>392</v>
      </c>
      <c r="BB145" s="149">
        <v>1126100029</v>
      </c>
      <c r="BC145" s="149" t="s">
        <v>172</v>
      </c>
      <c r="BD145" s="149" t="s">
        <v>103</v>
      </c>
      <c r="BE145" s="84"/>
      <c r="BF145" s="84" t="s">
        <v>271</v>
      </c>
      <c r="BG145" s="84" t="s">
        <v>281</v>
      </c>
      <c r="BH145" s="149" t="s">
        <v>289</v>
      </c>
      <c r="BI145" t="s">
        <v>155</v>
      </c>
      <c r="BJ145" t="s">
        <v>156</v>
      </c>
      <c r="BK145" t="s">
        <v>874</v>
      </c>
      <c r="BL145">
        <v>450</v>
      </c>
      <c r="BM145">
        <v>450</v>
      </c>
      <c r="BN145">
        <v>0</v>
      </c>
      <c r="BO145" t="s">
        <v>154</v>
      </c>
      <c r="BP145">
        <v>9153960</v>
      </c>
      <c r="BQ145" t="s">
        <v>271</v>
      </c>
      <c r="BR145" t="s">
        <v>307</v>
      </c>
      <c r="BS145">
        <v>1</v>
      </c>
    </row>
    <row r="146" spans="1:71" s="0" customFormat="1" ht="14.5">
      <c r="A146" s="148" t="s">
        <v>157</v>
      </c>
      <c r="B146" s="149" t="s">
        <v>625</v>
      </c>
      <c r="C146" s="149">
        <v>107</v>
      </c>
      <c r="D146" s="149" t="s">
        <v>97</v>
      </c>
      <c r="E146" s="149" t="s">
        <v>98</v>
      </c>
      <c r="F146" s="84"/>
      <c r="G146" s="84"/>
      <c r="H146" s="149" t="s">
        <v>48</v>
      </c>
      <c r="I146" s="149" t="s">
        <v>158</v>
      </c>
      <c r="J146" s="149" t="s">
        <v>159</v>
      </c>
      <c r="K146" s="149" t="s">
        <v>163</v>
      </c>
      <c r="L146" s="149" t="s">
        <v>160</v>
      </c>
      <c r="M146" s="150">
        <v>46133</v>
      </c>
      <c r="N146" s="149" t="s">
        <v>797</v>
      </c>
      <c r="O146" s="148">
        <v>9164021</v>
      </c>
      <c r="P146" s="150">
        <v>46108</v>
      </c>
      <c r="Q146" s="149" t="s">
        <v>161</v>
      </c>
      <c r="R146" s="149">
        <v>45456</v>
      </c>
      <c r="S146" s="149" t="s">
        <v>418</v>
      </c>
      <c r="T146" s="149" t="s">
        <v>419</v>
      </c>
      <c r="U146" s="84"/>
      <c r="V146" s="84"/>
      <c r="W146" s="84"/>
      <c r="X146" s="149">
        <v>25000</v>
      </c>
      <c r="Y146" s="149">
        <v>1</v>
      </c>
      <c r="Z146" s="149">
        <v>25000</v>
      </c>
      <c r="AA146" s="149" t="s">
        <v>99</v>
      </c>
      <c r="AB146" s="149" t="s">
        <v>797</v>
      </c>
      <c r="AC146" s="150">
        <v>46108</v>
      </c>
      <c r="AD146" s="84"/>
      <c r="AE146" s="149">
        <v>998216</v>
      </c>
      <c r="AF146" s="149" t="s">
        <v>875</v>
      </c>
      <c r="AG146" s="84"/>
      <c r="AH146" s="84"/>
      <c r="AI146" s="149">
        <v>25000</v>
      </c>
      <c r="AJ146" s="149" t="s">
        <v>368</v>
      </c>
      <c r="AK146" s="149">
        <v>18</v>
      </c>
      <c r="AL146" s="149">
        <v>2250</v>
      </c>
      <c r="AM146" s="149">
        <v>2250</v>
      </c>
      <c r="AN146" s="149">
        <v>0</v>
      </c>
      <c r="AO146" s="149">
        <v>0</v>
      </c>
      <c r="AP146" s="149">
        <v>0</v>
      </c>
      <c r="AQ146" s="149">
        <v>0</v>
      </c>
      <c r="AR146" s="148">
        <v>0</v>
      </c>
      <c r="AS146" s="149">
        <v>0</v>
      </c>
      <c r="AT146" s="149">
        <v>0</v>
      </c>
      <c r="AU146" s="84"/>
      <c r="AV146" s="84"/>
      <c r="AW146" s="149">
        <v>0</v>
      </c>
      <c r="AX146" s="149">
        <v>29500</v>
      </c>
      <c r="AY146" s="149" t="s">
        <v>100</v>
      </c>
      <c r="AZ146" s="149" t="s">
        <v>100</v>
      </c>
      <c r="BA146" s="149" t="s">
        <v>642</v>
      </c>
      <c r="BB146" s="149">
        <v>1125113944</v>
      </c>
      <c r="BC146" s="149" t="s">
        <v>188</v>
      </c>
      <c r="BD146" s="149" t="s">
        <v>103</v>
      </c>
      <c r="BE146" s="84"/>
      <c r="BF146" s="84" t="s">
        <v>210</v>
      </c>
      <c r="BG146" s="84" t="s">
        <v>280</v>
      </c>
      <c r="BH146" s="149" t="s">
        <v>289</v>
      </c>
      <c r="BI146" t="s">
        <v>155</v>
      </c>
      <c r="BJ146" t="s">
        <v>156</v>
      </c>
      <c r="BK146" t="s">
        <v>797</v>
      </c>
      <c r="BL146">
        <v>4500</v>
      </c>
      <c r="BM146" t="e">
        <v>#N/A</v>
      </c>
      <c r="BN146" t="e">
        <v>#N/A</v>
      </c>
      <c r="BO146" t="s">
        <v>199</v>
      </c>
      <c r="BP146">
        <v>9164021</v>
      </c>
      <c r="BQ146" t="s">
        <v>210</v>
      </c>
      <c r="BR146" t="s">
        <v>199</v>
      </c>
      <c r="BS146">
        <v>5</v>
      </c>
    </row>
    <row r="147" spans="1:71" s="0" customFormat="1" ht="14.5">
      <c r="A147" s="148" t="s">
        <v>157</v>
      </c>
      <c r="B147" s="149" t="s">
        <v>625</v>
      </c>
      <c r="C147" s="149">
        <v>107</v>
      </c>
      <c r="D147" s="149" t="s">
        <v>97</v>
      </c>
      <c r="E147" s="149" t="s">
        <v>98</v>
      </c>
      <c r="F147" s="84"/>
      <c r="G147" s="84"/>
      <c r="H147" s="149" t="s">
        <v>48</v>
      </c>
      <c r="I147" s="149" t="s">
        <v>158</v>
      </c>
      <c r="J147" s="149" t="s">
        <v>159</v>
      </c>
      <c r="K147" s="149" t="s">
        <v>163</v>
      </c>
      <c r="L147" s="149" t="s">
        <v>160</v>
      </c>
      <c r="M147" s="150">
        <v>46126</v>
      </c>
      <c r="N147" s="149" t="s">
        <v>670</v>
      </c>
      <c r="O147" s="148">
        <v>9155615</v>
      </c>
      <c r="P147" s="150">
        <v>46114</v>
      </c>
      <c r="Q147" s="149" t="s">
        <v>161</v>
      </c>
      <c r="R147" s="149">
        <v>2770</v>
      </c>
      <c r="S147" s="149" t="s">
        <v>299</v>
      </c>
      <c r="T147" s="149" t="s">
        <v>174</v>
      </c>
      <c r="U147" s="149" t="s">
        <v>175</v>
      </c>
      <c r="V147" s="149" t="s">
        <v>162</v>
      </c>
      <c r="W147" s="84"/>
      <c r="X147" s="149">
        <v>1</v>
      </c>
      <c r="Y147" s="149">
        <v>30</v>
      </c>
      <c r="Z147" s="149">
        <v>30</v>
      </c>
      <c r="AA147" s="149" t="s">
        <v>99</v>
      </c>
      <c r="AB147" s="149" t="s">
        <v>670</v>
      </c>
      <c r="AC147" s="150">
        <v>46114</v>
      </c>
      <c r="AD147" s="149" t="s">
        <v>171</v>
      </c>
      <c r="AE147" s="149">
        <v>84439952</v>
      </c>
      <c r="AF147" s="149" t="s">
        <v>452</v>
      </c>
      <c r="AG147" s="84"/>
      <c r="AH147" s="84"/>
      <c r="AI147" s="149">
        <v>30</v>
      </c>
      <c r="AJ147" s="149" t="s">
        <v>368</v>
      </c>
      <c r="AK147" s="149">
        <v>18</v>
      </c>
      <c r="AL147" s="149">
        <v>2.70</v>
      </c>
      <c r="AM147" s="149">
        <v>2.70</v>
      </c>
      <c r="AN147" s="149">
        <v>0</v>
      </c>
      <c r="AO147" s="149">
        <v>0</v>
      </c>
      <c r="AP147" s="149">
        <v>0</v>
      </c>
      <c r="AQ147" s="149">
        <v>0</v>
      </c>
      <c r="AR147" s="148">
        <v>0</v>
      </c>
      <c r="AS147" s="149">
        <v>0</v>
      </c>
      <c r="AT147" s="149">
        <v>0</v>
      </c>
      <c r="AU147" s="84"/>
      <c r="AV147" s="84"/>
      <c r="AW147" s="149">
        <v>0</v>
      </c>
      <c r="AX147" s="149">
        <v>35.40</v>
      </c>
      <c r="AY147" s="149" t="s">
        <v>100</v>
      </c>
      <c r="AZ147" s="149" t="s">
        <v>101</v>
      </c>
      <c r="BA147" s="149" t="s">
        <v>642</v>
      </c>
      <c r="BB147" s="149">
        <v>1126100065</v>
      </c>
      <c r="BC147" s="149" t="s">
        <v>105</v>
      </c>
      <c r="BD147" s="149" t="s">
        <v>103</v>
      </c>
      <c r="BE147" s="84"/>
      <c r="BF147" s="84" t="s">
        <v>270</v>
      </c>
      <c r="BG147" s="84" t="s">
        <v>281</v>
      </c>
      <c r="BH147" s="149" t="s">
        <v>290</v>
      </c>
      <c r="BI147" t="s">
        <v>155</v>
      </c>
      <c r="BJ147" t="s">
        <v>156</v>
      </c>
      <c r="BK147" t="s">
        <v>671</v>
      </c>
      <c r="BL147">
        <v>5.40</v>
      </c>
      <c r="BM147">
        <v>1123.8399999999999</v>
      </c>
      <c r="BN147">
        <v>-1118</v>
      </c>
      <c r="BO147" t="s">
        <v>154</v>
      </c>
      <c r="BP147">
        <v>9155615</v>
      </c>
      <c r="BQ147" t="s">
        <v>270</v>
      </c>
      <c r="BR147" t="s">
        <v>630</v>
      </c>
      <c r="BS147">
        <v>4</v>
      </c>
    </row>
    <row r="148" spans="1:71" s="0" customFormat="1" ht="14.5">
      <c r="A148" s="148" t="s">
        <v>157</v>
      </c>
      <c r="B148" s="149" t="s">
        <v>625</v>
      </c>
      <c r="C148" s="149">
        <v>107</v>
      </c>
      <c r="D148" s="149" t="s">
        <v>97</v>
      </c>
      <c r="E148" s="149" t="s">
        <v>98</v>
      </c>
      <c r="F148" s="84"/>
      <c r="G148" s="84"/>
      <c r="H148" s="149" t="s">
        <v>48</v>
      </c>
      <c r="I148" s="149" t="s">
        <v>158</v>
      </c>
      <c r="J148" s="149" t="s">
        <v>159</v>
      </c>
      <c r="K148" s="149" t="s">
        <v>163</v>
      </c>
      <c r="L148" s="149" t="s">
        <v>160</v>
      </c>
      <c r="M148" s="150">
        <v>46127</v>
      </c>
      <c r="N148" s="149" t="s">
        <v>876</v>
      </c>
      <c r="O148" s="148">
        <v>9156869</v>
      </c>
      <c r="P148" s="150">
        <v>46113</v>
      </c>
      <c r="Q148" s="149" t="s">
        <v>161</v>
      </c>
      <c r="R148" s="149">
        <v>2770</v>
      </c>
      <c r="S148" s="149" t="s">
        <v>299</v>
      </c>
      <c r="T148" s="149" t="s">
        <v>176</v>
      </c>
      <c r="U148" s="149" t="s">
        <v>177</v>
      </c>
      <c r="V148" s="149" t="s">
        <v>162</v>
      </c>
      <c r="W148" s="84"/>
      <c r="X148" s="149">
        <v>1</v>
      </c>
      <c r="Y148" s="149">
        <v>4365</v>
      </c>
      <c r="Z148" s="149">
        <v>4365</v>
      </c>
      <c r="AA148" s="149" t="s">
        <v>99</v>
      </c>
      <c r="AB148" s="149" t="s">
        <v>876</v>
      </c>
      <c r="AC148" s="150">
        <v>46113</v>
      </c>
      <c r="AD148" s="149" t="s">
        <v>164</v>
      </c>
      <c r="AE148" s="149">
        <v>997314</v>
      </c>
      <c r="AF148" s="149" t="s">
        <v>877</v>
      </c>
      <c r="AG148" s="84"/>
      <c r="AH148" s="84"/>
      <c r="AI148" s="149">
        <v>4365</v>
      </c>
      <c r="AJ148" s="149" t="s">
        <v>368</v>
      </c>
      <c r="AK148" s="149">
        <v>18</v>
      </c>
      <c r="AL148" s="149">
        <v>0</v>
      </c>
      <c r="AM148" s="149">
        <v>0</v>
      </c>
      <c r="AN148" s="149">
        <v>785.70</v>
      </c>
      <c r="AO148" s="149">
        <v>0</v>
      </c>
      <c r="AP148" s="149">
        <v>0</v>
      </c>
      <c r="AQ148" s="149">
        <v>0</v>
      </c>
      <c r="AR148" s="148">
        <v>0</v>
      </c>
      <c r="AS148" s="149">
        <v>0</v>
      </c>
      <c r="AT148" s="149">
        <v>0</v>
      </c>
      <c r="AU148" s="84"/>
      <c r="AV148" s="84"/>
      <c r="AW148" s="149">
        <v>0</v>
      </c>
      <c r="AX148" s="149">
        <v>5150.70</v>
      </c>
      <c r="AY148" s="149" t="s">
        <v>100</v>
      </c>
      <c r="AZ148" s="149" t="s">
        <v>101</v>
      </c>
      <c r="BA148" s="149" t="s">
        <v>433</v>
      </c>
      <c r="BB148" s="149">
        <v>1126100098</v>
      </c>
      <c r="BC148" s="149" t="s">
        <v>102</v>
      </c>
      <c r="BD148" s="149" t="s">
        <v>103</v>
      </c>
      <c r="BE148" s="84"/>
      <c r="BF148" s="84" t="s">
        <v>270</v>
      </c>
      <c r="BG148" s="84" t="s">
        <v>281</v>
      </c>
      <c r="BH148" s="149" t="s">
        <v>290</v>
      </c>
      <c r="BI148" t="s">
        <v>155</v>
      </c>
      <c r="BJ148" t="s">
        <v>156</v>
      </c>
      <c r="BK148" t="s">
        <v>878</v>
      </c>
      <c r="BL148">
        <v>785.70</v>
      </c>
      <c r="BM148">
        <v>785.70</v>
      </c>
      <c r="BN148">
        <v>0</v>
      </c>
      <c r="BO148" t="s">
        <v>154</v>
      </c>
      <c r="BP148">
        <v>9156869</v>
      </c>
      <c r="BQ148" t="s">
        <v>270</v>
      </c>
      <c r="BR148" t="s">
        <v>630</v>
      </c>
      <c r="BS148">
        <v>1</v>
      </c>
    </row>
    <row r="149" spans="1:71" s="0" customFormat="1" ht="14.5">
      <c r="A149" s="148" t="s">
        <v>157</v>
      </c>
      <c r="B149" s="149" t="s">
        <v>625</v>
      </c>
      <c r="C149" s="149">
        <v>107</v>
      </c>
      <c r="D149" s="149" t="s">
        <v>97</v>
      </c>
      <c r="E149" s="149" t="s">
        <v>98</v>
      </c>
      <c r="F149" s="84"/>
      <c r="G149" s="84"/>
      <c r="H149" s="149" t="s">
        <v>48</v>
      </c>
      <c r="I149" s="149" t="s">
        <v>158</v>
      </c>
      <c r="J149" s="149" t="s">
        <v>159</v>
      </c>
      <c r="K149" s="149" t="s">
        <v>163</v>
      </c>
      <c r="L149" s="149" t="s">
        <v>160</v>
      </c>
      <c r="M149" s="150">
        <v>46127</v>
      </c>
      <c r="N149" s="149" t="s">
        <v>879</v>
      </c>
      <c r="O149" s="148">
        <v>9156870</v>
      </c>
      <c r="P149" s="150">
        <v>46113</v>
      </c>
      <c r="Q149" s="149" t="s">
        <v>161</v>
      </c>
      <c r="R149" s="149">
        <v>2770</v>
      </c>
      <c r="S149" s="149" t="s">
        <v>299</v>
      </c>
      <c r="T149" s="149" t="s">
        <v>176</v>
      </c>
      <c r="U149" s="149" t="s">
        <v>177</v>
      </c>
      <c r="V149" s="149" t="s">
        <v>162</v>
      </c>
      <c r="W149" s="84"/>
      <c r="X149" s="149">
        <v>1</v>
      </c>
      <c r="Y149" s="149">
        <v>4106</v>
      </c>
      <c r="Z149" s="149">
        <v>4106</v>
      </c>
      <c r="AA149" s="149" t="s">
        <v>99</v>
      </c>
      <c r="AB149" s="149" t="s">
        <v>879</v>
      </c>
      <c r="AC149" s="150">
        <v>46113</v>
      </c>
      <c r="AD149" s="149" t="s">
        <v>164</v>
      </c>
      <c r="AE149" s="149">
        <v>997314</v>
      </c>
      <c r="AF149" s="149" t="s">
        <v>880</v>
      </c>
      <c r="AG149" s="84"/>
      <c r="AH149" s="84"/>
      <c r="AI149" s="149">
        <v>4106</v>
      </c>
      <c r="AJ149" s="149" t="s">
        <v>368</v>
      </c>
      <c r="AK149" s="149">
        <v>18</v>
      </c>
      <c r="AL149" s="149">
        <v>0</v>
      </c>
      <c r="AM149" s="149">
        <v>0</v>
      </c>
      <c r="AN149" s="149">
        <v>739.08</v>
      </c>
      <c r="AO149" s="149">
        <v>0</v>
      </c>
      <c r="AP149" s="149">
        <v>0</v>
      </c>
      <c r="AQ149" s="149">
        <v>0</v>
      </c>
      <c r="AR149" s="148">
        <v>0</v>
      </c>
      <c r="AS149" s="149">
        <v>0</v>
      </c>
      <c r="AT149" s="149">
        <v>0</v>
      </c>
      <c r="AU149" s="84"/>
      <c r="AV149" s="84"/>
      <c r="AW149" s="149">
        <v>0</v>
      </c>
      <c r="AX149" s="149">
        <v>4845.08</v>
      </c>
      <c r="AY149" s="149" t="s">
        <v>100</v>
      </c>
      <c r="AZ149" s="149" t="s">
        <v>101</v>
      </c>
      <c r="BA149" s="149" t="s">
        <v>320</v>
      </c>
      <c r="BB149" s="149">
        <v>1126100099</v>
      </c>
      <c r="BC149" s="149" t="s">
        <v>102</v>
      </c>
      <c r="BD149" s="149" t="s">
        <v>103</v>
      </c>
      <c r="BE149" s="84"/>
      <c r="BF149" s="84" t="s">
        <v>270</v>
      </c>
      <c r="BG149" s="84" t="s">
        <v>281</v>
      </c>
      <c r="BH149" s="149" t="s">
        <v>290</v>
      </c>
      <c r="BI149" t="s">
        <v>155</v>
      </c>
      <c r="BJ149" t="s">
        <v>156</v>
      </c>
      <c r="BK149" t="s">
        <v>881</v>
      </c>
      <c r="BL149">
        <v>739.08</v>
      </c>
      <c r="BM149">
        <v>739.08</v>
      </c>
      <c r="BN149">
        <v>0</v>
      </c>
      <c r="BO149" t="s">
        <v>154</v>
      </c>
      <c r="BP149">
        <v>9156870</v>
      </c>
      <c r="BQ149" t="s">
        <v>270</v>
      </c>
      <c r="BR149" t="s">
        <v>630</v>
      </c>
      <c r="BS149">
        <v>1</v>
      </c>
    </row>
    <row r="150" spans="1:71" s="0" customFormat="1" ht="14.5">
      <c r="A150" s="148" t="s">
        <v>157</v>
      </c>
      <c r="B150" s="149" t="s">
        <v>625</v>
      </c>
      <c r="C150" s="149">
        <v>107</v>
      </c>
      <c r="D150" s="149" t="s">
        <v>97</v>
      </c>
      <c r="E150" s="149" t="s">
        <v>98</v>
      </c>
      <c r="F150" s="84"/>
      <c r="G150" s="84"/>
      <c r="H150" s="149" t="s">
        <v>48</v>
      </c>
      <c r="I150" s="149" t="s">
        <v>158</v>
      </c>
      <c r="J150" s="149" t="s">
        <v>159</v>
      </c>
      <c r="K150" s="149" t="s">
        <v>163</v>
      </c>
      <c r="L150" s="149" t="s">
        <v>160</v>
      </c>
      <c r="M150" s="150">
        <v>46126</v>
      </c>
      <c r="N150" s="149" t="s">
        <v>857</v>
      </c>
      <c r="O150" s="148">
        <v>9155619</v>
      </c>
      <c r="P150" s="150">
        <v>46114</v>
      </c>
      <c r="Q150" s="149" t="s">
        <v>161</v>
      </c>
      <c r="R150" s="149">
        <v>2770</v>
      </c>
      <c r="S150" s="149" t="s">
        <v>299</v>
      </c>
      <c r="T150" s="149" t="s">
        <v>174</v>
      </c>
      <c r="U150" s="149" t="s">
        <v>175</v>
      </c>
      <c r="V150" s="149" t="s">
        <v>162</v>
      </c>
      <c r="W150" s="84"/>
      <c r="X150" s="149">
        <v>1</v>
      </c>
      <c r="Y150" s="149">
        <v>26670.60</v>
      </c>
      <c r="Z150" s="149">
        <v>26670.60</v>
      </c>
      <c r="AA150" s="149" t="s">
        <v>99</v>
      </c>
      <c r="AB150" s="149" t="s">
        <v>857</v>
      </c>
      <c r="AC150" s="150">
        <v>46114</v>
      </c>
      <c r="AD150" s="149" t="s">
        <v>171</v>
      </c>
      <c r="AE150" s="149">
        <v>998712</v>
      </c>
      <c r="AF150" s="149" t="s">
        <v>882</v>
      </c>
      <c r="AG150" s="84"/>
      <c r="AH150" s="84"/>
      <c r="AI150" s="149">
        <v>26670.60</v>
      </c>
      <c r="AJ150" s="149" t="s">
        <v>368</v>
      </c>
      <c r="AK150" s="149">
        <v>18</v>
      </c>
      <c r="AL150" s="149">
        <v>2400.35</v>
      </c>
      <c r="AM150" s="149">
        <v>2400.35</v>
      </c>
      <c r="AN150" s="149">
        <v>0</v>
      </c>
      <c r="AO150" s="149">
        <v>0</v>
      </c>
      <c r="AP150" s="149">
        <v>0</v>
      </c>
      <c r="AQ150" s="149">
        <v>0</v>
      </c>
      <c r="AR150" s="148">
        <v>0</v>
      </c>
      <c r="AS150" s="149">
        <v>0</v>
      </c>
      <c r="AT150" s="149">
        <v>0</v>
      </c>
      <c r="AU150" s="84"/>
      <c r="AV150" s="84"/>
      <c r="AW150" s="149">
        <v>0</v>
      </c>
      <c r="AX150" s="149">
        <v>31471.30</v>
      </c>
      <c r="AY150" s="149" t="s">
        <v>100</v>
      </c>
      <c r="AZ150" s="149" t="s">
        <v>101</v>
      </c>
      <c r="BA150" s="149" t="s">
        <v>642</v>
      </c>
      <c r="BB150" s="149">
        <v>1126100069</v>
      </c>
      <c r="BC150" s="149" t="s">
        <v>105</v>
      </c>
      <c r="BD150" s="149" t="s">
        <v>103</v>
      </c>
      <c r="BE150" s="84"/>
      <c r="BF150" s="84" t="s">
        <v>270</v>
      </c>
      <c r="BG150" s="84" t="s">
        <v>281</v>
      </c>
      <c r="BH150" s="149" t="s">
        <v>290</v>
      </c>
      <c r="BI150" t="s">
        <v>155</v>
      </c>
      <c r="BJ150" t="s">
        <v>156</v>
      </c>
      <c r="BK150" t="s">
        <v>859</v>
      </c>
      <c r="BL150">
        <v>4800.70</v>
      </c>
      <c r="BM150">
        <v>5341.12</v>
      </c>
      <c r="BN150">
        <v>-540</v>
      </c>
      <c r="BO150" t="s">
        <v>154</v>
      </c>
      <c r="BP150">
        <v>9155619</v>
      </c>
      <c r="BQ150" t="s">
        <v>270</v>
      </c>
      <c r="BR150" t="s">
        <v>630</v>
      </c>
      <c r="BS150">
        <v>4</v>
      </c>
    </row>
    <row r="151" spans="1:71" s="0" customFormat="1" ht="14.5">
      <c r="A151" s="148" t="s">
        <v>157</v>
      </c>
      <c r="B151" s="149" t="s">
        <v>625</v>
      </c>
      <c r="C151" s="149">
        <v>107</v>
      </c>
      <c r="D151" s="149" t="s">
        <v>97</v>
      </c>
      <c r="E151" s="149" t="s">
        <v>98</v>
      </c>
      <c r="F151" s="84"/>
      <c r="G151" s="84"/>
      <c r="H151" s="149" t="s">
        <v>48</v>
      </c>
      <c r="I151" s="149" t="s">
        <v>158</v>
      </c>
      <c r="J151" s="149" t="s">
        <v>159</v>
      </c>
      <c r="K151" s="149" t="s">
        <v>163</v>
      </c>
      <c r="L151" s="149" t="s">
        <v>160</v>
      </c>
      <c r="M151" s="150">
        <v>46126</v>
      </c>
      <c r="N151" s="149" t="s">
        <v>656</v>
      </c>
      <c r="O151" s="148">
        <v>9155610</v>
      </c>
      <c r="P151" s="150">
        <v>46114</v>
      </c>
      <c r="Q151" s="149" t="s">
        <v>161</v>
      </c>
      <c r="R151" s="149">
        <v>2770</v>
      </c>
      <c r="S151" s="149" t="s">
        <v>299</v>
      </c>
      <c r="T151" s="149" t="s">
        <v>174</v>
      </c>
      <c r="U151" s="149" t="s">
        <v>175</v>
      </c>
      <c r="V151" s="149" t="s">
        <v>162</v>
      </c>
      <c r="W151" s="84"/>
      <c r="X151" s="149">
        <v>1</v>
      </c>
      <c r="Y151" s="149">
        <v>149.76</v>
      </c>
      <c r="Z151" s="149">
        <v>149.76</v>
      </c>
      <c r="AA151" s="149" t="s">
        <v>99</v>
      </c>
      <c r="AB151" s="149" t="s">
        <v>656</v>
      </c>
      <c r="AC151" s="150">
        <v>46114</v>
      </c>
      <c r="AD151" s="149" t="s">
        <v>171</v>
      </c>
      <c r="AE151" s="149">
        <v>84439952</v>
      </c>
      <c r="AF151" s="149" t="s">
        <v>413</v>
      </c>
      <c r="AG151" s="84"/>
      <c r="AH151" s="84"/>
      <c r="AI151" s="149">
        <v>149.76</v>
      </c>
      <c r="AJ151" s="149" t="s">
        <v>368</v>
      </c>
      <c r="AK151" s="149">
        <v>18</v>
      </c>
      <c r="AL151" s="149">
        <v>13.48</v>
      </c>
      <c r="AM151" s="149">
        <v>13.48</v>
      </c>
      <c r="AN151" s="149">
        <v>0</v>
      </c>
      <c r="AO151" s="149">
        <v>0</v>
      </c>
      <c r="AP151" s="149">
        <v>0</v>
      </c>
      <c r="AQ151" s="149">
        <v>0</v>
      </c>
      <c r="AR151" s="148">
        <v>0</v>
      </c>
      <c r="AS151" s="149">
        <v>0</v>
      </c>
      <c r="AT151" s="149">
        <v>0</v>
      </c>
      <c r="AU151" s="84"/>
      <c r="AV151" s="84"/>
      <c r="AW151" s="149">
        <v>0</v>
      </c>
      <c r="AX151" s="149">
        <v>176.72</v>
      </c>
      <c r="AY151" s="149" t="s">
        <v>100</v>
      </c>
      <c r="AZ151" s="149" t="s">
        <v>101</v>
      </c>
      <c r="BA151" s="149" t="s">
        <v>642</v>
      </c>
      <c r="BB151" s="149">
        <v>1126100060</v>
      </c>
      <c r="BC151" s="149" t="s">
        <v>105</v>
      </c>
      <c r="BD151" s="149" t="s">
        <v>103</v>
      </c>
      <c r="BE151" s="84"/>
      <c r="BF151" s="84" t="s">
        <v>270</v>
      </c>
      <c r="BG151" s="84" t="s">
        <v>281</v>
      </c>
      <c r="BH151" s="149" t="s">
        <v>290</v>
      </c>
      <c r="BI151" t="s">
        <v>155</v>
      </c>
      <c r="BJ151" t="s">
        <v>156</v>
      </c>
      <c r="BK151" t="s">
        <v>658</v>
      </c>
      <c r="BL151">
        <v>26.96</v>
      </c>
      <c r="BM151">
        <v>489.18</v>
      </c>
      <c r="BN151">
        <v>-462</v>
      </c>
      <c r="BO151" t="s">
        <v>154</v>
      </c>
      <c r="BP151">
        <v>9155610</v>
      </c>
      <c r="BQ151" t="s">
        <v>270</v>
      </c>
      <c r="BR151" t="s">
        <v>630</v>
      </c>
      <c r="BS151">
        <v>4</v>
      </c>
    </row>
    <row r="152" spans="1:71" s="0" customFormat="1" ht="14.5">
      <c r="A152" s="148" t="s">
        <v>157</v>
      </c>
      <c r="B152" s="149" t="s">
        <v>625</v>
      </c>
      <c r="C152" s="149">
        <v>107</v>
      </c>
      <c r="D152" s="149" t="s">
        <v>97</v>
      </c>
      <c r="E152" s="149" t="s">
        <v>98</v>
      </c>
      <c r="F152" s="84"/>
      <c r="G152" s="149" t="s">
        <v>106</v>
      </c>
      <c r="H152" s="149" t="s">
        <v>48</v>
      </c>
      <c r="I152" s="149" t="s">
        <v>158</v>
      </c>
      <c r="J152" s="149" t="s">
        <v>165</v>
      </c>
      <c r="K152" s="149" t="s">
        <v>163</v>
      </c>
      <c r="L152" s="149" t="s">
        <v>160</v>
      </c>
      <c r="M152" s="150">
        <v>46139</v>
      </c>
      <c r="N152" s="149" t="s">
        <v>883</v>
      </c>
      <c r="O152" s="148">
        <v>9173788</v>
      </c>
      <c r="P152" s="150">
        <v>46125</v>
      </c>
      <c r="Q152" s="149" t="s">
        <v>161</v>
      </c>
      <c r="R152" s="149">
        <v>35005</v>
      </c>
      <c r="S152" s="149" t="s">
        <v>763</v>
      </c>
      <c r="T152" s="149" t="s">
        <v>884</v>
      </c>
      <c r="U152" s="149" t="s">
        <v>765</v>
      </c>
      <c r="V152" s="149" t="s">
        <v>162</v>
      </c>
      <c r="W152" s="84"/>
      <c r="X152" s="149">
        <v>4</v>
      </c>
      <c r="Y152" s="149">
        <v>8125</v>
      </c>
      <c r="Z152" s="149">
        <v>32500</v>
      </c>
      <c r="AA152" s="149" t="s">
        <v>99</v>
      </c>
      <c r="AB152" s="149" t="s">
        <v>883</v>
      </c>
      <c r="AC152" s="150">
        <v>46125</v>
      </c>
      <c r="AD152" s="149" t="s">
        <v>173</v>
      </c>
      <c r="AE152" s="149">
        <v>998422</v>
      </c>
      <c r="AF152" s="149" t="s">
        <v>885</v>
      </c>
      <c r="AG152" s="84"/>
      <c r="AH152" s="84"/>
      <c r="AI152" s="149">
        <v>32500</v>
      </c>
      <c r="AJ152" s="149" t="s">
        <v>368</v>
      </c>
      <c r="AK152" s="149">
        <v>18</v>
      </c>
      <c r="AL152" s="149">
        <v>2925</v>
      </c>
      <c r="AM152" s="149">
        <v>2925</v>
      </c>
      <c r="AN152" s="149">
        <v>0</v>
      </c>
      <c r="AO152" s="149">
        <v>0</v>
      </c>
      <c r="AP152" s="149">
        <v>0</v>
      </c>
      <c r="AQ152" s="149">
        <v>0</v>
      </c>
      <c r="AR152" s="148">
        <v>0</v>
      </c>
      <c r="AS152" s="149">
        <v>0</v>
      </c>
      <c r="AT152" s="149">
        <v>0</v>
      </c>
      <c r="AU152" s="84"/>
      <c r="AV152" s="84"/>
      <c r="AW152" s="149">
        <v>0</v>
      </c>
      <c r="AX152" s="149">
        <v>38350</v>
      </c>
      <c r="AY152" s="149" t="s">
        <v>100</v>
      </c>
      <c r="AZ152" s="149" t="s">
        <v>101</v>
      </c>
      <c r="BA152" s="149" t="s">
        <v>357</v>
      </c>
      <c r="BB152" s="149">
        <v>1126100439</v>
      </c>
      <c r="BC152" s="149" t="s">
        <v>105</v>
      </c>
      <c r="BD152" s="149" t="s">
        <v>103</v>
      </c>
      <c r="BE152" s="84"/>
      <c r="BF152" s="84" t="s">
        <v>270</v>
      </c>
      <c r="BG152" s="84" t="s">
        <v>281</v>
      </c>
      <c r="BH152" s="149" t="s">
        <v>290</v>
      </c>
      <c r="BI152" t="s">
        <v>155</v>
      </c>
      <c r="BJ152" t="s">
        <v>156</v>
      </c>
      <c r="BK152" t="s">
        <v>886</v>
      </c>
      <c r="BL152">
        <v>5850</v>
      </c>
      <c r="BM152">
        <v>5850</v>
      </c>
      <c r="BN152">
        <v>0</v>
      </c>
      <c r="BO152" t="s">
        <v>154</v>
      </c>
      <c r="BP152">
        <v>9173788</v>
      </c>
      <c r="BQ152" t="s">
        <v>270</v>
      </c>
      <c r="BR152" t="s">
        <v>630</v>
      </c>
      <c r="BS152">
        <v>1</v>
      </c>
    </row>
    <row r="153" spans="1:71" s="0" customFormat="1" ht="14.5">
      <c r="A153" s="148" t="s">
        <v>157</v>
      </c>
      <c r="B153" s="149" t="s">
        <v>625</v>
      </c>
      <c r="C153" s="149">
        <v>107</v>
      </c>
      <c r="D153" s="149" t="s">
        <v>97</v>
      </c>
      <c r="E153" s="149" t="s">
        <v>98</v>
      </c>
      <c r="F153" s="84"/>
      <c r="G153" s="149" t="s">
        <v>106</v>
      </c>
      <c r="H153" s="149" t="s">
        <v>48</v>
      </c>
      <c r="I153" s="149" t="s">
        <v>158</v>
      </c>
      <c r="J153" s="149" t="s">
        <v>165</v>
      </c>
      <c r="K153" s="149" t="s">
        <v>166</v>
      </c>
      <c r="L153" s="149" t="s">
        <v>160</v>
      </c>
      <c r="M153" s="150">
        <v>46127</v>
      </c>
      <c r="N153" s="149" t="s">
        <v>626</v>
      </c>
      <c r="O153" s="148">
        <v>9158398</v>
      </c>
      <c r="P153" s="150">
        <v>46090</v>
      </c>
      <c r="Q153" s="149" t="s">
        <v>161</v>
      </c>
      <c r="R153" s="149">
        <v>35671</v>
      </c>
      <c r="S153" s="149" t="s">
        <v>424</v>
      </c>
      <c r="T153" s="149" t="s">
        <v>425</v>
      </c>
      <c r="U153" s="149" t="s">
        <v>426</v>
      </c>
      <c r="V153" s="149" t="s">
        <v>162</v>
      </c>
      <c r="W153" s="84"/>
      <c r="X153" s="149">
        <v>275</v>
      </c>
      <c r="Y153" s="149">
        <v>28</v>
      </c>
      <c r="Z153" s="149">
        <v>7700</v>
      </c>
      <c r="AA153" s="149" t="s">
        <v>99</v>
      </c>
      <c r="AB153" s="149" t="s">
        <v>626</v>
      </c>
      <c r="AC153" s="150">
        <v>46121</v>
      </c>
      <c r="AD153" s="149" t="s">
        <v>164</v>
      </c>
      <c r="AE153" s="149">
        <v>998729</v>
      </c>
      <c r="AF153" s="149" t="s">
        <v>633</v>
      </c>
      <c r="AG153" s="84"/>
      <c r="AH153" s="84"/>
      <c r="AI153" s="149">
        <v>7700</v>
      </c>
      <c r="AJ153" s="149" t="s">
        <v>368</v>
      </c>
      <c r="AK153" s="149">
        <v>18</v>
      </c>
      <c r="AL153" s="149">
        <v>0</v>
      </c>
      <c r="AM153" s="149">
        <v>0</v>
      </c>
      <c r="AN153" s="149">
        <v>1386</v>
      </c>
      <c r="AO153" s="149">
        <v>0</v>
      </c>
      <c r="AP153" s="149">
        <v>0</v>
      </c>
      <c r="AQ153" s="149">
        <v>0</v>
      </c>
      <c r="AR153" s="148">
        <v>0</v>
      </c>
      <c r="AS153" s="149">
        <v>0</v>
      </c>
      <c r="AT153" s="149">
        <v>0</v>
      </c>
      <c r="AU153" s="84"/>
      <c r="AV153" s="84"/>
      <c r="AW153" s="149">
        <v>0</v>
      </c>
      <c r="AX153" s="149">
        <v>9086</v>
      </c>
      <c r="AY153" s="149" t="s">
        <v>101</v>
      </c>
      <c r="AZ153" s="149" t="s">
        <v>101</v>
      </c>
      <c r="BA153" s="149" t="s">
        <v>628</v>
      </c>
      <c r="BB153" s="149">
        <v>1126100105</v>
      </c>
      <c r="BC153" s="149" t="s">
        <v>168</v>
      </c>
      <c r="BD153" s="149" t="s">
        <v>272</v>
      </c>
      <c r="BE153" s="84"/>
      <c r="BF153" s="84" t="s">
        <v>271</v>
      </c>
      <c r="BG153" s="84" t="s">
        <v>281</v>
      </c>
      <c r="BH153" s="149" t="s">
        <v>290</v>
      </c>
      <c r="BI153" t="s">
        <v>155</v>
      </c>
      <c r="BJ153" t="s">
        <v>156</v>
      </c>
      <c r="BK153" t="s">
        <v>629</v>
      </c>
      <c r="BL153">
        <v>1386</v>
      </c>
      <c r="BM153">
        <v>38182.879999999997</v>
      </c>
      <c r="BN153">
        <v>-36797</v>
      </c>
      <c r="BO153" t="s">
        <v>154</v>
      </c>
      <c r="BP153">
        <v>9158398</v>
      </c>
      <c r="BQ153" t="s">
        <v>271</v>
      </c>
      <c r="BR153" t="s">
        <v>630</v>
      </c>
      <c r="BS153">
        <v>37</v>
      </c>
    </row>
    <row r="154" spans="1:71" s="0" customFormat="1" ht="14.5">
      <c r="A154" s="148" t="s">
        <v>157</v>
      </c>
      <c r="B154" s="149" t="s">
        <v>625</v>
      </c>
      <c r="C154" s="149">
        <v>107</v>
      </c>
      <c r="D154" s="149" t="s">
        <v>97</v>
      </c>
      <c r="E154" s="149" t="s">
        <v>98</v>
      </c>
      <c r="F154" s="84"/>
      <c r="G154" s="149" t="s">
        <v>106</v>
      </c>
      <c r="H154" s="149" t="s">
        <v>48</v>
      </c>
      <c r="I154" s="149" t="s">
        <v>158</v>
      </c>
      <c r="J154" s="149" t="s">
        <v>165</v>
      </c>
      <c r="K154" s="149" t="s">
        <v>166</v>
      </c>
      <c r="L154" s="149" t="s">
        <v>160</v>
      </c>
      <c r="M154" s="150">
        <v>46127</v>
      </c>
      <c r="N154" s="149" t="s">
        <v>626</v>
      </c>
      <c r="O154" s="148">
        <v>9158398</v>
      </c>
      <c r="P154" s="150">
        <v>46090</v>
      </c>
      <c r="Q154" s="149" t="s">
        <v>161</v>
      </c>
      <c r="R154" s="149">
        <v>35671</v>
      </c>
      <c r="S154" s="149" t="s">
        <v>424</v>
      </c>
      <c r="T154" s="149" t="s">
        <v>425</v>
      </c>
      <c r="U154" s="149" t="s">
        <v>426</v>
      </c>
      <c r="V154" s="149" t="s">
        <v>162</v>
      </c>
      <c r="W154" s="84"/>
      <c r="X154" s="149">
        <v>275</v>
      </c>
      <c r="Y154" s="149">
        <v>16</v>
      </c>
      <c r="Z154" s="149">
        <v>4400</v>
      </c>
      <c r="AA154" s="149" t="s">
        <v>99</v>
      </c>
      <c r="AB154" s="149" t="s">
        <v>626</v>
      </c>
      <c r="AC154" s="150">
        <v>46121</v>
      </c>
      <c r="AD154" s="149" t="s">
        <v>164</v>
      </c>
      <c r="AE154" s="149">
        <v>996200</v>
      </c>
      <c r="AF154" s="149" t="s">
        <v>887</v>
      </c>
      <c r="AG154" s="84"/>
      <c r="AH154" s="84"/>
      <c r="AI154" s="149">
        <v>4400</v>
      </c>
      <c r="AJ154" s="149" t="s">
        <v>368</v>
      </c>
      <c r="AK154" s="149">
        <v>18</v>
      </c>
      <c r="AL154" s="149">
        <v>0</v>
      </c>
      <c r="AM154" s="149">
        <v>0</v>
      </c>
      <c r="AN154" s="149">
        <v>792</v>
      </c>
      <c r="AO154" s="149">
        <v>0</v>
      </c>
      <c r="AP154" s="149">
        <v>0</v>
      </c>
      <c r="AQ154" s="149">
        <v>0</v>
      </c>
      <c r="AR154" s="148">
        <v>0</v>
      </c>
      <c r="AS154" s="149">
        <v>0</v>
      </c>
      <c r="AT154" s="149">
        <v>0</v>
      </c>
      <c r="AU154" s="84"/>
      <c r="AV154" s="84"/>
      <c r="AW154" s="149">
        <v>0</v>
      </c>
      <c r="AX154" s="149">
        <v>5192</v>
      </c>
      <c r="AY154" s="149" t="s">
        <v>101</v>
      </c>
      <c r="AZ154" s="149" t="s">
        <v>101</v>
      </c>
      <c r="BA154" s="149" t="s">
        <v>628</v>
      </c>
      <c r="BB154" s="149">
        <v>1126100105</v>
      </c>
      <c r="BC154" s="149" t="s">
        <v>168</v>
      </c>
      <c r="BD154" s="149" t="s">
        <v>272</v>
      </c>
      <c r="BE154" s="84"/>
      <c r="BF154" s="84" t="s">
        <v>271</v>
      </c>
      <c r="BG154" s="84" t="s">
        <v>281</v>
      </c>
      <c r="BH154" s="149" t="s">
        <v>290</v>
      </c>
      <c r="BI154" t="s">
        <v>155</v>
      </c>
      <c r="BJ154" t="s">
        <v>156</v>
      </c>
      <c r="BK154" t="s">
        <v>629</v>
      </c>
      <c r="BL154">
        <v>792</v>
      </c>
      <c r="BM154">
        <v>38182.879999999997</v>
      </c>
      <c r="BN154">
        <v>-37391</v>
      </c>
      <c r="BO154" t="s">
        <v>154</v>
      </c>
      <c r="BP154">
        <v>9158398</v>
      </c>
      <c r="BQ154" t="s">
        <v>271</v>
      </c>
      <c r="BR154" t="s">
        <v>630</v>
      </c>
      <c r="BS154">
        <v>37</v>
      </c>
    </row>
    <row r="155" spans="1:71" s="0" customFormat="1" ht="14.5">
      <c r="A155" s="148" t="s">
        <v>157</v>
      </c>
      <c r="B155" s="149" t="s">
        <v>625</v>
      </c>
      <c r="C155" s="149">
        <v>107</v>
      </c>
      <c r="D155" s="149" t="s">
        <v>97</v>
      </c>
      <c r="E155" s="149" t="s">
        <v>98</v>
      </c>
      <c r="F155" s="84"/>
      <c r="G155" s="149" t="s">
        <v>106</v>
      </c>
      <c r="H155" s="149" t="s">
        <v>48</v>
      </c>
      <c r="I155" s="149" t="s">
        <v>158</v>
      </c>
      <c r="J155" s="149" t="s">
        <v>165</v>
      </c>
      <c r="K155" s="149" t="s">
        <v>166</v>
      </c>
      <c r="L155" s="149" t="s">
        <v>160</v>
      </c>
      <c r="M155" s="150">
        <v>46127</v>
      </c>
      <c r="N155" s="149" t="s">
        <v>626</v>
      </c>
      <c r="O155" s="148">
        <v>9158398</v>
      </c>
      <c r="P155" s="150">
        <v>46090</v>
      </c>
      <c r="Q155" s="149" t="s">
        <v>161</v>
      </c>
      <c r="R155" s="149">
        <v>35671</v>
      </c>
      <c r="S155" s="149" t="s">
        <v>424</v>
      </c>
      <c r="T155" s="149" t="s">
        <v>425</v>
      </c>
      <c r="U155" s="149" t="s">
        <v>426</v>
      </c>
      <c r="V155" s="149" t="s">
        <v>162</v>
      </c>
      <c r="W155" s="84"/>
      <c r="X155" s="149">
        <v>275</v>
      </c>
      <c r="Y155" s="149">
        <v>4</v>
      </c>
      <c r="Z155" s="149">
        <v>1100</v>
      </c>
      <c r="AA155" s="149" t="s">
        <v>99</v>
      </c>
      <c r="AB155" s="149" t="s">
        <v>626</v>
      </c>
      <c r="AC155" s="150">
        <v>46121</v>
      </c>
      <c r="AD155" s="149" t="s">
        <v>164</v>
      </c>
      <c r="AE155" s="149">
        <v>998729</v>
      </c>
      <c r="AF155" s="149" t="s">
        <v>888</v>
      </c>
      <c r="AG155" s="84"/>
      <c r="AH155" s="84"/>
      <c r="AI155" s="149">
        <v>1100</v>
      </c>
      <c r="AJ155" s="149" t="s">
        <v>368</v>
      </c>
      <c r="AK155" s="149">
        <v>18</v>
      </c>
      <c r="AL155" s="149">
        <v>0</v>
      </c>
      <c r="AM155" s="149">
        <v>0</v>
      </c>
      <c r="AN155" s="149">
        <v>198</v>
      </c>
      <c r="AO155" s="149">
        <v>0</v>
      </c>
      <c r="AP155" s="149">
        <v>0</v>
      </c>
      <c r="AQ155" s="149">
        <v>0</v>
      </c>
      <c r="AR155" s="148">
        <v>0</v>
      </c>
      <c r="AS155" s="149">
        <v>0</v>
      </c>
      <c r="AT155" s="149">
        <v>0</v>
      </c>
      <c r="AU155" s="84"/>
      <c r="AV155" s="84"/>
      <c r="AW155" s="149">
        <v>0</v>
      </c>
      <c r="AX155" s="149">
        <v>1298</v>
      </c>
      <c r="AY155" s="149" t="s">
        <v>101</v>
      </c>
      <c r="AZ155" s="149" t="s">
        <v>101</v>
      </c>
      <c r="BA155" s="149" t="s">
        <v>628</v>
      </c>
      <c r="BB155" s="149">
        <v>1126100105</v>
      </c>
      <c r="BC155" s="149" t="s">
        <v>168</v>
      </c>
      <c r="BD155" s="149" t="s">
        <v>272</v>
      </c>
      <c r="BE155" s="84"/>
      <c r="BF155" s="84" t="s">
        <v>271</v>
      </c>
      <c r="BG155" s="84" t="s">
        <v>281</v>
      </c>
      <c r="BH155" s="149" t="s">
        <v>290</v>
      </c>
      <c r="BI155" t="s">
        <v>155</v>
      </c>
      <c r="BJ155" t="s">
        <v>156</v>
      </c>
      <c r="BK155" t="s">
        <v>629</v>
      </c>
      <c r="BL155">
        <v>198</v>
      </c>
      <c r="BM155">
        <v>38182.879999999997</v>
      </c>
      <c r="BN155">
        <v>-37985</v>
      </c>
      <c r="BO155" t="s">
        <v>154</v>
      </c>
      <c r="BP155">
        <v>9158398</v>
      </c>
      <c r="BQ155" t="s">
        <v>271</v>
      </c>
      <c r="BR155" t="s">
        <v>630</v>
      </c>
      <c r="BS155">
        <v>37</v>
      </c>
    </row>
    <row r="156" spans="1:71" s="0" customFormat="1" ht="14.5">
      <c r="A156" s="148" t="s">
        <v>157</v>
      </c>
      <c r="B156" s="149" t="s">
        <v>625</v>
      </c>
      <c r="C156" s="149">
        <v>107</v>
      </c>
      <c r="D156" s="149" t="s">
        <v>97</v>
      </c>
      <c r="E156" s="149" t="s">
        <v>98</v>
      </c>
      <c r="F156" s="84"/>
      <c r="G156" s="149" t="s">
        <v>106</v>
      </c>
      <c r="H156" s="149" t="s">
        <v>48</v>
      </c>
      <c r="I156" s="149" t="s">
        <v>158</v>
      </c>
      <c r="J156" s="149" t="s">
        <v>165</v>
      </c>
      <c r="K156" s="149" t="s">
        <v>166</v>
      </c>
      <c r="L156" s="149" t="s">
        <v>160</v>
      </c>
      <c r="M156" s="150">
        <v>46140</v>
      </c>
      <c r="N156" s="149" t="s">
        <v>632</v>
      </c>
      <c r="O156" s="148">
        <v>9174963</v>
      </c>
      <c r="P156" s="150">
        <v>46129</v>
      </c>
      <c r="Q156" s="149" t="s">
        <v>161</v>
      </c>
      <c r="R156" s="149">
        <v>35671</v>
      </c>
      <c r="S156" s="149" t="s">
        <v>424</v>
      </c>
      <c r="T156" s="149" t="s">
        <v>425</v>
      </c>
      <c r="U156" s="149" t="s">
        <v>426</v>
      </c>
      <c r="V156" s="149" t="s">
        <v>162</v>
      </c>
      <c r="W156" s="84"/>
      <c r="X156" s="149">
        <v>275</v>
      </c>
      <c r="Y156" s="149">
        <v>0.001</v>
      </c>
      <c r="Z156" s="149">
        <v>0.28000000000000003</v>
      </c>
      <c r="AA156" s="149" t="s">
        <v>99</v>
      </c>
      <c r="AB156" s="149" t="s">
        <v>632</v>
      </c>
      <c r="AC156" s="150">
        <v>46129</v>
      </c>
      <c r="AD156" s="149" t="s">
        <v>164</v>
      </c>
      <c r="AE156" s="149">
        <v>998729</v>
      </c>
      <c r="AF156" s="149" t="s">
        <v>889</v>
      </c>
      <c r="AG156" s="84"/>
      <c r="AH156" s="84"/>
      <c r="AI156" s="149">
        <v>0.28000000000000003</v>
      </c>
      <c r="AJ156" s="149" t="s">
        <v>368</v>
      </c>
      <c r="AK156" s="149">
        <v>18</v>
      </c>
      <c r="AL156" s="149">
        <v>0</v>
      </c>
      <c r="AM156" s="149">
        <v>0</v>
      </c>
      <c r="AN156" s="149">
        <v>0.05</v>
      </c>
      <c r="AO156" s="149">
        <v>0</v>
      </c>
      <c r="AP156" s="149">
        <v>0</v>
      </c>
      <c r="AQ156" s="149">
        <v>0</v>
      </c>
      <c r="AR156" s="148">
        <v>0</v>
      </c>
      <c r="AS156" s="149">
        <v>0</v>
      </c>
      <c r="AT156" s="149">
        <v>0</v>
      </c>
      <c r="AU156" s="84"/>
      <c r="AV156" s="84"/>
      <c r="AW156" s="149">
        <v>0</v>
      </c>
      <c r="AX156" s="149">
        <v>0.33</v>
      </c>
      <c r="AY156" s="149" t="s">
        <v>101</v>
      </c>
      <c r="AZ156" s="149" t="s">
        <v>101</v>
      </c>
      <c r="BA156" s="149" t="s">
        <v>634</v>
      </c>
      <c r="BB156" s="149">
        <v>1126100446</v>
      </c>
      <c r="BC156" s="149" t="s">
        <v>168</v>
      </c>
      <c r="BD156" s="149" t="s">
        <v>272</v>
      </c>
      <c r="BE156" s="84"/>
      <c r="BF156" s="84" t="s">
        <v>271</v>
      </c>
      <c r="BG156" s="84" t="s">
        <v>281</v>
      </c>
      <c r="BH156" s="149" t="s">
        <v>290</v>
      </c>
      <c r="BI156" t="s">
        <v>155</v>
      </c>
      <c r="BJ156" t="s">
        <v>156</v>
      </c>
      <c r="BK156" t="s">
        <v>635</v>
      </c>
      <c r="BL156">
        <v>0.05</v>
      </c>
      <c r="BM156">
        <v>36494.74</v>
      </c>
      <c r="BN156">
        <v>-36495</v>
      </c>
      <c r="BO156" t="s">
        <v>154</v>
      </c>
      <c r="BP156">
        <v>9174963</v>
      </c>
      <c r="BQ156" t="s">
        <v>271</v>
      </c>
      <c r="BR156" t="s">
        <v>630</v>
      </c>
      <c r="BS156">
        <v>36</v>
      </c>
    </row>
    <row r="157" spans="1:71" s="0" customFormat="1" ht="14.5">
      <c r="A157" s="148" t="s">
        <v>157</v>
      </c>
      <c r="B157" s="149" t="s">
        <v>625</v>
      </c>
      <c r="C157" s="149">
        <v>107</v>
      </c>
      <c r="D157" s="149" t="s">
        <v>97</v>
      </c>
      <c r="E157" s="149" t="s">
        <v>98</v>
      </c>
      <c r="F157" s="84"/>
      <c r="G157" s="84"/>
      <c r="H157" s="149" t="s">
        <v>48</v>
      </c>
      <c r="I157" s="149" t="s">
        <v>158</v>
      </c>
      <c r="J157" s="149" t="s">
        <v>159</v>
      </c>
      <c r="K157" s="149" t="s">
        <v>163</v>
      </c>
      <c r="L157" s="149" t="s">
        <v>160</v>
      </c>
      <c r="M157" s="150">
        <v>46134</v>
      </c>
      <c r="N157" s="149" t="s">
        <v>704</v>
      </c>
      <c r="O157" s="148">
        <v>9164740</v>
      </c>
      <c r="P157" s="150">
        <v>46121</v>
      </c>
      <c r="Q157" s="149" t="s">
        <v>161</v>
      </c>
      <c r="R157" s="149">
        <v>3615</v>
      </c>
      <c r="S157" s="149" t="s">
        <v>705</v>
      </c>
      <c r="T157" s="149" t="s">
        <v>169</v>
      </c>
      <c r="U157" s="149" t="s">
        <v>706</v>
      </c>
      <c r="V157" s="149" t="s">
        <v>162</v>
      </c>
      <c r="W157" s="84"/>
      <c r="X157" s="149">
        <v>2000</v>
      </c>
      <c r="Y157" s="149">
        <v>3</v>
      </c>
      <c r="Z157" s="149">
        <v>6000</v>
      </c>
      <c r="AA157" s="149" t="s">
        <v>99</v>
      </c>
      <c r="AB157" s="149" t="s">
        <v>704</v>
      </c>
      <c r="AC157" s="150">
        <v>46121</v>
      </c>
      <c r="AD157" s="149" t="s">
        <v>171</v>
      </c>
      <c r="AE157" s="149">
        <v>998900</v>
      </c>
      <c r="AF157" s="149" t="s">
        <v>890</v>
      </c>
      <c r="AG157" s="84"/>
      <c r="AH157" s="84"/>
      <c r="AI157" s="149">
        <v>6000</v>
      </c>
      <c r="AJ157" s="149" t="s">
        <v>368</v>
      </c>
      <c r="AK157" s="149">
        <v>18</v>
      </c>
      <c r="AL157" s="149">
        <v>540</v>
      </c>
      <c r="AM157" s="149">
        <v>540</v>
      </c>
      <c r="AN157" s="149">
        <v>0</v>
      </c>
      <c r="AO157" s="149">
        <v>0</v>
      </c>
      <c r="AP157" s="149">
        <v>0</v>
      </c>
      <c r="AQ157" s="149">
        <v>0</v>
      </c>
      <c r="AR157" s="148">
        <v>0</v>
      </c>
      <c r="AS157" s="149">
        <v>0</v>
      </c>
      <c r="AT157" s="149">
        <v>0</v>
      </c>
      <c r="AU157" s="84"/>
      <c r="AV157" s="84"/>
      <c r="AW157" s="149">
        <v>0</v>
      </c>
      <c r="AX157" s="149">
        <v>7080</v>
      </c>
      <c r="AY157" s="149" t="s">
        <v>101</v>
      </c>
      <c r="AZ157" s="149" t="s">
        <v>101</v>
      </c>
      <c r="BA157" s="149" t="s">
        <v>708</v>
      </c>
      <c r="BB157" s="149">
        <v>1126100334</v>
      </c>
      <c r="BC157" s="149" t="s">
        <v>172</v>
      </c>
      <c r="BD157" s="149" t="s">
        <v>103</v>
      </c>
      <c r="BE157" s="84"/>
      <c r="BF157" s="84" t="s">
        <v>271</v>
      </c>
      <c r="BG157" s="84" t="s">
        <v>281</v>
      </c>
      <c r="BH157" s="149" t="s">
        <v>290</v>
      </c>
      <c r="BI157" t="s">
        <v>155</v>
      </c>
      <c r="BJ157" t="s">
        <v>156</v>
      </c>
      <c r="BK157" t="s">
        <v>709</v>
      </c>
      <c r="BL157">
        <v>1080</v>
      </c>
      <c r="BM157">
        <v>6014.70</v>
      </c>
      <c r="BN157">
        <v>-4935</v>
      </c>
      <c r="BO157" t="s">
        <v>154</v>
      </c>
      <c r="BP157">
        <v>9164740</v>
      </c>
      <c r="BQ157" t="s">
        <v>271</v>
      </c>
      <c r="BR157" t="s">
        <v>630</v>
      </c>
      <c r="BS157">
        <v>6</v>
      </c>
    </row>
    <row r="158" spans="1:71" s="0" customFormat="1" ht="14.5">
      <c r="A158" s="148" t="s">
        <v>157</v>
      </c>
      <c r="B158" s="149" t="s">
        <v>625</v>
      </c>
      <c r="C158" s="149">
        <v>107</v>
      </c>
      <c r="D158" s="149" t="s">
        <v>97</v>
      </c>
      <c r="E158" s="149" t="s">
        <v>98</v>
      </c>
      <c r="F158" s="84"/>
      <c r="G158" s="84"/>
      <c r="H158" s="149" t="s">
        <v>48</v>
      </c>
      <c r="I158" s="149" t="s">
        <v>158</v>
      </c>
      <c r="J158" s="149" t="s">
        <v>159</v>
      </c>
      <c r="K158" s="149" t="s">
        <v>163</v>
      </c>
      <c r="L158" s="149" t="s">
        <v>160</v>
      </c>
      <c r="M158" s="150">
        <v>46141</v>
      </c>
      <c r="N158" s="149">
        <v>4</v>
      </c>
      <c r="O158" s="148">
        <v>9177498</v>
      </c>
      <c r="P158" s="150">
        <v>46129</v>
      </c>
      <c r="Q158" s="149" t="s">
        <v>161</v>
      </c>
      <c r="R158" s="149">
        <v>5093</v>
      </c>
      <c r="S158" s="149" t="s">
        <v>358</v>
      </c>
      <c r="T158" s="149" t="s">
        <v>153</v>
      </c>
      <c r="U158" s="149" t="s">
        <v>359</v>
      </c>
      <c r="V158" s="149" t="s">
        <v>162</v>
      </c>
      <c r="W158" s="84"/>
      <c r="X158" s="149">
        <v>1</v>
      </c>
      <c r="Y158" s="149">
        <v>16530</v>
      </c>
      <c r="Z158" s="149">
        <v>16530</v>
      </c>
      <c r="AA158" s="149" t="s">
        <v>99</v>
      </c>
      <c r="AB158" s="149">
        <v>4</v>
      </c>
      <c r="AC158" s="150">
        <v>46129</v>
      </c>
      <c r="AD158" s="149" t="s">
        <v>173</v>
      </c>
      <c r="AE158" s="149">
        <v>8471</v>
      </c>
      <c r="AF158" s="149" t="s">
        <v>891</v>
      </c>
      <c r="AG158" s="84"/>
      <c r="AH158" s="84"/>
      <c r="AI158" s="149">
        <v>16530</v>
      </c>
      <c r="AJ158" s="149" t="s">
        <v>368</v>
      </c>
      <c r="AK158" s="149">
        <v>18</v>
      </c>
      <c r="AL158" s="149">
        <v>1487.70</v>
      </c>
      <c r="AM158" s="149">
        <v>1487.70</v>
      </c>
      <c r="AN158" s="149">
        <v>0</v>
      </c>
      <c r="AO158" s="149">
        <v>0</v>
      </c>
      <c r="AP158" s="149">
        <v>0</v>
      </c>
      <c r="AQ158" s="149">
        <v>0</v>
      </c>
      <c r="AR158" s="148">
        <v>0</v>
      </c>
      <c r="AS158" s="149">
        <v>0</v>
      </c>
      <c r="AT158" s="149">
        <v>0</v>
      </c>
      <c r="AU158" s="84"/>
      <c r="AV158" s="84"/>
      <c r="AW158" s="149">
        <v>0</v>
      </c>
      <c r="AX158" s="149">
        <v>19505.400000000001</v>
      </c>
      <c r="AY158" s="149" t="s">
        <v>100</v>
      </c>
      <c r="AZ158" s="149" t="s">
        <v>101</v>
      </c>
      <c r="BA158" s="149" t="s">
        <v>356</v>
      </c>
      <c r="BB158" s="149">
        <v>1126100464</v>
      </c>
      <c r="BC158" s="149" t="s">
        <v>105</v>
      </c>
      <c r="BD158" s="149" t="s">
        <v>104</v>
      </c>
      <c r="BE158" s="84"/>
      <c r="BF158" s="84" t="s">
        <v>270</v>
      </c>
      <c r="BG158" s="84" t="s">
        <v>281</v>
      </c>
      <c r="BH158" s="149" t="s">
        <v>289</v>
      </c>
      <c r="BI158" t="s">
        <v>155</v>
      </c>
      <c r="BJ158" t="s">
        <v>156</v>
      </c>
      <c r="BK158" t="s">
        <v>728</v>
      </c>
      <c r="BL158">
        <v>2975.40</v>
      </c>
      <c r="BM158">
        <v>6033.60</v>
      </c>
      <c r="BN158">
        <v>-3058</v>
      </c>
      <c r="BO158" t="s">
        <v>154</v>
      </c>
      <c r="BP158">
        <v>9177498</v>
      </c>
      <c r="BQ158" t="s">
        <v>270</v>
      </c>
      <c r="BR158" t="s">
        <v>630</v>
      </c>
      <c r="BS158">
        <v>3</v>
      </c>
    </row>
    <row r="159" spans="1:71" s="0" customFormat="1" ht="14.5">
      <c r="A159" s="148" t="s">
        <v>157</v>
      </c>
      <c r="B159" s="149" t="s">
        <v>625</v>
      </c>
      <c r="C159" s="149">
        <v>107</v>
      </c>
      <c r="D159" s="149" t="s">
        <v>97</v>
      </c>
      <c r="E159" s="149" t="s">
        <v>98</v>
      </c>
      <c r="F159" s="84"/>
      <c r="G159" s="84"/>
      <c r="H159" s="149" t="s">
        <v>48</v>
      </c>
      <c r="I159" s="149" t="s">
        <v>158</v>
      </c>
      <c r="J159" s="149" t="s">
        <v>159</v>
      </c>
      <c r="K159" s="149" t="s">
        <v>163</v>
      </c>
      <c r="L159" s="149" t="s">
        <v>160</v>
      </c>
      <c r="M159" s="150">
        <v>46126</v>
      </c>
      <c r="N159" s="149" t="s">
        <v>744</v>
      </c>
      <c r="O159" s="148">
        <v>9155618</v>
      </c>
      <c r="P159" s="150">
        <v>46114</v>
      </c>
      <c r="Q159" s="149" t="s">
        <v>161</v>
      </c>
      <c r="R159" s="149">
        <v>2770</v>
      </c>
      <c r="S159" s="149" t="s">
        <v>299</v>
      </c>
      <c r="T159" s="149" t="s">
        <v>174</v>
      </c>
      <c r="U159" s="149" t="s">
        <v>175</v>
      </c>
      <c r="V159" s="149" t="s">
        <v>162</v>
      </c>
      <c r="W159" s="84"/>
      <c r="X159" s="149">
        <v>1</v>
      </c>
      <c r="Y159" s="149">
        <v>489.06</v>
      </c>
      <c r="Z159" s="149">
        <v>489.06</v>
      </c>
      <c r="AA159" s="149" t="s">
        <v>99</v>
      </c>
      <c r="AB159" s="149" t="s">
        <v>744</v>
      </c>
      <c r="AC159" s="150">
        <v>46114</v>
      </c>
      <c r="AD159" s="149" t="s">
        <v>171</v>
      </c>
      <c r="AE159" s="149">
        <v>84439952</v>
      </c>
      <c r="AF159" s="149" t="s">
        <v>413</v>
      </c>
      <c r="AG159" s="84"/>
      <c r="AH159" s="84"/>
      <c r="AI159" s="149">
        <v>489.06</v>
      </c>
      <c r="AJ159" s="149" t="s">
        <v>368</v>
      </c>
      <c r="AK159" s="149">
        <v>18</v>
      </c>
      <c r="AL159" s="149">
        <v>44.02</v>
      </c>
      <c r="AM159" s="149">
        <v>44.02</v>
      </c>
      <c r="AN159" s="149">
        <v>0</v>
      </c>
      <c r="AO159" s="149">
        <v>0</v>
      </c>
      <c r="AP159" s="149">
        <v>0</v>
      </c>
      <c r="AQ159" s="149">
        <v>0</v>
      </c>
      <c r="AR159" s="148">
        <v>0</v>
      </c>
      <c r="AS159" s="149">
        <v>0</v>
      </c>
      <c r="AT159" s="149">
        <v>0</v>
      </c>
      <c r="AU159" s="84"/>
      <c r="AV159" s="84"/>
      <c r="AW159" s="149">
        <v>0</v>
      </c>
      <c r="AX159" s="149">
        <v>577.10</v>
      </c>
      <c r="AY159" s="149" t="s">
        <v>100</v>
      </c>
      <c r="AZ159" s="149" t="s">
        <v>101</v>
      </c>
      <c r="BA159" s="149" t="s">
        <v>642</v>
      </c>
      <c r="BB159" s="149">
        <v>1126100068</v>
      </c>
      <c r="BC159" s="149" t="s">
        <v>105</v>
      </c>
      <c r="BD159" s="149" t="s">
        <v>103</v>
      </c>
      <c r="BE159" s="84"/>
      <c r="BF159" s="84" t="s">
        <v>270</v>
      </c>
      <c r="BG159" s="84" t="s">
        <v>281</v>
      </c>
      <c r="BH159" s="149" t="s">
        <v>290</v>
      </c>
      <c r="BI159" t="s">
        <v>155</v>
      </c>
      <c r="BJ159" t="s">
        <v>156</v>
      </c>
      <c r="BK159" t="s">
        <v>745</v>
      </c>
      <c r="BL159">
        <v>88.04</v>
      </c>
      <c r="BM159">
        <v>840.10</v>
      </c>
      <c r="BN159">
        <v>-752</v>
      </c>
      <c r="BO159" t="s">
        <v>154</v>
      </c>
      <c r="BP159">
        <v>9155618</v>
      </c>
      <c r="BQ159" t="s">
        <v>270</v>
      </c>
      <c r="BR159" t="s">
        <v>630</v>
      </c>
      <c r="BS159">
        <v>3</v>
      </c>
    </row>
    <row r="160" spans="1:71" s="0" customFormat="1" ht="14.5">
      <c r="A160" s="148" t="s">
        <v>157</v>
      </c>
      <c r="B160" s="149" t="s">
        <v>625</v>
      </c>
      <c r="C160" s="149">
        <v>107</v>
      </c>
      <c r="D160" s="149" t="s">
        <v>97</v>
      </c>
      <c r="E160" s="149" t="s">
        <v>98</v>
      </c>
      <c r="F160" s="84"/>
      <c r="G160" s="84"/>
      <c r="H160" s="149" t="s">
        <v>48</v>
      </c>
      <c r="I160" s="149" t="s">
        <v>158</v>
      </c>
      <c r="J160" s="149" t="s">
        <v>159</v>
      </c>
      <c r="K160" s="149" t="s">
        <v>163</v>
      </c>
      <c r="L160" s="149" t="s">
        <v>160</v>
      </c>
      <c r="M160" s="150">
        <v>46136</v>
      </c>
      <c r="N160" s="149" t="s">
        <v>865</v>
      </c>
      <c r="O160" s="148">
        <v>9168299</v>
      </c>
      <c r="P160" s="150">
        <v>46127</v>
      </c>
      <c r="Q160" s="149" t="s">
        <v>161</v>
      </c>
      <c r="R160" s="149">
        <v>14097</v>
      </c>
      <c r="S160" s="149" t="s">
        <v>866</v>
      </c>
      <c r="T160" s="149" t="s">
        <v>153</v>
      </c>
      <c r="U160" s="149" t="s">
        <v>867</v>
      </c>
      <c r="V160" s="149" t="s">
        <v>162</v>
      </c>
      <c r="W160" s="84"/>
      <c r="X160" s="149">
        <v>4000</v>
      </c>
      <c r="Y160" s="149">
        <v>1</v>
      </c>
      <c r="Z160" s="149">
        <v>4000</v>
      </c>
      <c r="AA160" s="149" t="s">
        <v>99</v>
      </c>
      <c r="AB160" s="149" t="s">
        <v>865</v>
      </c>
      <c r="AC160" s="150">
        <v>46127</v>
      </c>
      <c r="AD160" s="149" t="s">
        <v>164</v>
      </c>
      <c r="AE160" s="149">
        <v>998712</v>
      </c>
      <c r="AF160" s="149" t="s">
        <v>892</v>
      </c>
      <c r="AG160" s="84"/>
      <c r="AH160" s="84"/>
      <c r="AI160" s="149">
        <v>4000</v>
      </c>
      <c r="AJ160" s="149" t="s">
        <v>368</v>
      </c>
      <c r="AK160" s="149">
        <v>18</v>
      </c>
      <c r="AL160" s="149">
        <v>360</v>
      </c>
      <c r="AM160" s="149">
        <v>360</v>
      </c>
      <c r="AN160" s="149">
        <v>0</v>
      </c>
      <c r="AO160" s="149">
        <v>0</v>
      </c>
      <c r="AP160" s="149">
        <v>0</v>
      </c>
      <c r="AQ160" s="149">
        <v>0</v>
      </c>
      <c r="AR160" s="148">
        <v>0</v>
      </c>
      <c r="AS160" s="149">
        <v>0</v>
      </c>
      <c r="AT160" s="149">
        <v>0</v>
      </c>
      <c r="AU160" s="84"/>
      <c r="AV160" s="84"/>
      <c r="AW160" s="149">
        <v>0</v>
      </c>
      <c r="AX160" s="149">
        <v>4720</v>
      </c>
      <c r="AY160" s="149" t="s">
        <v>100</v>
      </c>
      <c r="AZ160" s="149" t="s">
        <v>101</v>
      </c>
      <c r="BA160" s="149" t="s">
        <v>276</v>
      </c>
      <c r="BB160" s="149">
        <v>1126100392</v>
      </c>
      <c r="BC160" s="149" t="s">
        <v>105</v>
      </c>
      <c r="BD160" s="149" t="s">
        <v>103</v>
      </c>
      <c r="BE160" s="84"/>
      <c r="BF160" s="84" t="s">
        <v>270</v>
      </c>
      <c r="BG160" s="84" t="s">
        <v>281</v>
      </c>
      <c r="BH160" s="149" t="s">
        <v>289</v>
      </c>
      <c r="BI160" t="s">
        <v>155</v>
      </c>
      <c r="BJ160" t="s">
        <v>156</v>
      </c>
      <c r="BK160" t="s">
        <v>869</v>
      </c>
      <c r="BL160">
        <v>720</v>
      </c>
      <c r="BM160">
        <v>2952</v>
      </c>
      <c r="BN160">
        <v>-2232</v>
      </c>
      <c r="BO160" t="s">
        <v>154</v>
      </c>
      <c r="BP160">
        <v>9168299</v>
      </c>
      <c r="BQ160" t="s">
        <v>270</v>
      </c>
      <c r="BR160" t="s">
        <v>630</v>
      </c>
      <c r="BS160">
        <v>4</v>
      </c>
    </row>
    <row r="161" spans="1:71" s="0" customFormat="1" ht="14.5">
      <c r="A161" s="148" t="s">
        <v>157</v>
      </c>
      <c r="B161" s="149" t="s">
        <v>625</v>
      </c>
      <c r="C161" s="149">
        <v>107</v>
      </c>
      <c r="D161" s="149" t="s">
        <v>97</v>
      </c>
      <c r="E161" s="149" t="s">
        <v>98</v>
      </c>
      <c r="F161" s="84"/>
      <c r="G161" s="84"/>
      <c r="H161" s="149" t="s">
        <v>48</v>
      </c>
      <c r="I161" s="149" t="s">
        <v>158</v>
      </c>
      <c r="J161" s="149" t="s">
        <v>159</v>
      </c>
      <c r="K161" s="149" t="s">
        <v>163</v>
      </c>
      <c r="L161" s="149" t="s">
        <v>160</v>
      </c>
      <c r="M161" s="150">
        <v>46125</v>
      </c>
      <c r="N161" s="149" t="s">
        <v>893</v>
      </c>
      <c r="O161" s="148">
        <v>9151139</v>
      </c>
      <c r="P161" s="150">
        <v>46116</v>
      </c>
      <c r="Q161" s="149" t="s">
        <v>161</v>
      </c>
      <c r="R161" s="149">
        <v>38972</v>
      </c>
      <c r="S161" s="149" t="s">
        <v>304</v>
      </c>
      <c r="T161" s="149" t="s">
        <v>185</v>
      </c>
      <c r="U161" s="149" t="s">
        <v>305</v>
      </c>
      <c r="V161" s="149" t="s">
        <v>162</v>
      </c>
      <c r="W161" s="84"/>
      <c r="X161" s="149">
        <v>1350</v>
      </c>
      <c r="Y161" s="149">
        <v>1</v>
      </c>
      <c r="Z161" s="149">
        <v>1350</v>
      </c>
      <c r="AA161" s="149" t="s">
        <v>99</v>
      </c>
      <c r="AB161" s="149" t="s">
        <v>894</v>
      </c>
      <c r="AC161" s="150">
        <v>46116</v>
      </c>
      <c r="AD161" s="84"/>
      <c r="AE161" s="149">
        <v>991419</v>
      </c>
      <c r="AF161" s="149" t="s">
        <v>895</v>
      </c>
      <c r="AG161" s="84"/>
      <c r="AH161" s="84"/>
      <c r="AI161" s="149">
        <v>1350</v>
      </c>
      <c r="AJ161" s="149" t="s">
        <v>368</v>
      </c>
      <c r="AK161" s="149">
        <v>18</v>
      </c>
      <c r="AL161" s="149">
        <v>121.5</v>
      </c>
      <c r="AM161" s="149">
        <v>121.5</v>
      </c>
      <c r="AN161" s="149">
        <v>0</v>
      </c>
      <c r="AO161" s="149">
        <v>0</v>
      </c>
      <c r="AP161" s="149">
        <v>0</v>
      </c>
      <c r="AQ161" s="149">
        <v>0</v>
      </c>
      <c r="AR161" s="148">
        <v>0</v>
      </c>
      <c r="AS161" s="149">
        <v>0</v>
      </c>
      <c r="AT161" s="149">
        <v>0</v>
      </c>
      <c r="AU161" s="84"/>
      <c r="AV161" s="84"/>
      <c r="AW161" s="149">
        <v>0</v>
      </c>
      <c r="AX161" s="149">
        <v>1593</v>
      </c>
      <c r="AY161" s="149" t="s">
        <v>101</v>
      </c>
      <c r="AZ161" s="149" t="s">
        <v>101</v>
      </c>
      <c r="BA161" s="149" t="s">
        <v>306</v>
      </c>
      <c r="BB161" s="149">
        <v>1126100030</v>
      </c>
      <c r="BC161" s="149" t="s">
        <v>172</v>
      </c>
      <c r="BD161" s="149" t="s">
        <v>103</v>
      </c>
      <c r="BE161" s="84"/>
      <c r="BF161" s="84" t="s">
        <v>271</v>
      </c>
      <c r="BG161" s="84" t="s">
        <v>281</v>
      </c>
      <c r="BH161" s="149" t="s">
        <v>290</v>
      </c>
      <c r="BI161" t="s">
        <v>155</v>
      </c>
      <c r="BJ161" t="s">
        <v>156</v>
      </c>
      <c r="BK161" t="s">
        <v>896</v>
      </c>
      <c r="BL161">
        <v>243</v>
      </c>
      <c r="BM161">
        <v>11178</v>
      </c>
      <c r="BN161">
        <v>-10935</v>
      </c>
      <c r="BO161" t="s">
        <v>154</v>
      </c>
      <c r="BP161">
        <v>9151139</v>
      </c>
      <c r="BQ161" t="s">
        <v>271</v>
      </c>
      <c r="BR161" t="s">
        <v>630</v>
      </c>
      <c r="BS161">
        <v>2</v>
      </c>
    </row>
    <row r="162" spans="1:71" s="0" customFormat="1" ht="14.5">
      <c r="A162" s="148" t="s">
        <v>157</v>
      </c>
      <c r="B162" s="149" t="s">
        <v>625</v>
      </c>
      <c r="C162" s="149">
        <v>107</v>
      </c>
      <c r="D162" s="149" t="s">
        <v>97</v>
      </c>
      <c r="E162" s="149" t="s">
        <v>98</v>
      </c>
      <c r="F162" s="84"/>
      <c r="G162" s="149" t="s">
        <v>106</v>
      </c>
      <c r="H162" s="149" t="s">
        <v>48</v>
      </c>
      <c r="I162" s="149" t="s">
        <v>158</v>
      </c>
      <c r="J162" s="149" t="s">
        <v>165</v>
      </c>
      <c r="K162" s="149" t="s">
        <v>166</v>
      </c>
      <c r="L162" s="149" t="s">
        <v>160</v>
      </c>
      <c r="M162" s="150">
        <v>46127</v>
      </c>
      <c r="N162" s="149" t="s">
        <v>718</v>
      </c>
      <c r="O162" s="148">
        <v>9156752</v>
      </c>
      <c r="P162" s="150">
        <v>46115</v>
      </c>
      <c r="Q162" s="149" t="s">
        <v>161</v>
      </c>
      <c r="R162" s="149">
        <v>6262</v>
      </c>
      <c r="S162" s="149" t="s">
        <v>183</v>
      </c>
      <c r="T162" s="149" t="s">
        <v>182</v>
      </c>
      <c r="U162" s="149" t="s">
        <v>184</v>
      </c>
      <c r="V162" s="149" t="s">
        <v>162</v>
      </c>
      <c r="W162" s="84"/>
      <c r="X162" s="149">
        <v>1</v>
      </c>
      <c r="Y162" s="149">
        <v>1745</v>
      </c>
      <c r="Z162" s="149">
        <v>1745</v>
      </c>
      <c r="AA162" s="149" t="s">
        <v>99</v>
      </c>
      <c r="AB162" s="149" t="s">
        <v>718</v>
      </c>
      <c r="AC162" s="150">
        <v>46115</v>
      </c>
      <c r="AD162" s="149" t="s">
        <v>171</v>
      </c>
      <c r="AE162" s="149">
        <v>998413</v>
      </c>
      <c r="AF162" s="149" t="s">
        <v>897</v>
      </c>
      <c r="AG162" s="84"/>
      <c r="AH162" s="84"/>
      <c r="AI162" s="149">
        <v>1745</v>
      </c>
      <c r="AJ162" s="149" t="s">
        <v>368</v>
      </c>
      <c r="AK162" s="149">
        <v>18</v>
      </c>
      <c r="AL162" s="149">
        <v>157.05000000000001</v>
      </c>
      <c r="AM162" s="149">
        <v>157.05000000000001</v>
      </c>
      <c r="AN162" s="149">
        <v>0</v>
      </c>
      <c r="AO162" s="149">
        <v>0</v>
      </c>
      <c r="AP162" s="149">
        <v>0</v>
      </c>
      <c r="AQ162" s="149">
        <v>0</v>
      </c>
      <c r="AR162" s="148">
        <v>0</v>
      </c>
      <c r="AS162" s="149">
        <v>0</v>
      </c>
      <c r="AT162" s="149">
        <v>0</v>
      </c>
      <c r="AU162" s="84"/>
      <c r="AV162" s="84"/>
      <c r="AW162" s="149">
        <v>0</v>
      </c>
      <c r="AX162" s="149">
        <v>2059.10</v>
      </c>
      <c r="AY162" s="149" t="s">
        <v>100</v>
      </c>
      <c r="AZ162" s="149" t="s">
        <v>101</v>
      </c>
      <c r="BA162" s="149" t="s">
        <v>449</v>
      </c>
      <c r="BB162" s="149">
        <v>1126100080</v>
      </c>
      <c r="BC162" s="149" t="s">
        <v>105</v>
      </c>
      <c r="BD162" s="149" t="s">
        <v>103</v>
      </c>
      <c r="BE162" s="84"/>
      <c r="BF162" s="84" t="s">
        <v>270</v>
      </c>
      <c r="BG162" s="84" t="s">
        <v>281</v>
      </c>
      <c r="BH162" s="149" t="s">
        <v>290</v>
      </c>
      <c r="BI162" t="s">
        <v>155</v>
      </c>
      <c r="BJ162" t="s">
        <v>156</v>
      </c>
      <c r="BK162" t="s">
        <v>720</v>
      </c>
      <c r="BL162">
        <v>314.10000000000002</v>
      </c>
      <c r="BM162">
        <v>385.92</v>
      </c>
      <c r="BN162">
        <v>-72</v>
      </c>
      <c r="BO162" t="s">
        <v>154</v>
      </c>
      <c r="BP162">
        <v>9156752</v>
      </c>
      <c r="BQ162" t="s">
        <v>270</v>
      </c>
      <c r="BR162" t="s">
        <v>630</v>
      </c>
      <c r="BS162">
        <v>2</v>
      </c>
    </row>
    <row r="163" spans="1:71" s="0" customFormat="1" ht="14.5">
      <c r="A163" s="148" t="s">
        <v>157</v>
      </c>
      <c r="B163" s="149" t="s">
        <v>625</v>
      </c>
      <c r="C163" s="149">
        <v>107</v>
      </c>
      <c r="D163" s="149" t="s">
        <v>97</v>
      </c>
      <c r="E163" s="149" t="s">
        <v>98</v>
      </c>
      <c r="F163" s="84"/>
      <c r="G163" s="149" t="s">
        <v>106</v>
      </c>
      <c r="H163" s="149" t="s">
        <v>48</v>
      </c>
      <c r="I163" s="149" t="s">
        <v>158</v>
      </c>
      <c r="J163" s="149" t="s">
        <v>165</v>
      </c>
      <c r="K163" s="149" t="s">
        <v>166</v>
      </c>
      <c r="L163" s="149" t="s">
        <v>160</v>
      </c>
      <c r="M163" s="150">
        <v>46140</v>
      </c>
      <c r="N163" s="149" t="s">
        <v>660</v>
      </c>
      <c r="O163" s="148">
        <v>9175014</v>
      </c>
      <c r="P163" s="150">
        <v>46129</v>
      </c>
      <c r="Q163" s="149" t="s">
        <v>161</v>
      </c>
      <c r="R163" s="149">
        <v>15979</v>
      </c>
      <c r="S163" s="149" t="s">
        <v>369</v>
      </c>
      <c r="T163" s="149" t="s">
        <v>169</v>
      </c>
      <c r="U163" s="149" t="s">
        <v>370</v>
      </c>
      <c r="V163" s="149" t="s">
        <v>162</v>
      </c>
      <c r="W163" s="84"/>
      <c r="X163" s="149">
        <v>1354</v>
      </c>
      <c r="Y163" s="149">
        <v>1</v>
      </c>
      <c r="Z163" s="149">
        <v>1354</v>
      </c>
      <c r="AA163" s="149" t="s">
        <v>99</v>
      </c>
      <c r="AB163" s="149" t="s">
        <v>660</v>
      </c>
      <c r="AC163" s="150">
        <v>46129</v>
      </c>
      <c r="AD163" s="149" t="s">
        <v>164</v>
      </c>
      <c r="AE163" s="149">
        <v>27101990</v>
      </c>
      <c r="AF163" s="149" t="s">
        <v>450</v>
      </c>
      <c r="AG163" s="84"/>
      <c r="AH163" s="84"/>
      <c r="AI163" s="149">
        <v>1354</v>
      </c>
      <c r="AJ163" s="149" t="s">
        <v>368</v>
      </c>
      <c r="AK163" s="149">
        <v>18</v>
      </c>
      <c r="AL163" s="149">
        <v>121.86</v>
      </c>
      <c r="AM163" s="149">
        <v>121.86</v>
      </c>
      <c r="AN163" s="149">
        <v>0</v>
      </c>
      <c r="AO163" s="149">
        <v>0</v>
      </c>
      <c r="AP163" s="149">
        <v>0</v>
      </c>
      <c r="AQ163" s="149">
        <v>0</v>
      </c>
      <c r="AR163" s="148">
        <v>0</v>
      </c>
      <c r="AS163" s="149">
        <v>0</v>
      </c>
      <c r="AT163" s="149">
        <v>0</v>
      </c>
      <c r="AU163" s="84"/>
      <c r="AV163" s="84"/>
      <c r="AW163" s="149">
        <v>0</v>
      </c>
      <c r="AX163" s="149">
        <v>1597.72</v>
      </c>
      <c r="AY163" s="149" t="s">
        <v>101</v>
      </c>
      <c r="AZ163" s="149" t="s">
        <v>101</v>
      </c>
      <c r="BA163" s="149" t="s">
        <v>662</v>
      </c>
      <c r="BB163" s="149">
        <v>1126100447</v>
      </c>
      <c r="BC163" s="149" t="s">
        <v>172</v>
      </c>
      <c r="BD163" s="149" t="s">
        <v>272</v>
      </c>
      <c r="BE163" s="84"/>
      <c r="BF163" s="84" t="s">
        <v>271</v>
      </c>
      <c r="BG163" s="84" t="s">
        <v>281</v>
      </c>
      <c r="BH163" s="149" t="s">
        <v>290</v>
      </c>
      <c r="BI163" t="s">
        <v>155</v>
      </c>
      <c r="BJ163" t="s">
        <v>156</v>
      </c>
      <c r="BK163" t="s">
        <v>663</v>
      </c>
      <c r="BL163">
        <v>243.72</v>
      </c>
      <c r="BM163">
        <v>2435.38</v>
      </c>
      <c r="BN163">
        <v>-2192</v>
      </c>
      <c r="BO163" t="s">
        <v>154</v>
      </c>
      <c r="BP163">
        <v>9175014</v>
      </c>
      <c r="BQ163" t="s">
        <v>271</v>
      </c>
      <c r="BR163" t="s">
        <v>630</v>
      </c>
      <c r="BS163">
        <v>18</v>
      </c>
    </row>
    <row r="164" spans="1:71" s="0" customFormat="1" ht="14.5">
      <c r="A164" s="148" t="s">
        <v>157</v>
      </c>
      <c r="B164" s="149" t="s">
        <v>625</v>
      </c>
      <c r="C164" s="149">
        <v>107</v>
      </c>
      <c r="D164" s="149" t="s">
        <v>97</v>
      </c>
      <c r="E164" s="149" t="s">
        <v>98</v>
      </c>
      <c r="F164" s="84"/>
      <c r="G164" s="149" t="s">
        <v>106</v>
      </c>
      <c r="H164" s="149" t="s">
        <v>48</v>
      </c>
      <c r="I164" s="149" t="s">
        <v>158</v>
      </c>
      <c r="J164" s="149" t="s">
        <v>165</v>
      </c>
      <c r="K164" s="149" t="s">
        <v>166</v>
      </c>
      <c r="L164" s="149" t="s">
        <v>160</v>
      </c>
      <c r="M164" s="150">
        <v>46140</v>
      </c>
      <c r="N164" s="149" t="s">
        <v>660</v>
      </c>
      <c r="O164" s="148">
        <v>9175014</v>
      </c>
      <c r="P164" s="150">
        <v>46129</v>
      </c>
      <c r="Q164" s="149" t="s">
        <v>161</v>
      </c>
      <c r="R164" s="149">
        <v>15979</v>
      </c>
      <c r="S164" s="149" t="s">
        <v>369</v>
      </c>
      <c r="T164" s="149" t="s">
        <v>169</v>
      </c>
      <c r="U164" s="149" t="s">
        <v>370</v>
      </c>
      <c r="V164" s="149" t="s">
        <v>162</v>
      </c>
      <c r="W164" s="84"/>
      <c r="X164" s="149">
        <v>27</v>
      </c>
      <c r="Y164" s="149">
        <v>8</v>
      </c>
      <c r="Z164" s="149">
        <v>216</v>
      </c>
      <c r="AA164" s="149" t="s">
        <v>99</v>
      </c>
      <c r="AB164" s="149" t="s">
        <v>660</v>
      </c>
      <c r="AC164" s="150">
        <v>46129</v>
      </c>
      <c r="AD164" s="149" t="s">
        <v>164</v>
      </c>
      <c r="AE164" s="149">
        <v>87089900</v>
      </c>
      <c r="AF164" s="149" t="s">
        <v>374</v>
      </c>
      <c r="AG164" s="84"/>
      <c r="AH164" s="84"/>
      <c r="AI164" s="149">
        <v>216</v>
      </c>
      <c r="AJ164" s="149" t="s">
        <v>368</v>
      </c>
      <c r="AK164" s="149">
        <v>18</v>
      </c>
      <c r="AL164" s="149">
        <v>19.440000000000001</v>
      </c>
      <c r="AM164" s="149">
        <v>19.440000000000001</v>
      </c>
      <c r="AN164" s="149">
        <v>0</v>
      </c>
      <c r="AO164" s="149">
        <v>0</v>
      </c>
      <c r="AP164" s="149">
        <v>0</v>
      </c>
      <c r="AQ164" s="149">
        <v>0</v>
      </c>
      <c r="AR164" s="148">
        <v>0</v>
      </c>
      <c r="AS164" s="149">
        <v>0</v>
      </c>
      <c r="AT164" s="149">
        <v>0</v>
      </c>
      <c r="AU164" s="84"/>
      <c r="AV164" s="84"/>
      <c r="AW164" s="149">
        <v>0</v>
      </c>
      <c r="AX164" s="149">
        <v>254.88</v>
      </c>
      <c r="AY164" s="149" t="s">
        <v>101</v>
      </c>
      <c r="AZ164" s="149" t="s">
        <v>101</v>
      </c>
      <c r="BA164" s="149" t="s">
        <v>662</v>
      </c>
      <c r="BB164" s="149">
        <v>1126100447</v>
      </c>
      <c r="BC164" s="149" t="s">
        <v>172</v>
      </c>
      <c r="BD164" s="149" t="s">
        <v>272</v>
      </c>
      <c r="BE164" s="84"/>
      <c r="BF164" s="84" t="s">
        <v>271</v>
      </c>
      <c r="BG164" s="84" t="s">
        <v>281</v>
      </c>
      <c r="BH164" s="149" t="s">
        <v>290</v>
      </c>
      <c r="BI164" t="s">
        <v>155</v>
      </c>
      <c r="BJ164" t="s">
        <v>156</v>
      </c>
      <c r="BK164" t="s">
        <v>663</v>
      </c>
      <c r="BL164">
        <v>38.880000000000003</v>
      </c>
      <c r="BM164">
        <v>2435.38</v>
      </c>
      <c r="BN164">
        <v>-2397</v>
      </c>
      <c r="BO164" t="s">
        <v>154</v>
      </c>
      <c r="BP164">
        <v>9175014</v>
      </c>
      <c r="BQ164" t="s">
        <v>271</v>
      </c>
      <c r="BR164" t="s">
        <v>630</v>
      </c>
      <c r="BS164">
        <v>18</v>
      </c>
    </row>
    <row r="165" spans="1:71" s="0" customFormat="1" ht="14.5">
      <c r="A165" s="148" t="s">
        <v>157</v>
      </c>
      <c r="B165" s="149" t="s">
        <v>625</v>
      </c>
      <c r="C165" s="149">
        <v>107</v>
      </c>
      <c r="D165" s="149" t="s">
        <v>97</v>
      </c>
      <c r="E165" s="149" t="s">
        <v>98</v>
      </c>
      <c r="F165" s="84"/>
      <c r="G165" s="84"/>
      <c r="H165" s="149" t="s">
        <v>48</v>
      </c>
      <c r="I165" s="149" t="s">
        <v>158</v>
      </c>
      <c r="J165" s="149" t="s">
        <v>159</v>
      </c>
      <c r="K165" s="149" t="s">
        <v>421</v>
      </c>
      <c r="L165" s="149" t="s">
        <v>160</v>
      </c>
      <c r="M165" s="150">
        <v>46133</v>
      </c>
      <c r="N165" s="149" t="s">
        <v>898</v>
      </c>
      <c r="O165" s="148">
        <v>9164381</v>
      </c>
      <c r="P165" s="150">
        <v>46115</v>
      </c>
      <c r="Q165" s="149" t="s">
        <v>161</v>
      </c>
      <c r="R165" s="149">
        <v>6262</v>
      </c>
      <c r="S165" s="149" t="s">
        <v>183</v>
      </c>
      <c r="T165" s="149" t="s">
        <v>182</v>
      </c>
      <c r="U165" s="149" t="s">
        <v>184</v>
      </c>
      <c r="V165" s="149" t="s">
        <v>162</v>
      </c>
      <c r="W165" s="84"/>
      <c r="X165" s="149">
        <v>1</v>
      </c>
      <c r="Y165" s="149">
        <v>399</v>
      </c>
      <c r="Z165" s="149">
        <v>399</v>
      </c>
      <c r="AA165" s="149" t="s">
        <v>99</v>
      </c>
      <c r="AB165" s="149" t="s">
        <v>898</v>
      </c>
      <c r="AC165" s="150">
        <v>46115</v>
      </c>
      <c r="AD165" s="149" t="s">
        <v>171</v>
      </c>
      <c r="AE165" s="149">
        <v>998412</v>
      </c>
      <c r="AF165" s="149" t="s">
        <v>702</v>
      </c>
      <c r="AG165" s="84"/>
      <c r="AH165" s="84"/>
      <c r="AI165" s="149">
        <v>399</v>
      </c>
      <c r="AJ165" s="149" t="s">
        <v>368</v>
      </c>
      <c r="AK165" s="149">
        <v>18</v>
      </c>
      <c r="AL165" s="149">
        <v>35.909999999999997</v>
      </c>
      <c r="AM165" s="149">
        <v>35.909999999999997</v>
      </c>
      <c r="AN165" s="149">
        <v>0</v>
      </c>
      <c r="AO165" s="149">
        <v>0</v>
      </c>
      <c r="AP165" s="149">
        <v>0</v>
      </c>
      <c r="AQ165" s="149">
        <v>0</v>
      </c>
      <c r="AR165" s="148">
        <v>0</v>
      </c>
      <c r="AS165" s="149">
        <v>0</v>
      </c>
      <c r="AT165" s="149">
        <v>0</v>
      </c>
      <c r="AU165" s="84"/>
      <c r="AV165" s="84"/>
      <c r="AW165" s="149">
        <v>0</v>
      </c>
      <c r="AX165" s="149">
        <v>470.82</v>
      </c>
      <c r="AY165" s="149" t="s">
        <v>100</v>
      </c>
      <c r="AZ165" s="149" t="s">
        <v>101</v>
      </c>
      <c r="BA165" s="149" t="s">
        <v>422</v>
      </c>
      <c r="BB165" s="149">
        <v>1126100277</v>
      </c>
      <c r="BC165" s="149" t="s">
        <v>105</v>
      </c>
      <c r="BD165" s="149" t="s">
        <v>103</v>
      </c>
      <c r="BE165" s="84"/>
      <c r="BF165" s="84" t="s">
        <v>270</v>
      </c>
      <c r="BG165" s="84" t="s">
        <v>281</v>
      </c>
      <c r="BH165" s="149" t="s">
        <v>290</v>
      </c>
      <c r="BI165" t="s">
        <v>155</v>
      </c>
      <c r="BJ165" t="s">
        <v>156</v>
      </c>
      <c r="BK165" t="s">
        <v>899</v>
      </c>
      <c r="BL165">
        <v>71.819999999999993</v>
      </c>
      <c r="BM165">
        <v>71.819999999999993</v>
      </c>
      <c r="BN165">
        <v>0</v>
      </c>
      <c r="BO165" t="s">
        <v>154</v>
      </c>
      <c r="BP165">
        <v>9164381</v>
      </c>
      <c r="BQ165" t="s">
        <v>270</v>
      </c>
      <c r="BR165" t="s">
        <v>630</v>
      </c>
      <c r="BS165">
        <v>1</v>
      </c>
    </row>
    <row r="166" spans="1:71" s="0" customFormat="1" ht="14.5">
      <c r="A166" s="148" t="s">
        <v>157</v>
      </c>
      <c r="B166" s="149" t="s">
        <v>625</v>
      </c>
      <c r="C166" s="149">
        <v>107</v>
      </c>
      <c r="D166" s="149" t="s">
        <v>97</v>
      </c>
      <c r="E166" s="149" t="s">
        <v>98</v>
      </c>
      <c r="F166" s="84"/>
      <c r="G166" s="84"/>
      <c r="H166" s="149" t="s">
        <v>48</v>
      </c>
      <c r="I166" s="149" t="s">
        <v>158</v>
      </c>
      <c r="J166" s="149" t="s">
        <v>159</v>
      </c>
      <c r="K166" s="149" t="s">
        <v>163</v>
      </c>
      <c r="L166" s="149" t="s">
        <v>160</v>
      </c>
      <c r="M166" s="150">
        <v>46133</v>
      </c>
      <c r="N166" s="149" t="s">
        <v>678</v>
      </c>
      <c r="O166" s="148">
        <v>9167056</v>
      </c>
      <c r="P166" s="150">
        <v>46123</v>
      </c>
      <c r="Q166" s="149" t="s">
        <v>161</v>
      </c>
      <c r="R166" s="149">
        <v>42255</v>
      </c>
      <c r="S166" s="149" t="s">
        <v>436</v>
      </c>
      <c r="T166" s="149" t="s">
        <v>437</v>
      </c>
      <c r="U166" s="84"/>
      <c r="V166" s="149" t="s">
        <v>162</v>
      </c>
      <c r="W166" s="84"/>
      <c r="X166" s="149">
        <v>15000</v>
      </c>
      <c r="Y166" s="149">
        <v>1</v>
      </c>
      <c r="Z166" s="149">
        <v>15000</v>
      </c>
      <c r="AA166" s="149" t="s">
        <v>99</v>
      </c>
      <c r="AB166" s="149" t="s">
        <v>679</v>
      </c>
      <c r="AC166" s="150">
        <v>46123</v>
      </c>
      <c r="AD166" s="84"/>
      <c r="AE166" s="149">
        <v>998216</v>
      </c>
      <c r="AF166" s="149" t="s">
        <v>900</v>
      </c>
      <c r="AG166" s="84"/>
      <c r="AH166" s="84"/>
      <c r="AI166" s="149">
        <v>15000</v>
      </c>
      <c r="AJ166" s="149" t="s">
        <v>368</v>
      </c>
      <c r="AK166" s="149">
        <v>18</v>
      </c>
      <c r="AL166" s="149">
        <v>0</v>
      </c>
      <c r="AM166" s="149">
        <v>0</v>
      </c>
      <c r="AN166" s="149">
        <v>2700</v>
      </c>
      <c r="AO166" s="149">
        <v>0</v>
      </c>
      <c r="AP166" s="149">
        <v>0</v>
      </c>
      <c r="AQ166" s="149">
        <v>0</v>
      </c>
      <c r="AR166" s="148">
        <v>0</v>
      </c>
      <c r="AS166" s="149">
        <v>0</v>
      </c>
      <c r="AT166" s="149">
        <v>0</v>
      </c>
      <c r="AU166" s="84"/>
      <c r="AV166" s="84"/>
      <c r="AW166" s="149">
        <v>0</v>
      </c>
      <c r="AX166" s="149">
        <v>17700</v>
      </c>
      <c r="AY166" s="149" t="s">
        <v>100</v>
      </c>
      <c r="AZ166" s="149" t="s">
        <v>100</v>
      </c>
      <c r="BA166" s="149" t="s">
        <v>200</v>
      </c>
      <c r="BB166" s="149">
        <v>1126100300</v>
      </c>
      <c r="BC166" s="149" t="s">
        <v>211</v>
      </c>
      <c r="BD166" s="149" t="s">
        <v>103</v>
      </c>
      <c r="BE166" s="84"/>
      <c r="BF166" s="84" t="s">
        <v>210</v>
      </c>
      <c r="BG166" s="84" t="s">
        <v>280</v>
      </c>
      <c r="BH166" s="149" t="s">
        <v>289</v>
      </c>
      <c r="BI166" t="s">
        <v>155</v>
      </c>
      <c r="BJ166" t="s">
        <v>156</v>
      </c>
      <c r="BK166" t="s">
        <v>679</v>
      </c>
      <c r="BL166">
        <v>2700</v>
      </c>
      <c r="BM166" t="e">
        <v>#N/A</v>
      </c>
      <c r="BN166" t="e">
        <v>#N/A</v>
      </c>
      <c r="BO166" t="s">
        <v>199</v>
      </c>
      <c r="BP166">
        <v>9167056</v>
      </c>
      <c r="BQ166" t="s">
        <v>210</v>
      </c>
      <c r="BR166" t="s">
        <v>199</v>
      </c>
      <c r="BS166">
        <v>3</v>
      </c>
    </row>
    <row r="167" spans="1:71" s="0" customFormat="1" ht="14.5">
      <c r="A167" s="148" t="s">
        <v>157</v>
      </c>
      <c r="B167" s="149" t="s">
        <v>625</v>
      </c>
      <c r="C167" s="149">
        <v>107</v>
      </c>
      <c r="D167" s="149" t="s">
        <v>97</v>
      </c>
      <c r="E167" s="149" t="s">
        <v>98</v>
      </c>
      <c r="F167" s="84"/>
      <c r="G167" s="84"/>
      <c r="H167" s="149" t="s">
        <v>48</v>
      </c>
      <c r="I167" s="149" t="s">
        <v>158</v>
      </c>
      <c r="J167" s="149" t="s">
        <v>159</v>
      </c>
      <c r="K167" s="149" t="s">
        <v>163</v>
      </c>
      <c r="L167" s="149" t="s">
        <v>160</v>
      </c>
      <c r="M167" s="150">
        <v>46141</v>
      </c>
      <c r="N167" s="149">
        <v>4</v>
      </c>
      <c r="O167" s="148">
        <v>9177498</v>
      </c>
      <c r="P167" s="150">
        <v>46129</v>
      </c>
      <c r="Q167" s="149" t="s">
        <v>161</v>
      </c>
      <c r="R167" s="149">
        <v>5093</v>
      </c>
      <c r="S167" s="149" t="s">
        <v>358</v>
      </c>
      <c r="T167" s="149" t="s">
        <v>153</v>
      </c>
      <c r="U167" s="149" t="s">
        <v>359</v>
      </c>
      <c r="V167" s="149" t="s">
        <v>162</v>
      </c>
      <c r="W167" s="84"/>
      <c r="X167" s="149">
        <v>1</v>
      </c>
      <c r="Y167" s="149">
        <v>2250</v>
      </c>
      <c r="Z167" s="149">
        <v>2250</v>
      </c>
      <c r="AA167" s="149" t="s">
        <v>99</v>
      </c>
      <c r="AB167" s="149">
        <v>4</v>
      </c>
      <c r="AC167" s="150">
        <v>46129</v>
      </c>
      <c r="AD167" s="149" t="s">
        <v>173</v>
      </c>
      <c r="AE167" s="149">
        <v>8544</v>
      </c>
      <c r="AF167" s="149" t="s">
        <v>901</v>
      </c>
      <c r="AG167" s="84"/>
      <c r="AH167" s="84"/>
      <c r="AI167" s="149">
        <v>2250</v>
      </c>
      <c r="AJ167" s="149" t="s">
        <v>368</v>
      </c>
      <c r="AK167" s="149">
        <v>18</v>
      </c>
      <c r="AL167" s="149">
        <v>202.5</v>
      </c>
      <c r="AM167" s="149">
        <v>202.5</v>
      </c>
      <c r="AN167" s="149">
        <v>0</v>
      </c>
      <c r="AO167" s="149">
        <v>0</v>
      </c>
      <c r="AP167" s="149">
        <v>0</v>
      </c>
      <c r="AQ167" s="149">
        <v>0</v>
      </c>
      <c r="AR167" s="148">
        <v>0</v>
      </c>
      <c r="AS167" s="149">
        <v>0</v>
      </c>
      <c r="AT167" s="149">
        <v>0</v>
      </c>
      <c r="AU167" s="84"/>
      <c r="AV167" s="84"/>
      <c r="AW167" s="149">
        <v>0</v>
      </c>
      <c r="AX167" s="149">
        <v>2655</v>
      </c>
      <c r="AY167" s="149" t="s">
        <v>100</v>
      </c>
      <c r="AZ167" s="149" t="s">
        <v>101</v>
      </c>
      <c r="BA167" s="149" t="s">
        <v>356</v>
      </c>
      <c r="BB167" s="149">
        <v>1126100464</v>
      </c>
      <c r="BC167" s="149" t="s">
        <v>105</v>
      </c>
      <c r="BD167" s="149" t="s">
        <v>104</v>
      </c>
      <c r="BE167" s="84"/>
      <c r="BF167" s="84" t="s">
        <v>270</v>
      </c>
      <c r="BG167" s="84" t="s">
        <v>281</v>
      </c>
      <c r="BH167" s="149" t="s">
        <v>289</v>
      </c>
      <c r="BI167" t="s">
        <v>155</v>
      </c>
      <c r="BJ167" t="s">
        <v>156</v>
      </c>
      <c r="BK167" t="s">
        <v>728</v>
      </c>
      <c r="BL167">
        <v>405</v>
      </c>
      <c r="BM167">
        <v>6033.60</v>
      </c>
      <c r="BN167">
        <v>-5629</v>
      </c>
      <c r="BO167" t="s">
        <v>154</v>
      </c>
      <c r="BP167">
        <v>9177498</v>
      </c>
      <c r="BQ167" t="s">
        <v>270</v>
      </c>
      <c r="BR167" t="s">
        <v>630</v>
      </c>
      <c r="BS167">
        <v>3</v>
      </c>
    </row>
    <row r="168" spans="1:71" s="0" customFormat="1" ht="14.5">
      <c r="A168" s="148" t="s">
        <v>157</v>
      </c>
      <c r="B168" s="149" t="s">
        <v>625</v>
      </c>
      <c r="C168" s="149">
        <v>107</v>
      </c>
      <c r="D168" s="149" t="s">
        <v>97</v>
      </c>
      <c r="E168" s="149" t="s">
        <v>98</v>
      </c>
      <c r="F168" s="84"/>
      <c r="G168" s="84"/>
      <c r="H168" s="149" t="s">
        <v>48</v>
      </c>
      <c r="I168" s="149" t="s">
        <v>158</v>
      </c>
      <c r="J168" s="149" t="s">
        <v>159</v>
      </c>
      <c r="K168" s="149" t="s">
        <v>163</v>
      </c>
      <c r="L168" s="149" t="s">
        <v>160</v>
      </c>
      <c r="M168" s="150">
        <v>46126</v>
      </c>
      <c r="N168" s="149" t="s">
        <v>724</v>
      </c>
      <c r="O168" s="148">
        <v>9155607</v>
      </c>
      <c r="P168" s="150">
        <v>46114</v>
      </c>
      <c r="Q168" s="149" t="s">
        <v>161</v>
      </c>
      <c r="R168" s="149">
        <v>2770</v>
      </c>
      <c r="S168" s="149" t="s">
        <v>299</v>
      </c>
      <c r="T168" s="149" t="s">
        <v>174</v>
      </c>
      <c r="U168" s="149" t="s">
        <v>175</v>
      </c>
      <c r="V168" s="149" t="s">
        <v>162</v>
      </c>
      <c r="W168" s="84"/>
      <c r="X168" s="149">
        <v>1</v>
      </c>
      <c r="Y168" s="149">
        <v>685.23</v>
      </c>
      <c r="Z168" s="149">
        <v>685.23</v>
      </c>
      <c r="AA168" s="149" t="s">
        <v>99</v>
      </c>
      <c r="AB168" s="149" t="s">
        <v>724</v>
      </c>
      <c r="AC168" s="150">
        <v>46114</v>
      </c>
      <c r="AD168" s="149" t="s">
        <v>171</v>
      </c>
      <c r="AE168" s="149">
        <v>84439952</v>
      </c>
      <c r="AF168" s="149" t="s">
        <v>902</v>
      </c>
      <c r="AG168" s="84"/>
      <c r="AH168" s="84"/>
      <c r="AI168" s="149">
        <v>685.23</v>
      </c>
      <c r="AJ168" s="149" t="s">
        <v>368</v>
      </c>
      <c r="AK168" s="149">
        <v>18</v>
      </c>
      <c r="AL168" s="149">
        <v>61.67</v>
      </c>
      <c r="AM168" s="149">
        <v>61.67</v>
      </c>
      <c r="AN168" s="149">
        <v>0</v>
      </c>
      <c r="AO168" s="149">
        <v>0</v>
      </c>
      <c r="AP168" s="149">
        <v>0</v>
      </c>
      <c r="AQ168" s="149">
        <v>0</v>
      </c>
      <c r="AR168" s="148">
        <v>0</v>
      </c>
      <c r="AS168" s="149">
        <v>0</v>
      </c>
      <c r="AT168" s="149">
        <v>0</v>
      </c>
      <c r="AU168" s="84"/>
      <c r="AV168" s="84"/>
      <c r="AW168" s="149">
        <v>0</v>
      </c>
      <c r="AX168" s="149">
        <v>808.57</v>
      </c>
      <c r="AY168" s="149" t="s">
        <v>100</v>
      </c>
      <c r="AZ168" s="149" t="s">
        <v>101</v>
      </c>
      <c r="BA168" s="149" t="s">
        <v>642</v>
      </c>
      <c r="BB168" s="149">
        <v>1126100057</v>
      </c>
      <c r="BC168" s="149" t="s">
        <v>105</v>
      </c>
      <c r="BD168" s="149" t="s">
        <v>103</v>
      </c>
      <c r="BE168" s="84"/>
      <c r="BF168" s="84" t="s">
        <v>270</v>
      </c>
      <c r="BG168" s="84" t="s">
        <v>281</v>
      </c>
      <c r="BH168" s="149" t="s">
        <v>290</v>
      </c>
      <c r="BI168" t="s">
        <v>155</v>
      </c>
      <c r="BJ168" t="s">
        <v>156</v>
      </c>
      <c r="BK168" t="s">
        <v>726</v>
      </c>
      <c r="BL168">
        <v>123.34</v>
      </c>
      <c r="BM168">
        <v>2568.60</v>
      </c>
      <c r="BN168">
        <v>-2445</v>
      </c>
      <c r="BO168" t="s">
        <v>154</v>
      </c>
      <c r="BP168">
        <v>9155607</v>
      </c>
      <c r="BQ168" t="s">
        <v>270</v>
      </c>
      <c r="BR168" t="s">
        <v>630</v>
      </c>
      <c r="BS168">
        <v>4</v>
      </c>
    </row>
    <row r="169" spans="1:71" s="0" customFormat="1" ht="14.5">
      <c r="A169" s="148" t="s">
        <v>157</v>
      </c>
      <c r="B169" s="149" t="s">
        <v>625</v>
      </c>
      <c r="C169" s="149">
        <v>107</v>
      </c>
      <c r="D169" s="149" t="s">
        <v>97</v>
      </c>
      <c r="E169" s="149" t="s">
        <v>98</v>
      </c>
      <c r="F169" s="84"/>
      <c r="G169" s="84"/>
      <c r="H169" s="149" t="s">
        <v>48</v>
      </c>
      <c r="I169" s="149" t="s">
        <v>158</v>
      </c>
      <c r="J169" s="149" t="s">
        <v>159</v>
      </c>
      <c r="K169" s="149" t="s">
        <v>163</v>
      </c>
      <c r="L169" s="149" t="s">
        <v>160</v>
      </c>
      <c r="M169" s="150">
        <v>46133</v>
      </c>
      <c r="N169" s="149" t="s">
        <v>772</v>
      </c>
      <c r="O169" s="148">
        <v>9164653</v>
      </c>
      <c r="P169" s="150">
        <v>46127</v>
      </c>
      <c r="Q169" s="149" t="s">
        <v>161</v>
      </c>
      <c r="R169" s="149">
        <v>39845</v>
      </c>
      <c r="S169" s="149" t="s">
        <v>377</v>
      </c>
      <c r="T169" s="149" t="s">
        <v>170</v>
      </c>
      <c r="U169" s="149" t="s">
        <v>378</v>
      </c>
      <c r="V169" s="149" t="s">
        <v>162</v>
      </c>
      <c r="W169" s="84"/>
      <c r="X169" s="149">
        <v>1</v>
      </c>
      <c r="Y169" s="149">
        <v>19282.5</v>
      </c>
      <c r="Z169" s="149">
        <v>19282.5</v>
      </c>
      <c r="AA169" s="149" t="s">
        <v>99</v>
      </c>
      <c r="AB169" s="149" t="s">
        <v>772</v>
      </c>
      <c r="AC169" s="150">
        <v>46127</v>
      </c>
      <c r="AD169" s="149" t="s">
        <v>164</v>
      </c>
      <c r="AE169" s="149">
        <v>17049020</v>
      </c>
      <c r="AF169" s="149" t="s">
        <v>443</v>
      </c>
      <c r="AG169" s="84"/>
      <c r="AH169" s="84"/>
      <c r="AI169" s="149">
        <v>19282.5</v>
      </c>
      <c r="AJ169" s="149" t="s">
        <v>368</v>
      </c>
      <c r="AK169" s="149">
        <v>5</v>
      </c>
      <c r="AL169" s="149">
        <v>0</v>
      </c>
      <c r="AM169" s="149">
        <v>0</v>
      </c>
      <c r="AN169" s="149">
        <v>964.13</v>
      </c>
      <c r="AO169" s="149">
        <v>0</v>
      </c>
      <c r="AP169" s="149">
        <v>0</v>
      </c>
      <c r="AQ169" s="149">
        <v>0</v>
      </c>
      <c r="AR169" s="148">
        <v>0</v>
      </c>
      <c r="AS169" s="149">
        <v>0</v>
      </c>
      <c r="AT169" s="149">
        <v>0</v>
      </c>
      <c r="AU169" s="84"/>
      <c r="AV169" s="84"/>
      <c r="AW169" s="149">
        <v>0</v>
      </c>
      <c r="AX169" s="149">
        <v>20246.63</v>
      </c>
      <c r="AY169" s="149" t="s">
        <v>101</v>
      </c>
      <c r="AZ169" s="149" t="s">
        <v>101</v>
      </c>
      <c r="BA169" s="149" t="s">
        <v>167</v>
      </c>
      <c r="BB169" s="149">
        <v>1126100308</v>
      </c>
      <c r="BC169" s="149" t="s">
        <v>379</v>
      </c>
      <c r="BD169" s="149" t="s">
        <v>104</v>
      </c>
      <c r="BE169" s="84"/>
      <c r="BF169" s="84" t="s">
        <v>271</v>
      </c>
      <c r="BG169" s="84" t="s">
        <v>281</v>
      </c>
      <c r="BH169" s="149" t="s">
        <v>290</v>
      </c>
      <c r="BI169" t="s">
        <v>155</v>
      </c>
      <c r="BJ169" t="s">
        <v>156</v>
      </c>
      <c r="BK169" t="s">
        <v>774</v>
      </c>
      <c r="BL169">
        <v>964.13</v>
      </c>
      <c r="BM169">
        <v>1632.71</v>
      </c>
      <c r="BN169">
        <v>-669</v>
      </c>
      <c r="BO169" t="s">
        <v>154</v>
      </c>
      <c r="BP169">
        <v>9164653</v>
      </c>
      <c r="BQ169" t="s">
        <v>271</v>
      </c>
      <c r="BR169" t="s">
        <v>630</v>
      </c>
      <c r="BS169">
        <v>3</v>
      </c>
    </row>
    <row r="170" spans="1:71" s="0" customFormat="1" ht="14.5">
      <c r="A170" s="148" t="s">
        <v>157</v>
      </c>
      <c r="B170" s="149" t="s">
        <v>625</v>
      </c>
      <c r="C170" s="149">
        <v>107</v>
      </c>
      <c r="D170" s="149" t="s">
        <v>97</v>
      </c>
      <c r="E170" s="149" t="s">
        <v>98</v>
      </c>
      <c r="F170" s="84"/>
      <c r="G170" s="84"/>
      <c r="H170" s="149" t="s">
        <v>48</v>
      </c>
      <c r="I170" s="149" t="s">
        <v>158</v>
      </c>
      <c r="J170" s="149" t="s">
        <v>159</v>
      </c>
      <c r="K170" s="149" t="s">
        <v>163</v>
      </c>
      <c r="L170" s="149" t="s">
        <v>160</v>
      </c>
      <c r="M170" s="150">
        <v>46142</v>
      </c>
      <c r="N170" s="149">
        <v>78</v>
      </c>
      <c r="O170" s="148">
        <v>9178850</v>
      </c>
      <c r="P170" s="150">
        <v>46086</v>
      </c>
      <c r="Q170" s="149" t="s">
        <v>161</v>
      </c>
      <c r="R170" s="149">
        <v>41585</v>
      </c>
      <c r="S170" s="149" t="s">
        <v>903</v>
      </c>
      <c r="T170" s="149" t="s">
        <v>372</v>
      </c>
      <c r="U170" s="149" t="s">
        <v>904</v>
      </c>
      <c r="V170" s="149" t="s">
        <v>162</v>
      </c>
      <c r="W170" s="84"/>
      <c r="X170" s="149">
        <v>650000</v>
      </c>
      <c r="Y170" s="149">
        <v>1</v>
      </c>
      <c r="Z170" s="149">
        <v>650000</v>
      </c>
      <c r="AA170" s="149" t="s">
        <v>99</v>
      </c>
      <c r="AB170" s="149">
        <v>78</v>
      </c>
      <c r="AC170" s="150">
        <v>46086</v>
      </c>
      <c r="AD170" s="149" t="s">
        <v>164</v>
      </c>
      <c r="AE170" s="149">
        <v>998596</v>
      </c>
      <c r="AF170" s="149" t="s">
        <v>905</v>
      </c>
      <c r="AG170" s="84"/>
      <c r="AH170" s="84"/>
      <c r="AI170" s="149">
        <v>650000</v>
      </c>
      <c r="AJ170" s="149" t="s">
        <v>368</v>
      </c>
      <c r="AK170" s="149">
        <v>18</v>
      </c>
      <c r="AL170" s="149">
        <v>58500</v>
      </c>
      <c r="AM170" s="149">
        <v>58500</v>
      </c>
      <c r="AN170" s="149">
        <v>0</v>
      </c>
      <c r="AO170" s="149">
        <v>0</v>
      </c>
      <c r="AP170" s="149">
        <v>0</v>
      </c>
      <c r="AQ170" s="149">
        <v>0</v>
      </c>
      <c r="AR170" s="148">
        <v>0</v>
      </c>
      <c r="AS170" s="149">
        <v>0</v>
      </c>
      <c r="AT170" s="149">
        <v>0</v>
      </c>
      <c r="AU170" s="84"/>
      <c r="AV170" s="84"/>
      <c r="AW170" s="149">
        <v>0</v>
      </c>
      <c r="AX170" s="149">
        <v>767000</v>
      </c>
      <c r="AY170" s="149" t="s">
        <v>101</v>
      </c>
      <c r="AZ170" s="149" t="s">
        <v>101</v>
      </c>
      <c r="BA170" s="149" t="s">
        <v>642</v>
      </c>
      <c r="BB170" s="149">
        <v>1126100494</v>
      </c>
      <c r="BC170" s="149" t="s">
        <v>172</v>
      </c>
      <c r="BD170" s="149" t="s">
        <v>103</v>
      </c>
      <c r="BE170" s="84"/>
      <c r="BF170" s="84" t="s">
        <v>271</v>
      </c>
      <c r="BG170" s="84" t="s">
        <v>281</v>
      </c>
      <c r="BH170" s="149" t="s">
        <v>290</v>
      </c>
      <c r="BI170" t="s">
        <v>155</v>
      </c>
      <c r="BJ170" t="s">
        <v>156</v>
      </c>
      <c r="BK170" t="s">
        <v>906</v>
      </c>
      <c r="BL170">
        <v>117000</v>
      </c>
      <c r="BM170">
        <v>117000</v>
      </c>
      <c r="BN170">
        <v>0</v>
      </c>
      <c r="BO170" t="s">
        <v>154</v>
      </c>
      <c r="BP170">
        <v>9178850</v>
      </c>
      <c r="BQ170" t="s">
        <v>271</v>
      </c>
      <c r="BR170" t="s">
        <v>307</v>
      </c>
      <c r="BS170">
        <v>1</v>
      </c>
    </row>
    <row r="171" spans="1:71" s="0" customFormat="1" ht="14.5">
      <c r="A171" s="148" t="s">
        <v>157</v>
      </c>
      <c r="B171" s="149" t="s">
        <v>625</v>
      </c>
      <c r="C171" s="149">
        <v>107</v>
      </c>
      <c r="D171" s="149" t="s">
        <v>97</v>
      </c>
      <c r="E171" s="149" t="s">
        <v>98</v>
      </c>
      <c r="F171" s="84"/>
      <c r="G171" s="84"/>
      <c r="H171" s="149" t="s">
        <v>48</v>
      </c>
      <c r="I171" s="149" t="s">
        <v>158</v>
      </c>
      <c r="J171" s="149" t="s">
        <v>159</v>
      </c>
      <c r="K171" s="149" t="s">
        <v>163</v>
      </c>
      <c r="L171" s="149" t="s">
        <v>160</v>
      </c>
      <c r="M171" s="150">
        <v>46125</v>
      </c>
      <c r="N171" s="149" t="s">
        <v>907</v>
      </c>
      <c r="O171" s="148">
        <v>9151133</v>
      </c>
      <c r="P171" s="150">
        <v>46113</v>
      </c>
      <c r="Q171" s="149" t="s">
        <v>161</v>
      </c>
      <c r="R171" s="149">
        <v>45452</v>
      </c>
      <c r="S171" s="149" t="s">
        <v>908</v>
      </c>
      <c r="T171" s="149" t="s">
        <v>170</v>
      </c>
      <c r="U171" s="149" t="s">
        <v>909</v>
      </c>
      <c r="V171" s="149" t="s">
        <v>162</v>
      </c>
      <c r="W171" s="84"/>
      <c r="X171" s="149">
        <v>1</v>
      </c>
      <c r="Y171" s="149">
        <v>140000</v>
      </c>
      <c r="Z171" s="149">
        <v>140000</v>
      </c>
      <c r="AA171" s="149" t="s">
        <v>99</v>
      </c>
      <c r="AB171" s="149" t="s">
        <v>907</v>
      </c>
      <c r="AC171" s="150">
        <v>46113</v>
      </c>
      <c r="AD171" s="149" t="s">
        <v>171</v>
      </c>
      <c r="AE171" s="149">
        <v>997212</v>
      </c>
      <c r="AF171" s="149" t="s">
        <v>910</v>
      </c>
      <c r="AG171" s="84"/>
      <c r="AH171" s="84"/>
      <c r="AI171" s="149">
        <v>140000</v>
      </c>
      <c r="AJ171" s="149" t="s">
        <v>368</v>
      </c>
      <c r="AK171" s="149">
        <v>18</v>
      </c>
      <c r="AL171" s="149">
        <v>12600</v>
      </c>
      <c r="AM171" s="149">
        <v>12600</v>
      </c>
      <c r="AN171" s="149">
        <v>0</v>
      </c>
      <c r="AO171" s="149">
        <v>0</v>
      </c>
      <c r="AP171" s="149">
        <v>0</v>
      </c>
      <c r="AQ171" s="149">
        <v>0</v>
      </c>
      <c r="AR171" s="148">
        <v>0</v>
      </c>
      <c r="AS171" s="149">
        <v>0</v>
      </c>
      <c r="AT171" s="149">
        <v>0</v>
      </c>
      <c r="AU171" s="84"/>
      <c r="AV171" s="84"/>
      <c r="AW171" s="149">
        <v>0</v>
      </c>
      <c r="AX171" s="149">
        <v>165200</v>
      </c>
      <c r="AY171" s="149" t="s">
        <v>101</v>
      </c>
      <c r="AZ171" s="149" t="s">
        <v>101</v>
      </c>
      <c r="BA171" s="149" t="s">
        <v>187</v>
      </c>
      <c r="BB171" s="149">
        <v>1126100023</v>
      </c>
      <c r="BC171" s="149" t="s">
        <v>172</v>
      </c>
      <c r="BD171" s="149" t="s">
        <v>103</v>
      </c>
      <c r="BE171" s="84"/>
      <c r="BF171" s="84" t="s">
        <v>271</v>
      </c>
      <c r="BG171" s="84" t="s">
        <v>281</v>
      </c>
      <c r="BH171" s="149" t="s">
        <v>289</v>
      </c>
      <c r="BI171" t="s">
        <v>155</v>
      </c>
      <c r="BJ171" t="s">
        <v>156</v>
      </c>
      <c r="BK171" t="s">
        <v>911</v>
      </c>
      <c r="BL171">
        <v>25200</v>
      </c>
      <c r="BM171">
        <v>25200</v>
      </c>
      <c r="BN171">
        <v>0</v>
      </c>
      <c r="BO171" t="s">
        <v>154</v>
      </c>
      <c r="BP171">
        <v>9151133</v>
      </c>
      <c r="BQ171" t="s">
        <v>271</v>
      </c>
      <c r="BR171" t="s">
        <v>630</v>
      </c>
      <c r="BS171">
        <v>1</v>
      </c>
    </row>
    <row r="172" spans="1:71" s="0" customFormat="1" ht="14.5">
      <c r="A172" s="148" t="s">
        <v>157</v>
      </c>
      <c r="B172" s="149" t="s">
        <v>625</v>
      </c>
      <c r="C172" s="149">
        <v>107</v>
      </c>
      <c r="D172" s="149" t="s">
        <v>97</v>
      </c>
      <c r="E172" s="149" t="s">
        <v>98</v>
      </c>
      <c r="F172" s="84"/>
      <c r="G172" s="84"/>
      <c r="H172" s="149" t="s">
        <v>48</v>
      </c>
      <c r="I172" s="149" t="s">
        <v>158</v>
      </c>
      <c r="J172" s="149" t="s">
        <v>159</v>
      </c>
      <c r="K172" s="149" t="s">
        <v>163</v>
      </c>
      <c r="L172" s="149" t="s">
        <v>160</v>
      </c>
      <c r="M172" s="150">
        <v>46126</v>
      </c>
      <c r="N172" s="149" t="s">
        <v>912</v>
      </c>
      <c r="O172" s="148">
        <v>9155617</v>
      </c>
      <c r="P172" s="150">
        <v>46114</v>
      </c>
      <c r="Q172" s="149" t="s">
        <v>161</v>
      </c>
      <c r="R172" s="149">
        <v>2770</v>
      </c>
      <c r="S172" s="149" t="s">
        <v>299</v>
      </c>
      <c r="T172" s="149" t="s">
        <v>174</v>
      </c>
      <c r="U172" s="149" t="s">
        <v>175</v>
      </c>
      <c r="V172" s="149" t="s">
        <v>162</v>
      </c>
      <c r="W172" s="84"/>
      <c r="X172" s="149">
        <v>1</v>
      </c>
      <c r="Y172" s="149">
        <v>3743.55</v>
      </c>
      <c r="Z172" s="149">
        <v>3743.55</v>
      </c>
      <c r="AA172" s="149" t="s">
        <v>99</v>
      </c>
      <c r="AB172" s="149" t="s">
        <v>912</v>
      </c>
      <c r="AC172" s="150">
        <v>46114</v>
      </c>
      <c r="AD172" s="149" t="s">
        <v>171</v>
      </c>
      <c r="AE172" s="149">
        <v>84439952</v>
      </c>
      <c r="AF172" s="149" t="s">
        <v>452</v>
      </c>
      <c r="AG172" s="84"/>
      <c r="AH172" s="84"/>
      <c r="AI172" s="149">
        <v>3743.55</v>
      </c>
      <c r="AJ172" s="149" t="s">
        <v>368</v>
      </c>
      <c r="AK172" s="149">
        <v>18</v>
      </c>
      <c r="AL172" s="149">
        <v>336.92</v>
      </c>
      <c r="AM172" s="149">
        <v>336.92</v>
      </c>
      <c r="AN172" s="149">
        <v>0</v>
      </c>
      <c r="AO172" s="149">
        <v>0</v>
      </c>
      <c r="AP172" s="149">
        <v>0</v>
      </c>
      <c r="AQ172" s="149">
        <v>0</v>
      </c>
      <c r="AR172" s="148">
        <v>0</v>
      </c>
      <c r="AS172" s="149">
        <v>0</v>
      </c>
      <c r="AT172" s="149">
        <v>0</v>
      </c>
      <c r="AU172" s="84"/>
      <c r="AV172" s="84"/>
      <c r="AW172" s="149">
        <v>0</v>
      </c>
      <c r="AX172" s="149">
        <v>4417.3900000000003</v>
      </c>
      <c r="AY172" s="149" t="s">
        <v>100</v>
      </c>
      <c r="AZ172" s="149" t="s">
        <v>101</v>
      </c>
      <c r="BA172" s="149" t="s">
        <v>642</v>
      </c>
      <c r="BB172" s="149">
        <v>1126100067</v>
      </c>
      <c r="BC172" s="149" t="s">
        <v>105</v>
      </c>
      <c r="BD172" s="149" t="s">
        <v>103</v>
      </c>
      <c r="BE172" s="84"/>
      <c r="BF172" s="84" t="s">
        <v>270</v>
      </c>
      <c r="BG172" s="84" t="s">
        <v>281</v>
      </c>
      <c r="BH172" s="149" t="s">
        <v>290</v>
      </c>
      <c r="BI172" t="s">
        <v>155</v>
      </c>
      <c r="BJ172" t="s">
        <v>156</v>
      </c>
      <c r="BK172" t="s">
        <v>913</v>
      </c>
      <c r="BL172">
        <v>673.84</v>
      </c>
      <c r="BM172">
        <v>673.84</v>
      </c>
      <c r="BN172">
        <v>0</v>
      </c>
      <c r="BO172" t="s">
        <v>154</v>
      </c>
      <c r="BP172">
        <v>9155617</v>
      </c>
      <c r="BQ172" t="s">
        <v>270</v>
      </c>
      <c r="BR172" t="s">
        <v>630</v>
      </c>
      <c r="BS172">
        <v>1</v>
      </c>
    </row>
    <row r="173" spans="1:71" s="0" customFormat="1" ht="14.5">
      <c r="A173" s="148" t="s">
        <v>157</v>
      </c>
      <c r="B173" s="149" t="s">
        <v>625</v>
      </c>
      <c r="C173" s="149">
        <v>107</v>
      </c>
      <c r="D173" s="149" t="s">
        <v>97</v>
      </c>
      <c r="E173" s="149" t="s">
        <v>98</v>
      </c>
      <c r="F173" s="84"/>
      <c r="G173" s="84"/>
      <c r="H173" s="149" t="s">
        <v>48</v>
      </c>
      <c r="I173" s="149" t="s">
        <v>158</v>
      </c>
      <c r="J173" s="149" t="s">
        <v>159</v>
      </c>
      <c r="K173" s="149" t="s">
        <v>166</v>
      </c>
      <c r="L173" s="149" t="s">
        <v>160</v>
      </c>
      <c r="M173" s="150">
        <v>46142</v>
      </c>
      <c r="N173" s="149" t="s">
        <v>914</v>
      </c>
      <c r="O173" s="148">
        <v>9178797</v>
      </c>
      <c r="P173" s="150">
        <v>46090</v>
      </c>
      <c r="Q173" s="149" t="s">
        <v>161</v>
      </c>
      <c r="R173" s="149">
        <v>11570</v>
      </c>
      <c r="S173" s="149" t="s">
        <v>343</v>
      </c>
      <c r="T173" s="149" t="s">
        <v>349</v>
      </c>
      <c r="U173" s="149" t="s">
        <v>350</v>
      </c>
      <c r="V173" s="84"/>
      <c r="W173" s="84"/>
      <c r="X173" s="149">
        <v>0</v>
      </c>
      <c r="Y173" s="149">
        <v>0</v>
      </c>
      <c r="Z173" s="149">
        <v>8075</v>
      </c>
      <c r="AA173" s="149" t="s">
        <v>99</v>
      </c>
      <c r="AB173" s="149" t="s">
        <v>914</v>
      </c>
      <c r="AC173" s="150">
        <v>46090</v>
      </c>
      <c r="AD173" s="84"/>
      <c r="AE173" s="149">
        <v>9971</v>
      </c>
      <c r="AF173" s="149" t="s">
        <v>915</v>
      </c>
      <c r="AG173" s="84"/>
      <c r="AH173" s="84"/>
      <c r="AI173" s="149">
        <v>8075</v>
      </c>
      <c r="AJ173" s="149" t="s">
        <v>368</v>
      </c>
      <c r="AK173" s="149">
        <v>18</v>
      </c>
      <c r="AL173" s="149">
        <v>0</v>
      </c>
      <c r="AM173" s="149">
        <v>0</v>
      </c>
      <c r="AN173" s="149">
        <v>1453.5</v>
      </c>
      <c r="AO173" s="149">
        <v>0</v>
      </c>
      <c r="AP173" s="149">
        <v>0</v>
      </c>
      <c r="AQ173" s="149">
        <v>0</v>
      </c>
      <c r="AR173" s="148">
        <v>0</v>
      </c>
      <c r="AS173" s="149">
        <v>0</v>
      </c>
      <c r="AT173" s="149">
        <v>0</v>
      </c>
      <c r="AU173" s="84"/>
      <c r="AV173" s="84"/>
      <c r="AW173" s="149">
        <v>0</v>
      </c>
      <c r="AX173" s="149">
        <v>9528.5</v>
      </c>
      <c r="AY173" s="149" t="s">
        <v>101</v>
      </c>
      <c r="AZ173" s="149" t="s">
        <v>101</v>
      </c>
      <c r="BA173" s="149" t="s">
        <v>642</v>
      </c>
      <c r="BB173" s="149">
        <v>1126100479</v>
      </c>
      <c r="BC173" s="149" t="s">
        <v>168</v>
      </c>
      <c r="BD173" s="149" t="s">
        <v>103</v>
      </c>
      <c r="BE173" s="84"/>
      <c r="BF173" s="84" t="s">
        <v>271</v>
      </c>
      <c r="BG173" s="84" t="s">
        <v>281</v>
      </c>
      <c r="BH173" s="149" t="s">
        <v>290</v>
      </c>
      <c r="BI173" t="s">
        <v>155</v>
      </c>
      <c r="BJ173" t="s">
        <v>156</v>
      </c>
      <c r="BK173" t="s">
        <v>916</v>
      </c>
      <c r="BL173">
        <v>1453.5</v>
      </c>
      <c r="BM173">
        <v>1454</v>
      </c>
      <c r="BN173">
        <v>-1</v>
      </c>
      <c r="BO173" t="s">
        <v>154</v>
      </c>
      <c r="BP173">
        <v>9178797</v>
      </c>
      <c r="BQ173" t="s">
        <v>271</v>
      </c>
      <c r="BR173" t="s">
        <v>307</v>
      </c>
      <c r="BS173">
        <v>1</v>
      </c>
    </row>
    <row r="174" spans="1:71" s="0" customFormat="1" ht="14.5">
      <c r="A174" s="148" t="s">
        <v>157</v>
      </c>
      <c r="B174" s="149" t="s">
        <v>625</v>
      </c>
      <c r="C174" s="149">
        <v>107</v>
      </c>
      <c r="D174" s="149" t="s">
        <v>97</v>
      </c>
      <c r="E174" s="149" t="s">
        <v>98</v>
      </c>
      <c r="F174" s="84"/>
      <c r="G174" s="84"/>
      <c r="H174" s="149" t="s">
        <v>48</v>
      </c>
      <c r="I174" s="149" t="s">
        <v>158</v>
      </c>
      <c r="J174" s="149" t="s">
        <v>159</v>
      </c>
      <c r="K174" s="149" t="s">
        <v>163</v>
      </c>
      <c r="L174" s="149" t="s">
        <v>160</v>
      </c>
      <c r="M174" s="150">
        <v>46126</v>
      </c>
      <c r="N174" s="149" t="s">
        <v>746</v>
      </c>
      <c r="O174" s="148">
        <v>9155608</v>
      </c>
      <c r="P174" s="150">
        <v>46114</v>
      </c>
      <c r="Q174" s="149" t="s">
        <v>161</v>
      </c>
      <c r="R174" s="149">
        <v>2770</v>
      </c>
      <c r="S174" s="149" t="s">
        <v>299</v>
      </c>
      <c r="T174" s="149" t="s">
        <v>174</v>
      </c>
      <c r="U174" s="149" t="s">
        <v>175</v>
      </c>
      <c r="V174" s="149" t="s">
        <v>162</v>
      </c>
      <c r="W174" s="84"/>
      <c r="X174" s="149">
        <v>1</v>
      </c>
      <c r="Y174" s="149">
        <v>3486.99</v>
      </c>
      <c r="Z174" s="149">
        <v>3486.99</v>
      </c>
      <c r="AA174" s="149" t="s">
        <v>99</v>
      </c>
      <c r="AB174" s="149" t="s">
        <v>746</v>
      </c>
      <c r="AC174" s="150">
        <v>46114</v>
      </c>
      <c r="AD174" s="149" t="s">
        <v>171</v>
      </c>
      <c r="AE174" s="149">
        <v>84439952</v>
      </c>
      <c r="AF174" s="149" t="s">
        <v>917</v>
      </c>
      <c r="AG174" s="84"/>
      <c r="AH174" s="84"/>
      <c r="AI174" s="149">
        <v>3486.99</v>
      </c>
      <c r="AJ174" s="149" t="s">
        <v>368</v>
      </c>
      <c r="AK174" s="149">
        <v>18</v>
      </c>
      <c r="AL174" s="149">
        <v>313.83</v>
      </c>
      <c r="AM174" s="149">
        <v>313.83</v>
      </c>
      <c r="AN174" s="149">
        <v>0</v>
      </c>
      <c r="AO174" s="149">
        <v>0</v>
      </c>
      <c r="AP174" s="149">
        <v>0</v>
      </c>
      <c r="AQ174" s="149">
        <v>0</v>
      </c>
      <c r="AR174" s="148">
        <v>0</v>
      </c>
      <c r="AS174" s="149">
        <v>0</v>
      </c>
      <c r="AT174" s="149">
        <v>0</v>
      </c>
      <c r="AU174" s="84"/>
      <c r="AV174" s="84"/>
      <c r="AW174" s="149">
        <v>0</v>
      </c>
      <c r="AX174" s="149">
        <v>4114.6499999999996</v>
      </c>
      <c r="AY174" s="149" t="s">
        <v>100</v>
      </c>
      <c r="AZ174" s="149" t="s">
        <v>101</v>
      </c>
      <c r="BA174" s="149" t="s">
        <v>642</v>
      </c>
      <c r="BB174" s="149">
        <v>1126100058</v>
      </c>
      <c r="BC174" s="149" t="s">
        <v>105</v>
      </c>
      <c r="BD174" s="149" t="s">
        <v>103</v>
      </c>
      <c r="BE174" s="84"/>
      <c r="BF174" s="84" t="s">
        <v>270</v>
      </c>
      <c r="BG174" s="84" t="s">
        <v>281</v>
      </c>
      <c r="BH174" s="149" t="s">
        <v>290</v>
      </c>
      <c r="BI174" t="s">
        <v>155</v>
      </c>
      <c r="BJ174" t="s">
        <v>156</v>
      </c>
      <c r="BK174" t="s">
        <v>747</v>
      </c>
      <c r="BL174">
        <v>627.66</v>
      </c>
      <c r="BM174">
        <v>1873.72</v>
      </c>
      <c r="BN174">
        <v>-1246</v>
      </c>
      <c r="BO174" t="s">
        <v>154</v>
      </c>
      <c r="BP174">
        <v>9155608</v>
      </c>
      <c r="BQ174" t="s">
        <v>270</v>
      </c>
      <c r="BR174" t="s">
        <v>630</v>
      </c>
      <c r="BS174">
        <v>4</v>
      </c>
    </row>
    <row r="175" spans="1:71" s="0" customFormat="1" ht="14.5">
      <c r="A175" s="148" t="s">
        <v>157</v>
      </c>
      <c r="B175" s="149" t="s">
        <v>625</v>
      </c>
      <c r="C175" s="149">
        <v>107</v>
      </c>
      <c r="D175" s="149" t="s">
        <v>97</v>
      </c>
      <c r="E175" s="149" t="s">
        <v>98</v>
      </c>
      <c r="F175" s="84"/>
      <c r="G175" s="84"/>
      <c r="H175" s="149" t="s">
        <v>48</v>
      </c>
      <c r="I175" s="149" t="s">
        <v>158</v>
      </c>
      <c r="J175" s="149" t="s">
        <v>159</v>
      </c>
      <c r="K175" s="149" t="s">
        <v>163</v>
      </c>
      <c r="L175" s="149" t="s">
        <v>160</v>
      </c>
      <c r="M175" s="150">
        <v>46136</v>
      </c>
      <c r="N175" s="149" t="s">
        <v>865</v>
      </c>
      <c r="O175" s="148">
        <v>9168299</v>
      </c>
      <c r="P175" s="150">
        <v>46127</v>
      </c>
      <c r="Q175" s="149" t="s">
        <v>161</v>
      </c>
      <c r="R175" s="149">
        <v>14097</v>
      </c>
      <c r="S175" s="149" t="s">
        <v>866</v>
      </c>
      <c r="T175" s="149" t="s">
        <v>153</v>
      </c>
      <c r="U175" s="149" t="s">
        <v>867</v>
      </c>
      <c r="V175" s="149" t="s">
        <v>162</v>
      </c>
      <c r="W175" s="84"/>
      <c r="X175" s="149">
        <v>3000</v>
      </c>
      <c r="Y175" s="149">
        <v>2</v>
      </c>
      <c r="Z175" s="149">
        <v>6000</v>
      </c>
      <c r="AA175" s="149" t="s">
        <v>99</v>
      </c>
      <c r="AB175" s="149" t="s">
        <v>865</v>
      </c>
      <c r="AC175" s="150">
        <v>46127</v>
      </c>
      <c r="AD175" s="149" t="s">
        <v>164</v>
      </c>
      <c r="AE175" s="149">
        <v>998712</v>
      </c>
      <c r="AF175" s="149" t="s">
        <v>918</v>
      </c>
      <c r="AG175" s="84"/>
      <c r="AH175" s="84"/>
      <c r="AI175" s="149">
        <v>6000</v>
      </c>
      <c r="AJ175" s="149" t="s">
        <v>368</v>
      </c>
      <c r="AK175" s="149">
        <v>18</v>
      </c>
      <c r="AL175" s="149">
        <v>540</v>
      </c>
      <c r="AM175" s="149">
        <v>540</v>
      </c>
      <c r="AN175" s="149">
        <v>0</v>
      </c>
      <c r="AO175" s="149">
        <v>0</v>
      </c>
      <c r="AP175" s="149">
        <v>0</v>
      </c>
      <c r="AQ175" s="149">
        <v>0</v>
      </c>
      <c r="AR175" s="148">
        <v>0</v>
      </c>
      <c r="AS175" s="149">
        <v>0</v>
      </c>
      <c r="AT175" s="149">
        <v>0</v>
      </c>
      <c r="AU175" s="84"/>
      <c r="AV175" s="84"/>
      <c r="AW175" s="149">
        <v>0</v>
      </c>
      <c r="AX175" s="149">
        <v>7080</v>
      </c>
      <c r="AY175" s="149" t="s">
        <v>100</v>
      </c>
      <c r="AZ175" s="149" t="s">
        <v>101</v>
      </c>
      <c r="BA175" s="149" t="s">
        <v>276</v>
      </c>
      <c r="BB175" s="149">
        <v>1126100392</v>
      </c>
      <c r="BC175" s="149" t="s">
        <v>105</v>
      </c>
      <c r="BD175" s="149" t="s">
        <v>103</v>
      </c>
      <c r="BE175" s="84"/>
      <c r="BF175" s="84" t="s">
        <v>270</v>
      </c>
      <c r="BG175" s="84" t="s">
        <v>281</v>
      </c>
      <c r="BH175" s="149" t="s">
        <v>289</v>
      </c>
      <c r="BI175" t="s">
        <v>155</v>
      </c>
      <c r="BJ175" t="s">
        <v>156</v>
      </c>
      <c r="BK175" t="s">
        <v>869</v>
      </c>
      <c r="BL175">
        <v>1080</v>
      </c>
      <c r="BM175">
        <v>2952</v>
      </c>
      <c r="BN175">
        <v>-1872</v>
      </c>
      <c r="BO175" t="s">
        <v>154</v>
      </c>
      <c r="BP175">
        <v>9168299</v>
      </c>
      <c r="BQ175" t="s">
        <v>270</v>
      </c>
      <c r="BR175" t="s">
        <v>630</v>
      </c>
      <c r="BS175">
        <v>4</v>
      </c>
    </row>
    <row r="176" spans="1:71" s="0" customFormat="1" ht="14.5">
      <c r="A176" s="148" t="s">
        <v>157</v>
      </c>
      <c r="B176" s="149" t="s">
        <v>625</v>
      </c>
      <c r="C176" s="149">
        <v>107</v>
      </c>
      <c r="D176" s="149" t="s">
        <v>97</v>
      </c>
      <c r="E176" s="149" t="s">
        <v>98</v>
      </c>
      <c r="F176" s="84"/>
      <c r="G176" s="84"/>
      <c r="H176" s="149" t="s">
        <v>48</v>
      </c>
      <c r="I176" s="149" t="s">
        <v>158</v>
      </c>
      <c r="J176" s="149" t="s">
        <v>159</v>
      </c>
      <c r="K176" s="149" t="s">
        <v>421</v>
      </c>
      <c r="L176" s="149" t="s">
        <v>160</v>
      </c>
      <c r="M176" s="150">
        <v>46133</v>
      </c>
      <c r="N176" s="149" t="s">
        <v>919</v>
      </c>
      <c r="O176" s="148">
        <v>9164390</v>
      </c>
      <c r="P176" s="150">
        <v>46115</v>
      </c>
      <c r="Q176" s="149" t="s">
        <v>161</v>
      </c>
      <c r="R176" s="149">
        <v>6262</v>
      </c>
      <c r="S176" s="149" t="s">
        <v>183</v>
      </c>
      <c r="T176" s="149" t="s">
        <v>182</v>
      </c>
      <c r="U176" s="149" t="s">
        <v>184</v>
      </c>
      <c r="V176" s="149" t="s">
        <v>162</v>
      </c>
      <c r="W176" s="84"/>
      <c r="X176" s="149">
        <v>1</v>
      </c>
      <c r="Y176" s="149">
        <v>2196</v>
      </c>
      <c r="Z176" s="149">
        <v>2196</v>
      </c>
      <c r="AA176" s="149" t="s">
        <v>99</v>
      </c>
      <c r="AB176" s="149" t="s">
        <v>919</v>
      </c>
      <c r="AC176" s="150">
        <v>46115</v>
      </c>
      <c r="AD176" s="149" t="s">
        <v>171</v>
      </c>
      <c r="AE176" s="149">
        <v>998412</v>
      </c>
      <c r="AF176" s="149" t="s">
        <v>920</v>
      </c>
      <c r="AG176" s="84"/>
      <c r="AH176" s="84"/>
      <c r="AI176" s="149">
        <v>2196</v>
      </c>
      <c r="AJ176" s="149" t="s">
        <v>368</v>
      </c>
      <c r="AK176" s="149">
        <v>18</v>
      </c>
      <c r="AL176" s="149">
        <v>197.64</v>
      </c>
      <c r="AM176" s="149">
        <v>197.64</v>
      </c>
      <c r="AN176" s="149">
        <v>0</v>
      </c>
      <c r="AO176" s="149">
        <v>0</v>
      </c>
      <c r="AP176" s="149">
        <v>0</v>
      </c>
      <c r="AQ176" s="149">
        <v>0</v>
      </c>
      <c r="AR176" s="148">
        <v>0</v>
      </c>
      <c r="AS176" s="149">
        <v>0</v>
      </c>
      <c r="AT176" s="149">
        <v>0</v>
      </c>
      <c r="AU176" s="84"/>
      <c r="AV176" s="84"/>
      <c r="AW176" s="149">
        <v>0</v>
      </c>
      <c r="AX176" s="149">
        <v>2591.2800000000002</v>
      </c>
      <c r="AY176" s="149" t="s">
        <v>100</v>
      </c>
      <c r="AZ176" s="149" t="s">
        <v>101</v>
      </c>
      <c r="BA176" s="149" t="s">
        <v>422</v>
      </c>
      <c r="BB176" s="149">
        <v>1126100286</v>
      </c>
      <c r="BC176" s="149" t="s">
        <v>105</v>
      </c>
      <c r="BD176" s="149" t="s">
        <v>103</v>
      </c>
      <c r="BE176" s="84"/>
      <c r="BF176" s="84" t="s">
        <v>270</v>
      </c>
      <c r="BG176" s="84" t="s">
        <v>281</v>
      </c>
      <c r="BH176" s="149" t="s">
        <v>290</v>
      </c>
      <c r="BI176" t="s">
        <v>155</v>
      </c>
      <c r="BJ176" t="s">
        <v>156</v>
      </c>
      <c r="BK176" t="s">
        <v>921</v>
      </c>
      <c r="BL176">
        <v>395.28</v>
      </c>
      <c r="BM176">
        <v>395.28</v>
      </c>
      <c r="BN176">
        <v>0</v>
      </c>
      <c r="BO176" t="s">
        <v>154</v>
      </c>
      <c r="BP176">
        <v>9164390</v>
      </c>
      <c r="BQ176" t="s">
        <v>270</v>
      </c>
      <c r="BR176" t="s">
        <v>630</v>
      </c>
      <c r="BS176">
        <v>1</v>
      </c>
    </row>
    <row r="177" spans="1:71" s="0" customFormat="1" ht="14.5">
      <c r="A177" s="148" t="s">
        <v>157</v>
      </c>
      <c r="B177" s="149" t="s">
        <v>625</v>
      </c>
      <c r="C177" s="149">
        <v>107</v>
      </c>
      <c r="D177" s="149" t="s">
        <v>97</v>
      </c>
      <c r="E177" s="149" t="s">
        <v>98</v>
      </c>
      <c r="F177" s="84"/>
      <c r="G177" s="84"/>
      <c r="H177" s="149" t="s">
        <v>48</v>
      </c>
      <c r="I177" s="149" t="s">
        <v>158</v>
      </c>
      <c r="J177" s="149" t="s">
        <v>159</v>
      </c>
      <c r="K177" s="149" t="s">
        <v>163</v>
      </c>
      <c r="L177" s="149" t="s">
        <v>160</v>
      </c>
      <c r="M177" s="150">
        <v>46134</v>
      </c>
      <c r="N177" s="149" t="s">
        <v>704</v>
      </c>
      <c r="O177" s="148">
        <v>9164740</v>
      </c>
      <c r="P177" s="150">
        <v>46121</v>
      </c>
      <c r="Q177" s="149" t="s">
        <v>161</v>
      </c>
      <c r="R177" s="149">
        <v>3615</v>
      </c>
      <c r="S177" s="149" t="s">
        <v>705</v>
      </c>
      <c r="T177" s="149" t="s">
        <v>169</v>
      </c>
      <c r="U177" s="149" t="s">
        <v>706</v>
      </c>
      <c r="V177" s="149" t="s">
        <v>162</v>
      </c>
      <c r="W177" s="84"/>
      <c r="X177" s="149">
        <v>25</v>
      </c>
      <c r="Y177" s="149">
        <v>400</v>
      </c>
      <c r="Z177" s="149">
        <v>10000</v>
      </c>
      <c r="AA177" s="149" t="s">
        <v>99</v>
      </c>
      <c r="AB177" s="149" t="s">
        <v>704</v>
      </c>
      <c r="AC177" s="150">
        <v>46121</v>
      </c>
      <c r="AD177" s="149" t="s">
        <v>171</v>
      </c>
      <c r="AE177" s="149">
        <v>998900</v>
      </c>
      <c r="AF177" s="149" t="s">
        <v>922</v>
      </c>
      <c r="AG177" s="84"/>
      <c r="AH177" s="84"/>
      <c r="AI177" s="149">
        <v>10000</v>
      </c>
      <c r="AJ177" s="149" t="s">
        <v>368</v>
      </c>
      <c r="AK177" s="149">
        <v>18</v>
      </c>
      <c r="AL177" s="149">
        <v>900</v>
      </c>
      <c r="AM177" s="149">
        <v>900</v>
      </c>
      <c r="AN177" s="149">
        <v>0</v>
      </c>
      <c r="AO177" s="149">
        <v>0</v>
      </c>
      <c r="AP177" s="149">
        <v>0</v>
      </c>
      <c r="AQ177" s="149">
        <v>0</v>
      </c>
      <c r="AR177" s="148">
        <v>0</v>
      </c>
      <c r="AS177" s="149">
        <v>0</v>
      </c>
      <c r="AT177" s="149">
        <v>0</v>
      </c>
      <c r="AU177" s="84"/>
      <c r="AV177" s="84"/>
      <c r="AW177" s="149">
        <v>0</v>
      </c>
      <c r="AX177" s="149">
        <v>11800</v>
      </c>
      <c r="AY177" s="149" t="s">
        <v>101</v>
      </c>
      <c r="AZ177" s="149" t="s">
        <v>101</v>
      </c>
      <c r="BA177" s="149" t="s">
        <v>708</v>
      </c>
      <c r="BB177" s="149">
        <v>1126100334</v>
      </c>
      <c r="BC177" s="149" t="s">
        <v>172</v>
      </c>
      <c r="BD177" s="149" t="s">
        <v>103</v>
      </c>
      <c r="BE177" s="84"/>
      <c r="BF177" s="84" t="s">
        <v>271</v>
      </c>
      <c r="BG177" s="84" t="s">
        <v>281</v>
      </c>
      <c r="BH177" s="149" t="s">
        <v>290</v>
      </c>
      <c r="BI177" t="s">
        <v>155</v>
      </c>
      <c r="BJ177" t="s">
        <v>156</v>
      </c>
      <c r="BK177" t="s">
        <v>709</v>
      </c>
      <c r="BL177">
        <v>1800</v>
      </c>
      <c r="BM177">
        <v>6014.70</v>
      </c>
      <c r="BN177">
        <v>-4215</v>
      </c>
      <c r="BO177" t="s">
        <v>154</v>
      </c>
      <c r="BP177">
        <v>9164740</v>
      </c>
      <c r="BQ177" t="s">
        <v>271</v>
      </c>
      <c r="BR177" t="s">
        <v>630</v>
      </c>
      <c r="BS177">
        <v>6</v>
      </c>
    </row>
    <row r="178" spans="1:71" s="0" customFormat="1" ht="14.5">
      <c r="A178" s="148" t="s">
        <v>157</v>
      </c>
      <c r="B178" s="149" t="s">
        <v>625</v>
      </c>
      <c r="C178" s="149">
        <v>107</v>
      </c>
      <c r="D178" s="149" t="s">
        <v>97</v>
      </c>
      <c r="E178" s="149" t="s">
        <v>98</v>
      </c>
      <c r="F178" s="84"/>
      <c r="G178" s="84"/>
      <c r="H178" s="149" t="s">
        <v>48</v>
      </c>
      <c r="I178" s="149" t="s">
        <v>158</v>
      </c>
      <c r="J178" s="149" t="s">
        <v>159</v>
      </c>
      <c r="K178" s="149" t="s">
        <v>163</v>
      </c>
      <c r="L178" s="149" t="s">
        <v>160</v>
      </c>
      <c r="M178" s="150">
        <v>46134</v>
      </c>
      <c r="N178" s="149" t="s">
        <v>704</v>
      </c>
      <c r="O178" s="148">
        <v>9164740</v>
      </c>
      <c r="P178" s="150">
        <v>46121</v>
      </c>
      <c r="Q178" s="149" t="s">
        <v>161</v>
      </c>
      <c r="R178" s="149">
        <v>3615</v>
      </c>
      <c r="S178" s="149" t="s">
        <v>705</v>
      </c>
      <c r="T178" s="149" t="s">
        <v>169</v>
      </c>
      <c r="U178" s="149" t="s">
        <v>706</v>
      </c>
      <c r="V178" s="149" t="s">
        <v>162</v>
      </c>
      <c r="W178" s="84"/>
      <c r="X178" s="149">
        <v>30</v>
      </c>
      <c r="Y178" s="149">
        <v>81</v>
      </c>
      <c r="Z178" s="149">
        <v>2430</v>
      </c>
      <c r="AA178" s="149" t="s">
        <v>99</v>
      </c>
      <c r="AB178" s="149" t="s">
        <v>704</v>
      </c>
      <c r="AC178" s="150">
        <v>46121</v>
      </c>
      <c r="AD178" s="149" t="s">
        <v>171</v>
      </c>
      <c r="AE178" s="149">
        <v>998900</v>
      </c>
      <c r="AF178" s="149" t="s">
        <v>923</v>
      </c>
      <c r="AG178" s="84"/>
      <c r="AH178" s="84"/>
      <c r="AI178" s="149">
        <v>2430</v>
      </c>
      <c r="AJ178" s="149" t="s">
        <v>368</v>
      </c>
      <c r="AK178" s="149">
        <v>18</v>
      </c>
      <c r="AL178" s="149">
        <v>218.70</v>
      </c>
      <c r="AM178" s="149">
        <v>218.70</v>
      </c>
      <c r="AN178" s="149">
        <v>0</v>
      </c>
      <c r="AO178" s="149">
        <v>0</v>
      </c>
      <c r="AP178" s="149">
        <v>0</v>
      </c>
      <c r="AQ178" s="149">
        <v>0</v>
      </c>
      <c r="AR178" s="148">
        <v>0</v>
      </c>
      <c r="AS178" s="149">
        <v>0</v>
      </c>
      <c r="AT178" s="149">
        <v>0</v>
      </c>
      <c r="AU178" s="84"/>
      <c r="AV178" s="84"/>
      <c r="AW178" s="149">
        <v>0</v>
      </c>
      <c r="AX178" s="149">
        <v>2867.40</v>
      </c>
      <c r="AY178" s="149" t="s">
        <v>101</v>
      </c>
      <c r="AZ178" s="149" t="s">
        <v>101</v>
      </c>
      <c r="BA178" s="149" t="s">
        <v>708</v>
      </c>
      <c r="BB178" s="149">
        <v>1126100334</v>
      </c>
      <c r="BC178" s="149" t="s">
        <v>172</v>
      </c>
      <c r="BD178" s="149" t="s">
        <v>103</v>
      </c>
      <c r="BE178" s="84"/>
      <c r="BF178" s="84" t="s">
        <v>271</v>
      </c>
      <c r="BG178" s="84" t="s">
        <v>281</v>
      </c>
      <c r="BH178" s="149" t="s">
        <v>290</v>
      </c>
      <c r="BI178" t="s">
        <v>155</v>
      </c>
      <c r="BJ178" t="s">
        <v>156</v>
      </c>
      <c r="BK178" t="s">
        <v>709</v>
      </c>
      <c r="BL178">
        <v>437.40</v>
      </c>
      <c r="BM178">
        <v>6014.70</v>
      </c>
      <c r="BN178">
        <v>-5577</v>
      </c>
      <c r="BO178" t="s">
        <v>154</v>
      </c>
      <c r="BP178">
        <v>9164740</v>
      </c>
      <c r="BQ178" t="s">
        <v>271</v>
      </c>
      <c r="BR178" t="s">
        <v>630</v>
      </c>
      <c r="BS178">
        <v>6</v>
      </c>
    </row>
    <row r="179" spans="1:71" s="0" customFormat="1" ht="14.5">
      <c r="A179" s="148" t="s">
        <v>157</v>
      </c>
      <c r="B179" s="149" t="s">
        <v>625</v>
      </c>
      <c r="C179" s="149">
        <v>107</v>
      </c>
      <c r="D179" s="149" t="s">
        <v>97</v>
      </c>
      <c r="E179" s="149" t="s">
        <v>98</v>
      </c>
      <c r="F179" s="84"/>
      <c r="G179" s="84"/>
      <c r="H179" s="149" t="s">
        <v>48</v>
      </c>
      <c r="I179" s="149" t="s">
        <v>158</v>
      </c>
      <c r="J179" s="149" t="s">
        <v>159</v>
      </c>
      <c r="K179" s="149" t="s">
        <v>163</v>
      </c>
      <c r="L179" s="149" t="s">
        <v>160</v>
      </c>
      <c r="M179" s="150">
        <v>46127</v>
      </c>
      <c r="N179" s="149" t="s">
        <v>924</v>
      </c>
      <c r="O179" s="148">
        <v>9157985</v>
      </c>
      <c r="P179" s="150">
        <v>46118</v>
      </c>
      <c r="Q179" s="149" t="s">
        <v>161</v>
      </c>
      <c r="R179" s="149">
        <v>43194</v>
      </c>
      <c r="S179" s="149" t="s">
        <v>295</v>
      </c>
      <c r="T179" s="149" t="s">
        <v>170</v>
      </c>
      <c r="U179" s="149" t="s">
        <v>296</v>
      </c>
      <c r="V179" s="149" t="s">
        <v>162</v>
      </c>
      <c r="W179" s="84"/>
      <c r="X179" s="149">
        <v>1</v>
      </c>
      <c r="Y179" s="149">
        <v>12500</v>
      </c>
      <c r="Z179" s="149">
        <v>12500</v>
      </c>
      <c r="AA179" s="149" t="s">
        <v>99</v>
      </c>
      <c r="AB179" s="149" t="s">
        <v>924</v>
      </c>
      <c r="AC179" s="150">
        <v>46118</v>
      </c>
      <c r="AD179" s="149" t="s">
        <v>171</v>
      </c>
      <c r="AE179" s="149">
        <v>996743</v>
      </c>
      <c r="AF179" s="149" t="s">
        <v>925</v>
      </c>
      <c r="AG179" s="84"/>
      <c r="AH179" s="84"/>
      <c r="AI179" s="149">
        <v>12500</v>
      </c>
      <c r="AJ179" s="149" t="s">
        <v>368</v>
      </c>
      <c r="AK179" s="149">
        <v>18</v>
      </c>
      <c r="AL179" s="149">
        <v>1125</v>
      </c>
      <c r="AM179" s="149">
        <v>1125</v>
      </c>
      <c r="AN179" s="149">
        <v>0</v>
      </c>
      <c r="AO179" s="149">
        <v>0</v>
      </c>
      <c r="AP179" s="149">
        <v>0</v>
      </c>
      <c r="AQ179" s="149">
        <v>0</v>
      </c>
      <c r="AR179" s="148">
        <v>0</v>
      </c>
      <c r="AS179" s="149">
        <v>0</v>
      </c>
      <c r="AT179" s="149">
        <v>0</v>
      </c>
      <c r="AU179" s="84"/>
      <c r="AV179" s="84"/>
      <c r="AW179" s="149">
        <v>0</v>
      </c>
      <c r="AX179" s="149">
        <v>14750</v>
      </c>
      <c r="AY179" s="149" t="s">
        <v>101</v>
      </c>
      <c r="AZ179" s="149" t="s">
        <v>101</v>
      </c>
      <c r="BA179" s="149" t="s">
        <v>178</v>
      </c>
      <c r="BB179" s="149">
        <v>1126100102</v>
      </c>
      <c r="BC179" s="149" t="s">
        <v>172</v>
      </c>
      <c r="BD179" s="149" t="s">
        <v>103</v>
      </c>
      <c r="BE179" s="84"/>
      <c r="BF179" s="84" t="s">
        <v>271</v>
      </c>
      <c r="BG179" s="84" t="s">
        <v>281</v>
      </c>
      <c r="BH179" s="149" t="s">
        <v>289</v>
      </c>
      <c r="BI179" t="s">
        <v>155</v>
      </c>
      <c r="BJ179" t="s">
        <v>156</v>
      </c>
      <c r="BK179" t="s">
        <v>926</v>
      </c>
      <c r="BL179">
        <v>2250</v>
      </c>
      <c r="BM179">
        <v>2250</v>
      </c>
      <c r="BN179">
        <v>0</v>
      </c>
      <c r="BO179" t="s">
        <v>154</v>
      </c>
      <c r="BP179">
        <v>9157985</v>
      </c>
      <c r="BQ179" t="s">
        <v>271</v>
      </c>
      <c r="BR179" t="s">
        <v>630</v>
      </c>
      <c r="BS179">
        <v>1</v>
      </c>
    </row>
    <row r="180" spans="1:71" s="0" customFormat="1" ht="14.5">
      <c r="A180" s="148" t="s">
        <v>157</v>
      </c>
      <c r="B180" s="149" t="s">
        <v>625</v>
      </c>
      <c r="C180" s="149">
        <v>107</v>
      </c>
      <c r="D180" s="149" t="s">
        <v>97</v>
      </c>
      <c r="E180" s="149" t="s">
        <v>98</v>
      </c>
      <c r="F180" s="84"/>
      <c r="G180" s="84"/>
      <c r="H180" s="149" t="s">
        <v>48</v>
      </c>
      <c r="I180" s="149" t="s">
        <v>158</v>
      </c>
      <c r="J180" s="149" t="s">
        <v>159</v>
      </c>
      <c r="K180" s="149" t="s">
        <v>163</v>
      </c>
      <c r="L180" s="149" t="s">
        <v>160</v>
      </c>
      <c r="M180" s="150">
        <v>46127</v>
      </c>
      <c r="N180" s="149">
        <v>3</v>
      </c>
      <c r="O180" s="148">
        <v>9156871</v>
      </c>
      <c r="P180" s="150">
        <v>46113</v>
      </c>
      <c r="Q180" s="149" t="s">
        <v>161</v>
      </c>
      <c r="R180" s="149">
        <v>43295</v>
      </c>
      <c r="S180" s="149" t="s">
        <v>352</v>
      </c>
      <c r="T180" s="149" t="s">
        <v>181</v>
      </c>
      <c r="U180" s="149" t="s">
        <v>353</v>
      </c>
      <c r="V180" s="149" t="s">
        <v>162</v>
      </c>
      <c r="W180" s="84"/>
      <c r="X180" s="149">
        <v>160</v>
      </c>
      <c r="Y180" s="149">
        <v>12</v>
      </c>
      <c r="Z180" s="149">
        <v>1920</v>
      </c>
      <c r="AA180" s="149" t="s">
        <v>99</v>
      </c>
      <c r="AB180" s="149">
        <v>3</v>
      </c>
      <c r="AC180" s="150">
        <v>46113</v>
      </c>
      <c r="AD180" s="149" t="s">
        <v>164</v>
      </c>
      <c r="AE180" s="149">
        <v>9024040</v>
      </c>
      <c r="AF180" s="149" t="s">
        <v>927</v>
      </c>
      <c r="AG180" s="84"/>
      <c r="AH180" s="84"/>
      <c r="AI180" s="149">
        <v>1920</v>
      </c>
      <c r="AJ180" s="149" t="s">
        <v>368</v>
      </c>
      <c r="AK180" s="149">
        <v>5</v>
      </c>
      <c r="AL180" s="149">
        <v>48</v>
      </c>
      <c r="AM180" s="149">
        <v>48</v>
      </c>
      <c r="AN180" s="149">
        <v>0</v>
      </c>
      <c r="AO180" s="149">
        <v>0</v>
      </c>
      <c r="AP180" s="149">
        <v>0</v>
      </c>
      <c r="AQ180" s="149">
        <v>0</v>
      </c>
      <c r="AR180" s="148">
        <v>0</v>
      </c>
      <c r="AS180" s="149">
        <v>0</v>
      </c>
      <c r="AT180" s="149">
        <v>0</v>
      </c>
      <c r="AU180" s="84"/>
      <c r="AV180" s="84"/>
      <c r="AW180" s="149">
        <v>0</v>
      </c>
      <c r="AX180" s="149">
        <v>2016</v>
      </c>
      <c r="AY180" s="149" t="s">
        <v>101</v>
      </c>
      <c r="AZ180" s="149" t="s">
        <v>101</v>
      </c>
      <c r="BA180" s="149" t="s">
        <v>167</v>
      </c>
      <c r="BB180" s="149">
        <v>1126100101</v>
      </c>
      <c r="BC180" s="149" t="s">
        <v>273</v>
      </c>
      <c r="BD180" s="149" t="s">
        <v>104</v>
      </c>
      <c r="BE180" s="84"/>
      <c r="BF180" s="84" t="s">
        <v>271</v>
      </c>
      <c r="BG180" s="84" t="s">
        <v>281</v>
      </c>
      <c r="BH180" s="149" t="s">
        <v>289</v>
      </c>
      <c r="BI180" t="s">
        <v>155</v>
      </c>
      <c r="BJ180" t="s">
        <v>156</v>
      </c>
      <c r="BK180" t="s">
        <v>928</v>
      </c>
      <c r="BL180">
        <v>96</v>
      </c>
      <c r="BM180">
        <v>1647</v>
      </c>
      <c r="BN180">
        <v>-1551</v>
      </c>
      <c r="BO180" t="s">
        <v>154</v>
      </c>
      <c r="BP180">
        <v>9156871</v>
      </c>
      <c r="BQ180" t="s">
        <v>271</v>
      </c>
      <c r="BR180" t="s">
        <v>630</v>
      </c>
      <c r="BS180">
        <v>3</v>
      </c>
    </row>
    <row r="181" spans="1:71" s="0" customFormat="1" ht="14.5">
      <c r="A181" s="148" t="s">
        <v>157</v>
      </c>
      <c r="B181" s="149" t="s">
        <v>625</v>
      </c>
      <c r="C181" s="149">
        <v>107</v>
      </c>
      <c r="D181" s="149" t="s">
        <v>97</v>
      </c>
      <c r="E181" s="149" t="s">
        <v>98</v>
      </c>
      <c r="F181" s="84"/>
      <c r="G181" s="84"/>
      <c r="H181" s="149" t="s">
        <v>48</v>
      </c>
      <c r="I181" s="149" t="s">
        <v>158</v>
      </c>
      <c r="J181" s="149" t="s">
        <v>159</v>
      </c>
      <c r="K181" s="149" t="s">
        <v>163</v>
      </c>
      <c r="L181" s="149" t="s">
        <v>160</v>
      </c>
      <c r="M181" s="151">
        <v>46136</v>
      </c>
      <c r="N181" s="149">
        <v>7026000049</v>
      </c>
      <c r="O181" s="149">
        <v>9168297</v>
      </c>
      <c r="P181" s="150">
        <v>46128</v>
      </c>
      <c r="Q181" s="149" t="s">
        <v>161</v>
      </c>
      <c r="R181" s="148">
        <v>14809</v>
      </c>
      <c r="S181" s="149" t="s">
        <v>822</v>
      </c>
      <c r="T181" s="149" t="s">
        <v>169</v>
      </c>
      <c r="U181" s="149" t="s">
        <v>823</v>
      </c>
      <c r="V181" s="149" t="s">
        <v>162</v>
      </c>
      <c r="W181" s="84"/>
      <c r="X181" s="149">
        <v>5500</v>
      </c>
      <c r="Y181" s="149">
        <v>1</v>
      </c>
      <c r="Z181" s="149">
        <v>5500</v>
      </c>
      <c r="AA181" s="149" t="s">
        <v>99</v>
      </c>
      <c r="AB181" s="149">
        <v>7026000049</v>
      </c>
      <c r="AC181" s="150">
        <v>46128</v>
      </c>
      <c r="AD181" s="148" t="s">
        <v>164</v>
      </c>
      <c r="AE181" s="149">
        <v>998717</v>
      </c>
      <c r="AF181" s="149" t="s">
        <v>929</v>
      </c>
      <c r="AG181" s="84"/>
      <c r="AH181" s="84"/>
      <c r="AI181" s="149">
        <v>5500</v>
      </c>
      <c r="AJ181" s="149" t="s">
        <v>368</v>
      </c>
      <c r="AK181" s="149">
        <v>18</v>
      </c>
      <c r="AL181" s="149">
        <v>495</v>
      </c>
      <c r="AM181" s="149">
        <v>495</v>
      </c>
      <c r="AN181" s="149">
        <v>0</v>
      </c>
      <c r="AO181" s="149">
        <v>0</v>
      </c>
      <c r="AP181" s="149">
        <v>0</v>
      </c>
      <c r="AQ181" s="149">
        <v>0</v>
      </c>
      <c r="AR181" s="149">
        <v>0</v>
      </c>
      <c r="AS181" s="149">
        <v>0</v>
      </c>
      <c r="AT181" s="149">
        <v>0</v>
      </c>
      <c r="AU181" s="84"/>
      <c r="AV181" s="84"/>
      <c r="AW181" s="149">
        <v>0</v>
      </c>
      <c r="AX181" s="149">
        <v>6490</v>
      </c>
      <c r="AY181" s="149" t="s">
        <v>100</v>
      </c>
      <c r="AZ181" s="149" t="s">
        <v>101</v>
      </c>
      <c r="BA181" s="149" t="s">
        <v>276</v>
      </c>
      <c r="BB181" s="149">
        <v>1126100390</v>
      </c>
      <c r="BC181" s="148" t="s">
        <v>105</v>
      </c>
      <c r="BD181" s="149" t="s">
        <v>103</v>
      </c>
      <c r="BE181" s="84"/>
      <c r="BF181" s="84" t="s">
        <v>270</v>
      </c>
      <c r="BG181" s="84" t="s">
        <v>281</v>
      </c>
      <c r="BH181" s="149" t="s">
        <v>290</v>
      </c>
      <c r="BI181" t="s">
        <v>155</v>
      </c>
      <c r="BJ181" t="s">
        <v>156</v>
      </c>
      <c r="BK181" t="s">
        <v>825</v>
      </c>
      <c r="BL181">
        <v>990</v>
      </c>
      <c r="BM181">
        <v>28440</v>
      </c>
      <c r="BN181">
        <v>-27450</v>
      </c>
      <c r="BO181" t="s">
        <v>154</v>
      </c>
      <c r="BP181">
        <v>9168297</v>
      </c>
      <c r="BQ181" t="s">
        <v>270</v>
      </c>
      <c r="BR181" t="s">
        <v>630</v>
      </c>
      <c r="BS181">
        <v>3</v>
      </c>
    </row>
    <row r="182" spans="1:71" s="0" customFormat="1" ht="14.5">
      <c r="A182" s="148" t="s">
        <v>157</v>
      </c>
      <c r="B182" s="149" t="s">
        <v>625</v>
      </c>
      <c r="C182" s="149">
        <v>107</v>
      </c>
      <c r="D182" s="149" t="s">
        <v>97</v>
      </c>
      <c r="E182" s="149" t="s">
        <v>98</v>
      </c>
      <c r="F182" s="84"/>
      <c r="G182" s="84"/>
      <c r="H182" s="149" t="s">
        <v>48</v>
      </c>
      <c r="I182" s="149" t="s">
        <v>158</v>
      </c>
      <c r="J182" s="149" t="s">
        <v>159</v>
      </c>
      <c r="K182" s="149" t="s">
        <v>163</v>
      </c>
      <c r="L182" s="149" t="s">
        <v>160</v>
      </c>
      <c r="M182" s="151">
        <v>46133</v>
      </c>
      <c r="N182" s="149" t="s">
        <v>756</v>
      </c>
      <c r="O182" s="149">
        <v>9164023</v>
      </c>
      <c r="P182" s="150">
        <v>46108</v>
      </c>
      <c r="Q182" s="149" t="s">
        <v>161</v>
      </c>
      <c r="R182" s="148">
        <v>45456</v>
      </c>
      <c r="S182" s="149" t="s">
        <v>418</v>
      </c>
      <c r="T182" s="149" t="s">
        <v>419</v>
      </c>
      <c r="U182" s="84"/>
      <c r="V182" s="84"/>
      <c r="W182" s="84"/>
      <c r="X182" s="149">
        <v>900</v>
      </c>
      <c r="Y182" s="149">
        <v>1</v>
      </c>
      <c r="Z182" s="149">
        <v>900</v>
      </c>
      <c r="AA182" s="149" t="s">
        <v>99</v>
      </c>
      <c r="AB182" s="149" t="s">
        <v>756</v>
      </c>
      <c r="AC182" s="150">
        <v>46108</v>
      </c>
      <c r="AD182" s="84"/>
      <c r="AE182" s="149">
        <v>998216</v>
      </c>
      <c r="AF182" s="149" t="s">
        <v>456</v>
      </c>
      <c r="AG182" s="84"/>
      <c r="AH182" s="84"/>
      <c r="AI182" s="149">
        <v>900</v>
      </c>
      <c r="AJ182" s="149" t="s">
        <v>368</v>
      </c>
      <c r="AK182" s="149">
        <v>18</v>
      </c>
      <c r="AL182" s="149">
        <v>81</v>
      </c>
      <c r="AM182" s="149">
        <v>81</v>
      </c>
      <c r="AN182" s="149">
        <v>0</v>
      </c>
      <c r="AO182" s="149">
        <v>0</v>
      </c>
      <c r="AP182" s="149">
        <v>0</v>
      </c>
      <c r="AQ182" s="149">
        <v>0</v>
      </c>
      <c r="AR182" s="149">
        <v>0</v>
      </c>
      <c r="AS182" s="149">
        <v>0</v>
      </c>
      <c r="AT182" s="149">
        <v>0</v>
      </c>
      <c r="AU182" s="84"/>
      <c r="AV182" s="84"/>
      <c r="AW182" s="149">
        <v>0</v>
      </c>
      <c r="AX182" s="149">
        <v>1062</v>
      </c>
      <c r="AY182" s="149" t="s">
        <v>100</v>
      </c>
      <c r="AZ182" s="149" t="s">
        <v>100</v>
      </c>
      <c r="BA182" s="149" t="s">
        <v>642</v>
      </c>
      <c r="BB182" s="149">
        <v>1125113946</v>
      </c>
      <c r="BC182" s="148" t="s">
        <v>188</v>
      </c>
      <c r="BD182" s="149" t="s">
        <v>103</v>
      </c>
      <c r="BE182" s="84"/>
      <c r="BF182" s="84" t="s">
        <v>210</v>
      </c>
      <c r="BG182" s="84" t="s">
        <v>280</v>
      </c>
      <c r="BH182" s="149" t="s">
        <v>289</v>
      </c>
      <c r="BI182" t="s">
        <v>155</v>
      </c>
      <c r="BJ182" t="s">
        <v>156</v>
      </c>
      <c r="BK182" t="s">
        <v>756</v>
      </c>
      <c r="BL182">
        <v>162</v>
      </c>
      <c r="BM182" t="e">
        <v>#N/A</v>
      </c>
      <c r="BN182" t="e">
        <v>#N/A</v>
      </c>
      <c r="BO182" t="s">
        <v>199</v>
      </c>
      <c r="BP182">
        <v>9164023</v>
      </c>
      <c r="BQ182" t="s">
        <v>210</v>
      </c>
      <c r="BR182" t="s">
        <v>199</v>
      </c>
      <c r="BS182">
        <v>2</v>
      </c>
    </row>
    <row r="183" spans="1:71" s="0" customFormat="1" ht="14.5">
      <c r="A183" s="148" t="s">
        <v>157</v>
      </c>
      <c r="B183" s="149" t="s">
        <v>625</v>
      </c>
      <c r="C183" s="149">
        <v>107</v>
      </c>
      <c r="D183" s="149" t="s">
        <v>97</v>
      </c>
      <c r="E183" s="149" t="s">
        <v>98</v>
      </c>
      <c r="F183" s="84"/>
      <c r="G183" s="149" t="s">
        <v>106</v>
      </c>
      <c r="H183" s="149" t="s">
        <v>48</v>
      </c>
      <c r="I183" s="149" t="s">
        <v>158</v>
      </c>
      <c r="J183" s="149" t="s">
        <v>165</v>
      </c>
      <c r="K183" s="149" t="s">
        <v>166</v>
      </c>
      <c r="L183" s="149" t="s">
        <v>160</v>
      </c>
      <c r="M183" s="151">
        <v>46126</v>
      </c>
      <c r="N183" s="149">
        <v>612</v>
      </c>
      <c r="O183" s="149">
        <v>9151235</v>
      </c>
      <c r="P183" s="150">
        <v>46116</v>
      </c>
      <c r="Q183" s="149" t="s">
        <v>161</v>
      </c>
      <c r="R183" s="148">
        <v>40631</v>
      </c>
      <c r="S183" s="149" t="s">
        <v>375</v>
      </c>
      <c r="T183" s="149" t="s">
        <v>169</v>
      </c>
      <c r="U183" s="149" t="s">
        <v>376</v>
      </c>
      <c r="V183" s="149" t="s">
        <v>162</v>
      </c>
      <c r="W183" s="84"/>
      <c r="X183" s="149">
        <v>15000</v>
      </c>
      <c r="Y183" s="149">
        <v>1</v>
      </c>
      <c r="Z183" s="149">
        <v>15000</v>
      </c>
      <c r="AA183" s="149" t="s">
        <v>99</v>
      </c>
      <c r="AB183" s="149">
        <v>612</v>
      </c>
      <c r="AC183" s="150">
        <v>46116</v>
      </c>
      <c r="AD183" s="148" t="s">
        <v>164</v>
      </c>
      <c r="AE183" s="149">
        <v>995400</v>
      </c>
      <c r="AF183" s="149" t="s">
        <v>930</v>
      </c>
      <c r="AG183" s="84"/>
      <c r="AH183" s="84"/>
      <c r="AI183" s="149">
        <v>15000</v>
      </c>
      <c r="AJ183" s="149" t="s">
        <v>368</v>
      </c>
      <c r="AK183" s="149">
        <v>18</v>
      </c>
      <c r="AL183" s="149">
        <v>1350</v>
      </c>
      <c r="AM183" s="149">
        <v>1350</v>
      </c>
      <c r="AN183" s="149">
        <v>0</v>
      </c>
      <c r="AO183" s="149">
        <v>0</v>
      </c>
      <c r="AP183" s="149">
        <v>0</v>
      </c>
      <c r="AQ183" s="149">
        <v>0</v>
      </c>
      <c r="AR183" s="149">
        <v>0</v>
      </c>
      <c r="AS183" s="149">
        <v>0</v>
      </c>
      <c r="AT183" s="149">
        <v>0</v>
      </c>
      <c r="AU183" s="84"/>
      <c r="AV183" s="84"/>
      <c r="AW183" s="149">
        <v>0</v>
      </c>
      <c r="AX183" s="149">
        <v>17700</v>
      </c>
      <c r="AY183" s="149" t="s">
        <v>101</v>
      </c>
      <c r="AZ183" s="149" t="s">
        <v>101</v>
      </c>
      <c r="BA183" s="149" t="s">
        <v>298</v>
      </c>
      <c r="BB183" s="149">
        <v>1126100056</v>
      </c>
      <c r="BC183" s="148" t="s">
        <v>172</v>
      </c>
      <c r="BD183" s="149" t="s">
        <v>103</v>
      </c>
      <c r="BE183" s="84"/>
      <c r="BF183" s="84" t="s">
        <v>271</v>
      </c>
      <c r="BG183" s="84" t="s">
        <v>281</v>
      </c>
      <c r="BH183" s="149" t="s">
        <v>289</v>
      </c>
      <c r="BI183" t="s">
        <v>155</v>
      </c>
      <c r="BJ183" t="s">
        <v>156</v>
      </c>
      <c r="BK183" t="s">
        <v>687</v>
      </c>
      <c r="BL183">
        <v>2700</v>
      </c>
      <c r="BM183">
        <v>4734</v>
      </c>
      <c r="BN183">
        <v>-2034</v>
      </c>
      <c r="BO183" t="s">
        <v>154</v>
      </c>
      <c r="BP183">
        <v>9151235</v>
      </c>
      <c r="BQ183" t="s">
        <v>271</v>
      </c>
      <c r="BR183" t="s">
        <v>630</v>
      </c>
      <c r="BS183">
        <v>3</v>
      </c>
    </row>
    <row r="184" spans="1:71" s="0" customFormat="1" ht="14.5">
      <c r="A184" s="148" t="s">
        <v>157</v>
      </c>
      <c r="B184" s="149" t="s">
        <v>625</v>
      </c>
      <c r="C184" s="149">
        <v>107</v>
      </c>
      <c r="D184" s="149" t="s">
        <v>97</v>
      </c>
      <c r="E184" s="149" t="s">
        <v>98</v>
      </c>
      <c r="F184" s="84"/>
      <c r="G184" s="149" t="s">
        <v>106</v>
      </c>
      <c r="H184" s="149" t="s">
        <v>48</v>
      </c>
      <c r="I184" s="149" t="s">
        <v>158</v>
      </c>
      <c r="J184" s="149" t="s">
        <v>165</v>
      </c>
      <c r="K184" s="149" t="s">
        <v>166</v>
      </c>
      <c r="L184" s="149" t="s">
        <v>160</v>
      </c>
      <c r="M184" s="151">
        <v>46127</v>
      </c>
      <c r="N184" s="149" t="s">
        <v>626</v>
      </c>
      <c r="O184" s="149">
        <v>9158398</v>
      </c>
      <c r="P184" s="150">
        <v>46090</v>
      </c>
      <c r="Q184" s="149" t="s">
        <v>161</v>
      </c>
      <c r="R184" s="148">
        <v>35671</v>
      </c>
      <c r="S184" s="149" t="s">
        <v>424</v>
      </c>
      <c r="T184" s="149" t="s">
        <v>425</v>
      </c>
      <c r="U184" s="149" t="s">
        <v>426</v>
      </c>
      <c r="V184" s="149" t="s">
        <v>162</v>
      </c>
      <c r="W184" s="84"/>
      <c r="X184" s="149">
        <v>11644.92</v>
      </c>
      <c r="Y184" s="149">
        <v>1</v>
      </c>
      <c r="Z184" s="149">
        <v>11644.92</v>
      </c>
      <c r="AA184" s="149" t="s">
        <v>99</v>
      </c>
      <c r="AB184" s="149" t="s">
        <v>626</v>
      </c>
      <c r="AC184" s="150">
        <v>46121</v>
      </c>
      <c r="AD184" s="148" t="s">
        <v>164</v>
      </c>
      <c r="AE184" s="149">
        <v>84219900</v>
      </c>
      <c r="AF184" s="149" t="s">
        <v>689</v>
      </c>
      <c r="AG184" s="84"/>
      <c r="AH184" s="84"/>
      <c r="AI184" s="149">
        <v>11644.92</v>
      </c>
      <c r="AJ184" s="149" t="s">
        <v>368</v>
      </c>
      <c r="AK184" s="149">
        <v>18</v>
      </c>
      <c r="AL184" s="149">
        <v>0</v>
      </c>
      <c r="AM184" s="149">
        <v>0</v>
      </c>
      <c r="AN184" s="149">
        <v>2096.09</v>
      </c>
      <c r="AO184" s="149">
        <v>0</v>
      </c>
      <c r="AP184" s="149">
        <v>0</v>
      </c>
      <c r="AQ184" s="149">
        <v>0</v>
      </c>
      <c r="AR184" s="149">
        <v>0</v>
      </c>
      <c r="AS184" s="149">
        <v>0</v>
      </c>
      <c r="AT184" s="149">
        <v>0</v>
      </c>
      <c r="AU184" s="84"/>
      <c r="AV184" s="84"/>
      <c r="AW184" s="149">
        <v>0</v>
      </c>
      <c r="AX184" s="149">
        <v>13741.01</v>
      </c>
      <c r="AY184" s="149" t="s">
        <v>101</v>
      </c>
      <c r="AZ184" s="149" t="s">
        <v>101</v>
      </c>
      <c r="BA184" s="149" t="s">
        <v>628</v>
      </c>
      <c r="BB184" s="149">
        <v>1126100105</v>
      </c>
      <c r="BC184" s="148" t="s">
        <v>168</v>
      </c>
      <c r="BD184" s="149" t="s">
        <v>272</v>
      </c>
      <c r="BE184" s="84"/>
      <c r="BF184" s="84" t="s">
        <v>271</v>
      </c>
      <c r="BG184" s="84" t="s">
        <v>281</v>
      </c>
      <c r="BH184" s="149" t="s">
        <v>290</v>
      </c>
      <c r="BI184" t="s">
        <v>155</v>
      </c>
      <c r="BJ184" t="s">
        <v>156</v>
      </c>
      <c r="BK184" t="s">
        <v>629</v>
      </c>
      <c r="BL184">
        <v>2096.09</v>
      </c>
      <c r="BM184">
        <v>38182.879999999997</v>
      </c>
      <c r="BN184">
        <v>-36087</v>
      </c>
      <c r="BO184" t="s">
        <v>154</v>
      </c>
      <c r="BP184">
        <v>9158398</v>
      </c>
      <c r="BQ184" t="s">
        <v>271</v>
      </c>
      <c r="BR184" t="s">
        <v>630</v>
      </c>
      <c r="BS184">
        <v>37</v>
      </c>
    </row>
    <row r="185" spans="1:71" s="0" customFormat="1" ht="14.5">
      <c r="A185" s="148" t="s">
        <v>157</v>
      </c>
      <c r="B185" s="149" t="s">
        <v>625</v>
      </c>
      <c r="C185" s="149">
        <v>107</v>
      </c>
      <c r="D185" s="149" t="s">
        <v>97</v>
      </c>
      <c r="E185" s="149" t="s">
        <v>98</v>
      </c>
      <c r="F185" s="84"/>
      <c r="G185" s="149" t="s">
        <v>106</v>
      </c>
      <c r="H185" s="149" t="s">
        <v>48</v>
      </c>
      <c r="I185" s="149" t="s">
        <v>158</v>
      </c>
      <c r="J185" s="149" t="s">
        <v>165</v>
      </c>
      <c r="K185" s="149" t="s">
        <v>166</v>
      </c>
      <c r="L185" s="149" t="s">
        <v>160</v>
      </c>
      <c r="M185" s="151">
        <v>46140</v>
      </c>
      <c r="N185" s="149" t="s">
        <v>632</v>
      </c>
      <c r="O185" s="149">
        <v>9174963</v>
      </c>
      <c r="P185" s="150">
        <v>46129</v>
      </c>
      <c r="Q185" s="149" t="s">
        <v>161</v>
      </c>
      <c r="R185" s="148">
        <v>35671</v>
      </c>
      <c r="S185" s="149" t="s">
        <v>424</v>
      </c>
      <c r="T185" s="149" t="s">
        <v>425</v>
      </c>
      <c r="U185" s="149" t="s">
        <v>426</v>
      </c>
      <c r="V185" s="149" t="s">
        <v>162</v>
      </c>
      <c r="W185" s="84"/>
      <c r="X185" s="149">
        <v>275</v>
      </c>
      <c r="Y185" s="149">
        <v>24</v>
      </c>
      <c r="Z185" s="149">
        <v>6600</v>
      </c>
      <c r="AA185" s="149" t="s">
        <v>99</v>
      </c>
      <c r="AB185" s="149" t="s">
        <v>632</v>
      </c>
      <c r="AC185" s="150">
        <v>46129</v>
      </c>
      <c r="AD185" s="148" t="s">
        <v>164</v>
      </c>
      <c r="AE185" s="149">
        <v>996200</v>
      </c>
      <c r="AF185" s="149" t="s">
        <v>887</v>
      </c>
      <c r="AG185" s="84"/>
      <c r="AH185" s="84"/>
      <c r="AI185" s="149">
        <v>6600</v>
      </c>
      <c r="AJ185" s="149" t="s">
        <v>368</v>
      </c>
      <c r="AK185" s="149">
        <v>18</v>
      </c>
      <c r="AL185" s="149">
        <v>0</v>
      </c>
      <c r="AM185" s="149">
        <v>0</v>
      </c>
      <c r="AN185" s="149">
        <v>1188</v>
      </c>
      <c r="AO185" s="149">
        <v>0</v>
      </c>
      <c r="AP185" s="149">
        <v>0</v>
      </c>
      <c r="AQ185" s="149">
        <v>0</v>
      </c>
      <c r="AR185" s="149">
        <v>0</v>
      </c>
      <c r="AS185" s="149">
        <v>0</v>
      </c>
      <c r="AT185" s="149">
        <v>0</v>
      </c>
      <c r="AU185" s="84"/>
      <c r="AV185" s="84"/>
      <c r="AW185" s="149">
        <v>0</v>
      </c>
      <c r="AX185" s="149">
        <v>7788</v>
      </c>
      <c r="AY185" s="149" t="s">
        <v>101</v>
      </c>
      <c r="AZ185" s="149" t="s">
        <v>101</v>
      </c>
      <c r="BA185" s="149" t="s">
        <v>634</v>
      </c>
      <c r="BB185" s="149">
        <v>1126100446</v>
      </c>
      <c r="BC185" s="148" t="s">
        <v>168</v>
      </c>
      <c r="BD185" s="149" t="s">
        <v>272</v>
      </c>
      <c r="BE185" s="84"/>
      <c r="BF185" s="84" t="s">
        <v>271</v>
      </c>
      <c r="BG185" s="84" t="s">
        <v>281</v>
      </c>
      <c r="BH185" s="149" t="s">
        <v>290</v>
      </c>
      <c r="BI185" t="s">
        <v>155</v>
      </c>
      <c r="BJ185" t="s">
        <v>156</v>
      </c>
      <c r="BK185" t="s">
        <v>635</v>
      </c>
      <c r="BL185">
        <v>1188</v>
      </c>
      <c r="BM185">
        <v>36494.74</v>
      </c>
      <c r="BN185">
        <v>-35307</v>
      </c>
      <c r="BO185" t="s">
        <v>154</v>
      </c>
      <c r="BP185">
        <v>9174963</v>
      </c>
      <c r="BQ185" t="s">
        <v>271</v>
      </c>
      <c r="BR185" t="s">
        <v>630</v>
      </c>
      <c r="BS185">
        <v>36</v>
      </c>
    </row>
    <row r="186" spans="1:71" s="0" customFormat="1" ht="14.5">
      <c r="A186" s="148" t="s">
        <v>157</v>
      </c>
      <c r="B186" s="149" t="s">
        <v>625</v>
      </c>
      <c r="C186" s="149">
        <v>107</v>
      </c>
      <c r="D186" s="149" t="s">
        <v>97</v>
      </c>
      <c r="E186" s="149" t="s">
        <v>98</v>
      </c>
      <c r="F186" s="84"/>
      <c r="G186" s="149" t="s">
        <v>106</v>
      </c>
      <c r="H186" s="149" t="s">
        <v>48</v>
      </c>
      <c r="I186" s="149" t="s">
        <v>158</v>
      </c>
      <c r="J186" s="149" t="s">
        <v>165</v>
      </c>
      <c r="K186" s="149" t="s">
        <v>166</v>
      </c>
      <c r="L186" s="149" t="s">
        <v>160</v>
      </c>
      <c r="M186" s="151">
        <v>46127</v>
      </c>
      <c r="N186" s="149" t="s">
        <v>636</v>
      </c>
      <c r="O186" s="149">
        <v>9156749</v>
      </c>
      <c r="P186" s="150">
        <v>46115</v>
      </c>
      <c r="Q186" s="149" t="s">
        <v>161</v>
      </c>
      <c r="R186" s="148">
        <v>6262</v>
      </c>
      <c r="S186" s="149" t="s">
        <v>183</v>
      </c>
      <c r="T186" s="149" t="s">
        <v>182</v>
      </c>
      <c r="U186" s="149" t="s">
        <v>184</v>
      </c>
      <c r="V186" s="149" t="s">
        <v>162</v>
      </c>
      <c r="W186" s="84"/>
      <c r="X186" s="149">
        <v>1</v>
      </c>
      <c r="Y186" s="149">
        <v>2395</v>
      </c>
      <c r="Z186" s="149">
        <v>2395</v>
      </c>
      <c r="AA186" s="149" t="s">
        <v>99</v>
      </c>
      <c r="AB186" s="149" t="s">
        <v>637</v>
      </c>
      <c r="AC186" s="150">
        <v>46115</v>
      </c>
      <c r="AD186" s="148" t="s">
        <v>171</v>
      </c>
      <c r="AE186" s="149">
        <v>998413</v>
      </c>
      <c r="AF186" s="149" t="s">
        <v>638</v>
      </c>
      <c r="AG186" s="84"/>
      <c r="AH186" s="84"/>
      <c r="AI186" s="149">
        <v>2395</v>
      </c>
      <c r="AJ186" s="149" t="s">
        <v>368</v>
      </c>
      <c r="AK186" s="149">
        <v>18</v>
      </c>
      <c r="AL186" s="149">
        <v>215.55</v>
      </c>
      <c r="AM186" s="149">
        <v>215.55</v>
      </c>
      <c r="AN186" s="149">
        <v>0</v>
      </c>
      <c r="AO186" s="149">
        <v>0</v>
      </c>
      <c r="AP186" s="149">
        <v>0</v>
      </c>
      <c r="AQ186" s="149">
        <v>0</v>
      </c>
      <c r="AR186" s="149">
        <v>0</v>
      </c>
      <c r="AS186" s="149">
        <v>0</v>
      </c>
      <c r="AT186" s="149">
        <v>0</v>
      </c>
      <c r="AU186" s="84"/>
      <c r="AV186" s="84"/>
      <c r="AW186" s="149">
        <v>0</v>
      </c>
      <c r="AX186" s="149">
        <v>2826.10</v>
      </c>
      <c r="AY186" s="149" t="s">
        <v>100</v>
      </c>
      <c r="AZ186" s="149" t="s">
        <v>101</v>
      </c>
      <c r="BA186" s="149" t="s">
        <v>311</v>
      </c>
      <c r="BB186" s="149">
        <v>1126100078</v>
      </c>
      <c r="BC186" s="148" t="s">
        <v>105</v>
      </c>
      <c r="BD186" s="149" t="s">
        <v>103</v>
      </c>
      <c r="BE186" s="84"/>
      <c r="BF186" s="84" t="s">
        <v>270</v>
      </c>
      <c r="BG186" s="84" t="s">
        <v>281</v>
      </c>
      <c r="BH186" s="149" t="s">
        <v>290</v>
      </c>
      <c r="BI186" t="s">
        <v>155</v>
      </c>
      <c r="BJ186" t="s">
        <v>156</v>
      </c>
      <c r="BK186" t="s">
        <v>639</v>
      </c>
      <c r="BL186">
        <v>431.10</v>
      </c>
      <c r="BM186">
        <v>8534.42</v>
      </c>
      <c r="BN186">
        <v>-8103</v>
      </c>
      <c r="BO186" t="s">
        <v>154</v>
      </c>
      <c r="BP186">
        <v>9156749</v>
      </c>
      <c r="BQ186" t="s">
        <v>270</v>
      </c>
      <c r="BR186" t="s">
        <v>630</v>
      </c>
      <c r="BS186">
        <v>17</v>
      </c>
    </row>
    <row r="187" spans="1:71" s="0" customFormat="1" ht="14.5">
      <c r="A187" s="148" t="s">
        <v>157</v>
      </c>
      <c r="B187" s="149" t="s">
        <v>625</v>
      </c>
      <c r="C187" s="149">
        <v>107</v>
      </c>
      <c r="D187" s="149" t="s">
        <v>97</v>
      </c>
      <c r="E187" s="149" t="s">
        <v>98</v>
      </c>
      <c r="F187" s="84"/>
      <c r="G187" s="149" t="s">
        <v>106</v>
      </c>
      <c r="H187" s="149" t="s">
        <v>48</v>
      </c>
      <c r="I187" s="149" t="s">
        <v>158</v>
      </c>
      <c r="J187" s="149" t="s">
        <v>165</v>
      </c>
      <c r="K187" s="149" t="s">
        <v>166</v>
      </c>
      <c r="L187" s="149" t="s">
        <v>160</v>
      </c>
      <c r="M187" s="151">
        <v>46140</v>
      </c>
      <c r="N187" s="149" t="s">
        <v>660</v>
      </c>
      <c r="O187" s="149">
        <v>9175014</v>
      </c>
      <c r="P187" s="150">
        <v>46129</v>
      </c>
      <c r="Q187" s="149" t="s">
        <v>161</v>
      </c>
      <c r="R187" s="148">
        <v>15979</v>
      </c>
      <c r="S187" s="149" t="s">
        <v>369</v>
      </c>
      <c r="T187" s="149" t="s">
        <v>169</v>
      </c>
      <c r="U187" s="149" t="s">
        <v>370</v>
      </c>
      <c r="V187" s="149" t="s">
        <v>162</v>
      </c>
      <c r="W187" s="84"/>
      <c r="X187" s="149">
        <v>68</v>
      </c>
      <c r="Y187" s="149">
        <v>1</v>
      </c>
      <c r="Z187" s="149">
        <v>68</v>
      </c>
      <c r="AA187" s="149" t="s">
        <v>99</v>
      </c>
      <c r="AB187" s="149" t="s">
        <v>660</v>
      </c>
      <c r="AC187" s="150">
        <v>46129</v>
      </c>
      <c r="AD187" s="148" t="s">
        <v>164</v>
      </c>
      <c r="AE187" s="149">
        <v>87081090</v>
      </c>
      <c r="AF187" s="149" t="s">
        <v>931</v>
      </c>
      <c r="AG187" s="84"/>
      <c r="AH187" s="84"/>
      <c r="AI187" s="149">
        <v>68</v>
      </c>
      <c r="AJ187" s="149" t="s">
        <v>368</v>
      </c>
      <c r="AK187" s="149">
        <v>18</v>
      </c>
      <c r="AL187" s="149">
        <v>6.12</v>
      </c>
      <c r="AM187" s="149">
        <v>6.12</v>
      </c>
      <c r="AN187" s="149">
        <v>0</v>
      </c>
      <c r="AO187" s="149">
        <v>0</v>
      </c>
      <c r="AP187" s="149">
        <v>0</v>
      </c>
      <c r="AQ187" s="149">
        <v>0</v>
      </c>
      <c r="AR187" s="149">
        <v>0</v>
      </c>
      <c r="AS187" s="149">
        <v>0</v>
      </c>
      <c r="AT187" s="149">
        <v>0</v>
      </c>
      <c r="AU187" s="84"/>
      <c r="AV187" s="84"/>
      <c r="AW187" s="149">
        <v>0</v>
      </c>
      <c r="AX187" s="149">
        <v>80.239999999999995</v>
      </c>
      <c r="AY187" s="149" t="s">
        <v>101</v>
      </c>
      <c r="AZ187" s="149" t="s">
        <v>101</v>
      </c>
      <c r="BA187" s="149" t="s">
        <v>662</v>
      </c>
      <c r="BB187" s="149">
        <v>1126100447</v>
      </c>
      <c r="BC187" s="148" t="s">
        <v>172</v>
      </c>
      <c r="BD187" s="149" t="s">
        <v>272</v>
      </c>
      <c r="BE187" s="84"/>
      <c r="BF187" s="84" t="s">
        <v>271</v>
      </c>
      <c r="BG187" s="84" t="s">
        <v>281</v>
      </c>
      <c r="BH187" s="149" t="s">
        <v>290</v>
      </c>
      <c r="BI187" t="s">
        <v>155</v>
      </c>
      <c r="BJ187" t="s">
        <v>156</v>
      </c>
      <c r="BK187" t="s">
        <v>663</v>
      </c>
      <c r="BL187">
        <v>12.24</v>
      </c>
      <c r="BM187">
        <v>2435.38</v>
      </c>
      <c r="BN187">
        <v>-2423</v>
      </c>
      <c r="BO187" t="s">
        <v>154</v>
      </c>
      <c r="BP187">
        <v>9175014</v>
      </c>
      <c r="BQ187" t="s">
        <v>271</v>
      </c>
      <c r="BR187" t="s">
        <v>630</v>
      </c>
      <c r="BS187">
        <v>18</v>
      </c>
    </row>
    <row r="188" spans="1:71" s="0" customFormat="1" ht="14.5">
      <c r="A188" s="148" t="s">
        <v>157</v>
      </c>
      <c r="B188" s="149" t="s">
        <v>625</v>
      </c>
      <c r="C188" s="149">
        <v>107</v>
      </c>
      <c r="D188" s="149" t="s">
        <v>97</v>
      </c>
      <c r="E188" s="149" t="s">
        <v>98</v>
      </c>
      <c r="F188" s="84"/>
      <c r="G188" s="84"/>
      <c r="H188" s="149" t="s">
        <v>48</v>
      </c>
      <c r="I188" s="149" t="s">
        <v>158</v>
      </c>
      <c r="J188" s="149" t="s">
        <v>159</v>
      </c>
      <c r="K188" s="149" t="s">
        <v>163</v>
      </c>
      <c r="L188" s="149" t="s">
        <v>160</v>
      </c>
      <c r="M188" s="151">
        <v>46133</v>
      </c>
      <c r="N188" s="149" t="s">
        <v>678</v>
      </c>
      <c r="O188" s="149">
        <v>9167056</v>
      </c>
      <c r="P188" s="150">
        <v>46123</v>
      </c>
      <c r="Q188" s="149" t="s">
        <v>161</v>
      </c>
      <c r="R188" s="148">
        <v>42255</v>
      </c>
      <c r="S188" s="149" t="s">
        <v>436</v>
      </c>
      <c r="T188" s="149" t="s">
        <v>437</v>
      </c>
      <c r="U188" s="84"/>
      <c r="V188" s="149" t="s">
        <v>162</v>
      </c>
      <c r="W188" s="84"/>
      <c r="X188" s="149">
        <v>15000</v>
      </c>
      <c r="Y188" s="149">
        <v>1</v>
      </c>
      <c r="Z188" s="149">
        <v>15000</v>
      </c>
      <c r="AA188" s="149" t="s">
        <v>99</v>
      </c>
      <c r="AB188" s="149" t="s">
        <v>679</v>
      </c>
      <c r="AC188" s="150">
        <v>46123</v>
      </c>
      <c r="AD188" s="84"/>
      <c r="AE188" s="149">
        <v>998216</v>
      </c>
      <c r="AF188" s="149" t="s">
        <v>932</v>
      </c>
      <c r="AG188" s="84"/>
      <c r="AH188" s="84"/>
      <c r="AI188" s="149">
        <v>15000</v>
      </c>
      <c r="AJ188" s="149" t="s">
        <v>368</v>
      </c>
      <c r="AK188" s="149">
        <v>18</v>
      </c>
      <c r="AL188" s="149">
        <v>0</v>
      </c>
      <c r="AM188" s="149">
        <v>0</v>
      </c>
      <c r="AN188" s="149">
        <v>2700</v>
      </c>
      <c r="AO188" s="149">
        <v>0</v>
      </c>
      <c r="AP188" s="149">
        <v>0</v>
      </c>
      <c r="AQ188" s="149">
        <v>0</v>
      </c>
      <c r="AR188" s="149">
        <v>0</v>
      </c>
      <c r="AS188" s="149">
        <v>0</v>
      </c>
      <c r="AT188" s="149">
        <v>0</v>
      </c>
      <c r="AU188" s="84"/>
      <c r="AV188" s="84"/>
      <c r="AW188" s="149">
        <v>0</v>
      </c>
      <c r="AX188" s="149">
        <v>17700</v>
      </c>
      <c r="AY188" s="149" t="s">
        <v>100</v>
      </c>
      <c r="AZ188" s="149" t="s">
        <v>100</v>
      </c>
      <c r="BA188" s="149" t="s">
        <v>200</v>
      </c>
      <c r="BB188" s="149">
        <v>1126100300</v>
      </c>
      <c r="BC188" s="148" t="s">
        <v>211</v>
      </c>
      <c r="BD188" s="149" t="s">
        <v>103</v>
      </c>
      <c r="BE188" s="84"/>
      <c r="BF188" s="84" t="s">
        <v>210</v>
      </c>
      <c r="BG188" s="84" t="s">
        <v>280</v>
      </c>
      <c r="BH188" s="149" t="s">
        <v>289</v>
      </c>
      <c r="BI188" t="s">
        <v>155</v>
      </c>
      <c r="BJ188" t="s">
        <v>156</v>
      </c>
      <c r="BK188" t="s">
        <v>679</v>
      </c>
      <c r="BL188">
        <v>2700</v>
      </c>
      <c r="BM188" t="e">
        <v>#N/A</v>
      </c>
      <c r="BN188" t="e">
        <v>#N/A</v>
      </c>
      <c r="BO188" t="s">
        <v>199</v>
      </c>
      <c r="BP188">
        <v>9167056</v>
      </c>
      <c r="BQ188" t="s">
        <v>210</v>
      </c>
      <c r="BR188" t="s">
        <v>199</v>
      </c>
      <c r="BS188">
        <v>3</v>
      </c>
    </row>
    <row r="189" spans="1:71" s="0" customFormat="1" ht="14.5">
      <c r="A189" s="148" t="s">
        <v>157</v>
      </c>
      <c r="B189" s="149" t="s">
        <v>625</v>
      </c>
      <c r="C189" s="149">
        <v>107</v>
      </c>
      <c r="D189" s="149" t="s">
        <v>97</v>
      </c>
      <c r="E189" s="149" t="s">
        <v>98</v>
      </c>
      <c r="F189" s="84"/>
      <c r="G189" s="84"/>
      <c r="H189" s="149" t="s">
        <v>48</v>
      </c>
      <c r="I189" s="149" t="s">
        <v>158</v>
      </c>
      <c r="J189" s="149" t="s">
        <v>159</v>
      </c>
      <c r="K189" s="149" t="s">
        <v>163</v>
      </c>
      <c r="L189" s="149" t="s">
        <v>160</v>
      </c>
      <c r="M189" s="151">
        <v>46133</v>
      </c>
      <c r="N189" s="149" t="s">
        <v>797</v>
      </c>
      <c r="O189" s="149">
        <v>9164021</v>
      </c>
      <c r="P189" s="150">
        <v>46108</v>
      </c>
      <c r="Q189" s="149" t="s">
        <v>161</v>
      </c>
      <c r="R189" s="148">
        <v>45456</v>
      </c>
      <c r="S189" s="149" t="s">
        <v>418</v>
      </c>
      <c r="T189" s="149" t="s">
        <v>419</v>
      </c>
      <c r="U189" s="84"/>
      <c r="V189" s="84"/>
      <c r="W189" s="84"/>
      <c r="X189" s="149">
        <v>5800</v>
      </c>
      <c r="Y189" s="149">
        <v>1</v>
      </c>
      <c r="Z189" s="149">
        <v>5800</v>
      </c>
      <c r="AA189" s="149" t="s">
        <v>99</v>
      </c>
      <c r="AB189" s="149" t="s">
        <v>797</v>
      </c>
      <c r="AC189" s="150">
        <v>46108</v>
      </c>
      <c r="AD189" s="84"/>
      <c r="AE189" s="149">
        <v>998216</v>
      </c>
      <c r="AF189" s="149" t="s">
        <v>420</v>
      </c>
      <c r="AG189" s="84"/>
      <c r="AH189" s="84"/>
      <c r="AI189" s="149">
        <v>5800</v>
      </c>
      <c r="AJ189" s="149" t="s">
        <v>368</v>
      </c>
      <c r="AK189" s="149">
        <v>18</v>
      </c>
      <c r="AL189" s="149">
        <v>522</v>
      </c>
      <c r="AM189" s="149">
        <v>522</v>
      </c>
      <c r="AN189" s="149">
        <v>0</v>
      </c>
      <c r="AO189" s="149">
        <v>0</v>
      </c>
      <c r="AP189" s="149">
        <v>0</v>
      </c>
      <c r="AQ189" s="149">
        <v>0</v>
      </c>
      <c r="AR189" s="149">
        <v>0</v>
      </c>
      <c r="AS189" s="149">
        <v>0</v>
      </c>
      <c r="AT189" s="149">
        <v>0</v>
      </c>
      <c r="AU189" s="84"/>
      <c r="AV189" s="84"/>
      <c r="AW189" s="149">
        <v>0</v>
      </c>
      <c r="AX189" s="149">
        <v>6844</v>
      </c>
      <c r="AY189" s="149" t="s">
        <v>100</v>
      </c>
      <c r="AZ189" s="149" t="s">
        <v>100</v>
      </c>
      <c r="BA189" s="149" t="s">
        <v>642</v>
      </c>
      <c r="BB189" s="149">
        <v>1125113944</v>
      </c>
      <c r="BC189" s="148" t="s">
        <v>188</v>
      </c>
      <c r="BD189" s="149" t="s">
        <v>103</v>
      </c>
      <c r="BE189" s="84"/>
      <c r="BF189" s="84" t="s">
        <v>210</v>
      </c>
      <c r="BG189" s="84" t="s">
        <v>280</v>
      </c>
      <c r="BH189" s="149" t="s">
        <v>289</v>
      </c>
      <c r="BI189" t="s">
        <v>155</v>
      </c>
      <c r="BJ189" t="s">
        <v>156</v>
      </c>
      <c r="BK189" t="s">
        <v>797</v>
      </c>
      <c r="BL189">
        <v>1044</v>
      </c>
      <c r="BM189" t="e">
        <v>#N/A</v>
      </c>
      <c r="BN189" t="e">
        <v>#N/A</v>
      </c>
      <c r="BO189" t="s">
        <v>199</v>
      </c>
      <c r="BP189">
        <v>9164021</v>
      </c>
      <c r="BQ189" t="s">
        <v>210</v>
      </c>
      <c r="BR189" t="s">
        <v>199</v>
      </c>
      <c r="BS189">
        <v>5</v>
      </c>
    </row>
    <row r="190" spans="1:71" s="0" customFormat="1" ht="14.5">
      <c r="A190" s="148" t="s">
        <v>157</v>
      </c>
      <c r="B190" s="149" t="s">
        <v>625</v>
      </c>
      <c r="C190" s="149">
        <v>107</v>
      </c>
      <c r="D190" s="149" t="s">
        <v>97</v>
      </c>
      <c r="E190" s="149" t="s">
        <v>98</v>
      </c>
      <c r="F190" s="84"/>
      <c r="G190" s="84"/>
      <c r="H190" s="149" t="s">
        <v>48</v>
      </c>
      <c r="I190" s="149" t="s">
        <v>158</v>
      </c>
      <c r="J190" s="149" t="s">
        <v>159</v>
      </c>
      <c r="K190" s="149" t="s">
        <v>163</v>
      </c>
      <c r="L190" s="149" t="s">
        <v>160</v>
      </c>
      <c r="M190" s="151">
        <v>46125</v>
      </c>
      <c r="N190" s="149" t="s">
        <v>933</v>
      </c>
      <c r="O190" s="149">
        <v>9151137</v>
      </c>
      <c r="P190" s="150">
        <v>46113</v>
      </c>
      <c r="Q190" s="149" t="s">
        <v>161</v>
      </c>
      <c r="R190" s="148">
        <v>40036</v>
      </c>
      <c r="S190" s="149" t="s">
        <v>190</v>
      </c>
      <c r="T190" s="149" t="s">
        <v>181</v>
      </c>
      <c r="U190" s="149" t="s">
        <v>191</v>
      </c>
      <c r="V190" s="149" t="s">
        <v>162</v>
      </c>
      <c r="W190" s="84"/>
      <c r="X190" s="149">
        <v>8123625</v>
      </c>
      <c r="Y190" s="149">
        <v>1</v>
      </c>
      <c r="Z190" s="149">
        <v>8123625</v>
      </c>
      <c r="AA190" s="149" t="s">
        <v>99</v>
      </c>
      <c r="AB190" s="149" t="s">
        <v>933</v>
      </c>
      <c r="AC190" s="150">
        <v>46113</v>
      </c>
      <c r="AD190" s="148" t="s">
        <v>171</v>
      </c>
      <c r="AE190" s="149">
        <v>997212</v>
      </c>
      <c r="AF190" s="149" t="s">
        <v>934</v>
      </c>
      <c r="AG190" s="84"/>
      <c r="AH190" s="84"/>
      <c r="AI190" s="149">
        <v>8123625</v>
      </c>
      <c r="AJ190" s="149" t="s">
        <v>368</v>
      </c>
      <c r="AK190" s="149">
        <v>18</v>
      </c>
      <c r="AL190" s="149">
        <v>731126.25</v>
      </c>
      <c r="AM190" s="149">
        <v>731126.25</v>
      </c>
      <c r="AN190" s="149">
        <v>0</v>
      </c>
      <c r="AO190" s="149">
        <v>0</v>
      </c>
      <c r="AP190" s="149">
        <v>0</v>
      </c>
      <c r="AQ190" s="149">
        <v>0</v>
      </c>
      <c r="AR190" s="149">
        <v>0</v>
      </c>
      <c r="AS190" s="149">
        <v>0</v>
      </c>
      <c r="AT190" s="149">
        <v>0</v>
      </c>
      <c r="AU190" s="84"/>
      <c r="AV190" s="84"/>
      <c r="AW190" s="149">
        <v>0</v>
      </c>
      <c r="AX190" s="149">
        <v>9585877.5</v>
      </c>
      <c r="AY190" s="149" t="s">
        <v>100</v>
      </c>
      <c r="AZ190" s="149" t="s">
        <v>101</v>
      </c>
      <c r="BA190" s="149" t="s">
        <v>187</v>
      </c>
      <c r="BB190" s="149">
        <v>1126100027</v>
      </c>
      <c r="BC190" s="148" t="s">
        <v>105</v>
      </c>
      <c r="BD190" s="149" t="s">
        <v>103</v>
      </c>
      <c r="BE190" s="84"/>
      <c r="BF190" s="84" t="s">
        <v>270</v>
      </c>
      <c r="BG190" s="84" t="s">
        <v>281</v>
      </c>
      <c r="BH190" s="149" t="s">
        <v>290</v>
      </c>
      <c r="BI190" t="s">
        <v>155</v>
      </c>
      <c r="BJ190" t="s">
        <v>156</v>
      </c>
      <c r="BK190" t="s">
        <v>935</v>
      </c>
      <c r="BL190">
        <v>1462252.50</v>
      </c>
      <c r="BM190">
        <v>1462252</v>
      </c>
      <c r="BN190">
        <v>1</v>
      </c>
      <c r="BO190" t="s">
        <v>154</v>
      </c>
      <c r="BP190">
        <v>9151137</v>
      </c>
      <c r="BQ190" t="s">
        <v>270</v>
      </c>
      <c r="BR190" t="s">
        <v>630</v>
      </c>
      <c r="BS190">
        <v>1</v>
      </c>
    </row>
    <row r="191" spans="1:71" s="0" customFormat="1" ht="14.5">
      <c r="A191" s="148" t="s">
        <v>157</v>
      </c>
      <c r="B191" s="149" t="s">
        <v>625</v>
      </c>
      <c r="C191" s="149">
        <v>107</v>
      </c>
      <c r="D191" s="149" t="s">
        <v>97</v>
      </c>
      <c r="E191" s="149" t="s">
        <v>98</v>
      </c>
      <c r="F191" s="84"/>
      <c r="G191" s="84"/>
      <c r="H191" s="149" t="s">
        <v>48</v>
      </c>
      <c r="I191" s="149" t="s">
        <v>158</v>
      </c>
      <c r="J191" s="149" t="s">
        <v>159</v>
      </c>
      <c r="K191" s="149" t="s">
        <v>163</v>
      </c>
      <c r="L191" s="149" t="s">
        <v>160</v>
      </c>
      <c r="M191" s="151">
        <v>46126</v>
      </c>
      <c r="N191" s="149" t="s">
        <v>640</v>
      </c>
      <c r="O191" s="149">
        <v>9155613</v>
      </c>
      <c r="P191" s="150">
        <v>46114</v>
      </c>
      <c r="Q191" s="149" t="s">
        <v>161</v>
      </c>
      <c r="R191" s="148">
        <v>2770</v>
      </c>
      <c r="S191" s="149" t="s">
        <v>299</v>
      </c>
      <c r="T191" s="149" t="s">
        <v>174</v>
      </c>
      <c r="U191" s="149" t="s">
        <v>175</v>
      </c>
      <c r="V191" s="149" t="s">
        <v>162</v>
      </c>
      <c r="W191" s="84"/>
      <c r="X191" s="149">
        <v>1</v>
      </c>
      <c r="Y191" s="149">
        <v>2447.25</v>
      </c>
      <c r="Z191" s="149">
        <v>2447.25</v>
      </c>
      <c r="AA191" s="149" t="s">
        <v>99</v>
      </c>
      <c r="AB191" s="149" t="s">
        <v>640</v>
      </c>
      <c r="AC191" s="150">
        <v>46114</v>
      </c>
      <c r="AD191" s="148" t="s">
        <v>171</v>
      </c>
      <c r="AE191" s="149">
        <v>84439952</v>
      </c>
      <c r="AF191" s="149" t="s">
        <v>936</v>
      </c>
      <c r="AG191" s="84"/>
      <c r="AH191" s="84"/>
      <c r="AI191" s="149">
        <v>2447.25</v>
      </c>
      <c r="AJ191" s="149" t="s">
        <v>368</v>
      </c>
      <c r="AK191" s="149">
        <v>18</v>
      </c>
      <c r="AL191" s="149">
        <v>220.25</v>
      </c>
      <c r="AM191" s="149">
        <v>220.25</v>
      </c>
      <c r="AN191" s="149">
        <v>0</v>
      </c>
      <c r="AO191" s="149">
        <v>0</v>
      </c>
      <c r="AP191" s="149">
        <v>0</v>
      </c>
      <c r="AQ191" s="149">
        <v>0</v>
      </c>
      <c r="AR191" s="149">
        <v>0</v>
      </c>
      <c r="AS191" s="149">
        <v>0</v>
      </c>
      <c r="AT191" s="149">
        <v>0</v>
      </c>
      <c r="AU191" s="84"/>
      <c r="AV191" s="84"/>
      <c r="AW191" s="149">
        <v>0</v>
      </c>
      <c r="AX191" s="149">
        <v>2887.75</v>
      </c>
      <c r="AY191" s="149" t="s">
        <v>100</v>
      </c>
      <c r="AZ191" s="149" t="s">
        <v>101</v>
      </c>
      <c r="BA191" s="149" t="s">
        <v>642</v>
      </c>
      <c r="BB191" s="149">
        <v>1126100063</v>
      </c>
      <c r="BC191" s="148" t="s">
        <v>105</v>
      </c>
      <c r="BD191" s="149" t="s">
        <v>103</v>
      </c>
      <c r="BE191" s="84"/>
      <c r="BF191" s="84" t="s">
        <v>270</v>
      </c>
      <c r="BG191" s="84" t="s">
        <v>281</v>
      </c>
      <c r="BH191" s="149" t="s">
        <v>290</v>
      </c>
      <c r="BI191" t="s">
        <v>155</v>
      </c>
      <c r="BJ191" t="s">
        <v>156</v>
      </c>
      <c r="BK191" t="s">
        <v>643</v>
      </c>
      <c r="BL191">
        <v>440.5</v>
      </c>
      <c r="BM191">
        <v>5381.62</v>
      </c>
      <c r="BN191">
        <v>-4941</v>
      </c>
      <c r="BO191" t="s">
        <v>154</v>
      </c>
      <c r="BP191">
        <v>9155613</v>
      </c>
      <c r="BQ191" t="s">
        <v>270</v>
      </c>
      <c r="BR191" t="s">
        <v>630</v>
      </c>
      <c r="BS191">
        <v>4</v>
      </c>
    </row>
    <row r="192" spans="1:71" s="0" customFormat="1" ht="14.5">
      <c r="A192" s="148" t="s">
        <v>157</v>
      </c>
      <c r="B192" s="149" t="s">
        <v>625</v>
      </c>
      <c r="C192" s="149">
        <v>107</v>
      </c>
      <c r="D192" s="149" t="s">
        <v>97</v>
      </c>
      <c r="E192" s="149" t="s">
        <v>98</v>
      </c>
      <c r="F192" s="84"/>
      <c r="G192" s="84"/>
      <c r="H192" s="149" t="s">
        <v>48</v>
      </c>
      <c r="I192" s="149" t="s">
        <v>158</v>
      </c>
      <c r="J192" s="149" t="s">
        <v>159</v>
      </c>
      <c r="K192" s="149" t="s">
        <v>163</v>
      </c>
      <c r="L192" s="149" t="s">
        <v>160</v>
      </c>
      <c r="M192" s="151">
        <v>46126</v>
      </c>
      <c r="N192" s="149" t="s">
        <v>656</v>
      </c>
      <c r="O192" s="149">
        <v>9155610</v>
      </c>
      <c r="P192" s="150">
        <v>46114</v>
      </c>
      <c r="Q192" s="149" t="s">
        <v>161</v>
      </c>
      <c r="R192" s="148">
        <v>2770</v>
      </c>
      <c r="S192" s="149" t="s">
        <v>299</v>
      </c>
      <c r="T192" s="149" t="s">
        <v>174</v>
      </c>
      <c r="U192" s="149" t="s">
        <v>175</v>
      </c>
      <c r="V192" s="149" t="s">
        <v>162</v>
      </c>
      <c r="W192" s="84"/>
      <c r="X192" s="149">
        <v>1</v>
      </c>
      <c r="Y192" s="149">
        <v>2286.90</v>
      </c>
      <c r="Z192" s="149">
        <v>2286.90</v>
      </c>
      <c r="AA192" s="149" t="s">
        <v>99</v>
      </c>
      <c r="AB192" s="149" t="s">
        <v>656</v>
      </c>
      <c r="AC192" s="150">
        <v>46114</v>
      </c>
      <c r="AD192" s="148" t="s">
        <v>171</v>
      </c>
      <c r="AE192" s="149">
        <v>84439952</v>
      </c>
      <c r="AF192" s="149" t="s">
        <v>937</v>
      </c>
      <c r="AG192" s="84"/>
      <c r="AH192" s="84"/>
      <c r="AI192" s="149">
        <v>2286.90</v>
      </c>
      <c r="AJ192" s="149" t="s">
        <v>368</v>
      </c>
      <c r="AK192" s="149">
        <v>18</v>
      </c>
      <c r="AL192" s="149">
        <v>205.82</v>
      </c>
      <c r="AM192" s="149">
        <v>205.82</v>
      </c>
      <c r="AN192" s="149">
        <v>0</v>
      </c>
      <c r="AO192" s="149">
        <v>0</v>
      </c>
      <c r="AP192" s="149">
        <v>0</v>
      </c>
      <c r="AQ192" s="149">
        <v>0</v>
      </c>
      <c r="AR192" s="149">
        <v>0</v>
      </c>
      <c r="AS192" s="149">
        <v>0</v>
      </c>
      <c r="AT192" s="149">
        <v>0</v>
      </c>
      <c r="AU192" s="84"/>
      <c r="AV192" s="84"/>
      <c r="AW192" s="149">
        <v>0</v>
      </c>
      <c r="AX192" s="149">
        <v>2698.54</v>
      </c>
      <c r="AY192" s="149" t="s">
        <v>100</v>
      </c>
      <c r="AZ192" s="149" t="s">
        <v>101</v>
      </c>
      <c r="BA192" s="149" t="s">
        <v>642</v>
      </c>
      <c r="BB192" s="149">
        <v>1126100060</v>
      </c>
      <c r="BC192" s="148" t="s">
        <v>105</v>
      </c>
      <c r="BD192" s="149" t="s">
        <v>103</v>
      </c>
      <c r="BE192" s="84"/>
      <c r="BF192" s="84" t="s">
        <v>270</v>
      </c>
      <c r="BG192" s="84" t="s">
        <v>281</v>
      </c>
      <c r="BH192" s="149" t="s">
        <v>290</v>
      </c>
      <c r="BI192" t="s">
        <v>155</v>
      </c>
      <c r="BJ192" t="s">
        <v>156</v>
      </c>
      <c r="BK192" t="s">
        <v>658</v>
      </c>
      <c r="BL192">
        <v>411.64</v>
      </c>
      <c r="BM192">
        <v>489.18</v>
      </c>
      <c r="BN192">
        <v>-78</v>
      </c>
      <c r="BO192" t="s">
        <v>154</v>
      </c>
      <c r="BP192">
        <v>9155610</v>
      </c>
      <c r="BQ192" t="s">
        <v>270</v>
      </c>
      <c r="BR192" t="s">
        <v>630</v>
      </c>
      <c r="BS192">
        <v>4</v>
      </c>
    </row>
    <row r="193" spans="1:71" s="0" customFormat="1" ht="14.5">
      <c r="A193" s="148" t="s">
        <v>157</v>
      </c>
      <c r="B193" s="149" t="s">
        <v>625</v>
      </c>
      <c r="C193" s="149">
        <v>107</v>
      </c>
      <c r="D193" s="149" t="s">
        <v>97</v>
      </c>
      <c r="E193" s="149" t="s">
        <v>98</v>
      </c>
      <c r="F193" s="84"/>
      <c r="G193" s="84"/>
      <c r="H193" s="149" t="s">
        <v>48</v>
      </c>
      <c r="I193" s="149" t="s">
        <v>158</v>
      </c>
      <c r="J193" s="149" t="s">
        <v>159</v>
      </c>
      <c r="K193" s="149" t="s">
        <v>163</v>
      </c>
      <c r="L193" s="149" t="s">
        <v>160</v>
      </c>
      <c r="M193" s="151">
        <v>46125</v>
      </c>
      <c r="N193" s="149" t="s">
        <v>893</v>
      </c>
      <c r="O193" s="149">
        <v>9151139</v>
      </c>
      <c r="P193" s="150">
        <v>46116</v>
      </c>
      <c r="Q193" s="149" t="s">
        <v>161</v>
      </c>
      <c r="R193" s="148">
        <v>38972</v>
      </c>
      <c r="S193" s="149" t="s">
        <v>304</v>
      </c>
      <c r="T193" s="149" t="s">
        <v>185</v>
      </c>
      <c r="U193" s="149" t="s">
        <v>305</v>
      </c>
      <c r="V193" s="149" t="s">
        <v>162</v>
      </c>
      <c r="W193" s="84"/>
      <c r="X193" s="149">
        <v>60746</v>
      </c>
      <c r="Y193" s="149">
        <v>1</v>
      </c>
      <c r="Z193" s="149">
        <v>60746</v>
      </c>
      <c r="AA193" s="149" t="s">
        <v>99</v>
      </c>
      <c r="AB193" s="149" t="s">
        <v>894</v>
      </c>
      <c r="AC193" s="150">
        <v>46116</v>
      </c>
      <c r="AD193" s="84"/>
      <c r="AE193" s="149">
        <v>991419</v>
      </c>
      <c r="AF193" s="149" t="s">
        <v>938</v>
      </c>
      <c r="AG193" s="84"/>
      <c r="AH193" s="84"/>
      <c r="AI193" s="149">
        <v>60746</v>
      </c>
      <c r="AJ193" s="149" t="s">
        <v>368</v>
      </c>
      <c r="AK193" s="149">
        <v>18</v>
      </c>
      <c r="AL193" s="149">
        <v>5467.14</v>
      </c>
      <c r="AM193" s="149">
        <v>5467.14</v>
      </c>
      <c r="AN193" s="149">
        <v>0</v>
      </c>
      <c r="AO193" s="149">
        <v>0</v>
      </c>
      <c r="AP193" s="149">
        <v>0</v>
      </c>
      <c r="AQ193" s="149">
        <v>0</v>
      </c>
      <c r="AR193" s="149">
        <v>0</v>
      </c>
      <c r="AS193" s="149">
        <v>0</v>
      </c>
      <c r="AT193" s="149">
        <v>0</v>
      </c>
      <c r="AU193" s="84"/>
      <c r="AV193" s="84"/>
      <c r="AW193" s="149">
        <v>0</v>
      </c>
      <c r="AX193" s="149">
        <v>71680.28</v>
      </c>
      <c r="AY193" s="149" t="s">
        <v>101</v>
      </c>
      <c r="AZ193" s="149" t="s">
        <v>101</v>
      </c>
      <c r="BA193" s="149" t="s">
        <v>306</v>
      </c>
      <c r="BB193" s="149">
        <v>1126100030</v>
      </c>
      <c r="BC193" s="148" t="s">
        <v>172</v>
      </c>
      <c r="BD193" s="149" t="s">
        <v>103</v>
      </c>
      <c r="BE193" s="84"/>
      <c r="BF193" s="84" t="s">
        <v>271</v>
      </c>
      <c r="BG193" s="84" t="s">
        <v>281</v>
      </c>
      <c r="BH193" s="149" t="s">
        <v>290</v>
      </c>
      <c r="BI193" t="s">
        <v>155</v>
      </c>
      <c r="BJ193" t="s">
        <v>156</v>
      </c>
      <c r="BK193" t="s">
        <v>896</v>
      </c>
      <c r="BL193">
        <v>10934.28</v>
      </c>
      <c r="BM193">
        <v>11178</v>
      </c>
      <c r="BN193">
        <v>-244</v>
      </c>
      <c r="BO193" t="s">
        <v>154</v>
      </c>
      <c r="BP193">
        <v>9151139</v>
      </c>
      <c r="BQ193" t="s">
        <v>271</v>
      </c>
      <c r="BR193" t="s">
        <v>630</v>
      </c>
      <c r="BS193">
        <v>2</v>
      </c>
    </row>
    <row r="194" spans="1:71" s="0" customFormat="1" ht="14.5">
      <c r="A194" s="148" t="s">
        <v>157</v>
      </c>
      <c r="B194" s="149" t="s">
        <v>625</v>
      </c>
      <c r="C194" s="149">
        <v>107</v>
      </c>
      <c r="D194" s="149" t="s">
        <v>97</v>
      </c>
      <c r="E194" s="149" t="s">
        <v>98</v>
      </c>
      <c r="F194" s="84"/>
      <c r="G194" s="149" t="s">
        <v>106</v>
      </c>
      <c r="H194" s="149" t="s">
        <v>48</v>
      </c>
      <c r="I194" s="149" t="s">
        <v>158</v>
      </c>
      <c r="J194" s="149" t="s">
        <v>165</v>
      </c>
      <c r="K194" s="149" t="s">
        <v>166</v>
      </c>
      <c r="L194" s="149" t="s">
        <v>160</v>
      </c>
      <c r="M194" s="151">
        <v>46127</v>
      </c>
      <c r="N194" s="149" t="s">
        <v>626</v>
      </c>
      <c r="O194" s="149">
        <v>9158398</v>
      </c>
      <c r="P194" s="150">
        <v>46090</v>
      </c>
      <c r="Q194" s="149" t="s">
        <v>161</v>
      </c>
      <c r="R194" s="148">
        <v>35671</v>
      </c>
      <c r="S194" s="149" t="s">
        <v>424</v>
      </c>
      <c r="T194" s="149" t="s">
        <v>425</v>
      </c>
      <c r="U194" s="149" t="s">
        <v>426</v>
      </c>
      <c r="V194" s="149" t="s">
        <v>389</v>
      </c>
      <c r="W194" s="84"/>
      <c r="X194" s="149">
        <v>1434.75</v>
      </c>
      <c r="Y194" s="149">
        <v>5.25</v>
      </c>
      <c r="Z194" s="149">
        <v>7532.44</v>
      </c>
      <c r="AA194" s="149" t="s">
        <v>99</v>
      </c>
      <c r="AB194" s="149" t="s">
        <v>626</v>
      </c>
      <c r="AC194" s="150">
        <v>46121</v>
      </c>
      <c r="AD194" s="148" t="s">
        <v>164</v>
      </c>
      <c r="AE194" s="149">
        <v>27101980</v>
      </c>
      <c r="AF194" s="149" t="s">
        <v>939</v>
      </c>
      <c r="AG194" s="84"/>
      <c r="AH194" s="84"/>
      <c r="AI194" s="149">
        <v>7532.44</v>
      </c>
      <c r="AJ194" s="149" t="s">
        <v>368</v>
      </c>
      <c r="AK194" s="149">
        <v>18</v>
      </c>
      <c r="AL194" s="149">
        <v>0</v>
      </c>
      <c r="AM194" s="149">
        <v>0</v>
      </c>
      <c r="AN194" s="149">
        <v>1355.84</v>
      </c>
      <c r="AO194" s="149">
        <v>0</v>
      </c>
      <c r="AP194" s="149">
        <v>0</v>
      </c>
      <c r="AQ194" s="149">
        <v>0</v>
      </c>
      <c r="AR194" s="149">
        <v>0</v>
      </c>
      <c r="AS194" s="149">
        <v>0</v>
      </c>
      <c r="AT194" s="149">
        <v>0</v>
      </c>
      <c r="AU194" s="84"/>
      <c r="AV194" s="84"/>
      <c r="AW194" s="149">
        <v>0</v>
      </c>
      <c r="AX194" s="149">
        <v>8888.2800000000007</v>
      </c>
      <c r="AY194" s="149" t="s">
        <v>101</v>
      </c>
      <c r="AZ194" s="149" t="s">
        <v>101</v>
      </c>
      <c r="BA194" s="149" t="s">
        <v>628</v>
      </c>
      <c r="BB194" s="149">
        <v>1126100105</v>
      </c>
      <c r="BC194" s="148" t="s">
        <v>168</v>
      </c>
      <c r="BD194" s="149" t="s">
        <v>272</v>
      </c>
      <c r="BE194" s="84"/>
      <c r="BF194" s="84" t="s">
        <v>271</v>
      </c>
      <c r="BG194" s="84" t="s">
        <v>281</v>
      </c>
      <c r="BH194" s="149" t="s">
        <v>290</v>
      </c>
      <c r="BI194" t="s">
        <v>155</v>
      </c>
      <c r="BJ194" t="s">
        <v>156</v>
      </c>
      <c r="BK194" t="s">
        <v>629</v>
      </c>
      <c r="BL194">
        <v>1355.84</v>
      </c>
      <c r="BM194">
        <v>38182.879999999997</v>
      </c>
      <c r="BN194">
        <v>-36827</v>
      </c>
      <c r="BO194" t="s">
        <v>154</v>
      </c>
      <c r="BP194">
        <v>9158398</v>
      </c>
      <c r="BQ194" t="s">
        <v>271</v>
      </c>
      <c r="BR194" t="s">
        <v>630</v>
      </c>
      <c r="BS194">
        <v>37</v>
      </c>
    </row>
    <row r="195" spans="1:71" s="0" customFormat="1" ht="14.5">
      <c r="A195" s="148" t="s">
        <v>157</v>
      </c>
      <c r="B195" s="149" t="s">
        <v>625</v>
      </c>
      <c r="C195" s="149">
        <v>107</v>
      </c>
      <c r="D195" s="149" t="s">
        <v>97</v>
      </c>
      <c r="E195" s="149" t="s">
        <v>98</v>
      </c>
      <c r="F195" s="84"/>
      <c r="G195" s="149" t="s">
        <v>106</v>
      </c>
      <c r="H195" s="149" t="s">
        <v>48</v>
      </c>
      <c r="I195" s="149" t="s">
        <v>158</v>
      </c>
      <c r="J195" s="149" t="s">
        <v>165</v>
      </c>
      <c r="K195" s="149" t="s">
        <v>166</v>
      </c>
      <c r="L195" s="149" t="s">
        <v>160</v>
      </c>
      <c r="M195" s="151">
        <v>46127</v>
      </c>
      <c r="N195" s="149" t="s">
        <v>626</v>
      </c>
      <c r="O195" s="149">
        <v>9158398</v>
      </c>
      <c r="P195" s="150">
        <v>46090</v>
      </c>
      <c r="Q195" s="149" t="s">
        <v>161</v>
      </c>
      <c r="R195" s="148">
        <v>35671</v>
      </c>
      <c r="S195" s="149" t="s">
        <v>424</v>
      </c>
      <c r="T195" s="149" t="s">
        <v>425</v>
      </c>
      <c r="U195" s="149" t="s">
        <v>426</v>
      </c>
      <c r="V195" s="149" t="s">
        <v>162</v>
      </c>
      <c r="W195" s="84"/>
      <c r="X195" s="149">
        <v>275</v>
      </c>
      <c r="Y195" s="149">
        <v>3</v>
      </c>
      <c r="Z195" s="149">
        <v>825</v>
      </c>
      <c r="AA195" s="149" t="s">
        <v>99</v>
      </c>
      <c r="AB195" s="149" t="s">
        <v>626</v>
      </c>
      <c r="AC195" s="150">
        <v>46121</v>
      </c>
      <c r="AD195" s="148" t="s">
        <v>164</v>
      </c>
      <c r="AE195" s="149">
        <v>998729</v>
      </c>
      <c r="AF195" s="149" t="s">
        <v>940</v>
      </c>
      <c r="AG195" s="84"/>
      <c r="AH195" s="84"/>
      <c r="AI195" s="149">
        <v>825</v>
      </c>
      <c r="AJ195" s="149" t="s">
        <v>368</v>
      </c>
      <c r="AK195" s="149">
        <v>18</v>
      </c>
      <c r="AL195" s="149">
        <v>0</v>
      </c>
      <c r="AM195" s="149">
        <v>0</v>
      </c>
      <c r="AN195" s="149">
        <v>148.5</v>
      </c>
      <c r="AO195" s="149">
        <v>0</v>
      </c>
      <c r="AP195" s="149">
        <v>0</v>
      </c>
      <c r="AQ195" s="149">
        <v>0</v>
      </c>
      <c r="AR195" s="149">
        <v>0</v>
      </c>
      <c r="AS195" s="149">
        <v>0</v>
      </c>
      <c r="AT195" s="149">
        <v>0</v>
      </c>
      <c r="AU195" s="84"/>
      <c r="AV195" s="84"/>
      <c r="AW195" s="149">
        <v>0</v>
      </c>
      <c r="AX195" s="149">
        <v>973.5</v>
      </c>
      <c r="AY195" s="149" t="s">
        <v>101</v>
      </c>
      <c r="AZ195" s="149" t="s">
        <v>101</v>
      </c>
      <c r="BA195" s="149" t="s">
        <v>628</v>
      </c>
      <c r="BB195" s="149">
        <v>1126100105</v>
      </c>
      <c r="BC195" s="148" t="s">
        <v>168</v>
      </c>
      <c r="BD195" s="149" t="s">
        <v>272</v>
      </c>
      <c r="BE195" s="84"/>
      <c r="BF195" s="84" t="s">
        <v>271</v>
      </c>
      <c r="BG195" s="84" t="s">
        <v>281</v>
      </c>
      <c r="BH195" s="149" t="s">
        <v>290</v>
      </c>
      <c r="BI195" t="s">
        <v>155</v>
      </c>
      <c r="BJ195" t="s">
        <v>156</v>
      </c>
      <c r="BK195" t="s">
        <v>629</v>
      </c>
      <c r="BL195">
        <v>148.5</v>
      </c>
      <c r="BM195">
        <v>38182.879999999997</v>
      </c>
      <c r="BN195">
        <v>-38034</v>
      </c>
      <c r="BO195" t="s">
        <v>154</v>
      </c>
      <c r="BP195">
        <v>9158398</v>
      </c>
      <c r="BQ195" t="s">
        <v>271</v>
      </c>
      <c r="BR195" t="s">
        <v>630</v>
      </c>
      <c r="BS195">
        <v>37</v>
      </c>
    </row>
    <row r="196" spans="1:71" s="0" customFormat="1" ht="14.5">
      <c r="A196" s="148" t="s">
        <v>157</v>
      </c>
      <c r="B196" s="149" t="s">
        <v>625</v>
      </c>
      <c r="C196" s="149">
        <v>107</v>
      </c>
      <c r="D196" s="149" t="s">
        <v>97</v>
      </c>
      <c r="E196" s="149" t="s">
        <v>98</v>
      </c>
      <c r="F196" s="84"/>
      <c r="G196" s="149" t="s">
        <v>106</v>
      </c>
      <c r="H196" s="149" t="s">
        <v>48</v>
      </c>
      <c r="I196" s="149" t="s">
        <v>158</v>
      </c>
      <c r="J196" s="149" t="s">
        <v>165</v>
      </c>
      <c r="K196" s="149" t="s">
        <v>166</v>
      </c>
      <c r="L196" s="149" t="s">
        <v>160</v>
      </c>
      <c r="M196" s="151">
        <v>46127</v>
      </c>
      <c r="N196" s="149" t="s">
        <v>626</v>
      </c>
      <c r="O196" s="149">
        <v>9158398</v>
      </c>
      <c r="P196" s="150">
        <v>46090</v>
      </c>
      <c r="Q196" s="149" t="s">
        <v>161</v>
      </c>
      <c r="R196" s="148">
        <v>35671</v>
      </c>
      <c r="S196" s="149" t="s">
        <v>424</v>
      </c>
      <c r="T196" s="149" t="s">
        <v>425</v>
      </c>
      <c r="U196" s="149" t="s">
        <v>426</v>
      </c>
      <c r="V196" s="149" t="s">
        <v>162</v>
      </c>
      <c r="W196" s="84"/>
      <c r="X196" s="149">
        <v>275</v>
      </c>
      <c r="Y196" s="149">
        <v>30</v>
      </c>
      <c r="Z196" s="149">
        <v>8250</v>
      </c>
      <c r="AA196" s="149" t="s">
        <v>99</v>
      </c>
      <c r="AB196" s="149" t="s">
        <v>626</v>
      </c>
      <c r="AC196" s="150">
        <v>46121</v>
      </c>
      <c r="AD196" s="148" t="s">
        <v>164</v>
      </c>
      <c r="AE196" s="149">
        <v>998729</v>
      </c>
      <c r="AF196" s="149" t="s">
        <v>432</v>
      </c>
      <c r="AG196" s="84"/>
      <c r="AH196" s="84"/>
      <c r="AI196" s="149">
        <v>8250</v>
      </c>
      <c r="AJ196" s="149" t="s">
        <v>368</v>
      </c>
      <c r="AK196" s="149">
        <v>18</v>
      </c>
      <c r="AL196" s="149">
        <v>0</v>
      </c>
      <c r="AM196" s="149">
        <v>0</v>
      </c>
      <c r="AN196" s="149">
        <v>1485</v>
      </c>
      <c r="AO196" s="149">
        <v>0</v>
      </c>
      <c r="AP196" s="149">
        <v>0</v>
      </c>
      <c r="AQ196" s="149">
        <v>0</v>
      </c>
      <c r="AR196" s="149">
        <v>0</v>
      </c>
      <c r="AS196" s="149">
        <v>0</v>
      </c>
      <c r="AT196" s="149">
        <v>0</v>
      </c>
      <c r="AU196" s="84"/>
      <c r="AV196" s="84"/>
      <c r="AW196" s="149">
        <v>0</v>
      </c>
      <c r="AX196" s="149">
        <v>9735</v>
      </c>
      <c r="AY196" s="149" t="s">
        <v>101</v>
      </c>
      <c r="AZ196" s="149" t="s">
        <v>101</v>
      </c>
      <c r="BA196" s="149" t="s">
        <v>628</v>
      </c>
      <c r="BB196" s="149">
        <v>1126100105</v>
      </c>
      <c r="BC196" s="148" t="s">
        <v>168</v>
      </c>
      <c r="BD196" s="149" t="s">
        <v>272</v>
      </c>
      <c r="BE196" s="84"/>
      <c r="BF196" s="84" t="s">
        <v>271</v>
      </c>
      <c r="BG196" s="84" t="s">
        <v>281</v>
      </c>
      <c r="BH196" s="149" t="s">
        <v>290</v>
      </c>
      <c r="BI196" t="s">
        <v>155</v>
      </c>
      <c r="BJ196" t="s">
        <v>156</v>
      </c>
      <c r="BK196" t="s">
        <v>629</v>
      </c>
      <c r="BL196">
        <v>1485</v>
      </c>
      <c r="BM196">
        <v>38182.879999999997</v>
      </c>
      <c r="BN196">
        <v>-36698</v>
      </c>
      <c r="BO196" t="s">
        <v>154</v>
      </c>
      <c r="BP196">
        <v>9158398</v>
      </c>
      <c r="BQ196" t="s">
        <v>271</v>
      </c>
      <c r="BR196" t="s">
        <v>630</v>
      </c>
      <c r="BS196">
        <v>37</v>
      </c>
    </row>
    <row r="197" spans="1:71" s="0" customFormat="1" ht="14.5">
      <c r="A197" s="148" t="s">
        <v>157</v>
      </c>
      <c r="B197" s="149" t="s">
        <v>625</v>
      </c>
      <c r="C197" s="149">
        <v>107</v>
      </c>
      <c r="D197" s="149" t="s">
        <v>97</v>
      </c>
      <c r="E197" s="149" t="s">
        <v>98</v>
      </c>
      <c r="F197" s="84"/>
      <c r="G197" s="149" t="s">
        <v>106</v>
      </c>
      <c r="H197" s="149" t="s">
        <v>48</v>
      </c>
      <c r="I197" s="149" t="s">
        <v>158</v>
      </c>
      <c r="J197" s="149" t="s">
        <v>165</v>
      </c>
      <c r="K197" s="149" t="s">
        <v>166</v>
      </c>
      <c r="L197" s="149" t="s">
        <v>160</v>
      </c>
      <c r="M197" s="151">
        <v>46127</v>
      </c>
      <c r="N197" s="149" t="s">
        <v>626</v>
      </c>
      <c r="O197" s="149">
        <v>9158398</v>
      </c>
      <c r="P197" s="150">
        <v>46090</v>
      </c>
      <c r="Q197" s="149" t="s">
        <v>161</v>
      </c>
      <c r="R197" s="148">
        <v>35671</v>
      </c>
      <c r="S197" s="149" t="s">
        <v>424</v>
      </c>
      <c r="T197" s="149" t="s">
        <v>425</v>
      </c>
      <c r="U197" s="149" t="s">
        <v>426</v>
      </c>
      <c r="V197" s="149" t="s">
        <v>162</v>
      </c>
      <c r="W197" s="84"/>
      <c r="X197" s="149">
        <v>275</v>
      </c>
      <c r="Y197" s="149">
        <v>3</v>
      </c>
      <c r="Z197" s="149">
        <v>825</v>
      </c>
      <c r="AA197" s="149" t="s">
        <v>99</v>
      </c>
      <c r="AB197" s="149" t="s">
        <v>626</v>
      </c>
      <c r="AC197" s="150">
        <v>46121</v>
      </c>
      <c r="AD197" s="148" t="s">
        <v>164</v>
      </c>
      <c r="AE197" s="149">
        <v>998729</v>
      </c>
      <c r="AF197" s="149" t="s">
        <v>737</v>
      </c>
      <c r="AG197" s="84"/>
      <c r="AH197" s="84"/>
      <c r="AI197" s="149">
        <v>825</v>
      </c>
      <c r="AJ197" s="149" t="s">
        <v>368</v>
      </c>
      <c r="AK197" s="149">
        <v>18</v>
      </c>
      <c r="AL197" s="149">
        <v>0</v>
      </c>
      <c r="AM197" s="149">
        <v>0</v>
      </c>
      <c r="AN197" s="149">
        <v>148.5</v>
      </c>
      <c r="AO197" s="149">
        <v>0</v>
      </c>
      <c r="AP197" s="149">
        <v>0</v>
      </c>
      <c r="AQ197" s="149">
        <v>0</v>
      </c>
      <c r="AR197" s="149">
        <v>0</v>
      </c>
      <c r="AS197" s="149">
        <v>0</v>
      </c>
      <c r="AT197" s="149">
        <v>0</v>
      </c>
      <c r="AU197" s="84"/>
      <c r="AV197" s="84"/>
      <c r="AW197" s="149">
        <v>0</v>
      </c>
      <c r="AX197" s="149">
        <v>973.5</v>
      </c>
      <c r="AY197" s="149" t="s">
        <v>101</v>
      </c>
      <c r="AZ197" s="149" t="s">
        <v>101</v>
      </c>
      <c r="BA197" s="149" t="s">
        <v>628</v>
      </c>
      <c r="BB197" s="149">
        <v>1126100105</v>
      </c>
      <c r="BC197" s="148" t="s">
        <v>168</v>
      </c>
      <c r="BD197" s="149" t="s">
        <v>272</v>
      </c>
      <c r="BE197" s="84"/>
      <c r="BF197" s="84" t="s">
        <v>271</v>
      </c>
      <c r="BG197" s="84" t="s">
        <v>281</v>
      </c>
      <c r="BH197" s="149" t="s">
        <v>290</v>
      </c>
      <c r="BI197" t="s">
        <v>155</v>
      </c>
      <c r="BJ197" t="s">
        <v>156</v>
      </c>
      <c r="BK197" t="s">
        <v>629</v>
      </c>
      <c r="BL197">
        <v>148.5</v>
      </c>
      <c r="BM197">
        <v>38182.879999999997</v>
      </c>
      <c r="BN197">
        <v>-38034</v>
      </c>
      <c r="BO197" t="s">
        <v>154</v>
      </c>
      <c r="BP197">
        <v>9158398</v>
      </c>
      <c r="BQ197" t="s">
        <v>271</v>
      </c>
      <c r="BR197" t="s">
        <v>630</v>
      </c>
      <c r="BS197">
        <v>37</v>
      </c>
    </row>
    <row r="198" spans="1:71" s="0" customFormat="1" ht="14.5">
      <c r="A198" s="148" t="s">
        <v>157</v>
      </c>
      <c r="B198" s="149" t="s">
        <v>625</v>
      </c>
      <c r="C198" s="149">
        <v>107</v>
      </c>
      <c r="D198" s="149" t="s">
        <v>97</v>
      </c>
      <c r="E198" s="149" t="s">
        <v>98</v>
      </c>
      <c r="F198" s="84"/>
      <c r="G198" s="149" t="s">
        <v>106</v>
      </c>
      <c r="H198" s="149" t="s">
        <v>48</v>
      </c>
      <c r="I198" s="149" t="s">
        <v>158</v>
      </c>
      <c r="J198" s="149" t="s">
        <v>165</v>
      </c>
      <c r="K198" s="149" t="s">
        <v>166</v>
      </c>
      <c r="L198" s="149" t="s">
        <v>160</v>
      </c>
      <c r="M198" s="151">
        <v>46127</v>
      </c>
      <c r="N198" s="149" t="s">
        <v>626</v>
      </c>
      <c r="O198" s="149">
        <v>9158398</v>
      </c>
      <c r="P198" s="150">
        <v>46090</v>
      </c>
      <c r="Q198" s="149" t="s">
        <v>161</v>
      </c>
      <c r="R198" s="148">
        <v>35671</v>
      </c>
      <c r="S198" s="149" t="s">
        <v>424</v>
      </c>
      <c r="T198" s="149" t="s">
        <v>425</v>
      </c>
      <c r="U198" s="149" t="s">
        <v>426</v>
      </c>
      <c r="V198" s="149" t="s">
        <v>162</v>
      </c>
      <c r="W198" s="84"/>
      <c r="X198" s="149">
        <v>275</v>
      </c>
      <c r="Y198" s="149">
        <v>1</v>
      </c>
      <c r="Z198" s="149">
        <v>275</v>
      </c>
      <c r="AA198" s="149" t="s">
        <v>99</v>
      </c>
      <c r="AB198" s="149" t="s">
        <v>626</v>
      </c>
      <c r="AC198" s="150">
        <v>46121</v>
      </c>
      <c r="AD198" s="148" t="s">
        <v>164</v>
      </c>
      <c r="AE198" s="149">
        <v>998729</v>
      </c>
      <c r="AF198" s="149" t="s">
        <v>941</v>
      </c>
      <c r="AG198" s="84"/>
      <c r="AH198" s="84"/>
      <c r="AI198" s="149">
        <v>275</v>
      </c>
      <c r="AJ198" s="149" t="s">
        <v>368</v>
      </c>
      <c r="AK198" s="149">
        <v>18</v>
      </c>
      <c r="AL198" s="149">
        <v>0</v>
      </c>
      <c r="AM198" s="149">
        <v>0</v>
      </c>
      <c r="AN198" s="149">
        <v>49.5</v>
      </c>
      <c r="AO198" s="149">
        <v>0</v>
      </c>
      <c r="AP198" s="149">
        <v>0</v>
      </c>
      <c r="AQ198" s="149">
        <v>0</v>
      </c>
      <c r="AR198" s="149">
        <v>0</v>
      </c>
      <c r="AS198" s="149">
        <v>0</v>
      </c>
      <c r="AT198" s="149">
        <v>0</v>
      </c>
      <c r="AU198" s="84"/>
      <c r="AV198" s="84"/>
      <c r="AW198" s="149">
        <v>0</v>
      </c>
      <c r="AX198" s="149">
        <v>324.5</v>
      </c>
      <c r="AY198" s="149" t="s">
        <v>101</v>
      </c>
      <c r="AZ198" s="149" t="s">
        <v>101</v>
      </c>
      <c r="BA198" s="149" t="s">
        <v>628</v>
      </c>
      <c r="BB198" s="149">
        <v>1126100105</v>
      </c>
      <c r="BC198" s="148" t="s">
        <v>168</v>
      </c>
      <c r="BD198" s="149" t="s">
        <v>272</v>
      </c>
      <c r="BE198" s="84"/>
      <c r="BF198" s="84" t="s">
        <v>271</v>
      </c>
      <c r="BG198" s="84" t="s">
        <v>281</v>
      </c>
      <c r="BH198" s="149" t="s">
        <v>290</v>
      </c>
      <c r="BI198" t="s">
        <v>155</v>
      </c>
      <c r="BJ198" t="s">
        <v>156</v>
      </c>
      <c r="BK198" t="s">
        <v>629</v>
      </c>
      <c r="BL198">
        <v>49.5</v>
      </c>
      <c r="BM198">
        <v>38182.879999999997</v>
      </c>
      <c r="BN198">
        <v>-38133</v>
      </c>
      <c r="BO198" t="s">
        <v>154</v>
      </c>
      <c r="BP198">
        <v>9158398</v>
      </c>
      <c r="BQ198" t="s">
        <v>271</v>
      </c>
      <c r="BR198" t="s">
        <v>630</v>
      </c>
      <c r="BS198">
        <v>37</v>
      </c>
    </row>
    <row r="199" spans="1:71" s="0" customFormat="1" ht="14.5">
      <c r="A199" s="148" t="s">
        <v>157</v>
      </c>
      <c r="B199" s="149" t="s">
        <v>625</v>
      </c>
      <c r="C199" s="149">
        <v>107</v>
      </c>
      <c r="D199" s="149" t="s">
        <v>97</v>
      </c>
      <c r="E199" s="149" t="s">
        <v>98</v>
      </c>
      <c r="F199" s="84"/>
      <c r="G199" s="149" t="s">
        <v>106</v>
      </c>
      <c r="H199" s="149" t="s">
        <v>48</v>
      </c>
      <c r="I199" s="149" t="s">
        <v>158</v>
      </c>
      <c r="J199" s="149" t="s">
        <v>165</v>
      </c>
      <c r="K199" s="149" t="s">
        <v>166</v>
      </c>
      <c r="L199" s="149" t="s">
        <v>160</v>
      </c>
      <c r="M199" s="151">
        <v>46127</v>
      </c>
      <c r="N199" s="149" t="s">
        <v>626</v>
      </c>
      <c r="O199" s="149">
        <v>9158398</v>
      </c>
      <c r="P199" s="150">
        <v>46090</v>
      </c>
      <c r="Q199" s="149" t="s">
        <v>161</v>
      </c>
      <c r="R199" s="148">
        <v>35671</v>
      </c>
      <c r="S199" s="149" t="s">
        <v>424</v>
      </c>
      <c r="T199" s="149" t="s">
        <v>425</v>
      </c>
      <c r="U199" s="149" t="s">
        <v>426</v>
      </c>
      <c r="V199" s="149" t="s">
        <v>162</v>
      </c>
      <c r="W199" s="84"/>
      <c r="X199" s="149">
        <v>275</v>
      </c>
      <c r="Y199" s="149">
        <v>48</v>
      </c>
      <c r="Z199" s="149">
        <v>13200</v>
      </c>
      <c r="AA199" s="149" t="s">
        <v>99</v>
      </c>
      <c r="AB199" s="149" t="s">
        <v>626</v>
      </c>
      <c r="AC199" s="150">
        <v>46121</v>
      </c>
      <c r="AD199" s="148" t="s">
        <v>164</v>
      </c>
      <c r="AE199" s="149">
        <v>996200</v>
      </c>
      <c r="AF199" s="149" t="s">
        <v>659</v>
      </c>
      <c r="AG199" s="84"/>
      <c r="AH199" s="84"/>
      <c r="AI199" s="149">
        <v>13200</v>
      </c>
      <c r="AJ199" s="149" t="s">
        <v>368</v>
      </c>
      <c r="AK199" s="149">
        <v>18</v>
      </c>
      <c r="AL199" s="149">
        <v>0</v>
      </c>
      <c r="AM199" s="149">
        <v>0</v>
      </c>
      <c r="AN199" s="149">
        <v>2376</v>
      </c>
      <c r="AO199" s="149">
        <v>0</v>
      </c>
      <c r="AP199" s="149">
        <v>0</v>
      </c>
      <c r="AQ199" s="149">
        <v>0</v>
      </c>
      <c r="AR199" s="149">
        <v>0</v>
      </c>
      <c r="AS199" s="149">
        <v>0</v>
      </c>
      <c r="AT199" s="149">
        <v>0</v>
      </c>
      <c r="AU199" s="84"/>
      <c r="AV199" s="84"/>
      <c r="AW199" s="149">
        <v>0</v>
      </c>
      <c r="AX199" s="149">
        <v>15576</v>
      </c>
      <c r="AY199" s="149" t="s">
        <v>101</v>
      </c>
      <c r="AZ199" s="149" t="s">
        <v>101</v>
      </c>
      <c r="BA199" s="149" t="s">
        <v>628</v>
      </c>
      <c r="BB199" s="149">
        <v>1126100105</v>
      </c>
      <c r="BC199" s="148" t="s">
        <v>168</v>
      </c>
      <c r="BD199" s="149" t="s">
        <v>272</v>
      </c>
      <c r="BE199" s="84"/>
      <c r="BF199" s="84" t="s">
        <v>271</v>
      </c>
      <c r="BG199" s="84" t="s">
        <v>281</v>
      </c>
      <c r="BH199" s="149" t="s">
        <v>290</v>
      </c>
      <c r="BI199" t="s">
        <v>155</v>
      </c>
      <c r="BJ199" t="s">
        <v>156</v>
      </c>
      <c r="BK199" t="s">
        <v>629</v>
      </c>
      <c r="BL199">
        <v>2376</v>
      </c>
      <c r="BM199">
        <v>38182.879999999997</v>
      </c>
      <c r="BN199">
        <v>-35807</v>
      </c>
      <c r="BO199" t="s">
        <v>154</v>
      </c>
      <c r="BP199">
        <v>9158398</v>
      </c>
      <c r="BQ199" t="s">
        <v>271</v>
      </c>
      <c r="BR199" t="s">
        <v>630</v>
      </c>
      <c r="BS199">
        <v>37</v>
      </c>
    </row>
    <row r="200" spans="1:71" s="0" customFormat="1" ht="14.5">
      <c r="A200" s="148" t="s">
        <v>157</v>
      </c>
      <c r="B200" s="149" t="s">
        <v>625</v>
      </c>
      <c r="C200" s="149">
        <v>107</v>
      </c>
      <c r="D200" s="149" t="s">
        <v>97</v>
      </c>
      <c r="E200" s="149" t="s">
        <v>98</v>
      </c>
      <c r="F200" s="84"/>
      <c r="G200" s="149" t="s">
        <v>106</v>
      </c>
      <c r="H200" s="149" t="s">
        <v>48</v>
      </c>
      <c r="I200" s="149" t="s">
        <v>158</v>
      </c>
      <c r="J200" s="149" t="s">
        <v>165</v>
      </c>
      <c r="K200" s="149" t="s">
        <v>166</v>
      </c>
      <c r="L200" s="149" t="s">
        <v>160</v>
      </c>
      <c r="M200" s="151">
        <v>46140</v>
      </c>
      <c r="N200" s="149" t="s">
        <v>632</v>
      </c>
      <c r="O200" s="149">
        <v>9174963</v>
      </c>
      <c r="P200" s="150">
        <v>46129</v>
      </c>
      <c r="Q200" s="149" t="s">
        <v>161</v>
      </c>
      <c r="R200" s="148">
        <v>35671</v>
      </c>
      <c r="S200" s="149" t="s">
        <v>424</v>
      </c>
      <c r="T200" s="149" t="s">
        <v>425</v>
      </c>
      <c r="U200" s="149" t="s">
        <v>426</v>
      </c>
      <c r="V200" s="149" t="s">
        <v>162</v>
      </c>
      <c r="W200" s="84"/>
      <c r="X200" s="149">
        <v>303</v>
      </c>
      <c r="Y200" s="149">
        <v>28</v>
      </c>
      <c r="Z200" s="149">
        <v>8484</v>
      </c>
      <c r="AA200" s="149" t="s">
        <v>99</v>
      </c>
      <c r="AB200" s="149" t="s">
        <v>632</v>
      </c>
      <c r="AC200" s="150">
        <v>46129</v>
      </c>
      <c r="AD200" s="148" t="s">
        <v>164</v>
      </c>
      <c r="AE200" s="149">
        <v>998729</v>
      </c>
      <c r="AF200" s="149" t="s">
        <v>942</v>
      </c>
      <c r="AG200" s="84"/>
      <c r="AH200" s="84"/>
      <c r="AI200" s="149">
        <v>8484</v>
      </c>
      <c r="AJ200" s="149" t="s">
        <v>368</v>
      </c>
      <c r="AK200" s="149">
        <v>18</v>
      </c>
      <c r="AL200" s="149">
        <v>0</v>
      </c>
      <c r="AM200" s="149">
        <v>0</v>
      </c>
      <c r="AN200" s="149">
        <v>1527.12</v>
      </c>
      <c r="AO200" s="149">
        <v>0</v>
      </c>
      <c r="AP200" s="149">
        <v>0</v>
      </c>
      <c r="AQ200" s="149">
        <v>0</v>
      </c>
      <c r="AR200" s="149">
        <v>0</v>
      </c>
      <c r="AS200" s="149">
        <v>0</v>
      </c>
      <c r="AT200" s="149">
        <v>0</v>
      </c>
      <c r="AU200" s="84"/>
      <c r="AV200" s="84"/>
      <c r="AW200" s="149">
        <v>0</v>
      </c>
      <c r="AX200" s="149">
        <v>10011.120000000001</v>
      </c>
      <c r="AY200" s="149" t="s">
        <v>101</v>
      </c>
      <c r="AZ200" s="149" t="s">
        <v>101</v>
      </c>
      <c r="BA200" s="149" t="s">
        <v>634</v>
      </c>
      <c r="BB200" s="149">
        <v>1126100446</v>
      </c>
      <c r="BC200" s="148" t="s">
        <v>168</v>
      </c>
      <c r="BD200" s="149" t="s">
        <v>272</v>
      </c>
      <c r="BE200" s="84"/>
      <c r="BF200" s="84" t="s">
        <v>271</v>
      </c>
      <c r="BG200" s="84" t="s">
        <v>281</v>
      </c>
      <c r="BH200" s="149" t="s">
        <v>290</v>
      </c>
      <c r="BI200" t="s">
        <v>155</v>
      </c>
      <c r="BJ200" t="s">
        <v>156</v>
      </c>
      <c r="BK200" t="s">
        <v>635</v>
      </c>
      <c r="BL200">
        <v>1527.12</v>
      </c>
      <c r="BM200">
        <v>36494.74</v>
      </c>
      <c r="BN200">
        <v>-34968</v>
      </c>
      <c r="BO200" t="s">
        <v>154</v>
      </c>
      <c r="BP200">
        <v>9174963</v>
      </c>
      <c r="BQ200" t="s">
        <v>271</v>
      </c>
      <c r="BR200" t="s">
        <v>630</v>
      </c>
      <c r="BS200">
        <v>36</v>
      </c>
    </row>
    <row r="201" spans="1:71" s="0" customFormat="1" ht="14.5">
      <c r="A201" s="148" t="s">
        <v>157</v>
      </c>
      <c r="B201" s="149" t="s">
        <v>625</v>
      </c>
      <c r="C201" s="149">
        <v>107</v>
      </c>
      <c r="D201" s="149" t="s">
        <v>97</v>
      </c>
      <c r="E201" s="149" t="s">
        <v>98</v>
      </c>
      <c r="F201" s="84"/>
      <c r="G201" s="149" t="s">
        <v>106</v>
      </c>
      <c r="H201" s="149" t="s">
        <v>48</v>
      </c>
      <c r="I201" s="149" t="s">
        <v>158</v>
      </c>
      <c r="J201" s="149" t="s">
        <v>165</v>
      </c>
      <c r="K201" s="149" t="s">
        <v>166</v>
      </c>
      <c r="L201" s="149" t="s">
        <v>160</v>
      </c>
      <c r="M201" s="151">
        <v>46140</v>
      </c>
      <c r="N201" s="149" t="s">
        <v>632</v>
      </c>
      <c r="O201" s="149">
        <v>9174963</v>
      </c>
      <c r="P201" s="150">
        <v>46129</v>
      </c>
      <c r="Q201" s="149" t="s">
        <v>161</v>
      </c>
      <c r="R201" s="148">
        <v>35671</v>
      </c>
      <c r="S201" s="149" t="s">
        <v>424</v>
      </c>
      <c r="T201" s="149" t="s">
        <v>425</v>
      </c>
      <c r="U201" s="149" t="s">
        <v>426</v>
      </c>
      <c r="V201" s="149" t="s">
        <v>162</v>
      </c>
      <c r="W201" s="84"/>
      <c r="X201" s="149">
        <v>1031.3599999999999</v>
      </c>
      <c r="Y201" s="149">
        <v>4</v>
      </c>
      <c r="Z201" s="149">
        <v>4125.4399999999996</v>
      </c>
      <c r="AA201" s="149" t="s">
        <v>99</v>
      </c>
      <c r="AB201" s="149" t="s">
        <v>632</v>
      </c>
      <c r="AC201" s="150">
        <v>46129</v>
      </c>
      <c r="AD201" s="148" t="s">
        <v>164</v>
      </c>
      <c r="AE201" s="149">
        <v>34029099</v>
      </c>
      <c r="AF201" s="149" t="s">
        <v>631</v>
      </c>
      <c r="AG201" s="84"/>
      <c r="AH201" s="84"/>
      <c r="AI201" s="149">
        <v>4125.4399999999996</v>
      </c>
      <c r="AJ201" s="149" t="s">
        <v>368</v>
      </c>
      <c r="AK201" s="149">
        <v>18</v>
      </c>
      <c r="AL201" s="149">
        <v>0</v>
      </c>
      <c r="AM201" s="149">
        <v>0</v>
      </c>
      <c r="AN201" s="149">
        <v>742.58</v>
      </c>
      <c r="AO201" s="149">
        <v>0</v>
      </c>
      <c r="AP201" s="149">
        <v>0</v>
      </c>
      <c r="AQ201" s="149">
        <v>0</v>
      </c>
      <c r="AR201" s="149">
        <v>0</v>
      </c>
      <c r="AS201" s="149">
        <v>0</v>
      </c>
      <c r="AT201" s="149">
        <v>0</v>
      </c>
      <c r="AU201" s="84"/>
      <c r="AV201" s="84"/>
      <c r="AW201" s="149">
        <v>0</v>
      </c>
      <c r="AX201" s="149">
        <v>4868.0200000000004</v>
      </c>
      <c r="AY201" s="149" t="s">
        <v>101</v>
      </c>
      <c r="AZ201" s="149" t="s">
        <v>101</v>
      </c>
      <c r="BA201" s="149" t="s">
        <v>634</v>
      </c>
      <c r="BB201" s="149">
        <v>1126100446</v>
      </c>
      <c r="BC201" s="148" t="s">
        <v>168</v>
      </c>
      <c r="BD201" s="149" t="s">
        <v>272</v>
      </c>
      <c r="BE201" s="84"/>
      <c r="BF201" s="84" t="s">
        <v>271</v>
      </c>
      <c r="BG201" s="84" t="s">
        <v>281</v>
      </c>
      <c r="BH201" s="149" t="s">
        <v>290</v>
      </c>
      <c r="BI201" t="s">
        <v>155</v>
      </c>
      <c r="BJ201" t="s">
        <v>156</v>
      </c>
      <c r="BK201" t="s">
        <v>635</v>
      </c>
      <c r="BL201">
        <v>742.58</v>
      </c>
      <c r="BM201">
        <v>36494.74</v>
      </c>
      <c r="BN201">
        <v>-35752</v>
      </c>
      <c r="BO201" t="s">
        <v>154</v>
      </c>
      <c r="BP201">
        <v>9174963</v>
      </c>
      <c r="BQ201" t="s">
        <v>271</v>
      </c>
      <c r="BR201" t="s">
        <v>630</v>
      </c>
      <c r="BS201">
        <v>36</v>
      </c>
    </row>
    <row r="202" spans="1:71" s="0" customFormat="1" ht="14.5">
      <c r="A202" s="148" t="s">
        <v>157</v>
      </c>
      <c r="B202" s="149" t="s">
        <v>625</v>
      </c>
      <c r="C202" s="149">
        <v>107</v>
      </c>
      <c r="D202" s="149" t="s">
        <v>97</v>
      </c>
      <c r="E202" s="149" t="s">
        <v>98</v>
      </c>
      <c r="F202" s="84"/>
      <c r="G202" s="149" t="s">
        <v>106</v>
      </c>
      <c r="H202" s="149" t="s">
        <v>48</v>
      </c>
      <c r="I202" s="149" t="s">
        <v>158</v>
      </c>
      <c r="J202" s="149" t="s">
        <v>165</v>
      </c>
      <c r="K202" s="149" t="s">
        <v>166</v>
      </c>
      <c r="L202" s="149" t="s">
        <v>160</v>
      </c>
      <c r="M202" s="151">
        <v>46127</v>
      </c>
      <c r="N202" s="149" t="s">
        <v>636</v>
      </c>
      <c r="O202" s="149">
        <v>9156749</v>
      </c>
      <c r="P202" s="150">
        <v>46115</v>
      </c>
      <c r="Q202" s="149" t="s">
        <v>161</v>
      </c>
      <c r="R202" s="148">
        <v>6262</v>
      </c>
      <c r="S202" s="149" t="s">
        <v>183</v>
      </c>
      <c r="T202" s="149" t="s">
        <v>182</v>
      </c>
      <c r="U202" s="149" t="s">
        <v>184</v>
      </c>
      <c r="V202" s="149" t="s">
        <v>162</v>
      </c>
      <c r="W202" s="84"/>
      <c r="X202" s="149">
        <v>1</v>
      </c>
      <c r="Y202" s="149">
        <v>798</v>
      </c>
      <c r="Z202" s="149">
        <v>798</v>
      </c>
      <c r="AA202" s="149" t="s">
        <v>99</v>
      </c>
      <c r="AB202" s="149" t="s">
        <v>637</v>
      </c>
      <c r="AC202" s="150">
        <v>46115</v>
      </c>
      <c r="AD202" s="148" t="s">
        <v>171</v>
      </c>
      <c r="AE202" s="149">
        <v>998413</v>
      </c>
      <c r="AF202" s="149" t="s">
        <v>638</v>
      </c>
      <c r="AG202" s="84"/>
      <c r="AH202" s="84"/>
      <c r="AI202" s="149">
        <v>798</v>
      </c>
      <c r="AJ202" s="149" t="s">
        <v>368</v>
      </c>
      <c r="AK202" s="149">
        <v>18</v>
      </c>
      <c r="AL202" s="149">
        <v>71.819999999999993</v>
      </c>
      <c r="AM202" s="149">
        <v>71.819999999999993</v>
      </c>
      <c r="AN202" s="149">
        <v>0</v>
      </c>
      <c r="AO202" s="149">
        <v>0</v>
      </c>
      <c r="AP202" s="149">
        <v>0</v>
      </c>
      <c r="AQ202" s="149">
        <v>0</v>
      </c>
      <c r="AR202" s="149">
        <v>0</v>
      </c>
      <c r="AS202" s="149">
        <v>0</v>
      </c>
      <c r="AT202" s="149">
        <v>0</v>
      </c>
      <c r="AU202" s="84"/>
      <c r="AV202" s="84"/>
      <c r="AW202" s="149">
        <v>0</v>
      </c>
      <c r="AX202" s="149">
        <v>941.64</v>
      </c>
      <c r="AY202" s="149" t="s">
        <v>100</v>
      </c>
      <c r="AZ202" s="149" t="s">
        <v>101</v>
      </c>
      <c r="BA202" s="149" t="s">
        <v>311</v>
      </c>
      <c r="BB202" s="149">
        <v>1126100078</v>
      </c>
      <c r="BC202" s="148" t="s">
        <v>105</v>
      </c>
      <c r="BD202" s="149" t="s">
        <v>103</v>
      </c>
      <c r="BE202" s="84"/>
      <c r="BF202" s="84" t="s">
        <v>270</v>
      </c>
      <c r="BG202" s="84" t="s">
        <v>281</v>
      </c>
      <c r="BH202" s="149" t="s">
        <v>290</v>
      </c>
      <c r="BI202" t="s">
        <v>155</v>
      </c>
      <c r="BJ202" t="s">
        <v>156</v>
      </c>
      <c r="BK202" t="s">
        <v>639</v>
      </c>
      <c r="BL202">
        <v>143.63999999999999</v>
      </c>
      <c r="BM202">
        <v>8534.42</v>
      </c>
      <c r="BN202">
        <v>-8391</v>
      </c>
      <c r="BO202" t="s">
        <v>154</v>
      </c>
      <c r="BP202">
        <v>9156749</v>
      </c>
      <c r="BQ202" t="s">
        <v>270</v>
      </c>
      <c r="BR202" t="s">
        <v>630</v>
      </c>
      <c r="BS202">
        <v>17</v>
      </c>
    </row>
    <row r="203" spans="1:71" s="0" customFormat="1" ht="14.5">
      <c r="A203" s="148" t="s">
        <v>157</v>
      </c>
      <c r="B203" s="149" t="s">
        <v>625</v>
      </c>
      <c r="C203" s="149">
        <v>107</v>
      </c>
      <c r="D203" s="149" t="s">
        <v>97</v>
      </c>
      <c r="E203" s="149" t="s">
        <v>98</v>
      </c>
      <c r="F203" s="84"/>
      <c r="G203" s="84"/>
      <c r="H203" s="149" t="s">
        <v>48</v>
      </c>
      <c r="I203" s="149" t="s">
        <v>158</v>
      </c>
      <c r="J203" s="149" t="s">
        <v>159</v>
      </c>
      <c r="K203" s="149" t="s">
        <v>421</v>
      </c>
      <c r="L203" s="149" t="s">
        <v>160</v>
      </c>
      <c r="M203" s="151">
        <v>46133</v>
      </c>
      <c r="N203" s="149" t="s">
        <v>943</v>
      </c>
      <c r="O203" s="149">
        <v>9164384</v>
      </c>
      <c r="P203" s="150">
        <v>46115</v>
      </c>
      <c r="Q203" s="149" t="s">
        <v>161</v>
      </c>
      <c r="R203" s="148">
        <v>6262</v>
      </c>
      <c r="S203" s="149" t="s">
        <v>183</v>
      </c>
      <c r="T203" s="149" t="s">
        <v>182</v>
      </c>
      <c r="U203" s="149" t="s">
        <v>184</v>
      </c>
      <c r="V203" s="149" t="s">
        <v>162</v>
      </c>
      <c r="W203" s="84"/>
      <c r="X203" s="149">
        <v>1</v>
      </c>
      <c r="Y203" s="149">
        <v>999</v>
      </c>
      <c r="Z203" s="149">
        <v>999</v>
      </c>
      <c r="AA203" s="149" t="s">
        <v>99</v>
      </c>
      <c r="AB203" s="149" t="s">
        <v>943</v>
      </c>
      <c r="AC203" s="150">
        <v>46115</v>
      </c>
      <c r="AD203" s="148" t="s">
        <v>171</v>
      </c>
      <c r="AE203" s="149">
        <v>998412</v>
      </c>
      <c r="AF203" s="149" t="s">
        <v>702</v>
      </c>
      <c r="AG203" s="84"/>
      <c r="AH203" s="84"/>
      <c r="AI203" s="149">
        <v>999</v>
      </c>
      <c r="AJ203" s="149" t="s">
        <v>368</v>
      </c>
      <c r="AK203" s="149">
        <v>18</v>
      </c>
      <c r="AL203" s="149">
        <v>89.91</v>
      </c>
      <c r="AM203" s="149">
        <v>89.91</v>
      </c>
      <c r="AN203" s="149">
        <v>0</v>
      </c>
      <c r="AO203" s="149">
        <v>0</v>
      </c>
      <c r="AP203" s="149">
        <v>0</v>
      </c>
      <c r="AQ203" s="149">
        <v>0</v>
      </c>
      <c r="AR203" s="149">
        <v>0</v>
      </c>
      <c r="AS203" s="149">
        <v>0</v>
      </c>
      <c r="AT203" s="149">
        <v>0</v>
      </c>
      <c r="AU203" s="84"/>
      <c r="AV203" s="84"/>
      <c r="AW203" s="149">
        <v>0</v>
      </c>
      <c r="AX203" s="149">
        <v>1178.82</v>
      </c>
      <c r="AY203" s="149" t="s">
        <v>100</v>
      </c>
      <c r="AZ203" s="149" t="s">
        <v>101</v>
      </c>
      <c r="BA203" s="149" t="s">
        <v>422</v>
      </c>
      <c r="BB203" s="149">
        <v>1126100280</v>
      </c>
      <c r="BC203" s="148" t="s">
        <v>105</v>
      </c>
      <c r="BD203" s="149" t="s">
        <v>103</v>
      </c>
      <c r="BE203" s="84"/>
      <c r="BF203" s="84" t="s">
        <v>270</v>
      </c>
      <c r="BG203" s="84" t="s">
        <v>281</v>
      </c>
      <c r="BH203" s="149" t="s">
        <v>290</v>
      </c>
      <c r="BI203" t="s">
        <v>155</v>
      </c>
      <c r="BJ203" t="s">
        <v>156</v>
      </c>
      <c r="BK203" t="s">
        <v>944</v>
      </c>
      <c r="BL203">
        <v>179.82</v>
      </c>
      <c r="BM203">
        <v>179.82</v>
      </c>
      <c r="BN203">
        <v>0</v>
      </c>
      <c r="BO203" t="s">
        <v>154</v>
      </c>
      <c r="BP203">
        <v>9164384</v>
      </c>
      <c r="BQ203" t="s">
        <v>270</v>
      </c>
      <c r="BR203" t="s">
        <v>630</v>
      </c>
      <c r="BS203">
        <v>1</v>
      </c>
    </row>
    <row r="204" spans="1:71" s="0" customFormat="1" ht="14.5">
      <c r="A204" s="148" t="s">
        <v>157</v>
      </c>
      <c r="B204" s="149" t="s">
        <v>625</v>
      </c>
      <c r="C204" s="149">
        <v>107</v>
      </c>
      <c r="D204" s="149" t="s">
        <v>97</v>
      </c>
      <c r="E204" s="149" t="s">
        <v>98</v>
      </c>
      <c r="F204" s="84"/>
      <c r="G204" s="84"/>
      <c r="H204" s="149" t="s">
        <v>48</v>
      </c>
      <c r="I204" s="149" t="s">
        <v>158</v>
      </c>
      <c r="J204" s="149" t="s">
        <v>159</v>
      </c>
      <c r="K204" s="149" t="s">
        <v>163</v>
      </c>
      <c r="L204" s="149" t="s">
        <v>160</v>
      </c>
      <c r="M204" s="151">
        <v>46127</v>
      </c>
      <c r="N204" s="149">
        <v>3</v>
      </c>
      <c r="O204" s="149">
        <v>9156871</v>
      </c>
      <c r="P204" s="150">
        <v>46113</v>
      </c>
      <c r="Q204" s="149" t="s">
        <v>161</v>
      </c>
      <c r="R204" s="148">
        <v>43295</v>
      </c>
      <c r="S204" s="149" t="s">
        <v>352</v>
      </c>
      <c r="T204" s="149" t="s">
        <v>181</v>
      </c>
      <c r="U204" s="149" t="s">
        <v>353</v>
      </c>
      <c r="V204" s="149" t="s">
        <v>162</v>
      </c>
      <c r="W204" s="84"/>
      <c r="X204" s="149">
        <v>500</v>
      </c>
      <c r="Y204" s="149">
        <v>15</v>
      </c>
      <c r="Z204" s="149">
        <v>7500</v>
      </c>
      <c r="AA204" s="149" t="s">
        <v>99</v>
      </c>
      <c r="AB204" s="149">
        <v>3</v>
      </c>
      <c r="AC204" s="150">
        <v>46113</v>
      </c>
      <c r="AD204" s="148" t="s">
        <v>164</v>
      </c>
      <c r="AE204" s="149">
        <v>9021030</v>
      </c>
      <c r="AF204" s="149" t="s">
        <v>945</v>
      </c>
      <c r="AG204" s="84"/>
      <c r="AH204" s="84"/>
      <c r="AI204" s="149">
        <v>7500</v>
      </c>
      <c r="AJ204" s="149" t="s">
        <v>368</v>
      </c>
      <c r="AK204" s="149">
        <v>5</v>
      </c>
      <c r="AL204" s="149">
        <v>187.5</v>
      </c>
      <c r="AM204" s="149">
        <v>187.5</v>
      </c>
      <c r="AN204" s="149">
        <v>0</v>
      </c>
      <c r="AO204" s="149">
        <v>0</v>
      </c>
      <c r="AP204" s="149">
        <v>0</v>
      </c>
      <c r="AQ204" s="149">
        <v>0</v>
      </c>
      <c r="AR204" s="149">
        <v>0</v>
      </c>
      <c r="AS204" s="149">
        <v>0</v>
      </c>
      <c r="AT204" s="149">
        <v>0</v>
      </c>
      <c r="AU204" s="84"/>
      <c r="AV204" s="84"/>
      <c r="AW204" s="149">
        <v>0</v>
      </c>
      <c r="AX204" s="149">
        <v>7875</v>
      </c>
      <c r="AY204" s="149" t="s">
        <v>101</v>
      </c>
      <c r="AZ204" s="149" t="s">
        <v>101</v>
      </c>
      <c r="BA204" s="149" t="s">
        <v>167</v>
      </c>
      <c r="BB204" s="149">
        <v>1126100101</v>
      </c>
      <c r="BC204" s="148" t="s">
        <v>273</v>
      </c>
      <c r="BD204" s="149" t="s">
        <v>104</v>
      </c>
      <c r="BE204" s="84"/>
      <c r="BF204" s="84" t="s">
        <v>271</v>
      </c>
      <c r="BG204" s="84" t="s">
        <v>281</v>
      </c>
      <c r="BH204" s="149" t="s">
        <v>289</v>
      </c>
      <c r="BI204" t="s">
        <v>155</v>
      </c>
      <c r="BJ204" t="s">
        <v>156</v>
      </c>
      <c r="BK204" t="s">
        <v>928</v>
      </c>
      <c r="BL204">
        <v>375</v>
      </c>
      <c r="BM204">
        <v>1647</v>
      </c>
      <c r="BN204">
        <v>-1272</v>
      </c>
      <c r="BO204" t="s">
        <v>154</v>
      </c>
      <c r="BP204">
        <v>9156871</v>
      </c>
      <c r="BQ204" t="s">
        <v>271</v>
      </c>
      <c r="BR204" t="s">
        <v>630</v>
      </c>
      <c r="BS204">
        <v>3</v>
      </c>
    </row>
    <row r="205" spans="1:71" s="0" customFormat="1" ht="14.5">
      <c r="A205" s="148" t="s">
        <v>157</v>
      </c>
      <c r="B205" s="149" t="s">
        <v>625</v>
      </c>
      <c r="C205" s="149">
        <v>107</v>
      </c>
      <c r="D205" s="149" t="s">
        <v>97</v>
      </c>
      <c r="E205" s="149" t="s">
        <v>98</v>
      </c>
      <c r="F205" s="84"/>
      <c r="G205" s="84"/>
      <c r="H205" s="149" t="s">
        <v>48</v>
      </c>
      <c r="I205" s="149" t="s">
        <v>158</v>
      </c>
      <c r="J205" s="149" t="s">
        <v>159</v>
      </c>
      <c r="K205" s="149" t="s">
        <v>163</v>
      </c>
      <c r="L205" s="149" t="s">
        <v>160</v>
      </c>
      <c r="M205" s="151">
        <v>46126</v>
      </c>
      <c r="N205" s="149" t="s">
        <v>724</v>
      </c>
      <c r="O205" s="149">
        <v>9155607</v>
      </c>
      <c r="P205" s="150">
        <v>46114</v>
      </c>
      <c r="Q205" s="149" t="s">
        <v>161</v>
      </c>
      <c r="R205" s="148">
        <v>2770</v>
      </c>
      <c r="S205" s="149" t="s">
        <v>299</v>
      </c>
      <c r="T205" s="149" t="s">
        <v>174</v>
      </c>
      <c r="U205" s="149" t="s">
        <v>175</v>
      </c>
      <c r="V205" s="149" t="s">
        <v>162</v>
      </c>
      <c r="W205" s="84"/>
      <c r="X205" s="149">
        <v>1</v>
      </c>
      <c r="Y205" s="149">
        <v>13548.15</v>
      </c>
      <c r="Z205" s="149">
        <v>13548.15</v>
      </c>
      <c r="AA205" s="149" t="s">
        <v>99</v>
      </c>
      <c r="AB205" s="149" t="s">
        <v>724</v>
      </c>
      <c r="AC205" s="150">
        <v>46114</v>
      </c>
      <c r="AD205" s="148" t="s">
        <v>171</v>
      </c>
      <c r="AE205" s="149">
        <v>84439952</v>
      </c>
      <c r="AF205" s="149" t="s">
        <v>946</v>
      </c>
      <c r="AG205" s="84"/>
      <c r="AH205" s="84"/>
      <c r="AI205" s="149">
        <v>13548.15</v>
      </c>
      <c r="AJ205" s="149" t="s">
        <v>368</v>
      </c>
      <c r="AK205" s="149">
        <v>18</v>
      </c>
      <c r="AL205" s="149">
        <v>1219.33</v>
      </c>
      <c r="AM205" s="149">
        <v>1219.33</v>
      </c>
      <c r="AN205" s="149">
        <v>0</v>
      </c>
      <c r="AO205" s="149">
        <v>0</v>
      </c>
      <c r="AP205" s="149">
        <v>0</v>
      </c>
      <c r="AQ205" s="149">
        <v>0</v>
      </c>
      <c r="AR205" s="149">
        <v>0</v>
      </c>
      <c r="AS205" s="149">
        <v>0</v>
      </c>
      <c r="AT205" s="149">
        <v>0</v>
      </c>
      <c r="AU205" s="84"/>
      <c r="AV205" s="84"/>
      <c r="AW205" s="149">
        <v>0</v>
      </c>
      <c r="AX205" s="149">
        <v>15986.81</v>
      </c>
      <c r="AY205" s="149" t="s">
        <v>100</v>
      </c>
      <c r="AZ205" s="149" t="s">
        <v>101</v>
      </c>
      <c r="BA205" s="149" t="s">
        <v>642</v>
      </c>
      <c r="BB205" s="149">
        <v>1126100057</v>
      </c>
      <c r="BC205" s="148" t="s">
        <v>105</v>
      </c>
      <c r="BD205" s="149" t="s">
        <v>103</v>
      </c>
      <c r="BE205" s="84"/>
      <c r="BF205" s="84" t="s">
        <v>270</v>
      </c>
      <c r="BG205" s="84" t="s">
        <v>281</v>
      </c>
      <c r="BH205" s="149" t="s">
        <v>290</v>
      </c>
      <c r="BI205" t="s">
        <v>155</v>
      </c>
      <c r="BJ205" t="s">
        <v>156</v>
      </c>
      <c r="BK205" t="s">
        <v>726</v>
      </c>
      <c r="BL205">
        <v>2438.66</v>
      </c>
      <c r="BM205">
        <v>2568.60</v>
      </c>
      <c r="BN205">
        <v>-130</v>
      </c>
      <c r="BO205" t="s">
        <v>154</v>
      </c>
      <c r="BP205">
        <v>9155607</v>
      </c>
      <c r="BQ205" t="s">
        <v>270</v>
      </c>
      <c r="BR205" t="s">
        <v>630</v>
      </c>
      <c r="BS205">
        <v>4</v>
      </c>
    </row>
    <row r="206" spans="1:71" s="0" customFormat="1" ht="14.5">
      <c r="A206" s="148" t="s">
        <v>157</v>
      </c>
      <c r="B206" s="149" t="s">
        <v>625</v>
      </c>
      <c r="C206" s="149">
        <v>107</v>
      </c>
      <c r="D206" s="149" t="s">
        <v>97</v>
      </c>
      <c r="E206" s="149" t="s">
        <v>98</v>
      </c>
      <c r="F206" s="84"/>
      <c r="G206" s="84"/>
      <c r="H206" s="149" t="s">
        <v>48</v>
      </c>
      <c r="I206" s="149" t="s">
        <v>158</v>
      </c>
      <c r="J206" s="149" t="s">
        <v>159</v>
      </c>
      <c r="K206" s="149" t="s">
        <v>166</v>
      </c>
      <c r="L206" s="149" t="s">
        <v>160</v>
      </c>
      <c r="M206" s="151">
        <v>46133</v>
      </c>
      <c r="N206" s="149" t="s">
        <v>947</v>
      </c>
      <c r="O206" s="149">
        <v>9167354</v>
      </c>
      <c r="P206" s="150">
        <v>46101</v>
      </c>
      <c r="Q206" s="149" t="s">
        <v>161</v>
      </c>
      <c r="R206" s="148">
        <v>45510</v>
      </c>
      <c r="S206" s="149" t="s">
        <v>947</v>
      </c>
      <c r="T206" s="149" t="s">
        <v>153</v>
      </c>
      <c r="U206" s="84"/>
      <c r="V206" s="84"/>
      <c r="W206" s="84"/>
      <c r="X206" s="149">
        <v>0</v>
      </c>
      <c r="Y206" s="149">
        <v>0</v>
      </c>
      <c r="Z206" s="149">
        <v>1200000</v>
      </c>
      <c r="AA206" s="149" t="s">
        <v>99</v>
      </c>
      <c r="AB206" s="149" t="s">
        <v>948</v>
      </c>
      <c r="AC206" s="150">
        <v>46101</v>
      </c>
      <c r="AD206" s="84"/>
      <c r="AE206" s="149">
        <v>998216</v>
      </c>
      <c r="AF206" s="149" t="s">
        <v>949</v>
      </c>
      <c r="AG206" s="84"/>
      <c r="AH206" s="84"/>
      <c r="AI206" s="149">
        <v>1200000</v>
      </c>
      <c r="AJ206" s="149" t="s">
        <v>368</v>
      </c>
      <c r="AK206" s="149">
        <v>18</v>
      </c>
      <c r="AL206" s="149">
        <v>108000</v>
      </c>
      <c r="AM206" s="149">
        <v>108000</v>
      </c>
      <c r="AN206" s="149">
        <v>0</v>
      </c>
      <c r="AO206" s="149">
        <v>0</v>
      </c>
      <c r="AP206" s="149">
        <v>0</v>
      </c>
      <c r="AQ206" s="149">
        <v>0</v>
      </c>
      <c r="AR206" s="149">
        <v>0</v>
      </c>
      <c r="AS206" s="149">
        <v>0</v>
      </c>
      <c r="AT206" s="149">
        <v>0</v>
      </c>
      <c r="AU206" s="84"/>
      <c r="AV206" s="84"/>
      <c r="AW206" s="149">
        <v>0</v>
      </c>
      <c r="AX206" s="149">
        <v>1416000</v>
      </c>
      <c r="AY206" s="149" t="s">
        <v>100</v>
      </c>
      <c r="AZ206" s="149" t="s">
        <v>100</v>
      </c>
      <c r="BA206" s="149" t="s">
        <v>642</v>
      </c>
      <c r="BB206" s="149">
        <v>1126100313</v>
      </c>
      <c r="BC206" s="148" t="s">
        <v>188</v>
      </c>
      <c r="BD206" s="149" t="s">
        <v>103</v>
      </c>
      <c r="BE206" s="84"/>
      <c r="BF206" s="84" t="s">
        <v>210</v>
      </c>
      <c r="BG206" s="84" t="s">
        <v>280</v>
      </c>
      <c r="BH206" s="149" t="s">
        <v>289</v>
      </c>
      <c r="BI206" t="s">
        <v>155</v>
      </c>
      <c r="BJ206" t="s">
        <v>156</v>
      </c>
      <c r="BK206" t="s">
        <v>948</v>
      </c>
      <c r="BL206">
        <v>216000</v>
      </c>
      <c r="BM206" t="e">
        <v>#N/A</v>
      </c>
      <c r="BN206" t="e">
        <v>#N/A</v>
      </c>
      <c r="BO206" t="s">
        <v>199</v>
      </c>
      <c r="BP206">
        <v>9167354</v>
      </c>
      <c r="BQ206" t="s">
        <v>210</v>
      </c>
      <c r="BR206" t="s">
        <v>199</v>
      </c>
      <c r="BS206">
        <v>1</v>
      </c>
    </row>
    <row r="207" spans="1:71" s="0" customFormat="1" ht="14.5">
      <c r="A207" s="148" t="s">
        <v>157</v>
      </c>
      <c r="B207" s="149" t="s">
        <v>625</v>
      </c>
      <c r="C207" s="149">
        <v>107</v>
      </c>
      <c r="D207" s="149" t="s">
        <v>97</v>
      </c>
      <c r="E207" s="149" t="s">
        <v>98</v>
      </c>
      <c r="F207" s="84"/>
      <c r="G207" s="149" t="s">
        <v>106</v>
      </c>
      <c r="H207" s="149" t="s">
        <v>48</v>
      </c>
      <c r="I207" s="149" t="s">
        <v>158</v>
      </c>
      <c r="J207" s="149" t="s">
        <v>165</v>
      </c>
      <c r="K207" s="149" t="s">
        <v>166</v>
      </c>
      <c r="L207" s="149" t="s">
        <v>160</v>
      </c>
      <c r="M207" s="151">
        <v>46127</v>
      </c>
      <c r="N207" s="149" t="s">
        <v>626</v>
      </c>
      <c r="O207" s="149">
        <v>9158398</v>
      </c>
      <c r="P207" s="150">
        <v>46090</v>
      </c>
      <c r="Q207" s="149" t="s">
        <v>161</v>
      </c>
      <c r="R207" s="148">
        <v>35671</v>
      </c>
      <c r="S207" s="149" t="s">
        <v>424</v>
      </c>
      <c r="T207" s="149" t="s">
        <v>425</v>
      </c>
      <c r="U207" s="149" t="s">
        <v>426</v>
      </c>
      <c r="V207" s="149" t="s">
        <v>162</v>
      </c>
      <c r="W207" s="84"/>
      <c r="X207" s="149">
        <v>231.23</v>
      </c>
      <c r="Y207" s="149">
        <v>6</v>
      </c>
      <c r="Z207" s="149">
        <v>1387.38</v>
      </c>
      <c r="AA207" s="149" t="s">
        <v>99</v>
      </c>
      <c r="AB207" s="149" t="s">
        <v>626</v>
      </c>
      <c r="AC207" s="150">
        <v>46121</v>
      </c>
      <c r="AD207" s="148" t="s">
        <v>164</v>
      </c>
      <c r="AE207" s="149">
        <v>87087000</v>
      </c>
      <c r="AF207" s="149" t="s">
        <v>950</v>
      </c>
      <c r="AG207" s="84"/>
      <c r="AH207" s="84"/>
      <c r="AI207" s="149">
        <v>1387.38</v>
      </c>
      <c r="AJ207" s="149" t="s">
        <v>368</v>
      </c>
      <c r="AK207" s="149">
        <v>18</v>
      </c>
      <c r="AL207" s="149">
        <v>0</v>
      </c>
      <c r="AM207" s="149">
        <v>0</v>
      </c>
      <c r="AN207" s="149">
        <v>249.73</v>
      </c>
      <c r="AO207" s="149">
        <v>0</v>
      </c>
      <c r="AP207" s="149">
        <v>0</v>
      </c>
      <c r="AQ207" s="149">
        <v>0</v>
      </c>
      <c r="AR207" s="149">
        <v>0</v>
      </c>
      <c r="AS207" s="149">
        <v>0</v>
      </c>
      <c r="AT207" s="149">
        <v>0</v>
      </c>
      <c r="AU207" s="84"/>
      <c r="AV207" s="84"/>
      <c r="AW207" s="149">
        <v>0</v>
      </c>
      <c r="AX207" s="149">
        <v>1637.11</v>
      </c>
      <c r="AY207" s="149" t="s">
        <v>101</v>
      </c>
      <c r="AZ207" s="149" t="s">
        <v>101</v>
      </c>
      <c r="BA207" s="149" t="s">
        <v>628</v>
      </c>
      <c r="BB207" s="149">
        <v>1126100105</v>
      </c>
      <c r="BC207" s="148" t="s">
        <v>168</v>
      </c>
      <c r="BD207" s="149" t="s">
        <v>272</v>
      </c>
      <c r="BE207" s="84"/>
      <c r="BF207" s="84" t="s">
        <v>271</v>
      </c>
      <c r="BG207" s="84" t="s">
        <v>281</v>
      </c>
      <c r="BH207" s="149" t="s">
        <v>290</v>
      </c>
      <c r="BI207" t="s">
        <v>155</v>
      </c>
      <c r="BJ207" t="s">
        <v>156</v>
      </c>
      <c r="BK207" t="s">
        <v>629</v>
      </c>
      <c r="BL207">
        <v>249.73</v>
      </c>
      <c r="BM207">
        <v>38182.879999999997</v>
      </c>
      <c r="BN207">
        <v>-37933</v>
      </c>
      <c r="BO207" t="s">
        <v>154</v>
      </c>
      <c r="BP207">
        <v>9158398</v>
      </c>
      <c r="BQ207" t="s">
        <v>271</v>
      </c>
      <c r="BR207" t="s">
        <v>630</v>
      </c>
      <c r="BS207">
        <v>37</v>
      </c>
    </row>
    <row r="208" spans="1:71" s="0" customFormat="1" ht="14.5">
      <c r="A208" s="148" t="s">
        <v>157</v>
      </c>
      <c r="B208" s="149" t="s">
        <v>625</v>
      </c>
      <c r="C208" s="149">
        <v>107</v>
      </c>
      <c r="D208" s="149" t="s">
        <v>97</v>
      </c>
      <c r="E208" s="149" t="s">
        <v>98</v>
      </c>
      <c r="F208" s="84"/>
      <c r="G208" s="149" t="s">
        <v>106</v>
      </c>
      <c r="H208" s="149" t="s">
        <v>48</v>
      </c>
      <c r="I208" s="149" t="s">
        <v>158</v>
      </c>
      <c r="J208" s="149" t="s">
        <v>165</v>
      </c>
      <c r="K208" s="149" t="s">
        <v>166</v>
      </c>
      <c r="L208" s="149" t="s">
        <v>160</v>
      </c>
      <c r="M208" s="151">
        <v>46140</v>
      </c>
      <c r="N208" s="149" t="s">
        <v>660</v>
      </c>
      <c r="O208" s="149">
        <v>9175014</v>
      </c>
      <c r="P208" s="150">
        <v>46129</v>
      </c>
      <c r="Q208" s="149" t="s">
        <v>161</v>
      </c>
      <c r="R208" s="148">
        <v>15979</v>
      </c>
      <c r="S208" s="149" t="s">
        <v>369</v>
      </c>
      <c r="T208" s="149" t="s">
        <v>169</v>
      </c>
      <c r="U208" s="149" t="s">
        <v>370</v>
      </c>
      <c r="V208" s="149" t="s">
        <v>162</v>
      </c>
      <c r="W208" s="84"/>
      <c r="X208" s="149">
        <v>537.29999999999995</v>
      </c>
      <c r="Y208" s="149">
        <v>1</v>
      </c>
      <c r="Z208" s="149">
        <v>537.29999999999995</v>
      </c>
      <c r="AA208" s="149" t="s">
        <v>99</v>
      </c>
      <c r="AB208" s="149" t="s">
        <v>660</v>
      </c>
      <c r="AC208" s="150">
        <v>46129</v>
      </c>
      <c r="AD208" s="148" t="s">
        <v>164</v>
      </c>
      <c r="AE208" s="149">
        <v>998729</v>
      </c>
      <c r="AF208" s="149" t="s">
        <v>951</v>
      </c>
      <c r="AG208" s="84"/>
      <c r="AH208" s="84"/>
      <c r="AI208" s="149">
        <v>537.29999999999995</v>
      </c>
      <c r="AJ208" s="149" t="s">
        <v>368</v>
      </c>
      <c r="AK208" s="149">
        <v>18</v>
      </c>
      <c r="AL208" s="149">
        <v>48.36</v>
      </c>
      <c r="AM208" s="149">
        <v>48.36</v>
      </c>
      <c r="AN208" s="149">
        <v>0</v>
      </c>
      <c r="AO208" s="149">
        <v>0</v>
      </c>
      <c r="AP208" s="149">
        <v>0</v>
      </c>
      <c r="AQ208" s="149">
        <v>0</v>
      </c>
      <c r="AR208" s="149">
        <v>0</v>
      </c>
      <c r="AS208" s="149">
        <v>0</v>
      </c>
      <c r="AT208" s="149">
        <v>0</v>
      </c>
      <c r="AU208" s="84"/>
      <c r="AV208" s="84"/>
      <c r="AW208" s="149">
        <v>0</v>
      </c>
      <c r="AX208" s="149">
        <v>634.02</v>
      </c>
      <c r="AY208" s="149" t="s">
        <v>101</v>
      </c>
      <c r="AZ208" s="149" t="s">
        <v>101</v>
      </c>
      <c r="BA208" s="149" t="s">
        <v>662</v>
      </c>
      <c r="BB208" s="149">
        <v>1126100447</v>
      </c>
      <c r="BC208" s="148" t="s">
        <v>172</v>
      </c>
      <c r="BD208" s="149" t="s">
        <v>272</v>
      </c>
      <c r="BE208" s="84"/>
      <c r="BF208" s="84" t="s">
        <v>271</v>
      </c>
      <c r="BG208" s="84" t="s">
        <v>281</v>
      </c>
      <c r="BH208" s="149" t="s">
        <v>290</v>
      </c>
      <c r="BI208" t="s">
        <v>155</v>
      </c>
      <c r="BJ208" t="s">
        <v>156</v>
      </c>
      <c r="BK208" t="s">
        <v>663</v>
      </c>
      <c r="BL208">
        <v>96.72</v>
      </c>
      <c r="BM208">
        <v>2435.38</v>
      </c>
      <c r="BN208">
        <v>-2339</v>
      </c>
      <c r="BO208" t="s">
        <v>154</v>
      </c>
      <c r="BP208">
        <v>9175014</v>
      </c>
      <c r="BQ208" t="s">
        <v>271</v>
      </c>
      <c r="BR208" t="s">
        <v>630</v>
      </c>
      <c r="BS208">
        <v>18</v>
      </c>
    </row>
    <row r="209" spans="1:71" s="0" customFormat="1" ht="14.5">
      <c r="A209" s="148" t="s">
        <v>157</v>
      </c>
      <c r="B209" s="149" t="s">
        <v>625</v>
      </c>
      <c r="C209" s="149">
        <v>107</v>
      </c>
      <c r="D209" s="149" t="s">
        <v>97</v>
      </c>
      <c r="E209" s="149" t="s">
        <v>98</v>
      </c>
      <c r="F209" s="84"/>
      <c r="G209" s="149" t="s">
        <v>106</v>
      </c>
      <c r="H209" s="149" t="s">
        <v>48</v>
      </c>
      <c r="I209" s="149" t="s">
        <v>158</v>
      </c>
      <c r="J209" s="149" t="s">
        <v>165</v>
      </c>
      <c r="K209" s="149" t="s">
        <v>166</v>
      </c>
      <c r="L209" s="149" t="s">
        <v>160</v>
      </c>
      <c r="M209" s="151">
        <v>46127</v>
      </c>
      <c r="N209" s="149" t="s">
        <v>626</v>
      </c>
      <c r="O209" s="149">
        <v>9158398</v>
      </c>
      <c r="P209" s="150">
        <v>46090</v>
      </c>
      <c r="Q209" s="149" t="s">
        <v>161</v>
      </c>
      <c r="R209" s="148">
        <v>35671</v>
      </c>
      <c r="S209" s="149" t="s">
        <v>424</v>
      </c>
      <c r="T209" s="149" t="s">
        <v>425</v>
      </c>
      <c r="U209" s="149" t="s">
        <v>426</v>
      </c>
      <c r="V209" s="149" t="s">
        <v>162</v>
      </c>
      <c r="W209" s="84"/>
      <c r="X209" s="149">
        <v>275</v>
      </c>
      <c r="Y209" s="149">
        <v>30</v>
      </c>
      <c r="Z209" s="149">
        <v>8250</v>
      </c>
      <c r="AA209" s="149" t="s">
        <v>99</v>
      </c>
      <c r="AB209" s="149" t="s">
        <v>626</v>
      </c>
      <c r="AC209" s="150">
        <v>46121</v>
      </c>
      <c r="AD209" s="148" t="s">
        <v>164</v>
      </c>
      <c r="AE209" s="149">
        <v>996200</v>
      </c>
      <c r="AF209" s="149" t="s">
        <v>819</v>
      </c>
      <c r="AG209" s="84"/>
      <c r="AH209" s="84"/>
      <c r="AI209" s="149">
        <v>8250</v>
      </c>
      <c r="AJ209" s="149" t="s">
        <v>368</v>
      </c>
      <c r="AK209" s="149">
        <v>18</v>
      </c>
      <c r="AL209" s="149">
        <v>0</v>
      </c>
      <c r="AM209" s="149">
        <v>0</v>
      </c>
      <c r="AN209" s="149">
        <v>1485</v>
      </c>
      <c r="AO209" s="149">
        <v>0</v>
      </c>
      <c r="AP209" s="149">
        <v>0</v>
      </c>
      <c r="AQ209" s="149">
        <v>0</v>
      </c>
      <c r="AR209" s="149">
        <v>0</v>
      </c>
      <c r="AS209" s="149">
        <v>0</v>
      </c>
      <c r="AT209" s="149">
        <v>0</v>
      </c>
      <c r="AU209" s="84"/>
      <c r="AV209" s="84"/>
      <c r="AW209" s="149">
        <v>0</v>
      </c>
      <c r="AX209" s="149">
        <v>9735</v>
      </c>
      <c r="AY209" s="149" t="s">
        <v>101</v>
      </c>
      <c r="AZ209" s="149" t="s">
        <v>101</v>
      </c>
      <c r="BA209" s="149" t="s">
        <v>628</v>
      </c>
      <c r="BB209" s="149">
        <v>1126100105</v>
      </c>
      <c r="BC209" s="148" t="s">
        <v>168</v>
      </c>
      <c r="BD209" s="149" t="s">
        <v>272</v>
      </c>
      <c r="BE209" s="84"/>
      <c r="BF209" s="84" t="s">
        <v>271</v>
      </c>
      <c r="BG209" s="84" t="s">
        <v>281</v>
      </c>
      <c r="BH209" s="149" t="s">
        <v>290</v>
      </c>
      <c r="BI209" t="s">
        <v>155</v>
      </c>
      <c r="BJ209" t="s">
        <v>156</v>
      </c>
      <c r="BK209" t="s">
        <v>629</v>
      </c>
      <c r="BL209">
        <v>1485</v>
      </c>
      <c r="BM209">
        <v>38182.879999999997</v>
      </c>
      <c r="BN209">
        <v>-36698</v>
      </c>
      <c r="BO209" t="s">
        <v>154</v>
      </c>
      <c r="BP209">
        <v>9158398</v>
      </c>
      <c r="BQ209" t="s">
        <v>271</v>
      </c>
      <c r="BR209" t="s">
        <v>630</v>
      </c>
      <c r="BS209">
        <v>37</v>
      </c>
    </row>
    <row r="210" spans="1:71" s="0" customFormat="1" ht="14.5">
      <c r="A210" s="148" t="s">
        <v>157</v>
      </c>
      <c r="B210" s="149" t="s">
        <v>625</v>
      </c>
      <c r="C210" s="149">
        <v>107</v>
      </c>
      <c r="D210" s="149" t="s">
        <v>97</v>
      </c>
      <c r="E210" s="149" t="s">
        <v>98</v>
      </c>
      <c r="F210" s="84"/>
      <c r="G210" s="149" t="s">
        <v>106</v>
      </c>
      <c r="H210" s="149" t="s">
        <v>48</v>
      </c>
      <c r="I210" s="149" t="s">
        <v>158</v>
      </c>
      <c r="J210" s="149" t="s">
        <v>165</v>
      </c>
      <c r="K210" s="149" t="s">
        <v>166</v>
      </c>
      <c r="L210" s="149" t="s">
        <v>160</v>
      </c>
      <c r="M210" s="151">
        <v>46127</v>
      </c>
      <c r="N210" s="149" t="s">
        <v>626</v>
      </c>
      <c r="O210" s="149">
        <v>9158398</v>
      </c>
      <c r="P210" s="150">
        <v>46090</v>
      </c>
      <c r="Q210" s="149" t="s">
        <v>161</v>
      </c>
      <c r="R210" s="148">
        <v>35671</v>
      </c>
      <c r="S210" s="149" t="s">
        <v>424</v>
      </c>
      <c r="T210" s="149" t="s">
        <v>425</v>
      </c>
      <c r="U210" s="149" t="s">
        <v>426</v>
      </c>
      <c r="V210" s="149" t="s">
        <v>162</v>
      </c>
      <c r="W210" s="84"/>
      <c r="X210" s="149">
        <v>275</v>
      </c>
      <c r="Y210" s="149">
        <v>2</v>
      </c>
      <c r="Z210" s="149">
        <v>550</v>
      </c>
      <c r="AA210" s="149" t="s">
        <v>99</v>
      </c>
      <c r="AB210" s="149" t="s">
        <v>626</v>
      </c>
      <c r="AC210" s="150">
        <v>46121</v>
      </c>
      <c r="AD210" s="148" t="s">
        <v>164</v>
      </c>
      <c r="AE210" s="149">
        <v>998729</v>
      </c>
      <c r="AF210" s="149" t="s">
        <v>952</v>
      </c>
      <c r="AG210" s="84"/>
      <c r="AH210" s="84"/>
      <c r="AI210" s="149">
        <v>550</v>
      </c>
      <c r="AJ210" s="149" t="s">
        <v>368</v>
      </c>
      <c r="AK210" s="149">
        <v>18</v>
      </c>
      <c r="AL210" s="149">
        <v>0</v>
      </c>
      <c r="AM210" s="149">
        <v>0</v>
      </c>
      <c r="AN210" s="149">
        <v>99</v>
      </c>
      <c r="AO210" s="149">
        <v>0</v>
      </c>
      <c r="AP210" s="149">
        <v>0</v>
      </c>
      <c r="AQ210" s="149">
        <v>0</v>
      </c>
      <c r="AR210" s="149">
        <v>0</v>
      </c>
      <c r="AS210" s="149">
        <v>0</v>
      </c>
      <c r="AT210" s="149">
        <v>0</v>
      </c>
      <c r="AU210" s="84"/>
      <c r="AV210" s="84"/>
      <c r="AW210" s="149">
        <v>0</v>
      </c>
      <c r="AX210" s="149">
        <v>649</v>
      </c>
      <c r="AY210" s="149" t="s">
        <v>101</v>
      </c>
      <c r="AZ210" s="149" t="s">
        <v>101</v>
      </c>
      <c r="BA210" s="149" t="s">
        <v>628</v>
      </c>
      <c r="BB210" s="149">
        <v>1126100105</v>
      </c>
      <c r="BC210" s="148" t="s">
        <v>168</v>
      </c>
      <c r="BD210" s="149" t="s">
        <v>272</v>
      </c>
      <c r="BE210" s="84"/>
      <c r="BF210" s="84" t="s">
        <v>271</v>
      </c>
      <c r="BG210" s="84" t="s">
        <v>281</v>
      </c>
      <c r="BH210" s="149" t="s">
        <v>290</v>
      </c>
      <c r="BI210" t="s">
        <v>155</v>
      </c>
      <c r="BJ210" t="s">
        <v>156</v>
      </c>
      <c r="BK210" t="s">
        <v>629</v>
      </c>
      <c r="BL210">
        <v>99</v>
      </c>
      <c r="BM210">
        <v>38182.879999999997</v>
      </c>
      <c r="BN210">
        <v>-38084</v>
      </c>
      <c r="BO210" t="s">
        <v>154</v>
      </c>
      <c r="BP210">
        <v>9158398</v>
      </c>
      <c r="BQ210" t="s">
        <v>271</v>
      </c>
      <c r="BR210" t="s">
        <v>630</v>
      </c>
      <c r="BS210">
        <v>37</v>
      </c>
    </row>
    <row r="211" spans="1:71" s="0" customFormat="1" ht="14.5">
      <c r="A211" s="148" t="s">
        <v>157</v>
      </c>
      <c r="B211" s="149" t="s">
        <v>625</v>
      </c>
      <c r="C211" s="149">
        <v>107</v>
      </c>
      <c r="D211" s="149" t="s">
        <v>97</v>
      </c>
      <c r="E211" s="149" t="s">
        <v>98</v>
      </c>
      <c r="F211" s="84"/>
      <c r="G211" s="149" t="s">
        <v>106</v>
      </c>
      <c r="H211" s="149" t="s">
        <v>48</v>
      </c>
      <c r="I211" s="149" t="s">
        <v>158</v>
      </c>
      <c r="J211" s="149" t="s">
        <v>165</v>
      </c>
      <c r="K211" s="149" t="s">
        <v>166</v>
      </c>
      <c r="L211" s="149" t="s">
        <v>160</v>
      </c>
      <c r="M211" s="151">
        <v>46127</v>
      </c>
      <c r="N211" s="149" t="s">
        <v>636</v>
      </c>
      <c r="O211" s="149">
        <v>9156749</v>
      </c>
      <c r="P211" s="150">
        <v>46115</v>
      </c>
      <c r="Q211" s="149" t="s">
        <v>161</v>
      </c>
      <c r="R211" s="148">
        <v>6262</v>
      </c>
      <c r="S211" s="149" t="s">
        <v>183</v>
      </c>
      <c r="T211" s="149" t="s">
        <v>182</v>
      </c>
      <c r="U211" s="149" t="s">
        <v>184</v>
      </c>
      <c r="V211" s="149" t="s">
        <v>162</v>
      </c>
      <c r="W211" s="84"/>
      <c r="X211" s="149">
        <v>1</v>
      </c>
      <c r="Y211" s="149">
        <v>499</v>
      </c>
      <c r="Z211" s="149">
        <v>499</v>
      </c>
      <c r="AA211" s="149" t="s">
        <v>99</v>
      </c>
      <c r="AB211" s="149" t="s">
        <v>637</v>
      </c>
      <c r="AC211" s="150">
        <v>46115</v>
      </c>
      <c r="AD211" s="148" t="s">
        <v>171</v>
      </c>
      <c r="AE211" s="149">
        <v>998413</v>
      </c>
      <c r="AF211" s="149" t="s">
        <v>638</v>
      </c>
      <c r="AG211" s="84"/>
      <c r="AH211" s="84"/>
      <c r="AI211" s="149">
        <v>499</v>
      </c>
      <c r="AJ211" s="149" t="s">
        <v>368</v>
      </c>
      <c r="AK211" s="149">
        <v>18</v>
      </c>
      <c r="AL211" s="149">
        <v>44.91</v>
      </c>
      <c r="AM211" s="149">
        <v>44.91</v>
      </c>
      <c r="AN211" s="149">
        <v>0</v>
      </c>
      <c r="AO211" s="149">
        <v>0</v>
      </c>
      <c r="AP211" s="149">
        <v>0</v>
      </c>
      <c r="AQ211" s="149">
        <v>0</v>
      </c>
      <c r="AR211" s="149">
        <v>0</v>
      </c>
      <c r="AS211" s="149">
        <v>0</v>
      </c>
      <c r="AT211" s="149">
        <v>0</v>
      </c>
      <c r="AU211" s="84"/>
      <c r="AV211" s="84"/>
      <c r="AW211" s="149">
        <v>0</v>
      </c>
      <c r="AX211" s="149">
        <v>588.82000000000005</v>
      </c>
      <c r="AY211" s="149" t="s">
        <v>100</v>
      </c>
      <c r="AZ211" s="149" t="s">
        <v>101</v>
      </c>
      <c r="BA211" s="149" t="s">
        <v>311</v>
      </c>
      <c r="BB211" s="149">
        <v>1126100078</v>
      </c>
      <c r="BC211" s="148" t="s">
        <v>105</v>
      </c>
      <c r="BD211" s="149" t="s">
        <v>103</v>
      </c>
      <c r="BE211" s="84"/>
      <c r="BF211" s="84" t="s">
        <v>270</v>
      </c>
      <c r="BG211" s="84" t="s">
        <v>281</v>
      </c>
      <c r="BH211" s="149" t="s">
        <v>290</v>
      </c>
      <c r="BI211" t="s">
        <v>155</v>
      </c>
      <c r="BJ211" t="s">
        <v>156</v>
      </c>
      <c r="BK211" t="s">
        <v>639</v>
      </c>
      <c r="BL211">
        <v>89.82</v>
      </c>
      <c r="BM211">
        <v>8534.42</v>
      </c>
      <c r="BN211">
        <v>-8445</v>
      </c>
      <c r="BO211" t="s">
        <v>154</v>
      </c>
      <c r="BP211">
        <v>9156749</v>
      </c>
      <c r="BQ211" t="s">
        <v>270</v>
      </c>
      <c r="BR211" t="s">
        <v>630</v>
      </c>
      <c r="BS211">
        <v>17</v>
      </c>
    </row>
    <row r="212" spans="1:71" s="0" customFormat="1" ht="14.5">
      <c r="A212" s="148" t="s">
        <v>157</v>
      </c>
      <c r="B212" s="149" t="s">
        <v>625</v>
      </c>
      <c r="C212" s="149">
        <v>107</v>
      </c>
      <c r="D212" s="149" t="s">
        <v>97</v>
      </c>
      <c r="E212" s="149" t="s">
        <v>98</v>
      </c>
      <c r="F212" s="84"/>
      <c r="G212" s="149" t="s">
        <v>106</v>
      </c>
      <c r="H212" s="149" t="s">
        <v>48</v>
      </c>
      <c r="I212" s="149" t="s">
        <v>158</v>
      </c>
      <c r="J212" s="149" t="s">
        <v>165</v>
      </c>
      <c r="K212" s="149" t="s">
        <v>166</v>
      </c>
      <c r="L212" s="149" t="s">
        <v>160</v>
      </c>
      <c r="M212" s="151">
        <v>46140</v>
      </c>
      <c r="N212" s="149" t="s">
        <v>660</v>
      </c>
      <c r="O212" s="149">
        <v>9175014</v>
      </c>
      <c r="P212" s="150">
        <v>46129</v>
      </c>
      <c r="Q212" s="149" t="s">
        <v>161</v>
      </c>
      <c r="R212" s="148">
        <v>15979</v>
      </c>
      <c r="S212" s="149" t="s">
        <v>369</v>
      </c>
      <c r="T212" s="149" t="s">
        <v>169</v>
      </c>
      <c r="U212" s="149" t="s">
        <v>370</v>
      </c>
      <c r="V212" s="149" t="s">
        <v>162</v>
      </c>
      <c r="W212" s="84"/>
      <c r="X212" s="149">
        <v>457.20</v>
      </c>
      <c r="Y212" s="149">
        <v>1</v>
      </c>
      <c r="Z212" s="149">
        <v>457.20</v>
      </c>
      <c r="AA212" s="149" t="s">
        <v>99</v>
      </c>
      <c r="AB212" s="149" t="s">
        <v>660</v>
      </c>
      <c r="AC212" s="150">
        <v>46129</v>
      </c>
      <c r="AD212" s="148" t="s">
        <v>164</v>
      </c>
      <c r="AE212" s="149">
        <v>998729</v>
      </c>
      <c r="AF212" s="149" t="s">
        <v>953</v>
      </c>
      <c r="AG212" s="84"/>
      <c r="AH212" s="84"/>
      <c r="AI212" s="149">
        <v>457.20</v>
      </c>
      <c r="AJ212" s="149" t="s">
        <v>368</v>
      </c>
      <c r="AK212" s="149">
        <v>18</v>
      </c>
      <c r="AL212" s="149">
        <v>41.15</v>
      </c>
      <c r="AM212" s="149">
        <v>41.15</v>
      </c>
      <c r="AN212" s="149">
        <v>0</v>
      </c>
      <c r="AO212" s="149">
        <v>0</v>
      </c>
      <c r="AP212" s="149">
        <v>0</v>
      </c>
      <c r="AQ212" s="149">
        <v>0</v>
      </c>
      <c r="AR212" s="149">
        <v>0</v>
      </c>
      <c r="AS212" s="149">
        <v>0</v>
      </c>
      <c r="AT212" s="149">
        <v>0</v>
      </c>
      <c r="AU212" s="84"/>
      <c r="AV212" s="84"/>
      <c r="AW212" s="149">
        <v>0</v>
      </c>
      <c r="AX212" s="149">
        <v>539.5</v>
      </c>
      <c r="AY212" s="149" t="s">
        <v>101</v>
      </c>
      <c r="AZ212" s="149" t="s">
        <v>101</v>
      </c>
      <c r="BA212" s="149" t="s">
        <v>662</v>
      </c>
      <c r="BB212" s="149">
        <v>1126100447</v>
      </c>
      <c r="BC212" s="148" t="s">
        <v>172</v>
      </c>
      <c r="BD212" s="149" t="s">
        <v>272</v>
      </c>
      <c r="BE212" s="84"/>
      <c r="BF212" s="84" t="s">
        <v>271</v>
      </c>
      <c r="BG212" s="84" t="s">
        <v>281</v>
      </c>
      <c r="BH212" s="149" t="s">
        <v>290</v>
      </c>
      <c r="BI212" t="s">
        <v>155</v>
      </c>
      <c r="BJ212" t="s">
        <v>156</v>
      </c>
      <c r="BK212" t="s">
        <v>663</v>
      </c>
      <c r="BL212">
        <v>82.30</v>
      </c>
      <c r="BM212">
        <v>2435.38</v>
      </c>
      <c r="BN212">
        <v>-2353</v>
      </c>
      <c r="BO212" t="s">
        <v>154</v>
      </c>
      <c r="BP212">
        <v>9175014</v>
      </c>
      <c r="BQ212" t="s">
        <v>271</v>
      </c>
      <c r="BR212" t="s">
        <v>630</v>
      </c>
      <c r="BS212">
        <v>18</v>
      </c>
    </row>
    <row r="213" spans="1:71" s="0" customFormat="1" ht="14.5">
      <c r="A213" s="148" t="s">
        <v>157</v>
      </c>
      <c r="B213" s="149" t="s">
        <v>625</v>
      </c>
      <c r="C213" s="149">
        <v>107</v>
      </c>
      <c r="D213" s="149" t="s">
        <v>97</v>
      </c>
      <c r="E213" s="149" t="s">
        <v>98</v>
      </c>
      <c r="F213" s="84"/>
      <c r="G213" s="84"/>
      <c r="H213" s="149" t="s">
        <v>48</v>
      </c>
      <c r="I213" s="149" t="s">
        <v>158</v>
      </c>
      <c r="J213" s="149" t="s">
        <v>159</v>
      </c>
      <c r="K213" s="149" t="s">
        <v>163</v>
      </c>
      <c r="L213" s="149" t="s">
        <v>160</v>
      </c>
      <c r="M213" s="151">
        <v>46133</v>
      </c>
      <c r="N213" s="149" t="s">
        <v>772</v>
      </c>
      <c r="O213" s="149">
        <v>9164653</v>
      </c>
      <c r="P213" s="150">
        <v>46127</v>
      </c>
      <c r="Q213" s="149" t="s">
        <v>161</v>
      </c>
      <c r="R213" s="148">
        <v>39845</v>
      </c>
      <c r="S213" s="149" t="s">
        <v>377</v>
      </c>
      <c r="T213" s="149" t="s">
        <v>170</v>
      </c>
      <c r="U213" s="149" t="s">
        <v>378</v>
      </c>
      <c r="V213" s="149" t="s">
        <v>162</v>
      </c>
      <c r="W213" s="84"/>
      <c r="X213" s="149">
        <v>1</v>
      </c>
      <c r="Y213" s="149">
        <v>8914.32</v>
      </c>
      <c r="Z213" s="149">
        <v>8914.32</v>
      </c>
      <c r="AA213" s="149" t="s">
        <v>99</v>
      </c>
      <c r="AB213" s="149" t="s">
        <v>772</v>
      </c>
      <c r="AC213" s="150">
        <v>46127</v>
      </c>
      <c r="AD213" s="148" t="s">
        <v>164</v>
      </c>
      <c r="AE213" s="149">
        <v>17049020</v>
      </c>
      <c r="AF213" s="149" t="s">
        <v>954</v>
      </c>
      <c r="AG213" s="84"/>
      <c r="AH213" s="84"/>
      <c r="AI213" s="149">
        <v>8914.32</v>
      </c>
      <c r="AJ213" s="149" t="s">
        <v>368</v>
      </c>
      <c r="AK213" s="149">
        <v>5</v>
      </c>
      <c r="AL213" s="149">
        <v>0</v>
      </c>
      <c r="AM213" s="149">
        <v>0</v>
      </c>
      <c r="AN213" s="149">
        <v>445.72</v>
      </c>
      <c r="AO213" s="149">
        <v>0</v>
      </c>
      <c r="AP213" s="149">
        <v>0</v>
      </c>
      <c r="AQ213" s="149">
        <v>0</v>
      </c>
      <c r="AR213" s="149">
        <v>0</v>
      </c>
      <c r="AS213" s="149">
        <v>0</v>
      </c>
      <c r="AT213" s="149">
        <v>0</v>
      </c>
      <c r="AU213" s="84"/>
      <c r="AV213" s="84"/>
      <c r="AW213" s="149">
        <v>0</v>
      </c>
      <c r="AX213" s="149">
        <v>9360.0400000000009</v>
      </c>
      <c r="AY213" s="149" t="s">
        <v>101</v>
      </c>
      <c r="AZ213" s="149" t="s">
        <v>101</v>
      </c>
      <c r="BA213" s="149" t="s">
        <v>167</v>
      </c>
      <c r="BB213" s="149">
        <v>1126100308</v>
      </c>
      <c r="BC213" s="148" t="s">
        <v>379</v>
      </c>
      <c r="BD213" s="149" t="s">
        <v>104</v>
      </c>
      <c r="BE213" s="84"/>
      <c r="BF213" s="84" t="s">
        <v>271</v>
      </c>
      <c r="BG213" s="84" t="s">
        <v>281</v>
      </c>
      <c r="BH213" s="149" t="s">
        <v>290</v>
      </c>
      <c r="BI213" t="s">
        <v>155</v>
      </c>
      <c r="BJ213" t="s">
        <v>156</v>
      </c>
      <c r="BK213" t="s">
        <v>774</v>
      </c>
      <c r="BL213">
        <v>445.72</v>
      </c>
      <c r="BM213">
        <v>1632.71</v>
      </c>
      <c r="BN213">
        <v>-1187</v>
      </c>
      <c r="BO213" t="s">
        <v>154</v>
      </c>
      <c r="BP213">
        <v>9164653</v>
      </c>
      <c r="BQ213" t="s">
        <v>271</v>
      </c>
      <c r="BR213" t="s">
        <v>630</v>
      </c>
      <c r="BS213">
        <v>3</v>
      </c>
    </row>
    <row r="214" spans="1:71" s="0" customFormat="1" ht="14.5">
      <c r="A214" s="148" t="s">
        <v>157</v>
      </c>
      <c r="B214" s="149" t="s">
        <v>625</v>
      </c>
      <c r="C214" s="149">
        <v>107</v>
      </c>
      <c r="D214" s="149" t="s">
        <v>97</v>
      </c>
      <c r="E214" s="149" t="s">
        <v>98</v>
      </c>
      <c r="F214" s="84"/>
      <c r="G214" s="149" t="s">
        <v>106</v>
      </c>
      <c r="H214" s="149" t="s">
        <v>48</v>
      </c>
      <c r="I214" s="149" t="s">
        <v>158</v>
      </c>
      <c r="J214" s="149" t="s">
        <v>165</v>
      </c>
      <c r="K214" s="149" t="s">
        <v>166</v>
      </c>
      <c r="L214" s="149" t="s">
        <v>160</v>
      </c>
      <c r="M214" s="151">
        <v>46140</v>
      </c>
      <c r="N214" s="149" t="s">
        <v>632</v>
      </c>
      <c r="O214" s="149">
        <v>9174963</v>
      </c>
      <c r="P214" s="150">
        <v>46129</v>
      </c>
      <c r="Q214" s="149" t="s">
        <v>161</v>
      </c>
      <c r="R214" s="148">
        <v>35671</v>
      </c>
      <c r="S214" s="149" t="s">
        <v>424</v>
      </c>
      <c r="T214" s="149" t="s">
        <v>425</v>
      </c>
      <c r="U214" s="149" t="s">
        <v>426</v>
      </c>
      <c r="V214" s="149" t="s">
        <v>162</v>
      </c>
      <c r="W214" s="84"/>
      <c r="X214" s="149">
        <v>275</v>
      </c>
      <c r="Y214" s="149">
        <v>3</v>
      </c>
      <c r="Z214" s="149">
        <v>825</v>
      </c>
      <c r="AA214" s="149" t="s">
        <v>99</v>
      </c>
      <c r="AB214" s="149" t="s">
        <v>632</v>
      </c>
      <c r="AC214" s="150">
        <v>46129</v>
      </c>
      <c r="AD214" s="148" t="s">
        <v>164</v>
      </c>
      <c r="AE214" s="149">
        <v>998729</v>
      </c>
      <c r="AF214" s="149" t="s">
        <v>955</v>
      </c>
      <c r="AG214" s="84"/>
      <c r="AH214" s="84"/>
      <c r="AI214" s="149">
        <v>825</v>
      </c>
      <c r="AJ214" s="149" t="s">
        <v>368</v>
      </c>
      <c r="AK214" s="149">
        <v>18</v>
      </c>
      <c r="AL214" s="149">
        <v>0</v>
      </c>
      <c r="AM214" s="149">
        <v>0</v>
      </c>
      <c r="AN214" s="149">
        <v>148.5</v>
      </c>
      <c r="AO214" s="149">
        <v>0</v>
      </c>
      <c r="AP214" s="149">
        <v>0</v>
      </c>
      <c r="AQ214" s="149">
        <v>0</v>
      </c>
      <c r="AR214" s="149">
        <v>0</v>
      </c>
      <c r="AS214" s="149">
        <v>0</v>
      </c>
      <c r="AT214" s="149">
        <v>0</v>
      </c>
      <c r="AU214" s="84"/>
      <c r="AV214" s="84"/>
      <c r="AW214" s="149">
        <v>0</v>
      </c>
      <c r="AX214" s="149">
        <v>973.5</v>
      </c>
      <c r="AY214" s="149" t="s">
        <v>101</v>
      </c>
      <c r="AZ214" s="149" t="s">
        <v>101</v>
      </c>
      <c r="BA214" s="149" t="s">
        <v>634</v>
      </c>
      <c r="BB214" s="149">
        <v>1126100446</v>
      </c>
      <c r="BC214" s="148" t="s">
        <v>168</v>
      </c>
      <c r="BD214" s="149" t="s">
        <v>272</v>
      </c>
      <c r="BE214" s="84"/>
      <c r="BF214" s="84" t="s">
        <v>271</v>
      </c>
      <c r="BG214" s="84" t="s">
        <v>281</v>
      </c>
      <c r="BH214" s="149" t="s">
        <v>290</v>
      </c>
      <c r="BI214" t="s">
        <v>155</v>
      </c>
      <c r="BJ214" t="s">
        <v>156</v>
      </c>
      <c r="BK214" t="s">
        <v>635</v>
      </c>
      <c r="BL214">
        <v>148.5</v>
      </c>
      <c r="BM214">
        <v>36494.74</v>
      </c>
      <c r="BN214">
        <v>-36346</v>
      </c>
      <c r="BO214" t="s">
        <v>154</v>
      </c>
      <c r="BP214">
        <v>9174963</v>
      </c>
      <c r="BQ214" t="s">
        <v>271</v>
      </c>
      <c r="BR214" t="s">
        <v>630</v>
      </c>
      <c r="BS214">
        <v>36</v>
      </c>
    </row>
    <row r="215" spans="1:71" s="0" customFormat="1" ht="14.5">
      <c r="A215" s="148" t="s">
        <v>157</v>
      </c>
      <c r="B215" s="149" t="s">
        <v>625</v>
      </c>
      <c r="C215" s="149">
        <v>107</v>
      </c>
      <c r="D215" s="149" t="s">
        <v>97</v>
      </c>
      <c r="E215" s="149" t="s">
        <v>98</v>
      </c>
      <c r="F215" s="84"/>
      <c r="G215" s="149" t="s">
        <v>106</v>
      </c>
      <c r="H215" s="149" t="s">
        <v>48</v>
      </c>
      <c r="I215" s="149" t="s">
        <v>158</v>
      </c>
      <c r="J215" s="149" t="s">
        <v>165</v>
      </c>
      <c r="K215" s="149" t="s">
        <v>166</v>
      </c>
      <c r="L215" s="149" t="s">
        <v>160</v>
      </c>
      <c r="M215" s="151">
        <v>46127</v>
      </c>
      <c r="N215" s="149" t="s">
        <v>636</v>
      </c>
      <c r="O215" s="149">
        <v>9156749</v>
      </c>
      <c r="P215" s="150">
        <v>46115</v>
      </c>
      <c r="Q215" s="149" t="s">
        <v>161</v>
      </c>
      <c r="R215" s="148">
        <v>6262</v>
      </c>
      <c r="S215" s="149" t="s">
        <v>183</v>
      </c>
      <c r="T215" s="149" t="s">
        <v>182</v>
      </c>
      <c r="U215" s="149" t="s">
        <v>184</v>
      </c>
      <c r="V215" s="149" t="s">
        <v>162</v>
      </c>
      <c r="W215" s="84"/>
      <c r="X215" s="149">
        <v>1</v>
      </c>
      <c r="Y215" s="149">
        <v>1447</v>
      </c>
      <c r="Z215" s="149">
        <v>1447</v>
      </c>
      <c r="AA215" s="149" t="s">
        <v>99</v>
      </c>
      <c r="AB215" s="149" t="s">
        <v>637</v>
      </c>
      <c r="AC215" s="150">
        <v>46115</v>
      </c>
      <c r="AD215" s="148" t="s">
        <v>171</v>
      </c>
      <c r="AE215" s="149">
        <v>998413</v>
      </c>
      <c r="AF215" s="149" t="s">
        <v>638</v>
      </c>
      <c r="AG215" s="84"/>
      <c r="AH215" s="84"/>
      <c r="AI215" s="149">
        <v>1447</v>
      </c>
      <c r="AJ215" s="149" t="s">
        <v>368</v>
      </c>
      <c r="AK215" s="149">
        <v>18</v>
      </c>
      <c r="AL215" s="149">
        <v>130.22999999999999</v>
      </c>
      <c r="AM215" s="149">
        <v>130.22999999999999</v>
      </c>
      <c r="AN215" s="149">
        <v>0</v>
      </c>
      <c r="AO215" s="149">
        <v>0</v>
      </c>
      <c r="AP215" s="149">
        <v>0</v>
      </c>
      <c r="AQ215" s="149">
        <v>0</v>
      </c>
      <c r="AR215" s="149">
        <v>0</v>
      </c>
      <c r="AS215" s="149">
        <v>0</v>
      </c>
      <c r="AT215" s="149">
        <v>0</v>
      </c>
      <c r="AU215" s="84"/>
      <c r="AV215" s="84"/>
      <c r="AW215" s="149">
        <v>0</v>
      </c>
      <c r="AX215" s="149">
        <v>1707.46</v>
      </c>
      <c r="AY215" s="149" t="s">
        <v>100</v>
      </c>
      <c r="AZ215" s="149" t="s">
        <v>101</v>
      </c>
      <c r="BA215" s="149" t="s">
        <v>311</v>
      </c>
      <c r="BB215" s="149">
        <v>1126100078</v>
      </c>
      <c r="BC215" s="148" t="s">
        <v>105</v>
      </c>
      <c r="BD215" s="149" t="s">
        <v>103</v>
      </c>
      <c r="BE215" s="84"/>
      <c r="BF215" s="84" t="s">
        <v>270</v>
      </c>
      <c r="BG215" s="84" t="s">
        <v>281</v>
      </c>
      <c r="BH215" s="149" t="s">
        <v>290</v>
      </c>
      <c r="BI215" t="s">
        <v>155</v>
      </c>
      <c r="BJ215" t="s">
        <v>156</v>
      </c>
      <c r="BK215" t="s">
        <v>639</v>
      </c>
      <c r="BL215">
        <v>260.45999999999998</v>
      </c>
      <c r="BM215">
        <v>8534.42</v>
      </c>
      <c r="BN215">
        <v>-8274</v>
      </c>
      <c r="BO215" t="s">
        <v>154</v>
      </c>
      <c r="BP215">
        <v>9156749</v>
      </c>
      <c r="BQ215" t="s">
        <v>270</v>
      </c>
      <c r="BR215" t="s">
        <v>630</v>
      </c>
      <c r="BS215">
        <v>17</v>
      </c>
    </row>
    <row r="216" spans="1:71" s="0" customFormat="1" ht="14.5">
      <c r="A216" s="148" t="s">
        <v>157</v>
      </c>
      <c r="B216" s="149" t="s">
        <v>625</v>
      </c>
      <c r="C216" s="149">
        <v>107</v>
      </c>
      <c r="D216" s="149" t="s">
        <v>97</v>
      </c>
      <c r="E216" s="149" t="s">
        <v>98</v>
      </c>
      <c r="F216" s="84"/>
      <c r="G216" s="149" t="s">
        <v>106</v>
      </c>
      <c r="H216" s="149" t="s">
        <v>48</v>
      </c>
      <c r="I216" s="149" t="s">
        <v>158</v>
      </c>
      <c r="J216" s="149" t="s">
        <v>165</v>
      </c>
      <c r="K216" s="149" t="s">
        <v>166</v>
      </c>
      <c r="L216" s="149" t="s">
        <v>160</v>
      </c>
      <c r="M216" s="151">
        <v>46127</v>
      </c>
      <c r="N216" s="149" t="s">
        <v>636</v>
      </c>
      <c r="O216" s="149">
        <v>9156749</v>
      </c>
      <c r="P216" s="150">
        <v>46115</v>
      </c>
      <c r="Q216" s="149" t="s">
        <v>161</v>
      </c>
      <c r="R216" s="148">
        <v>6262</v>
      </c>
      <c r="S216" s="149" t="s">
        <v>183</v>
      </c>
      <c r="T216" s="149" t="s">
        <v>182</v>
      </c>
      <c r="U216" s="149" t="s">
        <v>184</v>
      </c>
      <c r="V216" s="149" t="s">
        <v>162</v>
      </c>
      <c r="W216" s="84"/>
      <c r="X216" s="149">
        <v>1</v>
      </c>
      <c r="Y216" s="149">
        <v>3057</v>
      </c>
      <c r="Z216" s="149">
        <v>3057</v>
      </c>
      <c r="AA216" s="149" t="s">
        <v>99</v>
      </c>
      <c r="AB216" s="149" t="s">
        <v>637</v>
      </c>
      <c r="AC216" s="150">
        <v>46115</v>
      </c>
      <c r="AD216" s="148" t="s">
        <v>171</v>
      </c>
      <c r="AE216" s="149">
        <v>998413</v>
      </c>
      <c r="AF216" s="149" t="s">
        <v>638</v>
      </c>
      <c r="AG216" s="84"/>
      <c r="AH216" s="84"/>
      <c r="AI216" s="149">
        <v>3057</v>
      </c>
      <c r="AJ216" s="149" t="s">
        <v>368</v>
      </c>
      <c r="AK216" s="149">
        <v>18</v>
      </c>
      <c r="AL216" s="149">
        <v>275.13</v>
      </c>
      <c r="AM216" s="149">
        <v>275.13</v>
      </c>
      <c r="AN216" s="149">
        <v>0</v>
      </c>
      <c r="AO216" s="149">
        <v>0</v>
      </c>
      <c r="AP216" s="149">
        <v>0</v>
      </c>
      <c r="AQ216" s="149">
        <v>0</v>
      </c>
      <c r="AR216" s="149">
        <v>0</v>
      </c>
      <c r="AS216" s="149">
        <v>0</v>
      </c>
      <c r="AT216" s="149">
        <v>0</v>
      </c>
      <c r="AU216" s="84"/>
      <c r="AV216" s="84"/>
      <c r="AW216" s="149">
        <v>0</v>
      </c>
      <c r="AX216" s="149">
        <v>3607.26</v>
      </c>
      <c r="AY216" s="149" t="s">
        <v>100</v>
      </c>
      <c r="AZ216" s="149" t="s">
        <v>101</v>
      </c>
      <c r="BA216" s="149" t="s">
        <v>311</v>
      </c>
      <c r="BB216" s="149">
        <v>1126100078</v>
      </c>
      <c r="BC216" s="148" t="s">
        <v>105</v>
      </c>
      <c r="BD216" s="149" t="s">
        <v>103</v>
      </c>
      <c r="BE216" s="84"/>
      <c r="BF216" s="84" t="s">
        <v>270</v>
      </c>
      <c r="BG216" s="84" t="s">
        <v>281</v>
      </c>
      <c r="BH216" s="149" t="s">
        <v>290</v>
      </c>
      <c r="BI216" t="s">
        <v>155</v>
      </c>
      <c r="BJ216" t="s">
        <v>156</v>
      </c>
      <c r="BK216" t="s">
        <v>639</v>
      </c>
      <c r="BL216">
        <v>550.26</v>
      </c>
      <c r="BM216">
        <v>8534.42</v>
      </c>
      <c r="BN216">
        <v>-7984</v>
      </c>
      <c r="BO216" t="s">
        <v>154</v>
      </c>
      <c r="BP216">
        <v>9156749</v>
      </c>
      <c r="BQ216" t="s">
        <v>270</v>
      </c>
      <c r="BR216" t="s">
        <v>630</v>
      </c>
      <c r="BS216">
        <v>17</v>
      </c>
    </row>
    <row r="217" spans="1:71" s="0" customFormat="1" ht="14.5">
      <c r="A217" s="148" t="s">
        <v>157</v>
      </c>
      <c r="B217" s="149" t="s">
        <v>625</v>
      </c>
      <c r="C217" s="149">
        <v>107</v>
      </c>
      <c r="D217" s="149" t="s">
        <v>97</v>
      </c>
      <c r="E217" s="149" t="s">
        <v>98</v>
      </c>
      <c r="F217" s="84"/>
      <c r="G217" s="149" t="s">
        <v>106</v>
      </c>
      <c r="H217" s="149" t="s">
        <v>48</v>
      </c>
      <c r="I217" s="149" t="s">
        <v>158</v>
      </c>
      <c r="J217" s="149" t="s">
        <v>165</v>
      </c>
      <c r="K217" s="149" t="s">
        <v>166</v>
      </c>
      <c r="L217" s="149" t="s">
        <v>160</v>
      </c>
      <c r="M217" s="151">
        <v>46127</v>
      </c>
      <c r="N217" s="149" t="s">
        <v>636</v>
      </c>
      <c r="O217" s="149">
        <v>9156749</v>
      </c>
      <c r="P217" s="150">
        <v>46115</v>
      </c>
      <c r="Q217" s="149" t="s">
        <v>161</v>
      </c>
      <c r="R217" s="148">
        <v>6262</v>
      </c>
      <c r="S217" s="149" t="s">
        <v>183</v>
      </c>
      <c r="T217" s="149" t="s">
        <v>182</v>
      </c>
      <c r="U217" s="149" t="s">
        <v>184</v>
      </c>
      <c r="V217" s="149" t="s">
        <v>162</v>
      </c>
      <c r="W217" s="84"/>
      <c r="X217" s="149">
        <v>1</v>
      </c>
      <c r="Y217" s="149">
        <v>1718</v>
      </c>
      <c r="Z217" s="149">
        <v>1718</v>
      </c>
      <c r="AA217" s="149" t="s">
        <v>99</v>
      </c>
      <c r="AB217" s="149" t="s">
        <v>637</v>
      </c>
      <c r="AC217" s="150">
        <v>46115</v>
      </c>
      <c r="AD217" s="148" t="s">
        <v>171</v>
      </c>
      <c r="AE217" s="149">
        <v>998413</v>
      </c>
      <c r="AF217" s="149" t="s">
        <v>638</v>
      </c>
      <c r="AG217" s="84"/>
      <c r="AH217" s="84"/>
      <c r="AI217" s="149">
        <v>1718</v>
      </c>
      <c r="AJ217" s="149" t="s">
        <v>368</v>
      </c>
      <c r="AK217" s="149">
        <v>18</v>
      </c>
      <c r="AL217" s="149">
        <v>154.62</v>
      </c>
      <c r="AM217" s="149">
        <v>154.62</v>
      </c>
      <c r="AN217" s="149">
        <v>0</v>
      </c>
      <c r="AO217" s="149">
        <v>0</v>
      </c>
      <c r="AP217" s="149">
        <v>0</v>
      </c>
      <c r="AQ217" s="149">
        <v>0</v>
      </c>
      <c r="AR217" s="149">
        <v>0</v>
      </c>
      <c r="AS217" s="149">
        <v>0</v>
      </c>
      <c r="AT217" s="149">
        <v>0</v>
      </c>
      <c r="AU217" s="84"/>
      <c r="AV217" s="84"/>
      <c r="AW217" s="149">
        <v>0</v>
      </c>
      <c r="AX217" s="149">
        <v>2027.24</v>
      </c>
      <c r="AY217" s="149" t="s">
        <v>100</v>
      </c>
      <c r="AZ217" s="149" t="s">
        <v>101</v>
      </c>
      <c r="BA217" s="149" t="s">
        <v>311</v>
      </c>
      <c r="BB217" s="149">
        <v>1126100078</v>
      </c>
      <c r="BC217" s="148" t="s">
        <v>105</v>
      </c>
      <c r="BD217" s="149" t="s">
        <v>103</v>
      </c>
      <c r="BE217" s="84"/>
      <c r="BF217" s="84" t="s">
        <v>270</v>
      </c>
      <c r="BG217" s="84" t="s">
        <v>281</v>
      </c>
      <c r="BH217" s="149" t="s">
        <v>290</v>
      </c>
      <c r="BI217" t="s">
        <v>155</v>
      </c>
      <c r="BJ217" t="s">
        <v>156</v>
      </c>
      <c r="BK217" t="s">
        <v>639</v>
      </c>
      <c r="BL217">
        <v>309.24</v>
      </c>
      <c r="BM217">
        <v>8534.42</v>
      </c>
      <c r="BN217">
        <v>-8225</v>
      </c>
      <c r="BO217" t="s">
        <v>154</v>
      </c>
      <c r="BP217">
        <v>9156749</v>
      </c>
      <c r="BQ217" t="s">
        <v>270</v>
      </c>
      <c r="BR217" t="s">
        <v>630</v>
      </c>
      <c r="BS217">
        <v>17</v>
      </c>
    </row>
    <row r="218" spans="1:71" s="0" customFormat="1" ht="14.5">
      <c r="A218" s="148" t="s">
        <v>157</v>
      </c>
      <c r="B218" s="149" t="s">
        <v>625</v>
      </c>
      <c r="C218" s="149">
        <v>107</v>
      </c>
      <c r="D218" s="149" t="s">
        <v>97</v>
      </c>
      <c r="E218" s="149" t="s">
        <v>98</v>
      </c>
      <c r="F218" s="84"/>
      <c r="G218" s="149" t="s">
        <v>106</v>
      </c>
      <c r="H218" s="149" t="s">
        <v>48</v>
      </c>
      <c r="I218" s="149" t="s">
        <v>158</v>
      </c>
      <c r="J218" s="149" t="s">
        <v>165</v>
      </c>
      <c r="K218" s="149" t="s">
        <v>166</v>
      </c>
      <c r="L218" s="149" t="s">
        <v>160</v>
      </c>
      <c r="M218" s="151">
        <v>46140</v>
      </c>
      <c r="N218" s="149" t="s">
        <v>660</v>
      </c>
      <c r="O218" s="149">
        <v>9175014</v>
      </c>
      <c r="P218" s="150">
        <v>46129</v>
      </c>
      <c r="Q218" s="149" t="s">
        <v>161</v>
      </c>
      <c r="R218" s="148">
        <v>15979</v>
      </c>
      <c r="S218" s="149" t="s">
        <v>369</v>
      </c>
      <c r="T218" s="149" t="s">
        <v>169</v>
      </c>
      <c r="U218" s="149" t="s">
        <v>370</v>
      </c>
      <c r="V218" s="149" t="s">
        <v>389</v>
      </c>
      <c r="W218" s="84"/>
      <c r="X218" s="149">
        <v>46.94</v>
      </c>
      <c r="Y218" s="149">
        <v>33</v>
      </c>
      <c r="Z218" s="149">
        <v>1549.02</v>
      </c>
      <c r="AA218" s="149" t="s">
        <v>99</v>
      </c>
      <c r="AB218" s="149" t="s">
        <v>660</v>
      </c>
      <c r="AC218" s="150">
        <v>46129</v>
      </c>
      <c r="AD218" s="148" t="s">
        <v>164</v>
      </c>
      <c r="AE218" s="149">
        <v>27101972</v>
      </c>
      <c r="AF218" s="149" t="s">
        <v>956</v>
      </c>
      <c r="AG218" s="84"/>
      <c r="AH218" s="84"/>
      <c r="AI218" s="149">
        <v>1549.02</v>
      </c>
      <c r="AJ218" s="149" t="s">
        <v>368</v>
      </c>
      <c r="AK218" s="149">
        <v>18</v>
      </c>
      <c r="AL218" s="149">
        <v>139.41</v>
      </c>
      <c r="AM218" s="149">
        <v>139.41</v>
      </c>
      <c r="AN218" s="149">
        <v>0</v>
      </c>
      <c r="AO218" s="149">
        <v>0</v>
      </c>
      <c r="AP218" s="149">
        <v>0</v>
      </c>
      <c r="AQ218" s="149">
        <v>0</v>
      </c>
      <c r="AR218" s="149">
        <v>0</v>
      </c>
      <c r="AS218" s="149">
        <v>0</v>
      </c>
      <c r="AT218" s="149">
        <v>0</v>
      </c>
      <c r="AU218" s="84"/>
      <c r="AV218" s="84"/>
      <c r="AW218" s="149">
        <v>0</v>
      </c>
      <c r="AX218" s="149">
        <v>1827.84</v>
      </c>
      <c r="AY218" s="149" t="s">
        <v>101</v>
      </c>
      <c r="AZ218" s="149" t="s">
        <v>101</v>
      </c>
      <c r="BA218" s="149" t="s">
        <v>662</v>
      </c>
      <c r="BB218" s="149">
        <v>1126100447</v>
      </c>
      <c r="BC218" s="148" t="s">
        <v>172</v>
      </c>
      <c r="BD218" s="149" t="s">
        <v>272</v>
      </c>
      <c r="BE218" s="84"/>
      <c r="BF218" s="84" t="s">
        <v>271</v>
      </c>
      <c r="BG218" s="84" t="s">
        <v>281</v>
      </c>
      <c r="BH218" s="149" t="s">
        <v>290</v>
      </c>
      <c r="BI218" t="s">
        <v>155</v>
      </c>
      <c r="BJ218" t="s">
        <v>156</v>
      </c>
      <c r="BK218" t="s">
        <v>663</v>
      </c>
      <c r="BL218">
        <v>278.82</v>
      </c>
      <c r="BM218">
        <v>2435.38</v>
      </c>
      <c r="BN218">
        <v>-2157</v>
      </c>
      <c r="BO218" t="s">
        <v>154</v>
      </c>
      <c r="BP218">
        <v>9175014</v>
      </c>
      <c r="BQ218" t="s">
        <v>271</v>
      </c>
      <c r="BR218" t="s">
        <v>630</v>
      </c>
      <c r="BS218">
        <v>18</v>
      </c>
    </row>
    <row r="219" spans="1:71" s="0" customFormat="1" ht="14.5">
      <c r="A219" s="148" t="s">
        <v>157</v>
      </c>
      <c r="B219" s="149" t="s">
        <v>625</v>
      </c>
      <c r="C219" s="149">
        <v>107</v>
      </c>
      <c r="D219" s="149" t="s">
        <v>97</v>
      </c>
      <c r="E219" s="149" t="s">
        <v>98</v>
      </c>
      <c r="F219" s="84"/>
      <c r="G219" s="84"/>
      <c r="H219" s="149" t="s">
        <v>48</v>
      </c>
      <c r="I219" s="149" t="s">
        <v>158</v>
      </c>
      <c r="J219" s="149" t="s">
        <v>159</v>
      </c>
      <c r="K219" s="149" t="s">
        <v>421</v>
      </c>
      <c r="L219" s="149" t="s">
        <v>160</v>
      </c>
      <c r="M219" s="151">
        <v>46133</v>
      </c>
      <c r="N219" s="149" t="s">
        <v>957</v>
      </c>
      <c r="O219" s="149">
        <v>9164389</v>
      </c>
      <c r="P219" s="150">
        <v>46115</v>
      </c>
      <c r="Q219" s="149" t="s">
        <v>161</v>
      </c>
      <c r="R219" s="148">
        <v>6262</v>
      </c>
      <c r="S219" s="149" t="s">
        <v>183</v>
      </c>
      <c r="T219" s="149" t="s">
        <v>182</v>
      </c>
      <c r="U219" s="149" t="s">
        <v>184</v>
      </c>
      <c r="V219" s="149" t="s">
        <v>162</v>
      </c>
      <c r="W219" s="84"/>
      <c r="X219" s="149">
        <v>1</v>
      </c>
      <c r="Y219" s="149">
        <v>1499</v>
      </c>
      <c r="Z219" s="149">
        <v>1499</v>
      </c>
      <c r="AA219" s="149" t="s">
        <v>99</v>
      </c>
      <c r="AB219" s="149" t="s">
        <v>957</v>
      </c>
      <c r="AC219" s="150">
        <v>46115</v>
      </c>
      <c r="AD219" s="148" t="s">
        <v>171</v>
      </c>
      <c r="AE219" s="149">
        <v>998412</v>
      </c>
      <c r="AF219" s="149" t="s">
        <v>958</v>
      </c>
      <c r="AG219" s="84"/>
      <c r="AH219" s="84"/>
      <c r="AI219" s="149">
        <v>1499</v>
      </c>
      <c r="AJ219" s="149" t="s">
        <v>368</v>
      </c>
      <c r="AK219" s="149">
        <v>18</v>
      </c>
      <c r="AL219" s="149">
        <v>134.91</v>
      </c>
      <c r="AM219" s="149">
        <v>134.91</v>
      </c>
      <c r="AN219" s="149">
        <v>0</v>
      </c>
      <c r="AO219" s="149">
        <v>0</v>
      </c>
      <c r="AP219" s="149">
        <v>0</v>
      </c>
      <c r="AQ219" s="149">
        <v>0</v>
      </c>
      <c r="AR219" s="149">
        <v>0</v>
      </c>
      <c r="AS219" s="149">
        <v>0</v>
      </c>
      <c r="AT219" s="149">
        <v>0</v>
      </c>
      <c r="AU219" s="84"/>
      <c r="AV219" s="84"/>
      <c r="AW219" s="149">
        <v>0</v>
      </c>
      <c r="AX219" s="149">
        <v>1768.82</v>
      </c>
      <c r="AY219" s="149" t="s">
        <v>100</v>
      </c>
      <c r="AZ219" s="149" t="s">
        <v>101</v>
      </c>
      <c r="BA219" s="149" t="s">
        <v>422</v>
      </c>
      <c r="BB219" s="149">
        <v>1126100285</v>
      </c>
      <c r="BC219" s="148" t="s">
        <v>105</v>
      </c>
      <c r="BD219" s="149" t="s">
        <v>103</v>
      </c>
      <c r="BE219" s="84"/>
      <c r="BF219" s="84" t="s">
        <v>270</v>
      </c>
      <c r="BG219" s="84" t="s">
        <v>281</v>
      </c>
      <c r="BH219" s="149" t="s">
        <v>290</v>
      </c>
      <c r="BI219" t="s">
        <v>155</v>
      </c>
      <c r="BJ219" t="s">
        <v>156</v>
      </c>
      <c r="BK219" t="s">
        <v>959</v>
      </c>
      <c r="BL219">
        <v>269.82</v>
      </c>
      <c r="BM219">
        <v>269.82</v>
      </c>
      <c r="BN219">
        <v>0</v>
      </c>
      <c r="BO219" t="s">
        <v>154</v>
      </c>
      <c r="BP219">
        <v>9164389</v>
      </c>
      <c r="BQ219" t="s">
        <v>270</v>
      </c>
      <c r="BR219" t="s">
        <v>630</v>
      </c>
      <c r="BS219">
        <v>1</v>
      </c>
    </row>
    <row r="220" spans="1:71" s="0" customFormat="1" ht="14.5">
      <c r="A220" s="148" t="s">
        <v>157</v>
      </c>
      <c r="B220" s="149" t="s">
        <v>625</v>
      </c>
      <c r="C220" s="149">
        <v>107</v>
      </c>
      <c r="D220" s="149" t="s">
        <v>97</v>
      </c>
      <c r="E220" s="149" t="s">
        <v>98</v>
      </c>
      <c r="F220" s="84"/>
      <c r="G220" s="84"/>
      <c r="H220" s="149" t="s">
        <v>48</v>
      </c>
      <c r="I220" s="149" t="s">
        <v>158</v>
      </c>
      <c r="J220" s="149" t="s">
        <v>159</v>
      </c>
      <c r="K220" s="149" t="s">
        <v>163</v>
      </c>
      <c r="L220" s="149" t="s">
        <v>160</v>
      </c>
      <c r="M220" s="151">
        <v>46141</v>
      </c>
      <c r="N220" s="149" t="s">
        <v>754</v>
      </c>
      <c r="O220" s="149">
        <v>9177454</v>
      </c>
      <c r="P220" s="150">
        <v>45990</v>
      </c>
      <c r="Q220" s="149" t="s">
        <v>161</v>
      </c>
      <c r="R220" s="148">
        <v>36105</v>
      </c>
      <c r="S220" s="149" t="s">
        <v>342</v>
      </c>
      <c r="T220" s="149" t="s">
        <v>169</v>
      </c>
      <c r="U220" s="84"/>
      <c r="V220" s="149" t="s">
        <v>162</v>
      </c>
      <c r="W220" s="84"/>
      <c r="X220" s="149">
        <v>20000</v>
      </c>
      <c r="Y220" s="149">
        <v>1</v>
      </c>
      <c r="Z220" s="149">
        <v>20000</v>
      </c>
      <c r="AA220" s="149" t="s">
        <v>99</v>
      </c>
      <c r="AB220" s="149" t="s">
        <v>755</v>
      </c>
      <c r="AC220" s="150">
        <v>45990</v>
      </c>
      <c r="AD220" s="84"/>
      <c r="AE220" s="149">
        <v>998213</v>
      </c>
      <c r="AF220" s="149" t="s">
        <v>960</v>
      </c>
      <c r="AG220" s="84"/>
      <c r="AH220" s="84"/>
      <c r="AI220" s="149">
        <v>20000</v>
      </c>
      <c r="AJ220" s="149" t="s">
        <v>368</v>
      </c>
      <c r="AK220" s="149">
        <v>18</v>
      </c>
      <c r="AL220" s="149">
        <v>1800</v>
      </c>
      <c r="AM220" s="149">
        <v>1800</v>
      </c>
      <c r="AN220" s="149">
        <v>0</v>
      </c>
      <c r="AO220" s="149">
        <v>0</v>
      </c>
      <c r="AP220" s="149">
        <v>0</v>
      </c>
      <c r="AQ220" s="149">
        <v>0</v>
      </c>
      <c r="AR220" s="149">
        <v>0</v>
      </c>
      <c r="AS220" s="149">
        <v>0</v>
      </c>
      <c r="AT220" s="149">
        <v>0</v>
      </c>
      <c r="AU220" s="84"/>
      <c r="AV220" s="84"/>
      <c r="AW220" s="149">
        <v>0</v>
      </c>
      <c r="AX220" s="149">
        <v>23600</v>
      </c>
      <c r="AY220" s="149" t="s">
        <v>100</v>
      </c>
      <c r="AZ220" s="149" t="s">
        <v>100</v>
      </c>
      <c r="BA220" s="149" t="s">
        <v>642</v>
      </c>
      <c r="BB220" s="149">
        <v>1126100459</v>
      </c>
      <c r="BC220" s="148" t="s">
        <v>188</v>
      </c>
      <c r="BD220" s="149" t="s">
        <v>103</v>
      </c>
      <c r="BE220" s="84"/>
      <c r="BF220" s="84" t="s">
        <v>210</v>
      </c>
      <c r="BG220" s="84" t="s">
        <v>280</v>
      </c>
      <c r="BH220" s="149" t="s">
        <v>289</v>
      </c>
      <c r="BI220" t="s">
        <v>155</v>
      </c>
      <c r="BJ220" t="s">
        <v>156</v>
      </c>
      <c r="BK220" t="s">
        <v>755</v>
      </c>
      <c r="BL220">
        <v>3600</v>
      </c>
      <c r="BM220" t="e">
        <v>#N/A</v>
      </c>
      <c r="BN220" t="e">
        <v>#N/A</v>
      </c>
      <c r="BO220" t="s">
        <v>199</v>
      </c>
      <c r="BP220">
        <v>9177454</v>
      </c>
      <c r="BQ220" t="s">
        <v>210</v>
      </c>
      <c r="BR220" t="s">
        <v>199</v>
      </c>
      <c r="BS220">
        <v>6</v>
      </c>
    </row>
    <row r="221" spans="1:71" s="0" customFormat="1" ht="14.5">
      <c r="A221" s="148" t="s">
        <v>157</v>
      </c>
      <c r="B221" s="149" t="s">
        <v>625</v>
      </c>
      <c r="C221" s="149">
        <v>107</v>
      </c>
      <c r="D221" s="149" t="s">
        <v>97</v>
      </c>
      <c r="E221" s="149" t="s">
        <v>98</v>
      </c>
      <c r="F221" s="84"/>
      <c r="G221" s="84"/>
      <c r="H221" s="149" t="s">
        <v>48</v>
      </c>
      <c r="I221" s="149" t="s">
        <v>158</v>
      </c>
      <c r="J221" s="149" t="s">
        <v>159</v>
      </c>
      <c r="K221" s="149" t="s">
        <v>163</v>
      </c>
      <c r="L221" s="149" t="s">
        <v>160</v>
      </c>
      <c r="M221" s="151">
        <v>46126</v>
      </c>
      <c r="N221" s="149" t="s">
        <v>961</v>
      </c>
      <c r="O221" s="149">
        <v>9155616</v>
      </c>
      <c r="P221" s="150">
        <v>46114</v>
      </c>
      <c r="Q221" s="149" t="s">
        <v>161</v>
      </c>
      <c r="R221" s="148">
        <v>2770</v>
      </c>
      <c r="S221" s="149" t="s">
        <v>299</v>
      </c>
      <c r="T221" s="149" t="s">
        <v>174</v>
      </c>
      <c r="U221" s="149" t="s">
        <v>175</v>
      </c>
      <c r="V221" s="149" t="s">
        <v>162</v>
      </c>
      <c r="W221" s="84"/>
      <c r="X221" s="149">
        <v>1</v>
      </c>
      <c r="Y221" s="149">
        <v>2881.77</v>
      </c>
      <c r="Z221" s="149">
        <v>2881.77</v>
      </c>
      <c r="AA221" s="149" t="s">
        <v>99</v>
      </c>
      <c r="AB221" s="149" t="s">
        <v>961</v>
      </c>
      <c r="AC221" s="150">
        <v>46114</v>
      </c>
      <c r="AD221" s="148" t="s">
        <v>171</v>
      </c>
      <c r="AE221" s="149">
        <v>84439952</v>
      </c>
      <c r="AF221" s="149" t="s">
        <v>962</v>
      </c>
      <c r="AG221" s="84"/>
      <c r="AH221" s="84"/>
      <c r="AI221" s="149">
        <v>2881.77</v>
      </c>
      <c r="AJ221" s="149" t="s">
        <v>368</v>
      </c>
      <c r="AK221" s="149">
        <v>18</v>
      </c>
      <c r="AL221" s="149">
        <v>259.36</v>
      </c>
      <c r="AM221" s="149">
        <v>259.36</v>
      </c>
      <c r="AN221" s="149">
        <v>0</v>
      </c>
      <c r="AO221" s="149">
        <v>0</v>
      </c>
      <c r="AP221" s="149">
        <v>0</v>
      </c>
      <c r="AQ221" s="149">
        <v>0</v>
      </c>
      <c r="AR221" s="149">
        <v>0</v>
      </c>
      <c r="AS221" s="149">
        <v>0</v>
      </c>
      <c r="AT221" s="149">
        <v>0</v>
      </c>
      <c r="AU221" s="84"/>
      <c r="AV221" s="84"/>
      <c r="AW221" s="149">
        <v>0</v>
      </c>
      <c r="AX221" s="149">
        <v>3400.49</v>
      </c>
      <c r="AY221" s="149" t="s">
        <v>100</v>
      </c>
      <c r="AZ221" s="149" t="s">
        <v>101</v>
      </c>
      <c r="BA221" s="149" t="s">
        <v>642</v>
      </c>
      <c r="BB221" s="149">
        <v>1126100066</v>
      </c>
      <c r="BC221" s="148" t="s">
        <v>105</v>
      </c>
      <c r="BD221" s="149" t="s">
        <v>103</v>
      </c>
      <c r="BE221" s="84"/>
      <c r="BF221" s="84" t="s">
        <v>270</v>
      </c>
      <c r="BG221" s="84" t="s">
        <v>281</v>
      </c>
      <c r="BH221" s="149" t="s">
        <v>290</v>
      </c>
      <c r="BI221" t="s">
        <v>155</v>
      </c>
      <c r="BJ221" t="s">
        <v>156</v>
      </c>
      <c r="BK221" t="s">
        <v>963</v>
      </c>
      <c r="BL221">
        <v>518.72</v>
      </c>
      <c r="BM221">
        <v>518.72</v>
      </c>
      <c r="BN221">
        <v>0</v>
      </c>
      <c r="BO221" t="s">
        <v>154</v>
      </c>
      <c r="BP221">
        <v>9155616</v>
      </c>
      <c r="BQ221" t="s">
        <v>270</v>
      </c>
      <c r="BR221" t="s">
        <v>630</v>
      </c>
      <c r="BS221">
        <v>1</v>
      </c>
    </row>
    <row r="222" spans="1:71" s="0" customFormat="1" ht="14.5">
      <c r="A222" s="148" t="s">
        <v>157</v>
      </c>
      <c r="B222" s="149" t="s">
        <v>625</v>
      </c>
      <c r="C222" s="149">
        <v>107</v>
      </c>
      <c r="D222" s="149" t="s">
        <v>97</v>
      </c>
      <c r="E222" s="149" t="s">
        <v>98</v>
      </c>
      <c r="F222" s="84"/>
      <c r="G222" s="84"/>
      <c r="H222" s="149" t="s">
        <v>48</v>
      </c>
      <c r="I222" s="149" t="s">
        <v>158</v>
      </c>
      <c r="J222" s="149" t="s">
        <v>159</v>
      </c>
      <c r="K222" s="149" t="s">
        <v>166</v>
      </c>
      <c r="L222" s="149" t="s">
        <v>160</v>
      </c>
      <c r="M222" s="151">
        <v>46126</v>
      </c>
      <c r="N222" s="149" t="s">
        <v>790</v>
      </c>
      <c r="O222" s="149">
        <v>9151218</v>
      </c>
      <c r="P222" s="150">
        <v>46113</v>
      </c>
      <c r="Q222" s="149" t="s">
        <v>161</v>
      </c>
      <c r="R222" s="148">
        <v>38155</v>
      </c>
      <c r="S222" s="149" t="s">
        <v>201</v>
      </c>
      <c r="T222" s="149" t="s">
        <v>202</v>
      </c>
      <c r="U222" s="84"/>
      <c r="V222" s="84"/>
      <c r="W222" s="84"/>
      <c r="X222" s="149">
        <v>0</v>
      </c>
      <c r="Y222" s="149">
        <v>0</v>
      </c>
      <c r="Z222" s="149">
        <v>69445</v>
      </c>
      <c r="AA222" s="149" t="s">
        <v>99</v>
      </c>
      <c r="AB222" s="149" t="s">
        <v>964</v>
      </c>
      <c r="AC222" s="150">
        <v>46113</v>
      </c>
      <c r="AD222" s="84"/>
      <c r="AE222" s="149">
        <v>997300</v>
      </c>
      <c r="AF222" s="149" t="s">
        <v>965</v>
      </c>
      <c r="AG222" s="84"/>
      <c r="AH222" s="84"/>
      <c r="AI222" s="149">
        <v>69445</v>
      </c>
      <c r="AJ222" s="149" t="s">
        <v>368</v>
      </c>
      <c r="AK222" s="149">
        <v>18</v>
      </c>
      <c r="AL222" s="149">
        <v>0</v>
      </c>
      <c r="AM222" s="149">
        <v>0</v>
      </c>
      <c r="AN222" s="149">
        <v>12500.10</v>
      </c>
      <c r="AO222" s="149">
        <v>0</v>
      </c>
      <c r="AP222" s="149">
        <v>0</v>
      </c>
      <c r="AQ222" s="149">
        <v>0</v>
      </c>
      <c r="AR222" s="149">
        <v>0</v>
      </c>
      <c r="AS222" s="149">
        <v>0</v>
      </c>
      <c r="AT222" s="149">
        <v>0</v>
      </c>
      <c r="AU222" s="84"/>
      <c r="AV222" s="84"/>
      <c r="AW222" s="149">
        <v>0</v>
      </c>
      <c r="AX222" s="149">
        <v>81945.100000000006</v>
      </c>
      <c r="AY222" s="149" t="s">
        <v>101</v>
      </c>
      <c r="AZ222" s="149" t="s">
        <v>100</v>
      </c>
      <c r="BA222" s="149" t="s">
        <v>203</v>
      </c>
      <c r="BB222" s="149">
        <v>1126100055</v>
      </c>
      <c r="BC222" s="148" t="s">
        <v>292</v>
      </c>
      <c r="BD222" s="149" t="s">
        <v>103</v>
      </c>
      <c r="BE222" s="84"/>
      <c r="BF222" s="84" t="s">
        <v>209</v>
      </c>
      <c r="BG222" s="84" t="s">
        <v>280</v>
      </c>
      <c r="BH222" s="149" t="s">
        <v>289</v>
      </c>
      <c r="BI222" t="s">
        <v>155</v>
      </c>
      <c r="BJ222" t="s">
        <v>156</v>
      </c>
      <c r="BK222" t="s">
        <v>964</v>
      </c>
      <c r="BL222">
        <v>12500.10</v>
      </c>
      <c r="BM222" t="e">
        <v>#N/A</v>
      </c>
      <c r="BN222" t="e">
        <v>#N/A</v>
      </c>
      <c r="BO222" t="s">
        <v>199</v>
      </c>
      <c r="BP222">
        <v>9151218</v>
      </c>
      <c r="BQ222" t="s">
        <v>209</v>
      </c>
      <c r="BR222" t="s">
        <v>199</v>
      </c>
      <c r="BS222">
        <v>1</v>
      </c>
    </row>
    <row r="223" spans="1:71" s="0" customFormat="1" ht="14.5">
      <c r="A223" s="148" t="s">
        <v>157</v>
      </c>
      <c r="B223" s="149" t="s">
        <v>625</v>
      </c>
      <c r="C223" s="149">
        <v>107</v>
      </c>
      <c r="D223" s="149" t="s">
        <v>97</v>
      </c>
      <c r="E223" s="149" t="s">
        <v>98</v>
      </c>
      <c r="F223" s="84"/>
      <c r="G223" s="84"/>
      <c r="H223" s="149" t="s">
        <v>48</v>
      </c>
      <c r="I223" s="149" t="s">
        <v>158</v>
      </c>
      <c r="J223" s="149" t="s">
        <v>159</v>
      </c>
      <c r="K223" s="149" t="s">
        <v>163</v>
      </c>
      <c r="L223" s="149" t="s">
        <v>160</v>
      </c>
      <c r="M223" s="151">
        <v>46133</v>
      </c>
      <c r="N223" s="149" t="s">
        <v>966</v>
      </c>
      <c r="O223" s="149">
        <v>9166991</v>
      </c>
      <c r="P223" s="150">
        <v>46125</v>
      </c>
      <c r="Q223" s="149" t="s">
        <v>161</v>
      </c>
      <c r="R223" s="148">
        <v>35005</v>
      </c>
      <c r="S223" s="149" t="s">
        <v>763</v>
      </c>
      <c r="T223" s="149" t="s">
        <v>169</v>
      </c>
      <c r="U223" s="149" t="s">
        <v>765</v>
      </c>
      <c r="V223" s="149" t="s">
        <v>162</v>
      </c>
      <c r="W223" s="84"/>
      <c r="X223" s="149">
        <v>4</v>
      </c>
      <c r="Y223" s="149">
        <v>5625</v>
      </c>
      <c r="Z223" s="149">
        <v>22500</v>
      </c>
      <c r="AA223" s="149" t="s">
        <v>99</v>
      </c>
      <c r="AB223" s="149" t="s">
        <v>966</v>
      </c>
      <c r="AC223" s="150">
        <v>46125</v>
      </c>
      <c r="AD223" s="148" t="s">
        <v>173</v>
      </c>
      <c r="AE223" s="149">
        <v>998422</v>
      </c>
      <c r="AF223" s="149" t="s">
        <v>967</v>
      </c>
      <c r="AG223" s="84"/>
      <c r="AH223" s="84"/>
      <c r="AI223" s="149">
        <v>22500</v>
      </c>
      <c r="AJ223" s="149" t="s">
        <v>368</v>
      </c>
      <c r="AK223" s="149">
        <v>18</v>
      </c>
      <c r="AL223" s="149">
        <v>2025</v>
      </c>
      <c r="AM223" s="149">
        <v>2025</v>
      </c>
      <c r="AN223" s="149">
        <v>0</v>
      </c>
      <c r="AO223" s="149">
        <v>0</v>
      </c>
      <c r="AP223" s="149">
        <v>0</v>
      </c>
      <c r="AQ223" s="149">
        <v>0</v>
      </c>
      <c r="AR223" s="149">
        <v>0</v>
      </c>
      <c r="AS223" s="149">
        <v>0</v>
      </c>
      <c r="AT223" s="149">
        <v>0</v>
      </c>
      <c r="AU223" s="84"/>
      <c r="AV223" s="84"/>
      <c r="AW223" s="149">
        <v>0</v>
      </c>
      <c r="AX223" s="149">
        <v>26550</v>
      </c>
      <c r="AY223" s="149" t="s">
        <v>100</v>
      </c>
      <c r="AZ223" s="149" t="s">
        <v>101</v>
      </c>
      <c r="BA223" s="149" t="s">
        <v>357</v>
      </c>
      <c r="BB223" s="149">
        <v>1126100298</v>
      </c>
      <c r="BC223" s="148" t="s">
        <v>105</v>
      </c>
      <c r="BD223" s="149" t="s">
        <v>103</v>
      </c>
      <c r="BE223" s="84"/>
      <c r="BF223" s="84" t="s">
        <v>270</v>
      </c>
      <c r="BG223" s="84" t="s">
        <v>281</v>
      </c>
      <c r="BH223" s="149" t="s">
        <v>290</v>
      </c>
      <c r="BI223" t="s">
        <v>155</v>
      </c>
      <c r="BJ223" t="s">
        <v>156</v>
      </c>
      <c r="BK223" t="s">
        <v>968</v>
      </c>
      <c r="BL223">
        <v>4050</v>
      </c>
      <c r="BM223">
        <v>4050</v>
      </c>
      <c r="BN223">
        <v>0</v>
      </c>
      <c r="BO223" t="s">
        <v>154</v>
      </c>
      <c r="BP223">
        <v>9166991</v>
      </c>
      <c r="BQ223" t="s">
        <v>270</v>
      </c>
      <c r="BR223" t="s">
        <v>630</v>
      </c>
      <c r="BS223">
        <v>1</v>
      </c>
    </row>
    <row r="224" spans="1:71" s="0" customFormat="1" ht="14.5">
      <c r="A224" s="148" t="s">
        <v>157</v>
      </c>
      <c r="B224" s="149" t="s">
        <v>625</v>
      </c>
      <c r="C224" s="149">
        <v>107</v>
      </c>
      <c r="D224" s="149" t="s">
        <v>97</v>
      </c>
      <c r="E224" s="149" t="s">
        <v>98</v>
      </c>
      <c r="F224" s="84"/>
      <c r="G224" s="84"/>
      <c r="H224" s="149" t="s">
        <v>48</v>
      </c>
      <c r="I224" s="149" t="s">
        <v>158</v>
      </c>
      <c r="J224" s="149" t="s">
        <v>159</v>
      </c>
      <c r="K224" s="149" t="s">
        <v>163</v>
      </c>
      <c r="L224" s="149" t="s">
        <v>160</v>
      </c>
      <c r="M224" s="151">
        <v>46126</v>
      </c>
      <c r="N224" s="149" t="s">
        <v>857</v>
      </c>
      <c r="O224" s="149">
        <v>9155619</v>
      </c>
      <c r="P224" s="150">
        <v>46114</v>
      </c>
      <c r="Q224" s="149" t="s">
        <v>161</v>
      </c>
      <c r="R224" s="148">
        <v>2770</v>
      </c>
      <c r="S224" s="149" t="s">
        <v>299</v>
      </c>
      <c r="T224" s="149" t="s">
        <v>174</v>
      </c>
      <c r="U224" s="149" t="s">
        <v>175</v>
      </c>
      <c r="V224" s="149" t="s">
        <v>162</v>
      </c>
      <c r="W224" s="84"/>
      <c r="X224" s="149">
        <v>1</v>
      </c>
      <c r="Y224" s="149">
        <v>155</v>
      </c>
      <c r="Z224" s="149">
        <v>155</v>
      </c>
      <c r="AA224" s="149" t="s">
        <v>99</v>
      </c>
      <c r="AB224" s="149" t="s">
        <v>857</v>
      </c>
      <c r="AC224" s="150">
        <v>46114</v>
      </c>
      <c r="AD224" s="148" t="s">
        <v>171</v>
      </c>
      <c r="AE224" s="149">
        <v>998712</v>
      </c>
      <c r="AF224" s="149" t="s">
        <v>969</v>
      </c>
      <c r="AG224" s="84"/>
      <c r="AH224" s="84"/>
      <c r="AI224" s="149">
        <v>155</v>
      </c>
      <c r="AJ224" s="149" t="s">
        <v>368</v>
      </c>
      <c r="AK224" s="149">
        <v>18</v>
      </c>
      <c r="AL224" s="149">
        <v>13.95</v>
      </c>
      <c r="AM224" s="149">
        <v>13.95</v>
      </c>
      <c r="AN224" s="149">
        <v>0</v>
      </c>
      <c r="AO224" s="149">
        <v>0</v>
      </c>
      <c r="AP224" s="149">
        <v>0</v>
      </c>
      <c r="AQ224" s="149">
        <v>0</v>
      </c>
      <c r="AR224" s="149">
        <v>0</v>
      </c>
      <c r="AS224" s="149">
        <v>0</v>
      </c>
      <c r="AT224" s="149">
        <v>0</v>
      </c>
      <c r="AU224" s="84"/>
      <c r="AV224" s="84"/>
      <c r="AW224" s="149">
        <v>0</v>
      </c>
      <c r="AX224" s="149">
        <v>182.90</v>
      </c>
      <c r="AY224" s="149" t="s">
        <v>100</v>
      </c>
      <c r="AZ224" s="149" t="s">
        <v>101</v>
      </c>
      <c r="BA224" s="149" t="s">
        <v>642</v>
      </c>
      <c r="BB224" s="149">
        <v>1126100069</v>
      </c>
      <c r="BC224" s="148" t="s">
        <v>105</v>
      </c>
      <c r="BD224" s="149" t="s">
        <v>103</v>
      </c>
      <c r="BE224" s="84"/>
      <c r="BF224" s="84" t="s">
        <v>270</v>
      </c>
      <c r="BG224" s="84" t="s">
        <v>281</v>
      </c>
      <c r="BH224" s="149" t="s">
        <v>290</v>
      </c>
      <c r="BI224" t="s">
        <v>155</v>
      </c>
      <c r="BJ224" t="s">
        <v>156</v>
      </c>
      <c r="BK224" t="s">
        <v>859</v>
      </c>
      <c r="BL224">
        <v>27.90</v>
      </c>
      <c r="BM224">
        <v>5341.12</v>
      </c>
      <c r="BN224">
        <v>-5313</v>
      </c>
      <c r="BO224" t="s">
        <v>154</v>
      </c>
      <c r="BP224">
        <v>9155619</v>
      </c>
      <c r="BQ224" t="s">
        <v>270</v>
      </c>
      <c r="BR224" t="s">
        <v>630</v>
      </c>
      <c r="BS224">
        <v>4</v>
      </c>
    </row>
    <row r="225" spans="1:71" s="0" customFormat="1" ht="14.5">
      <c r="A225" s="148" t="s">
        <v>157</v>
      </c>
      <c r="B225" s="149" t="s">
        <v>625</v>
      </c>
      <c r="C225" s="149">
        <v>107</v>
      </c>
      <c r="D225" s="149" t="s">
        <v>97</v>
      </c>
      <c r="E225" s="149" t="s">
        <v>98</v>
      </c>
      <c r="F225" s="84"/>
      <c r="G225" s="149" t="s">
        <v>106</v>
      </c>
      <c r="H225" s="149" t="s">
        <v>48</v>
      </c>
      <c r="I225" s="149" t="s">
        <v>158</v>
      </c>
      <c r="J225" s="149" t="s">
        <v>165</v>
      </c>
      <c r="K225" s="149" t="s">
        <v>166</v>
      </c>
      <c r="L225" s="149" t="s">
        <v>160</v>
      </c>
      <c r="M225" s="150">
        <v>46140</v>
      </c>
      <c r="N225" s="149" t="s">
        <v>632</v>
      </c>
      <c r="O225" s="149">
        <v>9174963</v>
      </c>
      <c r="P225" s="150">
        <v>46129</v>
      </c>
      <c r="Q225" s="149" t="s">
        <v>161</v>
      </c>
      <c r="R225" s="149">
        <v>35671</v>
      </c>
      <c r="S225" s="149" t="s">
        <v>424</v>
      </c>
      <c r="T225" s="149" t="s">
        <v>425</v>
      </c>
      <c r="U225" s="149" t="s">
        <v>426</v>
      </c>
      <c r="V225" s="148" t="s">
        <v>162</v>
      </c>
      <c r="W225" s="84"/>
      <c r="X225" s="149">
        <v>275</v>
      </c>
      <c r="Y225" s="149">
        <v>30</v>
      </c>
      <c r="Z225" s="149">
        <v>8250</v>
      </c>
      <c r="AA225" s="149" t="s">
        <v>99</v>
      </c>
      <c r="AB225" s="149" t="s">
        <v>632</v>
      </c>
      <c r="AC225" s="150">
        <v>46129</v>
      </c>
      <c r="AD225" s="149" t="s">
        <v>164</v>
      </c>
      <c r="AE225" s="149">
        <v>996200</v>
      </c>
      <c r="AF225" s="149" t="s">
        <v>970</v>
      </c>
      <c r="AG225" s="84"/>
      <c r="AH225" s="84"/>
      <c r="AI225" s="149">
        <v>8250</v>
      </c>
      <c r="AJ225" s="149" t="s">
        <v>368</v>
      </c>
      <c r="AK225" s="149">
        <v>18</v>
      </c>
      <c r="AL225" s="149">
        <v>0</v>
      </c>
      <c r="AM225" s="149">
        <v>0</v>
      </c>
      <c r="AN225" s="149">
        <v>1485</v>
      </c>
      <c r="AO225" s="149">
        <v>0</v>
      </c>
      <c r="AP225" s="149">
        <v>0</v>
      </c>
      <c r="AQ225" s="149">
        <v>0</v>
      </c>
      <c r="AR225" s="149">
        <v>0</v>
      </c>
      <c r="AS225" s="149">
        <v>0</v>
      </c>
      <c r="AT225" s="149">
        <v>0</v>
      </c>
      <c r="AU225" s="84"/>
      <c r="AV225" s="84"/>
      <c r="AW225" s="149">
        <v>0</v>
      </c>
      <c r="AX225" s="148">
        <v>9735</v>
      </c>
      <c r="AY225" s="149" t="s">
        <v>101</v>
      </c>
      <c r="AZ225" s="149" t="s">
        <v>101</v>
      </c>
      <c r="BA225" s="149" t="s">
        <v>634</v>
      </c>
      <c r="BB225" s="149">
        <v>1126100446</v>
      </c>
      <c r="BC225" s="149" t="s">
        <v>168</v>
      </c>
      <c r="BD225" s="149" t="s">
        <v>272</v>
      </c>
      <c r="BE225" s="84"/>
      <c r="BF225" s="84" t="s">
        <v>271</v>
      </c>
      <c r="BG225" s="84" t="s">
        <v>281</v>
      </c>
      <c r="BH225" s="149" t="s">
        <v>290</v>
      </c>
      <c r="BI225" t="s">
        <v>155</v>
      </c>
      <c r="BJ225" t="s">
        <v>156</v>
      </c>
      <c r="BK225" t="s">
        <v>635</v>
      </c>
      <c r="BL225">
        <v>1485</v>
      </c>
      <c r="BM225">
        <v>36494.74</v>
      </c>
      <c r="BN225">
        <v>-35010</v>
      </c>
      <c r="BO225" t="s">
        <v>154</v>
      </c>
      <c r="BP225">
        <v>9174963</v>
      </c>
      <c r="BQ225" t="s">
        <v>271</v>
      </c>
      <c r="BR225" t="s">
        <v>630</v>
      </c>
      <c r="BS225">
        <v>36</v>
      </c>
    </row>
    <row r="226" spans="1:71" s="0" customFormat="1" ht="14.5">
      <c r="A226" s="148" t="s">
        <v>157</v>
      </c>
      <c r="B226" s="149" t="s">
        <v>625</v>
      </c>
      <c r="C226" s="149">
        <v>107</v>
      </c>
      <c r="D226" s="149" t="s">
        <v>97</v>
      </c>
      <c r="E226" s="149" t="s">
        <v>98</v>
      </c>
      <c r="F226" s="84"/>
      <c r="G226" s="149" t="s">
        <v>106</v>
      </c>
      <c r="H226" s="149" t="s">
        <v>48</v>
      </c>
      <c r="I226" s="149" t="s">
        <v>158</v>
      </c>
      <c r="J226" s="149" t="s">
        <v>165</v>
      </c>
      <c r="K226" s="149" t="s">
        <v>166</v>
      </c>
      <c r="L226" s="149" t="s">
        <v>160</v>
      </c>
      <c r="M226" s="150">
        <v>46140</v>
      </c>
      <c r="N226" s="149" t="s">
        <v>632</v>
      </c>
      <c r="O226" s="149">
        <v>9174963</v>
      </c>
      <c r="P226" s="150">
        <v>46129</v>
      </c>
      <c r="Q226" s="149" t="s">
        <v>161</v>
      </c>
      <c r="R226" s="149">
        <v>35671</v>
      </c>
      <c r="S226" s="149" t="s">
        <v>424</v>
      </c>
      <c r="T226" s="149" t="s">
        <v>425</v>
      </c>
      <c r="U226" s="149" t="s">
        <v>426</v>
      </c>
      <c r="V226" s="148" t="s">
        <v>162</v>
      </c>
      <c r="W226" s="84"/>
      <c r="X226" s="149">
        <v>220</v>
      </c>
      <c r="Y226" s="149">
        <v>2</v>
      </c>
      <c r="Z226" s="149">
        <v>440</v>
      </c>
      <c r="AA226" s="149" t="s">
        <v>99</v>
      </c>
      <c r="AB226" s="149" t="s">
        <v>632</v>
      </c>
      <c r="AC226" s="150">
        <v>46129</v>
      </c>
      <c r="AD226" s="149" t="s">
        <v>164</v>
      </c>
      <c r="AE226" s="149">
        <v>998729</v>
      </c>
      <c r="AF226" s="149" t="s">
        <v>971</v>
      </c>
      <c r="AG226" s="84"/>
      <c r="AH226" s="84"/>
      <c r="AI226" s="149">
        <v>440</v>
      </c>
      <c r="AJ226" s="149" t="s">
        <v>368</v>
      </c>
      <c r="AK226" s="149">
        <v>18</v>
      </c>
      <c r="AL226" s="149">
        <v>0</v>
      </c>
      <c r="AM226" s="149">
        <v>0</v>
      </c>
      <c r="AN226" s="149">
        <v>79.20</v>
      </c>
      <c r="AO226" s="149">
        <v>0</v>
      </c>
      <c r="AP226" s="149">
        <v>0</v>
      </c>
      <c r="AQ226" s="149">
        <v>0</v>
      </c>
      <c r="AR226" s="149">
        <v>0</v>
      </c>
      <c r="AS226" s="149">
        <v>0</v>
      </c>
      <c r="AT226" s="149">
        <v>0</v>
      </c>
      <c r="AU226" s="84"/>
      <c r="AV226" s="84"/>
      <c r="AW226" s="149">
        <v>0</v>
      </c>
      <c r="AX226" s="148">
        <v>519.20000000000005</v>
      </c>
      <c r="AY226" s="149" t="s">
        <v>101</v>
      </c>
      <c r="AZ226" s="149" t="s">
        <v>101</v>
      </c>
      <c r="BA226" s="149" t="s">
        <v>634</v>
      </c>
      <c r="BB226" s="149">
        <v>1126100446</v>
      </c>
      <c r="BC226" s="149" t="s">
        <v>168</v>
      </c>
      <c r="BD226" s="149" t="s">
        <v>272</v>
      </c>
      <c r="BE226" s="84"/>
      <c r="BF226" s="84" t="s">
        <v>271</v>
      </c>
      <c r="BG226" s="84" t="s">
        <v>281</v>
      </c>
      <c r="BH226" s="149" t="s">
        <v>290</v>
      </c>
      <c r="BI226" t="s">
        <v>155</v>
      </c>
      <c r="BJ226" t="s">
        <v>156</v>
      </c>
      <c r="BK226" t="s">
        <v>635</v>
      </c>
      <c r="BL226">
        <v>79.20</v>
      </c>
      <c r="BM226">
        <v>36494.74</v>
      </c>
      <c r="BN226">
        <v>-36416</v>
      </c>
      <c r="BO226" t="s">
        <v>154</v>
      </c>
      <c r="BP226">
        <v>9174963</v>
      </c>
      <c r="BQ226" t="s">
        <v>271</v>
      </c>
      <c r="BR226" t="s">
        <v>630</v>
      </c>
      <c r="BS226">
        <v>36</v>
      </c>
    </row>
    <row r="227" spans="1:71" s="0" customFormat="1" ht="14.5">
      <c r="A227" s="148" t="s">
        <v>157</v>
      </c>
      <c r="B227" s="149" t="s">
        <v>625</v>
      </c>
      <c r="C227" s="149">
        <v>107</v>
      </c>
      <c r="D227" s="149" t="s">
        <v>97</v>
      </c>
      <c r="E227" s="149" t="s">
        <v>98</v>
      </c>
      <c r="F227" s="84"/>
      <c r="G227" s="149" t="s">
        <v>106</v>
      </c>
      <c r="H227" s="149" t="s">
        <v>48</v>
      </c>
      <c r="I227" s="149" t="s">
        <v>158</v>
      </c>
      <c r="J227" s="149" t="s">
        <v>165</v>
      </c>
      <c r="K227" s="149" t="s">
        <v>166</v>
      </c>
      <c r="L227" s="149" t="s">
        <v>160</v>
      </c>
      <c r="M227" s="150">
        <v>46127</v>
      </c>
      <c r="N227" s="149" t="s">
        <v>636</v>
      </c>
      <c r="O227" s="149">
        <v>9156749</v>
      </c>
      <c r="P227" s="150">
        <v>46115</v>
      </c>
      <c r="Q227" s="149" t="s">
        <v>161</v>
      </c>
      <c r="R227" s="149">
        <v>6262</v>
      </c>
      <c r="S227" s="149" t="s">
        <v>183</v>
      </c>
      <c r="T227" s="149" t="s">
        <v>182</v>
      </c>
      <c r="U227" s="149" t="s">
        <v>184</v>
      </c>
      <c r="V227" s="148" t="s">
        <v>162</v>
      </c>
      <c r="W227" s="84"/>
      <c r="X227" s="149">
        <v>1</v>
      </c>
      <c r="Y227" s="149">
        <v>16313</v>
      </c>
      <c r="Z227" s="149">
        <v>16313</v>
      </c>
      <c r="AA227" s="149" t="s">
        <v>99</v>
      </c>
      <c r="AB227" s="149" t="s">
        <v>637</v>
      </c>
      <c r="AC227" s="150">
        <v>46115</v>
      </c>
      <c r="AD227" s="149" t="s">
        <v>171</v>
      </c>
      <c r="AE227" s="149">
        <v>998413</v>
      </c>
      <c r="AF227" s="149" t="s">
        <v>638</v>
      </c>
      <c r="AG227" s="84"/>
      <c r="AH227" s="84"/>
      <c r="AI227" s="149">
        <v>16313</v>
      </c>
      <c r="AJ227" s="149" t="s">
        <v>368</v>
      </c>
      <c r="AK227" s="149">
        <v>18</v>
      </c>
      <c r="AL227" s="149">
        <v>1468.17</v>
      </c>
      <c r="AM227" s="149">
        <v>1468.17</v>
      </c>
      <c r="AN227" s="149">
        <v>0</v>
      </c>
      <c r="AO227" s="149">
        <v>0</v>
      </c>
      <c r="AP227" s="149">
        <v>0</v>
      </c>
      <c r="AQ227" s="149">
        <v>0</v>
      </c>
      <c r="AR227" s="149">
        <v>0</v>
      </c>
      <c r="AS227" s="149">
        <v>0</v>
      </c>
      <c r="AT227" s="149">
        <v>0</v>
      </c>
      <c r="AU227" s="84"/>
      <c r="AV227" s="84"/>
      <c r="AW227" s="149">
        <v>0</v>
      </c>
      <c r="AX227" s="148">
        <v>19249.34</v>
      </c>
      <c r="AY227" s="149" t="s">
        <v>100</v>
      </c>
      <c r="AZ227" s="149" t="s">
        <v>101</v>
      </c>
      <c r="BA227" s="149" t="s">
        <v>311</v>
      </c>
      <c r="BB227" s="149">
        <v>1126100078</v>
      </c>
      <c r="BC227" s="149" t="s">
        <v>105</v>
      </c>
      <c r="BD227" s="149" t="s">
        <v>103</v>
      </c>
      <c r="BE227" s="84"/>
      <c r="BF227" s="84" t="s">
        <v>270</v>
      </c>
      <c r="BG227" s="84" t="s">
        <v>281</v>
      </c>
      <c r="BH227" s="149" t="s">
        <v>290</v>
      </c>
      <c r="BI227" t="s">
        <v>155</v>
      </c>
      <c r="BJ227" t="s">
        <v>156</v>
      </c>
      <c r="BK227" t="s">
        <v>639</v>
      </c>
      <c r="BL227">
        <v>2936.34</v>
      </c>
      <c r="BM227">
        <v>8534.42</v>
      </c>
      <c r="BN227">
        <v>-5598</v>
      </c>
      <c r="BO227" t="s">
        <v>154</v>
      </c>
      <c r="BP227">
        <v>9156749</v>
      </c>
      <c r="BQ227" t="s">
        <v>270</v>
      </c>
      <c r="BR227" t="s">
        <v>630</v>
      </c>
      <c r="BS227">
        <v>17</v>
      </c>
    </row>
    <row r="228" spans="1:71" s="0" customFormat="1" ht="14.5">
      <c r="A228" s="148" t="s">
        <v>157</v>
      </c>
      <c r="B228" s="149" t="s">
        <v>625</v>
      </c>
      <c r="C228" s="149">
        <v>107</v>
      </c>
      <c r="D228" s="149" t="s">
        <v>97</v>
      </c>
      <c r="E228" s="149" t="s">
        <v>98</v>
      </c>
      <c r="F228" s="84"/>
      <c r="G228" s="84"/>
      <c r="H228" s="149" t="s">
        <v>48</v>
      </c>
      <c r="I228" s="149" t="s">
        <v>158</v>
      </c>
      <c r="J228" s="149" t="s">
        <v>159</v>
      </c>
      <c r="K228" s="149" t="s">
        <v>421</v>
      </c>
      <c r="L228" s="149" t="s">
        <v>160</v>
      </c>
      <c r="M228" s="150">
        <v>46133</v>
      </c>
      <c r="N228" s="149" t="s">
        <v>972</v>
      </c>
      <c r="O228" s="149">
        <v>9164385</v>
      </c>
      <c r="P228" s="150">
        <v>46115</v>
      </c>
      <c r="Q228" s="149" t="s">
        <v>161</v>
      </c>
      <c r="R228" s="149">
        <v>6262</v>
      </c>
      <c r="S228" s="149" t="s">
        <v>183</v>
      </c>
      <c r="T228" s="149" t="s">
        <v>182</v>
      </c>
      <c r="U228" s="149" t="s">
        <v>184</v>
      </c>
      <c r="V228" s="148" t="s">
        <v>162</v>
      </c>
      <c r="W228" s="84"/>
      <c r="X228" s="149">
        <v>1</v>
      </c>
      <c r="Y228" s="149">
        <v>999</v>
      </c>
      <c r="Z228" s="149">
        <v>999</v>
      </c>
      <c r="AA228" s="149" t="s">
        <v>99</v>
      </c>
      <c r="AB228" s="149" t="s">
        <v>972</v>
      </c>
      <c r="AC228" s="150">
        <v>46115</v>
      </c>
      <c r="AD228" s="149" t="s">
        <v>171</v>
      </c>
      <c r="AE228" s="149">
        <v>998412</v>
      </c>
      <c r="AF228" s="149" t="s">
        <v>702</v>
      </c>
      <c r="AG228" s="84"/>
      <c r="AH228" s="84"/>
      <c r="AI228" s="149">
        <v>999</v>
      </c>
      <c r="AJ228" s="149" t="s">
        <v>368</v>
      </c>
      <c r="AK228" s="149">
        <v>18</v>
      </c>
      <c r="AL228" s="149">
        <v>89.91</v>
      </c>
      <c r="AM228" s="149">
        <v>89.91</v>
      </c>
      <c r="AN228" s="149">
        <v>0</v>
      </c>
      <c r="AO228" s="149">
        <v>0</v>
      </c>
      <c r="AP228" s="149">
        <v>0</v>
      </c>
      <c r="AQ228" s="149">
        <v>0</v>
      </c>
      <c r="AR228" s="149">
        <v>0</v>
      </c>
      <c r="AS228" s="149">
        <v>0</v>
      </c>
      <c r="AT228" s="149">
        <v>0</v>
      </c>
      <c r="AU228" s="84"/>
      <c r="AV228" s="84"/>
      <c r="AW228" s="149">
        <v>0</v>
      </c>
      <c r="AX228" s="148">
        <v>1178.82</v>
      </c>
      <c r="AY228" s="149" t="s">
        <v>100</v>
      </c>
      <c r="AZ228" s="149" t="s">
        <v>101</v>
      </c>
      <c r="BA228" s="149" t="s">
        <v>422</v>
      </c>
      <c r="BB228" s="149">
        <v>1126100281</v>
      </c>
      <c r="BC228" s="149" t="s">
        <v>105</v>
      </c>
      <c r="BD228" s="149" t="s">
        <v>103</v>
      </c>
      <c r="BE228" s="84"/>
      <c r="BF228" s="84" t="s">
        <v>270</v>
      </c>
      <c r="BG228" s="84" t="s">
        <v>281</v>
      </c>
      <c r="BH228" s="149" t="s">
        <v>290</v>
      </c>
      <c r="BI228" t="s">
        <v>155</v>
      </c>
      <c r="BJ228" t="s">
        <v>156</v>
      </c>
      <c r="BK228" t="s">
        <v>973</v>
      </c>
      <c r="BL228">
        <v>179.82</v>
      </c>
      <c r="BM228">
        <v>179.82</v>
      </c>
      <c r="BN228">
        <v>0</v>
      </c>
      <c r="BO228" t="s">
        <v>154</v>
      </c>
      <c r="BP228">
        <v>9164385</v>
      </c>
      <c r="BQ228" t="s">
        <v>270</v>
      </c>
      <c r="BR228" t="s">
        <v>630</v>
      </c>
      <c r="BS228">
        <v>1</v>
      </c>
    </row>
    <row r="229" spans="1:71" s="0" customFormat="1" ht="14.5">
      <c r="A229" s="148" t="s">
        <v>157</v>
      </c>
      <c r="B229" s="149" t="s">
        <v>625</v>
      </c>
      <c r="C229" s="149">
        <v>107</v>
      </c>
      <c r="D229" s="149" t="s">
        <v>97</v>
      </c>
      <c r="E229" s="149" t="s">
        <v>98</v>
      </c>
      <c r="F229" s="84"/>
      <c r="G229" s="84"/>
      <c r="H229" s="149" t="s">
        <v>48</v>
      </c>
      <c r="I229" s="149" t="s">
        <v>158</v>
      </c>
      <c r="J229" s="149" t="s">
        <v>159</v>
      </c>
      <c r="K229" s="149" t="s">
        <v>163</v>
      </c>
      <c r="L229" s="149" t="s">
        <v>160</v>
      </c>
      <c r="M229" s="150">
        <v>46134</v>
      </c>
      <c r="N229" s="149" t="s">
        <v>704</v>
      </c>
      <c r="O229" s="149">
        <v>9164740</v>
      </c>
      <c r="P229" s="150">
        <v>46121</v>
      </c>
      <c r="Q229" s="149" t="s">
        <v>161</v>
      </c>
      <c r="R229" s="149">
        <v>3615</v>
      </c>
      <c r="S229" s="149" t="s">
        <v>705</v>
      </c>
      <c r="T229" s="149" t="s">
        <v>169</v>
      </c>
      <c r="U229" s="149" t="s">
        <v>706</v>
      </c>
      <c r="V229" s="148" t="s">
        <v>162</v>
      </c>
      <c r="W229" s="84"/>
      <c r="X229" s="149">
        <v>30</v>
      </c>
      <c r="Y229" s="149">
        <v>32</v>
      </c>
      <c r="Z229" s="149">
        <v>960</v>
      </c>
      <c r="AA229" s="149" t="s">
        <v>99</v>
      </c>
      <c r="AB229" s="149" t="s">
        <v>704</v>
      </c>
      <c r="AC229" s="150">
        <v>46121</v>
      </c>
      <c r="AD229" s="149" t="s">
        <v>171</v>
      </c>
      <c r="AE229" s="149">
        <v>998900</v>
      </c>
      <c r="AF229" s="149" t="s">
        <v>974</v>
      </c>
      <c r="AG229" s="84"/>
      <c r="AH229" s="84"/>
      <c r="AI229" s="149">
        <v>960</v>
      </c>
      <c r="AJ229" s="149" t="s">
        <v>368</v>
      </c>
      <c r="AK229" s="149">
        <v>18</v>
      </c>
      <c r="AL229" s="149">
        <v>86.40</v>
      </c>
      <c r="AM229" s="149">
        <v>86.40</v>
      </c>
      <c r="AN229" s="149">
        <v>0</v>
      </c>
      <c r="AO229" s="149">
        <v>0</v>
      </c>
      <c r="AP229" s="149">
        <v>0</v>
      </c>
      <c r="AQ229" s="149">
        <v>0</v>
      </c>
      <c r="AR229" s="149">
        <v>0</v>
      </c>
      <c r="AS229" s="149">
        <v>0</v>
      </c>
      <c r="AT229" s="149">
        <v>0</v>
      </c>
      <c r="AU229" s="84"/>
      <c r="AV229" s="84"/>
      <c r="AW229" s="149">
        <v>0</v>
      </c>
      <c r="AX229" s="148">
        <v>1132.80</v>
      </c>
      <c r="AY229" s="149" t="s">
        <v>101</v>
      </c>
      <c r="AZ229" s="149" t="s">
        <v>101</v>
      </c>
      <c r="BA229" s="149" t="s">
        <v>708</v>
      </c>
      <c r="BB229" s="149">
        <v>1126100334</v>
      </c>
      <c r="BC229" s="149" t="s">
        <v>172</v>
      </c>
      <c r="BD229" s="149" t="s">
        <v>103</v>
      </c>
      <c r="BE229" s="84"/>
      <c r="BF229" s="84" t="s">
        <v>271</v>
      </c>
      <c r="BG229" s="84" t="s">
        <v>281</v>
      </c>
      <c r="BH229" s="149" t="s">
        <v>290</v>
      </c>
      <c r="BI229" t="s">
        <v>155</v>
      </c>
      <c r="BJ229" t="s">
        <v>156</v>
      </c>
      <c r="BK229" t="s">
        <v>709</v>
      </c>
      <c r="BL229">
        <v>172.80</v>
      </c>
      <c r="BM229">
        <v>6014.70</v>
      </c>
      <c r="BN229">
        <v>-5842</v>
      </c>
      <c r="BO229" t="s">
        <v>154</v>
      </c>
      <c r="BP229">
        <v>9164740</v>
      </c>
      <c r="BQ229" t="s">
        <v>271</v>
      </c>
      <c r="BR229" t="s">
        <v>630</v>
      </c>
      <c r="BS229">
        <v>6</v>
      </c>
    </row>
    <row r="230" spans="1:71" s="0" customFormat="1" ht="14.5">
      <c r="A230" s="148" t="s">
        <v>157</v>
      </c>
      <c r="B230" s="149" t="s">
        <v>625</v>
      </c>
      <c r="C230" s="149">
        <v>107</v>
      </c>
      <c r="D230" s="149" t="s">
        <v>97</v>
      </c>
      <c r="E230" s="149" t="s">
        <v>98</v>
      </c>
      <c r="F230" s="84"/>
      <c r="G230" s="84"/>
      <c r="H230" s="149" t="s">
        <v>48</v>
      </c>
      <c r="I230" s="149" t="s">
        <v>158</v>
      </c>
      <c r="J230" s="149" t="s">
        <v>159</v>
      </c>
      <c r="K230" s="149" t="s">
        <v>163</v>
      </c>
      <c r="L230" s="149" t="s">
        <v>160</v>
      </c>
      <c r="M230" s="150">
        <v>46127</v>
      </c>
      <c r="N230" s="149">
        <v>47</v>
      </c>
      <c r="O230" s="149">
        <v>9157982</v>
      </c>
      <c r="P230" s="150">
        <v>46113</v>
      </c>
      <c r="Q230" s="149" t="s">
        <v>161</v>
      </c>
      <c r="R230" s="149">
        <v>41223</v>
      </c>
      <c r="S230" s="149" t="s">
        <v>354</v>
      </c>
      <c r="T230" s="149" t="s">
        <v>170</v>
      </c>
      <c r="U230" s="149" t="s">
        <v>355</v>
      </c>
      <c r="V230" s="148" t="s">
        <v>162</v>
      </c>
      <c r="W230" s="84"/>
      <c r="X230" s="149">
        <v>1</v>
      </c>
      <c r="Y230" s="149">
        <v>1800</v>
      </c>
      <c r="Z230" s="149">
        <v>1800</v>
      </c>
      <c r="AA230" s="149" t="s">
        <v>99</v>
      </c>
      <c r="AB230" s="149">
        <v>47</v>
      </c>
      <c r="AC230" s="150">
        <v>46113</v>
      </c>
      <c r="AD230" s="149" t="s">
        <v>171</v>
      </c>
      <c r="AE230" s="149">
        <v>997329</v>
      </c>
      <c r="AF230" s="149" t="s">
        <v>975</v>
      </c>
      <c r="AG230" s="84"/>
      <c r="AH230" s="84"/>
      <c r="AI230" s="149">
        <v>1800</v>
      </c>
      <c r="AJ230" s="149" t="s">
        <v>368</v>
      </c>
      <c r="AK230" s="149">
        <v>18</v>
      </c>
      <c r="AL230" s="149">
        <v>162</v>
      </c>
      <c r="AM230" s="149">
        <v>162</v>
      </c>
      <c r="AN230" s="149">
        <v>0</v>
      </c>
      <c r="AO230" s="149">
        <v>0</v>
      </c>
      <c r="AP230" s="149">
        <v>0</v>
      </c>
      <c r="AQ230" s="149">
        <v>0</v>
      </c>
      <c r="AR230" s="149">
        <v>0</v>
      </c>
      <c r="AS230" s="149">
        <v>0</v>
      </c>
      <c r="AT230" s="149">
        <v>0</v>
      </c>
      <c r="AU230" s="84"/>
      <c r="AV230" s="84"/>
      <c r="AW230" s="149">
        <v>0</v>
      </c>
      <c r="AX230" s="148">
        <v>2124</v>
      </c>
      <c r="AY230" s="149" t="s">
        <v>101</v>
      </c>
      <c r="AZ230" s="149" t="s">
        <v>101</v>
      </c>
      <c r="BA230" s="149" t="s">
        <v>167</v>
      </c>
      <c r="BB230" s="149">
        <v>1126100100</v>
      </c>
      <c r="BC230" s="149" t="s">
        <v>172</v>
      </c>
      <c r="BD230" s="149" t="s">
        <v>103</v>
      </c>
      <c r="BE230" s="84"/>
      <c r="BF230" s="84" t="s">
        <v>271</v>
      </c>
      <c r="BG230" s="84" t="s">
        <v>281</v>
      </c>
      <c r="BH230" s="149" t="s">
        <v>290</v>
      </c>
      <c r="BI230" t="s">
        <v>155</v>
      </c>
      <c r="BJ230" t="s">
        <v>156</v>
      </c>
      <c r="BK230" t="s">
        <v>976</v>
      </c>
      <c r="BL230">
        <v>324</v>
      </c>
      <c r="BM230">
        <v>324</v>
      </c>
      <c r="BN230">
        <v>0</v>
      </c>
      <c r="BO230" t="s">
        <v>154</v>
      </c>
      <c r="BP230">
        <v>9157982</v>
      </c>
      <c r="BQ230" t="s">
        <v>271</v>
      </c>
      <c r="BR230" t="s">
        <v>630</v>
      </c>
      <c r="BS230">
        <v>1</v>
      </c>
    </row>
    <row r="231" spans="1:71" s="0" customFormat="1" ht="14.5">
      <c r="A231" s="148" t="s">
        <v>157</v>
      </c>
      <c r="B231" s="149" t="s">
        <v>625</v>
      </c>
      <c r="C231" s="149">
        <v>107</v>
      </c>
      <c r="D231" s="149" t="s">
        <v>97</v>
      </c>
      <c r="E231" s="149" t="s">
        <v>98</v>
      </c>
      <c r="F231" s="84"/>
      <c r="G231" s="84"/>
      <c r="H231" s="149" t="s">
        <v>48</v>
      </c>
      <c r="I231" s="149" t="s">
        <v>158</v>
      </c>
      <c r="J231" s="149" t="s">
        <v>159</v>
      </c>
      <c r="K231" s="149" t="s">
        <v>163</v>
      </c>
      <c r="L231" s="149" t="s">
        <v>160</v>
      </c>
      <c r="M231" s="150">
        <v>46133</v>
      </c>
      <c r="N231" s="149" t="s">
        <v>797</v>
      </c>
      <c r="O231" s="149">
        <v>9164021</v>
      </c>
      <c r="P231" s="150">
        <v>46108</v>
      </c>
      <c r="Q231" s="149" t="s">
        <v>161</v>
      </c>
      <c r="R231" s="149">
        <v>45456</v>
      </c>
      <c r="S231" s="149" t="s">
        <v>418</v>
      </c>
      <c r="T231" s="149" t="s">
        <v>419</v>
      </c>
      <c r="U231" s="84"/>
      <c r="V231" s="84"/>
      <c r="W231" s="84"/>
      <c r="X231" s="149">
        <v>25000</v>
      </c>
      <c r="Y231" s="149">
        <v>1</v>
      </c>
      <c r="Z231" s="149">
        <v>25000</v>
      </c>
      <c r="AA231" s="149" t="s">
        <v>99</v>
      </c>
      <c r="AB231" s="149" t="s">
        <v>797</v>
      </c>
      <c r="AC231" s="150">
        <v>46108</v>
      </c>
      <c r="AD231" s="84"/>
      <c r="AE231" s="149">
        <v>998216</v>
      </c>
      <c r="AF231" s="149" t="s">
        <v>977</v>
      </c>
      <c r="AG231" s="84"/>
      <c r="AH231" s="84"/>
      <c r="AI231" s="149">
        <v>25000</v>
      </c>
      <c r="AJ231" s="149" t="s">
        <v>368</v>
      </c>
      <c r="AK231" s="149">
        <v>18</v>
      </c>
      <c r="AL231" s="149">
        <v>2250</v>
      </c>
      <c r="AM231" s="149">
        <v>2250</v>
      </c>
      <c r="AN231" s="149">
        <v>0</v>
      </c>
      <c r="AO231" s="149">
        <v>0</v>
      </c>
      <c r="AP231" s="149">
        <v>0</v>
      </c>
      <c r="AQ231" s="149">
        <v>0</v>
      </c>
      <c r="AR231" s="149">
        <v>0</v>
      </c>
      <c r="AS231" s="149">
        <v>0</v>
      </c>
      <c r="AT231" s="149">
        <v>0</v>
      </c>
      <c r="AU231" s="84"/>
      <c r="AV231" s="84"/>
      <c r="AW231" s="149">
        <v>0</v>
      </c>
      <c r="AX231" s="148">
        <v>29500</v>
      </c>
      <c r="AY231" s="149" t="s">
        <v>100</v>
      </c>
      <c r="AZ231" s="149" t="s">
        <v>100</v>
      </c>
      <c r="BA231" s="149" t="s">
        <v>642</v>
      </c>
      <c r="BB231" s="149">
        <v>1125113944</v>
      </c>
      <c r="BC231" s="149" t="s">
        <v>188</v>
      </c>
      <c r="BD231" s="149" t="s">
        <v>103</v>
      </c>
      <c r="BE231" s="84"/>
      <c r="BF231" s="84" t="s">
        <v>210</v>
      </c>
      <c r="BG231" s="84" t="s">
        <v>280</v>
      </c>
      <c r="BH231" s="149" t="s">
        <v>289</v>
      </c>
      <c r="BI231" t="s">
        <v>155</v>
      </c>
      <c r="BJ231" t="s">
        <v>156</v>
      </c>
      <c r="BK231" t="s">
        <v>797</v>
      </c>
      <c r="BL231">
        <v>4500</v>
      </c>
      <c r="BM231" t="e">
        <v>#N/A</v>
      </c>
      <c r="BN231" t="e">
        <v>#N/A</v>
      </c>
      <c r="BO231" t="s">
        <v>199</v>
      </c>
      <c r="BP231">
        <v>9164021</v>
      </c>
      <c r="BQ231" t="s">
        <v>210</v>
      </c>
      <c r="BR231" t="s">
        <v>199</v>
      </c>
      <c r="BS231">
        <v>5</v>
      </c>
    </row>
    <row r="232" spans="1:71" s="0" customFormat="1" ht="14.5">
      <c r="A232" s="148" t="s">
        <v>157</v>
      </c>
      <c r="B232" s="149" t="s">
        <v>625</v>
      </c>
      <c r="C232" s="149">
        <v>107</v>
      </c>
      <c r="D232" s="149" t="s">
        <v>97</v>
      </c>
      <c r="E232" s="149" t="s">
        <v>98</v>
      </c>
      <c r="F232" s="84"/>
      <c r="G232" s="84"/>
      <c r="H232" s="149" t="s">
        <v>48</v>
      </c>
      <c r="I232" s="149" t="s">
        <v>158</v>
      </c>
      <c r="J232" s="149" t="s">
        <v>159</v>
      </c>
      <c r="K232" s="149" t="s">
        <v>163</v>
      </c>
      <c r="L232" s="149" t="s">
        <v>160</v>
      </c>
      <c r="M232" s="150">
        <v>46126</v>
      </c>
      <c r="N232" s="149" t="s">
        <v>746</v>
      </c>
      <c r="O232" s="149">
        <v>9155608</v>
      </c>
      <c r="P232" s="150">
        <v>46114</v>
      </c>
      <c r="Q232" s="149" t="s">
        <v>161</v>
      </c>
      <c r="R232" s="149">
        <v>2770</v>
      </c>
      <c r="S232" s="149" t="s">
        <v>299</v>
      </c>
      <c r="T232" s="149" t="s">
        <v>174</v>
      </c>
      <c r="U232" s="149" t="s">
        <v>175</v>
      </c>
      <c r="V232" s="148" t="s">
        <v>162</v>
      </c>
      <c r="W232" s="84"/>
      <c r="X232" s="149">
        <v>1</v>
      </c>
      <c r="Y232" s="149">
        <v>2.40</v>
      </c>
      <c r="Z232" s="149">
        <v>2.40</v>
      </c>
      <c r="AA232" s="149" t="s">
        <v>99</v>
      </c>
      <c r="AB232" s="149" t="s">
        <v>746</v>
      </c>
      <c r="AC232" s="150">
        <v>46114</v>
      </c>
      <c r="AD232" s="149" t="s">
        <v>171</v>
      </c>
      <c r="AE232" s="149">
        <v>84439952</v>
      </c>
      <c r="AF232" s="149" t="s">
        <v>978</v>
      </c>
      <c r="AG232" s="84"/>
      <c r="AH232" s="84"/>
      <c r="AI232" s="149">
        <v>2.40</v>
      </c>
      <c r="AJ232" s="149" t="s">
        <v>368</v>
      </c>
      <c r="AK232" s="149">
        <v>18</v>
      </c>
      <c r="AL232" s="149">
        <v>0.22</v>
      </c>
      <c r="AM232" s="149">
        <v>0.22</v>
      </c>
      <c r="AN232" s="149">
        <v>0</v>
      </c>
      <c r="AO232" s="149">
        <v>0</v>
      </c>
      <c r="AP232" s="149">
        <v>0</v>
      </c>
      <c r="AQ232" s="149">
        <v>0</v>
      </c>
      <c r="AR232" s="149">
        <v>0</v>
      </c>
      <c r="AS232" s="149">
        <v>0</v>
      </c>
      <c r="AT232" s="149">
        <v>0</v>
      </c>
      <c r="AU232" s="84"/>
      <c r="AV232" s="84"/>
      <c r="AW232" s="149">
        <v>0</v>
      </c>
      <c r="AX232" s="148">
        <v>2.84</v>
      </c>
      <c r="AY232" s="149" t="s">
        <v>100</v>
      </c>
      <c r="AZ232" s="149" t="s">
        <v>101</v>
      </c>
      <c r="BA232" s="149" t="s">
        <v>642</v>
      </c>
      <c r="BB232" s="149">
        <v>1126100058</v>
      </c>
      <c r="BC232" s="149" t="s">
        <v>105</v>
      </c>
      <c r="BD232" s="149" t="s">
        <v>103</v>
      </c>
      <c r="BE232" s="84"/>
      <c r="BF232" s="84" t="s">
        <v>270</v>
      </c>
      <c r="BG232" s="84" t="s">
        <v>281</v>
      </c>
      <c r="BH232" s="149" t="s">
        <v>290</v>
      </c>
      <c r="BI232" t="s">
        <v>155</v>
      </c>
      <c r="BJ232" t="s">
        <v>156</v>
      </c>
      <c r="BK232" t="s">
        <v>747</v>
      </c>
      <c r="BL232">
        <v>0.44</v>
      </c>
      <c r="BM232">
        <v>1873.72</v>
      </c>
      <c r="BN232">
        <v>-1873</v>
      </c>
      <c r="BO232" t="s">
        <v>154</v>
      </c>
      <c r="BP232">
        <v>9155608</v>
      </c>
      <c r="BQ232" t="s">
        <v>270</v>
      </c>
      <c r="BR232" t="s">
        <v>630</v>
      </c>
      <c r="BS232">
        <v>4</v>
      </c>
    </row>
    <row r="233" spans="1:71" s="0" customFormat="1" ht="14.5">
      <c r="A233" s="148" t="s">
        <v>157</v>
      </c>
      <c r="B233" s="149" t="s">
        <v>625</v>
      </c>
      <c r="C233" s="149">
        <v>107</v>
      </c>
      <c r="D233" s="149" t="s">
        <v>97</v>
      </c>
      <c r="E233" s="149" t="s">
        <v>98</v>
      </c>
      <c r="F233" s="84"/>
      <c r="G233" s="149" t="s">
        <v>106</v>
      </c>
      <c r="H233" s="149" t="s">
        <v>48</v>
      </c>
      <c r="I233" s="149" t="s">
        <v>158</v>
      </c>
      <c r="J233" s="149" t="s">
        <v>165</v>
      </c>
      <c r="K233" s="149" t="s">
        <v>166</v>
      </c>
      <c r="L233" s="149" t="s">
        <v>160</v>
      </c>
      <c r="M233" s="150">
        <v>46127</v>
      </c>
      <c r="N233" s="149" t="s">
        <v>626</v>
      </c>
      <c r="O233" s="149">
        <v>9158398</v>
      </c>
      <c r="P233" s="150">
        <v>46090</v>
      </c>
      <c r="Q233" s="149" t="s">
        <v>161</v>
      </c>
      <c r="R233" s="149">
        <v>35671</v>
      </c>
      <c r="S233" s="149" t="s">
        <v>424</v>
      </c>
      <c r="T233" s="149" t="s">
        <v>425</v>
      </c>
      <c r="U233" s="149" t="s">
        <v>426</v>
      </c>
      <c r="V233" s="148" t="s">
        <v>162</v>
      </c>
      <c r="W233" s="84"/>
      <c r="X233" s="149">
        <v>275</v>
      </c>
      <c r="Y233" s="149">
        <v>54</v>
      </c>
      <c r="Z233" s="149">
        <v>14850</v>
      </c>
      <c r="AA233" s="149" t="s">
        <v>99</v>
      </c>
      <c r="AB233" s="149" t="s">
        <v>626</v>
      </c>
      <c r="AC233" s="150">
        <v>46121</v>
      </c>
      <c r="AD233" s="149" t="s">
        <v>164</v>
      </c>
      <c r="AE233" s="149">
        <v>998729</v>
      </c>
      <c r="AF233" s="149" t="s">
        <v>979</v>
      </c>
      <c r="AG233" s="84"/>
      <c r="AH233" s="84"/>
      <c r="AI233" s="149">
        <v>14850</v>
      </c>
      <c r="AJ233" s="149" t="s">
        <v>368</v>
      </c>
      <c r="AK233" s="149">
        <v>18</v>
      </c>
      <c r="AL233" s="149">
        <v>0</v>
      </c>
      <c r="AM233" s="149">
        <v>0</v>
      </c>
      <c r="AN233" s="149">
        <v>2673</v>
      </c>
      <c r="AO233" s="149">
        <v>0</v>
      </c>
      <c r="AP233" s="149">
        <v>0</v>
      </c>
      <c r="AQ233" s="149">
        <v>0</v>
      </c>
      <c r="AR233" s="149">
        <v>0</v>
      </c>
      <c r="AS233" s="149">
        <v>0</v>
      </c>
      <c r="AT233" s="149">
        <v>0</v>
      </c>
      <c r="AU233" s="84"/>
      <c r="AV233" s="84"/>
      <c r="AW233" s="149">
        <v>0</v>
      </c>
      <c r="AX233" s="148">
        <v>17523</v>
      </c>
      <c r="AY233" s="149" t="s">
        <v>101</v>
      </c>
      <c r="AZ233" s="149" t="s">
        <v>101</v>
      </c>
      <c r="BA233" s="149" t="s">
        <v>628</v>
      </c>
      <c r="BB233" s="149">
        <v>1126100105</v>
      </c>
      <c r="BC233" s="149" t="s">
        <v>168</v>
      </c>
      <c r="BD233" s="149" t="s">
        <v>272</v>
      </c>
      <c r="BE233" s="84"/>
      <c r="BF233" s="84" t="s">
        <v>271</v>
      </c>
      <c r="BG233" s="84" t="s">
        <v>281</v>
      </c>
      <c r="BH233" s="149" t="s">
        <v>290</v>
      </c>
      <c r="BI233" t="s">
        <v>155</v>
      </c>
      <c r="BJ233" t="s">
        <v>156</v>
      </c>
      <c r="BK233" t="s">
        <v>629</v>
      </c>
      <c r="BL233">
        <v>2673</v>
      </c>
      <c r="BM233">
        <v>38182.879999999997</v>
      </c>
      <c r="BN233">
        <v>-35510</v>
      </c>
      <c r="BO233" t="s">
        <v>154</v>
      </c>
      <c r="BP233">
        <v>9158398</v>
      </c>
      <c r="BQ233" t="s">
        <v>271</v>
      </c>
      <c r="BR233" t="s">
        <v>630</v>
      </c>
      <c r="BS233">
        <v>37</v>
      </c>
    </row>
    <row r="234" spans="1:71" s="0" customFormat="1" ht="14.5">
      <c r="A234" s="148" t="s">
        <v>157</v>
      </c>
      <c r="B234" s="149" t="s">
        <v>625</v>
      </c>
      <c r="C234" s="149">
        <v>107</v>
      </c>
      <c r="D234" s="149" t="s">
        <v>97</v>
      </c>
      <c r="E234" s="149" t="s">
        <v>98</v>
      </c>
      <c r="F234" s="84"/>
      <c r="G234" s="149" t="s">
        <v>106</v>
      </c>
      <c r="H234" s="149" t="s">
        <v>48</v>
      </c>
      <c r="I234" s="149" t="s">
        <v>158</v>
      </c>
      <c r="J234" s="149" t="s">
        <v>165</v>
      </c>
      <c r="K234" s="149" t="s">
        <v>166</v>
      </c>
      <c r="L234" s="149" t="s">
        <v>160</v>
      </c>
      <c r="M234" s="150">
        <v>46140</v>
      </c>
      <c r="N234" s="149" t="s">
        <v>632</v>
      </c>
      <c r="O234" s="149">
        <v>9174963</v>
      </c>
      <c r="P234" s="150">
        <v>46129</v>
      </c>
      <c r="Q234" s="149" t="s">
        <v>161</v>
      </c>
      <c r="R234" s="149">
        <v>35671</v>
      </c>
      <c r="S234" s="149" t="s">
        <v>424</v>
      </c>
      <c r="T234" s="149" t="s">
        <v>425</v>
      </c>
      <c r="U234" s="149" t="s">
        <v>426</v>
      </c>
      <c r="V234" s="148" t="s">
        <v>162</v>
      </c>
      <c r="W234" s="84"/>
      <c r="X234" s="149">
        <v>220</v>
      </c>
      <c r="Y234" s="149">
        <v>2</v>
      </c>
      <c r="Z234" s="149">
        <v>440</v>
      </c>
      <c r="AA234" s="149" t="s">
        <v>99</v>
      </c>
      <c r="AB234" s="149" t="s">
        <v>632</v>
      </c>
      <c r="AC234" s="150">
        <v>46129</v>
      </c>
      <c r="AD234" s="149" t="s">
        <v>164</v>
      </c>
      <c r="AE234" s="149">
        <v>998729</v>
      </c>
      <c r="AF234" s="149" t="s">
        <v>952</v>
      </c>
      <c r="AG234" s="84"/>
      <c r="AH234" s="84"/>
      <c r="AI234" s="149">
        <v>440</v>
      </c>
      <c r="AJ234" s="149" t="s">
        <v>368</v>
      </c>
      <c r="AK234" s="149">
        <v>18</v>
      </c>
      <c r="AL234" s="149">
        <v>0</v>
      </c>
      <c r="AM234" s="149">
        <v>0</v>
      </c>
      <c r="AN234" s="149">
        <v>79.20</v>
      </c>
      <c r="AO234" s="149">
        <v>0</v>
      </c>
      <c r="AP234" s="149">
        <v>0</v>
      </c>
      <c r="AQ234" s="149">
        <v>0</v>
      </c>
      <c r="AR234" s="149">
        <v>0</v>
      </c>
      <c r="AS234" s="149">
        <v>0</v>
      </c>
      <c r="AT234" s="149">
        <v>0</v>
      </c>
      <c r="AU234" s="84"/>
      <c r="AV234" s="84"/>
      <c r="AW234" s="149">
        <v>0</v>
      </c>
      <c r="AX234" s="148">
        <v>519.20000000000005</v>
      </c>
      <c r="AY234" s="149" t="s">
        <v>101</v>
      </c>
      <c r="AZ234" s="149" t="s">
        <v>101</v>
      </c>
      <c r="BA234" s="149" t="s">
        <v>634</v>
      </c>
      <c r="BB234" s="149">
        <v>1126100446</v>
      </c>
      <c r="BC234" s="149" t="s">
        <v>168</v>
      </c>
      <c r="BD234" s="149" t="s">
        <v>272</v>
      </c>
      <c r="BE234" s="84"/>
      <c r="BF234" s="84" t="s">
        <v>271</v>
      </c>
      <c r="BG234" s="84" t="s">
        <v>281</v>
      </c>
      <c r="BH234" s="149" t="s">
        <v>290</v>
      </c>
      <c r="BI234" t="s">
        <v>155</v>
      </c>
      <c r="BJ234" t="s">
        <v>156</v>
      </c>
      <c r="BK234" t="s">
        <v>635</v>
      </c>
      <c r="BL234">
        <v>79.20</v>
      </c>
      <c r="BM234">
        <v>36494.74</v>
      </c>
      <c r="BN234">
        <v>-36416</v>
      </c>
      <c r="BO234" t="s">
        <v>154</v>
      </c>
      <c r="BP234">
        <v>9174963</v>
      </c>
      <c r="BQ234" t="s">
        <v>271</v>
      </c>
      <c r="BR234" t="s">
        <v>630</v>
      </c>
      <c r="BS234">
        <v>36</v>
      </c>
    </row>
    <row r="235" spans="1:71" s="0" customFormat="1" ht="14.5">
      <c r="A235" s="148" t="s">
        <v>157</v>
      </c>
      <c r="B235" s="149" t="s">
        <v>625</v>
      </c>
      <c r="C235" s="149">
        <v>107</v>
      </c>
      <c r="D235" s="149" t="s">
        <v>97</v>
      </c>
      <c r="E235" s="149" t="s">
        <v>98</v>
      </c>
      <c r="F235" s="84"/>
      <c r="G235" s="84"/>
      <c r="H235" s="149" t="s">
        <v>48</v>
      </c>
      <c r="I235" s="149" t="s">
        <v>158</v>
      </c>
      <c r="J235" s="149" t="s">
        <v>159</v>
      </c>
      <c r="K235" s="149" t="s">
        <v>163</v>
      </c>
      <c r="L235" s="149" t="s">
        <v>160</v>
      </c>
      <c r="M235" s="150">
        <v>46127</v>
      </c>
      <c r="N235" s="149">
        <v>3</v>
      </c>
      <c r="O235" s="149">
        <v>9156871</v>
      </c>
      <c r="P235" s="150">
        <v>46113</v>
      </c>
      <c r="Q235" s="149" t="s">
        <v>161</v>
      </c>
      <c r="R235" s="149">
        <v>43295</v>
      </c>
      <c r="S235" s="149" t="s">
        <v>352</v>
      </c>
      <c r="T235" s="149" t="s">
        <v>181</v>
      </c>
      <c r="U235" s="149" t="s">
        <v>353</v>
      </c>
      <c r="V235" s="148" t="s">
        <v>162</v>
      </c>
      <c r="W235" s="84"/>
      <c r="X235" s="149">
        <v>980</v>
      </c>
      <c r="Y235" s="149">
        <v>24</v>
      </c>
      <c r="Z235" s="149">
        <v>23520</v>
      </c>
      <c r="AA235" s="149" t="s">
        <v>99</v>
      </c>
      <c r="AB235" s="149">
        <v>3</v>
      </c>
      <c r="AC235" s="150">
        <v>46113</v>
      </c>
      <c r="AD235" s="149" t="s">
        <v>164</v>
      </c>
      <c r="AE235" s="149">
        <v>9021030</v>
      </c>
      <c r="AF235" s="149" t="s">
        <v>373</v>
      </c>
      <c r="AG235" s="84"/>
      <c r="AH235" s="84"/>
      <c r="AI235" s="149">
        <v>23520</v>
      </c>
      <c r="AJ235" s="149" t="s">
        <v>368</v>
      </c>
      <c r="AK235" s="149">
        <v>5</v>
      </c>
      <c r="AL235" s="149">
        <v>588</v>
      </c>
      <c r="AM235" s="149">
        <v>588</v>
      </c>
      <c r="AN235" s="149">
        <v>0</v>
      </c>
      <c r="AO235" s="149">
        <v>0</v>
      </c>
      <c r="AP235" s="149">
        <v>0</v>
      </c>
      <c r="AQ235" s="149">
        <v>0</v>
      </c>
      <c r="AR235" s="149">
        <v>0</v>
      </c>
      <c r="AS235" s="149">
        <v>0</v>
      </c>
      <c r="AT235" s="149">
        <v>0</v>
      </c>
      <c r="AU235" s="84"/>
      <c r="AV235" s="84"/>
      <c r="AW235" s="149">
        <v>0</v>
      </c>
      <c r="AX235" s="148">
        <v>24696</v>
      </c>
      <c r="AY235" s="149" t="s">
        <v>101</v>
      </c>
      <c r="AZ235" s="149" t="s">
        <v>101</v>
      </c>
      <c r="BA235" s="149" t="s">
        <v>167</v>
      </c>
      <c r="BB235" s="149">
        <v>1126100101</v>
      </c>
      <c r="BC235" s="149" t="s">
        <v>273</v>
      </c>
      <c r="BD235" s="149" t="s">
        <v>104</v>
      </c>
      <c r="BE235" s="84"/>
      <c r="BF235" s="84" t="s">
        <v>271</v>
      </c>
      <c r="BG235" s="84" t="s">
        <v>281</v>
      </c>
      <c r="BH235" s="149" t="s">
        <v>289</v>
      </c>
      <c r="BI235" t="s">
        <v>155</v>
      </c>
      <c r="BJ235" t="s">
        <v>156</v>
      </c>
      <c r="BK235" t="s">
        <v>928</v>
      </c>
      <c r="BL235">
        <v>1176</v>
      </c>
      <c r="BM235">
        <v>1647</v>
      </c>
      <c r="BN235">
        <v>-471</v>
      </c>
      <c r="BO235" t="s">
        <v>154</v>
      </c>
      <c r="BP235">
        <v>9156871</v>
      </c>
      <c r="BQ235" t="s">
        <v>271</v>
      </c>
      <c r="BR235" t="s">
        <v>630</v>
      </c>
      <c r="BS235">
        <v>3</v>
      </c>
    </row>
    <row r="236" spans="1:71" s="0" customFormat="1" ht="14.5">
      <c r="A236" s="148" t="s">
        <v>157</v>
      </c>
      <c r="B236" s="149" t="s">
        <v>625</v>
      </c>
      <c r="C236" s="149">
        <v>107</v>
      </c>
      <c r="D236" s="149" t="s">
        <v>97</v>
      </c>
      <c r="E236" s="149" t="s">
        <v>98</v>
      </c>
      <c r="F236" s="84"/>
      <c r="G236" s="149" t="s">
        <v>106</v>
      </c>
      <c r="H236" s="149" t="s">
        <v>48</v>
      </c>
      <c r="I236" s="149" t="s">
        <v>158</v>
      </c>
      <c r="J236" s="149" t="s">
        <v>165</v>
      </c>
      <c r="K236" s="149" t="s">
        <v>166</v>
      </c>
      <c r="L236" s="149" t="s">
        <v>160</v>
      </c>
      <c r="M236" s="150">
        <v>46127</v>
      </c>
      <c r="N236" s="149" t="s">
        <v>626</v>
      </c>
      <c r="O236" s="149">
        <v>9158398</v>
      </c>
      <c r="P236" s="150">
        <v>46090</v>
      </c>
      <c r="Q236" s="149" t="s">
        <v>161</v>
      </c>
      <c r="R236" s="149">
        <v>35671</v>
      </c>
      <c r="S236" s="149" t="s">
        <v>424</v>
      </c>
      <c r="T236" s="149" t="s">
        <v>425</v>
      </c>
      <c r="U236" s="149" t="s">
        <v>426</v>
      </c>
      <c r="V236" s="148" t="s">
        <v>162</v>
      </c>
      <c r="W236" s="84"/>
      <c r="X236" s="149">
        <v>275</v>
      </c>
      <c r="Y236" s="149">
        <v>12</v>
      </c>
      <c r="Z236" s="149">
        <v>3300</v>
      </c>
      <c r="AA236" s="149" t="s">
        <v>99</v>
      </c>
      <c r="AB236" s="149" t="s">
        <v>626</v>
      </c>
      <c r="AC236" s="150">
        <v>46121</v>
      </c>
      <c r="AD236" s="149" t="s">
        <v>164</v>
      </c>
      <c r="AE236" s="149">
        <v>998729</v>
      </c>
      <c r="AF236" s="149" t="s">
        <v>980</v>
      </c>
      <c r="AG236" s="84"/>
      <c r="AH236" s="84"/>
      <c r="AI236" s="149">
        <v>3300</v>
      </c>
      <c r="AJ236" s="149" t="s">
        <v>368</v>
      </c>
      <c r="AK236" s="149">
        <v>18</v>
      </c>
      <c r="AL236" s="149">
        <v>0</v>
      </c>
      <c r="AM236" s="149">
        <v>0</v>
      </c>
      <c r="AN236" s="149">
        <v>594</v>
      </c>
      <c r="AO236" s="149">
        <v>0</v>
      </c>
      <c r="AP236" s="149">
        <v>0</v>
      </c>
      <c r="AQ236" s="149">
        <v>0</v>
      </c>
      <c r="AR236" s="149">
        <v>0</v>
      </c>
      <c r="AS236" s="149">
        <v>0</v>
      </c>
      <c r="AT236" s="149">
        <v>0</v>
      </c>
      <c r="AU236" s="84"/>
      <c r="AV236" s="84"/>
      <c r="AW236" s="149">
        <v>0</v>
      </c>
      <c r="AX236" s="148">
        <v>3894</v>
      </c>
      <c r="AY236" s="149" t="s">
        <v>101</v>
      </c>
      <c r="AZ236" s="149" t="s">
        <v>101</v>
      </c>
      <c r="BA236" s="149" t="s">
        <v>628</v>
      </c>
      <c r="BB236" s="149">
        <v>1126100105</v>
      </c>
      <c r="BC236" s="149" t="s">
        <v>168</v>
      </c>
      <c r="BD236" s="149" t="s">
        <v>272</v>
      </c>
      <c r="BE236" s="84"/>
      <c r="BF236" s="84" t="s">
        <v>271</v>
      </c>
      <c r="BG236" s="84" t="s">
        <v>281</v>
      </c>
      <c r="BH236" s="149" t="s">
        <v>290</v>
      </c>
      <c r="BI236" t="s">
        <v>155</v>
      </c>
      <c r="BJ236" t="s">
        <v>156</v>
      </c>
      <c r="BK236" t="s">
        <v>629</v>
      </c>
      <c r="BL236">
        <v>594</v>
      </c>
      <c r="BM236">
        <v>38182.879999999997</v>
      </c>
      <c r="BN236">
        <v>-37589</v>
      </c>
      <c r="BO236" t="s">
        <v>154</v>
      </c>
      <c r="BP236">
        <v>9158398</v>
      </c>
      <c r="BQ236" t="s">
        <v>271</v>
      </c>
      <c r="BR236" t="s">
        <v>630</v>
      </c>
      <c r="BS236">
        <v>37</v>
      </c>
    </row>
    <row r="237" spans="1:71" s="0" customFormat="1" ht="14.5">
      <c r="A237" s="148" t="s">
        <v>157</v>
      </c>
      <c r="B237" s="149" t="s">
        <v>625</v>
      </c>
      <c r="C237" s="149">
        <v>107</v>
      </c>
      <c r="D237" s="149" t="s">
        <v>97</v>
      </c>
      <c r="E237" s="149" t="s">
        <v>98</v>
      </c>
      <c r="F237" s="84"/>
      <c r="G237" s="149" t="s">
        <v>106</v>
      </c>
      <c r="H237" s="149" t="s">
        <v>48</v>
      </c>
      <c r="I237" s="149" t="s">
        <v>158</v>
      </c>
      <c r="J237" s="149" t="s">
        <v>165</v>
      </c>
      <c r="K237" s="149" t="s">
        <v>166</v>
      </c>
      <c r="L237" s="149" t="s">
        <v>160</v>
      </c>
      <c r="M237" s="150">
        <v>46127</v>
      </c>
      <c r="N237" s="149" t="s">
        <v>626</v>
      </c>
      <c r="O237" s="149">
        <v>9158398</v>
      </c>
      <c r="P237" s="150">
        <v>46090</v>
      </c>
      <c r="Q237" s="149" t="s">
        <v>161</v>
      </c>
      <c r="R237" s="149">
        <v>35671</v>
      </c>
      <c r="S237" s="149" t="s">
        <v>424</v>
      </c>
      <c r="T237" s="149" t="s">
        <v>425</v>
      </c>
      <c r="U237" s="149" t="s">
        <v>426</v>
      </c>
      <c r="V237" s="148" t="s">
        <v>162</v>
      </c>
      <c r="W237" s="84"/>
      <c r="X237" s="149">
        <v>275</v>
      </c>
      <c r="Y237" s="149">
        <v>30</v>
      </c>
      <c r="Z237" s="149">
        <v>8250</v>
      </c>
      <c r="AA237" s="149" t="s">
        <v>99</v>
      </c>
      <c r="AB237" s="149" t="s">
        <v>626</v>
      </c>
      <c r="AC237" s="150">
        <v>46121</v>
      </c>
      <c r="AD237" s="149" t="s">
        <v>164</v>
      </c>
      <c r="AE237" s="149">
        <v>998729</v>
      </c>
      <c r="AF237" s="149" t="s">
        <v>677</v>
      </c>
      <c r="AG237" s="84"/>
      <c r="AH237" s="84"/>
      <c r="AI237" s="149">
        <v>8250</v>
      </c>
      <c r="AJ237" s="149" t="s">
        <v>368</v>
      </c>
      <c r="AK237" s="149">
        <v>18</v>
      </c>
      <c r="AL237" s="149">
        <v>0</v>
      </c>
      <c r="AM237" s="149">
        <v>0</v>
      </c>
      <c r="AN237" s="149">
        <v>1485</v>
      </c>
      <c r="AO237" s="149">
        <v>0</v>
      </c>
      <c r="AP237" s="149">
        <v>0</v>
      </c>
      <c r="AQ237" s="149">
        <v>0</v>
      </c>
      <c r="AR237" s="149">
        <v>0</v>
      </c>
      <c r="AS237" s="149">
        <v>0</v>
      </c>
      <c r="AT237" s="149">
        <v>0</v>
      </c>
      <c r="AU237" s="84"/>
      <c r="AV237" s="84"/>
      <c r="AW237" s="149">
        <v>0</v>
      </c>
      <c r="AX237" s="148">
        <v>9735</v>
      </c>
      <c r="AY237" s="149" t="s">
        <v>101</v>
      </c>
      <c r="AZ237" s="149" t="s">
        <v>101</v>
      </c>
      <c r="BA237" s="149" t="s">
        <v>628</v>
      </c>
      <c r="BB237" s="149">
        <v>1126100105</v>
      </c>
      <c r="BC237" s="149" t="s">
        <v>168</v>
      </c>
      <c r="BD237" s="149" t="s">
        <v>272</v>
      </c>
      <c r="BE237" s="84"/>
      <c r="BF237" s="84" t="s">
        <v>271</v>
      </c>
      <c r="BG237" s="84" t="s">
        <v>281</v>
      </c>
      <c r="BH237" s="149" t="s">
        <v>290</v>
      </c>
      <c r="BI237" t="s">
        <v>155</v>
      </c>
      <c r="BJ237" t="s">
        <v>156</v>
      </c>
      <c r="BK237" t="s">
        <v>629</v>
      </c>
      <c r="BL237">
        <v>1485</v>
      </c>
      <c r="BM237">
        <v>38182.879999999997</v>
      </c>
      <c r="BN237">
        <v>-36698</v>
      </c>
      <c r="BO237" t="s">
        <v>154</v>
      </c>
      <c r="BP237">
        <v>9158398</v>
      </c>
      <c r="BQ237" t="s">
        <v>271</v>
      </c>
      <c r="BR237" t="s">
        <v>630</v>
      </c>
      <c r="BS237">
        <v>37</v>
      </c>
    </row>
    <row r="238" spans="1:71" s="0" customFormat="1" ht="14.5">
      <c r="A238" s="148" t="s">
        <v>157</v>
      </c>
      <c r="B238" s="149" t="s">
        <v>625</v>
      </c>
      <c r="C238" s="149">
        <v>107</v>
      </c>
      <c r="D238" s="149" t="s">
        <v>97</v>
      </c>
      <c r="E238" s="149" t="s">
        <v>98</v>
      </c>
      <c r="F238" s="84"/>
      <c r="G238" s="149" t="s">
        <v>106</v>
      </c>
      <c r="H238" s="149" t="s">
        <v>48</v>
      </c>
      <c r="I238" s="149" t="s">
        <v>158</v>
      </c>
      <c r="J238" s="149" t="s">
        <v>165</v>
      </c>
      <c r="K238" s="149" t="s">
        <v>166</v>
      </c>
      <c r="L238" s="149" t="s">
        <v>160</v>
      </c>
      <c r="M238" s="150">
        <v>46140</v>
      </c>
      <c r="N238" s="149" t="s">
        <v>632</v>
      </c>
      <c r="O238" s="149">
        <v>9174963</v>
      </c>
      <c r="P238" s="150">
        <v>46129</v>
      </c>
      <c r="Q238" s="149" t="s">
        <v>161</v>
      </c>
      <c r="R238" s="149">
        <v>35671</v>
      </c>
      <c r="S238" s="149" t="s">
        <v>424</v>
      </c>
      <c r="T238" s="149" t="s">
        <v>425</v>
      </c>
      <c r="U238" s="149" t="s">
        <v>426</v>
      </c>
      <c r="V238" s="148" t="s">
        <v>162</v>
      </c>
      <c r="W238" s="84"/>
      <c r="X238" s="149">
        <v>275</v>
      </c>
      <c r="Y238" s="149">
        <v>24</v>
      </c>
      <c r="Z238" s="149">
        <v>6600</v>
      </c>
      <c r="AA238" s="149" t="s">
        <v>99</v>
      </c>
      <c r="AB238" s="149" t="s">
        <v>632</v>
      </c>
      <c r="AC238" s="150">
        <v>46129</v>
      </c>
      <c r="AD238" s="149" t="s">
        <v>164</v>
      </c>
      <c r="AE238" s="149">
        <v>996200</v>
      </c>
      <c r="AF238" s="149" t="s">
        <v>627</v>
      </c>
      <c r="AG238" s="84"/>
      <c r="AH238" s="84"/>
      <c r="AI238" s="149">
        <v>6600</v>
      </c>
      <c r="AJ238" s="149" t="s">
        <v>368</v>
      </c>
      <c r="AK238" s="149">
        <v>18</v>
      </c>
      <c r="AL238" s="149">
        <v>0</v>
      </c>
      <c r="AM238" s="149">
        <v>0</v>
      </c>
      <c r="AN238" s="149">
        <v>1188</v>
      </c>
      <c r="AO238" s="149">
        <v>0</v>
      </c>
      <c r="AP238" s="149">
        <v>0</v>
      </c>
      <c r="AQ238" s="149">
        <v>0</v>
      </c>
      <c r="AR238" s="149">
        <v>0</v>
      </c>
      <c r="AS238" s="149">
        <v>0</v>
      </c>
      <c r="AT238" s="149">
        <v>0</v>
      </c>
      <c r="AU238" s="84"/>
      <c r="AV238" s="84"/>
      <c r="AW238" s="149">
        <v>0</v>
      </c>
      <c r="AX238" s="148">
        <v>7788</v>
      </c>
      <c r="AY238" s="149" t="s">
        <v>101</v>
      </c>
      <c r="AZ238" s="149" t="s">
        <v>101</v>
      </c>
      <c r="BA238" s="149" t="s">
        <v>634</v>
      </c>
      <c r="BB238" s="149">
        <v>1126100446</v>
      </c>
      <c r="BC238" s="149" t="s">
        <v>168</v>
      </c>
      <c r="BD238" s="149" t="s">
        <v>272</v>
      </c>
      <c r="BE238" s="84"/>
      <c r="BF238" s="84" t="s">
        <v>271</v>
      </c>
      <c r="BG238" s="84" t="s">
        <v>281</v>
      </c>
      <c r="BH238" s="149" t="s">
        <v>290</v>
      </c>
      <c r="BI238" t="s">
        <v>155</v>
      </c>
      <c r="BJ238" t="s">
        <v>156</v>
      </c>
      <c r="BK238" t="s">
        <v>635</v>
      </c>
      <c r="BL238">
        <v>1188</v>
      </c>
      <c r="BM238">
        <v>36494.74</v>
      </c>
      <c r="BN238">
        <v>-35307</v>
      </c>
      <c r="BO238" t="s">
        <v>154</v>
      </c>
      <c r="BP238">
        <v>9174963</v>
      </c>
      <c r="BQ238" t="s">
        <v>271</v>
      </c>
      <c r="BR238" t="s">
        <v>630</v>
      </c>
      <c r="BS238">
        <v>36</v>
      </c>
    </row>
    <row r="239" spans="1:71" s="0" customFormat="1" ht="14.5">
      <c r="A239" s="148" t="s">
        <v>157</v>
      </c>
      <c r="B239" s="149" t="s">
        <v>625</v>
      </c>
      <c r="C239" s="149">
        <v>107</v>
      </c>
      <c r="D239" s="149" t="s">
        <v>97</v>
      </c>
      <c r="E239" s="149" t="s">
        <v>98</v>
      </c>
      <c r="F239" s="84"/>
      <c r="G239" s="149" t="s">
        <v>106</v>
      </c>
      <c r="H239" s="149" t="s">
        <v>48</v>
      </c>
      <c r="I239" s="149" t="s">
        <v>158</v>
      </c>
      <c r="J239" s="149" t="s">
        <v>165</v>
      </c>
      <c r="K239" s="149" t="s">
        <v>166</v>
      </c>
      <c r="L239" s="149" t="s">
        <v>160</v>
      </c>
      <c r="M239" s="150">
        <v>46127</v>
      </c>
      <c r="N239" s="149" t="s">
        <v>636</v>
      </c>
      <c r="O239" s="149">
        <v>9156749</v>
      </c>
      <c r="P239" s="150">
        <v>46115</v>
      </c>
      <c r="Q239" s="149" t="s">
        <v>161</v>
      </c>
      <c r="R239" s="149">
        <v>6262</v>
      </c>
      <c r="S239" s="149" t="s">
        <v>183</v>
      </c>
      <c r="T239" s="149" t="s">
        <v>182</v>
      </c>
      <c r="U239" s="149" t="s">
        <v>184</v>
      </c>
      <c r="V239" s="148" t="s">
        <v>162</v>
      </c>
      <c r="W239" s="84"/>
      <c r="X239" s="149">
        <v>1</v>
      </c>
      <c r="Y239" s="149">
        <v>2793</v>
      </c>
      <c r="Z239" s="149">
        <v>2793</v>
      </c>
      <c r="AA239" s="149" t="s">
        <v>99</v>
      </c>
      <c r="AB239" s="149" t="s">
        <v>637</v>
      </c>
      <c r="AC239" s="150">
        <v>46115</v>
      </c>
      <c r="AD239" s="149" t="s">
        <v>171</v>
      </c>
      <c r="AE239" s="149">
        <v>998413</v>
      </c>
      <c r="AF239" s="149" t="s">
        <v>638</v>
      </c>
      <c r="AG239" s="84"/>
      <c r="AH239" s="84"/>
      <c r="AI239" s="149">
        <v>2793</v>
      </c>
      <c r="AJ239" s="149" t="s">
        <v>368</v>
      </c>
      <c r="AK239" s="149">
        <v>18</v>
      </c>
      <c r="AL239" s="149">
        <v>251.37</v>
      </c>
      <c r="AM239" s="149">
        <v>251.37</v>
      </c>
      <c r="AN239" s="149">
        <v>0</v>
      </c>
      <c r="AO239" s="149">
        <v>0</v>
      </c>
      <c r="AP239" s="149">
        <v>0</v>
      </c>
      <c r="AQ239" s="149">
        <v>0</v>
      </c>
      <c r="AR239" s="149">
        <v>0</v>
      </c>
      <c r="AS239" s="149">
        <v>0</v>
      </c>
      <c r="AT239" s="149">
        <v>0</v>
      </c>
      <c r="AU239" s="84"/>
      <c r="AV239" s="84"/>
      <c r="AW239" s="149">
        <v>0</v>
      </c>
      <c r="AX239" s="148">
        <v>3295.74</v>
      </c>
      <c r="AY239" s="149" t="s">
        <v>100</v>
      </c>
      <c r="AZ239" s="149" t="s">
        <v>101</v>
      </c>
      <c r="BA239" s="149" t="s">
        <v>311</v>
      </c>
      <c r="BB239" s="149">
        <v>1126100078</v>
      </c>
      <c r="BC239" s="149" t="s">
        <v>105</v>
      </c>
      <c r="BD239" s="149" t="s">
        <v>103</v>
      </c>
      <c r="BE239" s="84"/>
      <c r="BF239" s="84" t="s">
        <v>270</v>
      </c>
      <c r="BG239" s="84" t="s">
        <v>281</v>
      </c>
      <c r="BH239" s="149" t="s">
        <v>290</v>
      </c>
      <c r="BI239" t="s">
        <v>155</v>
      </c>
      <c r="BJ239" t="s">
        <v>156</v>
      </c>
      <c r="BK239" t="s">
        <v>639</v>
      </c>
      <c r="BL239">
        <v>502.74</v>
      </c>
      <c r="BM239">
        <v>8534.42</v>
      </c>
      <c r="BN239">
        <v>-8032</v>
      </c>
      <c r="BO239" t="s">
        <v>154</v>
      </c>
      <c r="BP239">
        <v>9156749</v>
      </c>
      <c r="BQ239" t="s">
        <v>270</v>
      </c>
      <c r="BR239" t="s">
        <v>630</v>
      </c>
      <c r="BS239">
        <v>17</v>
      </c>
    </row>
    <row r="240" spans="1:71" s="0" customFormat="1" ht="14.5">
      <c r="A240" s="148" t="s">
        <v>157</v>
      </c>
      <c r="B240" s="149" t="s">
        <v>625</v>
      </c>
      <c r="C240" s="149">
        <v>107</v>
      </c>
      <c r="D240" s="149" t="s">
        <v>97</v>
      </c>
      <c r="E240" s="149" t="s">
        <v>98</v>
      </c>
      <c r="F240" s="84"/>
      <c r="G240" s="84"/>
      <c r="H240" s="149" t="s">
        <v>48</v>
      </c>
      <c r="I240" s="149" t="s">
        <v>158</v>
      </c>
      <c r="J240" s="149" t="s">
        <v>159</v>
      </c>
      <c r="K240" s="149" t="s">
        <v>163</v>
      </c>
      <c r="L240" s="149" t="s">
        <v>160</v>
      </c>
      <c r="M240" s="150">
        <v>46136</v>
      </c>
      <c r="N240" s="149">
        <v>7026000049</v>
      </c>
      <c r="O240" s="149">
        <v>9168297</v>
      </c>
      <c r="P240" s="150">
        <v>46128</v>
      </c>
      <c r="Q240" s="149" t="s">
        <v>161</v>
      </c>
      <c r="R240" s="149">
        <v>14809</v>
      </c>
      <c r="S240" s="149" t="s">
        <v>822</v>
      </c>
      <c r="T240" s="149" t="s">
        <v>169</v>
      </c>
      <c r="U240" s="149" t="s">
        <v>823</v>
      </c>
      <c r="V240" s="148" t="s">
        <v>162</v>
      </c>
      <c r="W240" s="84"/>
      <c r="X240" s="149">
        <v>6500</v>
      </c>
      <c r="Y240" s="149">
        <v>1</v>
      </c>
      <c r="Z240" s="149">
        <v>6500</v>
      </c>
      <c r="AA240" s="149" t="s">
        <v>99</v>
      </c>
      <c r="AB240" s="149">
        <v>7026000049</v>
      </c>
      <c r="AC240" s="150">
        <v>46128</v>
      </c>
      <c r="AD240" s="149" t="s">
        <v>164</v>
      </c>
      <c r="AE240" s="149">
        <v>998717</v>
      </c>
      <c r="AF240" s="149" t="s">
        <v>929</v>
      </c>
      <c r="AG240" s="84"/>
      <c r="AH240" s="84"/>
      <c r="AI240" s="149">
        <v>6500</v>
      </c>
      <c r="AJ240" s="149" t="s">
        <v>368</v>
      </c>
      <c r="AK240" s="149">
        <v>18</v>
      </c>
      <c r="AL240" s="149">
        <v>585</v>
      </c>
      <c r="AM240" s="149">
        <v>585</v>
      </c>
      <c r="AN240" s="149">
        <v>0</v>
      </c>
      <c r="AO240" s="149">
        <v>0</v>
      </c>
      <c r="AP240" s="149">
        <v>0</v>
      </c>
      <c r="AQ240" s="149">
        <v>0</v>
      </c>
      <c r="AR240" s="149">
        <v>0</v>
      </c>
      <c r="AS240" s="149">
        <v>0</v>
      </c>
      <c r="AT240" s="149">
        <v>0</v>
      </c>
      <c r="AU240" s="84"/>
      <c r="AV240" s="84"/>
      <c r="AW240" s="149">
        <v>0</v>
      </c>
      <c r="AX240" s="148">
        <v>7670</v>
      </c>
      <c r="AY240" s="149" t="s">
        <v>100</v>
      </c>
      <c r="AZ240" s="149" t="s">
        <v>101</v>
      </c>
      <c r="BA240" s="149" t="s">
        <v>276</v>
      </c>
      <c r="BB240" s="149">
        <v>1126100390</v>
      </c>
      <c r="BC240" s="149" t="s">
        <v>105</v>
      </c>
      <c r="BD240" s="149" t="s">
        <v>103</v>
      </c>
      <c r="BE240" s="84"/>
      <c r="BF240" s="84" t="s">
        <v>270</v>
      </c>
      <c r="BG240" s="84" t="s">
        <v>281</v>
      </c>
      <c r="BH240" s="149" t="s">
        <v>290</v>
      </c>
      <c r="BI240" t="s">
        <v>155</v>
      </c>
      <c r="BJ240" t="s">
        <v>156</v>
      </c>
      <c r="BK240" t="s">
        <v>825</v>
      </c>
      <c r="BL240">
        <v>1170</v>
      </c>
      <c r="BM240">
        <v>28440</v>
      </c>
      <c r="BN240">
        <v>-27270</v>
      </c>
      <c r="BO240" t="s">
        <v>154</v>
      </c>
      <c r="BP240">
        <v>9168297</v>
      </c>
      <c r="BQ240" t="s">
        <v>270</v>
      </c>
      <c r="BR240" t="s">
        <v>630</v>
      </c>
      <c r="BS240">
        <v>3</v>
      </c>
    </row>
    <row r="241" spans="1:71" s="0" customFormat="1" ht="14.5">
      <c r="A241" s="148" t="s">
        <v>157</v>
      </c>
      <c r="B241" s="149" t="s">
        <v>625</v>
      </c>
      <c r="C241" s="149">
        <v>107</v>
      </c>
      <c r="D241" s="149" t="s">
        <v>97</v>
      </c>
      <c r="E241" s="149" t="s">
        <v>98</v>
      </c>
      <c r="F241" s="84"/>
      <c r="G241" s="84"/>
      <c r="H241" s="149" t="s">
        <v>48</v>
      </c>
      <c r="I241" s="149" t="s">
        <v>158</v>
      </c>
      <c r="J241" s="149" t="s">
        <v>159</v>
      </c>
      <c r="K241" s="149" t="s">
        <v>163</v>
      </c>
      <c r="L241" s="149" t="s">
        <v>160</v>
      </c>
      <c r="M241" s="150">
        <v>46126</v>
      </c>
      <c r="N241" s="149" t="s">
        <v>857</v>
      </c>
      <c r="O241" s="149">
        <v>9155619</v>
      </c>
      <c r="P241" s="150">
        <v>46114</v>
      </c>
      <c r="Q241" s="149" t="s">
        <v>161</v>
      </c>
      <c r="R241" s="149">
        <v>2770</v>
      </c>
      <c r="S241" s="149" t="s">
        <v>299</v>
      </c>
      <c r="T241" s="149" t="s">
        <v>174</v>
      </c>
      <c r="U241" s="149" t="s">
        <v>175</v>
      </c>
      <c r="V241" s="148" t="s">
        <v>162</v>
      </c>
      <c r="W241" s="84"/>
      <c r="X241" s="149">
        <v>1</v>
      </c>
      <c r="Y241" s="149">
        <v>2837.25</v>
      </c>
      <c r="Z241" s="149">
        <v>2837.25</v>
      </c>
      <c r="AA241" s="149" t="s">
        <v>99</v>
      </c>
      <c r="AB241" s="149" t="s">
        <v>857</v>
      </c>
      <c r="AC241" s="150">
        <v>46114</v>
      </c>
      <c r="AD241" s="149" t="s">
        <v>171</v>
      </c>
      <c r="AE241" s="149">
        <v>998712</v>
      </c>
      <c r="AF241" s="149" t="s">
        <v>413</v>
      </c>
      <c r="AG241" s="84"/>
      <c r="AH241" s="84"/>
      <c r="AI241" s="149">
        <v>2837.25</v>
      </c>
      <c r="AJ241" s="149" t="s">
        <v>368</v>
      </c>
      <c r="AK241" s="149">
        <v>18</v>
      </c>
      <c r="AL241" s="149">
        <v>255.35</v>
      </c>
      <c r="AM241" s="149">
        <v>255.35</v>
      </c>
      <c r="AN241" s="149">
        <v>0</v>
      </c>
      <c r="AO241" s="149">
        <v>0</v>
      </c>
      <c r="AP241" s="149">
        <v>0</v>
      </c>
      <c r="AQ241" s="149">
        <v>0</v>
      </c>
      <c r="AR241" s="149">
        <v>0</v>
      </c>
      <c r="AS241" s="149">
        <v>0</v>
      </c>
      <c r="AT241" s="149">
        <v>0</v>
      </c>
      <c r="AU241" s="84"/>
      <c r="AV241" s="84"/>
      <c r="AW241" s="149">
        <v>0</v>
      </c>
      <c r="AX241" s="148">
        <v>3347.95</v>
      </c>
      <c r="AY241" s="149" t="s">
        <v>100</v>
      </c>
      <c r="AZ241" s="149" t="s">
        <v>101</v>
      </c>
      <c r="BA241" s="149" t="s">
        <v>642</v>
      </c>
      <c r="BB241" s="149">
        <v>1126100069</v>
      </c>
      <c r="BC241" s="149" t="s">
        <v>105</v>
      </c>
      <c r="BD241" s="149" t="s">
        <v>103</v>
      </c>
      <c r="BE241" s="84"/>
      <c r="BF241" s="84" t="s">
        <v>270</v>
      </c>
      <c r="BG241" s="84" t="s">
        <v>281</v>
      </c>
      <c r="BH241" s="149" t="s">
        <v>290</v>
      </c>
      <c r="BI241" t="s">
        <v>155</v>
      </c>
      <c r="BJ241" t="s">
        <v>156</v>
      </c>
      <c r="BK241" t="s">
        <v>859</v>
      </c>
      <c r="BL241">
        <v>510.70</v>
      </c>
      <c r="BM241">
        <v>5341.12</v>
      </c>
      <c r="BN241">
        <v>-4830</v>
      </c>
      <c r="BO241" t="s">
        <v>154</v>
      </c>
      <c r="BP241">
        <v>9155619</v>
      </c>
      <c r="BQ241" t="s">
        <v>270</v>
      </c>
      <c r="BR241" t="s">
        <v>630</v>
      </c>
      <c r="BS241">
        <v>4</v>
      </c>
    </row>
    <row r="242" spans="1:71" s="0" customFormat="1" ht="14.5">
      <c r="A242" s="148" t="s">
        <v>157</v>
      </c>
      <c r="B242" s="149" t="s">
        <v>625</v>
      </c>
      <c r="C242" s="149">
        <v>107</v>
      </c>
      <c r="D242" s="149" t="s">
        <v>97</v>
      </c>
      <c r="E242" s="149" t="s">
        <v>98</v>
      </c>
      <c r="F242" s="84"/>
      <c r="G242" s="84"/>
      <c r="H242" s="149" t="s">
        <v>48</v>
      </c>
      <c r="I242" s="149" t="s">
        <v>158</v>
      </c>
      <c r="J242" s="149" t="s">
        <v>159</v>
      </c>
      <c r="K242" s="149" t="s">
        <v>163</v>
      </c>
      <c r="L242" s="149" t="s">
        <v>160</v>
      </c>
      <c r="M242" s="150">
        <v>46126</v>
      </c>
      <c r="N242" s="149" t="s">
        <v>724</v>
      </c>
      <c r="O242" s="149">
        <v>9155607</v>
      </c>
      <c r="P242" s="150">
        <v>46114</v>
      </c>
      <c r="Q242" s="149" t="s">
        <v>161</v>
      </c>
      <c r="R242" s="149">
        <v>2770</v>
      </c>
      <c r="S242" s="149" t="s">
        <v>299</v>
      </c>
      <c r="T242" s="149" t="s">
        <v>174</v>
      </c>
      <c r="U242" s="149" t="s">
        <v>175</v>
      </c>
      <c r="V242" s="148" t="s">
        <v>162</v>
      </c>
      <c r="W242" s="84"/>
      <c r="X242" s="149">
        <v>1</v>
      </c>
      <c r="Y242" s="149">
        <v>35</v>
      </c>
      <c r="Z242" s="149">
        <v>35</v>
      </c>
      <c r="AA242" s="149" t="s">
        <v>99</v>
      </c>
      <c r="AB242" s="149" t="s">
        <v>724</v>
      </c>
      <c r="AC242" s="150">
        <v>46114</v>
      </c>
      <c r="AD242" s="149" t="s">
        <v>171</v>
      </c>
      <c r="AE242" s="149">
        <v>84439952</v>
      </c>
      <c r="AF242" s="149" t="s">
        <v>981</v>
      </c>
      <c r="AG242" s="84"/>
      <c r="AH242" s="84"/>
      <c r="AI242" s="149">
        <v>35</v>
      </c>
      <c r="AJ242" s="149" t="s">
        <v>368</v>
      </c>
      <c r="AK242" s="149">
        <v>18</v>
      </c>
      <c r="AL242" s="149">
        <v>3.15</v>
      </c>
      <c r="AM242" s="149">
        <v>3.15</v>
      </c>
      <c r="AN242" s="149">
        <v>0</v>
      </c>
      <c r="AO242" s="149">
        <v>0</v>
      </c>
      <c r="AP242" s="149">
        <v>0</v>
      </c>
      <c r="AQ242" s="149">
        <v>0</v>
      </c>
      <c r="AR242" s="149">
        <v>0</v>
      </c>
      <c r="AS242" s="149">
        <v>0</v>
      </c>
      <c r="AT242" s="149">
        <v>0</v>
      </c>
      <c r="AU242" s="84"/>
      <c r="AV242" s="84"/>
      <c r="AW242" s="149">
        <v>0</v>
      </c>
      <c r="AX242" s="148">
        <v>41.30</v>
      </c>
      <c r="AY242" s="149" t="s">
        <v>100</v>
      </c>
      <c r="AZ242" s="149" t="s">
        <v>101</v>
      </c>
      <c r="BA242" s="149" t="s">
        <v>642</v>
      </c>
      <c r="BB242" s="149">
        <v>1126100057</v>
      </c>
      <c r="BC242" s="149" t="s">
        <v>105</v>
      </c>
      <c r="BD242" s="149" t="s">
        <v>103</v>
      </c>
      <c r="BE242" s="84"/>
      <c r="BF242" s="84" t="s">
        <v>270</v>
      </c>
      <c r="BG242" s="84" t="s">
        <v>281</v>
      </c>
      <c r="BH242" s="149" t="s">
        <v>290</v>
      </c>
      <c r="BI242" t="s">
        <v>155</v>
      </c>
      <c r="BJ242" t="s">
        <v>156</v>
      </c>
      <c r="BK242" t="s">
        <v>726</v>
      </c>
      <c r="BL242">
        <v>6.30</v>
      </c>
      <c r="BM242">
        <v>2568.60</v>
      </c>
      <c r="BN242">
        <v>-2562</v>
      </c>
      <c r="BO242" t="s">
        <v>154</v>
      </c>
      <c r="BP242">
        <v>9155607</v>
      </c>
      <c r="BQ242" t="s">
        <v>270</v>
      </c>
      <c r="BR242" t="s">
        <v>630</v>
      </c>
      <c r="BS242">
        <v>4</v>
      </c>
    </row>
    <row r="243" spans="1:71" s="0" customFormat="1" ht="14.5">
      <c r="A243" s="148" t="s">
        <v>157</v>
      </c>
      <c r="B243" s="149" t="s">
        <v>625</v>
      </c>
      <c r="C243" s="149">
        <v>107</v>
      </c>
      <c r="D243" s="149" t="s">
        <v>97</v>
      </c>
      <c r="E243" s="149" t="s">
        <v>98</v>
      </c>
      <c r="F243" s="84"/>
      <c r="G243" s="84"/>
      <c r="H243" s="149" t="s">
        <v>48</v>
      </c>
      <c r="I243" s="149" t="s">
        <v>158</v>
      </c>
      <c r="J243" s="149" t="s">
        <v>159</v>
      </c>
      <c r="K243" s="149" t="s">
        <v>163</v>
      </c>
      <c r="L243" s="149" t="s">
        <v>160</v>
      </c>
      <c r="M243" s="150">
        <v>46126</v>
      </c>
      <c r="N243" s="149" t="s">
        <v>670</v>
      </c>
      <c r="O243" s="149">
        <v>9155615</v>
      </c>
      <c r="P243" s="150">
        <v>46114</v>
      </c>
      <c r="Q243" s="149" t="s">
        <v>161</v>
      </c>
      <c r="R243" s="149">
        <v>2770</v>
      </c>
      <c r="S243" s="149" t="s">
        <v>299</v>
      </c>
      <c r="T243" s="149" t="s">
        <v>174</v>
      </c>
      <c r="U243" s="149" t="s">
        <v>175</v>
      </c>
      <c r="V243" s="148" t="s">
        <v>162</v>
      </c>
      <c r="W243" s="84"/>
      <c r="X243" s="149">
        <v>1</v>
      </c>
      <c r="Y243" s="149">
        <v>11.60</v>
      </c>
      <c r="Z243" s="149">
        <v>11.60</v>
      </c>
      <c r="AA243" s="149" t="s">
        <v>99</v>
      </c>
      <c r="AB243" s="149" t="s">
        <v>670</v>
      </c>
      <c r="AC243" s="150">
        <v>46114</v>
      </c>
      <c r="AD243" s="149" t="s">
        <v>171</v>
      </c>
      <c r="AE243" s="149">
        <v>84439952</v>
      </c>
      <c r="AF243" s="149" t="s">
        <v>413</v>
      </c>
      <c r="AG243" s="84"/>
      <c r="AH243" s="84"/>
      <c r="AI243" s="149">
        <v>11.60</v>
      </c>
      <c r="AJ243" s="149" t="s">
        <v>368</v>
      </c>
      <c r="AK243" s="149">
        <v>18</v>
      </c>
      <c r="AL243" s="149">
        <v>1.04</v>
      </c>
      <c r="AM243" s="149">
        <v>1.04</v>
      </c>
      <c r="AN243" s="149">
        <v>0</v>
      </c>
      <c r="AO243" s="149">
        <v>0</v>
      </c>
      <c r="AP243" s="149">
        <v>0</v>
      </c>
      <c r="AQ243" s="149">
        <v>0</v>
      </c>
      <c r="AR243" s="149">
        <v>0</v>
      </c>
      <c r="AS243" s="149">
        <v>0</v>
      </c>
      <c r="AT243" s="149">
        <v>0</v>
      </c>
      <c r="AU243" s="84"/>
      <c r="AV243" s="84"/>
      <c r="AW243" s="149">
        <v>0</v>
      </c>
      <c r="AX243" s="148">
        <v>13.68</v>
      </c>
      <c r="AY243" s="149" t="s">
        <v>100</v>
      </c>
      <c r="AZ243" s="149" t="s">
        <v>101</v>
      </c>
      <c r="BA243" s="149" t="s">
        <v>642</v>
      </c>
      <c r="BB243" s="149">
        <v>1126100065</v>
      </c>
      <c r="BC243" s="149" t="s">
        <v>105</v>
      </c>
      <c r="BD243" s="149" t="s">
        <v>103</v>
      </c>
      <c r="BE243" s="84"/>
      <c r="BF243" s="84" t="s">
        <v>270</v>
      </c>
      <c r="BG243" s="84" t="s">
        <v>281</v>
      </c>
      <c r="BH243" s="149" t="s">
        <v>290</v>
      </c>
      <c r="BI243" t="s">
        <v>155</v>
      </c>
      <c r="BJ243" t="s">
        <v>156</v>
      </c>
      <c r="BK243" t="s">
        <v>671</v>
      </c>
      <c r="BL243">
        <v>2.08</v>
      </c>
      <c r="BM243">
        <v>1123.8399999999999</v>
      </c>
      <c r="BN243">
        <v>-1122</v>
      </c>
      <c r="BO243" t="s">
        <v>154</v>
      </c>
      <c r="BP243">
        <v>9155615</v>
      </c>
      <c r="BQ243" t="s">
        <v>270</v>
      </c>
      <c r="BR243" t="s">
        <v>630</v>
      </c>
      <c r="BS243">
        <v>4</v>
      </c>
    </row>
    <row r="244" spans="1:71" s="0" customFormat="1" ht="14.5">
      <c r="A244" s="148" t="s">
        <v>157</v>
      </c>
      <c r="B244" s="149" t="s">
        <v>625</v>
      </c>
      <c r="C244" s="149">
        <v>107</v>
      </c>
      <c r="D244" s="149" t="s">
        <v>97</v>
      </c>
      <c r="E244" s="149" t="s">
        <v>98</v>
      </c>
      <c r="F244" s="84"/>
      <c r="G244" s="84"/>
      <c r="H244" s="149" t="s">
        <v>48</v>
      </c>
      <c r="I244" s="149" t="s">
        <v>158</v>
      </c>
      <c r="J244" s="149" t="s">
        <v>159</v>
      </c>
      <c r="K244" s="149" t="s">
        <v>163</v>
      </c>
      <c r="L244" s="149" t="s">
        <v>160</v>
      </c>
      <c r="M244" s="150">
        <v>46136</v>
      </c>
      <c r="N244" s="149" t="s">
        <v>865</v>
      </c>
      <c r="O244" s="149">
        <v>9168299</v>
      </c>
      <c r="P244" s="150">
        <v>46127</v>
      </c>
      <c r="Q244" s="149" t="s">
        <v>161</v>
      </c>
      <c r="R244" s="149">
        <v>14097</v>
      </c>
      <c r="S244" s="149" t="s">
        <v>866</v>
      </c>
      <c r="T244" s="149" t="s">
        <v>153</v>
      </c>
      <c r="U244" s="149" t="s">
        <v>867</v>
      </c>
      <c r="V244" s="148" t="s">
        <v>162</v>
      </c>
      <c r="W244" s="84"/>
      <c r="X244" s="149">
        <v>4400</v>
      </c>
      <c r="Y244" s="149">
        <v>1</v>
      </c>
      <c r="Z244" s="149">
        <v>4400</v>
      </c>
      <c r="AA244" s="149" t="s">
        <v>99</v>
      </c>
      <c r="AB244" s="149" t="s">
        <v>865</v>
      </c>
      <c r="AC244" s="150">
        <v>46127</v>
      </c>
      <c r="AD244" s="149" t="s">
        <v>164</v>
      </c>
      <c r="AE244" s="149">
        <v>998712</v>
      </c>
      <c r="AF244" s="149" t="s">
        <v>982</v>
      </c>
      <c r="AG244" s="84"/>
      <c r="AH244" s="84"/>
      <c r="AI244" s="149">
        <v>4400</v>
      </c>
      <c r="AJ244" s="149" t="s">
        <v>368</v>
      </c>
      <c r="AK244" s="149">
        <v>18</v>
      </c>
      <c r="AL244" s="149">
        <v>396</v>
      </c>
      <c r="AM244" s="149">
        <v>396</v>
      </c>
      <c r="AN244" s="149">
        <v>0</v>
      </c>
      <c r="AO244" s="149">
        <v>0</v>
      </c>
      <c r="AP244" s="149">
        <v>0</v>
      </c>
      <c r="AQ244" s="149">
        <v>0</v>
      </c>
      <c r="AR244" s="149">
        <v>0</v>
      </c>
      <c r="AS244" s="149">
        <v>0</v>
      </c>
      <c r="AT244" s="149">
        <v>0</v>
      </c>
      <c r="AU244" s="84"/>
      <c r="AV244" s="84"/>
      <c r="AW244" s="149">
        <v>0</v>
      </c>
      <c r="AX244" s="148">
        <v>5192</v>
      </c>
      <c r="AY244" s="149" t="s">
        <v>100</v>
      </c>
      <c r="AZ244" s="149" t="s">
        <v>101</v>
      </c>
      <c r="BA244" s="149" t="s">
        <v>276</v>
      </c>
      <c r="BB244" s="149">
        <v>1126100392</v>
      </c>
      <c r="BC244" s="149" t="s">
        <v>105</v>
      </c>
      <c r="BD244" s="149" t="s">
        <v>103</v>
      </c>
      <c r="BE244" s="84"/>
      <c r="BF244" s="84" t="s">
        <v>270</v>
      </c>
      <c r="BG244" s="84" t="s">
        <v>281</v>
      </c>
      <c r="BH244" s="149" t="s">
        <v>289</v>
      </c>
      <c r="BI244" t="s">
        <v>155</v>
      </c>
      <c r="BJ244" t="s">
        <v>156</v>
      </c>
      <c r="BK244" t="s">
        <v>869</v>
      </c>
      <c r="BL244">
        <v>792</v>
      </c>
      <c r="BM244">
        <v>2952</v>
      </c>
      <c r="BN244">
        <v>-2160</v>
      </c>
      <c r="BO244" t="s">
        <v>154</v>
      </c>
      <c r="BP244">
        <v>9168299</v>
      </c>
      <c r="BQ244" t="s">
        <v>270</v>
      </c>
      <c r="BR244" t="s">
        <v>630</v>
      </c>
      <c r="BS244">
        <v>4</v>
      </c>
    </row>
    <row r="245" spans="1:71" s="0" customFormat="1" ht="14.5">
      <c r="A245" s="148" t="s">
        <v>157</v>
      </c>
      <c r="B245" s="149" t="s">
        <v>625</v>
      </c>
      <c r="C245" s="149">
        <v>107</v>
      </c>
      <c r="D245" s="149" t="s">
        <v>97</v>
      </c>
      <c r="E245" s="149" t="s">
        <v>98</v>
      </c>
      <c r="F245" s="84"/>
      <c r="G245" s="84"/>
      <c r="H245" s="149" t="s">
        <v>48</v>
      </c>
      <c r="I245" s="149" t="s">
        <v>158</v>
      </c>
      <c r="J245" s="149" t="s">
        <v>159</v>
      </c>
      <c r="K245" s="149" t="s">
        <v>163</v>
      </c>
      <c r="L245" s="149" t="s">
        <v>160</v>
      </c>
      <c r="M245" s="150">
        <v>46127</v>
      </c>
      <c r="N245" s="149" t="s">
        <v>983</v>
      </c>
      <c r="O245" s="149">
        <v>9156859</v>
      </c>
      <c r="P245" s="150">
        <v>46113</v>
      </c>
      <c r="Q245" s="149" t="s">
        <v>161</v>
      </c>
      <c r="R245" s="149">
        <v>2770</v>
      </c>
      <c r="S245" s="149" t="s">
        <v>299</v>
      </c>
      <c r="T245" s="149" t="s">
        <v>176</v>
      </c>
      <c r="U245" s="149" t="s">
        <v>177</v>
      </c>
      <c r="V245" s="148" t="s">
        <v>162</v>
      </c>
      <c r="W245" s="84"/>
      <c r="X245" s="149">
        <v>1</v>
      </c>
      <c r="Y245" s="149">
        <v>4365</v>
      </c>
      <c r="Z245" s="149">
        <v>4365</v>
      </c>
      <c r="AA245" s="149" t="s">
        <v>99</v>
      </c>
      <c r="AB245" s="149" t="s">
        <v>983</v>
      </c>
      <c r="AC245" s="150">
        <v>46113</v>
      </c>
      <c r="AD245" s="149" t="s">
        <v>164</v>
      </c>
      <c r="AE245" s="149">
        <v>997314</v>
      </c>
      <c r="AF245" s="149" t="s">
        <v>781</v>
      </c>
      <c r="AG245" s="84"/>
      <c r="AH245" s="84"/>
      <c r="AI245" s="149">
        <v>4365</v>
      </c>
      <c r="AJ245" s="149" t="s">
        <v>368</v>
      </c>
      <c r="AK245" s="149">
        <v>18</v>
      </c>
      <c r="AL245" s="149">
        <v>0</v>
      </c>
      <c r="AM245" s="149">
        <v>0</v>
      </c>
      <c r="AN245" s="149">
        <v>785.70</v>
      </c>
      <c r="AO245" s="149">
        <v>0</v>
      </c>
      <c r="AP245" s="149">
        <v>0</v>
      </c>
      <c r="AQ245" s="149">
        <v>0</v>
      </c>
      <c r="AR245" s="149">
        <v>0</v>
      </c>
      <c r="AS245" s="149">
        <v>0</v>
      </c>
      <c r="AT245" s="149">
        <v>0</v>
      </c>
      <c r="AU245" s="84"/>
      <c r="AV245" s="84"/>
      <c r="AW245" s="149">
        <v>0</v>
      </c>
      <c r="AX245" s="148">
        <v>5150.70</v>
      </c>
      <c r="AY245" s="149" t="s">
        <v>100</v>
      </c>
      <c r="AZ245" s="149" t="s">
        <v>101</v>
      </c>
      <c r="BA245" s="149" t="s">
        <v>323</v>
      </c>
      <c r="BB245" s="149">
        <v>1126100088</v>
      </c>
      <c r="BC245" s="149" t="s">
        <v>102</v>
      </c>
      <c r="BD245" s="149" t="s">
        <v>103</v>
      </c>
      <c r="BE245" s="84"/>
      <c r="BF245" s="84" t="s">
        <v>270</v>
      </c>
      <c r="BG245" s="84" t="s">
        <v>281</v>
      </c>
      <c r="BH245" s="149" t="s">
        <v>290</v>
      </c>
      <c r="BI245" t="s">
        <v>155</v>
      </c>
      <c r="BJ245" t="s">
        <v>156</v>
      </c>
      <c r="BK245" t="s">
        <v>984</v>
      </c>
      <c r="BL245">
        <v>785.70</v>
      </c>
      <c r="BM245">
        <v>785.70</v>
      </c>
      <c r="BN245">
        <v>0</v>
      </c>
      <c r="BO245" t="s">
        <v>154</v>
      </c>
      <c r="BP245">
        <v>9156859</v>
      </c>
      <c r="BQ245" t="s">
        <v>270</v>
      </c>
      <c r="BR245" t="s">
        <v>630</v>
      </c>
      <c r="BS245">
        <v>1</v>
      </c>
    </row>
    <row r="246" spans="1:71" s="0" customFormat="1" ht="14.5">
      <c r="A246" s="148" t="s">
        <v>157</v>
      </c>
      <c r="B246" s="149" t="s">
        <v>625</v>
      </c>
      <c r="C246" s="149">
        <v>107</v>
      </c>
      <c r="D246" s="149" t="s">
        <v>97</v>
      </c>
      <c r="E246" s="149" t="s">
        <v>98</v>
      </c>
      <c r="F246" s="84"/>
      <c r="G246" s="84"/>
      <c r="H246" s="149" t="s">
        <v>48</v>
      </c>
      <c r="I246" s="149" t="s">
        <v>158</v>
      </c>
      <c r="J246" s="149" t="s">
        <v>159</v>
      </c>
      <c r="K246" s="149" t="s">
        <v>163</v>
      </c>
      <c r="L246" s="149" t="s">
        <v>160</v>
      </c>
      <c r="M246" s="150">
        <v>46133</v>
      </c>
      <c r="N246" s="149" t="s">
        <v>985</v>
      </c>
      <c r="O246" s="149">
        <v>9166965</v>
      </c>
      <c r="P246" s="150">
        <v>46122</v>
      </c>
      <c r="Q246" s="149" t="s">
        <v>161</v>
      </c>
      <c r="R246" s="149">
        <v>3545</v>
      </c>
      <c r="S246" s="149" t="s">
        <v>287</v>
      </c>
      <c r="T246" s="149" t="s">
        <v>169</v>
      </c>
      <c r="U246" s="149" t="s">
        <v>288</v>
      </c>
      <c r="V246" s="148" t="s">
        <v>162</v>
      </c>
      <c r="W246" s="84"/>
      <c r="X246" s="149">
        <v>1</v>
      </c>
      <c r="Y246" s="149">
        <v>1650</v>
      </c>
      <c r="Z246" s="149">
        <v>1650</v>
      </c>
      <c r="AA246" s="149" t="s">
        <v>99</v>
      </c>
      <c r="AB246" s="149" t="s">
        <v>985</v>
      </c>
      <c r="AC246" s="150">
        <v>46122</v>
      </c>
      <c r="AD246" s="149" t="s">
        <v>173</v>
      </c>
      <c r="AE246" s="149">
        <v>8473</v>
      </c>
      <c r="AF246" s="149" t="s">
        <v>986</v>
      </c>
      <c r="AG246" s="84"/>
      <c r="AH246" s="84"/>
      <c r="AI246" s="149">
        <v>1650</v>
      </c>
      <c r="AJ246" s="149" t="s">
        <v>368</v>
      </c>
      <c r="AK246" s="149">
        <v>18</v>
      </c>
      <c r="AL246" s="149">
        <v>148.5</v>
      </c>
      <c r="AM246" s="149">
        <v>148.5</v>
      </c>
      <c r="AN246" s="149">
        <v>0</v>
      </c>
      <c r="AO246" s="149">
        <v>0</v>
      </c>
      <c r="AP246" s="149">
        <v>0</v>
      </c>
      <c r="AQ246" s="149">
        <v>0</v>
      </c>
      <c r="AR246" s="149">
        <v>0</v>
      </c>
      <c r="AS246" s="149">
        <v>0</v>
      </c>
      <c r="AT246" s="149">
        <v>0</v>
      </c>
      <c r="AU246" s="84"/>
      <c r="AV246" s="84"/>
      <c r="AW246" s="149">
        <v>0</v>
      </c>
      <c r="AX246" s="148">
        <v>1947</v>
      </c>
      <c r="AY246" s="149" t="s">
        <v>100</v>
      </c>
      <c r="AZ246" s="149" t="s">
        <v>101</v>
      </c>
      <c r="BA246" s="149" t="s">
        <v>356</v>
      </c>
      <c r="BB246" s="149">
        <v>1126100295</v>
      </c>
      <c r="BC246" s="149" t="s">
        <v>105</v>
      </c>
      <c r="BD246" s="149" t="s">
        <v>104</v>
      </c>
      <c r="BE246" s="84"/>
      <c r="BF246" s="84" t="s">
        <v>270</v>
      </c>
      <c r="BG246" s="84" t="s">
        <v>281</v>
      </c>
      <c r="BH246" s="149" t="s">
        <v>289</v>
      </c>
      <c r="BI246" t="s">
        <v>155</v>
      </c>
      <c r="BJ246" t="s">
        <v>156</v>
      </c>
      <c r="BK246" t="s">
        <v>987</v>
      </c>
      <c r="BL246">
        <v>297</v>
      </c>
      <c r="BM246">
        <v>297</v>
      </c>
      <c r="BN246">
        <v>0</v>
      </c>
      <c r="BO246" t="s">
        <v>154</v>
      </c>
      <c r="BP246">
        <v>9166965</v>
      </c>
      <c r="BQ246" t="s">
        <v>270</v>
      </c>
      <c r="BR246" t="s">
        <v>630</v>
      </c>
      <c r="BS246">
        <v>1</v>
      </c>
    </row>
    <row r="247" spans="1:71" s="0" customFormat="1" ht="14.5">
      <c r="A247" s="148" t="s">
        <v>157</v>
      </c>
      <c r="B247" s="149" t="s">
        <v>625</v>
      </c>
      <c r="C247" s="149">
        <v>107</v>
      </c>
      <c r="D247" s="149" t="s">
        <v>97</v>
      </c>
      <c r="E247" s="149" t="s">
        <v>98</v>
      </c>
      <c r="F247" s="84"/>
      <c r="G247" s="84"/>
      <c r="H247" s="149" t="s">
        <v>48</v>
      </c>
      <c r="I247" s="149" t="s">
        <v>158</v>
      </c>
      <c r="J247" s="149" t="s">
        <v>159</v>
      </c>
      <c r="K247" s="149" t="s">
        <v>166</v>
      </c>
      <c r="L247" s="149" t="s">
        <v>160</v>
      </c>
      <c r="M247" s="150">
        <v>46127</v>
      </c>
      <c r="N247" s="149" t="s">
        <v>988</v>
      </c>
      <c r="O247" s="149">
        <v>9157040</v>
      </c>
      <c r="P247" s="150">
        <v>46116</v>
      </c>
      <c r="Q247" s="149" t="s">
        <v>161</v>
      </c>
      <c r="R247" s="149">
        <v>1224</v>
      </c>
      <c r="S247" s="149" t="s">
        <v>989</v>
      </c>
      <c r="T247" s="149" t="s">
        <v>169</v>
      </c>
      <c r="U247" s="84"/>
      <c r="V247" s="84"/>
      <c r="W247" s="84"/>
      <c r="X247" s="149">
        <v>0</v>
      </c>
      <c r="Y247" s="149">
        <v>0</v>
      </c>
      <c r="Z247" s="149">
        <v>19000</v>
      </c>
      <c r="AA247" s="149" t="s">
        <v>99</v>
      </c>
      <c r="AB247" s="149" t="s">
        <v>990</v>
      </c>
      <c r="AC247" s="150">
        <v>46116</v>
      </c>
      <c r="AD247" s="84"/>
      <c r="AE247" s="149">
        <v>998216</v>
      </c>
      <c r="AF247" s="149" t="s">
        <v>991</v>
      </c>
      <c r="AG247" s="84"/>
      <c r="AH247" s="84"/>
      <c r="AI247" s="149">
        <v>19000</v>
      </c>
      <c r="AJ247" s="149" t="s">
        <v>368</v>
      </c>
      <c r="AK247" s="149">
        <v>18</v>
      </c>
      <c r="AL247" s="149">
        <v>1710</v>
      </c>
      <c r="AM247" s="149">
        <v>1710</v>
      </c>
      <c r="AN247" s="149">
        <v>0</v>
      </c>
      <c r="AO247" s="149">
        <v>0</v>
      </c>
      <c r="AP247" s="149">
        <v>0</v>
      </c>
      <c r="AQ247" s="149">
        <v>0</v>
      </c>
      <c r="AR247" s="149">
        <v>0</v>
      </c>
      <c r="AS247" s="149">
        <v>0</v>
      </c>
      <c r="AT247" s="149">
        <v>0</v>
      </c>
      <c r="AU247" s="84"/>
      <c r="AV247" s="84"/>
      <c r="AW247" s="149">
        <v>0</v>
      </c>
      <c r="AX247" s="148">
        <v>22420</v>
      </c>
      <c r="AY247" s="149" t="s">
        <v>100</v>
      </c>
      <c r="AZ247" s="149" t="s">
        <v>100</v>
      </c>
      <c r="BA247" s="149" t="s">
        <v>200</v>
      </c>
      <c r="BB247" s="149">
        <v>1126100107</v>
      </c>
      <c r="BC247" s="149" t="s">
        <v>188</v>
      </c>
      <c r="BD247" s="149" t="s">
        <v>103</v>
      </c>
      <c r="BE247" s="84"/>
      <c r="BF247" s="84" t="s">
        <v>210</v>
      </c>
      <c r="BG247" s="84" t="s">
        <v>280</v>
      </c>
      <c r="BH247" s="149" t="s">
        <v>289</v>
      </c>
      <c r="BI247" t="s">
        <v>155</v>
      </c>
      <c r="BJ247" t="s">
        <v>156</v>
      </c>
      <c r="BK247" t="s">
        <v>990</v>
      </c>
      <c r="BL247">
        <v>3420</v>
      </c>
      <c r="BM247" t="e">
        <v>#N/A</v>
      </c>
      <c r="BN247" t="e">
        <v>#N/A</v>
      </c>
      <c r="BO247" t="s">
        <v>199</v>
      </c>
      <c r="BP247">
        <v>9157040</v>
      </c>
      <c r="BQ247" t="s">
        <v>210</v>
      </c>
      <c r="BR247" t="s">
        <v>199</v>
      </c>
      <c r="BS247">
        <v>1</v>
      </c>
    </row>
    <row r="248" spans="1:71" s="0" customFormat="1" ht="14.5">
      <c r="A248" s="148" t="s">
        <v>157</v>
      </c>
      <c r="B248" s="149" t="s">
        <v>625</v>
      </c>
      <c r="C248" s="149">
        <v>107</v>
      </c>
      <c r="D248" s="149" t="s">
        <v>97</v>
      </c>
      <c r="E248" s="149" t="s">
        <v>98</v>
      </c>
      <c r="F248" s="84"/>
      <c r="G248" s="149" t="s">
        <v>106</v>
      </c>
      <c r="H248" s="149" t="s">
        <v>48</v>
      </c>
      <c r="I248" s="149" t="s">
        <v>158</v>
      </c>
      <c r="J248" s="149" t="s">
        <v>165</v>
      </c>
      <c r="K248" s="149" t="s">
        <v>166</v>
      </c>
      <c r="L248" s="149" t="s">
        <v>160</v>
      </c>
      <c r="M248" s="150">
        <v>46142</v>
      </c>
      <c r="N248" s="149" t="s">
        <v>992</v>
      </c>
      <c r="O248" s="149">
        <v>9178377</v>
      </c>
      <c r="P248" s="150">
        <v>46099</v>
      </c>
      <c r="Q248" s="149" t="s">
        <v>161</v>
      </c>
      <c r="R248" s="149">
        <v>44643</v>
      </c>
      <c r="S248" s="149" t="s">
        <v>993</v>
      </c>
      <c r="T248" s="149" t="s">
        <v>170</v>
      </c>
      <c r="U248" s="149" t="s">
        <v>994</v>
      </c>
      <c r="V248" s="148" t="s">
        <v>312</v>
      </c>
      <c r="W248" s="84"/>
      <c r="X248" s="149">
        <v>754468</v>
      </c>
      <c r="Y248" s="149">
        <v>0.86447934172999996</v>
      </c>
      <c r="Z248" s="149">
        <v>652222</v>
      </c>
      <c r="AA248" s="149" t="s">
        <v>99</v>
      </c>
      <c r="AB248" s="149" t="s">
        <v>992</v>
      </c>
      <c r="AC248" s="150">
        <v>46099</v>
      </c>
      <c r="AD248" s="149" t="s">
        <v>300</v>
      </c>
      <c r="AE248" s="149">
        <v>999126</v>
      </c>
      <c r="AF248" s="149" t="s">
        <v>995</v>
      </c>
      <c r="AG248" s="84"/>
      <c r="AH248" s="84"/>
      <c r="AI248" s="149">
        <v>652222</v>
      </c>
      <c r="AJ248" s="149" t="s">
        <v>368</v>
      </c>
      <c r="AK248" s="149">
        <v>18</v>
      </c>
      <c r="AL248" s="149">
        <v>58699.98</v>
      </c>
      <c r="AM248" s="149">
        <v>58699.98</v>
      </c>
      <c r="AN248" s="149">
        <v>0</v>
      </c>
      <c r="AO248" s="149">
        <v>0</v>
      </c>
      <c r="AP248" s="149">
        <v>0</v>
      </c>
      <c r="AQ248" s="149">
        <v>0</v>
      </c>
      <c r="AR248" s="149">
        <v>0</v>
      </c>
      <c r="AS248" s="149">
        <v>0</v>
      </c>
      <c r="AT248" s="149">
        <v>0</v>
      </c>
      <c r="AU248" s="84"/>
      <c r="AV248" s="84"/>
      <c r="AW248" s="149">
        <v>0</v>
      </c>
      <c r="AX248" s="148">
        <v>769621.96</v>
      </c>
      <c r="AY248" s="149" t="s">
        <v>100</v>
      </c>
      <c r="AZ248" s="149" t="s">
        <v>101</v>
      </c>
      <c r="BA248" s="149" t="s">
        <v>275</v>
      </c>
      <c r="BB248" s="149">
        <v>1126100530</v>
      </c>
      <c r="BC248" s="149" t="s">
        <v>105</v>
      </c>
      <c r="BD248" s="149" t="s">
        <v>103</v>
      </c>
      <c r="BE248" s="84"/>
      <c r="BF248" s="84" t="s">
        <v>270</v>
      </c>
      <c r="BG248" s="84" t="s">
        <v>281</v>
      </c>
      <c r="BH248" s="149" t="s">
        <v>289</v>
      </c>
      <c r="BI248" t="s">
        <v>155</v>
      </c>
      <c r="BJ248" t="s">
        <v>156</v>
      </c>
      <c r="BK248" t="s">
        <v>996</v>
      </c>
      <c r="BL248">
        <v>117399.96</v>
      </c>
      <c r="BM248">
        <v>117399.96</v>
      </c>
      <c r="BN248">
        <v>0</v>
      </c>
      <c r="BO248" t="s">
        <v>154</v>
      </c>
      <c r="BP248">
        <v>9178377</v>
      </c>
      <c r="BQ248" t="s">
        <v>270</v>
      </c>
      <c r="BR248" t="s">
        <v>307</v>
      </c>
      <c r="BS248">
        <v>1</v>
      </c>
    </row>
    <row r="249" spans="1:71" s="0" customFormat="1" ht="14.5">
      <c r="A249" s="148" t="s">
        <v>157</v>
      </c>
      <c r="B249" s="149" t="s">
        <v>625</v>
      </c>
      <c r="C249" s="149">
        <v>107</v>
      </c>
      <c r="D249" s="149" t="s">
        <v>97</v>
      </c>
      <c r="E249" s="149" t="s">
        <v>98</v>
      </c>
      <c r="F249" s="84"/>
      <c r="G249" s="149" t="s">
        <v>106</v>
      </c>
      <c r="H249" s="149" t="s">
        <v>48</v>
      </c>
      <c r="I249" s="149" t="s">
        <v>158</v>
      </c>
      <c r="J249" s="149" t="s">
        <v>165</v>
      </c>
      <c r="K249" s="149" t="s">
        <v>166</v>
      </c>
      <c r="L249" s="149" t="s">
        <v>160</v>
      </c>
      <c r="M249" s="150">
        <v>46127</v>
      </c>
      <c r="N249" s="149" t="s">
        <v>626</v>
      </c>
      <c r="O249" s="149">
        <v>9158398</v>
      </c>
      <c r="P249" s="150">
        <v>46090</v>
      </c>
      <c r="Q249" s="149" t="s">
        <v>161</v>
      </c>
      <c r="R249" s="149">
        <v>35671</v>
      </c>
      <c r="S249" s="149" t="s">
        <v>424</v>
      </c>
      <c r="T249" s="149" t="s">
        <v>425</v>
      </c>
      <c r="U249" s="149" t="s">
        <v>426</v>
      </c>
      <c r="V249" s="148" t="s">
        <v>162</v>
      </c>
      <c r="W249" s="84"/>
      <c r="X249" s="149">
        <v>2717.37</v>
      </c>
      <c r="Y249" s="149">
        <v>8</v>
      </c>
      <c r="Z249" s="149">
        <v>21738.96</v>
      </c>
      <c r="AA249" s="149" t="s">
        <v>99</v>
      </c>
      <c r="AB249" s="149" t="s">
        <v>626</v>
      </c>
      <c r="AC249" s="150">
        <v>46121</v>
      </c>
      <c r="AD249" s="149" t="s">
        <v>164</v>
      </c>
      <c r="AE249" s="149">
        <v>34029099</v>
      </c>
      <c r="AF249" s="149" t="s">
        <v>751</v>
      </c>
      <c r="AG249" s="84"/>
      <c r="AH249" s="84"/>
      <c r="AI249" s="149">
        <v>21738.96</v>
      </c>
      <c r="AJ249" s="149" t="s">
        <v>368</v>
      </c>
      <c r="AK249" s="149">
        <v>18</v>
      </c>
      <c r="AL249" s="149">
        <v>0</v>
      </c>
      <c r="AM249" s="149">
        <v>0</v>
      </c>
      <c r="AN249" s="149">
        <v>3913.01</v>
      </c>
      <c r="AO249" s="149">
        <v>0</v>
      </c>
      <c r="AP249" s="149">
        <v>0</v>
      </c>
      <c r="AQ249" s="149">
        <v>0</v>
      </c>
      <c r="AR249" s="149">
        <v>0</v>
      </c>
      <c r="AS249" s="149">
        <v>0</v>
      </c>
      <c r="AT249" s="149">
        <v>0</v>
      </c>
      <c r="AU249" s="84"/>
      <c r="AV249" s="84"/>
      <c r="AW249" s="149">
        <v>0</v>
      </c>
      <c r="AX249" s="148">
        <v>25651.97</v>
      </c>
      <c r="AY249" s="149" t="s">
        <v>101</v>
      </c>
      <c r="AZ249" s="149" t="s">
        <v>101</v>
      </c>
      <c r="BA249" s="149" t="s">
        <v>628</v>
      </c>
      <c r="BB249" s="149">
        <v>1126100105</v>
      </c>
      <c r="BC249" s="149" t="s">
        <v>168</v>
      </c>
      <c r="BD249" s="149" t="s">
        <v>272</v>
      </c>
      <c r="BE249" s="84"/>
      <c r="BF249" s="84" t="s">
        <v>271</v>
      </c>
      <c r="BG249" s="84" t="s">
        <v>281</v>
      </c>
      <c r="BH249" s="149" t="s">
        <v>290</v>
      </c>
      <c r="BI249" t="s">
        <v>155</v>
      </c>
      <c r="BJ249" t="s">
        <v>156</v>
      </c>
      <c r="BK249" t="s">
        <v>629</v>
      </c>
      <c r="BL249">
        <v>3913.01</v>
      </c>
      <c r="BM249">
        <v>38182.879999999997</v>
      </c>
      <c r="BN249">
        <v>-34270</v>
      </c>
      <c r="BO249" t="s">
        <v>154</v>
      </c>
      <c r="BP249">
        <v>9158398</v>
      </c>
      <c r="BQ249" t="s">
        <v>271</v>
      </c>
      <c r="BR249" t="s">
        <v>630</v>
      </c>
      <c r="BS249">
        <v>37</v>
      </c>
    </row>
    <row r="250" spans="1:71" s="0" customFormat="1" ht="14.5">
      <c r="A250" s="148" t="s">
        <v>157</v>
      </c>
      <c r="B250" s="149" t="s">
        <v>625</v>
      </c>
      <c r="C250" s="149">
        <v>107</v>
      </c>
      <c r="D250" s="149" t="s">
        <v>97</v>
      </c>
      <c r="E250" s="149" t="s">
        <v>98</v>
      </c>
      <c r="F250" s="84"/>
      <c r="G250" s="149" t="s">
        <v>106</v>
      </c>
      <c r="H250" s="149" t="s">
        <v>48</v>
      </c>
      <c r="I250" s="149" t="s">
        <v>158</v>
      </c>
      <c r="J250" s="149" t="s">
        <v>165</v>
      </c>
      <c r="K250" s="149" t="s">
        <v>166</v>
      </c>
      <c r="L250" s="149" t="s">
        <v>160</v>
      </c>
      <c r="M250" s="150">
        <v>46127</v>
      </c>
      <c r="N250" s="149" t="s">
        <v>626</v>
      </c>
      <c r="O250" s="149">
        <v>9158398</v>
      </c>
      <c r="P250" s="150">
        <v>46090</v>
      </c>
      <c r="Q250" s="149" t="s">
        <v>161</v>
      </c>
      <c r="R250" s="149">
        <v>35671</v>
      </c>
      <c r="S250" s="149" t="s">
        <v>424</v>
      </c>
      <c r="T250" s="149" t="s">
        <v>425</v>
      </c>
      <c r="U250" s="149" t="s">
        <v>426</v>
      </c>
      <c r="V250" s="148" t="s">
        <v>162</v>
      </c>
      <c r="W250" s="84"/>
      <c r="X250" s="149">
        <v>275</v>
      </c>
      <c r="Y250" s="149">
        <v>11</v>
      </c>
      <c r="Z250" s="149">
        <v>3025</v>
      </c>
      <c r="AA250" s="149" t="s">
        <v>99</v>
      </c>
      <c r="AB250" s="149" t="s">
        <v>626</v>
      </c>
      <c r="AC250" s="150">
        <v>46121</v>
      </c>
      <c r="AD250" s="149" t="s">
        <v>164</v>
      </c>
      <c r="AE250" s="149">
        <v>998729</v>
      </c>
      <c r="AF250" s="149" t="s">
        <v>853</v>
      </c>
      <c r="AG250" s="84"/>
      <c r="AH250" s="84"/>
      <c r="AI250" s="149">
        <v>3025</v>
      </c>
      <c r="AJ250" s="149" t="s">
        <v>368</v>
      </c>
      <c r="AK250" s="149">
        <v>18</v>
      </c>
      <c r="AL250" s="149">
        <v>0</v>
      </c>
      <c r="AM250" s="149">
        <v>0</v>
      </c>
      <c r="AN250" s="149">
        <v>544.5</v>
      </c>
      <c r="AO250" s="149">
        <v>0</v>
      </c>
      <c r="AP250" s="149">
        <v>0</v>
      </c>
      <c r="AQ250" s="149">
        <v>0</v>
      </c>
      <c r="AR250" s="149">
        <v>0</v>
      </c>
      <c r="AS250" s="149">
        <v>0</v>
      </c>
      <c r="AT250" s="149">
        <v>0</v>
      </c>
      <c r="AU250" s="84"/>
      <c r="AV250" s="84"/>
      <c r="AW250" s="149">
        <v>0</v>
      </c>
      <c r="AX250" s="148">
        <v>3569.5</v>
      </c>
      <c r="AY250" s="149" t="s">
        <v>101</v>
      </c>
      <c r="AZ250" s="149" t="s">
        <v>101</v>
      </c>
      <c r="BA250" s="149" t="s">
        <v>628</v>
      </c>
      <c r="BB250" s="149">
        <v>1126100105</v>
      </c>
      <c r="BC250" s="149" t="s">
        <v>168</v>
      </c>
      <c r="BD250" s="149" t="s">
        <v>272</v>
      </c>
      <c r="BE250" s="84"/>
      <c r="BF250" s="84" t="s">
        <v>271</v>
      </c>
      <c r="BG250" s="84" t="s">
        <v>281</v>
      </c>
      <c r="BH250" s="149" t="s">
        <v>290</v>
      </c>
      <c r="BI250" t="s">
        <v>155</v>
      </c>
      <c r="BJ250" t="s">
        <v>156</v>
      </c>
      <c r="BK250" t="s">
        <v>629</v>
      </c>
      <c r="BL250">
        <v>544.5</v>
      </c>
      <c r="BM250">
        <v>38182.879999999997</v>
      </c>
      <c r="BN250">
        <v>-37638</v>
      </c>
      <c r="BO250" t="s">
        <v>154</v>
      </c>
      <c r="BP250">
        <v>9158398</v>
      </c>
      <c r="BQ250" t="s">
        <v>271</v>
      </c>
      <c r="BR250" t="s">
        <v>630</v>
      </c>
      <c r="BS250">
        <v>37</v>
      </c>
    </row>
    <row r="251" spans="1:71" s="0" customFormat="1" ht="14.5">
      <c r="A251" s="148" t="s">
        <v>157</v>
      </c>
      <c r="B251" s="149" t="s">
        <v>625</v>
      </c>
      <c r="C251" s="149">
        <v>107</v>
      </c>
      <c r="D251" s="149" t="s">
        <v>97</v>
      </c>
      <c r="E251" s="149" t="s">
        <v>98</v>
      </c>
      <c r="F251" s="84"/>
      <c r="G251" s="149" t="s">
        <v>106</v>
      </c>
      <c r="H251" s="149" t="s">
        <v>48</v>
      </c>
      <c r="I251" s="149" t="s">
        <v>158</v>
      </c>
      <c r="J251" s="149" t="s">
        <v>165</v>
      </c>
      <c r="K251" s="149" t="s">
        <v>166</v>
      </c>
      <c r="L251" s="149" t="s">
        <v>160</v>
      </c>
      <c r="M251" s="150">
        <v>46127</v>
      </c>
      <c r="N251" s="149" t="s">
        <v>626</v>
      </c>
      <c r="O251" s="149">
        <v>9158398</v>
      </c>
      <c r="P251" s="150">
        <v>46090</v>
      </c>
      <c r="Q251" s="149" t="s">
        <v>161</v>
      </c>
      <c r="R251" s="149">
        <v>35671</v>
      </c>
      <c r="S251" s="149" t="s">
        <v>424</v>
      </c>
      <c r="T251" s="149" t="s">
        <v>425</v>
      </c>
      <c r="U251" s="149" t="s">
        <v>426</v>
      </c>
      <c r="V251" s="148" t="s">
        <v>162</v>
      </c>
      <c r="W251" s="84"/>
      <c r="X251" s="149">
        <v>1070.76</v>
      </c>
      <c r="Y251" s="149">
        <v>1</v>
      </c>
      <c r="Z251" s="149">
        <v>1070.76</v>
      </c>
      <c r="AA251" s="149" t="s">
        <v>99</v>
      </c>
      <c r="AB251" s="149" t="s">
        <v>626</v>
      </c>
      <c r="AC251" s="150">
        <v>46121</v>
      </c>
      <c r="AD251" s="149" t="s">
        <v>164</v>
      </c>
      <c r="AE251" s="149">
        <v>38190010</v>
      </c>
      <c r="AF251" s="149" t="s">
        <v>769</v>
      </c>
      <c r="AG251" s="84"/>
      <c r="AH251" s="84"/>
      <c r="AI251" s="149">
        <v>1070.76</v>
      </c>
      <c r="AJ251" s="149" t="s">
        <v>368</v>
      </c>
      <c r="AK251" s="149">
        <v>18</v>
      </c>
      <c r="AL251" s="149">
        <v>0</v>
      </c>
      <c r="AM251" s="149">
        <v>0</v>
      </c>
      <c r="AN251" s="149">
        <v>192.74</v>
      </c>
      <c r="AO251" s="149">
        <v>0</v>
      </c>
      <c r="AP251" s="149">
        <v>0</v>
      </c>
      <c r="AQ251" s="149">
        <v>0</v>
      </c>
      <c r="AR251" s="149">
        <v>0</v>
      </c>
      <c r="AS251" s="149">
        <v>0</v>
      </c>
      <c r="AT251" s="149">
        <v>0</v>
      </c>
      <c r="AU251" s="84"/>
      <c r="AV251" s="84"/>
      <c r="AW251" s="149">
        <v>0</v>
      </c>
      <c r="AX251" s="148">
        <v>1263.5</v>
      </c>
      <c r="AY251" s="149" t="s">
        <v>101</v>
      </c>
      <c r="AZ251" s="149" t="s">
        <v>101</v>
      </c>
      <c r="BA251" s="149" t="s">
        <v>628</v>
      </c>
      <c r="BB251" s="149">
        <v>1126100105</v>
      </c>
      <c r="BC251" s="149" t="s">
        <v>168</v>
      </c>
      <c r="BD251" s="149" t="s">
        <v>272</v>
      </c>
      <c r="BE251" s="84"/>
      <c r="BF251" s="84" t="s">
        <v>271</v>
      </c>
      <c r="BG251" s="84" t="s">
        <v>281</v>
      </c>
      <c r="BH251" s="149" t="s">
        <v>290</v>
      </c>
      <c r="BI251" t="s">
        <v>155</v>
      </c>
      <c r="BJ251" t="s">
        <v>156</v>
      </c>
      <c r="BK251" t="s">
        <v>629</v>
      </c>
      <c r="BL251">
        <v>192.74</v>
      </c>
      <c r="BM251">
        <v>38182.879999999997</v>
      </c>
      <c r="BN251">
        <v>-37990</v>
      </c>
      <c r="BO251" t="s">
        <v>154</v>
      </c>
      <c r="BP251">
        <v>9158398</v>
      </c>
      <c r="BQ251" t="s">
        <v>271</v>
      </c>
      <c r="BR251" t="s">
        <v>630</v>
      </c>
      <c r="BS251">
        <v>37</v>
      </c>
    </row>
    <row r="252" spans="1:71" s="0" customFormat="1" ht="14.5">
      <c r="A252" s="148" t="s">
        <v>157</v>
      </c>
      <c r="B252" s="149" t="s">
        <v>625</v>
      </c>
      <c r="C252" s="149">
        <v>107</v>
      </c>
      <c r="D252" s="149" t="s">
        <v>97</v>
      </c>
      <c r="E252" s="149" t="s">
        <v>98</v>
      </c>
      <c r="F252" s="84"/>
      <c r="G252" s="149" t="s">
        <v>106</v>
      </c>
      <c r="H252" s="149" t="s">
        <v>48</v>
      </c>
      <c r="I252" s="149" t="s">
        <v>158</v>
      </c>
      <c r="J252" s="149" t="s">
        <v>165</v>
      </c>
      <c r="K252" s="149" t="s">
        <v>166</v>
      </c>
      <c r="L252" s="149" t="s">
        <v>160</v>
      </c>
      <c r="M252" s="150">
        <v>46127</v>
      </c>
      <c r="N252" s="149" t="s">
        <v>626</v>
      </c>
      <c r="O252" s="149">
        <v>9158398</v>
      </c>
      <c r="P252" s="150">
        <v>46090</v>
      </c>
      <c r="Q252" s="149" t="s">
        <v>161</v>
      </c>
      <c r="R252" s="149">
        <v>35671</v>
      </c>
      <c r="S252" s="149" t="s">
        <v>424</v>
      </c>
      <c r="T252" s="149" t="s">
        <v>425</v>
      </c>
      <c r="U252" s="149" t="s">
        <v>426</v>
      </c>
      <c r="V252" s="148" t="s">
        <v>162</v>
      </c>
      <c r="W252" s="84"/>
      <c r="X252" s="149">
        <v>275</v>
      </c>
      <c r="Y252" s="149">
        <v>17</v>
      </c>
      <c r="Z252" s="149">
        <v>4675</v>
      </c>
      <c r="AA252" s="149" t="s">
        <v>99</v>
      </c>
      <c r="AB252" s="149" t="s">
        <v>626</v>
      </c>
      <c r="AC252" s="150">
        <v>46121</v>
      </c>
      <c r="AD252" s="149" t="s">
        <v>164</v>
      </c>
      <c r="AE252" s="149">
        <v>998729</v>
      </c>
      <c r="AF252" s="149" t="s">
        <v>997</v>
      </c>
      <c r="AG252" s="84"/>
      <c r="AH252" s="84"/>
      <c r="AI252" s="149">
        <v>4675</v>
      </c>
      <c r="AJ252" s="149" t="s">
        <v>368</v>
      </c>
      <c r="AK252" s="149">
        <v>18</v>
      </c>
      <c r="AL252" s="149">
        <v>0</v>
      </c>
      <c r="AM252" s="149">
        <v>0</v>
      </c>
      <c r="AN252" s="149">
        <v>841.5</v>
      </c>
      <c r="AO252" s="149">
        <v>0</v>
      </c>
      <c r="AP252" s="149">
        <v>0</v>
      </c>
      <c r="AQ252" s="149">
        <v>0</v>
      </c>
      <c r="AR252" s="149">
        <v>0</v>
      </c>
      <c r="AS252" s="149">
        <v>0</v>
      </c>
      <c r="AT252" s="149">
        <v>0</v>
      </c>
      <c r="AU252" s="84"/>
      <c r="AV252" s="84"/>
      <c r="AW252" s="149">
        <v>0</v>
      </c>
      <c r="AX252" s="148">
        <v>5516.5</v>
      </c>
      <c r="AY252" s="149" t="s">
        <v>101</v>
      </c>
      <c r="AZ252" s="149" t="s">
        <v>101</v>
      </c>
      <c r="BA252" s="149" t="s">
        <v>628</v>
      </c>
      <c r="BB252" s="149">
        <v>1126100105</v>
      </c>
      <c r="BC252" s="149" t="s">
        <v>168</v>
      </c>
      <c r="BD252" s="149" t="s">
        <v>272</v>
      </c>
      <c r="BE252" s="84"/>
      <c r="BF252" s="84" t="s">
        <v>271</v>
      </c>
      <c r="BG252" s="84" t="s">
        <v>281</v>
      </c>
      <c r="BH252" s="149" t="s">
        <v>290</v>
      </c>
      <c r="BI252" t="s">
        <v>155</v>
      </c>
      <c r="BJ252" t="s">
        <v>156</v>
      </c>
      <c r="BK252" t="s">
        <v>629</v>
      </c>
      <c r="BL252">
        <v>841.5</v>
      </c>
      <c r="BM252">
        <v>38182.879999999997</v>
      </c>
      <c r="BN252">
        <v>-37341</v>
      </c>
      <c r="BO252" t="s">
        <v>154</v>
      </c>
      <c r="BP252">
        <v>9158398</v>
      </c>
      <c r="BQ252" t="s">
        <v>271</v>
      </c>
      <c r="BR252" t="s">
        <v>630</v>
      </c>
      <c r="BS252">
        <v>37</v>
      </c>
    </row>
    <row r="253" spans="1:71" s="0" customFormat="1" ht="14.5">
      <c r="A253" s="148" t="s">
        <v>157</v>
      </c>
      <c r="B253" s="149" t="s">
        <v>625</v>
      </c>
      <c r="C253" s="149">
        <v>107</v>
      </c>
      <c r="D253" s="149" t="s">
        <v>97</v>
      </c>
      <c r="E253" s="149" t="s">
        <v>98</v>
      </c>
      <c r="F253" s="84"/>
      <c r="G253" s="149" t="s">
        <v>106</v>
      </c>
      <c r="H253" s="149" t="s">
        <v>48</v>
      </c>
      <c r="I253" s="149" t="s">
        <v>158</v>
      </c>
      <c r="J253" s="149" t="s">
        <v>165</v>
      </c>
      <c r="K253" s="149" t="s">
        <v>166</v>
      </c>
      <c r="L253" s="149" t="s">
        <v>160</v>
      </c>
      <c r="M253" s="150">
        <v>46127</v>
      </c>
      <c r="N253" s="149" t="s">
        <v>626</v>
      </c>
      <c r="O253" s="149">
        <v>9158398</v>
      </c>
      <c r="P253" s="150">
        <v>46090</v>
      </c>
      <c r="Q253" s="149" t="s">
        <v>161</v>
      </c>
      <c r="R253" s="149">
        <v>35671</v>
      </c>
      <c r="S253" s="149" t="s">
        <v>424</v>
      </c>
      <c r="T253" s="149" t="s">
        <v>425</v>
      </c>
      <c r="U253" s="149" t="s">
        <v>426</v>
      </c>
      <c r="V253" s="148" t="s">
        <v>162</v>
      </c>
      <c r="W253" s="84"/>
      <c r="X253" s="149">
        <v>275</v>
      </c>
      <c r="Y253" s="149">
        <v>2</v>
      </c>
      <c r="Z253" s="149">
        <v>550</v>
      </c>
      <c r="AA253" s="149" t="s">
        <v>99</v>
      </c>
      <c r="AB253" s="149" t="s">
        <v>626</v>
      </c>
      <c r="AC253" s="150">
        <v>46121</v>
      </c>
      <c r="AD253" s="149" t="s">
        <v>164</v>
      </c>
      <c r="AE253" s="149">
        <v>998729</v>
      </c>
      <c r="AF253" s="149" t="s">
        <v>971</v>
      </c>
      <c r="AG253" s="84"/>
      <c r="AH253" s="84"/>
      <c r="AI253" s="149">
        <v>550</v>
      </c>
      <c r="AJ253" s="149" t="s">
        <v>368</v>
      </c>
      <c r="AK253" s="149">
        <v>18</v>
      </c>
      <c r="AL253" s="149">
        <v>0</v>
      </c>
      <c r="AM253" s="149">
        <v>0</v>
      </c>
      <c r="AN253" s="149">
        <v>99</v>
      </c>
      <c r="AO253" s="149">
        <v>0</v>
      </c>
      <c r="AP253" s="149">
        <v>0</v>
      </c>
      <c r="AQ253" s="149">
        <v>0</v>
      </c>
      <c r="AR253" s="149">
        <v>0</v>
      </c>
      <c r="AS253" s="149">
        <v>0</v>
      </c>
      <c r="AT253" s="149">
        <v>0</v>
      </c>
      <c r="AU253" s="84"/>
      <c r="AV253" s="84"/>
      <c r="AW253" s="149">
        <v>0</v>
      </c>
      <c r="AX253" s="148">
        <v>649</v>
      </c>
      <c r="AY253" s="149" t="s">
        <v>101</v>
      </c>
      <c r="AZ253" s="149" t="s">
        <v>101</v>
      </c>
      <c r="BA253" s="149" t="s">
        <v>628</v>
      </c>
      <c r="BB253" s="149">
        <v>1126100105</v>
      </c>
      <c r="BC253" s="149" t="s">
        <v>168</v>
      </c>
      <c r="BD253" s="149" t="s">
        <v>272</v>
      </c>
      <c r="BE253" s="84"/>
      <c r="BF253" s="84" t="s">
        <v>271</v>
      </c>
      <c r="BG253" s="84" t="s">
        <v>281</v>
      </c>
      <c r="BH253" s="149" t="s">
        <v>290</v>
      </c>
      <c r="BI253" t="s">
        <v>155</v>
      </c>
      <c r="BJ253" t="s">
        <v>156</v>
      </c>
      <c r="BK253" t="s">
        <v>629</v>
      </c>
      <c r="BL253">
        <v>99</v>
      </c>
      <c r="BM253">
        <v>38182.879999999997</v>
      </c>
      <c r="BN253">
        <v>-38084</v>
      </c>
      <c r="BO253" t="s">
        <v>154</v>
      </c>
      <c r="BP253">
        <v>9158398</v>
      </c>
      <c r="BQ253" t="s">
        <v>271</v>
      </c>
      <c r="BR253" t="s">
        <v>630</v>
      </c>
      <c r="BS253">
        <v>37</v>
      </c>
    </row>
    <row r="254" spans="1:71" s="0" customFormat="1" ht="14.5">
      <c r="A254" s="148" t="s">
        <v>157</v>
      </c>
      <c r="B254" s="149" t="s">
        <v>625</v>
      </c>
      <c r="C254" s="149">
        <v>107</v>
      </c>
      <c r="D254" s="149" t="s">
        <v>97</v>
      </c>
      <c r="E254" s="149" t="s">
        <v>98</v>
      </c>
      <c r="F254" s="84"/>
      <c r="G254" s="149" t="s">
        <v>106</v>
      </c>
      <c r="H254" s="149" t="s">
        <v>48</v>
      </c>
      <c r="I254" s="149" t="s">
        <v>158</v>
      </c>
      <c r="J254" s="149" t="s">
        <v>165</v>
      </c>
      <c r="K254" s="149" t="s">
        <v>166</v>
      </c>
      <c r="L254" s="149" t="s">
        <v>160</v>
      </c>
      <c r="M254" s="150">
        <v>46140</v>
      </c>
      <c r="N254" s="149" t="s">
        <v>632</v>
      </c>
      <c r="O254" s="149">
        <v>9174963</v>
      </c>
      <c r="P254" s="150">
        <v>46129</v>
      </c>
      <c r="Q254" s="149" t="s">
        <v>161</v>
      </c>
      <c r="R254" s="149">
        <v>35671</v>
      </c>
      <c r="S254" s="149" t="s">
        <v>424</v>
      </c>
      <c r="T254" s="149" t="s">
        <v>425</v>
      </c>
      <c r="U254" s="149" t="s">
        <v>426</v>
      </c>
      <c r="V254" s="148" t="s">
        <v>162</v>
      </c>
      <c r="W254" s="84"/>
      <c r="X254" s="149">
        <v>910.17</v>
      </c>
      <c r="Y254" s="149">
        <v>10</v>
      </c>
      <c r="Z254" s="149">
        <v>9101.7000000000007</v>
      </c>
      <c r="AA254" s="149" t="s">
        <v>99</v>
      </c>
      <c r="AB254" s="149" t="s">
        <v>632</v>
      </c>
      <c r="AC254" s="150">
        <v>46129</v>
      </c>
      <c r="AD254" s="149" t="s">
        <v>164</v>
      </c>
      <c r="AE254" s="149">
        <v>38119000</v>
      </c>
      <c r="AF254" s="149" t="s">
        <v>852</v>
      </c>
      <c r="AG254" s="84"/>
      <c r="AH254" s="84"/>
      <c r="AI254" s="149">
        <v>9101.7000000000007</v>
      </c>
      <c r="AJ254" s="149" t="s">
        <v>368</v>
      </c>
      <c r="AK254" s="149">
        <v>18</v>
      </c>
      <c r="AL254" s="149">
        <v>0</v>
      </c>
      <c r="AM254" s="149">
        <v>0</v>
      </c>
      <c r="AN254" s="149">
        <v>1638.31</v>
      </c>
      <c r="AO254" s="149">
        <v>0</v>
      </c>
      <c r="AP254" s="149">
        <v>0</v>
      </c>
      <c r="AQ254" s="149">
        <v>0</v>
      </c>
      <c r="AR254" s="149">
        <v>0</v>
      </c>
      <c r="AS254" s="149">
        <v>0</v>
      </c>
      <c r="AT254" s="149">
        <v>0</v>
      </c>
      <c r="AU254" s="84"/>
      <c r="AV254" s="84"/>
      <c r="AW254" s="149">
        <v>0</v>
      </c>
      <c r="AX254" s="148">
        <v>10740.01</v>
      </c>
      <c r="AY254" s="149" t="s">
        <v>101</v>
      </c>
      <c r="AZ254" s="149" t="s">
        <v>101</v>
      </c>
      <c r="BA254" s="149" t="s">
        <v>634</v>
      </c>
      <c r="BB254" s="149">
        <v>1126100446</v>
      </c>
      <c r="BC254" s="149" t="s">
        <v>168</v>
      </c>
      <c r="BD254" s="149" t="s">
        <v>272</v>
      </c>
      <c r="BE254" s="84"/>
      <c r="BF254" s="84" t="s">
        <v>271</v>
      </c>
      <c r="BG254" s="84" t="s">
        <v>281</v>
      </c>
      <c r="BH254" s="149" t="s">
        <v>290</v>
      </c>
      <c r="BI254" t="s">
        <v>155</v>
      </c>
      <c r="BJ254" t="s">
        <v>156</v>
      </c>
      <c r="BK254" t="s">
        <v>635</v>
      </c>
      <c r="BL254">
        <v>1638.31</v>
      </c>
      <c r="BM254">
        <v>36494.74</v>
      </c>
      <c r="BN254">
        <v>-34856</v>
      </c>
      <c r="BO254" t="s">
        <v>154</v>
      </c>
      <c r="BP254">
        <v>9174963</v>
      </c>
      <c r="BQ254" t="s">
        <v>271</v>
      </c>
      <c r="BR254" t="s">
        <v>630</v>
      </c>
      <c r="BS254">
        <v>36</v>
      </c>
    </row>
    <row r="255" spans="1:71" s="0" customFormat="1" ht="14.5">
      <c r="A255" s="148" t="s">
        <v>157</v>
      </c>
      <c r="B255" s="149" t="s">
        <v>625</v>
      </c>
      <c r="C255" s="149">
        <v>107</v>
      </c>
      <c r="D255" s="149" t="s">
        <v>97</v>
      </c>
      <c r="E255" s="149" t="s">
        <v>98</v>
      </c>
      <c r="F255" s="84"/>
      <c r="G255" s="149" t="s">
        <v>106</v>
      </c>
      <c r="H255" s="149" t="s">
        <v>48</v>
      </c>
      <c r="I255" s="149" t="s">
        <v>158</v>
      </c>
      <c r="J255" s="149" t="s">
        <v>165</v>
      </c>
      <c r="K255" s="149" t="s">
        <v>166</v>
      </c>
      <c r="L255" s="149" t="s">
        <v>160</v>
      </c>
      <c r="M255" s="150">
        <v>46127</v>
      </c>
      <c r="N255" s="149" t="s">
        <v>636</v>
      </c>
      <c r="O255" s="149">
        <v>9156749</v>
      </c>
      <c r="P255" s="150">
        <v>46115</v>
      </c>
      <c r="Q255" s="149" t="s">
        <v>161</v>
      </c>
      <c r="R255" s="149">
        <v>6262</v>
      </c>
      <c r="S255" s="149" t="s">
        <v>183</v>
      </c>
      <c r="T255" s="149" t="s">
        <v>182</v>
      </c>
      <c r="U255" s="149" t="s">
        <v>184</v>
      </c>
      <c r="V255" s="148" t="s">
        <v>162</v>
      </c>
      <c r="W255" s="84"/>
      <c r="X255" s="149">
        <v>1</v>
      </c>
      <c r="Y255" s="149">
        <v>3133.48</v>
      </c>
      <c r="Z255" s="149">
        <v>3133.48</v>
      </c>
      <c r="AA255" s="149" t="s">
        <v>99</v>
      </c>
      <c r="AB255" s="149" t="s">
        <v>637</v>
      </c>
      <c r="AC255" s="150">
        <v>46115</v>
      </c>
      <c r="AD255" s="149" t="s">
        <v>171</v>
      </c>
      <c r="AE255" s="149">
        <v>998413</v>
      </c>
      <c r="AF255" s="149" t="s">
        <v>638</v>
      </c>
      <c r="AG255" s="84"/>
      <c r="AH255" s="84"/>
      <c r="AI255" s="149">
        <v>3133.48</v>
      </c>
      <c r="AJ255" s="149" t="s">
        <v>368</v>
      </c>
      <c r="AK255" s="149">
        <v>18</v>
      </c>
      <c r="AL255" s="149">
        <v>282.01</v>
      </c>
      <c r="AM255" s="149">
        <v>282.01</v>
      </c>
      <c r="AN255" s="149">
        <v>0</v>
      </c>
      <c r="AO255" s="149">
        <v>0</v>
      </c>
      <c r="AP255" s="149">
        <v>0</v>
      </c>
      <c r="AQ255" s="149">
        <v>0</v>
      </c>
      <c r="AR255" s="149">
        <v>0</v>
      </c>
      <c r="AS255" s="149">
        <v>0</v>
      </c>
      <c r="AT255" s="149">
        <v>0</v>
      </c>
      <c r="AU255" s="84"/>
      <c r="AV255" s="84"/>
      <c r="AW255" s="149">
        <v>0</v>
      </c>
      <c r="AX255" s="148">
        <v>3697.5</v>
      </c>
      <c r="AY255" s="149" t="s">
        <v>100</v>
      </c>
      <c r="AZ255" s="149" t="s">
        <v>101</v>
      </c>
      <c r="BA255" s="149" t="s">
        <v>311</v>
      </c>
      <c r="BB255" s="149">
        <v>1126100078</v>
      </c>
      <c r="BC255" s="149" t="s">
        <v>105</v>
      </c>
      <c r="BD255" s="149" t="s">
        <v>103</v>
      </c>
      <c r="BE255" s="84"/>
      <c r="BF255" s="84" t="s">
        <v>270</v>
      </c>
      <c r="BG255" s="84" t="s">
        <v>281</v>
      </c>
      <c r="BH255" s="149" t="s">
        <v>290</v>
      </c>
      <c r="BI255" t="s">
        <v>155</v>
      </c>
      <c r="BJ255" t="s">
        <v>156</v>
      </c>
      <c r="BK255" t="s">
        <v>639</v>
      </c>
      <c r="BL255">
        <v>564.02</v>
      </c>
      <c r="BM255">
        <v>8534.42</v>
      </c>
      <c r="BN255">
        <v>-7970</v>
      </c>
      <c r="BO255" t="s">
        <v>154</v>
      </c>
      <c r="BP255">
        <v>9156749</v>
      </c>
      <c r="BQ255" t="s">
        <v>270</v>
      </c>
      <c r="BR255" t="s">
        <v>630</v>
      </c>
      <c r="BS255">
        <v>17</v>
      </c>
    </row>
    <row r="256" spans="1:71" s="0" customFormat="1" ht="14.5">
      <c r="A256" s="148" t="s">
        <v>157</v>
      </c>
      <c r="B256" s="149" t="s">
        <v>625</v>
      </c>
      <c r="C256" s="149">
        <v>107</v>
      </c>
      <c r="D256" s="149" t="s">
        <v>97</v>
      </c>
      <c r="E256" s="149" t="s">
        <v>98</v>
      </c>
      <c r="F256" s="84"/>
      <c r="G256" s="84"/>
      <c r="H256" s="149" t="s">
        <v>48</v>
      </c>
      <c r="I256" s="149" t="s">
        <v>158</v>
      </c>
      <c r="J256" s="149" t="s">
        <v>159</v>
      </c>
      <c r="K256" s="149" t="s">
        <v>163</v>
      </c>
      <c r="L256" s="149" t="s">
        <v>160</v>
      </c>
      <c r="M256" s="150">
        <v>46141</v>
      </c>
      <c r="N256" s="149" t="s">
        <v>754</v>
      </c>
      <c r="O256" s="149">
        <v>9177454</v>
      </c>
      <c r="P256" s="150">
        <v>45990</v>
      </c>
      <c r="Q256" s="149" t="s">
        <v>161</v>
      </c>
      <c r="R256" s="149">
        <v>36105</v>
      </c>
      <c r="S256" s="149" t="s">
        <v>342</v>
      </c>
      <c r="T256" s="149" t="s">
        <v>169</v>
      </c>
      <c r="U256" s="84"/>
      <c r="V256" s="148" t="s">
        <v>162</v>
      </c>
      <c r="W256" s="84"/>
      <c r="X256" s="149">
        <v>10000</v>
      </c>
      <c r="Y256" s="149">
        <v>1</v>
      </c>
      <c r="Z256" s="149">
        <v>10000</v>
      </c>
      <c r="AA256" s="149" t="s">
        <v>99</v>
      </c>
      <c r="AB256" s="149" t="s">
        <v>755</v>
      </c>
      <c r="AC256" s="150">
        <v>45990</v>
      </c>
      <c r="AD256" s="84"/>
      <c r="AE256" s="149">
        <v>998213</v>
      </c>
      <c r="AF256" s="149" t="s">
        <v>998</v>
      </c>
      <c r="AG256" s="84"/>
      <c r="AH256" s="84"/>
      <c r="AI256" s="149">
        <v>10000</v>
      </c>
      <c r="AJ256" s="149" t="s">
        <v>368</v>
      </c>
      <c r="AK256" s="149">
        <v>18</v>
      </c>
      <c r="AL256" s="149">
        <v>900</v>
      </c>
      <c r="AM256" s="149">
        <v>900</v>
      </c>
      <c r="AN256" s="149">
        <v>0</v>
      </c>
      <c r="AO256" s="149">
        <v>0</v>
      </c>
      <c r="AP256" s="149">
        <v>0</v>
      </c>
      <c r="AQ256" s="149">
        <v>0</v>
      </c>
      <c r="AR256" s="149">
        <v>0</v>
      </c>
      <c r="AS256" s="149">
        <v>0</v>
      </c>
      <c r="AT256" s="149">
        <v>0</v>
      </c>
      <c r="AU256" s="84"/>
      <c r="AV256" s="84"/>
      <c r="AW256" s="149">
        <v>0</v>
      </c>
      <c r="AX256" s="148">
        <v>11800</v>
      </c>
      <c r="AY256" s="149" t="s">
        <v>100</v>
      </c>
      <c r="AZ256" s="149" t="s">
        <v>100</v>
      </c>
      <c r="BA256" s="149" t="s">
        <v>642</v>
      </c>
      <c r="BB256" s="149">
        <v>1126100459</v>
      </c>
      <c r="BC256" s="149" t="s">
        <v>188</v>
      </c>
      <c r="BD256" s="149" t="s">
        <v>103</v>
      </c>
      <c r="BE256" s="84"/>
      <c r="BF256" s="84" t="s">
        <v>210</v>
      </c>
      <c r="BG256" s="84" t="s">
        <v>280</v>
      </c>
      <c r="BH256" s="149" t="s">
        <v>289</v>
      </c>
      <c r="BI256" t="s">
        <v>155</v>
      </c>
      <c r="BJ256" t="s">
        <v>156</v>
      </c>
      <c r="BK256" t="s">
        <v>755</v>
      </c>
      <c r="BL256">
        <v>1800</v>
      </c>
      <c r="BM256" t="e">
        <v>#N/A</v>
      </c>
      <c r="BN256" t="e">
        <v>#N/A</v>
      </c>
      <c r="BO256" t="s">
        <v>199</v>
      </c>
      <c r="BP256">
        <v>9177454</v>
      </c>
      <c r="BQ256" t="s">
        <v>210</v>
      </c>
      <c r="BR256" t="s">
        <v>199</v>
      </c>
      <c r="BS256">
        <v>6</v>
      </c>
    </row>
    <row r="257" spans="1:71" s="0" customFormat="1" ht="14.5">
      <c r="A257" s="148" t="s">
        <v>157</v>
      </c>
      <c r="B257" s="149" t="s">
        <v>625</v>
      </c>
      <c r="C257" s="149">
        <v>107</v>
      </c>
      <c r="D257" s="149" t="s">
        <v>97</v>
      </c>
      <c r="E257" s="149" t="s">
        <v>98</v>
      </c>
      <c r="F257" s="84"/>
      <c r="G257" s="84"/>
      <c r="H257" s="149" t="s">
        <v>48</v>
      </c>
      <c r="I257" s="149" t="s">
        <v>158</v>
      </c>
      <c r="J257" s="149" t="s">
        <v>159</v>
      </c>
      <c r="K257" s="149" t="s">
        <v>163</v>
      </c>
      <c r="L257" s="149" t="s">
        <v>160</v>
      </c>
      <c r="M257" s="150">
        <v>46127</v>
      </c>
      <c r="N257" s="149" t="s">
        <v>999</v>
      </c>
      <c r="O257" s="149">
        <v>9156865</v>
      </c>
      <c r="P257" s="150">
        <v>46113</v>
      </c>
      <c r="Q257" s="149" t="s">
        <v>161</v>
      </c>
      <c r="R257" s="149">
        <v>2770</v>
      </c>
      <c r="S257" s="149" t="s">
        <v>299</v>
      </c>
      <c r="T257" s="149" t="s">
        <v>176</v>
      </c>
      <c r="U257" s="149" t="s">
        <v>177</v>
      </c>
      <c r="V257" s="148" t="s">
        <v>162</v>
      </c>
      <c r="W257" s="84"/>
      <c r="X257" s="149">
        <v>1</v>
      </c>
      <c r="Y257" s="149">
        <v>4365</v>
      </c>
      <c r="Z257" s="149">
        <v>4365</v>
      </c>
      <c r="AA257" s="149" t="s">
        <v>99</v>
      </c>
      <c r="AB257" s="149" t="s">
        <v>999</v>
      </c>
      <c r="AC257" s="150">
        <v>46113</v>
      </c>
      <c r="AD257" s="149" t="s">
        <v>164</v>
      </c>
      <c r="AE257" s="149">
        <v>997314</v>
      </c>
      <c r="AF257" s="149" t="s">
        <v>322</v>
      </c>
      <c r="AG257" s="84"/>
      <c r="AH257" s="84"/>
      <c r="AI257" s="149">
        <v>4365</v>
      </c>
      <c r="AJ257" s="149" t="s">
        <v>368</v>
      </c>
      <c r="AK257" s="149">
        <v>18</v>
      </c>
      <c r="AL257" s="149">
        <v>0</v>
      </c>
      <c r="AM257" s="149">
        <v>0</v>
      </c>
      <c r="AN257" s="149">
        <v>785.70</v>
      </c>
      <c r="AO257" s="149">
        <v>0</v>
      </c>
      <c r="AP257" s="149">
        <v>0</v>
      </c>
      <c r="AQ257" s="149">
        <v>0</v>
      </c>
      <c r="AR257" s="149">
        <v>0</v>
      </c>
      <c r="AS257" s="149">
        <v>0</v>
      </c>
      <c r="AT257" s="149">
        <v>0</v>
      </c>
      <c r="AU257" s="84"/>
      <c r="AV257" s="84"/>
      <c r="AW257" s="149">
        <v>0</v>
      </c>
      <c r="AX257" s="148">
        <v>5150.70</v>
      </c>
      <c r="AY257" s="149" t="s">
        <v>100</v>
      </c>
      <c r="AZ257" s="149" t="s">
        <v>101</v>
      </c>
      <c r="BA257" s="149" t="s">
        <v>321</v>
      </c>
      <c r="BB257" s="149">
        <v>1126100094</v>
      </c>
      <c r="BC257" s="149" t="s">
        <v>102</v>
      </c>
      <c r="BD257" s="149" t="s">
        <v>103</v>
      </c>
      <c r="BE257" s="84"/>
      <c r="BF257" s="84" t="s">
        <v>270</v>
      </c>
      <c r="BG257" s="84" t="s">
        <v>281</v>
      </c>
      <c r="BH257" s="149" t="s">
        <v>290</v>
      </c>
      <c r="BI257" t="s">
        <v>155</v>
      </c>
      <c r="BJ257" t="s">
        <v>156</v>
      </c>
      <c r="BK257" t="s">
        <v>1000</v>
      </c>
      <c r="BL257">
        <v>785.70</v>
      </c>
      <c r="BM257">
        <v>785.70</v>
      </c>
      <c r="BN257">
        <v>0</v>
      </c>
      <c r="BO257" t="s">
        <v>154</v>
      </c>
      <c r="BP257">
        <v>9156865</v>
      </c>
      <c r="BQ257" t="s">
        <v>270</v>
      </c>
      <c r="BR257" t="s">
        <v>630</v>
      </c>
      <c r="BS257">
        <v>1</v>
      </c>
    </row>
    <row r="258" spans="1:71" s="0" customFormat="1" ht="14.5">
      <c r="A258" s="148" t="s">
        <v>157</v>
      </c>
      <c r="B258" s="149" t="s">
        <v>625</v>
      </c>
      <c r="C258" s="149">
        <v>107</v>
      </c>
      <c r="D258" s="149" t="s">
        <v>97</v>
      </c>
      <c r="E258" s="149" t="s">
        <v>98</v>
      </c>
      <c r="F258" s="84"/>
      <c r="G258" s="149" t="s">
        <v>106</v>
      </c>
      <c r="H258" s="149" t="s">
        <v>48</v>
      </c>
      <c r="I258" s="149" t="s">
        <v>158</v>
      </c>
      <c r="J258" s="149" t="s">
        <v>165</v>
      </c>
      <c r="K258" s="149" t="s">
        <v>166</v>
      </c>
      <c r="L258" s="149" t="s">
        <v>160</v>
      </c>
      <c r="M258" s="150">
        <v>46127</v>
      </c>
      <c r="N258" s="149" t="s">
        <v>626</v>
      </c>
      <c r="O258" s="149">
        <v>9158398</v>
      </c>
      <c r="P258" s="150">
        <v>46090</v>
      </c>
      <c r="Q258" s="149" t="s">
        <v>161</v>
      </c>
      <c r="R258" s="149">
        <v>35671</v>
      </c>
      <c r="S258" s="149" t="s">
        <v>424</v>
      </c>
      <c r="T258" s="149" t="s">
        <v>425</v>
      </c>
      <c r="U258" s="149" t="s">
        <v>426</v>
      </c>
      <c r="V258" s="148" t="s">
        <v>162</v>
      </c>
      <c r="W258" s="84"/>
      <c r="X258" s="149">
        <v>275</v>
      </c>
      <c r="Y258" s="149">
        <v>7</v>
      </c>
      <c r="Z258" s="149">
        <v>1925</v>
      </c>
      <c r="AA258" s="149" t="s">
        <v>99</v>
      </c>
      <c r="AB258" s="149" t="s">
        <v>626</v>
      </c>
      <c r="AC258" s="150">
        <v>46121</v>
      </c>
      <c r="AD258" s="149" t="s">
        <v>164</v>
      </c>
      <c r="AE258" s="149">
        <v>998729</v>
      </c>
      <c r="AF258" s="149" t="s">
        <v>809</v>
      </c>
      <c r="AG258" s="84"/>
      <c r="AH258" s="84"/>
      <c r="AI258" s="149">
        <v>1925</v>
      </c>
      <c r="AJ258" s="149" t="s">
        <v>368</v>
      </c>
      <c r="AK258" s="149">
        <v>18</v>
      </c>
      <c r="AL258" s="149">
        <v>0</v>
      </c>
      <c r="AM258" s="149">
        <v>0</v>
      </c>
      <c r="AN258" s="149">
        <v>346.5</v>
      </c>
      <c r="AO258" s="149">
        <v>0</v>
      </c>
      <c r="AP258" s="149">
        <v>0</v>
      </c>
      <c r="AQ258" s="149">
        <v>0</v>
      </c>
      <c r="AR258" s="149">
        <v>0</v>
      </c>
      <c r="AS258" s="149">
        <v>0</v>
      </c>
      <c r="AT258" s="149">
        <v>0</v>
      </c>
      <c r="AU258" s="84"/>
      <c r="AV258" s="84"/>
      <c r="AW258" s="149">
        <v>0</v>
      </c>
      <c r="AX258" s="148">
        <v>2271.5</v>
      </c>
      <c r="AY258" s="149" t="s">
        <v>101</v>
      </c>
      <c r="AZ258" s="149" t="s">
        <v>101</v>
      </c>
      <c r="BA258" s="149" t="s">
        <v>628</v>
      </c>
      <c r="BB258" s="149">
        <v>1126100105</v>
      </c>
      <c r="BC258" s="149" t="s">
        <v>168</v>
      </c>
      <c r="BD258" s="149" t="s">
        <v>272</v>
      </c>
      <c r="BE258" s="84"/>
      <c r="BF258" s="84" t="s">
        <v>271</v>
      </c>
      <c r="BG258" s="84" t="s">
        <v>281</v>
      </c>
      <c r="BH258" s="149" t="s">
        <v>290</v>
      </c>
      <c r="BI258" t="s">
        <v>155</v>
      </c>
      <c r="BJ258" t="s">
        <v>156</v>
      </c>
      <c r="BK258" t="s">
        <v>629</v>
      </c>
      <c r="BL258">
        <v>346.5</v>
      </c>
      <c r="BM258">
        <v>38182.879999999997</v>
      </c>
      <c r="BN258">
        <v>-37836</v>
      </c>
      <c r="BO258" t="s">
        <v>154</v>
      </c>
      <c r="BP258">
        <v>9158398</v>
      </c>
      <c r="BQ258" t="s">
        <v>271</v>
      </c>
      <c r="BR258" t="s">
        <v>630</v>
      </c>
      <c r="BS258">
        <v>37</v>
      </c>
    </row>
    <row r="259" spans="1:71" s="0" customFormat="1" ht="14.5">
      <c r="A259" s="148" t="s">
        <v>157</v>
      </c>
      <c r="B259" s="149" t="s">
        <v>625</v>
      </c>
      <c r="C259" s="149">
        <v>107</v>
      </c>
      <c r="D259" s="149" t="s">
        <v>97</v>
      </c>
      <c r="E259" s="149" t="s">
        <v>98</v>
      </c>
      <c r="F259" s="84"/>
      <c r="G259" s="149" t="s">
        <v>106</v>
      </c>
      <c r="H259" s="149" t="s">
        <v>48</v>
      </c>
      <c r="I259" s="149" t="s">
        <v>158</v>
      </c>
      <c r="J259" s="149" t="s">
        <v>165</v>
      </c>
      <c r="K259" s="149" t="s">
        <v>166</v>
      </c>
      <c r="L259" s="149" t="s">
        <v>160</v>
      </c>
      <c r="M259" s="150">
        <v>46140</v>
      </c>
      <c r="N259" s="149" t="s">
        <v>632</v>
      </c>
      <c r="O259" s="149">
        <v>9174963</v>
      </c>
      <c r="P259" s="150">
        <v>46129</v>
      </c>
      <c r="Q259" s="149" t="s">
        <v>161</v>
      </c>
      <c r="R259" s="149">
        <v>35671</v>
      </c>
      <c r="S259" s="149" t="s">
        <v>424</v>
      </c>
      <c r="T259" s="149" t="s">
        <v>425</v>
      </c>
      <c r="U259" s="149" t="s">
        <v>426</v>
      </c>
      <c r="V259" s="148" t="s">
        <v>162</v>
      </c>
      <c r="W259" s="84"/>
      <c r="X259" s="149">
        <v>763.98</v>
      </c>
      <c r="Y259" s="149">
        <v>6</v>
      </c>
      <c r="Z259" s="149">
        <v>4583.88</v>
      </c>
      <c r="AA259" s="149" t="s">
        <v>99</v>
      </c>
      <c r="AB259" s="149" t="s">
        <v>632</v>
      </c>
      <c r="AC259" s="150">
        <v>46129</v>
      </c>
      <c r="AD259" s="149" t="s">
        <v>164</v>
      </c>
      <c r="AE259" s="149">
        <v>84841090</v>
      </c>
      <c r="AF259" s="149" t="s">
        <v>1001</v>
      </c>
      <c r="AG259" s="84"/>
      <c r="AH259" s="84"/>
      <c r="AI259" s="149">
        <v>4583.88</v>
      </c>
      <c r="AJ259" s="149" t="s">
        <v>368</v>
      </c>
      <c r="AK259" s="149">
        <v>18</v>
      </c>
      <c r="AL259" s="149">
        <v>0</v>
      </c>
      <c r="AM259" s="149">
        <v>0</v>
      </c>
      <c r="AN259" s="149">
        <v>825.10</v>
      </c>
      <c r="AO259" s="149">
        <v>0</v>
      </c>
      <c r="AP259" s="149">
        <v>0</v>
      </c>
      <c r="AQ259" s="149">
        <v>0</v>
      </c>
      <c r="AR259" s="149">
        <v>0</v>
      </c>
      <c r="AS259" s="149">
        <v>0</v>
      </c>
      <c r="AT259" s="149">
        <v>0</v>
      </c>
      <c r="AU259" s="84"/>
      <c r="AV259" s="84"/>
      <c r="AW259" s="149">
        <v>0</v>
      </c>
      <c r="AX259" s="148">
        <v>5408.98</v>
      </c>
      <c r="AY259" s="149" t="s">
        <v>101</v>
      </c>
      <c r="AZ259" s="149" t="s">
        <v>101</v>
      </c>
      <c r="BA259" s="149" t="s">
        <v>634</v>
      </c>
      <c r="BB259" s="149">
        <v>1126100446</v>
      </c>
      <c r="BC259" s="149" t="s">
        <v>168</v>
      </c>
      <c r="BD259" s="149" t="s">
        <v>272</v>
      </c>
      <c r="BE259" s="84"/>
      <c r="BF259" s="84" t="s">
        <v>271</v>
      </c>
      <c r="BG259" s="84" t="s">
        <v>281</v>
      </c>
      <c r="BH259" s="149" t="s">
        <v>290</v>
      </c>
      <c r="BI259" t="s">
        <v>155</v>
      </c>
      <c r="BJ259" t="s">
        <v>156</v>
      </c>
      <c r="BK259" t="s">
        <v>635</v>
      </c>
      <c r="BL259">
        <v>825.10</v>
      </c>
      <c r="BM259">
        <v>36494.74</v>
      </c>
      <c r="BN259">
        <v>-35670</v>
      </c>
      <c r="BO259" t="s">
        <v>154</v>
      </c>
      <c r="BP259">
        <v>9174963</v>
      </c>
      <c r="BQ259" t="s">
        <v>271</v>
      </c>
      <c r="BR259" t="s">
        <v>630</v>
      </c>
      <c r="BS259">
        <v>36</v>
      </c>
    </row>
    <row r="260" spans="1:71" s="0" customFormat="1" ht="14.5">
      <c r="A260" s="148" t="s">
        <v>157</v>
      </c>
      <c r="B260" s="149" t="s">
        <v>625</v>
      </c>
      <c r="C260" s="149">
        <v>107</v>
      </c>
      <c r="D260" s="149" t="s">
        <v>97</v>
      </c>
      <c r="E260" s="149" t="s">
        <v>98</v>
      </c>
      <c r="F260" s="84"/>
      <c r="G260" s="84"/>
      <c r="H260" s="149" t="s">
        <v>48</v>
      </c>
      <c r="I260" s="149" t="s">
        <v>158</v>
      </c>
      <c r="J260" s="149" t="s">
        <v>159</v>
      </c>
      <c r="K260" s="149" t="s">
        <v>421</v>
      </c>
      <c r="L260" s="149" t="s">
        <v>160</v>
      </c>
      <c r="M260" s="150">
        <v>46133</v>
      </c>
      <c r="N260" s="149" t="s">
        <v>1002</v>
      </c>
      <c r="O260" s="149">
        <v>9164382</v>
      </c>
      <c r="P260" s="150">
        <v>46115</v>
      </c>
      <c r="Q260" s="149" t="s">
        <v>161</v>
      </c>
      <c r="R260" s="149">
        <v>6262</v>
      </c>
      <c r="S260" s="149" t="s">
        <v>183</v>
      </c>
      <c r="T260" s="149" t="s">
        <v>182</v>
      </c>
      <c r="U260" s="149" t="s">
        <v>184</v>
      </c>
      <c r="V260" s="148" t="s">
        <v>162</v>
      </c>
      <c r="W260" s="84"/>
      <c r="X260" s="149">
        <v>1</v>
      </c>
      <c r="Y260" s="149">
        <v>4098</v>
      </c>
      <c r="Z260" s="149">
        <v>4098</v>
      </c>
      <c r="AA260" s="149" t="s">
        <v>99</v>
      </c>
      <c r="AB260" s="149" t="s">
        <v>1002</v>
      </c>
      <c r="AC260" s="150">
        <v>46115</v>
      </c>
      <c r="AD260" s="149" t="s">
        <v>171</v>
      </c>
      <c r="AE260" s="149">
        <v>998412</v>
      </c>
      <c r="AF260" s="149" t="s">
        <v>1003</v>
      </c>
      <c r="AG260" s="84"/>
      <c r="AH260" s="84"/>
      <c r="AI260" s="149">
        <v>4098</v>
      </c>
      <c r="AJ260" s="149" t="s">
        <v>368</v>
      </c>
      <c r="AK260" s="149">
        <v>18</v>
      </c>
      <c r="AL260" s="149">
        <v>368.82</v>
      </c>
      <c r="AM260" s="149">
        <v>368.82</v>
      </c>
      <c r="AN260" s="149">
        <v>0</v>
      </c>
      <c r="AO260" s="149">
        <v>0</v>
      </c>
      <c r="AP260" s="149">
        <v>0</v>
      </c>
      <c r="AQ260" s="149">
        <v>0</v>
      </c>
      <c r="AR260" s="149">
        <v>0</v>
      </c>
      <c r="AS260" s="149">
        <v>0</v>
      </c>
      <c r="AT260" s="149">
        <v>0</v>
      </c>
      <c r="AU260" s="84"/>
      <c r="AV260" s="84"/>
      <c r="AW260" s="149">
        <v>0</v>
      </c>
      <c r="AX260" s="148">
        <v>4835.6400000000003</v>
      </c>
      <c r="AY260" s="149" t="s">
        <v>100</v>
      </c>
      <c r="AZ260" s="149" t="s">
        <v>101</v>
      </c>
      <c r="BA260" s="149" t="s">
        <v>448</v>
      </c>
      <c r="BB260" s="149">
        <v>1126100278</v>
      </c>
      <c r="BC260" s="149" t="s">
        <v>105</v>
      </c>
      <c r="BD260" s="149" t="s">
        <v>103</v>
      </c>
      <c r="BE260" s="84"/>
      <c r="BF260" s="84" t="s">
        <v>270</v>
      </c>
      <c r="BG260" s="84" t="s">
        <v>281</v>
      </c>
      <c r="BH260" s="149" t="s">
        <v>290</v>
      </c>
      <c r="BI260" t="s">
        <v>155</v>
      </c>
      <c r="BJ260" t="s">
        <v>156</v>
      </c>
      <c r="BK260" t="s">
        <v>1004</v>
      </c>
      <c r="BL260">
        <v>737.64</v>
      </c>
      <c r="BM260">
        <v>737.64</v>
      </c>
      <c r="BN260">
        <v>0</v>
      </c>
      <c r="BO260" t="s">
        <v>154</v>
      </c>
      <c r="BP260">
        <v>9164382</v>
      </c>
      <c r="BQ260" t="s">
        <v>270</v>
      </c>
      <c r="BR260" t="s">
        <v>630</v>
      </c>
      <c r="BS260">
        <v>1</v>
      </c>
    </row>
    <row r="261" spans="1:71" s="0" customFormat="1" ht="14.5">
      <c r="A261" s="148" t="s">
        <v>157</v>
      </c>
      <c r="B261" s="149" t="s">
        <v>625</v>
      </c>
      <c r="C261" s="149">
        <v>107</v>
      </c>
      <c r="D261" s="149" t="s">
        <v>97</v>
      </c>
      <c r="E261" s="149" t="s">
        <v>98</v>
      </c>
      <c r="F261" s="84"/>
      <c r="G261" s="84"/>
      <c r="H261" s="149" t="s">
        <v>48</v>
      </c>
      <c r="I261" s="149" t="s">
        <v>158</v>
      </c>
      <c r="J261" s="149" t="s">
        <v>159</v>
      </c>
      <c r="K261" s="149" t="s">
        <v>163</v>
      </c>
      <c r="L261" s="149" t="s">
        <v>160</v>
      </c>
      <c r="M261" s="150">
        <v>46141</v>
      </c>
      <c r="N261" s="149" t="s">
        <v>754</v>
      </c>
      <c r="O261" s="149">
        <v>9177454</v>
      </c>
      <c r="P261" s="150">
        <v>45990</v>
      </c>
      <c r="Q261" s="149" t="s">
        <v>161</v>
      </c>
      <c r="R261" s="149">
        <v>36105</v>
      </c>
      <c r="S261" s="149" t="s">
        <v>342</v>
      </c>
      <c r="T261" s="149" t="s">
        <v>169</v>
      </c>
      <c r="U261" s="84"/>
      <c r="V261" s="148" t="s">
        <v>162</v>
      </c>
      <c r="W261" s="84"/>
      <c r="X261" s="149">
        <v>25000</v>
      </c>
      <c r="Y261" s="149">
        <v>1</v>
      </c>
      <c r="Z261" s="149">
        <v>25000</v>
      </c>
      <c r="AA261" s="149" t="s">
        <v>99</v>
      </c>
      <c r="AB261" s="149" t="s">
        <v>755</v>
      </c>
      <c r="AC261" s="150">
        <v>45990</v>
      </c>
      <c r="AD261" s="84"/>
      <c r="AE261" s="149">
        <v>998213</v>
      </c>
      <c r="AF261" s="149" t="s">
        <v>1005</v>
      </c>
      <c r="AG261" s="84"/>
      <c r="AH261" s="84"/>
      <c r="AI261" s="149">
        <v>25000</v>
      </c>
      <c r="AJ261" s="149" t="s">
        <v>368</v>
      </c>
      <c r="AK261" s="149">
        <v>18</v>
      </c>
      <c r="AL261" s="149">
        <v>2250</v>
      </c>
      <c r="AM261" s="149">
        <v>2250</v>
      </c>
      <c r="AN261" s="149">
        <v>0</v>
      </c>
      <c r="AO261" s="149">
        <v>0</v>
      </c>
      <c r="AP261" s="149">
        <v>0</v>
      </c>
      <c r="AQ261" s="149">
        <v>0</v>
      </c>
      <c r="AR261" s="149">
        <v>0</v>
      </c>
      <c r="AS261" s="149">
        <v>0</v>
      </c>
      <c r="AT261" s="149">
        <v>0</v>
      </c>
      <c r="AU261" s="84"/>
      <c r="AV261" s="84"/>
      <c r="AW261" s="149">
        <v>0</v>
      </c>
      <c r="AX261" s="148">
        <v>29500</v>
      </c>
      <c r="AY261" s="149" t="s">
        <v>100</v>
      </c>
      <c r="AZ261" s="149" t="s">
        <v>100</v>
      </c>
      <c r="BA261" s="149" t="s">
        <v>642</v>
      </c>
      <c r="BB261" s="149">
        <v>1126100459</v>
      </c>
      <c r="BC261" s="149" t="s">
        <v>188</v>
      </c>
      <c r="BD261" s="149" t="s">
        <v>103</v>
      </c>
      <c r="BE261" s="84"/>
      <c r="BF261" s="84" t="s">
        <v>210</v>
      </c>
      <c r="BG261" s="84" t="s">
        <v>280</v>
      </c>
      <c r="BH261" s="149" t="s">
        <v>289</v>
      </c>
      <c r="BI261" t="s">
        <v>155</v>
      </c>
      <c r="BJ261" t="s">
        <v>156</v>
      </c>
      <c r="BK261" t="s">
        <v>755</v>
      </c>
      <c r="BL261">
        <v>4500</v>
      </c>
      <c r="BM261" t="e">
        <v>#N/A</v>
      </c>
      <c r="BN261" t="e">
        <v>#N/A</v>
      </c>
      <c r="BO261" t="s">
        <v>199</v>
      </c>
      <c r="BP261">
        <v>9177454</v>
      </c>
      <c r="BQ261" t="s">
        <v>210</v>
      </c>
      <c r="BR261" t="s">
        <v>199</v>
      </c>
      <c r="BS261">
        <v>6</v>
      </c>
    </row>
    <row r="262" spans="1:71" s="0" customFormat="1" ht="14.5">
      <c r="A262" s="148" t="s">
        <v>157</v>
      </c>
      <c r="B262" s="149" t="s">
        <v>625</v>
      </c>
      <c r="C262" s="149">
        <v>107</v>
      </c>
      <c r="D262" s="149" t="s">
        <v>97</v>
      </c>
      <c r="E262" s="149" t="s">
        <v>98</v>
      </c>
      <c r="F262" s="84"/>
      <c r="G262" s="84"/>
      <c r="H262" s="149" t="s">
        <v>48</v>
      </c>
      <c r="I262" s="149" t="s">
        <v>158</v>
      </c>
      <c r="J262" s="149" t="s">
        <v>159</v>
      </c>
      <c r="K262" s="149" t="s">
        <v>163</v>
      </c>
      <c r="L262" s="149" t="s">
        <v>160</v>
      </c>
      <c r="M262" s="150">
        <v>46133</v>
      </c>
      <c r="N262" s="149" t="s">
        <v>797</v>
      </c>
      <c r="O262" s="149">
        <v>9164021</v>
      </c>
      <c r="P262" s="150">
        <v>46108</v>
      </c>
      <c r="Q262" s="149" t="s">
        <v>161</v>
      </c>
      <c r="R262" s="149">
        <v>45456</v>
      </c>
      <c r="S262" s="149" t="s">
        <v>418</v>
      </c>
      <c r="T262" s="149" t="s">
        <v>419</v>
      </c>
      <c r="U262" s="84"/>
      <c r="V262" s="84"/>
      <c r="W262" s="84"/>
      <c r="X262" s="149">
        <v>8000</v>
      </c>
      <c r="Y262" s="149">
        <v>1</v>
      </c>
      <c r="Z262" s="149">
        <v>8000</v>
      </c>
      <c r="AA262" s="149" t="s">
        <v>99</v>
      </c>
      <c r="AB262" s="149" t="s">
        <v>797</v>
      </c>
      <c r="AC262" s="150">
        <v>46108</v>
      </c>
      <c r="AD262" s="84"/>
      <c r="AE262" s="149">
        <v>998216</v>
      </c>
      <c r="AF262" s="149" t="s">
        <v>1006</v>
      </c>
      <c r="AG262" s="84"/>
      <c r="AH262" s="84"/>
      <c r="AI262" s="149">
        <v>8000</v>
      </c>
      <c r="AJ262" s="149" t="s">
        <v>368</v>
      </c>
      <c r="AK262" s="149">
        <v>18</v>
      </c>
      <c r="AL262" s="149">
        <v>720</v>
      </c>
      <c r="AM262" s="149">
        <v>720</v>
      </c>
      <c r="AN262" s="149">
        <v>0</v>
      </c>
      <c r="AO262" s="149">
        <v>0</v>
      </c>
      <c r="AP262" s="149">
        <v>0</v>
      </c>
      <c r="AQ262" s="149">
        <v>0</v>
      </c>
      <c r="AR262" s="149">
        <v>0</v>
      </c>
      <c r="AS262" s="149">
        <v>0</v>
      </c>
      <c r="AT262" s="149">
        <v>0</v>
      </c>
      <c r="AU262" s="84"/>
      <c r="AV262" s="84"/>
      <c r="AW262" s="149">
        <v>0</v>
      </c>
      <c r="AX262" s="148">
        <v>9440</v>
      </c>
      <c r="AY262" s="149" t="s">
        <v>100</v>
      </c>
      <c r="AZ262" s="149" t="s">
        <v>100</v>
      </c>
      <c r="BA262" s="149" t="s">
        <v>642</v>
      </c>
      <c r="BB262" s="149">
        <v>1125113944</v>
      </c>
      <c r="BC262" s="149" t="s">
        <v>188</v>
      </c>
      <c r="BD262" s="149" t="s">
        <v>103</v>
      </c>
      <c r="BE262" s="84"/>
      <c r="BF262" s="84" t="s">
        <v>210</v>
      </c>
      <c r="BG262" s="84" t="s">
        <v>280</v>
      </c>
      <c r="BH262" s="149" t="s">
        <v>289</v>
      </c>
      <c r="BI262" t="s">
        <v>155</v>
      </c>
      <c r="BJ262" t="s">
        <v>156</v>
      </c>
      <c r="BK262" t="s">
        <v>797</v>
      </c>
      <c r="BL262">
        <v>1440</v>
      </c>
      <c r="BM262" t="e">
        <v>#N/A</v>
      </c>
      <c r="BN262" t="e">
        <v>#N/A</v>
      </c>
      <c r="BO262" t="s">
        <v>199</v>
      </c>
      <c r="BP262">
        <v>9164021</v>
      </c>
      <c r="BQ262" t="s">
        <v>210</v>
      </c>
      <c r="BR262" t="s">
        <v>199</v>
      </c>
      <c r="BS262">
        <v>5</v>
      </c>
    </row>
    <row r="263" spans="1:71" s="0" customFormat="1" ht="14.5">
      <c r="A263" s="148" t="s">
        <v>157</v>
      </c>
      <c r="B263" s="149" t="s">
        <v>625</v>
      </c>
      <c r="C263" s="149">
        <v>107</v>
      </c>
      <c r="D263" s="149" t="s">
        <v>97</v>
      </c>
      <c r="E263" s="149" t="s">
        <v>98</v>
      </c>
      <c r="F263" s="84"/>
      <c r="G263" s="84"/>
      <c r="H263" s="149" t="s">
        <v>48</v>
      </c>
      <c r="I263" s="149" t="s">
        <v>158</v>
      </c>
      <c r="J263" s="149" t="s">
        <v>159</v>
      </c>
      <c r="K263" s="149" t="s">
        <v>163</v>
      </c>
      <c r="L263" s="149" t="s">
        <v>160</v>
      </c>
      <c r="M263" s="150">
        <v>46133</v>
      </c>
      <c r="N263" s="149" t="s">
        <v>699</v>
      </c>
      <c r="O263" s="149">
        <v>9164022</v>
      </c>
      <c r="P263" s="150">
        <v>46108</v>
      </c>
      <c r="Q263" s="149" t="s">
        <v>161</v>
      </c>
      <c r="R263" s="149">
        <v>45456</v>
      </c>
      <c r="S263" s="149" t="s">
        <v>418</v>
      </c>
      <c r="T263" s="149" t="s">
        <v>419</v>
      </c>
      <c r="U263" s="84"/>
      <c r="V263" s="84"/>
      <c r="W263" s="84"/>
      <c r="X263" s="149">
        <v>0</v>
      </c>
      <c r="Y263" s="149">
        <v>0</v>
      </c>
      <c r="Z263" s="149">
        <v>100</v>
      </c>
      <c r="AA263" s="149" t="s">
        <v>99</v>
      </c>
      <c r="AB263" s="149" t="s">
        <v>699</v>
      </c>
      <c r="AC263" s="150">
        <v>46108</v>
      </c>
      <c r="AD263" s="84"/>
      <c r="AE263" s="149">
        <v>998216</v>
      </c>
      <c r="AF263" s="149" t="s">
        <v>1007</v>
      </c>
      <c r="AG263" s="84"/>
      <c r="AH263" s="84"/>
      <c r="AI263" s="149">
        <v>100</v>
      </c>
      <c r="AJ263" s="149" t="s">
        <v>368</v>
      </c>
      <c r="AK263" s="149">
        <v>18</v>
      </c>
      <c r="AL263" s="149">
        <v>9</v>
      </c>
      <c r="AM263" s="149">
        <v>9</v>
      </c>
      <c r="AN263" s="149">
        <v>0</v>
      </c>
      <c r="AO263" s="149">
        <v>0</v>
      </c>
      <c r="AP263" s="149">
        <v>0</v>
      </c>
      <c r="AQ263" s="149">
        <v>0</v>
      </c>
      <c r="AR263" s="149">
        <v>0</v>
      </c>
      <c r="AS263" s="149">
        <v>0</v>
      </c>
      <c r="AT263" s="149">
        <v>0</v>
      </c>
      <c r="AU263" s="84"/>
      <c r="AV263" s="84"/>
      <c r="AW263" s="149">
        <v>0</v>
      </c>
      <c r="AX263" s="148">
        <v>118</v>
      </c>
      <c r="AY263" s="149" t="s">
        <v>100</v>
      </c>
      <c r="AZ263" s="149" t="s">
        <v>100</v>
      </c>
      <c r="BA263" s="149" t="s">
        <v>642</v>
      </c>
      <c r="BB263" s="149">
        <v>1125113945</v>
      </c>
      <c r="BC263" s="149" t="s">
        <v>188</v>
      </c>
      <c r="BD263" s="149" t="s">
        <v>103</v>
      </c>
      <c r="BE263" s="84"/>
      <c r="BF263" s="84" t="s">
        <v>210</v>
      </c>
      <c r="BG263" s="84" t="s">
        <v>280</v>
      </c>
      <c r="BH263" s="149" t="s">
        <v>289</v>
      </c>
      <c r="BI263" t="s">
        <v>155</v>
      </c>
      <c r="BJ263" t="s">
        <v>156</v>
      </c>
      <c r="BK263" t="s">
        <v>699</v>
      </c>
      <c r="BL263">
        <v>18</v>
      </c>
      <c r="BM263" t="e">
        <v>#N/A</v>
      </c>
      <c r="BN263" t="e">
        <v>#N/A</v>
      </c>
      <c r="BO263" t="s">
        <v>199</v>
      </c>
      <c r="BP263">
        <v>9164022</v>
      </c>
      <c r="BQ263" t="s">
        <v>210</v>
      </c>
      <c r="BR263" t="s">
        <v>199</v>
      </c>
      <c r="BS263">
        <v>3</v>
      </c>
    </row>
    <row r="264" spans="1:71" s="0" customFormat="1" ht="14.5">
      <c r="A264" s="153" t="s">
        <v>157</v>
      </c>
      <c r="B264" s="154" t="s">
        <v>625</v>
      </c>
      <c r="C264" s="154">
        <v>107</v>
      </c>
      <c r="D264" s="154" t="s">
        <v>97</v>
      </c>
      <c r="E264" s="154" t="s">
        <v>98</v>
      </c>
      <c r="F264" s="155"/>
      <c r="G264" s="155" t="s">
        <v>106</v>
      </c>
      <c r="H264" s="153" t="s">
        <v>48</v>
      </c>
      <c r="I264" s="154" t="s">
        <v>158</v>
      </c>
      <c r="J264" s="154" t="s">
        <v>165</v>
      </c>
      <c r="K264" s="154" t="s">
        <v>166</v>
      </c>
      <c r="L264" s="154" t="s">
        <v>160</v>
      </c>
      <c r="M264" s="156">
        <v>46112</v>
      </c>
      <c r="N264" s="154">
        <v>5500</v>
      </c>
      <c r="O264" s="154">
        <v>9122840</v>
      </c>
      <c r="P264" s="156">
        <v>46090</v>
      </c>
      <c r="Q264" s="154" t="s">
        <v>161</v>
      </c>
      <c r="R264" s="154">
        <v>43683</v>
      </c>
      <c r="S264" s="154" t="s">
        <v>1008</v>
      </c>
      <c r="T264" s="154" t="s">
        <v>170</v>
      </c>
      <c r="U264" s="154" t="s">
        <v>1009</v>
      </c>
      <c r="V264" s="155" t="s">
        <v>162</v>
      </c>
      <c r="W264" s="155"/>
      <c r="X264" s="154">
        <v>1650</v>
      </c>
      <c r="Y264" s="154">
        <v>6</v>
      </c>
      <c r="Z264" s="154">
        <v>9900</v>
      </c>
      <c r="AA264" s="154" t="s">
        <v>99</v>
      </c>
      <c r="AB264" s="154">
        <v>5500</v>
      </c>
      <c r="AC264" s="156">
        <v>46090</v>
      </c>
      <c r="AD264" s="155" t="s">
        <v>164</v>
      </c>
      <c r="AE264" s="154">
        <v>9405</v>
      </c>
      <c r="AF264" s="154" t="s">
        <v>1010</v>
      </c>
      <c r="AG264" s="154"/>
      <c r="AH264" s="154"/>
      <c r="AI264" s="154">
        <v>9900</v>
      </c>
      <c r="AJ264" s="154" t="s">
        <v>368</v>
      </c>
      <c r="AK264" s="154">
        <v>18</v>
      </c>
      <c r="AL264" s="154">
        <v>891</v>
      </c>
      <c r="AM264" s="154">
        <v>891</v>
      </c>
      <c r="AN264" s="154">
        <v>0</v>
      </c>
      <c r="AO264" s="154">
        <v>0</v>
      </c>
      <c r="AP264" s="154">
        <v>0</v>
      </c>
      <c r="AQ264" s="154">
        <v>0</v>
      </c>
      <c r="AR264" s="154">
        <v>0</v>
      </c>
      <c r="AS264" s="153">
        <v>0</v>
      </c>
      <c r="AT264" s="154">
        <v>0</v>
      </c>
      <c r="AU264" s="155"/>
      <c r="AV264" s="155"/>
      <c r="AW264" s="154">
        <v>0</v>
      </c>
      <c r="AX264" s="154">
        <v>11682</v>
      </c>
      <c r="AY264" s="154" t="s">
        <v>101</v>
      </c>
      <c r="AZ264" s="154" t="s">
        <v>101</v>
      </c>
      <c r="BA264" s="154" t="s">
        <v>298</v>
      </c>
      <c r="BB264" s="154">
        <v>1125113238</v>
      </c>
      <c r="BC264" s="154" t="s">
        <v>172</v>
      </c>
      <c r="BD264" s="154" t="s">
        <v>104</v>
      </c>
      <c r="BE264" s="155"/>
      <c r="BF264" s="155" t="s">
        <v>271</v>
      </c>
      <c r="BG264" s="155" t="s">
        <v>281</v>
      </c>
      <c r="BH264" s="154" t="s">
        <v>289</v>
      </c>
      <c r="BI264" t="s">
        <v>155</v>
      </c>
      <c r="BJ264" t="s">
        <v>156</v>
      </c>
      <c r="BK264" t="s">
        <v>1011</v>
      </c>
      <c r="BL264">
        <v>1782</v>
      </c>
      <c r="BM264">
        <v>7367.40</v>
      </c>
      <c r="BN264">
        <v>-5585</v>
      </c>
      <c r="BO264" t="s">
        <v>154</v>
      </c>
      <c r="BP264">
        <v>9122840</v>
      </c>
      <c r="BQ264" t="s">
        <v>271</v>
      </c>
      <c r="BR264" t="s">
        <v>630</v>
      </c>
      <c r="BS264">
        <v>17</v>
      </c>
    </row>
    <row r="265" spans="1:71" s="0" customFormat="1" ht="14.5">
      <c r="A265" s="153" t="s">
        <v>157</v>
      </c>
      <c r="B265" s="154" t="s">
        <v>625</v>
      </c>
      <c r="C265" s="154">
        <v>107</v>
      </c>
      <c r="D265" s="154" t="s">
        <v>97</v>
      </c>
      <c r="E265" s="154" t="s">
        <v>98</v>
      </c>
      <c r="F265" s="155"/>
      <c r="G265" s="155" t="s">
        <v>106</v>
      </c>
      <c r="H265" s="153" t="s">
        <v>48</v>
      </c>
      <c r="I265" s="154" t="s">
        <v>158</v>
      </c>
      <c r="J265" s="154" t="s">
        <v>165</v>
      </c>
      <c r="K265" s="154" t="s">
        <v>166</v>
      </c>
      <c r="L265" s="154" t="s">
        <v>160</v>
      </c>
      <c r="M265" s="156">
        <v>46112</v>
      </c>
      <c r="N265" s="154">
        <v>5500</v>
      </c>
      <c r="O265" s="154">
        <v>9122840</v>
      </c>
      <c r="P265" s="156">
        <v>46090</v>
      </c>
      <c r="Q265" s="154" t="s">
        <v>161</v>
      </c>
      <c r="R265" s="154">
        <v>43683</v>
      </c>
      <c r="S265" s="154" t="s">
        <v>1008</v>
      </c>
      <c r="T265" s="154" t="s">
        <v>170</v>
      </c>
      <c r="U265" s="154" t="s">
        <v>1009</v>
      </c>
      <c r="V265" s="155" t="s">
        <v>162</v>
      </c>
      <c r="W265" s="155"/>
      <c r="X265" s="154">
        <v>90</v>
      </c>
      <c r="Y265" s="154">
        <v>1</v>
      </c>
      <c r="Z265" s="154">
        <v>90</v>
      </c>
      <c r="AA265" s="154" t="s">
        <v>99</v>
      </c>
      <c r="AB265" s="154">
        <v>5500</v>
      </c>
      <c r="AC265" s="156">
        <v>46090</v>
      </c>
      <c r="AD265" s="155" t="s">
        <v>164</v>
      </c>
      <c r="AE265" s="154">
        <v>8538</v>
      </c>
      <c r="AF265" s="154" t="s">
        <v>1012</v>
      </c>
      <c r="AG265" s="154"/>
      <c r="AH265" s="154"/>
      <c r="AI265" s="154">
        <v>90</v>
      </c>
      <c r="AJ265" s="154" t="s">
        <v>368</v>
      </c>
      <c r="AK265" s="154">
        <v>18</v>
      </c>
      <c r="AL265" s="154">
        <v>8.10</v>
      </c>
      <c r="AM265" s="154">
        <v>8.10</v>
      </c>
      <c r="AN265" s="154">
        <v>0</v>
      </c>
      <c r="AO265" s="154">
        <v>0</v>
      </c>
      <c r="AP265" s="154">
        <v>0</v>
      </c>
      <c r="AQ265" s="154">
        <v>0</v>
      </c>
      <c r="AR265" s="154">
        <v>0</v>
      </c>
      <c r="AS265" s="153">
        <v>0</v>
      </c>
      <c r="AT265" s="154">
        <v>0</v>
      </c>
      <c r="AU265" s="155"/>
      <c r="AV265" s="155"/>
      <c r="AW265" s="154">
        <v>0</v>
      </c>
      <c r="AX265" s="154">
        <v>106.20</v>
      </c>
      <c r="AY265" s="154" t="s">
        <v>101</v>
      </c>
      <c r="AZ265" s="154" t="s">
        <v>101</v>
      </c>
      <c r="BA265" s="154" t="s">
        <v>298</v>
      </c>
      <c r="BB265" s="154">
        <v>1125113238</v>
      </c>
      <c r="BC265" s="154" t="s">
        <v>172</v>
      </c>
      <c r="BD265" s="154" t="s">
        <v>104</v>
      </c>
      <c r="BE265" s="155"/>
      <c r="BF265" s="155" t="s">
        <v>271</v>
      </c>
      <c r="BG265" s="155" t="s">
        <v>281</v>
      </c>
      <c r="BH265" s="154" t="s">
        <v>289</v>
      </c>
      <c r="BI265" t="s">
        <v>155</v>
      </c>
      <c r="BJ265" t="s">
        <v>156</v>
      </c>
      <c r="BK265" t="s">
        <v>1011</v>
      </c>
      <c r="BL265">
        <v>16.20</v>
      </c>
      <c r="BM265">
        <v>7367.40</v>
      </c>
      <c r="BN265">
        <v>-7351</v>
      </c>
      <c r="BO265" t="s">
        <v>154</v>
      </c>
      <c r="BP265">
        <v>9122840</v>
      </c>
      <c r="BQ265" t="s">
        <v>271</v>
      </c>
      <c r="BR265" t="s">
        <v>630</v>
      </c>
      <c r="BS265">
        <v>17</v>
      </c>
    </row>
    <row r="266" spans="1:71" s="0" customFormat="1" ht="14.5">
      <c r="A266" s="153" t="s">
        <v>157</v>
      </c>
      <c r="B266" s="154" t="s">
        <v>625</v>
      </c>
      <c r="C266" s="154">
        <v>107</v>
      </c>
      <c r="D266" s="154" t="s">
        <v>97</v>
      </c>
      <c r="E266" s="154" t="s">
        <v>98</v>
      </c>
      <c r="F266" s="155"/>
      <c r="G266" s="155"/>
      <c r="H266" s="153" t="s">
        <v>48</v>
      </c>
      <c r="I266" s="154" t="s">
        <v>158</v>
      </c>
      <c r="J266" s="154" t="s">
        <v>159</v>
      </c>
      <c r="K266" s="154" t="s">
        <v>163</v>
      </c>
      <c r="L266" s="154" t="s">
        <v>160</v>
      </c>
      <c r="M266" s="156">
        <v>46112</v>
      </c>
      <c r="N266" s="154" t="s">
        <v>1013</v>
      </c>
      <c r="O266" s="154">
        <v>9140710</v>
      </c>
      <c r="P266" s="156">
        <v>46111</v>
      </c>
      <c r="Q266" s="154" t="s">
        <v>161</v>
      </c>
      <c r="R266" s="154">
        <v>29978</v>
      </c>
      <c r="S266" s="154" t="s">
        <v>1014</v>
      </c>
      <c r="T266" s="154" t="s">
        <v>386</v>
      </c>
      <c r="U266" s="154" t="s">
        <v>1015</v>
      </c>
      <c r="V266" s="155" t="s">
        <v>162</v>
      </c>
      <c r="W266" s="155"/>
      <c r="X266" s="154">
        <v>37268</v>
      </c>
      <c r="Y266" s="154">
        <v>6</v>
      </c>
      <c r="Z266" s="154">
        <v>223608</v>
      </c>
      <c r="AA266" s="154" t="s">
        <v>99</v>
      </c>
      <c r="AB266" s="154" t="s">
        <v>1013</v>
      </c>
      <c r="AC266" s="156">
        <v>46111</v>
      </c>
      <c r="AD266" s="155" t="s">
        <v>164</v>
      </c>
      <c r="AE266" s="154">
        <v>998729</v>
      </c>
      <c r="AF266" s="154" t="s">
        <v>1016</v>
      </c>
      <c r="AG266" s="154"/>
      <c r="AH266" s="154"/>
      <c r="AI266" s="154">
        <v>223608</v>
      </c>
      <c r="AJ266" s="154" t="s">
        <v>368</v>
      </c>
      <c r="AK266" s="154">
        <v>18</v>
      </c>
      <c r="AL266" s="154">
        <v>0</v>
      </c>
      <c r="AM266" s="154">
        <v>0</v>
      </c>
      <c r="AN266" s="154">
        <v>40249.44</v>
      </c>
      <c r="AO266" s="154">
        <v>0</v>
      </c>
      <c r="AP266" s="154">
        <v>0</v>
      </c>
      <c r="AQ266" s="154">
        <v>0</v>
      </c>
      <c r="AR266" s="154">
        <v>0</v>
      </c>
      <c r="AS266" s="153">
        <v>0</v>
      </c>
      <c r="AT266" s="154">
        <v>0</v>
      </c>
      <c r="AU266" s="155"/>
      <c r="AV266" s="155"/>
      <c r="AW266" s="154">
        <v>0</v>
      </c>
      <c r="AX266" s="154">
        <v>263857.44</v>
      </c>
      <c r="AY266" s="154" t="s">
        <v>100</v>
      </c>
      <c r="AZ266" s="154" t="s">
        <v>101</v>
      </c>
      <c r="BA266" s="154" t="s">
        <v>276</v>
      </c>
      <c r="BB266" s="154">
        <v>1125113662</v>
      </c>
      <c r="BC266" s="154" t="s">
        <v>102</v>
      </c>
      <c r="BD266" s="154" t="s">
        <v>186</v>
      </c>
      <c r="BE266" s="155"/>
      <c r="BF266" s="155" t="s">
        <v>270</v>
      </c>
      <c r="BG266" s="155" t="s">
        <v>281</v>
      </c>
      <c r="BH266" s="154" t="s">
        <v>290</v>
      </c>
      <c r="BI266" t="s">
        <v>155</v>
      </c>
      <c r="BJ266" t="s">
        <v>156</v>
      </c>
      <c r="BK266" t="s">
        <v>1017</v>
      </c>
      <c r="BL266">
        <v>40249.44</v>
      </c>
      <c r="BM266">
        <v>40249.44</v>
      </c>
      <c r="BN266">
        <v>0</v>
      </c>
      <c r="BO266" t="s">
        <v>154</v>
      </c>
      <c r="BP266">
        <v>9140710</v>
      </c>
      <c r="BQ266" t="s">
        <v>270</v>
      </c>
      <c r="BR266" t="s">
        <v>630</v>
      </c>
      <c r="BS266">
        <v>1</v>
      </c>
    </row>
    <row r="267" spans="1:71" s="0" customFormat="1" ht="14.5">
      <c r="A267" s="153" t="s">
        <v>157</v>
      </c>
      <c r="B267" s="154" t="s">
        <v>625</v>
      </c>
      <c r="C267" s="154">
        <v>107</v>
      </c>
      <c r="D267" s="154" t="s">
        <v>97</v>
      </c>
      <c r="E267" s="154" t="s">
        <v>98</v>
      </c>
      <c r="F267" s="155"/>
      <c r="G267" s="155" t="s">
        <v>106</v>
      </c>
      <c r="H267" s="153" t="s">
        <v>48</v>
      </c>
      <c r="I267" s="154" t="s">
        <v>158</v>
      </c>
      <c r="J267" s="154" t="s">
        <v>165</v>
      </c>
      <c r="K267" s="154" t="s">
        <v>166</v>
      </c>
      <c r="L267" s="154" t="s">
        <v>160</v>
      </c>
      <c r="M267" s="156">
        <v>46112</v>
      </c>
      <c r="N267" s="154">
        <v>5501</v>
      </c>
      <c r="O267" s="154">
        <v>9122848</v>
      </c>
      <c r="P267" s="156">
        <v>46090</v>
      </c>
      <c r="Q267" s="154" t="s">
        <v>161</v>
      </c>
      <c r="R267" s="154">
        <v>43683</v>
      </c>
      <c r="S267" s="154" t="s">
        <v>1008</v>
      </c>
      <c r="T267" s="154" t="s">
        <v>170</v>
      </c>
      <c r="U267" s="154" t="s">
        <v>1009</v>
      </c>
      <c r="V267" s="155" t="s">
        <v>162</v>
      </c>
      <c r="W267" s="155"/>
      <c r="X267" s="154">
        <v>80</v>
      </c>
      <c r="Y267" s="154">
        <v>1</v>
      </c>
      <c r="Z267" s="154">
        <v>80</v>
      </c>
      <c r="AA267" s="154" t="s">
        <v>99</v>
      </c>
      <c r="AB267" s="154">
        <v>5501</v>
      </c>
      <c r="AC267" s="156">
        <v>46090</v>
      </c>
      <c r="AD267" s="155" t="s">
        <v>164</v>
      </c>
      <c r="AE267" s="154">
        <v>8538</v>
      </c>
      <c r="AF267" s="154" t="s">
        <v>1018</v>
      </c>
      <c r="AG267" s="154"/>
      <c r="AH267" s="154"/>
      <c r="AI267" s="154">
        <v>80</v>
      </c>
      <c r="AJ267" s="154" t="s">
        <v>368</v>
      </c>
      <c r="AK267" s="154">
        <v>18</v>
      </c>
      <c r="AL267" s="154">
        <v>7.20</v>
      </c>
      <c r="AM267" s="154">
        <v>7.20</v>
      </c>
      <c r="AN267" s="154">
        <v>0</v>
      </c>
      <c r="AO267" s="154">
        <v>0</v>
      </c>
      <c r="AP267" s="154">
        <v>0</v>
      </c>
      <c r="AQ267" s="154">
        <v>0</v>
      </c>
      <c r="AR267" s="154">
        <v>0</v>
      </c>
      <c r="AS267" s="153">
        <v>0</v>
      </c>
      <c r="AT267" s="154">
        <v>0</v>
      </c>
      <c r="AU267" s="155"/>
      <c r="AV267" s="155"/>
      <c r="AW267" s="154">
        <v>0</v>
      </c>
      <c r="AX267" s="154">
        <v>94.40</v>
      </c>
      <c r="AY267" s="154" t="s">
        <v>101</v>
      </c>
      <c r="AZ267" s="154" t="s">
        <v>101</v>
      </c>
      <c r="BA267" s="154" t="s">
        <v>298</v>
      </c>
      <c r="BB267" s="154">
        <v>1125113239</v>
      </c>
      <c r="BC267" s="154" t="s">
        <v>172</v>
      </c>
      <c r="BD267" s="154" t="s">
        <v>104</v>
      </c>
      <c r="BE267" s="155"/>
      <c r="BF267" s="155" t="s">
        <v>271</v>
      </c>
      <c r="BG267" s="155" t="s">
        <v>281</v>
      </c>
      <c r="BH267" s="154" t="s">
        <v>289</v>
      </c>
      <c r="BI267" t="s">
        <v>155</v>
      </c>
      <c r="BJ267" t="s">
        <v>156</v>
      </c>
      <c r="BK267" t="s">
        <v>1019</v>
      </c>
      <c r="BL267">
        <v>14.40</v>
      </c>
      <c r="BM267">
        <v>921.60</v>
      </c>
      <c r="BN267">
        <v>-907</v>
      </c>
      <c r="BO267" t="s">
        <v>154</v>
      </c>
      <c r="BP267">
        <v>9122848</v>
      </c>
      <c r="BQ267" t="s">
        <v>271</v>
      </c>
      <c r="BR267" t="s">
        <v>630</v>
      </c>
      <c r="BS267">
        <v>7</v>
      </c>
    </row>
    <row r="268" spans="1:71" s="0" customFormat="1" ht="14.5">
      <c r="A268" s="153" t="s">
        <v>157</v>
      </c>
      <c r="B268" s="154" t="s">
        <v>625</v>
      </c>
      <c r="C268" s="154">
        <v>107</v>
      </c>
      <c r="D268" s="154" t="s">
        <v>97</v>
      </c>
      <c r="E268" s="154" t="s">
        <v>98</v>
      </c>
      <c r="F268" s="155"/>
      <c r="G268" s="155" t="s">
        <v>106</v>
      </c>
      <c r="H268" s="153" t="s">
        <v>48</v>
      </c>
      <c r="I268" s="154" t="s">
        <v>158</v>
      </c>
      <c r="J268" s="154" t="s">
        <v>165</v>
      </c>
      <c r="K268" s="154" t="s">
        <v>166</v>
      </c>
      <c r="L268" s="154" t="s">
        <v>160</v>
      </c>
      <c r="M268" s="156">
        <v>46112</v>
      </c>
      <c r="N268" s="154">
        <v>5501</v>
      </c>
      <c r="O268" s="154">
        <v>9122848</v>
      </c>
      <c r="P268" s="156">
        <v>46090</v>
      </c>
      <c r="Q268" s="154" t="s">
        <v>161</v>
      </c>
      <c r="R268" s="154">
        <v>43683</v>
      </c>
      <c r="S268" s="154" t="s">
        <v>1008</v>
      </c>
      <c r="T268" s="154" t="s">
        <v>170</v>
      </c>
      <c r="U268" s="154" t="s">
        <v>1009</v>
      </c>
      <c r="V268" s="155" t="s">
        <v>162</v>
      </c>
      <c r="W268" s="155"/>
      <c r="X268" s="154">
        <v>1350</v>
      </c>
      <c r="Y268" s="154">
        <v>2</v>
      </c>
      <c r="Z268" s="154">
        <v>2700</v>
      </c>
      <c r="AA268" s="154" t="s">
        <v>99</v>
      </c>
      <c r="AB268" s="154">
        <v>5501</v>
      </c>
      <c r="AC268" s="156">
        <v>46090</v>
      </c>
      <c r="AD268" s="155" t="s">
        <v>164</v>
      </c>
      <c r="AE268" s="154">
        <v>8537</v>
      </c>
      <c r="AF268" s="154" t="s">
        <v>1020</v>
      </c>
      <c r="AG268" s="154"/>
      <c r="AH268" s="154"/>
      <c r="AI268" s="154">
        <v>2700</v>
      </c>
      <c r="AJ268" s="154" t="s">
        <v>368</v>
      </c>
      <c r="AK268" s="154">
        <v>18</v>
      </c>
      <c r="AL268" s="154">
        <v>243</v>
      </c>
      <c r="AM268" s="154">
        <v>243</v>
      </c>
      <c r="AN268" s="154">
        <v>0</v>
      </c>
      <c r="AO268" s="154">
        <v>0</v>
      </c>
      <c r="AP268" s="154">
        <v>0</v>
      </c>
      <c r="AQ268" s="154">
        <v>0</v>
      </c>
      <c r="AR268" s="154">
        <v>0</v>
      </c>
      <c r="AS268" s="153">
        <v>0</v>
      </c>
      <c r="AT268" s="154">
        <v>0</v>
      </c>
      <c r="AU268" s="155"/>
      <c r="AV268" s="155"/>
      <c r="AW268" s="154">
        <v>0</v>
      </c>
      <c r="AX268" s="154">
        <v>3186</v>
      </c>
      <c r="AY268" s="154" t="s">
        <v>101</v>
      </c>
      <c r="AZ268" s="154" t="s">
        <v>101</v>
      </c>
      <c r="BA268" s="154" t="s">
        <v>298</v>
      </c>
      <c r="BB268" s="154">
        <v>1125113239</v>
      </c>
      <c r="BC268" s="154" t="s">
        <v>172</v>
      </c>
      <c r="BD268" s="154" t="s">
        <v>104</v>
      </c>
      <c r="BE268" s="155"/>
      <c r="BF268" s="155" t="s">
        <v>271</v>
      </c>
      <c r="BG268" s="155" t="s">
        <v>281</v>
      </c>
      <c r="BH268" s="154" t="s">
        <v>289</v>
      </c>
      <c r="BI268" t="s">
        <v>155</v>
      </c>
      <c r="BJ268" t="s">
        <v>156</v>
      </c>
      <c r="BK268" t="s">
        <v>1019</v>
      </c>
      <c r="BL268">
        <v>486</v>
      </c>
      <c r="BM268">
        <v>921.60</v>
      </c>
      <c r="BN268">
        <v>-436</v>
      </c>
      <c r="BO268" t="s">
        <v>154</v>
      </c>
      <c r="BP268">
        <v>9122848</v>
      </c>
      <c r="BQ268" t="s">
        <v>271</v>
      </c>
      <c r="BR268" t="s">
        <v>630</v>
      </c>
      <c r="BS268">
        <v>7</v>
      </c>
    </row>
    <row r="269" spans="1:71" s="0" customFormat="1" ht="14.5">
      <c r="A269" s="153" t="s">
        <v>157</v>
      </c>
      <c r="B269" s="154" t="s">
        <v>625</v>
      </c>
      <c r="C269" s="154">
        <v>107</v>
      </c>
      <c r="D269" s="154" t="s">
        <v>97</v>
      </c>
      <c r="E269" s="154" t="s">
        <v>98</v>
      </c>
      <c r="F269" s="155"/>
      <c r="G269" s="155" t="s">
        <v>106</v>
      </c>
      <c r="H269" s="153" t="s">
        <v>48</v>
      </c>
      <c r="I269" s="154" t="s">
        <v>158</v>
      </c>
      <c r="J269" s="154" t="s">
        <v>165</v>
      </c>
      <c r="K269" s="154" t="s">
        <v>166</v>
      </c>
      <c r="L269" s="154" t="s">
        <v>160</v>
      </c>
      <c r="M269" s="156">
        <v>46112</v>
      </c>
      <c r="N269" s="154">
        <v>5501</v>
      </c>
      <c r="O269" s="154">
        <v>9122848</v>
      </c>
      <c r="P269" s="156">
        <v>46090</v>
      </c>
      <c r="Q269" s="154" t="s">
        <v>161</v>
      </c>
      <c r="R269" s="154">
        <v>43683</v>
      </c>
      <c r="S269" s="154" t="s">
        <v>1008</v>
      </c>
      <c r="T269" s="154" t="s">
        <v>170</v>
      </c>
      <c r="U269" s="154" t="s">
        <v>1009</v>
      </c>
      <c r="V269" s="155" t="s">
        <v>162</v>
      </c>
      <c r="W269" s="155"/>
      <c r="X269" s="154">
        <v>1450</v>
      </c>
      <c r="Y269" s="154">
        <v>1</v>
      </c>
      <c r="Z269" s="154">
        <v>1450</v>
      </c>
      <c r="AA269" s="154" t="s">
        <v>99</v>
      </c>
      <c r="AB269" s="154">
        <v>5501</v>
      </c>
      <c r="AC269" s="156">
        <v>46090</v>
      </c>
      <c r="AD269" s="155" t="s">
        <v>164</v>
      </c>
      <c r="AE269" s="154">
        <v>8537</v>
      </c>
      <c r="AF269" s="154" t="s">
        <v>1021</v>
      </c>
      <c r="AG269" s="154"/>
      <c r="AH269" s="154"/>
      <c r="AI269" s="154">
        <v>1450</v>
      </c>
      <c r="AJ269" s="154" t="s">
        <v>368</v>
      </c>
      <c r="AK269" s="154">
        <v>18</v>
      </c>
      <c r="AL269" s="154">
        <v>130.5</v>
      </c>
      <c r="AM269" s="154">
        <v>130.5</v>
      </c>
      <c r="AN269" s="154">
        <v>0</v>
      </c>
      <c r="AO269" s="154">
        <v>0</v>
      </c>
      <c r="AP269" s="154">
        <v>0</v>
      </c>
      <c r="AQ269" s="154">
        <v>0</v>
      </c>
      <c r="AR269" s="154">
        <v>0</v>
      </c>
      <c r="AS269" s="153">
        <v>0</v>
      </c>
      <c r="AT269" s="154">
        <v>0</v>
      </c>
      <c r="AU269" s="155"/>
      <c r="AV269" s="155"/>
      <c r="AW269" s="154">
        <v>0</v>
      </c>
      <c r="AX269" s="154">
        <v>1711</v>
      </c>
      <c r="AY269" s="154" t="s">
        <v>101</v>
      </c>
      <c r="AZ269" s="154" t="s">
        <v>101</v>
      </c>
      <c r="BA269" s="154" t="s">
        <v>298</v>
      </c>
      <c r="BB269" s="154">
        <v>1125113239</v>
      </c>
      <c r="BC269" s="154" t="s">
        <v>172</v>
      </c>
      <c r="BD269" s="154" t="s">
        <v>104</v>
      </c>
      <c r="BE269" s="155"/>
      <c r="BF269" s="155" t="s">
        <v>271</v>
      </c>
      <c r="BG269" s="155" t="s">
        <v>281</v>
      </c>
      <c r="BH269" s="154" t="s">
        <v>289</v>
      </c>
      <c r="BI269" t="s">
        <v>155</v>
      </c>
      <c r="BJ269" t="s">
        <v>156</v>
      </c>
      <c r="BK269" t="s">
        <v>1019</v>
      </c>
      <c r="BL269">
        <v>261</v>
      </c>
      <c r="BM269">
        <v>921.60</v>
      </c>
      <c r="BN269">
        <v>-661</v>
      </c>
      <c r="BO269" t="s">
        <v>154</v>
      </c>
      <c r="BP269">
        <v>9122848</v>
      </c>
      <c r="BQ269" t="s">
        <v>271</v>
      </c>
      <c r="BR269" t="s">
        <v>630</v>
      </c>
      <c r="BS269">
        <v>7</v>
      </c>
    </row>
    <row r="270" spans="1:71" s="0" customFormat="1" ht="14.5">
      <c r="A270" s="153" t="s">
        <v>157</v>
      </c>
      <c r="B270" s="154" t="s">
        <v>625</v>
      </c>
      <c r="C270" s="154">
        <v>107</v>
      </c>
      <c r="D270" s="154" t="s">
        <v>97</v>
      </c>
      <c r="E270" s="154" t="s">
        <v>98</v>
      </c>
      <c r="F270" s="155"/>
      <c r="G270" s="155" t="s">
        <v>106</v>
      </c>
      <c r="H270" s="153" t="s">
        <v>48</v>
      </c>
      <c r="I270" s="154" t="s">
        <v>158</v>
      </c>
      <c r="J270" s="154" t="s">
        <v>165</v>
      </c>
      <c r="K270" s="154" t="s">
        <v>166</v>
      </c>
      <c r="L270" s="154" t="s">
        <v>160</v>
      </c>
      <c r="M270" s="156">
        <v>46112</v>
      </c>
      <c r="N270" s="154">
        <v>5501</v>
      </c>
      <c r="O270" s="154">
        <v>9122848</v>
      </c>
      <c r="P270" s="156">
        <v>46090</v>
      </c>
      <c r="Q270" s="154" t="s">
        <v>161</v>
      </c>
      <c r="R270" s="154">
        <v>43683</v>
      </c>
      <c r="S270" s="154" t="s">
        <v>1008</v>
      </c>
      <c r="T270" s="154" t="s">
        <v>170</v>
      </c>
      <c r="U270" s="154" t="s">
        <v>1009</v>
      </c>
      <c r="V270" s="155" t="s">
        <v>162</v>
      </c>
      <c r="W270" s="155"/>
      <c r="X270" s="154">
        <v>130</v>
      </c>
      <c r="Y270" s="154">
        <v>1</v>
      </c>
      <c r="Z270" s="154">
        <v>130</v>
      </c>
      <c r="AA270" s="154" t="s">
        <v>99</v>
      </c>
      <c r="AB270" s="154">
        <v>5501</v>
      </c>
      <c r="AC270" s="156">
        <v>46090</v>
      </c>
      <c r="AD270" s="155" t="s">
        <v>164</v>
      </c>
      <c r="AE270" s="154">
        <v>8538</v>
      </c>
      <c r="AF270" s="154" t="s">
        <v>1022</v>
      </c>
      <c r="AG270" s="154"/>
      <c r="AH270" s="154"/>
      <c r="AI270" s="154">
        <v>130</v>
      </c>
      <c r="AJ270" s="154" t="s">
        <v>368</v>
      </c>
      <c r="AK270" s="154">
        <v>18</v>
      </c>
      <c r="AL270" s="154">
        <v>11.70</v>
      </c>
      <c r="AM270" s="154">
        <v>11.70</v>
      </c>
      <c r="AN270" s="154">
        <v>0</v>
      </c>
      <c r="AO270" s="154">
        <v>0</v>
      </c>
      <c r="AP270" s="154">
        <v>0</v>
      </c>
      <c r="AQ270" s="154">
        <v>0</v>
      </c>
      <c r="AR270" s="154">
        <v>0</v>
      </c>
      <c r="AS270" s="153">
        <v>0</v>
      </c>
      <c r="AT270" s="154">
        <v>0</v>
      </c>
      <c r="AU270" s="155"/>
      <c r="AV270" s="155"/>
      <c r="AW270" s="154">
        <v>0</v>
      </c>
      <c r="AX270" s="154">
        <v>153.40</v>
      </c>
      <c r="AY270" s="154" t="s">
        <v>101</v>
      </c>
      <c r="AZ270" s="154" t="s">
        <v>101</v>
      </c>
      <c r="BA270" s="154" t="s">
        <v>298</v>
      </c>
      <c r="BB270" s="154">
        <v>1125113239</v>
      </c>
      <c r="BC270" s="154" t="s">
        <v>172</v>
      </c>
      <c r="BD270" s="154" t="s">
        <v>104</v>
      </c>
      <c r="BE270" s="155"/>
      <c r="BF270" s="155" t="s">
        <v>271</v>
      </c>
      <c r="BG270" s="155" t="s">
        <v>281</v>
      </c>
      <c r="BH270" s="154" t="s">
        <v>289</v>
      </c>
      <c r="BI270" t="s">
        <v>155</v>
      </c>
      <c r="BJ270" t="s">
        <v>156</v>
      </c>
      <c r="BK270" t="s">
        <v>1019</v>
      </c>
      <c r="BL270">
        <v>23.40</v>
      </c>
      <c r="BM270">
        <v>921.60</v>
      </c>
      <c r="BN270">
        <v>-898</v>
      </c>
      <c r="BO270" t="s">
        <v>154</v>
      </c>
      <c r="BP270">
        <v>9122848</v>
      </c>
      <c r="BQ270" t="s">
        <v>271</v>
      </c>
      <c r="BR270" t="s">
        <v>630</v>
      </c>
      <c r="BS270">
        <v>7</v>
      </c>
    </row>
    <row r="271" spans="1:71" s="0" customFormat="1" ht="14.5">
      <c r="A271" s="153" t="s">
        <v>157</v>
      </c>
      <c r="B271" s="154" t="s">
        <v>625</v>
      </c>
      <c r="C271" s="154">
        <v>107</v>
      </c>
      <c r="D271" s="154" t="s">
        <v>97</v>
      </c>
      <c r="E271" s="154" t="s">
        <v>98</v>
      </c>
      <c r="F271" s="155"/>
      <c r="G271" s="155" t="s">
        <v>106</v>
      </c>
      <c r="H271" s="153" t="s">
        <v>48</v>
      </c>
      <c r="I271" s="154" t="s">
        <v>158</v>
      </c>
      <c r="J271" s="154" t="s">
        <v>165</v>
      </c>
      <c r="K271" s="154" t="s">
        <v>166</v>
      </c>
      <c r="L271" s="154" t="s">
        <v>160</v>
      </c>
      <c r="M271" s="156">
        <v>46112</v>
      </c>
      <c r="N271" s="154">
        <v>5500</v>
      </c>
      <c r="O271" s="154">
        <v>9122840</v>
      </c>
      <c r="P271" s="156">
        <v>46090</v>
      </c>
      <c r="Q271" s="154" t="s">
        <v>161</v>
      </c>
      <c r="R271" s="154">
        <v>43683</v>
      </c>
      <c r="S271" s="154" t="s">
        <v>1008</v>
      </c>
      <c r="T271" s="154" t="s">
        <v>170</v>
      </c>
      <c r="U271" s="154" t="s">
        <v>1009</v>
      </c>
      <c r="V271" s="155" t="s">
        <v>162</v>
      </c>
      <c r="W271" s="155"/>
      <c r="X271" s="154">
        <v>1950</v>
      </c>
      <c r="Y271" s="154">
        <v>1</v>
      </c>
      <c r="Z271" s="154">
        <v>1950</v>
      </c>
      <c r="AA271" s="154" t="s">
        <v>99</v>
      </c>
      <c r="AB271" s="154">
        <v>5500</v>
      </c>
      <c r="AC271" s="156">
        <v>46090</v>
      </c>
      <c r="AD271" s="155" t="s">
        <v>164</v>
      </c>
      <c r="AE271" s="154">
        <v>3917</v>
      </c>
      <c r="AF271" s="154" t="s">
        <v>1023</v>
      </c>
      <c r="AG271" s="154"/>
      <c r="AH271" s="154"/>
      <c r="AI271" s="154">
        <v>1950</v>
      </c>
      <c r="AJ271" s="154" t="s">
        <v>368</v>
      </c>
      <c r="AK271" s="154">
        <v>18</v>
      </c>
      <c r="AL271" s="154">
        <v>175.5</v>
      </c>
      <c r="AM271" s="154">
        <v>175.5</v>
      </c>
      <c r="AN271" s="154">
        <v>0</v>
      </c>
      <c r="AO271" s="154">
        <v>0</v>
      </c>
      <c r="AP271" s="154">
        <v>0</v>
      </c>
      <c r="AQ271" s="154">
        <v>0</v>
      </c>
      <c r="AR271" s="154">
        <v>0</v>
      </c>
      <c r="AS271" s="153">
        <v>0</v>
      </c>
      <c r="AT271" s="154">
        <v>0</v>
      </c>
      <c r="AU271" s="155"/>
      <c r="AV271" s="155"/>
      <c r="AW271" s="154">
        <v>0</v>
      </c>
      <c r="AX271" s="154">
        <v>2301</v>
      </c>
      <c r="AY271" s="154" t="s">
        <v>101</v>
      </c>
      <c r="AZ271" s="154" t="s">
        <v>101</v>
      </c>
      <c r="BA271" s="154" t="s">
        <v>298</v>
      </c>
      <c r="BB271" s="154">
        <v>1125113238</v>
      </c>
      <c r="BC271" s="154" t="s">
        <v>172</v>
      </c>
      <c r="BD271" s="154" t="s">
        <v>104</v>
      </c>
      <c r="BE271" s="155"/>
      <c r="BF271" s="155" t="s">
        <v>271</v>
      </c>
      <c r="BG271" s="155" t="s">
        <v>281</v>
      </c>
      <c r="BH271" s="154" t="s">
        <v>289</v>
      </c>
      <c r="BI271" t="s">
        <v>155</v>
      </c>
      <c r="BJ271" t="s">
        <v>156</v>
      </c>
      <c r="BK271" t="s">
        <v>1011</v>
      </c>
      <c r="BL271">
        <v>351</v>
      </c>
      <c r="BM271">
        <v>7367.40</v>
      </c>
      <c r="BN271">
        <v>-7016</v>
      </c>
      <c r="BO271" t="s">
        <v>154</v>
      </c>
      <c r="BP271">
        <v>9122840</v>
      </c>
      <c r="BQ271" t="s">
        <v>271</v>
      </c>
      <c r="BR271" t="s">
        <v>630</v>
      </c>
      <c r="BS271">
        <v>17</v>
      </c>
    </row>
    <row r="272" spans="1:71" s="0" customFormat="1" ht="14.5">
      <c r="A272" s="153" t="s">
        <v>157</v>
      </c>
      <c r="B272" s="154" t="s">
        <v>625</v>
      </c>
      <c r="C272" s="154">
        <v>107</v>
      </c>
      <c r="D272" s="154" t="s">
        <v>97</v>
      </c>
      <c r="E272" s="154" t="s">
        <v>98</v>
      </c>
      <c r="F272" s="155"/>
      <c r="G272" s="155" t="s">
        <v>106</v>
      </c>
      <c r="H272" s="153" t="s">
        <v>48</v>
      </c>
      <c r="I272" s="154" t="s">
        <v>158</v>
      </c>
      <c r="J272" s="154" t="s">
        <v>165</v>
      </c>
      <c r="K272" s="154" t="s">
        <v>166</v>
      </c>
      <c r="L272" s="154" t="s">
        <v>160</v>
      </c>
      <c r="M272" s="156">
        <v>46112</v>
      </c>
      <c r="N272" s="154">
        <v>5501</v>
      </c>
      <c r="O272" s="154">
        <v>9122848</v>
      </c>
      <c r="P272" s="156">
        <v>46090</v>
      </c>
      <c r="Q272" s="154" t="s">
        <v>161</v>
      </c>
      <c r="R272" s="154">
        <v>43683</v>
      </c>
      <c r="S272" s="154" t="s">
        <v>1008</v>
      </c>
      <c r="T272" s="154" t="s">
        <v>170</v>
      </c>
      <c r="U272" s="154" t="s">
        <v>1009</v>
      </c>
      <c r="V272" s="155" t="s">
        <v>162</v>
      </c>
      <c r="W272" s="155"/>
      <c r="X272" s="154">
        <v>190</v>
      </c>
      <c r="Y272" s="154">
        <v>2</v>
      </c>
      <c r="Z272" s="154">
        <v>380</v>
      </c>
      <c r="AA272" s="154" t="s">
        <v>99</v>
      </c>
      <c r="AB272" s="154">
        <v>5501</v>
      </c>
      <c r="AC272" s="156">
        <v>46090</v>
      </c>
      <c r="AD272" s="155" t="s">
        <v>164</v>
      </c>
      <c r="AE272" s="154">
        <v>8537</v>
      </c>
      <c r="AF272" s="154" t="s">
        <v>1024</v>
      </c>
      <c r="AG272" s="154"/>
      <c r="AH272" s="154"/>
      <c r="AI272" s="154">
        <v>380</v>
      </c>
      <c r="AJ272" s="154" t="s">
        <v>368</v>
      </c>
      <c r="AK272" s="154">
        <v>18</v>
      </c>
      <c r="AL272" s="154">
        <v>34.200000000000003</v>
      </c>
      <c r="AM272" s="154">
        <v>34.200000000000003</v>
      </c>
      <c r="AN272" s="154">
        <v>0</v>
      </c>
      <c r="AO272" s="154">
        <v>0</v>
      </c>
      <c r="AP272" s="154">
        <v>0</v>
      </c>
      <c r="AQ272" s="154">
        <v>0</v>
      </c>
      <c r="AR272" s="154">
        <v>0</v>
      </c>
      <c r="AS272" s="153">
        <v>0</v>
      </c>
      <c r="AT272" s="154">
        <v>0</v>
      </c>
      <c r="AU272" s="155"/>
      <c r="AV272" s="155"/>
      <c r="AW272" s="154">
        <v>0</v>
      </c>
      <c r="AX272" s="154">
        <v>448.40</v>
      </c>
      <c r="AY272" s="154" t="s">
        <v>101</v>
      </c>
      <c r="AZ272" s="154" t="s">
        <v>101</v>
      </c>
      <c r="BA272" s="154" t="s">
        <v>298</v>
      </c>
      <c r="BB272" s="154">
        <v>1125113239</v>
      </c>
      <c r="BC272" s="154" t="s">
        <v>172</v>
      </c>
      <c r="BD272" s="154" t="s">
        <v>104</v>
      </c>
      <c r="BE272" s="155"/>
      <c r="BF272" s="155" t="s">
        <v>271</v>
      </c>
      <c r="BG272" s="155" t="s">
        <v>281</v>
      </c>
      <c r="BH272" s="154" t="s">
        <v>289</v>
      </c>
      <c r="BI272" t="s">
        <v>155</v>
      </c>
      <c r="BJ272" t="s">
        <v>156</v>
      </c>
      <c r="BK272" t="s">
        <v>1019</v>
      </c>
      <c r="BL272">
        <v>68.400000000000006</v>
      </c>
      <c r="BM272">
        <v>921.60</v>
      </c>
      <c r="BN272">
        <v>-853</v>
      </c>
      <c r="BO272" t="s">
        <v>154</v>
      </c>
      <c r="BP272">
        <v>9122848</v>
      </c>
      <c r="BQ272" t="s">
        <v>271</v>
      </c>
      <c r="BR272" t="s">
        <v>630</v>
      </c>
      <c r="BS272">
        <v>7</v>
      </c>
    </row>
    <row r="273" spans="1:71" s="0" customFormat="1" ht="14.5">
      <c r="A273" s="153" t="s">
        <v>157</v>
      </c>
      <c r="B273" s="154" t="s">
        <v>625</v>
      </c>
      <c r="C273" s="154">
        <v>107</v>
      </c>
      <c r="D273" s="154" t="s">
        <v>97</v>
      </c>
      <c r="E273" s="154" t="s">
        <v>98</v>
      </c>
      <c r="F273" s="155"/>
      <c r="G273" s="155" t="s">
        <v>106</v>
      </c>
      <c r="H273" s="153" t="s">
        <v>48</v>
      </c>
      <c r="I273" s="154" t="s">
        <v>158</v>
      </c>
      <c r="J273" s="154" t="s">
        <v>165</v>
      </c>
      <c r="K273" s="154" t="s">
        <v>166</v>
      </c>
      <c r="L273" s="154" t="s">
        <v>160</v>
      </c>
      <c r="M273" s="156">
        <v>46112</v>
      </c>
      <c r="N273" s="154">
        <v>5500</v>
      </c>
      <c r="O273" s="154">
        <v>9122840</v>
      </c>
      <c r="P273" s="156">
        <v>46090</v>
      </c>
      <c r="Q273" s="154" t="s">
        <v>161</v>
      </c>
      <c r="R273" s="154">
        <v>43683</v>
      </c>
      <c r="S273" s="154" t="s">
        <v>1008</v>
      </c>
      <c r="T273" s="154" t="s">
        <v>170</v>
      </c>
      <c r="U273" s="154" t="s">
        <v>1009</v>
      </c>
      <c r="V273" s="155" t="s">
        <v>162</v>
      </c>
      <c r="W273" s="155"/>
      <c r="X273" s="154">
        <v>750</v>
      </c>
      <c r="Y273" s="154">
        <v>4</v>
      </c>
      <c r="Z273" s="154">
        <v>3000</v>
      </c>
      <c r="AA273" s="154" t="s">
        <v>99</v>
      </c>
      <c r="AB273" s="154">
        <v>5500</v>
      </c>
      <c r="AC273" s="156">
        <v>46090</v>
      </c>
      <c r="AD273" s="155" t="s">
        <v>164</v>
      </c>
      <c r="AE273" s="154">
        <v>9405</v>
      </c>
      <c r="AF273" s="154" t="s">
        <v>1025</v>
      </c>
      <c r="AG273" s="154"/>
      <c r="AH273" s="154"/>
      <c r="AI273" s="154">
        <v>3000</v>
      </c>
      <c r="AJ273" s="154" t="s">
        <v>368</v>
      </c>
      <c r="AK273" s="154">
        <v>18</v>
      </c>
      <c r="AL273" s="154">
        <v>270</v>
      </c>
      <c r="AM273" s="154">
        <v>270</v>
      </c>
      <c r="AN273" s="154">
        <v>0</v>
      </c>
      <c r="AO273" s="154">
        <v>0</v>
      </c>
      <c r="AP273" s="154">
        <v>0</v>
      </c>
      <c r="AQ273" s="154">
        <v>0</v>
      </c>
      <c r="AR273" s="154">
        <v>0</v>
      </c>
      <c r="AS273" s="153">
        <v>0</v>
      </c>
      <c r="AT273" s="154">
        <v>0</v>
      </c>
      <c r="AU273" s="155"/>
      <c r="AV273" s="155"/>
      <c r="AW273" s="154">
        <v>0</v>
      </c>
      <c r="AX273" s="154">
        <v>3540</v>
      </c>
      <c r="AY273" s="154" t="s">
        <v>101</v>
      </c>
      <c r="AZ273" s="154" t="s">
        <v>101</v>
      </c>
      <c r="BA273" s="154" t="s">
        <v>298</v>
      </c>
      <c r="BB273" s="154">
        <v>1125113238</v>
      </c>
      <c r="BC273" s="154" t="s">
        <v>172</v>
      </c>
      <c r="BD273" s="154" t="s">
        <v>104</v>
      </c>
      <c r="BE273" s="155"/>
      <c r="BF273" s="155" t="s">
        <v>271</v>
      </c>
      <c r="BG273" s="155" t="s">
        <v>281</v>
      </c>
      <c r="BH273" s="154" t="s">
        <v>289</v>
      </c>
      <c r="BI273" t="s">
        <v>155</v>
      </c>
      <c r="BJ273" t="s">
        <v>156</v>
      </c>
      <c r="BK273" t="s">
        <v>1011</v>
      </c>
      <c r="BL273">
        <v>540</v>
      </c>
      <c r="BM273">
        <v>7367.40</v>
      </c>
      <c r="BN273">
        <v>-6827</v>
      </c>
      <c r="BO273" t="s">
        <v>154</v>
      </c>
      <c r="BP273">
        <v>9122840</v>
      </c>
      <c r="BQ273" t="s">
        <v>271</v>
      </c>
      <c r="BR273" t="s">
        <v>630</v>
      </c>
      <c r="BS273">
        <v>17</v>
      </c>
    </row>
    <row r="274" spans="1:71" s="0" customFormat="1" ht="14.5">
      <c r="A274" s="153" t="s">
        <v>157</v>
      </c>
      <c r="B274" s="154" t="s">
        <v>625</v>
      </c>
      <c r="C274" s="154">
        <v>107</v>
      </c>
      <c r="D274" s="154" t="s">
        <v>97</v>
      </c>
      <c r="E274" s="154" t="s">
        <v>98</v>
      </c>
      <c r="F274" s="155"/>
      <c r="G274" s="155" t="s">
        <v>106</v>
      </c>
      <c r="H274" s="153" t="s">
        <v>48</v>
      </c>
      <c r="I274" s="154" t="s">
        <v>158</v>
      </c>
      <c r="J274" s="154" t="s">
        <v>165</v>
      </c>
      <c r="K274" s="154" t="s">
        <v>166</v>
      </c>
      <c r="L274" s="154" t="s">
        <v>160</v>
      </c>
      <c r="M274" s="156">
        <v>46112</v>
      </c>
      <c r="N274" s="154">
        <v>5500</v>
      </c>
      <c r="O274" s="154">
        <v>9122840</v>
      </c>
      <c r="P274" s="156">
        <v>46090</v>
      </c>
      <c r="Q274" s="154" t="s">
        <v>161</v>
      </c>
      <c r="R274" s="154">
        <v>43683</v>
      </c>
      <c r="S274" s="154" t="s">
        <v>1008</v>
      </c>
      <c r="T274" s="154" t="s">
        <v>170</v>
      </c>
      <c r="U274" s="154" t="s">
        <v>1009</v>
      </c>
      <c r="V274" s="155" t="s">
        <v>162</v>
      </c>
      <c r="W274" s="155"/>
      <c r="X274" s="154">
        <v>650</v>
      </c>
      <c r="Y274" s="154">
        <v>10</v>
      </c>
      <c r="Z274" s="154">
        <v>6500</v>
      </c>
      <c r="AA274" s="154" t="s">
        <v>99</v>
      </c>
      <c r="AB274" s="154">
        <v>5500</v>
      </c>
      <c r="AC274" s="156">
        <v>46090</v>
      </c>
      <c r="AD274" s="155" t="s">
        <v>164</v>
      </c>
      <c r="AE274" s="154">
        <v>9405</v>
      </c>
      <c r="AF274" s="154" t="s">
        <v>1026</v>
      </c>
      <c r="AG274" s="154"/>
      <c r="AH274" s="154"/>
      <c r="AI274" s="154">
        <v>6500</v>
      </c>
      <c r="AJ274" s="154" t="s">
        <v>368</v>
      </c>
      <c r="AK274" s="154">
        <v>18</v>
      </c>
      <c r="AL274" s="154">
        <v>585</v>
      </c>
      <c r="AM274" s="154">
        <v>585</v>
      </c>
      <c r="AN274" s="154">
        <v>0</v>
      </c>
      <c r="AO274" s="154">
        <v>0</v>
      </c>
      <c r="AP274" s="154">
        <v>0</v>
      </c>
      <c r="AQ274" s="154">
        <v>0</v>
      </c>
      <c r="AR274" s="154">
        <v>0</v>
      </c>
      <c r="AS274" s="153">
        <v>0</v>
      </c>
      <c r="AT274" s="154">
        <v>0</v>
      </c>
      <c r="AU274" s="155"/>
      <c r="AV274" s="155"/>
      <c r="AW274" s="154">
        <v>0</v>
      </c>
      <c r="AX274" s="154">
        <v>7670</v>
      </c>
      <c r="AY274" s="154" t="s">
        <v>101</v>
      </c>
      <c r="AZ274" s="154" t="s">
        <v>101</v>
      </c>
      <c r="BA274" s="154" t="s">
        <v>298</v>
      </c>
      <c r="BB274" s="154">
        <v>1125113238</v>
      </c>
      <c r="BC274" s="154" t="s">
        <v>172</v>
      </c>
      <c r="BD274" s="154" t="s">
        <v>104</v>
      </c>
      <c r="BE274" s="155"/>
      <c r="BF274" s="155" t="s">
        <v>271</v>
      </c>
      <c r="BG274" s="155" t="s">
        <v>281</v>
      </c>
      <c r="BH274" s="154" t="s">
        <v>289</v>
      </c>
      <c r="BI274" t="s">
        <v>155</v>
      </c>
      <c r="BJ274" t="s">
        <v>156</v>
      </c>
      <c r="BK274" t="s">
        <v>1011</v>
      </c>
      <c r="BL274">
        <v>1170</v>
      </c>
      <c r="BM274">
        <v>7367.40</v>
      </c>
      <c r="BN274">
        <v>-6197</v>
      </c>
      <c r="BO274" t="s">
        <v>154</v>
      </c>
      <c r="BP274">
        <v>9122840</v>
      </c>
      <c r="BQ274" t="s">
        <v>271</v>
      </c>
      <c r="BR274" t="s">
        <v>630</v>
      </c>
      <c r="BS274">
        <v>17</v>
      </c>
    </row>
    <row r="275" spans="1:71" s="0" customFormat="1" ht="14.5">
      <c r="A275" s="153" t="s">
        <v>316</v>
      </c>
      <c r="B275" s="154" t="s">
        <v>1027</v>
      </c>
      <c r="C275" s="154">
        <v>107</v>
      </c>
      <c r="D275" s="154" t="s">
        <v>97</v>
      </c>
      <c r="E275" s="154" t="s">
        <v>98</v>
      </c>
      <c r="F275" s="155"/>
      <c r="G275" s="155" t="s">
        <v>106</v>
      </c>
      <c r="H275" s="153" t="s">
        <v>48</v>
      </c>
      <c r="I275" s="154" t="s">
        <v>317</v>
      </c>
      <c r="J275" s="154" t="s">
        <v>318</v>
      </c>
      <c r="K275" s="154" t="s">
        <v>319</v>
      </c>
      <c r="L275" s="154" t="s">
        <v>438</v>
      </c>
      <c r="M275" s="156">
        <v>46112</v>
      </c>
      <c r="N275" s="154">
        <v>106636724</v>
      </c>
      <c r="O275" s="154">
        <v>106636724</v>
      </c>
      <c r="P275" s="156">
        <v>46112</v>
      </c>
      <c r="Q275" s="154" t="s">
        <v>439</v>
      </c>
      <c r="R275" s="154">
        <v>42054</v>
      </c>
      <c r="S275" s="154" t="s">
        <v>277</v>
      </c>
      <c r="T275" s="154" t="s">
        <v>170</v>
      </c>
      <c r="U275" s="154" t="s">
        <v>278</v>
      </c>
      <c r="V275" s="155"/>
      <c r="W275" s="155"/>
      <c r="X275" s="154">
        <v>0</v>
      </c>
      <c r="Y275" s="154">
        <v>0</v>
      </c>
      <c r="Z275" s="154">
        <v>147248</v>
      </c>
      <c r="AA275" s="154" t="s">
        <v>99</v>
      </c>
      <c r="AB275" s="154" t="s">
        <v>1028</v>
      </c>
      <c r="AC275" s="156">
        <v>46086</v>
      </c>
      <c r="AD275" s="155" t="s">
        <v>1029</v>
      </c>
      <c r="AE275" s="154">
        <v>9964</v>
      </c>
      <c r="AF275" s="154" t="s">
        <v>1030</v>
      </c>
      <c r="AG275" s="154"/>
      <c r="AH275" s="154"/>
      <c r="AI275" s="154">
        <v>147248</v>
      </c>
      <c r="AJ275" s="154" t="s">
        <v>368</v>
      </c>
      <c r="AK275" s="154">
        <v>18</v>
      </c>
      <c r="AL275" s="154">
        <v>13252.32</v>
      </c>
      <c r="AM275" s="154">
        <v>13252.32</v>
      </c>
      <c r="AN275" s="154">
        <v>0</v>
      </c>
      <c r="AO275" s="154">
        <v>0</v>
      </c>
      <c r="AP275" s="154">
        <v>0</v>
      </c>
      <c r="AQ275" s="154">
        <v>0</v>
      </c>
      <c r="AR275" s="154">
        <v>0</v>
      </c>
      <c r="AS275" s="153">
        <v>0</v>
      </c>
      <c r="AT275" s="154">
        <v>0</v>
      </c>
      <c r="AU275" s="155"/>
      <c r="AV275" s="155"/>
      <c r="AW275" s="154">
        <v>0</v>
      </c>
      <c r="AX275" s="154">
        <v>173752.64</v>
      </c>
      <c r="AY275" s="154" t="s">
        <v>100</v>
      </c>
      <c r="AZ275" s="154" t="s">
        <v>101</v>
      </c>
      <c r="BA275" s="154" t="s">
        <v>360</v>
      </c>
      <c r="BB275" s="154"/>
      <c r="BC275" s="154"/>
      <c r="BD275" s="154"/>
      <c r="BE275" s="155"/>
      <c r="BF275" s="155" t="s">
        <v>270</v>
      </c>
      <c r="BG275" s="155" t="s">
        <v>281</v>
      </c>
      <c r="BH275" s="154" t="s">
        <v>290</v>
      </c>
      <c r="BI275" t="s">
        <v>155</v>
      </c>
      <c r="BJ275" t="s">
        <v>156</v>
      </c>
      <c r="BK275" t="s">
        <v>1031</v>
      </c>
      <c r="BL275">
        <v>26504.64</v>
      </c>
      <c r="BM275">
        <v>26504.64</v>
      </c>
      <c r="BN275">
        <v>0</v>
      </c>
      <c r="BO275" t="s">
        <v>154</v>
      </c>
      <c r="BP275">
        <v>106636724</v>
      </c>
      <c r="BQ275" t="s">
        <v>270</v>
      </c>
      <c r="BR275" t="s">
        <v>307</v>
      </c>
      <c r="BS275">
        <v>1</v>
      </c>
    </row>
    <row r="276" spans="1:71" s="0" customFormat="1" ht="14.5">
      <c r="A276" s="153" t="s">
        <v>157</v>
      </c>
      <c r="B276" s="154" t="s">
        <v>625</v>
      </c>
      <c r="C276" s="154">
        <v>107</v>
      </c>
      <c r="D276" s="154" t="s">
        <v>97</v>
      </c>
      <c r="E276" s="154" t="s">
        <v>98</v>
      </c>
      <c r="F276" s="155"/>
      <c r="G276" s="155" t="s">
        <v>106</v>
      </c>
      <c r="H276" s="153" t="s">
        <v>48</v>
      </c>
      <c r="I276" s="154" t="s">
        <v>158</v>
      </c>
      <c r="J276" s="154" t="s">
        <v>165</v>
      </c>
      <c r="K276" s="154" t="s">
        <v>166</v>
      </c>
      <c r="L276" s="154" t="s">
        <v>160</v>
      </c>
      <c r="M276" s="156">
        <v>46112</v>
      </c>
      <c r="N276" s="154">
        <v>5500</v>
      </c>
      <c r="O276" s="154">
        <v>9122840</v>
      </c>
      <c r="P276" s="156">
        <v>46090</v>
      </c>
      <c r="Q276" s="154" t="s">
        <v>161</v>
      </c>
      <c r="R276" s="154">
        <v>43683</v>
      </c>
      <c r="S276" s="154" t="s">
        <v>1008</v>
      </c>
      <c r="T276" s="154" t="s">
        <v>170</v>
      </c>
      <c r="U276" s="154" t="s">
        <v>1009</v>
      </c>
      <c r="V276" s="155" t="s">
        <v>162</v>
      </c>
      <c r="W276" s="155"/>
      <c r="X276" s="154">
        <v>650</v>
      </c>
      <c r="Y276" s="154">
        <v>6</v>
      </c>
      <c r="Z276" s="154">
        <v>3900</v>
      </c>
      <c r="AA276" s="154" t="s">
        <v>99</v>
      </c>
      <c r="AB276" s="154">
        <v>5500</v>
      </c>
      <c r="AC276" s="156">
        <v>46090</v>
      </c>
      <c r="AD276" s="155" t="s">
        <v>164</v>
      </c>
      <c r="AE276" s="154">
        <v>9405</v>
      </c>
      <c r="AF276" s="154" t="s">
        <v>1032</v>
      </c>
      <c r="AG276" s="154"/>
      <c r="AH276" s="154"/>
      <c r="AI276" s="154">
        <v>3900</v>
      </c>
      <c r="AJ276" s="154" t="s">
        <v>368</v>
      </c>
      <c r="AK276" s="154">
        <v>18</v>
      </c>
      <c r="AL276" s="154">
        <v>351</v>
      </c>
      <c r="AM276" s="154">
        <v>351</v>
      </c>
      <c r="AN276" s="154">
        <v>0</v>
      </c>
      <c r="AO276" s="154">
        <v>0</v>
      </c>
      <c r="AP276" s="154">
        <v>0</v>
      </c>
      <c r="AQ276" s="154">
        <v>0</v>
      </c>
      <c r="AR276" s="154">
        <v>0</v>
      </c>
      <c r="AS276" s="153">
        <v>0</v>
      </c>
      <c r="AT276" s="154">
        <v>0</v>
      </c>
      <c r="AU276" s="155"/>
      <c r="AV276" s="155"/>
      <c r="AW276" s="154">
        <v>0</v>
      </c>
      <c r="AX276" s="154">
        <v>4602</v>
      </c>
      <c r="AY276" s="154" t="s">
        <v>101</v>
      </c>
      <c r="AZ276" s="154" t="s">
        <v>101</v>
      </c>
      <c r="BA276" s="154" t="s">
        <v>298</v>
      </c>
      <c r="BB276" s="154">
        <v>1125113238</v>
      </c>
      <c r="BC276" s="154" t="s">
        <v>172</v>
      </c>
      <c r="BD276" s="154" t="s">
        <v>104</v>
      </c>
      <c r="BE276" s="155"/>
      <c r="BF276" s="155" t="s">
        <v>271</v>
      </c>
      <c r="BG276" s="155" t="s">
        <v>281</v>
      </c>
      <c r="BH276" s="154" t="s">
        <v>289</v>
      </c>
      <c r="BI276" t="s">
        <v>155</v>
      </c>
      <c r="BJ276" t="s">
        <v>156</v>
      </c>
      <c r="BK276" t="s">
        <v>1011</v>
      </c>
      <c r="BL276">
        <v>702</v>
      </c>
      <c r="BM276">
        <v>7367.40</v>
      </c>
      <c r="BN276">
        <v>-6665</v>
      </c>
      <c r="BO276" t="s">
        <v>154</v>
      </c>
      <c r="BP276">
        <v>9122840</v>
      </c>
      <c r="BQ276" t="s">
        <v>271</v>
      </c>
      <c r="BR276" t="s">
        <v>630</v>
      </c>
      <c r="BS276">
        <v>17</v>
      </c>
    </row>
    <row r="277" spans="1:71" s="0" customFormat="1" ht="14.5">
      <c r="A277" s="153" t="s">
        <v>157</v>
      </c>
      <c r="B277" s="154" t="s">
        <v>625</v>
      </c>
      <c r="C277" s="154">
        <v>107</v>
      </c>
      <c r="D277" s="154" t="s">
        <v>97</v>
      </c>
      <c r="E277" s="154" t="s">
        <v>98</v>
      </c>
      <c r="F277" s="155"/>
      <c r="G277" s="155" t="s">
        <v>106</v>
      </c>
      <c r="H277" s="153" t="s">
        <v>48</v>
      </c>
      <c r="I277" s="154" t="s">
        <v>158</v>
      </c>
      <c r="J277" s="154" t="s">
        <v>165</v>
      </c>
      <c r="K277" s="154" t="s">
        <v>166</v>
      </c>
      <c r="L277" s="154" t="s">
        <v>160</v>
      </c>
      <c r="M277" s="156">
        <v>46112</v>
      </c>
      <c r="N277" s="154">
        <v>5500</v>
      </c>
      <c r="O277" s="154">
        <v>9122840</v>
      </c>
      <c r="P277" s="156">
        <v>46090</v>
      </c>
      <c r="Q277" s="154" t="s">
        <v>161</v>
      </c>
      <c r="R277" s="154">
        <v>43683</v>
      </c>
      <c r="S277" s="154" t="s">
        <v>1008</v>
      </c>
      <c r="T277" s="154" t="s">
        <v>170</v>
      </c>
      <c r="U277" s="154" t="s">
        <v>1009</v>
      </c>
      <c r="V277" s="155" t="s">
        <v>162</v>
      </c>
      <c r="W277" s="155"/>
      <c r="X277" s="154">
        <v>4450</v>
      </c>
      <c r="Y277" s="154">
        <v>2</v>
      </c>
      <c r="Z277" s="154">
        <v>8900</v>
      </c>
      <c r="AA277" s="154" t="s">
        <v>99</v>
      </c>
      <c r="AB277" s="154">
        <v>5500</v>
      </c>
      <c r="AC277" s="156">
        <v>46090</v>
      </c>
      <c r="AD277" s="155" t="s">
        <v>164</v>
      </c>
      <c r="AE277" s="154">
        <v>8414</v>
      </c>
      <c r="AF277" s="154" t="s">
        <v>1033</v>
      </c>
      <c r="AG277" s="154"/>
      <c r="AH277" s="154"/>
      <c r="AI277" s="154">
        <v>8900</v>
      </c>
      <c r="AJ277" s="154" t="s">
        <v>368</v>
      </c>
      <c r="AK277" s="154">
        <v>18</v>
      </c>
      <c r="AL277" s="154">
        <v>801</v>
      </c>
      <c r="AM277" s="154">
        <v>801</v>
      </c>
      <c r="AN277" s="154">
        <v>0</v>
      </c>
      <c r="AO277" s="154">
        <v>0</v>
      </c>
      <c r="AP277" s="154">
        <v>0</v>
      </c>
      <c r="AQ277" s="154">
        <v>0</v>
      </c>
      <c r="AR277" s="154">
        <v>0</v>
      </c>
      <c r="AS277" s="153">
        <v>0</v>
      </c>
      <c r="AT277" s="154">
        <v>0</v>
      </c>
      <c r="AU277" s="155"/>
      <c r="AV277" s="155"/>
      <c r="AW277" s="154">
        <v>0</v>
      </c>
      <c r="AX277" s="154">
        <v>10502</v>
      </c>
      <c r="AY277" s="154" t="s">
        <v>101</v>
      </c>
      <c r="AZ277" s="154" t="s">
        <v>101</v>
      </c>
      <c r="BA277" s="154" t="s">
        <v>298</v>
      </c>
      <c r="BB277" s="154">
        <v>1125113238</v>
      </c>
      <c r="BC277" s="154" t="s">
        <v>172</v>
      </c>
      <c r="BD277" s="154" t="s">
        <v>104</v>
      </c>
      <c r="BE277" s="155"/>
      <c r="BF277" s="155" t="s">
        <v>271</v>
      </c>
      <c r="BG277" s="155" t="s">
        <v>281</v>
      </c>
      <c r="BH277" s="154" t="s">
        <v>289</v>
      </c>
      <c r="BI277" t="s">
        <v>155</v>
      </c>
      <c r="BJ277" t="s">
        <v>156</v>
      </c>
      <c r="BK277" t="s">
        <v>1011</v>
      </c>
      <c r="BL277">
        <v>1602</v>
      </c>
      <c r="BM277">
        <v>7367.40</v>
      </c>
      <c r="BN277">
        <v>-5765</v>
      </c>
      <c r="BO277" t="s">
        <v>154</v>
      </c>
      <c r="BP277">
        <v>9122840</v>
      </c>
      <c r="BQ277" t="s">
        <v>271</v>
      </c>
      <c r="BR277" t="s">
        <v>630</v>
      </c>
      <c r="BS277">
        <v>17</v>
      </c>
    </row>
    <row r="278" spans="1:71" s="0" customFormat="1" ht="14.5">
      <c r="A278" s="153" t="s">
        <v>157</v>
      </c>
      <c r="B278" s="154" t="s">
        <v>625</v>
      </c>
      <c r="C278" s="154">
        <v>107</v>
      </c>
      <c r="D278" s="154" t="s">
        <v>97</v>
      </c>
      <c r="E278" s="154" t="s">
        <v>98</v>
      </c>
      <c r="F278" s="155"/>
      <c r="G278" s="155" t="s">
        <v>106</v>
      </c>
      <c r="H278" s="153" t="s">
        <v>48</v>
      </c>
      <c r="I278" s="154" t="s">
        <v>158</v>
      </c>
      <c r="J278" s="154" t="s">
        <v>165</v>
      </c>
      <c r="K278" s="154" t="s">
        <v>166</v>
      </c>
      <c r="L278" s="154" t="s">
        <v>160</v>
      </c>
      <c r="M278" s="156">
        <v>46112</v>
      </c>
      <c r="N278" s="154">
        <v>5500</v>
      </c>
      <c r="O278" s="154">
        <v>9122840</v>
      </c>
      <c r="P278" s="156">
        <v>46090</v>
      </c>
      <c r="Q278" s="154" t="s">
        <v>161</v>
      </c>
      <c r="R278" s="154">
        <v>43683</v>
      </c>
      <c r="S278" s="154" t="s">
        <v>1008</v>
      </c>
      <c r="T278" s="154" t="s">
        <v>170</v>
      </c>
      <c r="U278" s="154" t="s">
        <v>1009</v>
      </c>
      <c r="V278" s="155" t="s">
        <v>162</v>
      </c>
      <c r="W278" s="155"/>
      <c r="X278" s="154">
        <v>150</v>
      </c>
      <c r="Y278" s="154">
        <v>5</v>
      </c>
      <c r="Z278" s="154">
        <v>750</v>
      </c>
      <c r="AA278" s="154" t="s">
        <v>99</v>
      </c>
      <c r="AB278" s="154">
        <v>5500</v>
      </c>
      <c r="AC278" s="156">
        <v>46090</v>
      </c>
      <c r="AD278" s="155" t="s">
        <v>164</v>
      </c>
      <c r="AE278" s="154">
        <v>9405</v>
      </c>
      <c r="AF278" s="154" t="s">
        <v>1034</v>
      </c>
      <c r="AG278" s="154"/>
      <c r="AH278" s="154"/>
      <c r="AI278" s="154">
        <v>750</v>
      </c>
      <c r="AJ278" s="154" t="s">
        <v>368</v>
      </c>
      <c r="AK278" s="154">
        <v>18</v>
      </c>
      <c r="AL278" s="154">
        <v>67.5</v>
      </c>
      <c r="AM278" s="154">
        <v>67.5</v>
      </c>
      <c r="AN278" s="154">
        <v>0</v>
      </c>
      <c r="AO278" s="154">
        <v>0</v>
      </c>
      <c r="AP278" s="154">
        <v>0</v>
      </c>
      <c r="AQ278" s="154">
        <v>0</v>
      </c>
      <c r="AR278" s="154">
        <v>0</v>
      </c>
      <c r="AS278" s="153">
        <v>0</v>
      </c>
      <c r="AT278" s="154">
        <v>0</v>
      </c>
      <c r="AU278" s="155"/>
      <c r="AV278" s="155"/>
      <c r="AW278" s="154">
        <v>0</v>
      </c>
      <c r="AX278" s="154">
        <v>885</v>
      </c>
      <c r="AY278" s="154" t="s">
        <v>101</v>
      </c>
      <c r="AZ278" s="154" t="s">
        <v>101</v>
      </c>
      <c r="BA278" s="154" t="s">
        <v>298</v>
      </c>
      <c r="BB278" s="154">
        <v>1125113238</v>
      </c>
      <c r="BC278" s="154" t="s">
        <v>172</v>
      </c>
      <c r="BD278" s="154" t="s">
        <v>104</v>
      </c>
      <c r="BE278" s="155"/>
      <c r="BF278" s="155" t="s">
        <v>271</v>
      </c>
      <c r="BG278" s="155" t="s">
        <v>281</v>
      </c>
      <c r="BH278" s="154" t="s">
        <v>289</v>
      </c>
      <c r="BI278" t="s">
        <v>155</v>
      </c>
      <c r="BJ278" t="s">
        <v>156</v>
      </c>
      <c r="BK278" t="s">
        <v>1011</v>
      </c>
      <c r="BL278">
        <v>135</v>
      </c>
      <c r="BM278">
        <v>7367.40</v>
      </c>
      <c r="BN278">
        <v>-7232</v>
      </c>
      <c r="BO278" t="s">
        <v>154</v>
      </c>
      <c r="BP278">
        <v>9122840</v>
      </c>
      <c r="BQ278" t="s">
        <v>271</v>
      </c>
      <c r="BR278" t="s">
        <v>630</v>
      </c>
      <c r="BS278">
        <v>17</v>
      </c>
    </row>
    <row r="279" spans="1:71" s="0" customFormat="1" ht="14.5">
      <c r="A279" s="153" t="s">
        <v>157</v>
      </c>
      <c r="B279" s="154" t="s">
        <v>625</v>
      </c>
      <c r="C279" s="154">
        <v>107</v>
      </c>
      <c r="D279" s="154" t="s">
        <v>97</v>
      </c>
      <c r="E279" s="154" t="s">
        <v>98</v>
      </c>
      <c r="F279" s="155"/>
      <c r="G279" s="155" t="s">
        <v>106</v>
      </c>
      <c r="H279" s="153" t="s">
        <v>48</v>
      </c>
      <c r="I279" s="154" t="s">
        <v>158</v>
      </c>
      <c r="J279" s="154" t="s">
        <v>165</v>
      </c>
      <c r="K279" s="154" t="s">
        <v>166</v>
      </c>
      <c r="L279" s="154" t="s">
        <v>160</v>
      </c>
      <c r="M279" s="156">
        <v>46112</v>
      </c>
      <c r="N279" s="154">
        <v>5500</v>
      </c>
      <c r="O279" s="154">
        <v>9122840</v>
      </c>
      <c r="P279" s="156">
        <v>46090</v>
      </c>
      <c r="Q279" s="154" t="s">
        <v>161</v>
      </c>
      <c r="R279" s="154">
        <v>43683</v>
      </c>
      <c r="S279" s="154" t="s">
        <v>1008</v>
      </c>
      <c r="T279" s="154" t="s">
        <v>170</v>
      </c>
      <c r="U279" s="154" t="s">
        <v>1009</v>
      </c>
      <c r="V279" s="155" t="s">
        <v>162</v>
      </c>
      <c r="W279" s="155"/>
      <c r="X279" s="154">
        <v>190</v>
      </c>
      <c r="Y279" s="154">
        <v>3</v>
      </c>
      <c r="Z279" s="154">
        <v>570</v>
      </c>
      <c r="AA279" s="154" t="s">
        <v>99</v>
      </c>
      <c r="AB279" s="154">
        <v>5500</v>
      </c>
      <c r="AC279" s="156">
        <v>46090</v>
      </c>
      <c r="AD279" s="155" t="s">
        <v>164</v>
      </c>
      <c r="AE279" s="154">
        <v>3917</v>
      </c>
      <c r="AF279" s="154" t="s">
        <v>1035</v>
      </c>
      <c r="AG279" s="154"/>
      <c r="AH279" s="154"/>
      <c r="AI279" s="154">
        <v>570</v>
      </c>
      <c r="AJ279" s="154" t="s">
        <v>368</v>
      </c>
      <c r="AK279" s="154">
        <v>18</v>
      </c>
      <c r="AL279" s="154">
        <v>51.30</v>
      </c>
      <c r="AM279" s="154">
        <v>51.30</v>
      </c>
      <c r="AN279" s="154">
        <v>0</v>
      </c>
      <c r="AO279" s="154">
        <v>0</v>
      </c>
      <c r="AP279" s="154">
        <v>0</v>
      </c>
      <c r="AQ279" s="154">
        <v>0</v>
      </c>
      <c r="AR279" s="154">
        <v>0</v>
      </c>
      <c r="AS279" s="153">
        <v>0</v>
      </c>
      <c r="AT279" s="154">
        <v>0</v>
      </c>
      <c r="AU279" s="155"/>
      <c r="AV279" s="155"/>
      <c r="AW279" s="154">
        <v>0</v>
      </c>
      <c r="AX279" s="154">
        <v>672.60</v>
      </c>
      <c r="AY279" s="154" t="s">
        <v>101</v>
      </c>
      <c r="AZ279" s="154" t="s">
        <v>101</v>
      </c>
      <c r="BA279" s="154" t="s">
        <v>298</v>
      </c>
      <c r="BB279" s="154">
        <v>1125113238</v>
      </c>
      <c r="BC279" s="154" t="s">
        <v>172</v>
      </c>
      <c r="BD279" s="154" t="s">
        <v>104</v>
      </c>
      <c r="BE279" s="155"/>
      <c r="BF279" s="155" t="s">
        <v>271</v>
      </c>
      <c r="BG279" s="155" t="s">
        <v>281</v>
      </c>
      <c r="BH279" s="154" t="s">
        <v>289</v>
      </c>
      <c r="BI279" t="s">
        <v>155</v>
      </c>
      <c r="BJ279" t="s">
        <v>156</v>
      </c>
      <c r="BK279" t="s">
        <v>1011</v>
      </c>
      <c r="BL279">
        <v>102.60</v>
      </c>
      <c r="BM279">
        <v>7367.40</v>
      </c>
      <c r="BN279">
        <v>-7265</v>
      </c>
      <c r="BO279" t="s">
        <v>154</v>
      </c>
      <c r="BP279">
        <v>9122840</v>
      </c>
      <c r="BQ279" t="s">
        <v>271</v>
      </c>
      <c r="BR279" t="s">
        <v>630</v>
      </c>
      <c r="BS279">
        <v>17</v>
      </c>
    </row>
    <row r="280" spans="1:71" s="0" customFormat="1" ht="14.5">
      <c r="A280" s="153" t="s">
        <v>157</v>
      </c>
      <c r="B280" s="154" t="s">
        <v>625</v>
      </c>
      <c r="C280" s="154">
        <v>107</v>
      </c>
      <c r="D280" s="154" t="s">
        <v>97</v>
      </c>
      <c r="E280" s="154" t="s">
        <v>98</v>
      </c>
      <c r="F280" s="155"/>
      <c r="G280" s="155" t="s">
        <v>106</v>
      </c>
      <c r="H280" s="153" t="s">
        <v>48</v>
      </c>
      <c r="I280" s="154" t="s">
        <v>158</v>
      </c>
      <c r="J280" s="154" t="s">
        <v>165</v>
      </c>
      <c r="K280" s="154" t="s">
        <v>166</v>
      </c>
      <c r="L280" s="154" t="s">
        <v>160</v>
      </c>
      <c r="M280" s="156">
        <v>46112</v>
      </c>
      <c r="N280" s="154">
        <v>5500</v>
      </c>
      <c r="O280" s="154">
        <v>9122840</v>
      </c>
      <c r="P280" s="156">
        <v>46090</v>
      </c>
      <c r="Q280" s="154" t="s">
        <v>161</v>
      </c>
      <c r="R280" s="154">
        <v>43683</v>
      </c>
      <c r="S280" s="154" t="s">
        <v>1008</v>
      </c>
      <c r="T280" s="154" t="s">
        <v>170</v>
      </c>
      <c r="U280" s="154" t="s">
        <v>1009</v>
      </c>
      <c r="V280" s="155" t="s">
        <v>162</v>
      </c>
      <c r="W280" s="155"/>
      <c r="X280" s="154">
        <v>160</v>
      </c>
      <c r="Y280" s="154">
        <v>1</v>
      </c>
      <c r="Z280" s="154">
        <v>160</v>
      </c>
      <c r="AA280" s="154" t="s">
        <v>99</v>
      </c>
      <c r="AB280" s="154">
        <v>5500</v>
      </c>
      <c r="AC280" s="156">
        <v>46090</v>
      </c>
      <c r="AD280" s="155" t="s">
        <v>164</v>
      </c>
      <c r="AE280" s="154">
        <v>8538</v>
      </c>
      <c r="AF280" s="154" t="s">
        <v>1036</v>
      </c>
      <c r="AG280" s="154"/>
      <c r="AH280" s="154"/>
      <c r="AI280" s="154">
        <v>160</v>
      </c>
      <c r="AJ280" s="154" t="s">
        <v>368</v>
      </c>
      <c r="AK280" s="154">
        <v>18</v>
      </c>
      <c r="AL280" s="154">
        <v>14.40</v>
      </c>
      <c r="AM280" s="154">
        <v>14.40</v>
      </c>
      <c r="AN280" s="154">
        <v>0</v>
      </c>
      <c r="AO280" s="154">
        <v>0</v>
      </c>
      <c r="AP280" s="154">
        <v>0</v>
      </c>
      <c r="AQ280" s="154">
        <v>0</v>
      </c>
      <c r="AR280" s="154">
        <v>0</v>
      </c>
      <c r="AS280" s="153">
        <v>0</v>
      </c>
      <c r="AT280" s="154">
        <v>0</v>
      </c>
      <c r="AU280" s="155"/>
      <c r="AV280" s="155"/>
      <c r="AW280" s="154">
        <v>0</v>
      </c>
      <c r="AX280" s="154">
        <v>188.80</v>
      </c>
      <c r="AY280" s="154" t="s">
        <v>101</v>
      </c>
      <c r="AZ280" s="154" t="s">
        <v>101</v>
      </c>
      <c r="BA280" s="154" t="s">
        <v>298</v>
      </c>
      <c r="BB280" s="154">
        <v>1125113238</v>
      </c>
      <c r="BC280" s="154" t="s">
        <v>172</v>
      </c>
      <c r="BD280" s="154" t="s">
        <v>104</v>
      </c>
      <c r="BE280" s="155"/>
      <c r="BF280" s="155" t="s">
        <v>271</v>
      </c>
      <c r="BG280" s="155" t="s">
        <v>281</v>
      </c>
      <c r="BH280" s="154" t="s">
        <v>289</v>
      </c>
      <c r="BI280" t="s">
        <v>155</v>
      </c>
      <c r="BJ280" t="s">
        <v>156</v>
      </c>
      <c r="BK280" t="s">
        <v>1011</v>
      </c>
      <c r="BL280">
        <v>28.80</v>
      </c>
      <c r="BM280">
        <v>7367.40</v>
      </c>
      <c r="BN280">
        <v>-7339</v>
      </c>
      <c r="BO280" t="s">
        <v>154</v>
      </c>
      <c r="BP280">
        <v>9122840</v>
      </c>
      <c r="BQ280" t="s">
        <v>271</v>
      </c>
      <c r="BR280" t="s">
        <v>630</v>
      </c>
      <c r="BS280">
        <v>17</v>
      </c>
    </row>
    <row r="281" spans="1:71" s="0" customFormat="1" ht="14.5">
      <c r="A281" s="153" t="s">
        <v>157</v>
      </c>
      <c r="B281" s="154" t="s">
        <v>625</v>
      </c>
      <c r="C281" s="154">
        <v>107</v>
      </c>
      <c r="D281" s="154" t="s">
        <v>97</v>
      </c>
      <c r="E281" s="154" t="s">
        <v>98</v>
      </c>
      <c r="F281" s="155"/>
      <c r="G281" s="155" t="s">
        <v>106</v>
      </c>
      <c r="H281" s="153" t="s">
        <v>48</v>
      </c>
      <c r="I281" s="154" t="s">
        <v>158</v>
      </c>
      <c r="J281" s="154" t="s">
        <v>165</v>
      </c>
      <c r="K281" s="154" t="s">
        <v>166</v>
      </c>
      <c r="L281" s="154" t="s">
        <v>160</v>
      </c>
      <c r="M281" s="156">
        <v>46112</v>
      </c>
      <c r="N281" s="154">
        <v>5500</v>
      </c>
      <c r="O281" s="154">
        <v>9122840</v>
      </c>
      <c r="P281" s="156">
        <v>46090</v>
      </c>
      <c r="Q281" s="154" t="s">
        <v>161</v>
      </c>
      <c r="R281" s="154">
        <v>43683</v>
      </c>
      <c r="S281" s="154" t="s">
        <v>1008</v>
      </c>
      <c r="T281" s="154" t="s">
        <v>170</v>
      </c>
      <c r="U281" s="154" t="s">
        <v>1009</v>
      </c>
      <c r="V281" s="155" t="s">
        <v>162</v>
      </c>
      <c r="W281" s="155"/>
      <c r="X281" s="154">
        <v>300</v>
      </c>
      <c r="Y281" s="154">
        <v>3</v>
      </c>
      <c r="Z281" s="154">
        <v>900</v>
      </c>
      <c r="AA281" s="154" t="s">
        <v>99</v>
      </c>
      <c r="AB281" s="154">
        <v>5500</v>
      </c>
      <c r="AC281" s="156">
        <v>46090</v>
      </c>
      <c r="AD281" s="155" t="s">
        <v>164</v>
      </c>
      <c r="AE281" s="154">
        <v>8538</v>
      </c>
      <c r="AF281" s="154" t="s">
        <v>1037</v>
      </c>
      <c r="AG281" s="154"/>
      <c r="AH281" s="154"/>
      <c r="AI281" s="154">
        <v>900</v>
      </c>
      <c r="AJ281" s="154" t="s">
        <v>368</v>
      </c>
      <c r="AK281" s="154">
        <v>18</v>
      </c>
      <c r="AL281" s="154">
        <v>81</v>
      </c>
      <c r="AM281" s="154">
        <v>81</v>
      </c>
      <c r="AN281" s="154">
        <v>0</v>
      </c>
      <c r="AO281" s="154">
        <v>0</v>
      </c>
      <c r="AP281" s="154">
        <v>0</v>
      </c>
      <c r="AQ281" s="154">
        <v>0</v>
      </c>
      <c r="AR281" s="154">
        <v>0</v>
      </c>
      <c r="AS281" s="153">
        <v>0</v>
      </c>
      <c r="AT281" s="154">
        <v>0</v>
      </c>
      <c r="AU281" s="155"/>
      <c r="AV281" s="155"/>
      <c r="AW281" s="154">
        <v>0</v>
      </c>
      <c r="AX281" s="154">
        <v>1062</v>
      </c>
      <c r="AY281" s="154" t="s">
        <v>101</v>
      </c>
      <c r="AZ281" s="154" t="s">
        <v>101</v>
      </c>
      <c r="BA281" s="154" t="s">
        <v>298</v>
      </c>
      <c r="BB281" s="154">
        <v>1125113238</v>
      </c>
      <c r="BC281" s="154" t="s">
        <v>172</v>
      </c>
      <c r="BD281" s="154" t="s">
        <v>104</v>
      </c>
      <c r="BE281" s="155"/>
      <c r="BF281" s="155" t="s">
        <v>271</v>
      </c>
      <c r="BG281" s="155" t="s">
        <v>281</v>
      </c>
      <c r="BH281" s="154" t="s">
        <v>289</v>
      </c>
      <c r="BI281" t="s">
        <v>155</v>
      </c>
      <c r="BJ281" t="s">
        <v>156</v>
      </c>
      <c r="BK281" t="s">
        <v>1011</v>
      </c>
      <c r="BL281">
        <v>162</v>
      </c>
      <c r="BM281">
        <v>7367.40</v>
      </c>
      <c r="BN281">
        <v>-7205</v>
      </c>
      <c r="BO281" t="s">
        <v>154</v>
      </c>
      <c r="BP281">
        <v>9122840</v>
      </c>
      <c r="BQ281" t="s">
        <v>271</v>
      </c>
      <c r="BR281" t="s">
        <v>630</v>
      </c>
      <c r="BS281">
        <v>17</v>
      </c>
    </row>
    <row r="282" spans="1:71" s="0" customFormat="1" ht="14.5">
      <c r="A282" s="153" t="s">
        <v>157</v>
      </c>
      <c r="B282" s="154" t="s">
        <v>625</v>
      </c>
      <c r="C282" s="154">
        <v>107</v>
      </c>
      <c r="D282" s="154" t="s">
        <v>97</v>
      </c>
      <c r="E282" s="154" t="s">
        <v>98</v>
      </c>
      <c r="F282" s="155"/>
      <c r="G282" s="155" t="s">
        <v>106</v>
      </c>
      <c r="H282" s="153" t="s">
        <v>48</v>
      </c>
      <c r="I282" s="154" t="s">
        <v>158</v>
      </c>
      <c r="J282" s="154" t="s">
        <v>165</v>
      </c>
      <c r="K282" s="154" t="s">
        <v>166</v>
      </c>
      <c r="L282" s="154" t="s">
        <v>160</v>
      </c>
      <c r="M282" s="156">
        <v>46112</v>
      </c>
      <c r="N282" s="154">
        <v>5500</v>
      </c>
      <c r="O282" s="154">
        <v>9122840</v>
      </c>
      <c r="P282" s="156">
        <v>46090</v>
      </c>
      <c r="Q282" s="154" t="s">
        <v>161</v>
      </c>
      <c r="R282" s="154">
        <v>43683</v>
      </c>
      <c r="S282" s="154" t="s">
        <v>1008</v>
      </c>
      <c r="T282" s="154" t="s">
        <v>170</v>
      </c>
      <c r="U282" s="154" t="s">
        <v>1009</v>
      </c>
      <c r="V282" s="155" t="s">
        <v>162</v>
      </c>
      <c r="W282" s="155"/>
      <c r="X282" s="154">
        <v>70</v>
      </c>
      <c r="Y282" s="154">
        <v>2</v>
      </c>
      <c r="Z282" s="154">
        <v>140</v>
      </c>
      <c r="AA282" s="154" t="s">
        <v>99</v>
      </c>
      <c r="AB282" s="154">
        <v>5500</v>
      </c>
      <c r="AC282" s="156">
        <v>46090</v>
      </c>
      <c r="AD282" s="155" t="s">
        <v>164</v>
      </c>
      <c r="AE282" s="154">
        <v>8538</v>
      </c>
      <c r="AF282" s="154" t="s">
        <v>1038</v>
      </c>
      <c r="AG282" s="154"/>
      <c r="AH282" s="154"/>
      <c r="AI282" s="154">
        <v>140</v>
      </c>
      <c r="AJ282" s="154" t="s">
        <v>368</v>
      </c>
      <c r="AK282" s="154">
        <v>18</v>
      </c>
      <c r="AL282" s="154">
        <v>12.60</v>
      </c>
      <c r="AM282" s="154">
        <v>12.60</v>
      </c>
      <c r="AN282" s="154">
        <v>0</v>
      </c>
      <c r="AO282" s="154">
        <v>0</v>
      </c>
      <c r="AP282" s="154">
        <v>0</v>
      </c>
      <c r="AQ282" s="154">
        <v>0</v>
      </c>
      <c r="AR282" s="154">
        <v>0</v>
      </c>
      <c r="AS282" s="153">
        <v>0</v>
      </c>
      <c r="AT282" s="154">
        <v>0</v>
      </c>
      <c r="AU282" s="155"/>
      <c r="AV282" s="155"/>
      <c r="AW282" s="154">
        <v>0</v>
      </c>
      <c r="AX282" s="154">
        <v>165.20</v>
      </c>
      <c r="AY282" s="154" t="s">
        <v>101</v>
      </c>
      <c r="AZ282" s="154" t="s">
        <v>101</v>
      </c>
      <c r="BA282" s="154" t="s">
        <v>298</v>
      </c>
      <c r="BB282" s="154">
        <v>1125113238</v>
      </c>
      <c r="BC282" s="154" t="s">
        <v>172</v>
      </c>
      <c r="BD282" s="154" t="s">
        <v>104</v>
      </c>
      <c r="BE282" s="155"/>
      <c r="BF282" s="155" t="s">
        <v>271</v>
      </c>
      <c r="BG282" s="155" t="s">
        <v>281</v>
      </c>
      <c r="BH282" s="154" t="s">
        <v>289</v>
      </c>
      <c r="BI282" t="s">
        <v>155</v>
      </c>
      <c r="BJ282" t="s">
        <v>156</v>
      </c>
      <c r="BK282" t="s">
        <v>1011</v>
      </c>
      <c r="BL282">
        <v>25.20</v>
      </c>
      <c r="BM282">
        <v>7367.40</v>
      </c>
      <c r="BN282">
        <v>-7342</v>
      </c>
      <c r="BO282" t="s">
        <v>154</v>
      </c>
      <c r="BP282">
        <v>9122840</v>
      </c>
      <c r="BQ282" t="s">
        <v>271</v>
      </c>
      <c r="BR282" t="s">
        <v>630</v>
      </c>
      <c r="BS282">
        <v>17</v>
      </c>
    </row>
    <row r="283" spans="1:71" s="0" customFormat="1" ht="14.5">
      <c r="A283" s="153" t="s">
        <v>157</v>
      </c>
      <c r="B283" s="154" t="s">
        <v>625</v>
      </c>
      <c r="C283" s="154">
        <v>107</v>
      </c>
      <c r="D283" s="154" t="s">
        <v>97</v>
      </c>
      <c r="E283" s="154" t="s">
        <v>98</v>
      </c>
      <c r="F283" s="155"/>
      <c r="G283" s="155" t="s">
        <v>106</v>
      </c>
      <c r="H283" s="153" t="s">
        <v>48</v>
      </c>
      <c r="I283" s="154" t="s">
        <v>158</v>
      </c>
      <c r="J283" s="154" t="s">
        <v>165</v>
      </c>
      <c r="K283" s="154" t="s">
        <v>166</v>
      </c>
      <c r="L283" s="154" t="s">
        <v>160</v>
      </c>
      <c r="M283" s="156">
        <v>46112</v>
      </c>
      <c r="N283" s="154">
        <v>5500</v>
      </c>
      <c r="O283" s="154">
        <v>9122840</v>
      </c>
      <c r="P283" s="156">
        <v>46090</v>
      </c>
      <c r="Q283" s="154" t="s">
        <v>161</v>
      </c>
      <c r="R283" s="154">
        <v>43683</v>
      </c>
      <c r="S283" s="154" t="s">
        <v>1008</v>
      </c>
      <c r="T283" s="154" t="s">
        <v>170</v>
      </c>
      <c r="U283" s="154" t="s">
        <v>1009</v>
      </c>
      <c r="V283" s="155" t="s">
        <v>162</v>
      </c>
      <c r="W283" s="155"/>
      <c r="X283" s="154">
        <v>120</v>
      </c>
      <c r="Y283" s="154">
        <v>3</v>
      </c>
      <c r="Z283" s="154">
        <v>360</v>
      </c>
      <c r="AA283" s="154" t="s">
        <v>99</v>
      </c>
      <c r="AB283" s="154">
        <v>5500</v>
      </c>
      <c r="AC283" s="156">
        <v>46090</v>
      </c>
      <c r="AD283" s="155" t="s">
        <v>164</v>
      </c>
      <c r="AE283" s="154">
        <v>9405</v>
      </c>
      <c r="AF283" s="154" t="s">
        <v>1039</v>
      </c>
      <c r="AG283" s="154"/>
      <c r="AH283" s="154"/>
      <c r="AI283" s="154">
        <v>360</v>
      </c>
      <c r="AJ283" s="154" t="s">
        <v>368</v>
      </c>
      <c r="AK283" s="154">
        <v>18</v>
      </c>
      <c r="AL283" s="154">
        <v>32.40</v>
      </c>
      <c r="AM283" s="154">
        <v>32.40</v>
      </c>
      <c r="AN283" s="154">
        <v>0</v>
      </c>
      <c r="AO283" s="154">
        <v>0</v>
      </c>
      <c r="AP283" s="154">
        <v>0</v>
      </c>
      <c r="AQ283" s="154">
        <v>0</v>
      </c>
      <c r="AR283" s="154">
        <v>0</v>
      </c>
      <c r="AS283" s="153">
        <v>0</v>
      </c>
      <c r="AT283" s="154">
        <v>0</v>
      </c>
      <c r="AU283" s="155"/>
      <c r="AV283" s="155"/>
      <c r="AW283" s="154">
        <v>0</v>
      </c>
      <c r="AX283" s="154">
        <v>424.80</v>
      </c>
      <c r="AY283" s="154" t="s">
        <v>101</v>
      </c>
      <c r="AZ283" s="154" t="s">
        <v>101</v>
      </c>
      <c r="BA283" s="154" t="s">
        <v>298</v>
      </c>
      <c r="BB283" s="154">
        <v>1125113238</v>
      </c>
      <c r="BC283" s="154" t="s">
        <v>172</v>
      </c>
      <c r="BD283" s="154" t="s">
        <v>104</v>
      </c>
      <c r="BE283" s="155"/>
      <c r="BF283" s="155" t="s">
        <v>271</v>
      </c>
      <c r="BG283" s="155" t="s">
        <v>281</v>
      </c>
      <c r="BH283" s="154" t="s">
        <v>289</v>
      </c>
      <c r="BI283" t="s">
        <v>155</v>
      </c>
      <c r="BJ283" t="s">
        <v>156</v>
      </c>
      <c r="BK283" t="s">
        <v>1011</v>
      </c>
      <c r="BL283">
        <v>64.80</v>
      </c>
      <c r="BM283">
        <v>7367.40</v>
      </c>
      <c r="BN283">
        <v>-7303</v>
      </c>
      <c r="BO283" t="s">
        <v>154</v>
      </c>
      <c r="BP283">
        <v>9122840</v>
      </c>
      <c r="BQ283" t="s">
        <v>271</v>
      </c>
      <c r="BR283" t="s">
        <v>630</v>
      </c>
      <c r="BS283">
        <v>17</v>
      </c>
    </row>
    <row r="284" spans="1:71" s="0" customFormat="1" ht="14.5">
      <c r="A284" s="153" t="s">
        <v>157</v>
      </c>
      <c r="B284" s="154" t="s">
        <v>625</v>
      </c>
      <c r="C284" s="154">
        <v>107</v>
      </c>
      <c r="D284" s="154" t="s">
        <v>97</v>
      </c>
      <c r="E284" s="154" t="s">
        <v>98</v>
      </c>
      <c r="F284" s="155"/>
      <c r="G284" s="155" t="s">
        <v>106</v>
      </c>
      <c r="H284" s="153" t="s">
        <v>48</v>
      </c>
      <c r="I284" s="154" t="s">
        <v>158</v>
      </c>
      <c r="J284" s="154" t="s">
        <v>165</v>
      </c>
      <c r="K284" s="154" t="s">
        <v>166</v>
      </c>
      <c r="L284" s="154" t="s">
        <v>160</v>
      </c>
      <c r="M284" s="156">
        <v>46112</v>
      </c>
      <c r="N284" s="154">
        <v>5500</v>
      </c>
      <c r="O284" s="154">
        <v>9122840</v>
      </c>
      <c r="P284" s="156">
        <v>46090</v>
      </c>
      <c r="Q284" s="154" t="s">
        <v>161</v>
      </c>
      <c r="R284" s="154">
        <v>43683</v>
      </c>
      <c r="S284" s="154" t="s">
        <v>1008</v>
      </c>
      <c r="T284" s="154" t="s">
        <v>170</v>
      </c>
      <c r="U284" s="154" t="s">
        <v>1009</v>
      </c>
      <c r="V284" s="155" t="s">
        <v>162</v>
      </c>
      <c r="W284" s="155"/>
      <c r="X284" s="154">
        <v>120</v>
      </c>
      <c r="Y284" s="154">
        <v>6</v>
      </c>
      <c r="Z284" s="154">
        <v>720</v>
      </c>
      <c r="AA284" s="154" t="s">
        <v>99</v>
      </c>
      <c r="AB284" s="154">
        <v>5500</v>
      </c>
      <c r="AC284" s="156">
        <v>46090</v>
      </c>
      <c r="AD284" s="155" t="s">
        <v>164</v>
      </c>
      <c r="AE284" s="154">
        <v>8536</v>
      </c>
      <c r="AF284" s="154" t="s">
        <v>1040</v>
      </c>
      <c r="AG284" s="154"/>
      <c r="AH284" s="154"/>
      <c r="AI284" s="154">
        <v>720</v>
      </c>
      <c r="AJ284" s="154" t="s">
        <v>368</v>
      </c>
      <c r="AK284" s="154">
        <v>18</v>
      </c>
      <c r="AL284" s="154">
        <v>64.80</v>
      </c>
      <c r="AM284" s="154">
        <v>64.80</v>
      </c>
      <c r="AN284" s="154">
        <v>0</v>
      </c>
      <c r="AO284" s="154">
        <v>0</v>
      </c>
      <c r="AP284" s="154">
        <v>0</v>
      </c>
      <c r="AQ284" s="154">
        <v>0</v>
      </c>
      <c r="AR284" s="154">
        <v>0</v>
      </c>
      <c r="AS284" s="153">
        <v>0</v>
      </c>
      <c r="AT284" s="154">
        <v>0</v>
      </c>
      <c r="AU284" s="155"/>
      <c r="AV284" s="155"/>
      <c r="AW284" s="154">
        <v>0</v>
      </c>
      <c r="AX284" s="154">
        <v>849.60</v>
      </c>
      <c r="AY284" s="154" t="s">
        <v>101</v>
      </c>
      <c r="AZ284" s="154" t="s">
        <v>101</v>
      </c>
      <c r="BA284" s="154" t="s">
        <v>298</v>
      </c>
      <c r="BB284" s="154">
        <v>1125113238</v>
      </c>
      <c r="BC284" s="154" t="s">
        <v>172</v>
      </c>
      <c r="BD284" s="154" t="s">
        <v>104</v>
      </c>
      <c r="BE284" s="155"/>
      <c r="BF284" s="155" t="s">
        <v>271</v>
      </c>
      <c r="BG284" s="155" t="s">
        <v>281</v>
      </c>
      <c r="BH284" s="154" t="s">
        <v>289</v>
      </c>
      <c r="BI284" t="s">
        <v>155</v>
      </c>
      <c r="BJ284" t="s">
        <v>156</v>
      </c>
      <c r="BK284" t="s">
        <v>1011</v>
      </c>
      <c r="BL284">
        <v>129.60</v>
      </c>
      <c r="BM284">
        <v>7367.40</v>
      </c>
      <c r="BN284">
        <v>-7238</v>
      </c>
      <c r="BO284" t="s">
        <v>154</v>
      </c>
      <c r="BP284">
        <v>9122840</v>
      </c>
      <c r="BQ284" t="s">
        <v>271</v>
      </c>
      <c r="BR284" t="s">
        <v>630</v>
      </c>
      <c r="BS284">
        <v>17</v>
      </c>
    </row>
    <row r="285" spans="1:71" s="0" customFormat="1" ht="14.5">
      <c r="A285" s="153" t="s">
        <v>157</v>
      </c>
      <c r="B285" s="154" t="s">
        <v>625</v>
      </c>
      <c r="C285" s="154">
        <v>107</v>
      </c>
      <c r="D285" s="154" t="s">
        <v>97</v>
      </c>
      <c r="E285" s="154" t="s">
        <v>98</v>
      </c>
      <c r="F285" s="155"/>
      <c r="G285" s="155" t="s">
        <v>106</v>
      </c>
      <c r="H285" s="153" t="s">
        <v>48</v>
      </c>
      <c r="I285" s="154" t="s">
        <v>158</v>
      </c>
      <c r="J285" s="154" t="s">
        <v>165</v>
      </c>
      <c r="K285" s="154" t="s">
        <v>166</v>
      </c>
      <c r="L285" s="154" t="s">
        <v>160</v>
      </c>
      <c r="M285" s="156">
        <v>46112</v>
      </c>
      <c r="N285" s="154">
        <v>5500</v>
      </c>
      <c r="O285" s="154">
        <v>9122840</v>
      </c>
      <c r="P285" s="156">
        <v>46090</v>
      </c>
      <c r="Q285" s="154" t="s">
        <v>161</v>
      </c>
      <c r="R285" s="154">
        <v>43683</v>
      </c>
      <c r="S285" s="154" t="s">
        <v>1008</v>
      </c>
      <c r="T285" s="154" t="s">
        <v>170</v>
      </c>
      <c r="U285" s="154" t="s">
        <v>1009</v>
      </c>
      <c r="V285" s="155" t="s">
        <v>162</v>
      </c>
      <c r="W285" s="155"/>
      <c r="X285" s="154">
        <v>30</v>
      </c>
      <c r="Y285" s="154">
        <v>4</v>
      </c>
      <c r="Z285" s="154">
        <v>120</v>
      </c>
      <c r="AA285" s="154" t="s">
        <v>99</v>
      </c>
      <c r="AB285" s="154">
        <v>5500</v>
      </c>
      <c r="AC285" s="156">
        <v>46090</v>
      </c>
      <c r="AD285" s="155" t="s">
        <v>164</v>
      </c>
      <c r="AE285" s="154">
        <v>8538</v>
      </c>
      <c r="AF285" s="154" t="s">
        <v>1041</v>
      </c>
      <c r="AG285" s="154"/>
      <c r="AH285" s="154"/>
      <c r="AI285" s="154">
        <v>120</v>
      </c>
      <c r="AJ285" s="154" t="s">
        <v>368</v>
      </c>
      <c r="AK285" s="154">
        <v>18</v>
      </c>
      <c r="AL285" s="154">
        <v>10.80</v>
      </c>
      <c r="AM285" s="154">
        <v>10.80</v>
      </c>
      <c r="AN285" s="154">
        <v>0</v>
      </c>
      <c r="AO285" s="154">
        <v>0</v>
      </c>
      <c r="AP285" s="154">
        <v>0</v>
      </c>
      <c r="AQ285" s="154">
        <v>0</v>
      </c>
      <c r="AR285" s="154">
        <v>0</v>
      </c>
      <c r="AS285" s="153">
        <v>0</v>
      </c>
      <c r="AT285" s="154">
        <v>0</v>
      </c>
      <c r="AU285" s="155"/>
      <c r="AV285" s="155"/>
      <c r="AW285" s="154">
        <v>0</v>
      </c>
      <c r="AX285" s="154">
        <v>141.60</v>
      </c>
      <c r="AY285" s="154" t="s">
        <v>101</v>
      </c>
      <c r="AZ285" s="154" t="s">
        <v>101</v>
      </c>
      <c r="BA285" s="154" t="s">
        <v>298</v>
      </c>
      <c r="BB285" s="154">
        <v>1125113238</v>
      </c>
      <c r="BC285" s="154" t="s">
        <v>172</v>
      </c>
      <c r="BD285" s="154" t="s">
        <v>104</v>
      </c>
      <c r="BE285" s="155"/>
      <c r="BF285" s="155" t="s">
        <v>271</v>
      </c>
      <c r="BG285" s="155" t="s">
        <v>281</v>
      </c>
      <c r="BH285" s="154" t="s">
        <v>289</v>
      </c>
      <c r="BI285" t="s">
        <v>155</v>
      </c>
      <c r="BJ285" t="s">
        <v>156</v>
      </c>
      <c r="BK285" t="s">
        <v>1011</v>
      </c>
      <c r="BL285">
        <v>21.60</v>
      </c>
      <c r="BM285">
        <v>7367.40</v>
      </c>
      <c r="BN285">
        <v>-7346</v>
      </c>
      <c r="BO285" t="s">
        <v>154</v>
      </c>
      <c r="BP285">
        <v>9122840</v>
      </c>
      <c r="BQ285" t="s">
        <v>271</v>
      </c>
      <c r="BR285" t="s">
        <v>630</v>
      </c>
      <c r="BS285">
        <v>17</v>
      </c>
    </row>
    <row r="286" spans="1:71" s="0" customFormat="1" ht="14.5">
      <c r="A286" s="153" t="s">
        <v>316</v>
      </c>
      <c r="B286" s="154" t="s">
        <v>1027</v>
      </c>
      <c r="C286" s="154">
        <v>107</v>
      </c>
      <c r="D286" s="154" t="s">
        <v>97</v>
      </c>
      <c r="E286" s="154" t="s">
        <v>98</v>
      </c>
      <c r="F286" s="155"/>
      <c r="G286" s="155" t="s">
        <v>106</v>
      </c>
      <c r="H286" s="153" t="s">
        <v>48</v>
      </c>
      <c r="I286" s="154" t="s">
        <v>317</v>
      </c>
      <c r="J286" s="154" t="s">
        <v>318</v>
      </c>
      <c r="K286" s="154" t="s">
        <v>319</v>
      </c>
      <c r="L286" s="154" t="s">
        <v>438</v>
      </c>
      <c r="M286" s="156">
        <v>46098</v>
      </c>
      <c r="N286" s="154">
        <v>106304313</v>
      </c>
      <c r="O286" s="154">
        <v>106304313</v>
      </c>
      <c r="P286" s="156">
        <v>46098</v>
      </c>
      <c r="Q286" s="154" t="s">
        <v>439</v>
      </c>
      <c r="R286" s="154">
        <v>7826</v>
      </c>
      <c r="S286" s="154" t="s">
        <v>416</v>
      </c>
      <c r="T286" s="154" t="s">
        <v>169</v>
      </c>
      <c r="U286" s="154" t="s">
        <v>407</v>
      </c>
      <c r="V286" s="155"/>
      <c r="W286" s="155"/>
      <c r="X286" s="154">
        <v>0</v>
      </c>
      <c r="Y286" s="154">
        <v>0</v>
      </c>
      <c r="Z286" s="154">
        <v>66028</v>
      </c>
      <c r="AA286" s="154" t="s">
        <v>99</v>
      </c>
      <c r="AB286" s="154" t="s">
        <v>1042</v>
      </c>
      <c r="AC286" s="156">
        <v>46081</v>
      </c>
      <c r="AD286" s="155" t="s">
        <v>1029</v>
      </c>
      <c r="AE286" s="154">
        <v>9964</v>
      </c>
      <c r="AF286" s="154" t="s">
        <v>1043</v>
      </c>
      <c r="AG286" s="154"/>
      <c r="AH286" s="154"/>
      <c r="AI286" s="154">
        <v>66028</v>
      </c>
      <c r="AJ286" s="154" t="s">
        <v>368</v>
      </c>
      <c r="AK286" s="154">
        <v>18</v>
      </c>
      <c r="AL286" s="154">
        <v>5942.52</v>
      </c>
      <c r="AM286" s="154">
        <v>5942.52</v>
      </c>
      <c r="AN286" s="154">
        <v>0</v>
      </c>
      <c r="AO286" s="154">
        <v>0</v>
      </c>
      <c r="AP286" s="154">
        <v>0</v>
      </c>
      <c r="AQ286" s="154">
        <v>0</v>
      </c>
      <c r="AR286" s="154">
        <v>0</v>
      </c>
      <c r="AS286" s="153">
        <v>0</v>
      </c>
      <c r="AT286" s="154">
        <v>0</v>
      </c>
      <c r="AU286" s="155"/>
      <c r="AV286" s="155"/>
      <c r="AW286" s="154">
        <v>0</v>
      </c>
      <c r="AX286" s="154">
        <v>77913.039999999994</v>
      </c>
      <c r="AY286" s="154" t="s">
        <v>100</v>
      </c>
      <c r="AZ286" s="154" t="s">
        <v>101</v>
      </c>
      <c r="BA286" s="154" t="s">
        <v>301</v>
      </c>
      <c r="BB286" s="154"/>
      <c r="BC286" s="154"/>
      <c r="BD286" s="154"/>
      <c r="BE286" s="155"/>
      <c r="BF286" s="155" t="s">
        <v>270</v>
      </c>
      <c r="BG286" s="155" t="s">
        <v>281</v>
      </c>
      <c r="BH286" s="154" t="s">
        <v>290</v>
      </c>
      <c r="BI286" t="s">
        <v>155</v>
      </c>
      <c r="BJ286" t="s">
        <v>156</v>
      </c>
      <c r="BK286" t="s">
        <v>1044</v>
      </c>
      <c r="BL286">
        <v>11885.04</v>
      </c>
      <c r="BM286">
        <v>11885.04</v>
      </c>
      <c r="BN286">
        <v>0</v>
      </c>
      <c r="BO286" t="s">
        <v>154</v>
      </c>
      <c r="BP286">
        <v>106304313</v>
      </c>
      <c r="BQ286" t="s">
        <v>270</v>
      </c>
      <c r="BR286" t="s">
        <v>307</v>
      </c>
      <c r="BS286">
        <v>1</v>
      </c>
    </row>
    <row r="287" spans="1:71" s="0" customFormat="1" ht="14.5">
      <c r="A287" s="153" t="s">
        <v>157</v>
      </c>
      <c r="B287" s="154" t="s">
        <v>625</v>
      </c>
      <c r="C287" s="154">
        <v>107</v>
      </c>
      <c r="D287" s="154" t="s">
        <v>97</v>
      </c>
      <c r="E287" s="154" t="s">
        <v>98</v>
      </c>
      <c r="F287" s="155"/>
      <c r="G287" s="155" t="s">
        <v>106</v>
      </c>
      <c r="H287" s="153" t="s">
        <v>48</v>
      </c>
      <c r="I287" s="154" t="s">
        <v>158</v>
      </c>
      <c r="J287" s="154" t="s">
        <v>165</v>
      </c>
      <c r="K287" s="154" t="s">
        <v>166</v>
      </c>
      <c r="L287" s="154" t="s">
        <v>160</v>
      </c>
      <c r="M287" s="156">
        <v>46112</v>
      </c>
      <c r="N287" s="154">
        <v>5500</v>
      </c>
      <c r="O287" s="154">
        <v>9122840</v>
      </c>
      <c r="P287" s="156">
        <v>46090</v>
      </c>
      <c r="Q287" s="154" t="s">
        <v>161</v>
      </c>
      <c r="R287" s="154">
        <v>43683</v>
      </c>
      <c r="S287" s="154" t="s">
        <v>1008</v>
      </c>
      <c r="T287" s="154" t="s">
        <v>170</v>
      </c>
      <c r="U287" s="154" t="s">
        <v>1009</v>
      </c>
      <c r="V287" s="155" t="s">
        <v>162</v>
      </c>
      <c r="W287" s="155"/>
      <c r="X287" s="154">
        <v>450</v>
      </c>
      <c r="Y287" s="154">
        <v>1</v>
      </c>
      <c r="Z287" s="154">
        <v>450</v>
      </c>
      <c r="AA287" s="154" t="s">
        <v>99</v>
      </c>
      <c r="AB287" s="154">
        <v>5500</v>
      </c>
      <c r="AC287" s="156">
        <v>46090</v>
      </c>
      <c r="AD287" s="155" t="s">
        <v>164</v>
      </c>
      <c r="AE287" s="154">
        <v>3919</v>
      </c>
      <c r="AF287" s="154" t="s">
        <v>1045</v>
      </c>
      <c r="AG287" s="154"/>
      <c r="AH287" s="154"/>
      <c r="AI287" s="154">
        <v>450</v>
      </c>
      <c r="AJ287" s="154" t="s">
        <v>368</v>
      </c>
      <c r="AK287" s="154">
        <v>18</v>
      </c>
      <c r="AL287" s="154">
        <v>40.5</v>
      </c>
      <c r="AM287" s="154">
        <v>40.5</v>
      </c>
      <c r="AN287" s="154">
        <v>0</v>
      </c>
      <c r="AO287" s="154">
        <v>0</v>
      </c>
      <c r="AP287" s="154">
        <v>0</v>
      </c>
      <c r="AQ287" s="154">
        <v>0</v>
      </c>
      <c r="AR287" s="154">
        <v>0</v>
      </c>
      <c r="AS287" s="153">
        <v>0</v>
      </c>
      <c r="AT287" s="154">
        <v>0</v>
      </c>
      <c r="AU287" s="155"/>
      <c r="AV287" s="155"/>
      <c r="AW287" s="154">
        <v>0</v>
      </c>
      <c r="AX287" s="154">
        <v>531</v>
      </c>
      <c r="AY287" s="154" t="s">
        <v>101</v>
      </c>
      <c r="AZ287" s="154" t="s">
        <v>101</v>
      </c>
      <c r="BA287" s="154" t="s">
        <v>298</v>
      </c>
      <c r="BB287" s="154">
        <v>1125113238</v>
      </c>
      <c r="BC287" s="154" t="s">
        <v>172</v>
      </c>
      <c r="BD287" s="154" t="s">
        <v>104</v>
      </c>
      <c r="BE287" s="155"/>
      <c r="BF287" s="155" t="s">
        <v>271</v>
      </c>
      <c r="BG287" s="155" t="s">
        <v>281</v>
      </c>
      <c r="BH287" s="154" t="s">
        <v>289</v>
      </c>
      <c r="BI287" t="s">
        <v>155</v>
      </c>
      <c r="BJ287" t="s">
        <v>156</v>
      </c>
      <c r="BK287" t="s">
        <v>1011</v>
      </c>
      <c r="BL287">
        <v>81</v>
      </c>
      <c r="BM287">
        <v>7367.40</v>
      </c>
      <c r="BN287">
        <v>-7286</v>
      </c>
      <c r="BO287" t="s">
        <v>154</v>
      </c>
      <c r="BP287">
        <v>9122840</v>
      </c>
      <c r="BQ287" t="s">
        <v>271</v>
      </c>
      <c r="BR287" t="s">
        <v>630</v>
      </c>
      <c r="BS287">
        <v>17</v>
      </c>
    </row>
    <row r="288" spans="1:71" s="0" customFormat="1" ht="14.5">
      <c r="A288" s="153" t="s">
        <v>157</v>
      </c>
      <c r="B288" s="154" t="s">
        <v>625</v>
      </c>
      <c r="C288" s="154">
        <v>107</v>
      </c>
      <c r="D288" s="154" t="s">
        <v>97</v>
      </c>
      <c r="E288" s="154" t="s">
        <v>98</v>
      </c>
      <c r="F288" s="155"/>
      <c r="G288" s="155" t="s">
        <v>106</v>
      </c>
      <c r="H288" s="153" t="s">
        <v>48</v>
      </c>
      <c r="I288" s="154" t="s">
        <v>158</v>
      </c>
      <c r="J288" s="154" t="s">
        <v>165</v>
      </c>
      <c r="K288" s="154" t="s">
        <v>166</v>
      </c>
      <c r="L288" s="154" t="s">
        <v>160</v>
      </c>
      <c r="M288" s="156">
        <v>46112</v>
      </c>
      <c r="N288" s="154">
        <v>5501</v>
      </c>
      <c r="O288" s="154">
        <v>9122848</v>
      </c>
      <c r="P288" s="156">
        <v>46090</v>
      </c>
      <c r="Q288" s="154" t="s">
        <v>161</v>
      </c>
      <c r="R288" s="154">
        <v>43683</v>
      </c>
      <c r="S288" s="154" t="s">
        <v>1008</v>
      </c>
      <c r="T288" s="154" t="s">
        <v>170</v>
      </c>
      <c r="U288" s="154" t="s">
        <v>1009</v>
      </c>
      <c r="V288" s="155" t="s">
        <v>162</v>
      </c>
      <c r="W288" s="155"/>
      <c r="X288" s="154">
        <v>120</v>
      </c>
      <c r="Y288" s="154">
        <v>2</v>
      </c>
      <c r="Z288" s="154">
        <v>240</v>
      </c>
      <c r="AA288" s="154" t="s">
        <v>99</v>
      </c>
      <c r="AB288" s="154">
        <v>5501</v>
      </c>
      <c r="AC288" s="156">
        <v>46090</v>
      </c>
      <c r="AD288" s="155" t="s">
        <v>164</v>
      </c>
      <c r="AE288" s="154">
        <v>8536</v>
      </c>
      <c r="AF288" s="154" t="s">
        <v>1046</v>
      </c>
      <c r="AG288" s="154"/>
      <c r="AH288" s="154"/>
      <c r="AI288" s="154">
        <v>240</v>
      </c>
      <c r="AJ288" s="154" t="s">
        <v>368</v>
      </c>
      <c r="AK288" s="154">
        <v>18</v>
      </c>
      <c r="AL288" s="154">
        <v>21.60</v>
      </c>
      <c r="AM288" s="154">
        <v>21.60</v>
      </c>
      <c r="AN288" s="154">
        <v>0</v>
      </c>
      <c r="AO288" s="154">
        <v>0</v>
      </c>
      <c r="AP288" s="154">
        <v>0</v>
      </c>
      <c r="AQ288" s="154">
        <v>0</v>
      </c>
      <c r="AR288" s="154">
        <v>0</v>
      </c>
      <c r="AS288" s="153">
        <v>0</v>
      </c>
      <c r="AT288" s="154">
        <v>0</v>
      </c>
      <c r="AU288" s="155"/>
      <c r="AV288" s="155"/>
      <c r="AW288" s="154">
        <v>0</v>
      </c>
      <c r="AX288" s="154">
        <v>283.20</v>
      </c>
      <c r="AY288" s="154" t="s">
        <v>101</v>
      </c>
      <c r="AZ288" s="154" t="s">
        <v>101</v>
      </c>
      <c r="BA288" s="154" t="s">
        <v>298</v>
      </c>
      <c r="BB288" s="154">
        <v>1125113239</v>
      </c>
      <c r="BC288" s="154" t="s">
        <v>172</v>
      </c>
      <c r="BD288" s="154" t="s">
        <v>104</v>
      </c>
      <c r="BE288" s="155"/>
      <c r="BF288" s="155" t="s">
        <v>271</v>
      </c>
      <c r="BG288" s="155" t="s">
        <v>281</v>
      </c>
      <c r="BH288" s="154" t="s">
        <v>289</v>
      </c>
      <c r="BI288" t="s">
        <v>155</v>
      </c>
      <c r="BJ288" t="s">
        <v>156</v>
      </c>
      <c r="BK288" t="s">
        <v>1019</v>
      </c>
      <c r="BL288">
        <v>43.20</v>
      </c>
      <c r="BM288">
        <v>921.60</v>
      </c>
      <c r="BN288">
        <v>-878</v>
      </c>
      <c r="BO288" t="s">
        <v>154</v>
      </c>
      <c r="BP288">
        <v>9122848</v>
      </c>
      <c r="BQ288" t="s">
        <v>271</v>
      </c>
      <c r="BR288" t="s">
        <v>630</v>
      </c>
      <c r="BS288">
        <v>7</v>
      </c>
    </row>
    <row r="289" spans="1:71" s="0" customFormat="1" ht="14.5">
      <c r="A289" s="153" t="s">
        <v>157</v>
      </c>
      <c r="B289" s="154" t="s">
        <v>625</v>
      </c>
      <c r="C289" s="154">
        <v>107</v>
      </c>
      <c r="D289" s="154" t="s">
        <v>97</v>
      </c>
      <c r="E289" s="154" t="s">
        <v>98</v>
      </c>
      <c r="F289" s="155"/>
      <c r="G289" s="155"/>
      <c r="H289" s="153" t="s">
        <v>48</v>
      </c>
      <c r="I289" s="154" t="s">
        <v>158</v>
      </c>
      <c r="J289" s="154" t="s">
        <v>159</v>
      </c>
      <c r="K289" s="154" t="s">
        <v>163</v>
      </c>
      <c r="L289" s="154" t="s">
        <v>160</v>
      </c>
      <c r="M289" s="156">
        <v>46097</v>
      </c>
      <c r="N289" s="154" t="s">
        <v>1047</v>
      </c>
      <c r="O289" s="154">
        <v>9081084</v>
      </c>
      <c r="P289" s="156">
        <v>46083</v>
      </c>
      <c r="Q289" s="154" t="s">
        <v>161</v>
      </c>
      <c r="R289" s="154">
        <v>2770</v>
      </c>
      <c r="S289" s="154" t="s">
        <v>299</v>
      </c>
      <c r="T289" s="154" t="s">
        <v>176</v>
      </c>
      <c r="U289" s="154" t="s">
        <v>177</v>
      </c>
      <c r="V289" s="155" t="s">
        <v>162</v>
      </c>
      <c r="W289" s="155"/>
      <c r="X289" s="154">
        <v>1</v>
      </c>
      <c r="Y289" s="154">
        <v>4365</v>
      </c>
      <c r="Z289" s="154">
        <v>4365</v>
      </c>
      <c r="AA289" s="154" t="s">
        <v>99</v>
      </c>
      <c r="AB289" s="154" t="s">
        <v>1048</v>
      </c>
      <c r="AC289" s="156">
        <v>46083</v>
      </c>
      <c r="AD289" s="155" t="s">
        <v>164</v>
      </c>
      <c r="AE289" s="154">
        <v>997314</v>
      </c>
      <c r="AF289" s="154" t="s">
        <v>1049</v>
      </c>
      <c r="AG289" s="154"/>
      <c r="AH289" s="154"/>
      <c r="AI289" s="154">
        <v>4365</v>
      </c>
      <c r="AJ289" s="154" t="s">
        <v>368</v>
      </c>
      <c r="AK289" s="154">
        <v>18</v>
      </c>
      <c r="AL289" s="154">
        <v>0</v>
      </c>
      <c r="AM289" s="154">
        <v>0</v>
      </c>
      <c r="AN289" s="154">
        <v>785.70</v>
      </c>
      <c r="AO289" s="154">
        <v>0</v>
      </c>
      <c r="AP289" s="154">
        <v>0</v>
      </c>
      <c r="AQ289" s="154">
        <v>0</v>
      </c>
      <c r="AR289" s="154">
        <v>0</v>
      </c>
      <c r="AS289" s="153">
        <v>0</v>
      </c>
      <c r="AT289" s="154">
        <v>0</v>
      </c>
      <c r="AU289" s="155"/>
      <c r="AV289" s="155"/>
      <c r="AW289" s="154">
        <v>0</v>
      </c>
      <c r="AX289" s="154">
        <v>5150.70</v>
      </c>
      <c r="AY289" s="154" t="s">
        <v>100</v>
      </c>
      <c r="AZ289" s="154" t="s">
        <v>101</v>
      </c>
      <c r="BA289" s="154" t="s">
        <v>321</v>
      </c>
      <c r="BB289" s="154">
        <v>1125111948</v>
      </c>
      <c r="BC289" s="154" t="s">
        <v>102</v>
      </c>
      <c r="BD289" s="154" t="s">
        <v>103</v>
      </c>
      <c r="BE289" s="155"/>
      <c r="BF289" s="155" t="s">
        <v>270</v>
      </c>
      <c r="BG289" s="155" t="s">
        <v>281</v>
      </c>
      <c r="BH289" s="154" t="s">
        <v>290</v>
      </c>
      <c r="BI289" t="s">
        <v>155</v>
      </c>
      <c r="BJ289" t="s">
        <v>156</v>
      </c>
      <c r="BK289" t="s">
        <v>1050</v>
      </c>
      <c r="BL289">
        <v>785.70</v>
      </c>
      <c r="BM289">
        <v>785.70</v>
      </c>
      <c r="BN289">
        <v>0</v>
      </c>
      <c r="BO289" t="s">
        <v>154</v>
      </c>
      <c r="BP289">
        <v>9081084</v>
      </c>
      <c r="BQ289" t="s">
        <v>270</v>
      </c>
      <c r="BR289" t="s">
        <v>307</v>
      </c>
      <c r="BS289">
        <v>1</v>
      </c>
    </row>
    <row r="290" spans="1:71" s="0" customFormat="1" ht="14.5">
      <c r="A290" s="153" t="s">
        <v>157</v>
      </c>
      <c r="B290" s="154" t="s">
        <v>625</v>
      </c>
      <c r="C290" s="154">
        <v>107</v>
      </c>
      <c r="D290" s="154" t="s">
        <v>97</v>
      </c>
      <c r="E290" s="154" t="s">
        <v>98</v>
      </c>
      <c r="F290" s="155"/>
      <c r="G290" s="155" t="s">
        <v>106</v>
      </c>
      <c r="H290" s="153" t="s">
        <v>48</v>
      </c>
      <c r="I290" s="154" t="s">
        <v>158</v>
      </c>
      <c r="J290" s="154" t="s">
        <v>165</v>
      </c>
      <c r="K290" s="154" t="s">
        <v>166</v>
      </c>
      <c r="L290" s="154" t="s">
        <v>160</v>
      </c>
      <c r="M290" s="156">
        <v>46112</v>
      </c>
      <c r="N290" s="154">
        <v>5501</v>
      </c>
      <c r="O290" s="154">
        <v>9122848</v>
      </c>
      <c r="P290" s="156">
        <v>46090</v>
      </c>
      <c r="Q290" s="154" t="s">
        <v>161</v>
      </c>
      <c r="R290" s="154">
        <v>43683</v>
      </c>
      <c r="S290" s="154" t="s">
        <v>1008</v>
      </c>
      <c r="T290" s="154" t="s">
        <v>170</v>
      </c>
      <c r="U290" s="154" t="s">
        <v>1009</v>
      </c>
      <c r="V290" s="155" t="s">
        <v>162</v>
      </c>
      <c r="W290" s="155"/>
      <c r="X290" s="154">
        <v>140</v>
      </c>
      <c r="Y290" s="154">
        <v>1</v>
      </c>
      <c r="Z290" s="154">
        <v>140</v>
      </c>
      <c r="AA290" s="154" t="s">
        <v>99</v>
      </c>
      <c r="AB290" s="154">
        <v>5501</v>
      </c>
      <c r="AC290" s="156">
        <v>46090</v>
      </c>
      <c r="AD290" s="155" t="s">
        <v>164</v>
      </c>
      <c r="AE290" s="154">
        <v>8536</v>
      </c>
      <c r="AF290" s="154" t="s">
        <v>1051</v>
      </c>
      <c r="AG290" s="154"/>
      <c r="AH290" s="154"/>
      <c r="AI290" s="154">
        <v>140</v>
      </c>
      <c r="AJ290" s="154" t="s">
        <v>368</v>
      </c>
      <c r="AK290" s="154">
        <v>18</v>
      </c>
      <c r="AL290" s="154">
        <v>12.60</v>
      </c>
      <c r="AM290" s="154">
        <v>12.60</v>
      </c>
      <c r="AN290" s="154">
        <v>0</v>
      </c>
      <c r="AO290" s="154">
        <v>0</v>
      </c>
      <c r="AP290" s="154">
        <v>0</v>
      </c>
      <c r="AQ290" s="154">
        <v>0</v>
      </c>
      <c r="AR290" s="154">
        <v>0</v>
      </c>
      <c r="AS290" s="153">
        <v>0</v>
      </c>
      <c r="AT290" s="154">
        <v>0</v>
      </c>
      <c r="AU290" s="155"/>
      <c r="AV290" s="155"/>
      <c r="AW290" s="154">
        <v>0</v>
      </c>
      <c r="AX290" s="154">
        <v>165.20</v>
      </c>
      <c r="AY290" s="154" t="s">
        <v>101</v>
      </c>
      <c r="AZ290" s="154" t="s">
        <v>101</v>
      </c>
      <c r="BA290" s="154" t="s">
        <v>298</v>
      </c>
      <c r="BB290" s="154">
        <v>1125113239</v>
      </c>
      <c r="BC290" s="154" t="s">
        <v>172</v>
      </c>
      <c r="BD290" s="154" t="s">
        <v>104</v>
      </c>
      <c r="BE290" s="155"/>
      <c r="BF290" s="155" t="s">
        <v>271</v>
      </c>
      <c r="BG290" s="155" t="s">
        <v>281</v>
      </c>
      <c r="BH290" s="154" t="s">
        <v>289</v>
      </c>
      <c r="BI290" t="s">
        <v>155</v>
      </c>
      <c r="BJ290" t="s">
        <v>156</v>
      </c>
      <c r="BK290" t="s">
        <v>1019</v>
      </c>
      <c r="BL290">
        <v>25.20</v>
      </c>
      <c r="BM290">
        <v>921.60</v>
      </c>
      <c r="BN290">
        <v>-896</v>
      </c>
      <c r="BO290" t="s">
        <v>154</v>
      </c>
      <c r="BP290">
        <v>9122848</v>
      </c>
      <c r="BQ290" t="s">
        <v>271</v>
      </c>
      <c r="BR290" t="s">
        <v>630</v>
      </c>
      <c r="BS290">
        <v>7</v>
      </c>
    </row>
    <row r="291" spans="1:71" s="0" customFormat="1" ht="14.5">
      <c r="A291" s="153" t="s">
        <v>157</v>
      </c>
      <c r="B291" s="154" t="s">
        <v>625</v>
      </c>
      <c r="C291" s="154">
        <v>107</v>
      </c>
      <c r="D291" s="154" t="s">
        <v>97</v>
      </c>
      <c r="E291" s="154" t="s">
        <v>98</v>
      </c>
      <c r="F291" s="155"/>
      <c r="G291" s="155" t="s">
        <v>106</v>
      </c>
      <c r="H291" s="153" t="s">
        <v>48</v>
      </c>
      <c r="I291" s="154" t="s">
        <v>158</v>
      </c>
      <c r="J291" s="154" t="s">
        <v>165</v>
      </c>
      <c r="K291" s="154" t="s">
        <v>166</v>
      </c>
      <c r="L291" s="154" t="s">
        <v>160</v>
      </c>
      <c r="M291" s="156">
        <v>46112</v>
      </c>
      <c r="N291" s="154">
        <v>5500</v>
      </c>
      <c r="O291" s="154">
        <v>9122840</v>
      </c>
      <c r="P291" s="156">
        <v>46090</v>
      </c>
      <c r="Q291" s="154" t="s">
        <v>161</v>
      </c>
      <c r="R291" s="154">
        <v>43683</v>
      </c>
      <c r="S291" s="154" t="s">
        <v>1008</v>
      </c>
      <c r="T291" s="154" t="s">
        <v>170</v>
      </c>
      <c r="U291" s="154" t="s">
        <v>1009</v>
      </c>
      <c r="V291" s="155" t="s">
        <v>455</v>
      </c>
      <c r="W291" s="155"/>
      <c r="X291" s="154">
        <v>120</v>
      </c>
      <c r="Y291" s="154">
        <v>21</v>
      </c>
      <c r="Z291" s="154">
        <v>2520</v>
      </c>
      <c r="AA291" s="154" t="s">
        <v>99</v>
      </c>
      <c r="AB291" s="154">
        <v>5500</v>
      </c>
      <c r="AC291" s="156">
        <v>46090</v>
      </c>
      <c r="AD291" s="155" t="s">
        <v>164</v>
      </c>
      <c r="AE291" s="154">
        <v>8414</v>
      </c>
      <c r="AF291" s="154" t="s">
        <v>1052</v>
      </c>
      <c r="AG291" s="154"/>
      <c r="AH291" s="154"/>
      <c r="AI291" s="154">
        <v>2520</v>
      </c>
      <c r="AJ291" s="154" t="s">
        <v>368</v>
      </c>
      <c r="AK291" s="154">
        <v>18</v>
      </c>
      <c r="AL291" s="154">
        <v>226.80</v>
      </c>
      <c r="AM291" s="154">
        <v>226.80</v>
      </c>
      <c r="AN291" s="154">
        <v>0</v>
      </c>
      <c r="AO291" s="154">
        <v>0</v>
      </c>
      <c r="AP291" s="154">
        <v>0</v>
      </c>
      <c r="AQ291" s="154">
        <v>0</v>
      </c>
      <c r="AR291" s="154">
        <v>0</v>
      </c>
      <c r="AS291" s="153">
        <v>0</v>
      </c>
      <c r="AT291" s="154">
        <v>0</v>
      </c>
      <c r="AU291" s="155"/>
      <c r="AV291" s="155"/>
      <c r="AW291" s="154">
        <v>0</v>
      </c>
      <c r="AX291" s="154">
        <v>2973.60</v>
      </c>
      <c r="AY291" s="154" t="s">
        <v>101</v>
      </c>
      <c r="AZ291" s="154" t="s">
        <v>101</v>
      </c>
      <c r="BA291" s="154" t="s">
        <v>298</v>
      </c>
      <c r="BB291" s="154">
        <v>1125113238</v>
      </c>
      <c r="BC291" s="154" t="s">
        <v>172</v>
      </c>
      <c r="BD291" s="154" t="s">
        <v>104</v>
      </c>
      <c r="BE291" s="155"/>
      <c r="BF291" s="155" t="s">
        <v>271</v>
      </c>
      <c r="BG291" s="155" t="s">
        <v>281</v>
      </c>
      <c r="BH291" s="154" t="s">
        <v>289</v>
      </c>
      <c r="BI291" t="s">
        <v>155</v>
      </c>
      <c r="BJ291" t="s">
        <v>156</v>
      </c>
      <c r="BK291" t="s">
        <v>1011</v>
      </c>
      <c r="BL291">
        <v>453.60</v>
      </c>
      <c r="BM291">
        <v>7367.40</v>
      </c>
      <c r="BN291">
        <v>-6914</v>
      </c>
      <c r="BO291" t="s">
        <v>154</v>
      </c>
      <c r="BP291">
        <v>9122840</v>
      </c>
      <c r="BQ291" t="s">
        <v>271</v>
      </c>
      <c r="BR291" t="s">
        <v>630</v>
      </c>
      <c r="BS291">
        <v>17</v>
      </c>
    </row>
    <row r="292" spans="1:71" s="0" customFormat="1" ht="14.5">
      <c r="A292" s="153" t="s">
        <v>157</v>
      </c>
      <c r="B292" s="154" t="s">
        <v>625</v>
      </c>
      <c r="C292" s="154">
        <v>107</v>
      </c>
      <c r="D292" s="154" t="s">
        <v>97</v>
      </c>
      <c r="E292" s="154" t="s">
        <v>98</v>
      </c>
      <c r="F292" s="155"/>
      <c r="G292" s="155" t="s">
        <v>106</v>
      </c>
      <c r="H292" s="153" t="s">
        <v>48</v>
      </c>
      <c r="I292" s="154" t="s">
        <v>158</v>
      </c>
      <c r="J292" s="154" t="s">
        <v>165</v>
      </c>
      <c r="K292" s="154" t="s">
        <v>166</v>
      </c>
      <c r="L292" s="154" t="s">
        <v>160</v>
      </c>
      <c r="M292" s="156">
        <v>46051</v>
      </c>
      <c r="N292" s="154">
        <v>1791</v>
      </c>
      <c r="O292" s="154">
        <v>8977074</v>
      </c>
      <c r="P292" s="156">
        <v>46027</v>
      </c>
      <c r="Q292" s="154" t="s">
        <v>161</v>
      </c>
      <c r="R292" s="154">
        <v>35605</v>
      </c>
      <c r="S292" s="154" t="s">
        <v>1053</v>
      </c>
      <c r="T292" s="154" t="s">
        <v>1054</v>
      </c>
      <c r="U292" s="154" t="s">
        <v>1055</v>
      </c>
      <c r="V292" s="155" t="s">
        <v>312</v>
      </c>
      <c r="W292" s="155"/>
      <c r="X292" s="154">
        <v>6175</v>
      </c>
      <c r="Y292" s="154">
        <v>1</v>
      </c>
      <c r="Z292" s="154">
        <v>6175</v>
      </c>
      <c r="AA292" s="154" t="s">
        <v>99</v>
      </c>
      <c r="AB292" s="154">
        <v>1791</v>
      </c>
      <c r="AC292" s="156">
        <v>46027</v>
      </c>
      <c r="AD292" s="155" t="s">
        <v>164</v>
      </c>
      <c r="AE292" s="154">
        <v>998719</v>
      </c>
      <c r="AF292" s="154" t="s">
        <v>1056</v>
      </c>
      <c r="AG292" s="154"/>
      <c r="AH292" s="154"/>
      <c r="AI292" s="154">
        <v>6175</v>
      </c>
      <c r="AJ292" s="154"/>
      <c r="AK292" s="154">
        <v>18</v>
      </c>
      <c r="AL292" s="154">
        <v>555.75</v>
      </c>
      <c r="AM292" s="154">
        <v>555.75</v>
      </c>
      <c r="AN292" s="154">
        <v>0</v>
      </c>
      <c r="AO292" s="154">
        <v>0</v>
      </c>
      <c r="AP292" s="154">
        <v>0</v>
      </c>
      <c r="AQ292" s="154">
        <v>0</v>
      </c>
      <c r="AR292" s="154">
        <v>0</v>
      </c>
      <c r="AS292" s="153">
        <v>0</v>
      </c>
      <c r="AT292" s="154">
        <v>0</v>
      </c>
      <c r="AU292" s="155"/>
      <c r="AV292" s="155"/>
      <c r="AW292" s="154">
        <v>0</v>
      </c>
      <c r="AX292" s="154">
        <v>46880.22</v>
      </c>
      <c r="AY292" s="154" t="s">
        <v>100</v>
      </c>
      <c r="AZ292" s="154" t="s">
        <v>101</v>
      </c>
      <c r="BA292" s="154" t="s">
        <v>1057</v>
      </c>
      <c r="BB292" s="154">
        <v>1125110430</v>
      </c>
      <c r="BC292" s="154" t="s">
        <v>105</v>
      </c>
      <c r="BD292" s="154" t="s">
        <v>103</v>
      </c>
      <c r="BE292" s="155"/>
      <c r="BF292" s="155" t="s">
        <v>270</v>
      </c>
      <c r="BG292" s="155" t="s">
        <v>281</v>
      </c>
      <c r="BH292" s="154" t="s">
        <v>289</v>
      </c>
      <c r="BI292" t="s">
        <v>155</v>
      </c>
      <c r="BJ292" t="s">
        <v>156</v>
      </c>
      <c r="BK292" t="s">
        <v>1058</v>
      </c>
      <c r="BL292">
        <v>1111.5</v>
      </c>
      <c r="BM292">
        <v>7151.22</v>
      </c>
      <c r="BN292">
        <v>-6040</v>
      </c>
      <c r="BO292" t="s">
        <v>154</v>
      </c>
      <c r="BP292">
        <v>8977074</v>
      </c>
      <c r="BQ292" t="s">
        <v>270</v>
      </c>
      <c r="BR292" t="s">
        <v>630</v>
      </c>
      <c r="BS292">
        <v>8</v>
      </c>
    </row>
    <row r="293" spans="1:71" s="0" customFormat="1" ht="14.5">
      <c r="A293" s="153" t="s">
        <v>157</v>
      </c>
      <c r="B293" s="154" t="s">
        <v>625</v>
      </c>
      <c r="C293" s="154">
        <v>107</v>
      </c>
      <c r="D293" s="154" t="s">
        <v>97</v>
      </c>
      <c r="E293" s="154" t="s">
        <v>98</v>
      </c>
      <c r="F293" s="155"/>
      <c r="G293" s="155" t="s">
        <v>106</v>
      </c>
      <c r="H293" s="153" t="s">
        <v>48</v>
      </c>
      <c r="I293" s="154" t="s">
        <v>158</v>
      </c>
      <c r="J293" s="154" t="s">
        <v>165</v>
      </c>
      <c r="K293" s="154" t="s">
        <v>166</v>
      </c>
      <c r="L293" s="154" t="s">
        <v>160</v>
      </c>
      <c r="M293" s="156">
        <v>46051</v>
      </c>
      <c r="N293" s="154">
        <v>1791</v>
      </c>
      <c r="O293" s="154">
        <v>8977074</v>
      </c>
      <c r="P293" s="156">
        <v>46027</v>
      </c>
      <c r="Q293" s="154" t="s">
        <v>161</v>
      </c>
      <c r="R293" s="154">
        <v>35605</v>
      </c>
      <c r="S293" s="154" t="s">
        <v>1053</v>
      </c>
      <c r="T293" s="154" t="s">
        <v>1054</v>
      </c>
      <c r="U293" s="154" t="s">
        <v>1055</v>
      </c>
      <c r="V293" s="155" t="s">
        <v>162</v>
      </c>
      <c r="W293" s="155"/>
      <c r="X293" s="154">
        <v>57</v>
      </c>
      <c r="Y293" s="154">
        <v>40</v>
      </c>
      <c r="Z293" s="154">
        <v>2280</v>
      </c>
      <c r="AA293" s="154" t="s">
        <v>99</v>
      </c>
      <c r="AB293" s="154">
        <v>1791</v>
      </c>
      <c r="AC293" s="156">
        <v>46027</v>
      </c>
      <c r="AD293" s="155" t="s">
        <v>164</v>
      </c>
      <c r="AE293" s="154">
        <v>998719</v>
      </c>
      <c r="AF293" s="154" t="s">
        <v>1059</v>
      </c>
      <c r="AG293" s="154"/>
      <c r="AH293" s="154"/>
      <c r="AI293" s="154">
        <v>2280</v>
      </c>
      <c r="AJ293" s="154"/>
      <c r="AK293" s="154">
        <v>18</v>
      </c>
      <c r="AL293" s="154">
        <v>205.20</v>
      </c>
      <c r="AM293" s="154">
        <v>205.20</v>
      </c>
      <c r="AN293" s="154">
        <v>0</v>
      </c>
      <c r="AO293" s="154">
        <v>0</v>
      </c>
      <c r="AP293" s="154">
        <v>0</v>
      </c>
      <c r="AQ293" s="154">
        <v>0</v>
      </c>
      <c r="AR293" s="154">
        <v>0</v>
      </c>
      <c r="AS293" s="153">
        <v>0</v>
      </c>
      <c r="AT293" s="154">
        <v>0</v>
      </c>
      <c r="AU293" s="155"/>
      <c r="AV293" s="155"/>
      <c r="AW293" s="154">
        <v>0</v>
      </c>
      <c r="AX293" s="154">
        <v>46880.22</v>
      </c>
      <c r="AY293" s="154" t="s">
        <v>100</v>
      </c>
      <c r="AZ293" s="154" t="s">
        <v>101</v>
      </c>
      <c r="BA293" s="154" t="s">
        <v>1057</v>
      </c>
      <c r="BB293" s="154">
        <v>1125110430</v>
      </c>
      <c r="BC293" s="154" t="s">
        <v>105</v>
      </c>
      <c r="BD293" s="154" t="s">
        <v>103</v>
      </c>
      <c r="BE293" s="155"/>
      <c r="BF293" s="155" t="s">
        <v>270</v>
      </c>
      <c r="BG293" s="155" t="s">
        <v>281</v>
      </c>
      <c r="BH293" s="154" t="s">
        <v>289</v>
      </c>
      <c r="BI293" t="s">
        <v>155</v>
      </c>
      <c r="BJ293" t="s">
        <v>156</v>
      </c>
      <c r="BK293" t="s">
        <v>1058</v>
      </c>
      <c r="BL293">
        <v>410.40</v>
      </c>
      <c r="BM293">
        <v>7151.22</v>
      </c>
      <c r="BN293">
        <v>-6741</v>
      </c>
      <c r="BO293" t="s">
        <v>154</v>
      </c>
      <c r="BP293">
        <v>8977074</v>
      </c>
      <c r="BQ293" t="s">
        <v>270</v>
      </c>
      <c r="BR293" t="s">
        <v>630</v>
      </c>
      <c r="BS293">
        <v>8</v>
      </c>
    </row>
    <row r="294" spans="1:71" s="0" customFormat="1" ht="14.5">
      <c r="A294" s="153" t="s">
        <v>157</v>
      </c>
      <c r="B294" s="154" t="s">
        <v>625</v>
      </c>
      <c r="C294" s="154">
        <v>107</v>
      </c>
      <c r="D294" s="154" t="s">
        <v>97</v>
      </c>
      <c r="E294" s="154" t="s">
        <v>98</v>
      </c>
      <c r="F294" s="155"/>
      <c r="G294" s="155" t="s">
        <v>106</v>
      </c>
      <c r="H294" s="153" t="s">
        <v>48</v>
      </c>
      <c r="I294" s="154" t="s">
        <v>158</v>
      </c>
      <c r="J294" s="154" t="s">
        <v>165</v>
      </c>
      <c r="K294" s="154" t="s">
        <v>166</v>
      </c>
      <c r="L294" s="154" t="s">
        <v>160</v>
      </c>
      <c r="M294" s="156">
        <v>46051</v>
      </c>
      <c r="N294" s="154">
        <v>1791</v>
      </c>
      <c r="O294" s="154">
        <v>8977074</v>
      </c>
      <c r="P294" s="156">
        <v>46027</v>
      </c>
      <c r="Q294" s="154" t="s">
        <v>161</v>
      </c>
      <c r="R294" s="154">
        <v>35605</v>
      </c>
      <c r="S294" s="154" t="s">
        <v>1053</v>
      </c>
      <c r="T294" s="154" t="s">
        <v>1054</v>
      </c>
      <c r="U294" s="154" t="s">
        <v>1055</v>
      </c>
      <c r="V294" s="155" t="s">
        <v>162</v>
      </c>
      <c r="W294" s="155"/>
      <c r="X294" s="154">
        <v>332.5</v>
      </c>
      <c r="Y294" s="154">
        <v>4</v>
      </c>
      <c r="Z294" s="154">
        <v>1330</v>
      </c>
      <c r="AA294" s="154" t="s">
        <v>99</v>
      </c>
      <c r="AB294" s="154">
        <v>1791</v>
      </c>
      <c r="AC294" s="156">
        <v>46027</v>
      </c>
      <c r="AD294" s="155" t="s">
        <v>164</v>
      </c>
      <c r="AE294" s="154">
        <v>998719</v>
      </c>
      <c r="AF294" s="154" t="s">
        <v>1060</v>
      </c>
      <c r="AG294" s="154"/>
      <c r="AH294" s="154"/>
      <c r="AI294" s="154">
        <v>1330</v>
      </c>
      <c r="AJ294" s="154"/>
      <c r="AK294" s="154">
        <v>18</v>
      </c>
      <c r="AL294" s="154">
        <v>119.70</v>
      </c>
      <c r="AM294" s="154">
        <v>119.70</v>
      </c>
      <c r="AN294" s="154">
        <v>0</v>
      </c>
      <c r="AO294" s="154">
        <v>0</v>
      </c>
      <c r="AP294" s="154">
        <v>0</v>
      </c>
      <c r="AQ294" s="154">
        <v>0</v>
      </c>
      <c r="AR294" s="154">
        <v>0</v>
      </c>
      <c r="AS294" s="153">
        <v>0</v>
      </c>
      <c r="AT294" s="154">
        <v>0</v>
      </c>
      <c r="AU294" s="155"/>
      <c r="AV294" s="155"/>
      <c r="AW294" s="154">
        <v>0</v>
      </c>
      <c r="AX294" s="154">
        <v>46880.22</v>
      </c>
      <c r="AY294" s="154" t="s">
        <v>100</v>
      </c>
      <c r="AZ294" s="154" t="s">
        <v>101</v>
      </c>
      <c r="BA294" s="154" t="s">
        <v>1057</v>
      </c>
      <c r="BB294" s="154">
        <v>1125110430</v>
      </c>
      <c r="BC294" s="154" t="s">
        <v>105</v>
      </c>
      <c r="BD294" s="154" t="s">
        <v>103</v>
      </c>
      <c r="BE294" s="155"/>
      <c r="BF294" s="155" t="s">
        <v>270</v>
      </c>
      <c r="BG294" s="155" t="s">
        <v>281</v>
      </c>
      <c r="BH294" s="154" t="s">
        <v>289</v>
      </c>
      <c r="BI294" t="s">
        <v>155</v>
      </c>
      <c r="BJ294" t="s">
        <v>156</v>
      </c>
      <c r="BK294" t="s">
        <v>1058</v>
      </c>
      <c r="BL294">
        <v>239.40</v>
      </c>
      <c r="BM294">
        <v>7151.22</v>
      </c>
      <c r="BN294">
        <v>-6912</v>
      </c>
      <c r="BO294" t="s">
        <v>154</v>
      </c>
      <c r="BP294">
        <v>8977074</v>
      </c>
      <c r="BQ294" t="s">
        <v>270</v>
      </c>
      <c r="BR294" t="s">
        <v>630</v>
      </c>
      <c r="BS294">
        <v>8</v>
      </c>
    </row>
    <row r="295" spans="1:71" s="0" customFormat="1" ht="14.5">
      <c r="A295" s="153" t="s">
        <v>157</v>
      </c>
      <c r="B295" s="154" t="s">
        <v>625</v>
      </c>
      <c r="C295" s="154">
        <v>107</v>
      </c>
      <c r="D295" s="154" t="s">
        <v>97</v>
      </c>
      <c r="E295" s="154" t="s">
        <v>98</v>
      </c>
      <c r="F295" s="155"/>
      <c r="G295" s="155" t="s">
        <v>106</v>
      </c>
      <c r="H295" s="153" t="s">
        <v>48</v>
      </c>
      <c r="I295" s="154" t="s">
        <v>158</v>
      </c>
      <c r="J295" s="154" t="s">
        <v>165</v>
      </c>
      <c r="K295" s="154" t="s">
        <v>166</v>
      </c>
      <c r="L295" s="154" t="s">
        <v>160</v>
      </c>
      <c r="M295" s="156">
        <v>46051</v>
      </c>
      <c r="N295" s="154">
        <v>1791</v>
      </c>
      <c r="O295" s="154">
        <v>8977074</v>
      </c>
      <c r="P295" s="156">
        <v>46027</v>
      </c>
      <c r="Q295" s="154" t="s">
        <v>161</v>
      </c>
      <c r="R295" s="154">
        <v>35605</v>
      </c>
      <c r="S295" s="154" t="s">
        <v>1053</v>
      </c>
      <c r="T295" s="154" t="s">
        <v>1054</v>
      </c>
      <c r="U295" s="154" t="s">
        <v>1055</v>
      </c>
      <c r="V295" s="155" t="s">
        <v>162</v>
      </c>
      <c r="W295" s="155"/>
      <c r="X295" s="154">
        <v>522.5</v>
      </c>
      <c r="Y295" s="154">
        <v>4</v>
      </c>
      <c r="Z295" s="154">
        <v>2090</v>
      </c>
      <c r="AA295" s="154" t="s">
        <v>99</v>
      </c>
      <c r="AB295" s="154">
        <v>1791</v>
      </c>
      <c r="AC295" s="156">
        <v>46027</v>
      </c>
      <c r="AD295" s="155" t="s">
        <v>164</v>
      </c>
      <c r="AE295" s="154">
        <v>998719</v>
      </c>
      <c r="AF295" s="154" t="s">
        <v>1061</v>
      </c>
      <c r="AG295" s="154"/>
      <c r="AH295" s="154"/>
      <c r="AI295" s="154">
        <v>2090</v>
      </c>
      <c r="AJ295" s="154"/>
      <c r="AK295" s="154">
        <v>18</v>
      </c>
      <c r="AL295" s="154">
        <v>188.10</v>
      </c>
      <c r="AM295" s="154">
        <v>188.10</v>
      </c>
      <c r="AN295" s="154">
        <v>0</v>
      </c>
      <c r="AO295" s="154">
        <v>0</v>
      </c>
      <c r="AP295" s="154">
        <v>0</v>
      </c>
      <c r="AQ295" s="154">
        <v>0</v>
      </c>
      <c r="AR295" s="154">
        <v>0</v>
      </c>
      <c r="AS295" s="153">
        <v>0</v>
      </c>
      <c r="AT295" s="154">
        <v>0</v>
      </c>
      <c r="AU295" s="155"/>
      <c r="AV295" s="155"/>
      <c r="AW295" s="154">
        <v>0</v>
      </c>
      <c r="AX295" s="154">
        <v>46880.22</v>
      </c>
      <c r="AY295" s="154" t="s">
        <v>100</v>
      </c>
      <c r="AZ295" s="154" t="s">
        <v>101</v>
      </c>
      <c r="BA295" s="154" t="s">
        <v>1057</v>
      </c>
      <c r="BB295" s="154">
        <v>1125110430</v>
      </c>
      <c r="BC295" s="154" t="s">
        <v>105</v>
      </c>
      <c r="BD295" s="154" t="s">
        <v>103</v>
      </c>
      <c r="BE295" s="155"/>
      <c r="BF295" s="155" t="s">
        <v>270</v>
      </c>
      <c r="BG295" s="155" t="s">
        <v>281</v>
      </c>
      <c r="BH295" s="154" t="s">
        <v>289</v>
      </c>
      <c r="BI295" t="s">
        <v>155</v>
      </c>
      <c r="BJ295" t="s">
        <v>156</v>
      </c>
      <c r="BK295" t="s">
        <v>1058</v>
      </c>
      <c r="BL295">
        <v>376.20</v>
      </c>
      <c r="BM295">
        <v>7151.22</v>
      </c>
      <c r="BN295">
        <v>-6775</v>
      </c>
      <c r="BO295" t="s">
        <v>154</v>
      </c>
      <c r="BP295">
        <v>8977074</v>
      </c>
      <c r="BQ295" t="s">
        <v>270</v>
      </c>
      <c r="BR295" t="s">
        <v>630</v>
      </c>
      <c r="BS295">
        <v>8</v>
      </c>
    </row>
    <row r="296" spans="1:71" s="0" customFormat="1" ht="14.5">
      <c r="A296" s="153" t="s">
        <v>157</v>
      </c>
      <c r="B296" s="154" t="s">
        <v>625</v>
      </c>
      <c r="C296" s="154">
        <v>107</v>
      </c>
      <c r="D296" s="154" t="s">
        <v>97</v>
      </c>
      <c r="E296" s="154" t="s">
        <v>98</v>
      </c>
      <c r="F296" s="155"/>
      <c r="G296" s="155" t="s">
        <v>106</v>
      </c>
      <c r="H296" s="153" t="s">
        <v>48</v>
      </c>
      <c r="I296" s="154" t="s">
        <v>158</v>
      </c>
      <c r="J296" s="154" t="s">
        <v>165</v>
      </c>
      <c r="K296" s="154" t="s">
        <v>166</v>
      </c>
      <c r="L296" s="154" t="s">
        <v>160</v>
      </c>
      <c r="M296" s="156">
        <v>46051</v>
      </c>
      <c r="N296" s="154">
        <v>1791</v>
      </c>
      <c r="O296" s="154">
        <v>8977074</v>
      </c>
      <c r="P296" s="156">
        <v>46027</v>
      </c>
      <c r="Q296" s="154" t="s">
        <v>161</v>
      </c>
      <c r="R296" s="154">
        <v>35605</v>
      </c>
      <c r="S296" s="154" t="s">
        <v>1053</v>
      </c>
      <c r="T296" s="154" t="s">
        <v>1054</v>
      </c>
      <c r="U296" s="154" t="s">
        <v>1055</v>
      </c>
      <c r="V296" s="155" t="s">
        <v>162</v>
      </c>
      <c r="W296" s="155"/>
      <c r="X296" s="154">
        <v>684</v>
      </c>
      <c r="Y296" s="154">
        <v>2</v>
      </c>
      <c r="Z296" s="154">
        <v>1368</v>
      </c>
      <c r="AA296" s="154" t="s">
        <v>99</v>
      </c>
      <c r="AB296" s="154">
        <v>1791</v>
      </c>
      <c r="AC296" s="156">
        <v>46027</v>
      </c>
      <c r="AD296" s="155" t="s">
        <v>164</v>
      </c>
      <c r="AE296" s="154">
        <v>998719</v>
      </c>
      <c r="AF296" s="154" t="s">
        <v>1062</v>
      </c>
      <c r="AG296" s="154"/>
      <c r="AH296" s="154"/>
      <c r="AI296" s="154">
        <v>1368</v>
      </c>
      <c r="AJ296" s="154"/>
      <c r="AK296" s="154">
        <v>18</v>
      </c>
      <c r="AL296" s="154">
        <v>123.12</v>
      </c>
      <c r="AM296" s="154">
        <v>123.12</v>
      </c>
      <c r="AN296" s="154">
        <v>0</v>
      </c>
      <c r="AO296" s="154">
        <v>0</v>
      </c>
      <c r="AP296" s="154">
        <v>0</v>
      </c>
      <c r="AQ296" s="154">
        <v>0</v>
      </c>
      <c r="AR296" s="154">
        <v>0</v>
      </c>
      <c r="AS296" s="153">
        <v>0</v>
      </c>
      <c r="AT296" s="154">
        <v>0</v>
      </c>
      <c r="AU296" s="155"/>
      <c r="AV296" s="155"/>
      <c r="AW296" s="154">
        <v>0</v>
      </c>
      <c r="AX296" s="154">
        <v>46880.22</v>
      </c>
      <c r="AY296" s="154" t="s">
        <v>100</v>
      </c>
      <c r="AZ296" s="154" t="s">
        <v>101</v>
      </c>
      <c r="BA296" s="154" t="s">
        <v>1057</v>
      </c>
      <c r="BB296" s="154">
        <v>1125110430</v>
      </c>
      <c r="BC296" s="154" t="s">
        <v>105</v>
      </c>
      <c r="BD296" s="154" t="s">
        <v>103</v>
      </c>
      <c r="BE296" s="155"/>
      <c r="BF296" s="155" t="s">
        <v>270</v>
      </c>
      <c r="BG296" s="155" t="s">
        <v>281</v>
      </c>
      <c r="BH296" s="154" t="s">
        <v>289</v>
      </c>
      <c r="BI296" t="s">
        <v>155</v>
      </c>
      <c r="BJ296" t="s">
        <v>156</v>
      </c>
      <c r="BK296" t="s">
        <v>1058</v>
      </c>
      <c r="BL296">
        <v>246.24</v>
      </c>
      <c r="BM296">
        <v>7151.22</v>
      </c>
      <c r="BN296">
        <v>-6905</v>
      </c>
      <c r="BO296" t="s">
        <v>154</v>
      </c>
      <c r="BP296">
        <v>8977074</v>
      </c>
      <c r="BQ296" t="s">
        <v>270</v>
      </c>
      <c r="BR296" t="s">
        <v>630</v>
      </c>
      <c r="BS296">
        <v>8</v>
      </c>
    </row>
    <row r="297" spans="1:71" s="0" customFormat="1" ht="14.5">
      <c r="A297" s="153" t="s">
        <v>157</v>
      </c>
      <c r="B297" s="154" t="s">
        <v>625</v>
      </c>
      <c r="C297" s="154">
        <v>107</v>
      </c>
      <c r="D297" s="154" t="s">
        <v>97</v>
      </c>
      <c r="E297" s="154" t="s">
        <v>98</v>
      </c>
      <c r="F297" s="155"/>
      <c r="G297" s="155" t="s">
        <v>106</v>
      </c>
      <c r="H297" s="153" t="s">
        <v>48</v>
      </c>
      <c r="I297" s="154" t="s">
        <v>158</v>
      </c>
      <c r="J297" s="154" t="s">
        <v>165</v>
      </c>
      <c r="K297" s="154" t="s">
        <v>166</v>
      </c>
      <c r="L297" s="154" t="s">
        <v>160</v>
      </c>
      <c r="M297" s="156">
        <v>46051</v>
      </c>
      <c r="N297" s="154">
        <v>1791</v>
      </c>
      <c r="O297" s="154">
        <v>8977074</v>
      </c>
      <c r="P297" s="156">
        <v>46027</v>
      </c>
      <c r="Q297" s="154" t="s">
        <v>161</v>
      </c>
      <c r="R297" s="154">
        <v>35605</v>
      </c>
      <c r="S297" s="154" t="s">
        <v>1053</v>
      </c>
      <c r="T297" s="154" t="s">
        <v>1054</v>
      </c>
      <c r="U297" s="154" t="s">
        <v>1055</v>
      </c>
      <c r="V297" s="155" t="s">
        <v>162</v>
      </c>
      <c r="W297" s="155"/>
      <c r="X297" s="154">
        <v>5890</v>
      </c>
      <c r="Y297" s="154">
        <v>4</v>
      </c>
      <c r="Z297" s="154">
        <v>23560</v>
      </c>
      <c r="AA297" s="154" t="s">
        <v>99</v>
      </c>
      <c r="AB297" s="154">
        <v>1791</v>
      </c>
      <c r="AC297" s="156">
        <v>46027</v>
      </c>
      <c r="AD297" s="155" t="s">
        <v>164</v>
      </c>
      <c r="AE297" s="154">
        <v>998719</v>
      </c>
      <c r="AF297" s="154" t="s">
        <v>1063</v>
      </c>
      <c r="AG297" s="154"/>
      <c r="AH297" s="154"/>
      <c r="AI297" s="154">
        <v>23560</v>
      </c>
      <c r="AJ297" s="154"/>
      <c r="AK297" s="154">
        <v>18</v>
      </c>
      <c r="AL297" s="154">
        <v>2120.40</v>
      </c>
      <c r="AM297" s="154">
        <v>2120.40</v>
      </c>
      <c r="AN297" s="154">
        <v>0</v>
      </c>
      <c r="AO297" s="154">
        <v>0</v>
      </c>
      <c r="AP297" s="154">
        <v>0</v>
      </c>
      <c r="AQ297" s="154">
        <v>0</v>
      </c>
      <c r="AR297" s="154">
        <v>0</v>
      </c>
      <c r="AS297" s="153">
        <v>0</v>
      </c>
      <c r="AT297" s="154">
        <v>0</v>
      </c>
      <c r="AU297" s="155"/>
      <c r="AV297" s="155"/>
      <c r="AW297" s="154">
        <v>0</v>
      </c>
      <c r="AX297" s="154">
        <v>46880.22</v>
      </c>
      <c r="AY297" s="154" t="s">
        <v>100</v>
      </c>
      <c r="AZ297" s="154" t="s">
        <v>101</v>
      </c>
      <c r="BA297" s="154" t="s">
        <v>1057</v>
      </c>
      <c r="BB297" s="154">
        <v>1125110430</v>
      </c>
      <c r="BC297" s="154" t="s">
        <v>105</v>
      </c>
      <c r="BD297" s="154" t="s">
        <v>103</v>
      </c>
      <c r="BE297" s="155"/>
      <c r="BF297" s="155" t="s">
        <v>270</v>
      </c>
      <c r="BG297" s="155" t="s">
        <v>281</v>
      </c>
      <c r="BH297" s="154" t="s">
        <v>289</v>
      </c>
      <c r="BI297" t="s">
        <v>155</v>
      </c>
      <c r="BJ297" t="s">
        <v>156</v>
      </c>
      <c r="BK297" t="s">
        <v>1058</v>
      </c>
      <c r="BL297">
        <v>4240.80</v>
      </c>
      <c r="BM297">
        <v>7151.22</v>
      </c>
      <c r="BN297">
        <v>-2910</v>
      </c>
      <c r="BO297" t="s">
        <v>154</v>
      </c>
      <c r="BP297">
        <v>8977074</v>
      </c>
      <c r="BQ297" t="s">
        <v>270</v>
      </c>
      <c r="BR297" t="s">
        <v>630</v>
      </c>
      <c r="BS297">
        <v>8</v>
      </c>
    </row>
    <row r="298" spans="1:71" s="0" customFormat="1" ht="14.5">
      <c r="A298" s="153" t="s">
        <v>157</v>
      </c>
      <c r="B298" s="154" t="s">
        <v>625</v>
      </c>
      <c r="C298" s="154">
        <v>107</v>
      </c>
      <c r="D298" s="154" t="s">
        <v>97</v>
      </c>
      <c r="E298" s="154" t="s">
        <v>98</v>
      </c>
      <c r="F298" s="155"/>
      <c r="G298" s="155" t="s">
        <v>106</v>
      </c>
      <c r="H298" s="153" t="s">
        <v>48</v>
      </c>
      <c r="I298" s="154" t="s">
        <v>158</v>
      </c>
      <c r="J298" s="154" t="s">
        <v>165</v>
      </c>
      <c r="K298" s="154" t="s">
        <v>166</v>
      </c>
      <c r="L298" s="154" t="s">
        <v>160</v>
      </c>
      <c r="M298" s="156">
        <v>46051</v>
      </c>
      <c r="N298" s="154">
        <v>1791</v>
      </c>
      <c r="O298" s="154">
        <v>8977074</v>
      </c>
      <c r="P298" s="156">
        <v>46027</v>
      </c>
      <c r="Q298" s="154" t="s">
        <v>161</v>
      </c>
      <c r="R298" s="154">
        <v>35605</v>
      </c>
      <c r="S298" s="154" t="s">
        <v>1053</v>
      </c>
      <c r="T298" s="154" t="s">
        <v>1054</v>
      </c>
      <c r="U298" s="154" t="s">
        <v>1055</v>
      </c>
      <c r="V298" s="155" t="s">
        <v>162</v>
      </c>
      <c r="W298" s="155"/>
      <c r="X298" s="154">
        <v>551</v>
      </c>
      <c r="Y298" s="154">
        <v>2</v>
      </c>
      <c r="Z298" s="154">
        <v>1102</v>
      </c>
      <c r="AA298" s="154" t="s">
        <v>99</v>
      </c>
      <c r="AB298" s="154">
        <v>1791</v>
      </c>
      <c r="AC298" s="156">
        <v>46027</v>
      </c>
      <c r="AD298" s="155" t="s">
        <v>164</v>
      </c>
      <c r="AE298" s="154">
        <v>998719</v>
      </c>
      <c r="AF298" s="154" t="s">
        <v>1064</v>
      </c>
      <c r="AG298" s="154"/>
      <c r="AH298" s="154"/>
      <c r="AI298" s="154">
        <v>1102</v>
      </c>
      <c r="AJ298" s="154"/>
      <c r="AK298" s="154">
        <v>18</v>
      </c>
      <c r="AL298" s="154">
        <v>99.18</v>
      </c>
      <c r="AM298" s="154">
        <v>99.18</v>
      </c>
      <c r="AN298" s="154">
        <v>0</v>
      </c>
      <c r="AO298" s="154">
        <v>0</v>
      </c>
      <c r="AP298" s="154">
        <v>0</v>
      </c>
      <c r="AQ298" s="154">
        <v>0</v>
      </c>
      <c r="AR298" s="154">
        <v>0</v>
      </c>
      <c r="AS298" s="153">
        <v>0</v>
      </c>
      <c r="AT298" s="154">
        <v>0</v>
      </c>
      <c r="AU298" s="155"/>
      <c r="AV298" s="155"/>
      <c r="AW298" s="154">
        <v>0</v>
      </c>
      <c r="AX298" s="154">
        <v>46880.22</v>
      </c>
      <c r="AY298" s="154" t="s">
        <v>100</v>
      </c>
      <c r="AZ298" s="154" t="s">
        <v>101</v>
      </c>
      <c r="BA298" s="154" t="s">
        <v>1057</v>
      </c>
      <c r="BB298" s="154">
        <v>1125110430</v>
      </c>
      <c r="BC298" s="154" t="s">
        <v>105</v>
      </c>
      <c r="BD298" s="154" t="s">
        <v>103</v>
      </c>
      <c r="BE298" s="155"/>
      <c r="BF298" s="155" t="s">
        <v>270</v>
      </c>
      <c r="BG298" s="155" t="s">
        <v>281</v>
      </c>
      <c r="BH298" s="154" t="s">
        <v>289</v>
      </c>
      <c r="BI298" t="s">
        <v>155</v>
      </c>
      <c r="BJ298" t="s">
        <v>156</v>
      </c>
      <c r="BK298" t="s">
        <v>1058</v>
      </c>
      <c r="BL298">
        <v>198.36</v>
      </c>
      <c r="BM298">
        <v>7151.22</v>
      </c>
      <c r="BN298">
        <v>-6953</v>
      </c>
      <c r="BO298" t="s">
        <v>154</v>
      </c>
      <c r="BP298">
        <v>8977074</v>
      </c>
      <c r="BQ298" t="s">
        <v>270</v>
      </c>
      <c r="BR298" t="s">
        <v>630</v>
      </c>
      <c r="BS298">
        <v>8</v>
      </c>
    </row>
    <row r="299" spans="1:71" s="0" customFormat="1" ht="14.5">
      <c r="A299" s="153" t="s">
        <v>157</v>
      </c>
      <c r="B299" s="154" t="s">
        <v>625</v>
      </c>
      <c r="C299" s="154">
        <v>107</v>
      </c>
      <c r="D299" s="154" t="s">
        <v>97</v>
      </c>
      <c r="E299" s="154" t="s">
        <v>98</v>
      </c>
      <c r="F299" s="155"/>
      <c r="G299" s="155" t="s">
        <v>106</v>
      </c>
      <c r="H299" s="153" t="s">
        <v>48</v>
      </c>
      <c r="I299" s="154" t="s">
        <v>158</v>
      </c>
      <c r="J299" s="154" t="s">
        <v>165</v>
      </c>
      <c r="K299" s="154" t="s">
        <v>166</v>
      </c>
      <c r="L299" s="154" t="s">
        <v>160</v>
      </c>
      <c r="M299" s="156">
        <v>46051</v>
      </c>
      <c r="N299" s="154">
        <v>1791</v>
      </c>
      <c r="O299" s="154">
        <v>8977074</v>
      </c>
      <c r="P299" s="156">
        <v>46027</v>
      </c>
      <c r="Q299" s="154" t="s">
        <v>161</v>
      </c>
      <c r="R299" s="154">
        <v>35605</v>
      </c>
      <c r="S299" s="154" t="s">
        <v>1053</v>
      </c>
      <c r="T299" s="154" t="s">
        <v>1054</v>
      </c>
      <c r="U299" s="154" t="s">
        <v>1055</v>
      </c>
      <c r="V299" s="155" t="s">
        <v>162</v>
      </c>
      <c r="W299" s="155"/>
      <c r="X299" s="154">
        <v>456</v>
      </c>
      <c r="Y299" s="154">
        <v>4</v>
      </c>
      <c r="Z299" s="154">
        <v>1824</v>
      </c>
      <c r="AA299" s="154" t="s">
        <v>99</v>
      </c>
      <c r="AB299" s="154">
        <v>1791</v>
      </c>
      <c r="AC299" s="156">
        <v>46027</v>
      </c>
      <c r="AD299" s="155" t="s">
        <v>164</v>
      </c>
      <c r="AE299" s="154">
        <v>998719</v>
      </c>
      <c r="AF299" s="154" t="s">
        <v>1065</v>
      </c>
      <c r="AG299" s="154"/>
      <c r="AH299" s="154"/>
      <c r="AI299" s="154">
        <v>1824</v>
      </c>
      <c r="AJ299" s="154"/>
      <c r="AK299" s="154">
        <v>18</v>
      </c>
      <c r="AL299" s="154">
        <v>164.16</v>
      </c>
      <c r="AM299" s="154">
        <v>164.16</v>
      </c>
      <c r="AN299" s="154">
        <v>0</v>
      </c>
      <c r="AO299" s="154">
        <v>0</v>
      </c>
      <c r="AP299" s="154">
        <v>0</v>
      </c>
      <c r="AQ299" s="154">
        <v>0</v>
      </c>
      <c r="AR299" s="154">
        <v>0</v>
      </c>
      <c r="AS299" s="153">
        <v>0</v>
      </c>
      <c r="AT299" s="154">
        <v>0</v>
      </c>
      <c r="AU299" s="155"/>
      <c r="AV299" s="155"/>
      <c r="AW299" s="154">
        <v>0</v>
      </c>
      <c r="AX299" s="154">
        <v>46880.22</v>
      </c>
      <c r="AY299" s="154" t="s">
        <v>100</v>
      </c>
      <c r="AZ299" s="154" t="s">
        <v>101</v>
      </c>
      <c r="BA299" s="154" t="s">
        <v>1057</v>
      </c>
      <c r="BB299" s="154">
        <v>1125110430</v>
      </c>
      <c r="BC299" s="154" t="s">
        <v>105</v>
      </c>
      <c r="BD299" s="154" t="s">
        <v>103</v>
      </c>
      <c r="BE299" s="155"/>
      <c r="BF299" s="155" t="s">
        <v>270</v>
      </c>
      <c r="BG299" s="155" t="s">
        <v>281</v>
      </c>
      <c r="BH299" s="154" t="s">
        <v>289</v>
      </c>
      <c r="BI299" t="s">
        <v>155</v>
      </c>
      <c r="BJ299" t="s">
        <v>156</v>
      </c>
      <c r="BK299" t="s">
        <v>1058</v>
      </c>
      <c r="BL299">
        <v>328.32</v>
      </c>
      <c r="BM299">
        <v>7151.22</v>
      </c>
      <c r="BN299">
        <v>-6823</v>
      </c>
      <c r="BO299" t="s">
        <v>154</v>
      </c>
      <c r="BP299">
        <v>8977074</v>
      </c>
      <c r="BQ299" t="s">
        <v>270</v>
      </c>
      <c r="BR299" t="s">
        <v>630</v>
      </c>
      <c r="BS299">
        <v>8</v>
      </c>
    </row>
    <row r="300" spans="1:71" s="0" customFormat="1" ht="14.5">
      <c r="A300" s="153" t="s">
        <v>157</v>
      </c>
      <c r="B300" s="154" t="s">
        <v>625</v>
      </c>
      <c r="C300" s="154">
        <v>107</v>
      </c>
      <c r="D300" s="154" t="s">
        <v>97</v>
      </c>
      <c r="E300" s="154" t="s">
        <v>98</v>
      </c>
      <c r="F300" s="155"/>
      <c r="G300" s="155" t="s">
        <v>106</v>
      </c>
      <c r="H300" s="153" t="s">
        <v>48</v>
      </c>
      <c r="I300" s="154" t="s">
        <v>158</v>
      </c>
      <c r="J300" s="154" t="s">
        <v>165</v>
      </c>
      <c r="K300" s="154" t="s">
        <v>166</v>
      </c>
      <c r="L300" s="154" t="s">
        <v>160</v>
      </c>
      <c r="M300" s="156">
        <v>45988</v>
      </c>
      <c r="N300" s="154" t="s">
        <v>1066</v>
      </c>
      <c r="O300" s="154">
        <v>8855909</v>
      </c>
      <c r="P300" s="156">
        <v>45961</v>
      </c>
      <c r="Q300" s="154" t="s">
        <v>161</v>
      </c>
      <c r="R300" s="154">
        <v>44848</v>
      </c>
      <c r="S300" s="154" t="s">
        <v>1067</v>
      </c>
      <c r="T300" s="154" t="s">
        <v>384</v>
      </c>
      <c r="U300" s="154" t="s">
        <v>1068</v>
      </c>
      <c r="V300" s="155" t="s">
        <v>1069</v>
      </c>
      <c r="W300" s="155"/>
      <c r="X300" s="154">
        <v>211.864</v>
      </c>
      <c r="Y300" s="154">
        <v>270</v>
      </c>
      <c r="Z300" s="154">
        <v>57203.28</v>
      </c>
      <c r="AA300" s="154" t="s">
        <v>99</v>
      </c>
      <c r="AB300" s="154" t="s">
        <v>1066</v>
      </c>
      <c r="AC300" s="156">
        <v>45961</v>
      </c>
      <c r="AD300" s="155" t="s">
        <v>164</v>
      </c>
      <c r="AE300" s="154">
        <v>48142000</v>
      </c>
      <c r="AF300" s="154" t="s">
        <v>1070</v>
      </c>
      <c r="AG300" s="154"/>
      <c r="AH300" s="154"/>
      <c r="AI300" s="154">
        <v>57203.28</v>
      </c>
      <c r="AJ300" s="154"/>
      <c r="AK300" s="154">
        <v>18</v>
      </c>
      <c r="AL300" s="154">
        <v>0</v>
      </c>
      <c r="AM300" s="154">
        <v>0</v>
      </c>
      <c r="AN300" s="154">
        <v>10296.59</v>
      </c>
      <c r="AO300" s="154">
        <v>0</v>
      </c>
      <c r="AP300" s="154">
        <v>0</v>
      </c>
      <c r="AQ300" s="154">
        <v>0</v>
      </c>
      <c r="AR300" s="154">
        <v>0</v>
      </c>
      <c r="AS300" s="153">
        <v>0</v>
      </c>
      <c r="AT300" s="154">
        <v>0</v>
      </c>
      <c r="AU300" s="155"/>
      <c r="AV300" s="155"/>
      <c r="AW300" s="154">
        <v>0</v>
      </c>
      <c r="AX300" s="154">
        <v>66356</v>
      </c>
      <c r="AY300" s="154" t="s">
        <v>100</v>
      </c>
      <c r="AZ300" s="154" t="s">
        <v>101</v>
      </c>
      <c r="BA300" s="154" t="s">
        <v>1071</v>
      </c>
      <c r="BB300" s="154">
        <v>1125108446</v>
      </c>
      <c r="BC300" s="154" t="s">
        <v>102</v>
      </c>
      <c r="BD300" s="154" t="s">
        <v>103</v>
      </c>
      <c r="BE300" s="155"/>
      <c r="BF300" s="155" t="s">
        <v>270</v>
      </c>
      <c r="BG300" s="155" t="s">
        <v>281</v>
      </c>
      <c r="BH300" s="154" t="s">
        <v>289</v>
      </c>
      <c r="BI300" t="s">
        <v>155</v>
      </c>
      <c r="BJ300" t="s">
        <v>156</v>
      </c>
      <c r="BK300" t="s">
        <v>1072</v>
      </c>
      <c r="BL300">
        <v>10296.59</v>
      </c>
      <c r="BM300">
        <v>10122.11</v>
      </c>
      <c r="BN300">
        <v>174</v>
      </c>
      <c r="BO300" t="s">
        <v>154</v>
      </c>
      <c r="BP300">
        <v>8855909</v>
      </c>
      <c r="BQ300" t="s">
        <v>270</v>
      </c>
      <c r="BR300" t="s">
        <v>307</v>
      </c>
      <c r="BS300">
        <v>1</v>
      </c>
    </row>
    <row r="301" spans="1:71" s="0" customFormat="1" ht="14.5">
      <c r="A301" s="153" t="s">
        <v>316</v>
      </c>
      <c r="B301" s="154" t="s">
        <v>1027</v>
      </c>
      <c r="C301" s="154">
        <v>107</v>
      </c>
      <c r="D301" s="154" t="s">
        <v>97</v>
      </c>
      <c r="E301" s="154" t="s">
        <v>98</v>
      </c>
      <c r="F301" s="155"/>
      <c r="G301" s="155" t="s">
        <v>106</v>
      </c>
      <c r="H301" s="153" t="s">
        <v>48</v>
      </c>
      <c r="I301" s="154" t="s">
        <v>317</v>
      </c>
      <c r="J301" s="154" t="s">
        <v>318</v>
      </c>
      <c r="K301" s="154" t="s">
        <v>319</v>
      </c>
      <c r="L301" s="154" t="s">
        <v>438</v>
      </c>
      <c r="M301" s="156">
        <v>45973</v>
      </c>
      <c r="N301" s="154">
        <v>99889790</v>
      </c>
      <c r="O301" s="154">
        <v>99889790</v>
      </c>
      <c r="P301" s="156">
        <v>45973</v>
      </c>
      <c r="Q301" s="154" t="s">
        <v>439</v>
      </c>
      <c r="R301" s="154">
        <v>28324</v>
      </c>
      <c r="S301" s="154" t="s">
        <v>440</v>
      </c>
      <c r="T301" s="154" t="s">
        <v>459</v>
      </c>
      <c r="U301" s="154" t="s">
        <v>460</v>
      </c>
      <c r="V301" s="155"/>
      <c r="W301" s="155"/>
      <c r="X301" s="154">
        <v>0</v>
      </c>
      <c r="Y301" s="154">
        <v>0</v>
      </c>
      <c r="Z301" s="154">
        <v>6568</v>
      </c>
      <c r="AA301" s="154" t="s">
        <v>99</v>
      </c>
      <c r="AB301" s="154" t="s">
        <v>1073</v>
      </c>
      <c r="AC301" s="156">
        <v>45803</v>
      </c>
      <c r="AD301" s="155" t="s">
        <v>442</v>
      </c>
      <c r="AE301" s="154">
        <v>996311</v>
      </c>
      <c r="AF301" s="154" t="s">
        <v>1074</v>
      </c>
      <c r="AG301" s="154"/>
      <c r="AH301" s="154"/>
      <c r="AI301" s="154">
        <v>6568</v>
      </c>
      <c r="AJ301" s="154"/>
      <c r="AK301" s="154">
        <v>5</v>
      </c>
      <c r="AL301" s="154">
        <v>0</v>
      </c>
      <c r="AM301" s="154">
        <v>0</v>
      </c>
      <c r="AN301" s="154">
        <v>328.40</v>
      </c>
      <c r="AO301" s="154">
        <v>0</v>
      </c>
      <c r="AP301" s="154">
        <v>0</v>
      </c>
      <c r="AQ301" s="154">
        <v>0</v>
      </c>
      <c r="AR301" s="154">
        <v>0</v>
      </c>
      <c r="AS301" s="153">
        <v>0</v>
      </c>
      <c r="AT301" s="154">
        <v>0</v>
      </c>
      <c r="AU301" s="155"/>
      <c r="AV301" s="155"/>
      <c r="AW301" s="154">
        <v>0</v>
      </c>
      <c r="AX301" s="154">
        <v>6896.40</v>
      </c>
      <c r="AY301" s="154" t="s">
        <v>100</v>
      </c>
      <c r="AZ301" s="154" t="s">
        <v>101</v>
      </c>
      <c r="BA301" s="154" t="s">
        <v>1075</v>
      </c>
      <c r="BB301" s="154"/>
      <c r="BC301" s="154"/>
      <c r="BD301" s="154"/>
      <c r="BE301" s="155"/>
      <c r="BF301" s="155" t="s">
        <v>270</v>
      </c>
      <c r="BG301" s="155" t="s">
        <v>281</v>
      </c>
      <c r="BH301" s="154" t="s">
        <v>290</v>
      </c>
      <c r="BI301" t="s">
        <v>155</v>
      </c>
      <c r="BJ301" t="s">
        <v>156</v>
      </c>
      <c r="BK301" t="s">
        <v>1076</v>
      </c>
      <c r="BL301">
        <v>328.40</v>
      </c>
      <c r="BM301">
        <v>289</v>
      </c>
      <c r="BN301">
        <v>39</v>
      </c>
      <c r="BO301" t="s">
        <v>154</v>
      </c>
      <c r="BP301">
        <v>99889790</v>
      </c>
      <c r="BQ301" t="s">
        <v>270</v>
      </c>
      <c r="BR301" t="s">
        <v>307</v>
      </c>
      <c r="BS301">
        <v>1</v>
      </c>
    </row>
    <row r="302" spans="1:71" s="0" customFormat="1" ht="14.5">
      <c r="A302" s="153" t="s">
        <v>316</v>
      </c>
      <c r="B302" s="154" t="s">
        <v>1027</v>
      </c>
      <c r="C302" s="154">
        <v>107</v>
      </c>
      <c r="D302" s="154" t="s">
        <v>97</v>
      </c>
      <c r="E302" s="154" t="s">
        <v>98</v>
      </c>
      <c r="F302" s="155"/>
      <c r="G302" s="155" t="s">
        <v>106</v>
      </c>
      <c r="H302" s="153" t="s">
        <v>48</v>
      </c>
      <c r="I302" s="154" t="s">
        <v>317</v>
      </c>
      <c r="J302" s="154" t="s">
        <v>318</v>
      </c>
      <c r="K302" s="154" t="s">
        <v>319</v>
      </c>
      <c r="L302" s="154" t="s">
        <v>438</v>
      </c>
      <c r="M302" s="156">
        <v>45976</v>
      </c>
      <c r="N302" s="154">
        <v>100070387</v>
      </c>
      <c r="O302" s="154">
        <v>100070387</v>
      </c>
      <c r="P302" s="156">
        <v>45976</v>
      </c>
      <c r="Q302" s="154" t="s">
        <v>439</v>
      </c>
      <c r="R302" s="154">
        <v>28324</v>
      </c>
      <c r="S302" s="154" t="s">
        <v>440</v>
      </c>
      <c r="T302" s="154" t="s">
        <v>153</v>
      </c>
      <c r="U302" s="154" t="s">
        <v>441</v>
      </c>
      <c r="V302" s="155"/>
      <c r="W302" s="155"/>
      <c r="X302" s="154">
        <v>0</v>
      </c>
      <c r="Y302" s="154">
        <v>0</v>
      </c>
      <c r="Z302" s="154">
        <v>17340</v>
      </c>
      <c r="AA302" s="154" t="s">
        <v>99</v>
      </c>
      <c r="AB302" s="154" t="s">
        <v>1077</v>
      </c>
      <c r="AC302" s="156">
        <v>45772</v>
      </c>
      <c r="AD302" s="155" t="s">
        <v>442</v>
      </c>
      <c r="AE302" s="154">
        <v>996311</v>
      </c>
      <c r="AF302" s="154" t="s">
        <v>1078</v>
      </c>
      <c r="AG302" s="154"/>
      <c r="AH302" s="154"/>
      <c r="AI302" s="154">
        <v>17340</v>
      </c>
      <c r="AJ302" s="154"/>
      <c r="AK302" s="154">
        <v>5</v>
      </c>
      <c r="AL302" s="154">
        <v>433.5</v>
      </c>
      <c r="AM302" s="154">
        <v>433.5</v>
      </c>
      <c r="AN302" s="154">
        <v>0</v>
      </c>
      <c r="AO302" s="154">
        <v>0</v>
      </c>
      <c r="AP302" s="154">
        <v>0</v>
      </c>
      <c r="AQ302" s="154">
        <v>0</v>
      </c>
      <c r="AR302" s="154">
        <v>0</v>
      </c>
      <c r="AS302" s="153">
        <v>0</v>
      </c>
      <c r="AT302" s="154">
        <v>0</v>
      </c>
      <c r="AU302" s="155"/>
      <c r="AV302" s="155"/>
      <c r="AW302" s="154">
        <v>0</v>
      </c>
      <c r="AX302" s="154">
        <v>35547</v>
      </c>
      <c r="AY302" s="154" t="s">
        <v>100</v>
      </c>
      <c r="AZ302" s="154" t="s">
        <v>101</v>
      </c>
      <c r="BA302" s="154" t="s">
        <v>1079</v>
      </c>
      <c r="BB302" s="154"/>
      <c r="BC302" s="154"/>
      <c r="BD302" s="154"/>
      <c r="BE302" s="155"/>
      <c r="BF302" s="155" t="s">
        <v>270</v>
      </c>
      <c r="BG302" s="155" t="s">
        <v>281</v>
      </c>
      <c r="BH302" s="154" t="s">
        <v>290</v>
      </c>
      <c r="BI302" t="s">
        <v>155</v>
      </c>
      <c r="BJ302" t="s">
        <v>156</v>
      </c>
      <c r="BK302" t="s">
        <v>1080</v>
      </c>
      <c r="BL302">
        <v>867</v>
      </c>
      <c r="BM302">
        <v>867</v>
      </c>
      <c r="BN302">
        <v>0</v>
      </c>
      <c r="BO302" t="s">
        <v>154</v>
      </c>
      <c r="BP302">
        <v>100070387</v>
      </c>
      <c r="BQ302" t="s">
        <v>270</v>
      </c>
      <c r="BR302" t="s">
        <v>307</v>
      </c>
      <c r="BS302">
        <v>1</v>
      </c>
    </row>
    <row r="303" spans="1:71" s="0" customFormat="1" ht="14.5">
      <c r="A303" s="153" t="s">
        <v>157</v>
      </c>
      <c r="B303" s="154" t="s">
        <v>625</v>
      </c>
      <c r="C303" s="154">
        <v>107</v>
      </c>
      <c r="D303" s="154" t="s">
        <v>97</v>
      </c>
      <c r="E303" s="154" t="s">
        <v>98</v>
      </c>
      <c r="F303" s="155"/>
      <c r="G303" s="155" t="s">
        <v>106</v>
      </c>
      <c r="H303" s="153" t="s">
        <v>48</v>
      </c>
      <c r="I303" s="154" t="s">
        <v>158</v>
      </c>
      <c r="J303" s="154" t="s">
        <v>165</v>
      </c>
      <c r="K303" s="154" t="s">
        <v>166</v>
      </c>
      <c r="L303" s="154" t="s">
        <v>160</v>
      </c>
      <c r="M303" s="156">
        <v>45986</v>
      </c>
      <c r="N303" s="154">
        <v>1131</v>
      </c>
      <c r="O303" s="154">
        <v>8854263</v>
      </c>
      <c r="P303" s="156">
        <v>45973</v>
      </c>
      <c r="Q303" s="154" t="s">
        <v>161</v>
      </c>
      <c r="R303" s="154">
        <v>38992</v>
      </c>
      <c r="S303" s="154" t="s">
        <v>1081</v>
      </c>
      <c r="T303" s="154" t="s">
        <v>169</v>
      </c>
      <c r="U303" s="154" t="s">
        <v>1082</v>
      </c>
      <c r="V303" s="155" t="s">
        <v>394</v>
      </c>
      <c r="W303" s="155"/>
      <c r="X303" s="154">
        <v>13900</v>
      </c>
      <c r="Y303" s="154">
        <v>1</v>
      </c>
      <c r="Z303" s="154">
        <v>13900</v>
      </c>
      <c r="AA303" s="154" t="s">
        <v>99</v>
      </c>
      <c r="AB303" s="154">
        <v>1131</v>
      </c>
      <c r="AC303" s="156">
        <v>45973</v>
      </c>
      <c r="AD303" s="155" t="s">
        <v>164</v>
      </c>
      <c r="AE303" s="154">
        <v>3808</v>
      </c>
      <c r="AF303" s="154" t="s">
        <v>1083</v>
      </c>
      <c r="AG303" s="154"/>
      <c r="AH303" s="154"/>
      <c r="AI303" s="154">
        <v>13900</v>
      </c>
      <c r="AJ303" s="154"/>
      <c r="AK303" s="154">
        <v>18</v>
      </c>
      <c r="AL303" s="154">
        <v>1251</v>
      </c>
      <c r="AM303" s="154">
        <v>1251</v>
      </c>
      <c r="AN303" s="154">
        <v>0</v>
      </c>
      <c r="AO303" s="154">
        <v>0</v>
      </c>
      <c r="AP303" s="154">
        <v>0</v>
      </c>
      <c r="AQ303" s="154">
        <v>0</v>
      </c>
      <c r="AR303" s="154">
        <v>0</v>
      </c>
      <c r="AS303" s="153">
        <v>0</v>
      </c>
      <c r="AT303" s="154">
        <v>0</v>
      </c>
      <c r="AU303" s="155"/>
      <c r="AV303" s="155"/>
      <c r="AW303" s="154">
        <v>0</v>
      </c>
      <c r="AX303" s="154">
        <v>22852</v>
      </c>
      <c r="AY303" s="154" t="s">
        <v>101</v>
      </c>
      <c r="AZ303" s="154" t="s">
        <v>101</v>
      </c>
      <c r="BA303" s="154" t="s">
        <v>298</v>
      </c>
      <c r="BB303" s="154">
        <v>1125108407</v>
      </c>
      <c r="BC303" s="154" t="s">
        <v>172</v>
      </c>
      <c r="BD303" s="154" t="s">
        <v>104</v>
      </c>
      <c r="BE303" s="155"/>
      <c r="BF303" s="155" t="s">
        <v>271</v>
      </c>
      <c r="BG303" s="155" t="s">
        <v>281</v>
      </c>
      <c r="BH303" s="154" t="s">
        <v>289</v>
      </c>
      <c r="BI303" t="s">
        <v>155</v>
      </c>
      <c r="BJ303" t="s">
        <v>156</v>
      </c>
      <c r="BK303" t="s">
        <v>1084</v>
      </c>
      <c r="BL303">
        <v>2502</v>
      </c>
      <c r="BM303">
        <v>2502</v>
      </c>
      <c r="BN303">
        <v>0</v>
      </c>
      <c r="BO303" t="s">
        <v>154</v>
      </c>
      <c r="BP303">
        <v>8854263</v>
      </c>
      <c r="BQ303" t="s">
        <v>271</v>
      </c>
      <c r="BR303" t="s">
        <v>630</v>
      </c>
      <c r="BS303">
        <v>1</v>
      </c>
    </row>
    <row r="304" spans="1:71" s="0" customFormat="1" ht="14.5">
      <c r="A304" s="153" t="s">
        <v>316</v>
      </c>
      <c r="B304" s="154" t="s">
        <v>1027</v>
      </c>
      <c r="C304" s="154">
        <v>107</v>
      </c>
      <c r="D304" s="154" t="s">
        <v>97</v>
      </c>
      <c r="E304" s="154" t="s">
        <v>98</v>
      </c>
      <c r="F304" s="155"/>
      <c r="G304" s="155" t="s">
        <v>106</v>
      </c>
      <c r="H304" s="153" t="s">
        <v>48</v>
      </c>
      <c r="I304" s="154" t="s">
        <v>317</v>
      </c>
      <c r="J304" s="154" t="s">
        <v>318</v>
      </c>
      <c r="K304" s="154" t="s">
        <v>319</v>
      </c>
      <c r="L304" s="154" t="s">
        <v>438</v>
      </c>
      <c r="M304" s="156">
        <v>45976</v>
      </c>
      <c r="N304" s="154">
        <v>100070266</v>
      </c>
      <c r="O304" s="154">
        <v>100070266</v>
      </c>
      <c r="P304" s="156">
        <v>45976</v>
      </c>
      <c r="Q304" s="154" t="s">
        <v>439</v>
      </c>
      <c r="R304" s="154">
        <v>28324</v>
      </c>
      <c r="S304" s="154" t="s">
        <v>440</v>
      </c>
      <c r="T304" s="154" t="s">
        <v>1085</v>
      </c>
      <c r="U304" s="154" t="s">
        <v>1086</v>
      </c>
      <c r="V304" s="155"/>
      <c r="W304" s="155"/>
      <c r="X304" s="154">
        <v>0</v>
      </c>
      <c r="Y304" s="154">
        <v>0</v>
      </c>
      <c r="Z304" s="154">
        <v>8000</v>
      </c>
      <c r="AA304" s="154" t="s">
        <v>99</v>
      </c>
      <c r="AB304" s="154" t="s">
        <v>1087</v>
      </c>
      <c r="AC304" s="156">
        <v>45808</v>
      </c>
      <c r="AD304" s="155" t="s">
        <v>442</v>
      </c>
      <c r="AE304" s="154">
        <v>996311</v>
      </c>
      <c r="AF304" s="154" t="s">
        <v>1088</v>
      </c>
      <c r="AG304" s="154"/>
      <c r="AH304" s="154"/>
      <c r="AI304" s="154">
        <v>8000</v>
      </c>
      <c r="AJ304" s="154"/>
      <c r="AK304" s="154">
        <v>12</v>
      </c>
      <c r="AL304" s="154">
        <v>0</v>
      </c>
      <c r="AM304" s="154">
        <v>0</v>
      </c>
      <c r="AN304" s="154">
        <v>960</v>
      </c>
      <c r="AO304" s="154">
        <v>0</v>
      </c>
      <c r="AP304" s="154">
        <v>0</v>
      </c>
      <c r="AQ304" s="154">
        <v>0</v>
      </c>
      <c r="AR304" s="154">
        <v>0</v>
      </c>
      <c r="AS304" s="153">
        <v>0</v>
      </c>
      <c r="AT304" s="154">
        <v>0</v>
      </c>
      <c r="AU304" s="155"/>
      <c r="AV304" s="155"/>
      <c r="AW304" s="154">
        <v>0</v>
      </c>
      <c r="AX304" s="154">
        <v>8960</v>
      </c>
      <c r="AY304" s="154" t="s">
        <v>100</v>
      </c>
      <c r="AZ304" s="154" t="s">
        <v>101</v>
      </c>
      <c r="BA304" s="154" t="s">
        <v>1089</v>
      </c>
      <c r="BB304" s="154"/>
      <c r="BC304" s="154"/>
      <c r="BD304" s="154"/>
      <c r="BE304" s="155"/>
      <c r="BF304" s="155" t="s">
        <v>270</v>
      </c>
      <c r="BG304" s="155" t="s">
        <v>281</v>
      </c>
      <c r="BH304" s="154" t="s">
        <v>290</v>
      </c>
      <c r="BI304" t="s">
        <v>155</v>
      </c>
      <c r="BJ304" t="s">
        <v>156</v>
      </c>
      <c r="BK304" t="s">
        <v>1090</v>
      </c>
      <c r="BL304">
        <v>960</v>
      </c>
      <c r="BM304">
        <v>960</v>
      </c>
      <c r="BN304">
        <v>0</v>
      </c>
      <c r="BO304" t="s">
        <v>154</v>
      </c>
      <c r="BP304">
        <v>100070266</v>
      </c>
      <c r="BQ304" t="s">
        <v>270</v>
      </c>
      <c r="BR304" t="s">
        <v>307</v>
      </c>
      <c r="BS304">
        <v>1</v>
      </c>
    </row>
    <row r="305" spans="1:71" s="0" customFormat="1" ht="14.5">
      <c r="A305" s="153" t="s">
        <v>316</v>
      </c>
      <c r="B305" s="154" t="s">
        <v>1027</v>
      </c>
      <c r="C305" s="154">
        <v>107</v>
      </c>
      <c r="D305" s="154" t="s">
        <v>97</v>
      </c>
      <c r="E305" s="154" t="s">
        <v>98</v>
      </c>
      <c r="F305" s="155"/>
      <c r="G305" s="155" t="s">
        <v>106</v>
      </c>
      <c r="H305" s="153" t="s">
        <v>48</v>
      </c>
      <c r="I305" s="154" t="s">
        <v>317</v>
      </c>
      <c r="J305" s="154" t="s">
        <v>318</v>
      </c>
      <c r="K305" s="154" t="s">
        <v>319</v>
      </c>
      <c r="L305" s="154" t="s">
        <v>438</v>
      </c>
      <c r="M305" s="156">
        <v>45944</v>
      </c>
      <c r="N305" s="154">
        <v>98288088</v>
      </c>
      <c r="O305" s="154">
        <v>98288088</v>
      </c>
      <c r="P305" s="156">
        <v>45944</v>
      </c>
      <c r="Q305" s="154" t="s">
        <v>439</v>
      </c>
      <c r="R305" s="154">
        <v>28324</v>
      </c>
      <c r="S305" s="154" t="s">
        <v>440</v>
      </c>
      <c r="T305" s="154" t="s">
        <v>153</v>
      </c>
      <c r="U305" s="154" t="s">
        <v>441</v>
      </c>
      <c r="V305" s="155"/>
      <c r="W305" s="155"/>
      <c r="X305" s="154">
        <v>0</v>
      </c>
      <c r="Y305" s="154">
        <v>0</v>
      </c>
      <c r="Z305" s="154">
        <v>476</v>
      </c>
      <c r="AA305" s="154" t="s">
        <v>99</v>
      </c>
      <c r="AB305" s="154" t="s">
        <v>1091</v>
      </c>
      <c r="AC305" s="156">
        <v>45811</v>
      </c>
      <c r="AD305" s="155" t="s">
        <v>442</v>
      </c>
      <c r="AE305" s="154">
        <v>996311</v>
      </c>
      <c r="AF305" s="154" t="s">
        <v>1092</v>
      </c>
      <c r="AG305" s="154"/>
      <c r="AH305" s="154"/>
      <c r="AI305" s="154">
        <v>476</v>
      </c>
      <c r="AJ305" s="154"/>
      <c r="AK305" s="154">
        <v>5</v>
      </c>
      <c r="AL305" s="154">
        <v>11.90</v>
      </c>
      <c r="AM305" s="154">
        <v>11.90</v>
      </c>
      <c r="AN305" s="154">
        <v>0</v>
      </c>
      <c r="AO305" s="154">
        <v>0</v>
      </c>
      <c r="AP305" s="154">
        <v>0</v>
      </c>
      <c r="AQ305" s="154">
        <v>0</v>
      </c>
      <c r="AR305" s="154">
        <v>0</v>
      </c>
      <c r="AS305" s="153">
        <v>0</v>
      </c>
      <c r="AT305" s="154">
        <v>0</v>
      </c>
      <c r="AU305" s="155"/>
      <c r="AV305" s="155"/>
      <c r="AW305" s="154">
        <v>0</v>
      </c>
      <c r="AX305" s="154">
        <v>975.80</v>
      </c>
      <c r="AY305" s="154" t="s">
        <v>100</v>
      </c>
      <c r="AZ305" s="154" t="s">
        <v>101</v>
      </c>
      <c r="BA305" s="154" t="s">
        <v>458</v>
      </c>
      <c r="BB305" s="154"/>
      <c r="BC305" s="154"/>
      <c r="BD305" s="154"/>
      <c r="BE305" s="155"/>
      <c r="BF305" s="155" t="s">
        <v>270</v>
      </c>
      <c r="BG305" s="155" t="s">
        <v>281</v>
      </c>
      <c r="BH305" s="154" t="s">
        <v>290</v>
      </c>
      <c r="BI305" t="s">
        <v>155</v>
      </c>
      <c r="BJ305" t="s">
        <v>156</v>
      </c>
      <c r="BK305" t="s">
        <v>1093</v>
      </c>
      <c r="BL305">
        <v>23.80</v>
      </c>
      <c r="BM305">
        <v>24</v>
      </c>
      <c r="BN305">
        <v>0</v>
      </c>
      <c r="BO305" t="s">
        <v>154</v>
      </c>
      <c r="BP305">
        <v>98288088</v>
      </c>
      <c r="BQ305" t="s">
        <v>270</v>
      </c>
      <c r="BR305" t="s">
        <v>307</v>
      </c>
      <c r="BS305">
        <v>1</v>
      </c>
    </row>
    <row r="306" spans="1:71" s="0" customFormat="1" ht="14.5">
      <c r="A306" s="153" t="s">
        <v>316</v>
      </c>
      <c r="B306" s="154" t="s">
        <v>1027</v>
      </c>
      <c r="C306" s="154">
        <v>107</v>
      </c>
      <c r="D306" s="154" t="s">
        <v>97</v>
      </c>
      <c r="E306" s="154" t="s">
        <v>98</v>
      </c>
      <c r="F306" s="155"/>
      <c r="G306" s="155" t="s">
        <v>106</v>
      </c>
      <c r="H306" s="153" t="s">
        <v>48</v>
      </c>
      <c r="I306" s="154" t="s">
        <v>317</v>
      </c>
      <c r="J306" s="154" t="s">
        <v>318</v>
      </c>
      <c r="K306" s="154" t="s">
        <v>319</v>
      </c>
      <c r="L306" s="154" t="s">
        <v>438</v>
      </c>
      <c r="M306" s="156">
        <v>45944</v>
      </c>
      <c r="N306" s="154">
        <v>98288194</v>
      </c>
      <c r="O306" s="154">
        <v>98288194</v>
      </c>
      <c r="P306" s="156">
        <v>45944</v>
      </c>
      <c r="Q306" s="154" t="s">
        <v>439</v>
      </c>
      <c r="R306" s="154">
        <v>28324</v>
      </c>
      <c r="S306" s="154" t="s">
        <v>440</v>
      </c>
      <c r="T306" s="154" t="s">
        <v>153</v>
      </c>
      <c r="U306" s="154" t="s">
        <v>441</v>
      </c>
      <c r="V306" s="155"/>
      <c r="W306" s="155"/>
      <c r="X306" s="154">
        <v>0</v>
      </c>
      <c r="Y306" s="154">
        <v>0</v>
      </c>
      <c r="Z306" s="154">
        <v>8255</v>
      </c>
      <c r="AA306" s="154" t="s">
        <v>99</v>
      </c>
      <c r="AB306" s="154" t="s">
        <v>1094</v>
      </c>
      <c r="AC306" s="156">
        <v>45754</v>
      </c>
      <c r="AD306" s="155" t="s">
        <v>442</v>
      </c>
      <c r="AE306" s="154">
        <v>996311</v>
      </c>
      <c r="AF306" s="154" t="s">
        <v>1095</v>
      </c>
      <c r="AG306" s="154"/>
      <c r="AH306" s="154"/>
      <c r="AI306" s="154">
        <v>8255</v>
      </c>
      <c r="AJ306" s="154"/>
      <c r="AK306" s="154">
        <v>5</v>
      </c>
      <c r="AL306" s="154">
        <v>206.38</v>
      </c>
      <c r="AM306" s="154">
        <v>206.38</v>
      </c>
      <c r="AN306" s="154">
        <v>0</v>
      </c>
      <c r="AO306" s="154">
        <v>0</v>
      </c>
      <c r="AP306" s="154">
        <v>0</v>
      </c>
      <c r="AQ306" s="154">
        <v>0</v>
      </c>
      <c r="AR306" s="154">
        <v>0</v>
      </c>
      <c r="AS306" s="153">
        <v>0</v>
      </c>
      <c r="AT306" s="154">
        <v>0</v>
      </c>
      <c r="AU306" s="155"/>
      <c r="AV306" s="155"/>
      <c r="AW306" s="154">
        <v>0</v>
      </c>
      <c r="AX306" s="154">
        <v>16922.759999999998</v>
      </c>
      <c r="AY306" s="154" t="s">
        <v>100</v>
      </c>
      <c r="AZ306" s="154" t="s">
        <v>101</v>
      </c>
      <c r="BA306" s="154" t="s">
        <v>1096</v>
      </c>
      <c r="BB306" s="154"/>
      <c r="BC306" s="154"/>
      <c r="BD306" s="154"/>
      <c r="BE306" s="155"/>
      <c r="BF306" s="155" t="s">
        <v>270</v>
      </c>
      <c r="BG306" s="155" t="s">
        <v>281</v>
      </c>
      <c r="BH306" s="154" t="s">
        <v>290</v>
      </c>
      <c r="BI306" t="s">
        <v>155</v>
      </c>
      <c r="BJ306" t="s">
        <v>156</v>
      </c>
      <c r="BK306" t="s">
        <v>1097</v>
      </c>
      <c r="BL306">
        <v>412.76</v>
      </c>
      <c r="BM306">
        <v>375</v>
      </c>
      <c r="BN306">
        <v>38</v>
      </c>
      <c r="BO306" t="s">
        <v>154</v>
      </c>
      <c r="BP306">
        <v>98288194</v>
      </c>
      <c r="BQ306" t="s">
        <v>270</v>
      </c>
      <c r="BR306" t="s">
        <v>307</v>
      </c>
      <c r="BS306">
        <v>1</v>
      </c>
    </row>
    <row r="307" spans="1:71" s="0" customFormat="1" ht="14.5">
      <c r="A307" s="153" t="s">
        <v>316</v>
      </c>
      <c r="B307" s="154" t="s">
        <v>1027</v>
      </c>
      <c r="C307" s="154">
        <v>107</v>
      </c>
      <c r="D307" s="154" t="s">
        <v>97</v>
      </c>
      <c r="E307" s="154" t="s">
        <v>98</v>
      </c>
      <c r="F307" s="155"/>
      <c r="G307" s="155" t="s">
        <v>106</v>
      </c>
      <c r="H307" s="153" t="s">
        <v>48</v>
      </c>
      <c r="I307" s="154" t="s">
        <v>317</v>
      </c>
      <c r="J307" s="154" t="s">
        <v>318</v>
      </c>
      <c r="K307" s="154" t="s">
        <v>319</v>
      </c>
      <c r="L307" s="154" t="s">
        <v>438</v>
      </c>
      <c r="M307" s="156">
        <v>45944</v>
      </c>
      <c r="N307" s="154">
        <v>98288196</v>
      </c>
      <c r="O307" s="154">
        <v>98288196</v>
      </c>
      <c r="P307" s="156">
        <v>45944</v>
      </c>
      <c r="Q307" s="154" t="s">
        <v>439</v>
      </c>
      <c r="R307" s="154">
        <v>28324</v>
      </c>
      <c r="S307" s="154" t="s">
        <v>440</v>
      </c>
      <c r="T307" s="154" t="s">
        <v>1098</v>
      </c>
      <c r="U307" s="154" t="s">
        <v>1099</v>
      </c>
      <c r="V307" s="155"/>
      <c r="W307" s="155"/>
      <c r="X307" s="154">
        <v>0</v>
      </c>
      <c r="Y307" s="154">
        <v>0</v>
      </c>
      <c r="Z307" s="154">
        <v>6693</v>
      </c>
      <c r="AA307" s="154" t="s">
        <v>99</v>
      </c>
      <c r="AB307" s="154" t="s">
        <v>1100</v>
      </c>
      <c r="AC307" s="156">
        <v>45758</v>
      </c>
      <c r="AD307" s="155" t="s">
        <v>442</v>
      </c>
      <c r="AE307" s="154">
        <v>996311</v>
      </c>
      <c r="AF307" s="154" t="s">
        <v>1101</v>
      </c>
      <c r="AG307" s="154"/>
      <c r="AH307" s="154"/>
      <c r="AI307" s="154">
        <v>6693</v>
      </c>
      <c r="AJ307" s="154"/>
      <c r="AK307" s="154">
        <v>5</v>
      </c>
      <c r="AL307" s="154">
        <v>0</v>
      </c>
      <c r="AM307" s="154">
        <v>0</v>
      </c>
      <c r="AN307" s="154">
        <v>334.65</v>
      </c>
      <c r="AO307" s="154">
        <v>0</v>
      </c>
      <c r="AP307" s="154">
        <v>0</v>
      </c>
      <c r="AQ307" s="154">
        <v>0</v>
      </c>
      <c r="AR307" s="154">
        <v>0</v>
      </c>
      <c r="AS307" s="153">
        <v>0</v>
      </c>
      <c r="AT307" s="154">
        <v>0</v>
      </c>
      <c r="AU307" s="155"/>
      <c r="AV307" s="155"/>
      <c r="AW307" s="154">
        <v>0</v>
      </c>
      <c r="AX307" s="154">
        <v>7027.65</v>
      </c>
      <c r="AY307" s="154" t="s">
        <v>100</v>
      </c>
      <c r="AZ307" s="154" t="s">
        <v>101</v>
      </c>
      <c r="BA307" s="154" t="s">
        <v>1102</v>
      </c>
      <c r="BB307" s="154"/>
      <c r="BC307" s="154"/>
      <c r="BD307" s="154"/>
      <c r="BE307" s="155"/>
      <c r="BF307" s="155" t="s">
        <v>270</v>
      </c>
      <c r="BG307" s="155" t="s">
        <v>281</v>
      </c>
      <c r="BH307" s="154" t="s">
        <v>290</v>
      </c>
      <c r="BI307" t="s">
        <v>155</v>
      </c>
      <c r="BJ307" t="s">
        <v>156</v>
      </c>
      <c r="BK307" t="s">
        <v>1103</v>
      </c>
      <c r="BL307">
        <v>334.65</v>
      </c>
      <c r="BM307">
        <v>335</v>
      </c>
      <c r="BN307">
        <v>0</v>
      </c>
      <c r="BO307" t="s">
        <v>154</v>
      </c>
      <c r="BP307">
        <v>98288196</v>
      </c>
      <c r="BQ307" t="s">
        <v>270</v>
      </c>
      <c r="BR307" t="s">
        <v>307</v>
      </c>
      <c r="BS307">
        <v>1</v>
      </c>
    </row>
    <row r="308" spans="1:71" s="0" customFormat="1" ht="14.5">
      <c r="A308" s="159" t="s">
        <v>157</v>
      </c>
      <c r="B308" s="159" t="s">
        <v>625</v>
      </c>
      <c r="C308" s="160">
        <v>107</v>
      </c>
      <c r="D308" s="159" t="s">
        <v>97</v>
      </c>
      <c r="E308" s="160" t="s">
        <v>98</v>
      </c>
      <c r="F308" s="161"/>
      <c r="G308" s="161"/>
      <c r="H308" s="160" t="s">
        <v>48</v>
      </c>
      <c r="I308" s="160" t="s">
        <v>158</v>
      </c>
      <c r="J308" s="160" t="s">
        <v>159</v>
      </c>
      <c r="K308" s="160" t="s">
        <v>163</v>
      </c>
      <c r="L308" s="160" t="s">
        <v>160</v>
      </c>
      <c r="M308" s="162">
        <v>46112</v>
      </c>
      <c r="N308" s="160" t="s">
        <v>1104</v>
      </c>
      <c r="O308" s="160">
        <v>9151251</v>
      </c>
      <c r="P308" s="162">
        <v>46112</v>
      </c>
      <c r="Q308" s="160" t="s">
        <v>161</v>
      </c>
      <c r="R308" s="159">
        <v>2045</v>
      </c>
      <c r="S308" s="160" t="s">
        <v>308</v>
      </c>
      <c r="T308" s="160" t="s">
        <v>169</v>
      </c>
      <c r="U308" s="160" t="s">
        <v>309</v>
      </c>
      <c r="V308" s="159" t="s">
        <v>162</v>
      </c>
      <c r="W308" s="161"/>
      <c r="X308" s="160">
        <v>1</v>
      </c>
      <c r="Y308" s="160">
        <v>830.5</v>
      </c>
      <c r="Z308" s="159">
        <v>830.5</v>
      </c>
      <c r="AA308" s="159" t="s">
        <v>99</v>
      </c>
      <c r="AB308" s="160" t="s">
        <v>1104</v>
      </c>
      <c r="AC308" s="162">
        <v>46112</v>
      </c>
      <c r="AD308" s="159" t="s">
        <v>171</v>
      </c>
      <c r="AE308" s="160">
        <v>996812</v>
      </c>
      <c r="AF308" s="160" t="s">
        <v>1105</v>
      </c>
      <c r="AG308" s="161"/>
      <c r="AH308" s="161"/>
      <c r="AI308" s="160">
        <v>830.5</v>
      </c>
      <c r="AJ308" s="160" t="s">
        <v>368</v>
      </c>
      <c r="AK308" s="160">
        <v>18</v>
      </c>
      <c r="AL308" s="159">
        <v>74.75</v>
      </c>
      <c r="AM308" s="160">
        <v>74.75</v>
      </c>
      <c r="AN308" s="160">
        <v>0</v>
      </c>
      <c r="AO308" s="160">
        <v>0</v>
      </c>
      <c r="AP308" s="160">
        <v>0</v>
      </c>
      <c r="AQ308" s="159">
        <v>0</v>
      </c>
      <c r="AR308" s="160">
        <v>0</v>
      </c>
      <c r="AS308" s="160">
        <v>0</v>
      </c>
      <c r="AT308" s="159">
        <v>0</v>
      </c>
      <c r="AU308" s="161"/>
      <c r="AV308" s="161"/>
      <c r="AW308" s="160">
        <v>0</v>
      </c>
      <c r="AX308" s="160">
        <v>980</v>
      </c>
      <c r="AY308" s="160" t="s">
        <v>100</v>
      </c>
      <c r="AZ308" s="160" t="s">
        <v>101</v>
      </c>
      <c r="BA308" s="160" t="s">
        <v>388</v>
      </c>
      <c r="BB308" s="160">
        <v>1125113847</v>
      </c>
      <c r="BC308" s="160" t="s">
        <v>105</v>
      </c>
      <c r="BD308" s="160" t="s">
        <v>103</v>
      </c>
      <c r="BE308" s="161"/>
      <c r="BF308" s="161" t="s">
        <v>270</v>
      </c>
      <c r="BG308" s="161" t="s">
        <v>281</v>
      </c>
      <c r="BH308" s="160" t="s">
        <v>290</v>
      </c>
      <c r="BI308" t="s">
        <v>155</v>
      </c>
      <c r="BJ308" t="s">
        <v>156</v>
      </c>
      <c r="BK308" t="s">
        <v>1106</v>
      </c>
      <c r="BL308">
        <v>149.5</v>
      </c>
      <c r="BM308">
        <v>149.5</v>
      </c>
      <c r="BN308">
        <v>0</v>
      </c>
      <c r="BO308" t="s">
        <v>154</v>
      </c>
      <c r="BP308">
        <v>9151251</v>
      </c>
      <c r="BQ308" t="s">
        <v>270</v>
      </c>
      <c r="BR308" t="s">
        <v>307</v>
      </c>
      <c r="BS308">
        <v>1</v>
      </c>
    </row>
    <row r="309" spans="1:71" s="0" customFormat="1" ht="14.5">
      <c r="A309" s="159" t="s">
        <v>157</v>
      </c>
      <c r="B309" s="159" t="s">
        <v>625</v>
      </c>
      <c r="C309" s="160">
        <v>107</v>
      </c>
      <c r="D309" s="159" t="s">
        <v>97</v>
      </c>
      <c r="E309" s="160" t="s">
        <v>98</v>
      </c>
      <c r="F309" s="160" t="s">
        <v>1107</v>
      </c>
      <c r="G309" s="161"/>
      <c r="H309" s="160" t="s">
        <v>48</v>
      </c>
      <c r="I309" s="160" t="s">
        <v>158</v>
      </c>
      <c r="J309" s="160" t="s">
        <v>159</v>
      </c>
      <c r="K309" s="160" t="s">
        <v>166</v>
      </c>
      <c r="L309" s="159" t="s">
        <v>451</v>
      </c>
      <c r="M309" s="162">
        <v>46112</v>
      </c>
      <c r="N309" s="160" t="s">
        <v>1108</v>
      </c>
      <c r="O309" s="160">
        <v>9167810</v>
      </c>
      <c r="P309" s="162">
        <v>45813</v>
      </c>
      <c r="Q309" s="160" t="s">
        <v>161</v>
      </c>
      <c r="R309" s="160">
        <v>1581</v>
      </c>
      <c r="S309" s="160" t="s">
        <v>428</v>
      </c>
      <c r="T309" s="159" t="s">
        <v>1109</v>
      </c>
      <c r="U309" s="160" t="s">
        <v>107</v>
      </c>
      <c r="V309" s="161"/>
      <c r="W309" s="161"/>
      <c r="X309" s="160">
        <v>0</v>
      </c>
      <c r="Y309" s="160">
        <v>0</v>
      </c>
      <c r="Z309" s="160">
        <v>0</v>
      </c>
      <c r="AA309" s="160" t="s">
        <v>99</v>
      </c>
      <c r="AB309" s="160" t="s">
        <v>1110</v>
      </c>
      <c r="AC309" s="162">
        <v>45813</v>
      </c>
      <c r="AD309" s="161"/>
      <c r="AE309" s="159">
        <v>998552</v>
      </c>
      <c r="AF309" s="160" t="s">
        <v>1111</v>
      </c>
      <c r="AG309" s="161"/>
      <c r="AH309" s="161"/>
      <c r="AI309" s="160">
        <v>0</v>
      </c>
      <c r="AJ309" s="160" t="s">
        <v>368</v>
      </c>
      <c r="AK309" s="159">
        <v>18</v>
      </c>
      <c r="AL309" s="160">
        <v>-188.90</v>
      </c>
      <c r="AM309" s="160">
        <v>-188.90</v>
      </c>
      <c r="AN309" s="160">
        <v>0</v>
      </c>
      <c r="AO309" s="160">
        <v>0</v>
      </c>
      <c r="AP309" s="160">
        <v>0</v>
      </c>
      <c r="AQ309" s="160">
        <v>0</v>
      </c>
      <c r="AR309" s="160">
        <v>0</v>
      </c>
      <c r="AS309" s="160">
        <v>0</v>
      </c>
      <c r="AT309" s="160">
        <v>0</v>
      </c>
      <c r="AU309" s="161"/>
      <c r="AV309" s="161"/>
      <c r="AW309" s="160">
        <v>0</v>
      </c>
      <c r="AX309" s="160">
        <v>-377.80</v>
      </c>
      <c r="AY309" s="160" t="s">
        <v>100</v>
      </c>
      <c r="AZ309" s="160" t="s">
        <v>101</v>
      </c>
      <c r="BA309" s="160" t="s">
        <v>200</v>
      </c>
      <c r="BB309" s="160">
        <v>1125113972</v>
      </c>
      <c r="BC309" s="160" t="s">
        <v>105</v>
      </c>
      <c r="BD309" s="160" t="s">
        <v>103</v>
      </c>
      <c r="BE309" s="161"/>
      <c r="BF309" s="161" t="s">
        <v>270</v>
      </c>
      <c r="BG309" s="161" t="s">
        <v>281</v>
      </c>
      <c r="BH309" s="160" t="s">
        <v>290</v>
      </c>
      <c r="BI309" t="s">
        <v>155</v>
      </c>
      <c r="BJ309" t="s">
        <v>156</v>
      </c>
      <c r="BK309" t="s">
        <v>1112</v>
      </c>
      <c r="BL309">
        <v>-377.80</v>
      </c>
      <c r="BM309">
        <v>-378</v>
      </c>
      <c r="BN309">
        <v>0</v>
      </c>
      <c r="BO309" t="s">
        <v>154</v>
      </c>
      <c r="BP309">
        <v>9167810</v>
      </c>
      <c r="BQ309" t="s">
        <v>270</v>
      </c>
      <c r="BR309" t="s">
        <v>307</v>
      </c>
      <c r="BS309">
        <v>1</v>
      </c>
    </row>
    <row r="310" spans="1:71" s="0" customFormat="1" ht="14.5">
      <c r="A310" s="159" t="s">
        <v>157</v>
      </c>
      <c r="B310" s="159" t="s">
        <v>625</v>
      </c>
      <c r="C310" s="160">
        <v>107</v>
      </c>
      <c r="D310" s="160" t="s">
        <v>97</v>
      </c>
      <c r="E310" s="159" t="s">
        <v>98</v>
      </c>
      <c r="F310" s="161"/>
      <c r="G310" s="161"/>
      <c r="H310" s="160" t="s">
        <v>48</v>
      </c>
      <c r="I310" s="160" t="s">
        <v>158</v>
      </c>
      <c r="J310" s="160" t="s">
        <v>159</v>
      </c>
      <c r="K310" s="160" t="s">
        <v>163</v>
      </c>
      <c r="L310" s="160" t="s">
        <v>160</v>
      </c>
      <c r="M310" s="162">
        <v>46112</v>
      </c>
      <c r="N310" s="159" t="s">
        <v>1113</v>
      </c>
      <c r="O310" s="159">
        <v>9155601</v>
      </c>
      <c r="P310" s="162">
        <v>46112</v>
      </c>
      <c r="Q310" s="160" t="s">
        <v>161</v>
      </c>
      <c r="R310" s="160">
        <v>2045</v>
      </c>
      <c r="S310" s="160" t="s">
        <v>308</v>
      </c>
      <c r="T310" s="160" t="s">
        <v>1114</v>
      </c>
      <c r="U310" s="160" t="s">
        <v>309</v>
      </c>
      <c r="V310" s="159" t="s">
        <v>162</v>
      </c>
      <c r="W310" s="161"/>
      <c r="X310" s="160">
        <v>1</v>
      </c>
      <c r="Y310" s="160">
        <v>12696.31</v>
      </c>
      <c r="Z310" s="160">
        <v>12696.31</v>
      </c>
      <c r="AA310" s="160" t="s">
        <v>99</v>
      </c>
      <c r="AB310" s="160" t="s">
        <v>1113</v>
      </c>
      <c r="AC310" s="162">
        <v>46112</v>
      </c>
      <c r="AD310" s="160" t="s">
        <v>171</v>
      </c>
      <c r="AE310" s="160">
        <v>996812</v>
      </c>
      <c r="AF310" s="159" t="s">
        <v>351</v>
      </c>
      <c r="AG310" s="161"/>
      <c r="AH310" s="161"/>
      <c r="AI310" s="160">
        <v>12696.31</v>
      </c>
      <c r="AJ310" s="160" t="s">
        <v>368</v>
      </c>
      <c r="AK310" s="160">
        <v>18</v>
      </c>
      <c r="AL310" s="160">
        <v>0</v>
      </c>
      <c r="AM310" s="160">
        <v>0</v>
      </c>
      <c r="AN310" s="160">
        <v>2285.34</v>
      </c>
      <c r="AO310" s="160">
        <v>0</v>
      </c>
      <c r="AP310" s="160">
        <v>0</v>
      </c>
      <c r="AQ310" s="159">
        <v>0</v>
      </c>
      <c r="AR310" s="160">
        <v>0</v>
      </c>
      <c r="AS310" s="160">
        <v>0</v>
      </c>
      <c r="AT310" s="160">
        <v>0</v>
      </c>
      <c r="AU310" s="161"/>
      <c r="AV310" s="161"/>
      <c r="AW310" s="160">
        <v>0</v>
      </c>
      <c r="AX310" s="159">
        <v>14981.65</v>
      </c>
      <c r="AY310" s="160" t="s">
        <v>100</v>
      </c>
      <c r="AZ310" s="160" t="s">
        <v>101</v>
      </c>
      <c r="BA310" s="160" t="s">
        <v>388</v>
      </c>
      <c r="BB310" s="160">
        <v>1125113858</v>
      </c>
      <c r="BC310" s="160" t="s">
        <v>102</v>
      </c>
      <c r="BD310" s="160" t="s">
        <v>103</v>
      </c>
      <c r="BE310" s="161"/>
      <c r="BF310" s="161" t="s">
        <v>270</v>
      </c>
      <c r="BG310" s="161" t="s">
        <v>281</v>
      </c>
      <c r="BH310" s="160" t="s">
        <v>290</v>
      </c>
      <c r="BI310" t="s">
        <v>155</v>
      </c>
      <c r="BJ310" t="s">
        <v>156</v>
      </c>
      <c r="BK310" t="s">
        <v>1115</v>
      </c>
      <c r="BL310">
        <v>2285.34</v>
      </c>
      <c r="BM310">
        <v>2285.34</v>
      </c>
      <c r="BN310">
        <v>0</v>
      </c>
      <c r="BO310" t="s">
        <v>154</v>
      </c>
      <c r="BP310">
        <v>9155601</v>
      </c>
      <c r="BQ310" t="s">
        <v>270</v>
      </c>
      <c r="BR310" t="s">
        <v>307</v>
      </c>
      <c r="BS310">
        <v>1</v>
      </c>
    </row>
    <row r="311" spans="1:71" s="0" customFormat="1" ht="14.5">
      <c r="A311" s="159" t="s">
        <v>157</v>
      </c>
      <c r="B311" s="160" t="s">
        <v>625</v>
      </c>
      <c r="C311" s="160">
        <v>107</v>
      </c>
      <c r="D311" s="160" t="s">
        <v>97</v>
      </c>
      <c r="E311" s="160" t="s">
        <v>98</v>
      </c>
      <c r="F311" s="161"/>
      <c r="G311" s="161"/>
      <c r="H311" s="160" t="s">
        <v>48</v>
      </c>
      <c r="I311" s="160" t="s">
        <v>158</v>
      </c>
      <c r="J311" s="160" t="s">
        <v>159</v>
      </c>
      <c r="K311" s="159" t="s">
        <v>163</v>
      </c>
      <c r="L311" s="160" t="s">
        <v>160</v>
      </c>
      <c r="M311" s="162">
        <v>46112</v>
      </c>
      <c r="N311" s="160" t="s">
        <v>1116</v>
      </c>
      <c r="O311" s="160">
        <v>9151250</v>
      </c>
      <c r="P311" s="162">
        <v>46112</v>
      </c>
      <c r="Q311" s="160" t="s">
        <v>161</v>
      </c>
      <c r="R311" s="160">
        <v>2045</v>
      </c>
      <c r="S311" s="160" t="s">
        <v>308</v>
      </c>
      <c r="T311" s="160" t="s">
        <v>169</v>
      </c>
      <c r="U311" s="160" t="s">
        <v>309</v>
      </c>
      <c r="V311" s="160" t="s">
        <v>162</v>
      </c>
      <c r="W311" s="161"/>
      <c r="X311" s="160">
        <v>1</v>
      </c>
      <c r="Y311" s="160">
        <v>604</v>
      </c>
      <c r="Z311" s="160">
        <v>604</v>
      </c>
      <c r="AA311" s="160" t="s">
        <v>99</v>
      </c>
      <c r="AB311" s="160" t="s">
        <v>1116</v>
      </c>
      <c r="AC311" s="162">
        <v>46112</v>
      </c>
      <c r="AD311" s="160" t="s">
        <v>171</v>
      </c>
      <c r="AE311" s="160">
        <v>996812</v>
      </c>
      <c r="AF311" s="160" t="s">
        <v>1117</v>
      </c>
      <c r="AG311" s="161"/>
      <c r="AH311" s="161"/>
      <c r="AI311" s="160">
        <v>604</v>
      </c>
      <c r="AJ311" s="160" t="s">
        <v>368</v>
      </c>
      <c r="AK311" s="160">
        <v>18</v>
      </c>
      <c r="AL311" s="160">
        <v>54.36</v>
      </c>
      <c r="AM311" s="160">
        <v>54.36</v>
      </c>
      <c r="AN311" s="159">
        <v>0</v>
      </c>
      <c r="AO311" s="160">
        <v>0</v>
      </c>
      <c r="AP311" s="160">
        <v>0</v>
      </c>
      <c r="AQ311" s="160">
        <v>0</v>
      </c>
      <c r="AR311" s="159">
        <v>0</v>
      </c>
      <c r="AS311" s="160">
        <v>0</v>
      </c>
      <c r="AT311" s="160">
        <v>0</v>
      </c>
      <c r="AU311" s="161"/>
      <c r="AV311" s="161"/>
      <c r="AW311" s="160">
        <v>0</v>
      </c>
      <c r="AX311" s="160">
        <v>712.72</v>
      </c>
      <c r="AY311" s="160" t="s">
        <v>100</v>
      </c>
      <c r="AZ311" s="159" t="s">
        <v>101</v>
      </c>
      <c r="BA311" s="160" t="s">
        <v>388</v>
      </c>
      <c r="BB311" s="160">
        <v>1125113846</v>
      </c>
      <c r="BC311" s="160" t="s">
        <v>105</v>
      </c>
      <c r="BD311" s="160" t="s">
        <v>103</v>
      </c>
      <c r="BE311" s="161"/>
      <c r="BF311" s="161" t="s">
        <v>270</v>
      </c>
      <c r="BG311" s="161" t="s">
        <v>281</v>
      </c>
      <c r="BH311" s="160" t="s">
        <v>290</v>
      </c>
      <c r="BI311" t="s">
        <v>155</v>
      </c>
      <c r="BJ311" t="s">
        <v>156</v>
      </c>
      <c r="BK311" t="s">
        <v>1118</v>
      </c>
      <c r="BL311">
        <v>108.72</v>
      </c>
      <c r="BM311">
        <v>108.72</v>
      </c>
      <c r="BN311">
        <v>0</v>
      </c>
      <c r="BO311" t="s">
        <v>154</v>
      </c>
      <c r="BP311">
        <v>9151250</v>
      </c>
      <c r="BQ311" t="s">
        <v>270</v>
      </c>
      <c r="BR311" t="s">
        <v>307</v>
      </c>
      <c r="BS311">
        <v>1</v>
      </c>
    </row>
    <row r="312" spans="1:71" s="0" customFormat="1" ht="14.5">
      <c r="A312" s="159" t="s">
        <v>157</v>
      </c>
      <c r="B312" s="160" t="s">
        <v>625</v>
      </c>
      <c r="C312" s="160">
        <v>107</v>
      </c>
      <c r="D312" s="160" t="s">
        <v>97</v>
      </c>
      <c r="E312" s="160" t="s">
        <v>98</v>
      </c>
      <c r="F312" s="161"/>
      <c r="G312" s="161"/>
      <c r="H312" s="160" t="s">
        <v>48</v>
      </c>
      <c r="I312" s="160" t="s">
        <v>158</v>
      </c>
      <c r="J312" s="160" t="s">
        <v>159</v>
      </c>
      <c r="K312" s="160" t="s">
        <v>163</v>
      </c>
      <c r="L312" s="160" t="s">
        <v>160</v>
      </c>
      <c r="M312" s="162">
        <v>46112</v>
      </c>
      <c r="N312" s="160" t="s">
        <v>1119</v>
      </c>
      <c r="O312" s="160">
        <v>9164661</v>
      </c>
      <c r="P312" s="162">
        <v>46112</v>
      </c>
      <c r="Q312" s="160" t="s">
        <v>161</v>
      </c>
      <c r="R312" s="160">
        <v>2045</v>
      </c>
      <c r="S312" s="160" t="s">
        <v>308</v>
      </c>
      <c r="T312" s="160" t="s">
        <v>349</v>
      </c>
      <c r="U312" s="160" t="s">
        <v>1120</v>
      </c>
      <c r="V312" s="160" t="s">
        <v>162</v>
      </c>
      <c r="W312" s="161"/>
      <c r="X312" s="160">
        <v>5668.54</v>
      </c>
      <c r="Y312" s="160">
        <v>5668.54</v>
      </c>
      <c r="Z312" s="160">
        <v>5668.54</v>
      </c>
      <c r="AA312" s="160" t="s">
        <v>99</v>
      </c>
      <c r="AB312" s="160" t="s">
        <v>1119</v>
      </c>
      <c r="AC312" s="162">
        <v>46112</v>
      </c>
      <c r="AD312" s="161"/>
      <c r="AE312" s="160">
        <v>996812</v>
      </c>
      <c r="AF312" s="160" t="s">
        <v>351</v>
      </c>
      <c r="AG312" s="161"/>
      <c r="AH312" s="161"/>
      <c r="AI312" s="160">
        <v>5668.54</v>
      </c>
      <c r="AJ312" s="160" t="s">
        <v>368</v>
      </c>
      <c r="AK312" s="160">
        <v>18</v>
      </c>
      <c r="AL312" s="160">
        <v>0</v>
      </c>
      <c r="AM312" s="159">
        <v>0</v>
      </c>
      <c r="AN312" s="160">
        <v>1020.34</v>
      </c>
      <c r="AO312" s="160">
        <v>0</v>
      </c>
      <c r="AP312" s="160">
        <v>0</v>
      </c>
      <c r="AQ312" s="160">
        <v>0</v>
      </c>
      <c r="AR312" s="160">
        <v>0</v>
      </c>
      <c r="AS312" s="160">
        <v>0</v>
      </c>
      <c r="AT312" s="160">
        <v>0</v>
      </c>
      <c r="AU312" s="161"/>
      <c r="AV312" s="161"/>
      <c r="AW312" s="160">
        <v>0</v>
      </c>
      <c r="AX312" s="160">
        <v>6688.88</v>
      </c>
      <c r="AY312" s="160" t="s">
        <v>100</v>
      </c>
      <c r="AZ312" s="160" t="s">
        <v>101</v>
      </c>
      <c r="BA312" s="160" t="s">
        <v>388</v>
      </c>
      <c r="BB312" s="160">
        <v>1125113962</v>
      </c>
      <c r="BC312" s="160" t="s">
        <v>102</v>
      </c>
      <c r="BD312" s="160" t="s">
        <v>103</v>
      </c>
      <c r="BE312" s="161"/>
      <c r="BF312" s="161" t="s">
        <v>270</v>
      </c>
      <c r="BG312" s="161" t="s">
        <v>281</v>
      </c>
      <c r="BH312" s="160" t="s">
        <v>290</v>
      </c>
      <c r="BI312" t="s">
        <v>155</v>
      </c>
      <c r="BJ312" t="s">
        <v>156</v>
      </c>
      <c r="BK312" t="s">
        <v>1121</v>
      </c>
      <c r="BL312">
        <v>1020.34</v>
      </c>
      <c r="BM312">
        <v>1020.34</v>
      </c>
      <c r="BN312">
        <v>0</v>
      </c>
      <c r="BO312" t="s">
        <v>154</v>
      </c>
      <c r="BP312">
        <v>9164661</v>
      </c>
      <c r="BQ312" t="s">
        <v>270</v>
      </c>
      <c r="BR312" t="s">
        <v>307</v>
      </c>
      <c r="BS312">
        <v>1</v>
      </c>
    </row>
  </sheetData>
  <sheetProtect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sheetPr codeName=""/>
  <dimension ref="A1:BM2"/>
  <sheetViews>
    <sheetView workbookViewId="0" topLeftCell="A1">
      <selection pane="topLeft" activeCell="A2" sqref="A2"/>
    </sheetView>
  </sheetViews>
  <sheetFormatPr defaultColWidth="9.14285714285714" defaultRowHeight="14.5"/>
  <sheetData>
    <row r="1" spans="1:65" ht="14.5">
      <c r="A1" s="82" t="s">
        <v>52</v>
      </c>
      <c r="B1" s="82" t="s">
        <v>53</v>
      </c>
      <c r="C1" s="82" t="s">
        <v>54</v>
      </c>
      <c r="D1" s="82" t="s">
        <v>55</v>
      </c>
      <c r="E1" s="82" t="s">
        <v>56</v>
      </c>
      <c r="F1" s="82" t="s">
        <v>57</v>
      </c>
      <c r="G1" s="82" t="s">
        <v>58</v>
      </c>
      <c r="H1" s="82" t="s">
        <v>59</v>
      </c>
      <c r="I1" s="82" t="s">
        <v>60</v>
      </c>
      <c r="J1" s="82" t="s">
        <v>61</v>
      </c>
      <c r="K1" s="82" t="s">
        <v>62</v>
      </c>
      <c r="L1" s="82" t="s">
        <v>63</v>
      </c>
      <c r="M1" s="82" t="s">
        <v>64</v>
      </c>
      <c r="N1" s="82" t="s">
        <v>65</v>
      </c>
      <c r="O1" s="82" t="s">
        <v>66</v>
      </c>
      <c r="P1" s="82" t="s">
        <v>67</v>
      </c>
      <c r="Q1" s="82" t="s">
        <v>68</v>
      </c>
      <c r="R1" s="82" t="s">
        <v>69</v>
      </c>
      <c r="S1" s="82" t="s">
        <v>70</v>
      </c>
      <c r="T1" s="82" t="s">
        <v>71</v>
      </c>
      <c r="U1" s="82" t="s">
        <v>72</v>
      </c>
      <c r="V1" s="82" t="s">
        <v>73</v>
      </c>
      <c r="W1" s="82" t="s">
        <v>74</v>
      </c>
      <c r="X1" s="82" t="s">
        <v>75</v>
      </c>
      <c r="Y1" s="82" t="s">
        <v>76</v>
      </c>
      <c r="Z1" s="82" t="s">
        <v>77</v>
      </c>
      <c r="AA1" s="82" t="s">
        <v>136</v>
      </c>
      <c r="AB1" s="82" t="s">
        <v>137</v>
      </c>
      <c r="AC1" s="82" t="s">
        <v>78</v>
      </c>
      <c r="AD1" s="82" t="s">
        <v>79</v>
      </c>
      <c r="AE1" s="82" t="s">
        <v>138</v>
      </c>
      <c r="AF1" s="82" t="s">
        <v>80</v>
      </c>
      <c r="AG1" s="82" t="s">
        <v>81</v>
      </c>
      <c r="AH1" s="82" t="s">
        <v>82</v>
      </c>
      <c r="AI1" s="82" t="s">
        <v>83</v>
      </c>
      <c r="AJ1" s="82" t="s">
        <v>84</v>
      </c>
      <c r="AK1" s="82" t="s">
        <v>139</v>
      </c>
      <c r="AL1" s="82" t="s">
        <v>85</v>
      </c>
      <c r="AM1" s="82" t="s">
        <v>86</v>
      </c>
      <c r="AN1" s="82" t="s">
        <v>87</v>
      </c>
      <c r="AO1" s="82" t="s">
        <v>88</v>
      </c>
      <c r="AP1" s="82" t="s">
        <v>89</v>
      </c>
      <c r="AQ1" s="82" t="s">
        <v>90</v>
      </c>
      <c r="AR1" s="82" t="s">
        <v>91</v>
      </c>
      <c r="AS1" s="82" t="s">
        <v>92</v>
      </c>
      <c r="AT1" s="82" t="s">
        <v>140</v>
      </c>
      <c r="AU1" s="82" t="s">
        <v>93</v>
      </c>
      <c r="AV1" s="82" t="s">
        <v>94</v>
      </c>
      <c r="AW1" s="82" t="s">
        <v>141</v>
      </c>
      <c r="AX1" s="82" t="s">
        <v>142</v>
      </c>
      <c r="AY1" s="82" t="s">
        <v>95</v>
      </c>
      <c r="AZ1" s="82" t="s">
        <v>96</v>
      </c>
      <c r="BA1" s="82" t="s">
        <v>143</v>
      </c>
      <c r="BB1" s="82" t="s">
        <v>144</v>
      </c>
      <c r="BC1" s="82" t="s">
        <v>145</v>
      </c>
      <c r="BD1" s="88" t="s">
        <v>146</v>
      </c>
      <c r="BE1" s="88" t="s">
        <v>147</v>
      </c>
      <c r="BF1" s="88" t="s">
        <v>148</v>
      </c>
      <c r="BG1" s="89" t="s">
        <v>149</v>
      </c>
      <c r="BH1" s="89" t="s">
        <v>150</v>
      </c>
      <c r="BI1" s="89" t="s">
        <v>151</v>
      </c>
      <c r="BJ1" s="89" t="s">
        <v>152</v>
      </c>
      <c r="BK1" s="95" t="s">
        <v>205</v>
      </c>
      <c r="BL1" s="95" t="s">
        <v>206</v>
      </c>
      <c r="BM1" s="95" t="s">
        <v>207</v>
      </c>
    </row>
    <row r="2" spans="1:55" ht="14.5">
      <c r="A2" s="83"/>
      <c r="B2" s="83"/>
      <c r="C2" s="83"/>
      <c r="D2" s="83"/>
      <c r="E2" s="83"/>
      <c r="F2" s="84"/>
      <c r="G2" s="84"/>
      <c r="H2" s="83"/>
      <c r="I2" s="83"/>
      <c r="J2" s="83"/>
      <c r="K2" s="83"/>
      <c r="L2" s="83"/>
      <c r="M2" s="85"/>
      <c r="N2" s="83"/>
      <c r="O2" s="83"/>
      <c r="P2" s="85"/>
      <c r="Q2" s="83"/>
      <c r="R2" s="83"/>
      <c r="S2" s="83"/>
      <c r="T2" s="83"/>
      <c r="U2" s="83"/>
      <c r="V2" s="84"/>
      <c r="W2" s="83"/>
      <c r="X2" s="83"/>
      <c r="Y2" s="83"/>
      <c r="Z2" s="83"/>
      <c r="AA2" s="83"/>
      <c r="AB2" s="85"/>
      <c r="AC2" s="84"/>
      <c r="AD2" s="83"/>
      <c r="AE2" s="83"/>
      <c r="AF2" s="83"/>
      <c r="AG2" s="83"/>
      <c r="AH2" s="83"/>
      <c r="AI2" s="83"/>
      <c r="AJ2" s="83"/>
      <c r="AK2" s="83"/>
      <c r="AL2" s="83"/>
      <c r="AM2" s="83"/>
      <c r="AN2" s="83"/>
      <c r="AO2" s="83"/>
      <c r="AP2" s="83"/>
      <c r="AQ2" s="84"/>
      <c r="AR2" s="84"/>
      <c r="AS2" s="83"/>
      <c r="AT2" s="83"/>
      <c r="AU2" s="83"/>
      <c r="AV2" s="83"/>
      <c r="AW2" s="83"/>
      <c r="AX2" s="83"/>
      <c r="AY2" s="83"/>
      <c r="AZ2" s="83"/>
      <c r="BA2" s="84"/>
      <c r="BB2" s="84"/>
      <c r="BC2" s="84"/>
    </row>
  </sheetData>
  <sheetProtect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8</vt:i4>
      </vt:variant>
    </vt:vector>
  </HeadingPairs>
  <TitlesOfParts>
    <vt:vector size="8" baseType="lpstr">
      <vt:lpstr>DELHI 3B</vt:lpstr>
      <vt:lpstr>ITC REVERSAL</vt:lpstr>
      <vt:lpstr>ITC Revers - 180 Days</vt:lpstr>
      <vt:lpstr>ITC Revers &amp; Reclaim - 180 Days</vt:lpstr>
      <vt:lpstr>Outward</vt:lpstr>
      <vt:lpstr>Pivat</vt:lpstr>
      <vt:lpstr>Inward</vt:lpstr>
      <vt:lpstr>NOT CONSIDER</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CHAKRAVARTI</dc:creator>
  <cp:keywords/>
  <dc:description/>
  <cp:lastModifiedBy>Himanshu Chauhan</cp:lastModifiedBy>
  <cp:lastPrinted>2023-10-19T11:21:38Z</cp:lastPrinted>
  <dcterms:created xsi:type="dcterms:W3CDTF">2021-10-19T05:08:19Z</dcterms:created>
  <dcterms:modified xsi:type="dcterms:W3CDTF">2026-05-19T06:19:37Z</dcterms:modified>
  <cp:category/>
</cp:coreProperties>
</file>